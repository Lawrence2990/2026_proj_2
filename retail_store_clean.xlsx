
<file path=[Content_Types].xml><?xml version="1.0" encoding="utf-8"?>
<Types xmlns="http://schemas.openxmlformats.org/package/2006/content-type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Lawrence Olorunda\Desktop\ARPT TECH\"/>
    </mc:Choice>
  </mc:AlternateContent>
  <xr:revisionPtr revIDLastSave="0" documentId="13_ncr:1_{2E070632-AFBB-445F-BB4A-C153E9E3753A}" xr6:coauthVersionLast="47" xr6:coauthVersionMax="47" xr10:uidLastSave="{00000000-0000-0000-0000-000000000000}"/>
  <bookViews>
    <workbookView xWindow="1770" yWindow="1770" windowWidth="15375" windowHeight="7875" firstSheet="3" activeTab="4" xr2:uid="{83A5C1F2-E901-4C7F-8354-A085C2EC50FE}"/>
  </bookViews>
  <sheets>
    <sheet name="Sheet4" sheetId="5" r:id="rId1"/>
    <sheet name="dashboard" sheetId="8" r:id="rId2"/>
    <sheet name="Sheet5" sheetId="6" r:id="rId3"/>
    <sheet name="Sheet6" sheetId="7" r:id="rId4"/>
    <sheet name="retail_store_sales (1)" sheetId="1" r:id="rId5"/>
    <sheet name="formulas" sheetId="2" r:id="rId6"/>
    <sheet name="pivot table" sheetId="3" r:id="rId7"/>
  </sheets>
  <definedNames>
    <definedName name="_xlnm._FilterDatabase" localSheetId="4" hidden="1">'retail_store_sales (1)'!$A$1:$K$7580</definedName>
    <definedName name="Slicer_Category">#N/A</definedName>
    <definedName name="Slicer_Discount_Applied">#N/A</definedName>
    <definedName name="Slicer_Location">#N/A</definedName>
    <definedName name="Slicer_Payment_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 l="1"/>
  <c r="C31" i="2" a="1"/>
  <c r="C31" i="2" s="1"/>
  <c r="C29" i="2"/>
  <c r="C27" i="2"/>
  <c r="C25" i="2"/>
  <c r="C24" i="2"/>
  <c r="C23" i="2"/>
  <c r="C22" i="2"/>
  <c r="C28" i="2"/>
  <c r="C21" i="2"/>
  <c r="C17" i="2"/>
  <c r="C16" i="2"/>
  <c r="C15" i="2"/>
  <c r="C14" i="2"/>
  <c r="C13" i="2"/>
  <c r="C12" i="2"/>
  <c r="C11" i="2"/>
  <c r="C10" i="2"/>
  <c r="C9" i="2"/>
  <c r="C8" i="2"/>
  <c r="C6" i="2"/>
  <c r="C5" i="2"/>
  <c r="C4" i="2"/>
  <c r="C3" i="2"/>
  <c r="F3" i="2" l="1" a="1"/>
  <c r="F3" i="2" s="1"/>
  <c r="H834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<sst xmlns="http://schemas.openxmlformats.org/spreadsheetml/2006/main" count="45566" uniqueCount="7870">
  <si>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</si>
  <si>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</si>
  <si>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</si>
  <si>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</si>
  <si>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</si>
  <si>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</si>
  <si>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</si>
  <si>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</si>
  <si>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</si>
  <si>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</si>
  <si>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</si>
  <si>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</si>
  <si>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</si>
  <si>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</si>
  <si>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</si>
  <si>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</si>
  <si>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</si>
  <si>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</si>
  <si>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</si>
  <si>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</si>
  <si>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</si>
  <si>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</si>
  <si>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</si>
  <si>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</si>
  <si>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</si>
  <si>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</si>
  <si>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CUST_06</t>
  </si>
  <si>
    <t>Beverages</t>
  </si>
  <si>
    <t>Item_16_BEV</t>
  </si>
  <si>
    <t>TXN_4575373</t>
  </si>
  <si>
    <t>CUST_05</t>
  </si>
  <si>
    <t>Food</t>
  </si>
  <si>
    <t>Item_6_FOOD</t>
  </si>
  <si>
    <t>TXN_3652209</t>
  </si>
  <si>
    <t>CUST_07</t>
  </si>
  <si>
    <t>Item_1_FOOD</t>
  </si>
  <si>
    <t>In-store</t>
  </si>
  <si>
    <t>CUST_21</t>
  </si>
  <si>
    <t>Furniture</t>
  </si>
  <si>
    <t>TXN_9728486</t>
  </si>
  <si>
    <t>CUST_23</t>
  </si>
  <si>
    <t>Item_16_FUR</t>
  </si>
  <si>
    <t>TXN_2722661</t>
  </si>
  <si>
    <t>CUST_25</t>
  </si>
  <si>
    <t>Item_22_BUT</t>
  </si>
  <si>
    <t>Cash</t>
  </si>
  <si>
    <t>TXN_8776416</t>
  </si>
  <si>
    <t>Item_3_BUT</t>
  </si>
  <si>
    <t>TXN_5874772</t>
  </si>
  <si>
    <t>Item_2_FOOD</t>
  </si>
  <si>
    <t>TXN_4413070</t>
  </si>
  <si>
    <t>CUST_14</t>
  </si>
  <si>
    <t>Item_24_PAT</t>
  </si>
  <si>
    <t>Item_16_MILK</t>
  </si>
  <si>
    <t>TXN_7563311</t>
  </si>
  <si>
    <t>Item_17_PAT</t>
  </si>
  <si>
    <t>CUST_15</t>
  </si>
  <si>
    <t>TXN_4396807</t>
  </si>
  <si>
    <t>CUST_17</t>
  </si>
  <si>
    <t>Electric household essentials</t>
  </si>
  <si>
    <t>Item_13_EHE</t>
  </si>
  <si>
    <t>CUST_01</t>
  </si>
  <si>
    <t>Item_7_BEV</t>
  </si>
  <si>
    <t>CUST_10</t>
  </si>
  <si>
    <t>Item_4_EHE</t>
  </si>
  <si>
    <t>TXN_3314099</t>
  </si>
  <si>
    <t>CUST_04</t>
  </si>
  <si>
    <t>Item_10_FOOD</t>
  </si>
  <si>
    <t>TXN_9980736</t>
  </si>
  <si>
    <t>CUST_13</t>
  </si>
  <si>
    <t>Item_14_FUR</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</si>
  <si>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</si>
  <si>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</si>
  <si>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</si>
  <si>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</si>
  <si>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</si>
  <si>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</si>
  <si>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</si>
  <si>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</si>
  <si>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</si>
  <si>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</si>
  <si>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</si>
  <si>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</si>
  <si>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</si>
  <si>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</si>
  <si>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CUST_20</t>
  </si>
  <si>
    <t>CUST_12</t>
  </si>
  <si>
    <t>Item_21_EHE</t>
  </si>
  <si>
    <t>TXN_6398436</t>
  </si>
  <si>
    <t>Item_25_BEV</t>
  </si>
  <si>
    <t>TXN_9065245</t>
  </si>
  <si>
    <t>Item_23_FOOD</t>
  </si>
  <si>
    <t>TXN_6963438</t>
  </si>
  <si>
    <t>CUST_11</t>
  </si>
  <si>
    <t>Item_10_FUR</t>
  </si>
  <si>
    <t>Item_11_BEV</t>
  </si>
  <si>
    <t>TXN_5836005</t>
  </si>
  <si>
    <t>CUST_19</t>
  </si>
  <si>
    <t>Item_23_BUT</t>
  </si>
  <si>
    <t>TXN_4223250</t>
  </si>
  <si>
    <t>CUST_16</t>
  </si>
  <si>
    <t>Item_22_BEV</t>
  </si>
  <si>
    <t>Item_10_EHE</t>
  </si>
  <si>
    <t>Item_24_BUT</t>
  </si>
  <si>
    <t>CUST_24</t>
  </si>
  <si>
    <t>Item_8_BEV</t>
  </si>
  <si>
    <t>Item_3_FOOD</t>
  </si>
  <si>
    <t>TXN_9587232</t>
  </si>
  <si>
    <t>Item_12_FOOD</t>
  </si>
  <si>
    <t>TXN_6404316</t>
  </si>
  <si>
    <t>Computers and electric accessories</t>
  </si>
  <si>
    <t>Item_16_CEA</t>
  </si>
  <si>
    <t>TXN_9331642</t>
  </si>
  <si>
    <t>Item_11_PAT</t>
  </si>
  <si>
    <t>TXN_9729422</t>
  </si>
  <si>
    <t>Item_16_BUT</t>
  </si>
  <si>
    <t>TXN_5379241</t>
  </si>
  <si>
    <t>TXN_8413369</t>
  </si>
  <si>
    <t>Item_5_CEA</t>
  </si>
  <si>
    <t>TXN_4836321</t>
  </si>
  <si>
    <t>Item_19_MILK</t>
  </si>
  <si>
    <t>TXN_8218431</t>
  </si>
  <si>
    <t>Item_23_FUR</t>
  </si>
  <si>
    <t>Item_7_FUR</t>
  </si>
  <si>
    <t>TXN_7909783</t>
  </si>
  <si>
    <t>TXN_5046007</t>
  </si>
  <si>
    <t>Item_15_CEA</t>
  </si>
  <si>
    <t>TXN_3424571</t>
  </si>
  <si>
    <t>Item_6_MILK</t>
  </si>
  <si>
    <t>TXN_6820452</t>
  </si>
  <si>
    <t>Item_24_CEA</t>
  </si>
  <si>
    <t>TXN_1998771</t>
  </si>
  <si>
    <t>TXN_1132097</t>
  </si>
  <si>
    <t>TXN_5418871</t>
  </si>
  <si>
    <t>Item_22_CEA</t>
  </si>
  <si>
    <t>TXN_6952276</t>
  </si>
  <si>
    <t>Item_22_FOOD</t>
  </si>
  <si>
    <t>Item_2_BUT</t>
  </si>
  <si>
    <t>TXN_5885894</t>
  </si>
  <si>
    <t>Item_14_PAT</t>
  </si>
  <si>
    <t>TXN_3671271</t>
  </si>
  <si>
    <t>Item_12_PAT</t>
  </si>
  <si>
    <t>CUST_03</t>
  </si>
  <si>
    <t>TXN_9908330</t>
  </si>
  <si>
    <t>Item_18_FOOD</t>
  </si>
  <si>
    <t>TXN_2016332</t>
  </si>
  <si>
    <t>Item_1_PAT</t>
  </si>
  <si>
    <t>Item_4_BEV</t>
  </si>
  <si>
    <t>TXN_1260450</t>
  </si>
  <si>
    <t>Item_22_FUR</t>
  </si>
  <si>
    <t>TXN_6315447</t>
  </si>
  <si>
    <t>Item_7_PAT</t>
  </si>
  <si>
    <t>TXN_5973228</t>
  </si>
  <si>
    <t>TXN_1142481</t>
  </si>
  <si>
    <t>Item_20_CEA</t>
  </si>
  <si>
    <t>Item_20_FOOD</t>
  </si>
  <si>
    <t>TXN_1061030</t>
  </si>
  <si>
    <t>TXN_8114453</t>
  </si>
  <si>
    <t>TXN_8024803</t>
  </si>
  <si>
    <t>Item_11_FUR</t>
  </si>
  <si>
    <t>TXN_5062634</t>
  </si>
  <si>
    <t>Item_25_PAT</t>
  </si>
  <si>
    <t>Item_7_FOOD</t>
  </si>
  <si>
    <t>Item_21_FUR</t>
  </si>
  <si>
    <t>TXN_2646301</t>
  </si>
  <si>
    <t>Item_24_FUR</t>
  </si>
  <si>
    <t>Item_8_MILK</t>
  </si>
  <si>
    <t>TXN_8322008</t>
  </si>
  <si>
    <t>Item_4_FOOD</t>
  </si>
  <si>
    <t>TXN_3035546</t>
  </si>
  <si>
    <t>Item_14_BEV</t>
  </si>
  <si>
    <t>Item_4_PAT</t>
  </si>
  <si>
    <t>TXN_8414071</t>
  </si>
  <si>
    <t>TXN_5705131</t>
  </si>
  <si>
    <t>Item_4_MILK</t>
  </si>
  <si>
    <t>TXN_5938028</t>
  </si>
  <si>
    <t>Item_7_CEA</t>
  </si>
  <si>
    <t>Item_6_EHE</t>
  </si>
  <si>
    <t>TXN_9619859</t>
  </si>
  <si>
    <t>Item_21_BUT</t>
  </si>
  <si>
    <t>TXN_6158929</t>
  </si>
  <si>
    <t>TXN_5328604</t>
  </si>
  <si>
    <t>TXN_4324641</t>
  </si>
  <si>
    <t>Item_16_PAT</t>
  </si>
  <si>
    <t>TXN_2940500</t>
  </si>
  <si>
    <t>Item_25_CEA</t>
  </si>
  <si>
    <t>TXN_1945960</t>
  </si>
  <si>
    <t>Item_8_BUT</t>
  </si>
  <si>
    <t>TXN_8219228</t>
  </si>
  <si>
    <t>Item_10_CEA</t>
  </si>
  <si>
    <t>TXN_5471094</t>
  </si>
  <si>
    <t>TXN_9255329</t>
  </si>
  <si>
    <t>TXN_9279462</t>
  </si>
  <si>
    <t>Item_5_FUR</t>
  </si>
  <si>
    <t>TXN_4372655</t>
  </si>
  <si>
    <t>Item_9_FOOD</t>
  </si>
  <si>
    <t>TXN_7655704</t>
  </si>
  <si>
    <t>Item_21_CEA</t>
  </si>
  <si>
    <t>TXN_6908058</t>
  </si>
  <si>
    <t>Item_8_CEA</t>
  </si>
  <si>
    <t>TXN_3208232</t>
  </si>
  <si>
    <t>Item_8_EHE</t>
  </si>
  <si>
    <t>TXN_2212643</t>
  </si>
  <si>
    <t>Item_23_MILK</t>
  </si>
  <si>
    <t>TXN_3403695</t>
  </si>
  <si>
    <t>Item_23_BEV</t>
  </si>
  <si>
    <t>TXN_9940030</t>
  </si>
  <si>
    <t>Item_19_BEV</t>
  </si>
  <si>
    <t>TXN_6195024</t>
  </si>
  <si>
    <t>Item_20_BEV</t>
  </si>
  <si>
    <t>TXN_5243520</t>
  </si>
  <si>
    <t>TXN_6923419</t>
  </si>
  <si>
    <t>Item_24_FOOD</t>
  </si>
  <si>
    <t>TXN_6989569</t>
  </si>
  <si>
    <t>Item_21_MILK</t>
  </si>
  <si>
    <t>TXN_5647023</t>
  </si>
  <si>
    <t>TXN_8049831</t>
  </si>
  <si>
    <t>Item_6_BEV</t>
  </si>
  <si>
    <t>TXN_3831408</t>
  </si>
  <si>
    <t>Item_1_MILK</t>
  </si>
  <si>
    <t>Item_24_MILK</t>
  </si>
  <si>
    <t>Item_2_CEA</t>
  </si>
  <si>
    <t>TXN_3519817</t>
  </si>
  <si>
    <t>Item_18_BUT</t>
  </si>
  <si>
    <t>TXN_4801202</t>
  </si>
  <si>
    <t>Item_1_FUR</t>
  </si>
  <si>
    <t>Item_3_MILK</t>
  </si>
  <si>
    <t>TXN_5111184</t>
  </si>
  <si>
    <t>Item_11_MILK</t>
  </si>
  <si>
    <t>TXN_1499774</t>
  </si>
  <si>
    <t>TXN_2565828</t>
  </si>
  <si>
    <t>TXN_6312937</t>
  </si>
  <si>
    <t>Item_13_CEA</t>
  </si>
  <si>
    <t>TXN_8775503</t>
  </si>
  <si>
    <t>Item_6_CEA</t>
  </si>
  <si>
    <t>Item_2_FUR</t>
  </si>
  <si>
    <t>TXN_4947386</t>
  </si>
  <si>
    <t>TXN_4276451</t>
  </si>
  <si>
    <t>TXN_3380295</t>
  </si>
  <si>
    <t>TXN_8616546</t>
  </si>
  <si>
    <t>Item_21_BEV</t>
  </si>
  <si>
    <t>Item_8_FUR</t>
  </si>
  <si>
    <t>TXN_5046818</t>
  </si>
  <si>
    <t>TXN_4626993</t>
  </si>
  <si>
    <t>Item_13_BUT</t>
  </si>
  <si>
    <t>TXN_5256349</t>
  </si>
  <si>
    <t>Item_2_BEV</t>
  </si>
  <si>
    <t>TXN_9209383</t>
  </si>
  <si>
    <t>Item_7_EHE</t>
  </si>
  <si>
    <t>TXN_2196324</t>
  </si>
  <si>
    <t>TXN_7020797</t>
  </si>
  <si>
    <t>TXN_7594834</t>
  </si>
  <si>
    <t>TXN_3229559</t>
  </si>
  <si>
    <t>Item_14_CEA</t>
  </si>
  <si>
    <t>Item_19_EHE</t>
  </si>
  <si>
    <t>TXN_8283332</t>
  </si>
  <si>
    <t>Item_18_CEA</t>
  </si>
  <si>
    <t>TXN_5205620</t>
  </si>
  <si>
    <t>TXN_4448047</t>
  </si>
  <si>
    <t>TXN_2163190</t>
  </si>
  <si>
    <t>TXN_3338914</t>
  </si>
  <si>
    <t>TXN_8959624</t>
  </si>
  <si>
    <t>TXN_9760482</t>
  </si>
  <si>
    <t>Item_11_CEA</t>
  </si>
  <si>
    <t>TXN_8136588</t>
  </si>
  <si>
    <t>TXN_4844684</t>
  </si>
  <si>
    <t>TXN_9882772</t>
  </si>
  <si>
    <t>Item_17_FUR</t>
  </si>
  <si>
    <t>Item_15_MILK</t>
  </si>
  <si>
    <t>TXN_9896056</t>
  </si>
  <si>
    <t>Item_20_EHE</t>
  </si>
  <si>
    <t>TXN_3135312</t>
  </si>
  <si>
    <t>Item_16_EHE</t>
  </si>
  <si>
    <t>TXN_4879766</t>
  </si>
  <si>
    <t>TXN_5822350</t>
  </si>
  <si>
    <t>Item_23_EHE</t>
  </si>
  <si>
    <t>TXN_2755139</t>
  </si>
  <si>
    <t>Item_7_BUT</t>
  </si>
  <si>
    <t>TXN_8960682</t>
  </si>
  <si>
    <t>Item_1_EHE</t>
  </si>
  <si>
    <t>TXN_8973416</t>
  </si>
  <si>
    <t>TXN_5487046</t>
  </si>
  <si>
    <t>Item_19_CEA</t>
  </si>
  <si>
    <t>TXN_5945222</t>
  </si>
  <si>
    <t>TXN_1334483</t>
  </si>
  <si>
    <t>TXN_8777313</t>
  </si>
  <si>
    <t>Item_25_FOOD</t>
  </si>
  <si>
    <t>TXN_2690179</t>
  </si>
  <si>
    <t>Item_12_EHE</t>
  </si>
  <si>
    <t>TXN_2795990</t>
  </si>
  <si>
    <t>Item_22_EHE</t>
  </si>
  <si>
    <t>TXN_2438514</t>
  </si>
  <si>
    <t>Item_13_PAT</t>
  </si>
  <si>
    <t>TXN_6229786</t>
  </si>
  <si>
    <t>TXN_6490151</t>
  </si>
  <si>
    <t>TXN_9331694</t>
  </si>
  <si>
    <t>TXN_8547389</t>
  </si>
  <si>
    <t>Item_17_EHE</t>
  </si>
  <si>
    <t>TXN_7324151</t>
  </si>
  <si>
    <t>TXN_6590263</t>
  </si>
  <si>
    <t>TXN_2251132</t>
  </si>
  <si>
    <t>TXN_1048755</t>
  </si>
  <si>
    <t>Item_25_BUT</t>
  </si>
  <si>
    <t>TXN_2530704</t>
  </si>
  <si>
    <t>Item_4_CEA</t>
  </si>
  <si>
    <t>TXN_1722933</t>
  </si>
  <si>
    <t>TXN_5846723</t>
  </si>
  <si>
    <t>TXN_8759839</t>
  </si>
  <si>
    <t>Item_2_MILK</t>
  </si>
  <si>
    <t>TXN_2202698</t>
  </si>
  <si>
    <t>TXN_7296074</t>
  </si>
  <si>
    <t>Item_1_BUT</t>
  </si>
  <si>
    <t>TXN_3866783</t>
  </si>
  <si>
    <t>TXN_9048177</t>
  </si>
  <si>
    <t>TXN_8842339</t>
  </si>
  <si>
    <t>Item_12_BEV</t>
  </si>
  <si>
    <t>TXN_6288602</t>
  </si>
  <si>
    <t>TXN_5488509</t>
  </si>
  <si>
    <t>Item_5_FOOD</t>
  </si>
  <si>
    <t>TXN_8503614</t>
  </si>
  <si>
    <t>TXN_7423171</t>
  </si>
  <si>
    <t>TXN_7443511</t>
  </si>
  <si>
    <t>TXN_4394615</t>
  </si>
  <si>
    <t>TXN_3557501</t>
  </si>
  <si>
    <t>TXN_9827245</t>
  </si>
  <si>
    <t>Item_25_EHE</t>
  </si>
  <si>
    <t>TXN_4731761</t>
  </si>
  <si>
    <t>Item_9_CEA</t>
  </si>
  <si>
    <t>TXN_8186195</t>
  </si>
  <si>
    <t>TXN_1536301</t>
  </si>
  <si>
    <t>TXN_4476611</t>
  </si>
  <si>
    <t>TXN_4547031</t>
  </si>
  <si>
    <t>TXN_6923046</t>
  </si>
  <si>
    <t>TXN_5461118</t>
  </si>
  <si>
    <t>TXN_8574406</t>
  </si>
  <si>
    <t>TXN_4459526</t>
  </si>
  <si>
    <t>TXN_7160998</t>
  </si>
  <si>
    <t>Item_1_CEA</t>
  </si>
  <si>
    <t>TXN_9684703</t>
  </si>
  <si>
    <t>TXN_8878269</t>
  </si>
  <si>
    <t>TXN_5481124</t>
  </si>
  <si>
    <t>Item_15_FUR</t>
  </si>
  <si>
    <t>TXN_3191741</t>
  </si>
  <si>
    <t>Item_15_PAT</t>
  </si>
  <si>
    <t>TXN_5072173</t>
  </si>
  <si>
    <t>TXN_5293933</t>
  </si>
  <si>
    <t>TXN_7801513</t>
  </si>
  <si>
    <t>Item_5_EHE</t>
  </si>
  <si>
    <t>Item_1_BEV</t>
  </si>
  <si>
    <t>TXN_1729525</t>
  </si>
  <si>
    <t>TXN_2593560</t>
  </si>
  <si>
    <t>TXN_6961502</t>
  </si>
  <si>
    <t>Item_17_BUT</t>
  </si>
  <si>
    <t>TXN_8817119</t>
  </si>
  <si>
    <t>TXN_5438923</t>
  </si>
  <si>
    <t>TXN_8714034</t>
  </si>
  <si>
    <t>TXN_5960646</t>
  </si>
  <si>
    <t>Item_3_BEV</t>
  </si>
  <si>
    <t>TXN_1839621</t>
  </si>
  <si>
    <t>TXN_5944361</t>
  </si>
  <si>
    <t>TXN_7159417</t>
  </si>
  <si>
    <t>Item_13_FOOD</t>
  </si>
  <si>
    <t>TXN_3759367</t>
  </si>
  <si>
    <t>TXN_1676564</t>
  </si>
  <si>
    <t>TXN_7493896</t>
  </si>
  <si>
    <t>Item_11_EHE</t>
  </si>
  <si>
    <t>Item_9_MILK</t>
  </si>
  <si>
    <t>TXN_2080115</t>
  </si>
  <si>
    <t>TXN_2634868</t>
  </si>
  <si>
    <t>TXN_9937190</t>
  </si>
  <si>
    <t>TXN_9222292</t>
  </si>
  <si>
    <t>TXN_5275517</t>
  </si>
  <si>
    <t>Item_17_FOOD</t>
  </si>
  <si>
    <t>TXN_5343433</t>
  </si>
  <si>
    <t>TXN_7425133</t>
  </si>
  <si>
    <t>Item_20_PAT</t>
  </si>
  <si>
    <t>TXN_8793391</t>
  </si>
  <si>
    <t>TXN_3357122</t>
  </si>
  <si>
    <t>TXN_8846811</t>
  </si>
  <si>
    <t>TXN_6576457</t>
  </si>
  <si>
    <t>Item_9_PAT</t>
  </si>
  <si>
    <t>TXN_4581475</t>
  </si>
  <si>
    <t>TXN_6582130</t>
  </si>
  <si>
    <t>TXN_2910621</t>
  </si>
  <si>
    <t>Item_10_BEV</t>
  </si>
  <si>
    <t>TXN_9627402</t>
  </si>
  <si>
    <t>Item_17_CEA</t>
  </si>
  <si>
    <t>TXN_5351535</t>
  </si>
  <si>
    <t>TXN_4435938</t>
  </si>
  <si>
    <t>Item_8_PAT</t>
  </si>
  <si>
    <t>TXN_9755626</t>
  </si>
  <si>
    <t>TXN_3842430</t>
  </si>
  <si>
    <t>TXN_1102128</t>
  </si>
  <si>
    <t>TXN_5823559</t>
  </si>
  <si>
    <t>TXN_6830801</t>
  </si>
  <si>
    <t>TXN_7480229</t>
  </si>
  <si>
    <t>TXN_9970141</t>
  </si>
  <si>
    <t>TXN_1841098</t>
  </si>
  <si>
    <t>TXN_3456177</t>
  </si>
  <si>
    <t>TXN_8870473</t>
  </si>
  <si>
    <t>Item_13_MILK</t>
  </si>
  <si>
    <t>TXN_9933625</t>
  </si>
  <si>
    <t>TXN_3668440</t>
  </si>
  <si>
    <t>TXN_4255841</t>
  </si>
  <si>
    <t>TXN_1795154</t>
  </si>
  <si>
    <t>TXN_3717384</t>
  </si>
  <si>
    <t>TXN_9616213</t>
  </si>
  <si>
    <t>TXN_6728454</t>
  </si>
  <si>
    <t>TXN_4322217</t>
  </si>
  <si>
    <t>TXN_2151215</t>
  </si>
  <si>
    <t>Item_5_BUT</t>
  </si>
  <si>
    <t>TXN_9987791</t>
  </si>
  <si>
    <t>Item_22_MILK</t>
  </si>
  <si>
    <t>TXN_9659532</t>
  </si>
  <si>
    <t>Item_4_FUR</t>
  </si>
  <si>
    <t>TXN_6596970</t>
  </si>
  <si>
    <t>TXN_1742336</t>
  </si>
  <si>
    <t>TXN_2232768</t>
  </si>
  <si>
    <t>TXN_4863238</t>
  </si>
  <si>
    <t>TXN_7222601</t>
  </si>
  <si>
    <t>TXN_7864933</t>
  </si>
  <si>
    <t>Item_17_BEV</t>
  </si>
  <si>
    <t>TXN_8228155</t>
  </si>
  <si>
    <t>TXN_8504691</t>
  </si>
  <si>
    <t>TXN_9440172</t>
  </si>
  <si>
    <t>TXN_7436006</t>
  </si>
  <si>
    <t>Item_19_PAT</t>
  </si>
  <si>
    <t>TXN_5434897</t>
  </si>
  <si>
    <t>Item_2_PAT</t>
  </si>
  <si>
    <t>TXN_9978418</t>
  </si>
  <si>
    <t>Item_14_BUT</t>
  </si>
  <si>
    <t>TXN_6660687</t>
  </si>
  <si>
    <t>TXN_7647224</t>
  </si>
  <si>
    <t>TXN_9671345</t>
  </si>
  <si>
    <t>Item_20_FUR</t>
  </si>
  <si>
    <t>TXN_6893703</t>
  </si>
  <si>
    <t>TXN_5224257</t>
  </si>
  <si>
    <t>Item_6_BUT</t>
  </si>
  <si>
    <t>TXN_7326092</t>
  </si>
  <si>
    <t>TXN_4657560</t>
  </si>
  <si>
    <t>TXN_6810161</t>
  </si>
  <si>
    <t>TXN_3107156</t>
  </si>
  <si>
    <t>TXN_2540525</t>
  </si>
  <si>
    <t>TXN_7595380</t>
  </si>
  <si>
    <t>Item_9_FUR</t>
  </si>
  <si>
    <t>TXN_9778912</t>
  </si>
  <si>
    <t>TXN_9228328</t>
  </si>
  <si>
    <t>TXN_8148435</t>
  </si>
  <si>
    <t>TXN_1325795</t>
  </si>
  <si>
    <t>TXN_9131959</t>
  </si>
  <si>
    <t>TXN_2755690</t>
  </si>
  <si>
    <t>Item_12_CEA</t>
  </si>
  <si>
    <t>TXN_6070296</t>
  </si>
  <si>
    <t>TXN_1694461</t>
  </si>
  <si>
    <t>TXN_4728272</t>
  </si>
  <si>
    <t>TXN_1213835</t>
  </si>
  <si>
    <t>TXN_3331644</t>
  </si>
  <si>
    <t>TXN_2605227</t>
  </si>
  <si>
    <t>TXN_2782829</t>
  </si>
  <si>
    <t>TXN_3253186</t>
  </si>
  <si>
    <t>TXN_5905211</t>
  </si>
  <si>
    <t>TXN_2937307</t>
  </si>
  <si>
    <t>TXN_2712285</t>
  </si>
  <si>
    <t>Item_15_EHE</t>
  </si>
  <si>
    <t>TXN_2079721</t>
  </si>
  <si>
    <t>TXN_5809744</t>
  </si>
  <si>
    <t>TXN_6567750</t>
  </si>
  <si>
    <t>TXN_6837444</t>
  </si>
  <si>
    <t>TXN_9307798</t>
  </si>
  <si>
    <t>TXN_8377166</t>
  </si>
  <si>
    <t>TXN_9027643</t>
  </si>
  <si>
    <t>Item_5_PAT</t>
  </si>
  <si>
    <t>TXN_5547887</t>
  </si>
  <si>
    <t>TXN_2009395</t>
  </si>
  <si>
    <t>Item_18_MILK</t>
  </si>
  <si>
    <t>TXN_7725571</t>
  </si>
  <si>
    <t>TXN_5827116</t>
  </si>
  <si>
    <t>TXN_5314835</t>
  </si>
  <si>
    <t>TXN_8172094</t>
  </si>
  <si>
    <t>TXN_4882798</t>
  </si>
  <si>
    <t>Item_6_FUR</t>
  </si>
  <si>
    <t>TXN_4283900</t>
  </si>
  <si>
    <t>Item_24_BEV</t>
  </si>
  <si>
    <t>TXN_1224321</t>
  </si>
  <si>
    <t>TXN_4879732</t>
  </si>
  <si>
    <t>TXN_1642953</t>
  </si>
  <si>
    <t>TXN_4602333</t>
  </si>
  <si>
    <t>Item_14_MILK</t>
  </si>
  <si>
    <t>TXN_4766175</t>
  </si>
  <si>
    <t>TXN_2331955</t>
  </si>
  <si>
    <t>TXN_1373649</t>
  </si>
  <si>
    <t>TXN_8660082</t>
  </si>
  <si>
    <t>TXN_4244094</t>
  </si>
  <si>
    <t>TXN_3949704</t>
  </si>
  <si>
    <t>TXN_1304201</t>
  </si>
  <si>
    <t>TXN_1481263</t>
  </si>
  <si>
    <t>TXN_3256316</t>
  </si>
  <si>
    <t>TXN_4412300</t>
  </si>
  <si>
    <t>TXN_8350639</t>
  </si>
  <si>
    <t>TXN_6417585</t>
  </si>
  <si>
    <t>TXN_8355393</t>
  </si>
  <si>
    <t>TXN_5759876</t>
  </si>
  <si>
    <t>TXN_5786761</t>
  </si>
  <si>
    <t>TXN_3055303</t>
  </si>
  <si>
    <t>TXN_3042204</t>
  </si>
  <si>
    <t>TXN_7810642</t>
  </si>
  <si>
    <t>TXN_1386229</t>
  </si>
  <si>
    <t>TXN_5372777</t>
  </si>
  <si>
    <t>TXN_2082706</t>
  </si>
  <si>
    <t>Item_12_FUR</t>
  </si>
  <si>
    <t>TXN_1808071</t>
  </si>
  <si>
    <t>TXN_2118429</t>
  </si>
  <si>
    <t>TXN_4793201</t>
  </si>
  <si>
    <t>TXN_1910565</t>
  </si>
  <si>
    <t>TXN_5645530</t>
  </si>
  <si>
    <t>TXN_7221565</t>
  </si>
  <si>
    <t>TXN_2175503</t>
  </si>
  <si>
    <t>TXN_3919101</t>
  </si>
  <si>
    <t>TXN_1987133</t>
  </si>
  <si>
    <t>TXN_9150129</t>
  </si>
  <si>
    <t>TXN_1011892</t>
  </si>
  <si>
    <t>TXN_5476321</t>
  </si>
  <si>
    <t>TXN_3525189</t>
  </si>
  <si>
    <t>TXN_5861199</t>
  </si>
  <si>
    <t>Item_18_BEV</t>
  </si>
  <si>
    <t>TXN_6215665</t>
  </si>
  <si>
    <t>TXN_7710775</t>
  </si>
  <si>
    <t>TXN_4701071</t>
  </si>
  <si>
    <t>TXN_1593038</t>
  </si>
  <si>
    <t>TXN_5423342</t>
  </si>
  <si>
    <t>TXN_2010040</t>
  </si>
  <si>
    <t>TXN_7308742</t>
  </si>
  <si>
    <t>TXN_4979615</t>
  </si>
  <si>
    <t>TXN_5115102</t>
  </si>
  <si>
    <t>Item_23_CEA</t>
  </si>
  <si>
    <t>TXN_4408493</t>
  </si>
  <si>
    <t>Item_24_EHE</t>
  </si>
  <si>
    <t>TXN_2263002</t>
  </si>
  <si>
    <t>TXN_5671217</t>
  </si>
  <si>
    <t>TXN_9763067</t>
  </si>
  <si>
    <t>TXN_1826446</t>
  </si>
  <si>
    <t>Item_2_EHE</t>
  </si>
  <si>
    <t>TXN_2275327</t>
  </si>
  <si>
    <t>TXN_3876653</t>
  </si>
  <si>
    <t>TXN_8090678</t>
  </si>
  <si>
    <t>TXN_7232230</t>
  </si>
  <si>
    <t>TXN_4797019</t>
  </si>
  <si>
    <t>TXN_6375385</t>
  </si>
  <si>
    <t>TXN_1243810</t>
  </si>
  <si>
    <t>TXN_9398224</t>
  </si>
  <si>
    <t>TXN_9044784</t>
  </si>
  <si>
    <t>TXN_5720404</t>
  </si>
  <si>
    <t>TXN_2533200</t>
  </si>
  <si>
    <t>TXN_9340286</t>
  </si>
  <si>
    <t>TXN_3242349</t>
  </si>
  <si>
    <t>TXN_9299802</t>
  </si>
  <si>
    <t>TXN_5371741</t>
  </si>
  <si>
    <t>TXN_7903686</t>
  </si>
  <si>
    <t>TXN_5381188</t>
  </si>
  <si>
    <t>TXN_9844205</t>
  </si>
  <si>
    <t>TXN_9443022</t>
  </si>
  <si>
    <t>TXN_2545845</t>
  </si>
  <si>
    <t>TXN_9793935</t>
  </si>
  <si>
    <t>TXN_1919020</t>
  </si>
  <si>
    <t>TXN_9972181</t>
  </si>
  <si>
    <t>TXN_4432365</t>
  </si>
  <si>
    <t>TXN_7305258</t>
  </si>
  <si>
    <t>Item_23_PAT</t>
  </si>
  <si>
    <t>TXN_8802743</t>
  </si>
  <si>
    <t>TXN_4759687</t>
  </si>
  <si>
    <t>TXN_7157580</t>
  </si>
  <si>
    <t>TXN_4249343</t>
  </si>
  <si>
    <t>TXN_6137503</t>
  </si>
  <si>
    <t>TXN_5300736</t>
  </si>
  <si>
    <t>TXN_1370562</t>
  </si>
  <si>
    <t>TXN_7327686</t>
  </si>
  <si>
    <t>TXN_6017693</t>
  </si>
  <si>
    <t>TXN_7165120</t>
  </si>
  <si>
    <t>TXN_9703848</t>
  </si>
  <si>
    <t>Item_15_FOOD</t>
  </si>
  <si>
    <t>TXN_2702011</t>
  </si>
  <si>
    <t>TXN_6364377</t>
  </si>
  <si>
    <t>TXN_8231762</t>
  </si>
  <si>
    <t>TXN_7101979</t>
  </si>
  <si>
    <t>TXN_6917255</t>
  </si>
  <si>
    <t>Item_8_FOOD</t>
  </si>
  <si>
    <t>TXN_3821185</t>
  </si>
  <si>
    <t>TXN_5773991</t>
  </si>
  <si>
    <t>TXN_8508384</t>
  </si>
  <si>
    <t>TXN_8994966</t>
  </si>
  <si>
    <t>TXN_4108548</t>
  </si>
  <si>
    <t>TXN_8781758</t>
  </si>
  <si>
    <t>TXN_5396051</t>
  </si>
  <si>
    <t>TXN_4766907</t>
  </si>
  <si>
    <t>TXN_4191425</t>
  </si>
  <si>
    <t>TXN_1721597</t>
  </si>
  <si>
    <t>TXN_8418594</t>
  </si>
  <si>
    <t>TXN_5430495</t>
  </si>
  <si>
    <t>TXN_8715323</t>
  </si>
  <si>
    <t>TXN_9730853</t>
  </si>
  <si>
    <t>TXN_4924226</t>
  </si>
  <si>
    <t>TXN_2086962</t>
  </si>
  <si>
    <t>TXN_3302248</t>
  </si>
  <si>
    <t>TXN_7830284</t>
  </si>
  <si>
    <t>TXN_8466219</t>
  </si>
  <si>
    <t>TXN_6321123</t>
  </si>
  <si>
    <t>TXN_4825724</t>
  </si>
  <si>
    <t>TXN_9634891</t>
  </si>
  <si>
    <t>TXN_6889696</t>
  </si>
  <si>
    <t>TXN_7543333</t>
  </si>
  <si>
    <t>TXN_4396240</t>
  </si>
  <si>
    <t>TXN_3375368</t>
  </si>
  <si>
    <t>TXN_2975097</t>
  </si>
  <si>
    <t>TXN_9586952</t>
  </si>
  <si>
    <t>TXN_3575121</t>
  </si>
  <si>
    <t>TXN_3686072</t>
  </si>
  <si>
    <t>TXN_1745446</t>
  </si>
  <si>
    <t>TXN_1909877</t>
  </si>
  <si>
    <t>TXN_8629942</t>
  </si>
  <si>
    <t>TXN_6357302</t>
  </si>
  <si>
    <t>Item_15_BEV</t>
  </si>
  <si>
    <t>TXN_8755760</t>
  </si>
  <si>
    <t>TXN_5750056</t>
  </si>
  <si>
    <t>TXN_7435444</t>
  </si>
  <si>
    <t>TXN_3812949</t>
  </si>
  <si>
    <t>TXN_3743264</t>
  </si>
  <si>
    <t>Item_20_MILK</t>
  </si>
  <si>
    <t>TXN_2199268</t>
  </si>
  <si>
    <t>TXN_7472110</t>
  </si>
  <si>
    <t>TXN_8360887</t>
  </si>
  <si>
    <t>TXN_5926927</t>
  </si>
  <si>
    <t>TXN_2845414</t>
  </si>
  <si>
    <t>TXN_2231888</t>
  </si>
  <si>
    <t>TXN_3603496</t>
  </si>
  <si>
    <t>TXN_7423131</t>
  </si>
  <si>
    <t>TXN_1176248</t>
  </si>
  <si>
    <t>TXN_6490027</t>
  </si>
  <si>
    <t>TXN_2633712</t>
  </si>
  <si>
    <t>TXN_4452566</t>
  </si>
  <si>
    <t>TXN_3245999</t>
  </si>
  <si>
    <t>TXN_7101386</t>
  </si>
  <si>
    <t>TXN_9141699</t>
  </si>
  <si>
    <t>TXN_8376834</t>
  </si>
  <si>
    <t>TXN_9976272</t>
  </si>
  <si>
    <t>TXN_2683845</t>
  </si>
  <si>
    <t>TXN_1076536</t>
  </si>
  <si>
    <t>TXN_1196570</t>
  </si>
  <si>
    <t>TXN_9441688</t>
  </si>
  <si>
    <t>TXN_1126177</t>
  </si>
  <si>
    <t>TXN_1232531</t>
  </si>
  <si>
    <t>TXN_8266591</t>
  </si>
  <si>
    <t>TXN_8073779</t>
  </si>
  <si>
    <t>TXN_8261937</t>
  </si>
  <si>
    <t>TXN_3617161</t>
  </si>
  <si>
    <t>TXN_6684210</t>
  </si>
  <si>
    <t>Item_9_EHE</t>
  </si>
  <si>
    <t>TXN_2693158</t>
  </si>
  <si>
    <t>TXN_9205349</t>
  </si>
  <si>
    <t>TXN_7263862</t>
  </si>
  <si>
    <t>TXN_9293724</t>
  </si>
  <si>
    <t>TXN_8674901</t>
  </si>
  <si>
    <t>TXN_1537702</t>
  </si>
  <si>
    <t>TXN_3910370</t>
  </si>
  <si>
    <t>TXN_3549273</t>
  </si>
  <si>
    <t>TXN_6746331</t>
  </si>
  <si>
    <t>TXN_3404023</t>
  </si>
  <si>
    <t>Item_11_BUT</t>
  </si>
  <si>
    <t>TXN_7604627</t>
  </si>
  <si>
    <t>TXN_5912161</t>
  </si>
  <si>
    <t>TXN_8490314</t>
  </si>
  <si>
    <t>TXN_2217907</t>
  </si>
  <si>
    <t>TXN_5986313</t>
  </si>
  <si>
    <t>TXN_6964259</t>
  </si>
  <si>
    <t>TXN_2012246</t>
  </si>
  <si>
    <t>TXN_5292453</t>
  </si>
  <si>
    <t>TXN_3747046</t>
  </si>
  <si>
    <t>Item_18_EHE</t>
  </si>
  <si>
    <t>TXN_5563947</t>
  </si>
  <si>
    <t>TXN_8839706</t>
  </si>
  <si>
    <t>TXN_1778326</t>
  </si>
  <si>
    <t>TXN_2119388</t>
  </si>
  <si>
    <t>TXN_8707599</t>
  </si>
  <si>
    <t>TXN_9429754</t>
  </si>
  <si>
    <t>TXN_1750091</t>
  </si>
  <si>
    <t>TXN_1101287</t>
  </si>
  <si>
    <t>TXN_8972051</t>
  </si>
  <si>
    <t>TXN_9906990</t>
  </si>
  <si>
    <t>TXN_6829985</t>
  </si>
  <si>
    <t>TXN_6375821</t>
  </si>
  <si>
    <t>Item_5_MILK</t>
  </si>
  <si>
    <t>TXN_9749789</t>
  </si>
  <si>
    <t>TXN_7796666</t>
  </si>
  <si>
    <t>TXN_8608354</t>
  </si>
  <si>
    <t>TXN_1036311</t>
  </si>
  <si>
    <t>TXN_5896151</t>
  </si>
  <si>
    <t>TXN_1157052</t>
  </si>
  <si>
    <t>TXN_5381793</t>
  </si>
  <si>
    <t>Item_3_FUR</t>
  </si>
  <si>
    <t>TXN_3197907</t>
  </si>
  <si>
    <t>TXN_9891054</t>
  </si>
  <si>
    <t>TXN_7359436</t>
  </si>
  <si>
    <t>TXN_3615491</t>
  </si>
  <si>
    <t>TXN_5238211</t>
  </si>
  <si>
    <t>TXN_2861834</t>
  </si>
  <si>
    <t>TXN_3299143</t>
  </si>
  <si>
    <t>TXN_1350410</t>
  </si>
  <si>
    <t>TXN_7958601</t>
  </si>
  <si>
    <t>TXN_1151406</t>
  </si>
  <si>
    <t>Item_19_BUT</t>
  </si>
  <si>
    <t>TXN_1358761</t>
  </si>
  <si>
    <t>TXN_5805061</t>
  </si>
  <si>
    <t>TXN_3009822</t>
  </si>
  <si>
    <t>TXN_4836949</t>
  </si>
  <si>
    <t>TXN_7558362</t>
  </si>
  <si>
    <t>TXN_2550629</t>
  </si>
  <si>
    <t>TXN_1476715</t>
  </si>
  <si>
    <t>TXN_5653387</t>
  </si>
  <si>
    <t>TXN_8819433</t>
  </si>
  <si>
    <t>TXN_9998575</t>
  </si>
  <si>
    <t>TXN_8519777</t>
  </si>
  <si>
    <t>TXN_7797790</t>
  </si>
  <si>
    <t>TXN_3184832</t>
  </si>
  <si>
    <t>TXN_7741209</t>
  </si>
  <si>
    <t>TXN_4077794</t>
  </si>
  <si>
    <t>TXN_3292575</t>
  </si>
  <si>
    <t>TXN_6959357</t>
  </si>
  <si>
    <t>TXN_5532386</t>
  </si>
  <si>
    <t>TXN_4242577</t>
  </si>
  <si>
    <t>TXN_2251911</t>
  </si>
  <si>
    <t>TXN_4034256</t>
  </si>
  <si>
    <t>TXN_8491772</t>
  </si>
  <si>
    <t>TXN_3986908</t>
  </si>
  <si>
    <t>TXN_4848504</t>
  </si>
  <si>
    <t>TXN_3238663</t>
  </si>
  <si>
    <t>TXN_7467332</t>
  </si>
  <si>
    <t>TXN_7821157</t>
  </si>
  <si>
    <t>TXN_5510641</t>
  </si>
  <si>
    <t>TXN_1623314</t>
  </si>
  <si>
    <t>TXN_9269245</t>
  </si>
  <si>
    <t>TXN_8785418</t>
  </si>
  <si>
    <t>TXN_8224848</t>
  </si>
  <si>
    <t>Item_3_CEA</t>
  </si>
  <si>
    <t>TXN_6166688</t>
  </si>
  <si>
    <t>TXN_9951016</t>
  </si>
  <si>
    <t>TXN_4956767</t>
  </si>
  <si>
    <t>TXN_1392217</t>
  </si>
  <si>
    <t>TXN_8507665</t>
  </si>
  <si>
    <t>TXN_7837225</t>
  </si>
  <si>
    <t>Item_19_FUR</t>
  </si>
  <si>
    <t>TXN_6598320</t>
  </si>
  <si>
    <t>TXN_9170556</t>
  </si>
  <si>
    <t>TXN_8863568</t>
  </si>
  <si>
    <t>TXN_9077506</t>
  </si>
  <si>
    <t>TXN_1256115</t>
  </si>
  <si>
    <t>TXN_7425088</t>
  </si>
  <si>
    <t>TXN_3757243</t>
  </si>
  <si>
    <t>Item_7_MILK</t>
  </si>
  <si>
    <t>TXN_1011915</t>
  </si>
  <si>
    <t>TXN_5703677</t>
  </si>
  <si>
    <t>TXN_5598006</t>
  </si>
  <si>
    <t>TXN_4438498</t>
  </si>
  <si>
    <t>TXN_9898312</t>
  </si>
  <si>
    <t>TXN_2914395</t>
  </si>
  <si>
    <t>Item_9_BEV</t>
  </si>
  <si>
    <t>TXN_2192964</t>
  </si>
  <si>
    <t>TXN_5157703</t>
  </si>
  <si>
    <t>TXN_9861104</t>
  </si>
  <si>
    <t>TXN_2641403</t>
  </si>
  <si>
    <t>TXN_8263646</t>
  </si>
  <si>
    <t>TXN_1713611</t>
  </si>
  <si>
    <t>TXN_2266101</t>
  </si>
  <si>
    <t>Item_10_BUT</t>
  </si>
  <si>
    <t>TXN_2880856</t>
  </si>
  <si>
    <t>TXN_8948224</t>
  </si>
  <si>
    <t>TXN_6311622</t>
  </si>
  <si>
    <t>TXN_4879594</t>
  </si>
  <si>
    <t>TXN_4274209</t>
  </si>
  <si>
    <t>TXN_6178045</t>
  </si>
  <si>
    <t>TXN_8568584</t>
  </si>
  <si>
    <t>TXN_5518578</t>
  </si>
  <si>
    <t>Item_18_FUR</t>
  </si>
  <si>
    <t>TXN_6625191</t>
  </si>
  <si>
    <t>TXN_2259360</t>
  </si>
  <si>
    <t>TXN_5276201</t>
  </si>
  <si>
    <t>TXN_4785966</t>
  </si>
  <si>
    <t>TXN_8377286</t>
  </si>
  <si>
    <t>TXN_2789621</t>
  </si>
  <si>
    <t>Item_25_MILK</t>
  </si>
  <si>
    <t>TXN_8578826</t>
  </si>
  <si>
    <t>TXN_9212341</t>
  </si>
  <si>
    <t>TXN_1587097</t>
  </si>
  <si>
    <t>TXN_3636688</t>
  </si>
  <si>
    <t>TXN_8423309</t>
  </si>
  <si>
    <t>TXN_1770062</t>
  </si>
  <si>
    <t>TXN_4344002</t>
  </si>
  <si>
    <t>TXN_4161318</t>
  </si>
  <si>
    <t>TXN_8660754</t>
  </si>
  <si>
    <t>TXN_5283643</t>
  </si>
  <si>
    <t>TXN_5401680</t>
  </si>
  <si>
    <t>TXN_6461094</t>
  </si>
  <si>
    <t>TXN_2411071</t>
  </si>
  <si>
    <t>TXN_1898388</t>
  </si>
  <si>
    <t>TXN_1787892</t>
  </si>
  <si>
    <t>TXN_1426923</t>
  </si>
  <si>
    <t>TXN_7988578</t>
  </si>
  <si>
    <t>TXN_7642752</t>
  </si>
  <si>
    <t>TXN_5676229</t>
  </si>
  <si>
    <t>TXN_4235666</t>
  </si>
  <si>
    <t>TXN_7633119</t>
  </si>
  <si>
    <t>TXN_3833413</t>
  </si>
  <si>
    <t>Item_4_BUT</t>
  </si>
  <si>
    <t>TXN_7085000</t>
  </si>
  <si>
    <t>TXN_9925623</t>
  </si>
  <si>
    <t>TXN_6287957</t>
  </si>
  <si>
    <t>TXN_7166849</t>
  </si>
  <si>
    <t>TXN_3818660</t>
  </si>
  <si>
    <t>TXN_3470552</t>
  </si>
  <si>
    <t>TXN_8262433</t>
  </si>
  <si>
    <t>TXN_7829206</t>
  </si>
  <si>
    <t>TXN_9922518</t>
  </si>
  <si>
    <t>TXN_9250241</t>
  </si>
  <si>
    <t>TXN_9218611</t>
  </si>
  <si>
    <t>TXN_2165118</t>
  </si>
  <si>
    <t>TXN_1772882</t>
  </si>
  <si>
    <t>TXN_7477131</t>
  </si>
  <si>
    <t>TXN_3294951</t>
  </si>
  <si>
    <t>TXN_9568940</t>
  </si>
  <si>
    <t>TXN_2508784</t>
  </si>
  <si>
    <t>TXN_9196494</t>
  </si>
  <si>
    <t>TXN_5298533</t>
  </si>
  <si>
    <t>TXN_4777165</t>
  </si>
  <si>
    <t>TXN_1231953</t>
  </si>
  <si>
    <t>TXN_7547051</t>
  </si>
  <si>
    <t>TXN_4162114</t>
  </si>
  <si>
    <t>TXN_4874732</t>
  </si>
  <si>
    <t>TXN_5086683</t>
  </si>
  <si>
    <t>TXN_7021336</t>
  </si>
  <si>
    <t>TXN_2059563</t>
  </si>
  <si>
    <t>TXN_1497345</t>
  </si>
  <si>
    <t>TXN_1277309</t>
  </si>
  <si>
    <t>TXN_3803930</t>
  </si>
  <si>
    <t>TXN_3514548</t>
  </si>
  <si>
    <t>TXN_2706063</t>
  </si>
  <si>
    <t>TXN_1465531</t>
  </si>
  <si>
    <t>TXN_6666458</t>
  </si>
  <si>
    <t>TXN_9941031</t>
  </si>
  <si>
    <t>TXN_5747894</t>
  </si>
  <si>
    <t>TXN_8847569</t>
  </si>
  <si>
    <t>TXN_1662766</t>
  </si>
  <si>
    <t>TXN_6276011</t>
  </si>
  <si>
    <t>TXN_5038261</t>
  </si>
  <si>
    <t>TXN_4954934</t>
  </si>
  <si>
    <t>TXN_3032195</t>
  </si>
  <si>
    <t>Item_15_BUT</t>
  </si>
  <si>
    <t>TXN_9535889</t>
  </si>
  <si>
    <t>TXN_6950644</t>
  </si>
  <si>
    <t>TXN_6375978</t>
  </si>
  <si>
    <t>TXN_5403498</t>
  </si>
  <si>
    <t>TXN_6255024</t>
  </si>
  <si>
    <t>TXN_9094922</t>
  </si>
  <si>
    <t>TXN_3928788</t>
  </si>
  <si>
    <t>TXN_2306841</t>
  </si>
  <si>
    <t>TXN_4176444</t>
  </si>
  <si>
    <t>TXN_6651280</t>
  </si>
  <si>
    <t>TXN_5085529</t>
  </si>
  <si>
    <t>TXN_7459810</t>
  </si>
  <si>
    <t>TXN_9834766</t>
  </si>
  <si>
    <t>TXN_3051299</t>
  </si>
  <si>
    <t>TXN_5276329</t>
  </si>
  <si>
    <t>TXN_9472056</t>
  </si>
  <si>
    <t>TXN_9328530</t>
  </si>
  <si>
    <t>TXN_9442074</t>
  </si>
  <si>
    <t>TXN_1860632</t>
  </si>
  <si>
    <t>TXN_8655596</t>
  </si>
  <si>
    <t>TXN_7516693</t>
  </si>
  <si>
    <t>TXN_9501990</t>
  </si>
  <si>
    <t>TXN_6616600</t>
  </si>
  <si>
    <t>TXN_4494866</t>
  </si>
  <si>
    <t>TXN_1530750</t>
  </si>
  <si>
    <t>TXN_8866685</t>
  </si>
  <si>
    <t>TXN_2985819</t>
  </si>
  <si>
    <t>TXN_9803487</t>
  </si>
  <si>
    <t>TXN_5726935</t>
  </si>
  <si>
    <t>TXN_9012270</t>
  </si>
  <si>
    <t>TXN_5684370</t>
  </si>
  <si>
    <t>TXN_8625922</t>
  </si>
  <si>
    <t>TXN_6490751</t>
  </si>
  <si>
    <t>TXN_7481579</t>
  </si>
  <si>
    <t>TXN_3958182</t>
  </si>
  <si>
    <t>TXN_9855768</t>
  </si>
  <si>
    <t>TXN_9442836</t>
  </si>
  <si>
    <t>TXN_1846815</t>
  </si>
  <si>
    <t>TXN_1909410</t>
  </si>
  <si>
    <t>Item_21_PAT</t>
  </si>
  <si>
    <t>TXN_9619819</t>
  </si>
  <si>
    <t>TXN_2081389</t>
  </si>
  <si>
    <t>TXN_7417646</t>
  </si>
  <si>
    <t>TXN_5674806</t>
  </si>
  <si>
    <t>TXN_4524072</t>
  </si>
  <si>
    <t>TXN_8789507</t>
  </si>
  <si>
    <t>TXN_7757078</t>
  </si>
  <si>
    <t>TXN_4635088</t>
  </si>
  <si>
    <t>TXN_5398868</t>
  </si>
  <si>
    <t>TXN_8378613</t>
  </si>
  <si>
    <t>TXN_6202481</t>
  </si>
  <si>
    <t>Item_21_FOOD</t>
  </si>
  <si>
    <t>TXN_8796421</t>
  </si>
  <si>
    <t>TXN_4358862</t>
  </si>
  <si>
    <t>TXN_2539807</t>
  </si>
  <si>
    <t>TXN_1273334</t>
  </si>
  <si>
    <t>TXN_3076324</t>
  </si>
  <si>
    <t>TXN_6185567</t>
  </si>
  <si>
    <t>TXN_8267845</t>
  </si>
  <si>
    <t>TXN_6619000</t>
  </si>
  <si>
    <t>TXN_3042689</t>
  </si>
  <si>
    <t>TXN_4764571</t>
  </si>
  <si>
    <t>TXN_5028536</t>
  </si>
  <si>
    <t>TXN_3776622</t>
  </si>
  <si>
    <t>TXN_7969813</t>
  </si>
  <si>
    <t>TXN_1202644</t>
  </si>
  <si>
    <t>TXN_4222025</t>
  </si>
  <si>
    <t>TXN_4050560</t>
  </si>
  <si>
    <t>TXN_6606292</t>
  </si>
  <si>
    <t>TXN_8048817</t>
  </si>
  <si>
    <t>TXN_8735696</t>
  </si>
  <si>
    <t>TXN_7978024</t>
  </si>
  <si>
    <t>TXN_4351976</t>
  </si>
  <si>
    <t>TXN_9212134</t>
  </si>
  <si>
    <t>TXN_6309225</t>
  </si>
  <si>
    <t>TXN_2844489</t>
  </si>
  <si>
    <t>TXN_9555119</t>
  </si>
  <si>
    <t>TXN_6589273</t>
  </si>
  <si>
    <t>TXN_4109801</t>
  </si>
  <si>
    <t>TXN_2453867</t>
  </si>
  <si>
    <t>TXN_1896794</t>
  </si>
  <si>
    <t>TXN_2208386</t>
  </si>
  <si>
    <t>TXN_3778032</t>
  </si>
  <si>
    <t>TXN_8514175</t>
  </si>
  <si>
    <t>TXN_2764427</t>
  </si>
  <si>
    <t>TXN_6731052</t>
  </si>
  <si>
    <t>TXN_8892083</t>
  </si>
  <si>
    <t>TXN_2111400</t>
  </si>
  <si>
    <t>TXN_1828172</t>
  </si>
  <si>
    <t>TXN_8377623</t>
  </si>
  <si>
    <t>TXN_5374169</t>
  </si>
  <si>
    <t>TXN_4610549</t>
  </si>
  <si>
    <t>TXN_3301574</t>
  </si>
  <si>
    <t>Item_13_BEV</t>
  </si>
  <si>
    <t>TXN_3372645</t>
  </si>
  <si>
    <t>TXN_5259345</t>
  </si>
  <si>
    <t>TXN_9181921</t>
  </si>
  <si>
    <t>TXN_2157777</t>
  </si>
  <si>
    <t>TXN_3779677</t>
  </si>
  <si>
    <t>TXN_7976109</t>
  </si>
  <si>
    <t>TXN_3308490</t>
  </si>
  <si>
    <t>TXN_2107995</t>
  </si>
  <si>
    <t>TXN_4963384</t>
  </si>
  <si>
    <t>TXN_8025714</t>
  </si>
  <si>
    <t>TXN_9315060</t>
  </si>
  <si>
    <t>TXN_6981363</t>
  </si>
  <si>
    <t>TXN_2694632</t>
  </si>
  <si>
    <t>TXN_3056691</t>
  </si>
  <si>
    <t>TXN_9835267</t>
  </si>
  <si>
    <t>TXN_1634027</t>
  </si>
  <si>
    <t>TXN_6095170</t>
  </si>
  <si>
    <t>TXN_7551798</t>
  </si>
  <si>
    <t>TXN_2558370</t>
  </si>
  <si>
    <t>TXN_6431534</t>
  </si>
  <si>
    <t>Item_5_BEV</t>
  </si>
  <si>
    <t>Item_3_PAT</t>
  </si>
  <si>
    <t>TXN_6587636</t>
  </si>
  <si>
    <t>TXN_3951114</t>
  </si>
  <si>
    <t>TXN_4751128</t>
  </si>
  <si>
    <t>TXN_2085114</t>
  </si>
  <si>
    <t>TXN_6265170</t>
  </si>
  <si>
    <t>TXN_1690344</t>
  </si>
  <si>
    <t>TXN_6781800</t>
  </si>
  <si>
    <t>TXN_2145753</t>
  </si>
  <si>
    <t>TXN_5660916</t>
  </si>
  <si>
    <t>TXN_9418798</t>
  </si>
  <si>
    <t>TXN_1414376</t>
  </si>
  <si>
    <t>TXN_9015176</t>
  </si>
  <si>
    <t>TXN_6699706</t>
  </si>
  <si>
    <t>TXN_5893458</t>
  </si>
  <si>
    <t>TXN_3564962</t>
  </si>
  <si>
    <t>TXN_9824009</t>
  </si>
  <si>
    <t>TXN_2399606</t>
  </si>
  <si>
    <t>TXN_1695036</t>
  </si>
  <si>
    <t>TXN_7414120</t>
  </si>
  <si>
    <t>Item_13_FUR</t>
  </si>
  <si>
    <t>TXN_9229474</t>
  </si>
  <si>
    <t>TXN_6445701</t>
  </si>
  <si>
    <t>TXN_4375152</t>
  </si>
  <si>
    <t>TXN_8936010</t>
  </si>
  <si>
    <t>TXN_5338975</t>
  </si>
  <si>
    <t>TXN_6039588</t>
  </si>
  <si>
    <t>TXN_1490410</t>
  </si>
  <si>
    <t>TXN_4740089</t>
  </si>
  <si>
    <t>TXN_7268120</t>
  </si>
  <si>
    <t>TXN_5078259</t>
  </si>
  <si>
    <t>TXN_9601122</t>
  </si>
  <si>
    <t>TXN_1793827</t>
  </si>
  <si>
    <t>TXN_4715095</t>
  </si>
  <si>
    <t>TXN_7094868</t>
  </si>
  <si>
    <t>TXN_5937987</t>
  </si>
  <si>
    <t>TXN_5012256</t>
  </si>
  <si>
    <t>TXN_5848699</t>
  </si>
  <si>
    <t>TXN_5485024</t>
  </si>
  <si>
    <t>TXN_5703980</t>
  </si>
  <si>
    <t>TXN_5777361</t>
  </si>
  <si>
    <t>TXN_3736146</t>
  </si>
  <si>
    <t>TXN_3259882</t>
  </si>
  <si>
    <t>TXN_9284796</t>
  </si>
  <si>
    <t>TXN_4830417</t>
  </si>
  <si>
    <t>TXN_9090610</t>
  </si>
  <si>
    <t>TXN_6485374</t>
  </si>
  <si>
    <t>Item_18_PAT</t>
  </si>
  <si>
    <t>TXN_1395136</t>
  </si>
  <si>
    <t>TXN_5119926</t>
  </si>
  <si>
    <t>TXN_7221106</t>
  </si>
  <si>
    <t>TXN_9362588</t>
  </si>
  <si>
    <t>TXN_4903332</t>
  </si>
  <si>
    <t>TXN_6555691</t>
  </si>
  <si>
    <t>TXN_7410836</t>
  </si>
  <si>
    <t>TXN_2075749</t>
  </si>
  <si>
    <t>TXN_9183760</t>
  </si>
  <si>
    <t>TXN_6339700</t>
  </si>
  <si>
    <t>TXN_5286530</t>
  </si>
  <si>
    <t>TXN_5565868</t>
  </si>
  <si>
    <t>TXN_1921846</t>
  </si>
  <si>
    <t>TXN_4662950</t>
  </si>
  <si>
    <t>TXN_6152928</t>
  </si>
  <si>
    <t>TXN_4293234</t>
  </si>
  <si>
    <t>TXN_1479772</t>
  </si>
  <si>
    <t>TXN_3024691</t>
  </si>
  <si>
    <t>TXN_1611768</t>
  </si>
  <si>
    <t>TXN_1992937</t>
  </si>
  <si>
    <t>TXN_2734006</t>
  </si>
  <si>
    <t>TXN_6085136</t>
  </si>
  <si>
    <t>TXN_6208291</t>
  </si>
  <si>
    <t>TXN_9397356</t>
  </si>
  <si>
    <t>TXN_3228853</t>
  </si>
  <si>
    <t>TXN_9904612</t>
  </si>
  <si>
    <t>TXN_8552732</t>
  </si>
  <si>
    <t>TXN_7202102</t>
  </si>
  <si>
    <t>TXN_3692324</t>
  </si>
  <si>
    <t>TXN_8170651</t>
  </si>
  <si>
    <t>TXN_2155063</t>
  </si>
  <si>
    <t>TXN_4498044</t>
  </si>
  <si>
    <t>TXN_9297266</t>
  </si>
  <si>
    <t>TXN_6749563</t>
  </si>
  <si>
    <t>TXN_5426061</t>
  </si>
  <si>
    <t>TXN_4742105</t>
  </si>
  <si>
    <t>TXN_9188702</t>
  </si>
  <si>
    <t>TXN_2996741</t>
  </si>
  <si>
    <t>TXN_6195176</t>
  </si>
  <si>
    <t>TXN_3032775</t>
  </si>
  <si>
    <t>TXN_3624582</t>
  </si>
  <si>
    <t>TXN_8534609</t>
  </si>
  <si>
    <t>TXN_7393477</t>
  </si>
  <si>
    <t>TXN_5507888</t>
  </si>
  <si>
    <t>TXN_6497599</t>
  </si>
  <si>
    <t>TXN_5733731</t>
  </si>
  <si>
    <t>TXN_1374421</t>
  </si>
  <si>
    <t>TXN_9179801</t>
  </si>
  <si>
    <t>TXN_7133375</t>
  </si>
  <si>
    <t>TXN_9534913</t>
  </si>
  <si>
    <t>TXN_4782357</t>
  </si>
  <si>
    <t>TXN_5504057</t>
  </si>
  <si>
    <t>TXN_8655955</t>
  </si>
  <si>
    <t>TXN_2592687</t>
  </si>
  <si>
    <t>TXN_7729747</t>
  </si>
  <si>
    <t>TXN_6562987</t>
  </si>
  <si>
    <t>TXN_2283214</t>
  </si>
  <si>
    <t>TXN_7728635</t>
  </si>
  <si>
    <t>TXN_7239144</t>
  </si>
  <si>
    <t>TXN_6191176</t>
  </si>
  <si>
    <t>TXN_5268893</t>
  </si>
  <si>
    <t>TXN_9147712</t>
  </si>
  <si>
    <t>TXN_5014165</t>
  </si>
  <si>
    <t>TXN_9435490</t>
  </si>
  <si>
    <t>TXN_1467177</t>
  </si>
  <si>
    <t>TXN_1498944</t>
  </si>
  <si>
    <t>TXN_4323023</t>
  </si>
  <si>
    <t>TXN_4620886</t>
  </si>
  <si>
    <t>TXN_5119763</t>
  </si>
  <si>
    <t>TXN_5624506</t>
  </si>
  <si>
    <t>TXN_1007406</t>
  </si>
  <si>
    <t>TXN_6881262</t>
  </si>
  <si>
    <t>TXN_1521020</t>
  </si>
  <si>
    <t>TXN_4219882</t>
  </si>
  <si>
    <t>TXN_5847493</t>
  </si>
  <si>
    <t>TXN_9185169</t>
  </si>
  <si>
    <t>TXN_2984585</t>
  </si>
  <si>
    <t>TXN_3218155</t>
  </si>
  <si>
    <t>TXN_7855916</t>
  </si>
  <si>
    <t>TXN_6593940</t>
  </si>
  <si>
    <t>TXN_2883529</t>
  </si>
  <si>
    <t>TXN_1320747</t>
  </si>
  <si>
    <t>TXN_1543544</t>
  </si>
  <si>
    <t>TXN_8245994</t>
  </si>
  <si>
    <t>TXN_7683878</t>
  </si>
  <si>
    <t>TXN_7989495</t>
  </si>
  <si>
    <t>TXN_2521668</t>
  </si>
  <si>
    <t>TXN_5859843</t>
  </si>
  <si>
    <t>TXN_4298643</t>
  </si>
  <si>
    <t>TXN_2262639</t>
  </si>
  <si>
    <t>TXN_5034932</t>
  </si>
  <si>
    <t>TXN_5399331</t>
  </si>
  <si>
    <t>TXN_5473549</t>
  </si>
  <si>
    <t>TXN_8022355</t>
  </si>
  <si>
    <t>TXN_8898496</t>
  </si>
  <si>
    <t>TXN_2374475</t>
  </si>
  <si>
    <t>TXN_5877044</t>
  </si>
  <si>
    <t>TXN_4799944</t>
  </si>
  <si>
    <t>TXN_2177659</t>
  </si>
  <si>
    <t>TXN_1930172</t>
  </si>
  <si>
    <t>TXN_4348674</t>
  </si>
  <si>
    <t>TXN_9358684</t>
  </si>
  <si>
    <t>TXN_6289960</t>
  </si>
  <si>
    <t>TXN_4376968</t>
  </si>
  <si>
    <t>TXN_2943718</t>
  </si>
  <si>
    <t>TXN_3651432</t>
  </si>
  <si>
    <t>TXN_4271465</t>
  </si>
  <si>
    <t>TXN_2159908</t>
  </si>
  <si>
    <t>TXN_3985056</t>
  </si>
  <si>
    <t>TXN_2889258</t>
  </si>
  <si>
    <t>TXN_4909298</t>
  </si>
  <si>
    <t>TXN_3979567</t>
  </si>
  <si>
    <t>TXN_8071580</t>
  </si>
  <si>
    <t>TXN_1726200</t>
  </si>
  <si>
    <t>TXN_6462908</t>
  </si>
  <si>
    <t>TXN_9922695</t>
  </si>
  <si>
    <t>TXN_3333623</t>
  </si>
  <si>
    <t>TXN_2242368</t>
  </si>
  <si>
    <t>TXN_8962338</t>
  </si>
  <si>
    <t>TXN_1031335</t>
  </si>
  <si>
    <t>TXN_1375951</t>
  </si>
  <si>
    <t>TXN_9229067</t>
  </si>
  <si>
    <t>TXN_1271965</t>
  </si>
  <si>
    <t>TXN_1575979</t>
  </si>
  <si>
    <t>TXN_6281250</t>
  </si>
  <si>
    <t>TXN_5636940</t>
  </si>
  <si>
    <t>TXN_2472483</t>
  </si>
  <si>
    <t>TXN_7633588</t>
  </si>
  <si>
    <t>TXN_7686075</t>
  </si>
  <si>
    <t>TXN_6621370</t>
  </si>
  <si>
    <t>TXN_1135450</t>
  </si>
  <si>
    <t>TXN_2275670</t>
  </si>
  <si>
    <t>TXN_8169977</t>
  </si>
  <si>
    <t>TXN_4990516</t>
  </si>
  <si>
    <t>TXN_2269494</t>
  </si>
  <si>
    <t>TXN_7473324</t>
  </si>
  <si>
    <t>TXN_2601626</t>
  </si>
  <si>
    <t>TXN_7995037</t>
  </si>
  <si>
    <t>TXN_4251424</t>
  </si>
  <si>
    <t>TXN_2328957</t>
  </si>
  <si>
    <t>TXN_1938135</t>
  </si>
  <si>
    <t>TXN_8086025</t>
  </si>
  <si>
    <t>TXN_7196109</t>
  </si>
  <si>
    <t>TXN_1173263</t>
  </si>
  <si>
    <t>TXN_2424303</t>
  </si>
  <si>
    <t>TXN_3073415</t>
  </si>
  <si>
    <t>TXN_8304885</t>
  </si>
  <si>
    <t>TXN_2688839</t>
  </si>
  <si>
    <t>TXN_8033989</t>
  </si>
  <si>
    <t>TXN_4499063</t>
  </si>
  <si>
    <t>TXN_6084238</t>
  </si>
  <si>
    <t>TXN_9717005</t>
  </si>
  <si>
    <t>TXN_1086487</t>
  </si>
  <si>
    <t>TXN_4091555</t>
  </si>
  <si>
    <t>TXN_5472933</t>
  </si>
  <si>
    <t>TXN_8756781</t>
  </si>
  <si>
    <t>TXN_4942365</t>
  </si>
  <si>
    <t>TXN_3571860</t>
  </si>
  <si>
    <t>TXN_1021886</t>
  </si>
  <si>
    <t>TXN_4349417</t>
  </si>
  <si>
    <t>TXN_2734987</t>
  </si>
  <si>
    <t>TXN_2992467</t>
  </si>
  <si>
    <t>TXN_7349078</t>
  </si>
  <si>
    <t>TXN_9972948</t>
  </si>
  <si>
    <t>TXN_8520397</t>
  </si>
  <si>
    <t>TXN_1324362</t>
  </si>
  <si>
    <t>TXN_2025713</t>
  </si>
  <si>
    <t>TXN_3748778</t>
  </si>
  <si>
    <t>TXN_7446233</t>
  </si>
  <si>
    <t>TXN_6457805</t>
  </si>
  <si>
    <t>TXN_3219067</t>
  </si>
  <si>
    <t>TXN_4639732</t>
  </si>
  <si>
    <t>TXN_9238807</t>
  </si>
  <si>
    <t>TXN_9995284</t>
  </si>
  <si>
    <t>TXN_6111288</t>
  </si>
  <si>
    <t>TXN_8246090</t>
  </si>
  <si>
    <t>TXN_7602284</t>
  </si>
  <si>
    <t>TXN_8218353</t>
  </si>
  <si>
    <t>TXN_5711730</t>
  </si>
  <si>
    <t>TXN_9622632</t>
  </si>
  <si>
    <t>TXN_9202193</t>
  </si>
  <si>
    <t>TXN_6188727</t>
  </si>
  <si>
    <t>TXN_7669237</t>
  </si>
  <si>
    <t>TXN_1661404</t>
  </si>
  <si>
    <t>TXN_4802346</t>
  </si>
  <si>
    <t>TXN_9385378</t>
  </si>
  <si>
    <t>TXN_3822308</t>
  </si>
  <si>
    <t>TXN_4113425</t>
  </si>
  <si>
    <t>TXN_9847074</t>
  </si>
  <si>
    <t>TXN_2554615</t>
  </si>
  <si>
    <t>TXN_6683839</t>
  </si>
  <si>
    <t>TXN_7504022</t>
  </si>
  <si>
    <t>TXN_7584688</t>
  </si>
  <si>
    <t>TXN_3357305</t>
  </si>
  <si>
    <t>TXN_6402496</t>
  </si>
  <si>
    <t>TXN_9654199</t>
  </si>
  <si>
    <t>TXN_7978593</t>
  </si>
  <si>
    <t>TXN_9948170</t>
  </si>
  <si>
    <t>TXN_2804850</t>
  </si>
  <si>
    <t>TXN_9510703</t>
  </si>
  <si>
    <t>TXN_3559457</t>
  </si>
  <si>
    <t>TXN_2831531</t>
  </si>
  <si>
    <t>TXN_6882208</t>
  </si>
  <si>
    <t>TXN_8048041</t>
  </si>
  <si>
    <t>TXN_8588818</t>
  </si>
  <si>
    <t>TXN_3530165</t>
  </si>
  <si>
    <t>TXN_1781066</t>
  </si>
  <si>
    <t>TXN_4206956</t>
  </si>
  <si>
    <t>TXN_1179280</t>
  </si>
  <si>
    <t>TXN_1886375</t>
  </si>
  <si>
    <t>TXN_6012730</t>
  </si>
  <si>
    <t>TXN_7324451</t>
  </si>
  <si>
    <t>TXN_3841708</t>
  </si>
  <si>
    <t>TXN_2733243</t>
  </si>
  <si>
    <t>TXN_4005322</t>
  </si>
  <si>
    <t>TXN_2206834</t>
  </si>
  <si>
    <t>TXN_2839564</t>
  </si>
  <si>
    <t>TXN_6991509</t>
  </si>
  <si>
    <t>TXN_5813861</t>
  </si>
  <si>
    <t>TXN_1358739</t>
  </si>
  <si>
    <t>TXN_8522671</t>
  </si>
  <si>
    <t>TXN_9495725</t>
  </si>
  <si>
    <t>TXN_4822783</t>
  </si>
  <si>
    <t>TXN_1054983</t>
  </si>
  <si>
    <t>TXN_9145017</t>
  </si>
  <si>
    <t>TXN_1632041</t>
  </si>
  <si>
    <t>TXN_6234785</t>
  </si>
  <si>
    <t>TXN_7203061</t>
  </si>
  <si>
    <t>TXN_4799937</t>
  </si>
  <si>
    <t>TXN_8389178</t>
  </si>
  <si>
    <t>TXN_4118770</t>
  </si>
  <si>
    <t>TXN_8048422</t>
  </si>
  <si>
    <t>TXN_7670389</t>
  </si>
  <si>
    <t>TXN_7512354</t>
  </si>
  <si>
    <t>TXN_8961010</t>
  </si>
  <si>
    <t>TXN_4298899</t>
  </si>
  <si>
    <t>TXN_4956684</t>
  </si>
  <si>
    <t>TXN_5974928</t>
  </si>
  <si>
    <t>TXN_5978654</t>
  </si>
  <si>
    <t>TXN_7691551</t>
  </si>
  <si>
    <t>TXN_6374273</t>
  </si>
  <si>
    <t>TXN_4407240</t>
  </si>
  <si>
    <t>TXN_4195517</t>
  </si>
  <si>
    <t>TXN_3592034</t>
  </si>
  <si>
    <t>TXN_2833523</t>
  </si>
  <si>
    <t>TXN_8351890</t>
  </si>
  <si>
    <t>TXN_4485519</t>
  </si>
  <si>
    <t>TXN_9600643</t>
  </si>
  <si>
    <t>TXN_3615748</t>
  </si>
  <si>
    <t>TXN_4180652</t>
  </si>
  <si>
    <t>TXN_3314650</t>
  </si>
  <si>
    <t>TXN_4276598</t>
  </si>
  <si>
    <t>TXN_9049794</t>
  </si>
  <si>
    <t>TXN_8469057</t>
  </si>
  <si>
    <t>TXN_1487869</t>
  </si>
  <si>
    <t>TXN_9036403</t>
  </si>
  <si>
    <t>TXN_9364997</t>
  </si>
  <si>
    <t>TXN_2228445</t>
  </si>
  <si>
    <t>TXN_4893054</t>
  </si>
  <si>
    <t>TXN_4824314</t>
  </si>
  <si>
    <t>TXN_2823976</t>
  </si>
  <si>
    <t>TXN_4623433</t>
  </si>
  <si>
    <t>TXN_3201646</t>
  </si>
  <si>
    <t>TXN_6621029</t>
  </si>
  <si>
    <t>TXN_9159149</t>
  </si>
  <si>
    <t>TXN_8957827</t>
  </si>
  <si>
    <t>TXN_5665870</t>
  </si>
  <si>
    <t>TXN_8950168</t>
  </si>
  <si>
    <t>TXN_6217772</t>
  </si>
  <si>
    <t>TXN_4292272</t>
  </si>
  <si>
    <t>TXN_6122892</t>
  </si>
  <si>
    <t>TXN_1633301</t>
  </si>
  <si>
    <t>TXN_5986903</t>
  </si>
  <si>
    <t>TXN_7858668</t>
  </si>
  <si>
    <t>TXN_7780286</t>
  </si>
  <si>
    <t>TXN_4748839</t>
  </si>
  <si>
    <t>TXN_7864253</t>
  </si>
  <si>
    <t>TXN_9864806</t>
  </si>
  <si>
    <t>TXN_9014477</t>
  </si>
  <si>
    <t>TXN_3604276</t>
  </si>
  <si>
    <t>TXN_8324311</t>
  </si>
  <si>
    <t>TXN_3031477</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</si>
  <si>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</si>
  <si>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</si>
  <si>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</si>
  <si>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</si>
  <si>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</si>
  <si>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</si>
  <si>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</si>
  <si>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</si>
  <si>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</si>
  <si>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</si>
  <si>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</si>
  <si>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</si>
  <si>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</si>
  <si>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</si>
  <si>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TXN_7049983</t>
  </si>
  <si>
    <t>TXN_3632878</t>
  </si>
  <si>
    <t>TXN_7515524</t>
  </si>
  <si>
    <t>TXN_9872413</t>
  </si>
  <si>
    <t>TXN_1978695</t>
  </si>
  <si>
    <t>TXN_9845980</t>
  </si>
  <si>
    <t>TXN_6415917</t>
  </si>
  <si>
    <t>TXN_3659154</t>
  </si>
  <si>
    <t>TXN_2686535</t>
  </si>
  <si>
    <t>TXN_2494013</t>
  </si>
  <si>
    <t>TXN_9331528</t>
  </si>
  <si>
    <t>TXN_9261258</t>
  </si>
  <si>
    <t>TXN_7310262</t>
  </si>
  <si>
    <t>TXN_2985156</t>
  </si>
  <si>
    <t>TXN_9429383</t>
  </si>
  <si>
    <t>TXN_5428176</t>
  </si>
  <si>
    <t>TXN_3119039</t>
  </si>
  <si>
    <t>TXN_7030551</t>
  </si>
  <si>
    <t>TXN_7366633</t>
  </si>
  <si>
    <t>TXN_9324731</t>
  </si>
  <si>
    <t>TXN_4804748</t>
  </si>
  <si>
    <t>TXN_6039236</t>
  </si>
  <si>
    <t>TXN_7755532</t>
  </si>
  <si>
    <t>TXN_4955324</t>
  </si>
  <si>
    <t>TXN_9610207</t>
  </si>
  <si>
    <t>TXN_6216918</t>
  </si>
  <si>
    <t>TXN_7565200</t>
  </si>
  <si>
    <t>TXN_4497756</t>
  </si>
  <si>
    <t>TXN_3839456</t>
  </si>
  <si>
    <t>TXN_3561701</t>
  </si>
  <si>
    <t>TXN_3330864</t>
  </si>
  <si>
    <t>TXN_2698076</t>
  </si>
  <si>
    <t>TXN_8463034</t>
  </si>
  <si>
    <t>TXN_7065551</t>
  </si>
  <si>
    <t>TXN_6139701</t>
  </si>
  <si>
    <t>TXN_7959866</t>
  </si>
  <si>
    <t>TXN_4299688</t>
  </si>
  <si>
    <t>TXN_7904311</t>
  </si>
  <si>
    <t>TXN_4287690</t>
  </si>
  <si>
    <t>TXN_9952907</t>
  </si>
  <si>
    <t>TXN_3135491</t>
  </si>
  <si>
    <t>TXN_7540068</t>
  </si>
  <si>
    <t>TXN_1377584</t>
  </si>
  <si>
    <t>TXN_9271504</t>
  </si>
  <si>
    <t>TXN_3297916</t>
  </si>
  <si>
    <t>TXN_4835761</t>
  </si>
  <si>
    <t>TXN_8229653</t>
  </si>
  <si>
    <t>TXN_3792062</t>
  </si>
  <si>
    <t>TXN_9113601</t>
  </si>
  <si>
    <t>TXN_4925908</t>
  </si>
  <si>
    <t>TXN_4934703</t>
  </si>
  <si>
    <t>TXN_9256189</t>
  </si>
  <si>
    <t>TXN_2904791</t>
  </si>
  <si>
    <t>TXN_1383415</t>
  </si>
  <si>
    <t>TXN_3463769</t>
  </si>
  <si>
    <t>TXN_4864903</t>
  </si>
  <si>
    <t>TXN_4495427</t>
  </si>
  <si>
    <t>TXN_8384866</t>
  </si>
  <si>
    <t>TXN_8570954</t>
  </si>
  <si>
    <t>TXN_2573050</t>
  </si>
  <si>
    <t>TXN_4399717</t>
  </si>
  <si>
    <t>TXN_1245067</t>
  </si>
  <si>
    <t>TXN_6902800</t>
  </si>
  <si>
    <t>TXN_1900258</t>
  </si>
  <si>
    <t>TXN_5969269</t>
  </si>
  <si>
    <t>TXN_6096878</t>
  </si>
  <si>
    <t>TXN_5611269</t>
  </si>
  <si>
    <t>TXN_9996372</t>
  </si>
  <si>
    <t>TXN_6450930</t>
  </si>
  <si>
    <t>TXN_7510339</t>
  </si>
  <si>
    <t>TXN_8615825</t>
  </si>
  <si>
    <t>TXN_9423173</t>
  </si>
  <si>
    <t>TXN_9224384</t>
  </si>
  <si>
    <t>TXN_1334745</t>
  </si>
  <si>
    <t>TXN_5862349</t>
  </si>
  <si>
    <t>TXN_7250843</t>
  </si>
  <si>
    <t>TXN_2246570</t>
  </si>
  <si>
    <t>TXN_6030366</t>
  </si>
  <si>
    <t>TXN_6979245</t>
  </si>
  <si>
    <t>TXN_8336383</t>
  </si>
  <si>
    <t>TXN_2477647</t>
  </si>
  <si>
    <t>TXN_8634272</t>
  </si>
  <si>
    <t>TXN_7782524</t>
  </si>
  <si>
    <t>TXN_1188415</t>
  </si>
  <si>
    <t>TXN_5736213</t>
  </si>
  <si>
    <t>TXN_3764016</t>
  </si>
  <si>
    <t>TXN_3100291</t>
  </si>
  <si>
    <t>TXN_4568923</t>
  </si>
  <si>
    <t>TXN_4857957</t>
  </si>
  <si>
    <t>TXN_6192944</t>
  </si>
  <si>
    <t>TXN_3622317</t>
  </si>
  <si>
    <t>TXN_5782730</t>
  </si>
  <si>
    <t>TXN_3895137</t>
  </si>
  <si>
    <t>TXN_7129969</t>
  </si>
  <si>
    <t>TXN_5459776</t>
  </si>
  <si>
    <t>TXN_7510517</t>
  </si>
  <si>
    <t>TXN_6030067</t>
  </si>
  <si>
    <t>Item_12_MILK</t>
  </si>
  <si>
    <t>TXN_3847123</t>
  </si>
  <si>
    <t>TXN_3018500</t>
  </si>
  <si>
    <t>TXN_5916266</t>
  </si>
  <si>
    <t>TXN_4993247</t>
  </si>
  <si>
    <t>TXN_1417703</t>
  </si>
  <si>
    <t>TXN_5715686</t>
  </si>
  <si>
    <t>TXN_1456033</t>
  </si>
  <si>
    <t>TXN_6977040</t>
  </si>
  <si>
    <t>TXN_5647147</t>
  </si>
  <si>
    <t>TXN_2997461</t>
  </si>
  <si>
    <t>TXN_7944224</t>
  </si>
  <si>
    <t>TXN_6998087</t>
  </si>
  <si>
    <t>TXN_4541403</t>
  </si>
  <si>
    <t>TXN_6843971</t>
  </si>
  <si>
    <t>TXN_1745928</t>
  </si>
  <si>
    <t>TXN_1714851</t>
  </si>
  <si>
    <t>TXN_2391758</t>
  </si>
  <si>
    <t>TXN_9816119</t>
  </si>
  <si>
    <t>TXN_5069350</t>
  </si>
  <si>
    <t>TXN_9501460</t>
  </si>
  <si>
    <t>TXN_6524933</t>
  </si>
  <si>
    <t>TXN_1777125</t>
  </si>
  <si>
    <t>TXN_4548524</t>
  </si>
  <si>
    <t>TXN_7882600</t>
  </si>
  <si>
    <t>TXN_2014914</t>
  </si>
  <si>
    <t>TXN_1155401</t>
  </si>
  <si>
    <t>TXN_2412514</t>
  </si>
  <si>
    <t>TXN_6878154</t>
  </si>
  <si>
    <t>TXN_9649810</t>
  </si>
  <si>
    <t>TXN_2910275</t>
  </si>
  <si>
    <t>TXN_6437443</t>
  </si>
  <si>
    <t>TXN_9930574</t>
  </si>
  <si>
    <t>TXN_4717804</t>
  </si>
  <si>
    <t>TXN_4411069</t>
  </si>
  <si>
    <t>TXN_7980565</t>
  </si>
  <si>
    <t>TXN_3843648</t>
  </si>
  <si>
    <t>TXN_5732305</t>
  </si>
  <si>
    <t>TXN_9104482</t>
  </si>
  <si>
    <t>TXN_6919349</t>
  </si>
  <si>
    <t>TXN_1601678</t>
  </si>
  <si>
    <t>TXN_5798862</t>
  </si>
  <si>
    <t>Item_10_MILK</t>
  </si>
  <si>
    <t>TXN_1860120</t>
  </si>
  <si>
    <t>TXN_9993420</t>
  </si>
  <si>
    <t>TXN_6501326</t>
  </si>
  <si>
    <t>Item_16_FOOD</t>
  </si>
  <si>
    <t>TXN_6066679</t>
  </si>
  <si>
    <t>TXN_2372254</t>
  </si>
  <si>
    <t>TXN_3629874</t>
  </si>
  <si>
    <t>TXN_8834665</t>
  </si>
  <si>
    <t>TXN_1234299</t>
  </si>
  <si>
    <t>TXN_9442698</t>
  </si>
  <si>
    <t>TXN_5195842</t>
  </si>
  <si>
    <t>TXN_6812056</t>
  </si>
  <si>
    <t>TXN_4221582</t>
  </si>
  <si>
    <t>TXN_1185788</t>
  </si>
  <si>
    <t>TXN_4294387</t>
  </si>
  <si>
    <t>TXN_4621950</t>
  </si>
  <si>
    <t>TXN_1311636</t>
  </si>
  <si>
    <t>TXN_8475452</t>
  </si>
  <si>
    <t>TXN_8602784</t>
  </si>
  <si>
    <t>TXN_6052024</t>
  </si>
  <si>
    <t>TXN_8262460</t>
  </si>
  <si>
    <t>TXN_1222659</t>
  </si>
  <si>
    <t>TXN_2818628</t>
  </si>
  <si>
    <t>TXN_6977757</t>
  </si>
  <si>
    <t>TXN_9252945</t>
  </si>
  <si>
    <t>TXN_7036290</t>
  </si>
  <si>
    <t>TXN_1859382</t>
  </si>
  <si>
    <t>TXN_3110652</t>
  </si>
  <si>
    <t>TXN_2886160</t>
  </si>
  <si>
    <t>TXN_6037062</t>
  </si>
  <si>
    <t>TXN_4139468</t>
  </si>
  <si>
    <t>TXN_7739444</t>
  </si>
  <si>
    <t>TXN_6516663</t>
  </si>
  <si>
    <t>TXN_4025118</t>
  </si>
  <si>
    <t>TXN_2163566</t>
  </si>
  <si>
    <t>TXN_3870638</t>
  </si>
  <si>
    <t>TXN_8815455</t>
  </si>
  <si>
    <t>TXN_7132270</t>
  </si>
  <si>
    <t>TXN_6262851</t>
  </si>
  <si>
    <t>TXN_1508429</t>
  </si>
  <si>
    <t>TXN_1614532</t>
  </si>
  <si>
    <t>TXN_9270142</t>
  </si>
  <si>
    <t>TXN_4845720</t>
  </si>
  <si>
    <t>TXN_3817044</t>
  </si>
  <si>
    <t>TXN_8123535</t>
  </si>
  <si>
    <t>TXN_9723263</t>
  </si>
  <si>
    <t>TXN_9701245</t>
  </si>
  <si>
    <t>TXN_5562599</t>
  </si>
  <si>
    <t>TXN_6407825</t>
  </si>
  <si>
    <t>TXN_3051611</t>
  </si>
  <si>
    <t>TXN_6825299</t>
  </si>
  <si>
    <t>TXN_3194714</t>
  </si>
  <si>
    <t>Item_19_FOOD</t>
  </si>
  <si>
    <t>TXN_4621919</t>
  </si>
  <si>
    <t>TXN_9487070</t>
  </si>
  <si>
    <t>TXN_9388162</t>
  </si>
  <si>
    <t>TXN_6260322</t>
  </si>
  <si>
    <t>TXN_8243756</t>
  </si>
  <si>
    <t>TXN_2912595</t>
  </si>
  <si>
    <t>TXN_1411096</t>
  </si>
  <si>
    <t>Item_14_EHE</t>
  </si>
  <si>
    <t>TXN_4721517</t>
  </si>
  <si>
    <t>TXN_8822878</t>
  </si>
  <si>
    <t>TXN_5439767</t>
  </si>
  <si>
    <t>TXN_6491456</t>
  </si>
  <si>
    <t>TXN_4682990</t>
  </si>
  <si>
    <t>TXN_9965946</t>
  </si>
  <si>
    <t>TXN_6407088</t>
  </si>
  <si>
    <t>TXN_9013951</t>
  </si>
  <si>
    <t>TXN_2078236</t>
  </si>
  <si>
    <t>TXN_5156735</t>
  </si>
  <si>
    <t>TXN_1317296</t>
  </si>
  <si>
    <t>TXN_3694588</t>
  </si>
  <si>
    <t>TXN_5185719</t>
  </si>
  <si>
    <t>TXN_1635054</t>
  </si>
  <si>
    <t>TXN_7371264</t>
  </si>
  <si>
    <t>TXN_6305251</t>
  </si>
  <si>
    <t>TXN_2680015</t>
  </si>
  <si>
    <t>TXN_8393738</t>
  </si>
  <si>
    <t>TXN_1848524</t>
  </si>
  <si>
    <t>TXN_7281592</t>
  </si>
  <si>
    <t>TXN_1466500</t>
  </si>
  <si>
    <t>TXN_8948810</t>
  </si>
  <si>
    <t>TXN_4077245</t>
  </si>
  <si>
    <t>TXN_1853686</t>
  </si>
  <si>
    <t>TXN_3966618</t>
  </si>
  <si>
    <t>TXN_8694029</t>
  </si>
  <si>
    <t>TXN_4451594</t>
  </si>
  <si>
    <t>TXN_7407092</t>
  </si>
  <si>
    <t>TXN_2750219</t>
  </si>
  <si>
    <t>TXN_1695790</t>
  </si>
  <si>
    <t>TXN_2681703</t>
  </si>
  <si>
    <t>TXN_7412723</t>
  </si>
  <si>
    <t>TXN_8372453</t>
  </si>
  <si>
    <t>TXN_2906236</t>
  </si>
  <si>
    <t>TXN_5243487</t>
  </si>
  <si>
    <t>TXN_4577067</t>
  </si>
  <si>
    <t>TXN_2999995</t>
  </si>
  <si>
    <t>TXN_8005094</t>
  </si>
  <si>
    <t>TXN_4164947</t>
  </si>
  <si>
    <t>TXN_3846015</t>
  </si>
  <si>
    <t>TXN_7817857</t>
  </si>
  <si>
    <t>TXN_4274208</t>
  </si>
  <si>
    <t>TXN_5721774</t>
  </si>
  <si>
    <t>TXN_1966034</t>
  </si>
  <si>
    <t>TXN_8286837</t>
  </si>
  <si>
    <t>TXN_4363648</t>
  </si>
  <si>
    <t>TXN_1986816</t>
  </si>
  <si>
    <t>TXN_6617830</t>
  </si>
  <si>
    <t>TXN_9895162</t>
  </si>
  <si>
    <t>TXN_2254132</t>
  </si>
  <si>
    <t>TXN_7166227</t>
  </si>
  <si>
    <t>TXN_6026363</t>
  </si>
  <si>
    <t>TXN_6957303</t>
  </si>
  <si>
    <t>TXN_4008428</t>
  </si>
  <si>
    <t>TXN_3089213</t>
  </si>
  <si>
    <t>TXN_1992177</t>
  </si>
  <si>
    <t>TXN_3243042</t>
  </si>
  <si>
    <t>TXN_9118930</t>
  </si>
  <si>
    <t>TXN_2127584</t>
  </si>
  <si>
    <t>TXN_9226101</t>
  </si>
  <si>
    <t>TXN_3448045</t>
  </si>
  <si>
    <t>TXN_4883150</t>
  </si>
  <si>
    <t>TXN_6889957</t>
  </si>
  <si>
    <t>TXN_3758134</t>
  </si>
  <si>
    <t>TXN_7791537</t>
  </si>
  <si>
    <t>TXN_1319394</t>
  </si>
  <si>
    <t>TXN_1716938</t>
  </si>
  <si>
    <t>TXN_2046951</t>
  </si>
  <si>
    <t>TXN_6190160</t>
  </si>
  <si>
    <t>TXN_4167564</t>
  </si>
  <si>
    <t>TXN_5259478</t>
  </si>
  <si>
    <t>TXN_3534253</t>
  </si>
  <si>
    <t>TXN_9105343</t>
  </si>
  <si>
    <t>TXN_7501851</t>
  </si>
  <si>
    <t>TXN_5150250</t>
  </si>
  <si>
    <t>TXN_6103550</t>
  </si>
  <si>
    <t>TXN_6754215</t>
  </si>
  <si>
    <t>TXN_5471275</t>
  </si>
  <si>
    <t>TXN_9263298</t>
  </si>
  <si>
    <t>TXN_8775269</t>
  </si>
  <si>
    <t>TXN_2779699</t>
  </si>
  <si>
    <t>TXN_1203184</t>
  </si>
  <si>
    <t>TXN_4335091</t>
  </si>
  <si>
    <t>TXN_3572301</t>
  </si>
  <si>
    <t>TXN_2002942</t>
  </si>
  <si>
    <t>TXN_9888917</t>
  </si>
  <si>
    <t>TXN_1207537</t>
  </si>
  <si>
    <t>TXN_1172555</t>
  </si>
  <si>
    <t>TXN_1038979</t>
  </si>
  <si>
    <t>TXN_6049911</t>
  </si>
  <si>
    <t>TXN_3557407</t>
  </si>
  <si>
    <t>TXN_7092567</t>
  </si>
  <si>
    <t>TXN_5611996</t>
  </si>
  <si>
    <t>TXN_8539572</t>
  </si>
  <si>
    <t>TXN_6942391</t>
  </si>
  <si>
    <t>TXN_7812474</t>
  </si>
  <si>
    <t>TXN_6505976</t>
  </si>
  <si>
    <t>TXN_6269833</t>
  </si>
  <si>
    <t>TXN_5571174</t>
  </si>
  <si>
    <t>TXN_6496740</t>
  </si>
  <si>
    <t>TXN_5778866</t>
  </si>
  <si>
    <t>TXN_4187730</t>
  </si>
  <si>
    <t>TXN_6580870</t>
  </si>
  <si>
    <t>TXN_8064984</t>
  </si>
  <si>
    <t>TXN_1777543</t>
  </si>
  <si>
    <t>TXN_9793801</t>
  </si>
  <si>
    <t>TXN_9882976</t>
  </si>
  <si>
    <t>TXN_9535314</t>
  </si>
  <si>
    <t>TXN_5543262</t>
  </si>
  <si>
    <t>TXN_8461471</t>
  </si>
  <si>
    <t>TXN_5115781</t>
  </si>
  <si>
    <t>TXN_2464906</t>
  </si>
  <si>
    <t>TXN_7127992</t>
  </si>
  <si>
    <t>TXN_2631567</t>
  </si>
  <si>
    <t>TXN_5771647</t>
  </si>
  <si>
    <t>TXN_6149033</t>
  </si>
  <si>
    <t>TXN_4776341</t>
  </si>
  <si>
    <t>TXN_3952040</t>
  </si>
  <si>
    <t>TXN_3504313</t>
  </si>
  <si>
    <t>TXN_5990311</t>
  </si>
  <si>
    <t>TXN_9806807</t>
  </si>
  <si>
    <t>TXN_5834846</t>
  </si>
  <si>
    <t>TXN_3262173</t>
  </si>
  <si>
    <t>TXN_7564949</t>
  </si>
  <si>
    <t>TXN_4080988</t>
  </si>
  <si>
    <t>TXN_3575644</t>
  </si>
  <si>
    <t>TXN_6500890</t>
  </si>
  <si>
    <t>TXN_5281882</t>
  </si>
  <si>
    <t>TXN_3687556</t>
  </si>
  <si>
    <t>TXN_5296489</t>
  </si>
  <si>
    <t>TXN_5635734</t>
  </si>
  <si>
    <t>TXN_2243096</t>
  </si>
  <si>
    <t>TXN_6237848</t>
  </si>
  <si>
    <t>TXN_3515217</t>
  </si>
  <si>
    <t>TXN_8828780</t>
  </si>
  <si>
    <t>TXN_1205686</t>
  </si>
  <si>
    <t>TXN_4071268</t>
  </si>
  <si>
    <t>TXN_9152165</t>
  </si>
  <si>
    <t>TXN_4769945</t>
  </si>
  <si>
    <t>TXN_7287258</t>
  </si>
  <si>
    <t>TXN_7198988</t>
  </si>
  <si>
    <t>TXN_1996894</t>
  </si>
  <si>
    <t>TXN_7343995</t>
  </si>
  <si>
    <t>TXN_4897989</t>
  </si>
  <si>
    <t>TXN_5380552</t>
  </si>
  <si>
    <t>TXN_8572389</t>
  </si>
  <si>
    <t>TXN_4002469</t>
  </si>
  <si>
    <t>TXN_3352471</t>
  </si>
  <si>
    <t>TXN_8151553</t>
  </si>
  <si>
    <t>TXN_9802098</t>
  </si>
  <si>
    <t>TXN_4919540</t>
  </si>
  <si>
    <t>TXN_7530536</t>
  </si>
  <si>
    <t>TXN_5874122</t>
  </si>
  <si>
    <t>TXN_9649394</t>
  </si>
  <si>
    <t>TXN_4392355</t>
  </si>
  <si>
    <t>TXN_4058390</t>
  </si>
  <si>
    <t>TXN_8533361</t>
  </si>
  <si>
    <t>TXN_1795555</t>
  </si>
  <si>
    <t>TXN_5686495</t>
  </si>
  <si>
    <t>TXN_1387779</t>
  </si>
  <si>
    <t>TXN_6569366</t>
  </si>
  <si>
    <t>TXN_6689708</t>
  </si>
  <si>
    <t>TXN_3937980</t>
  </si>
  <si>
    <t>TXN_2662020</t>
  </si>
  <si>
    <t>TXN_2630479</t>
  </si>
  <si>
    <t>TXN_9542148</t>
  </si>
  <si>
    <t>TXN_9284513</t>
  </si>
  <si>
    <t>TXN_6043884</t>
  </si>
  <si>
    <t>TXN_7892617</t>
  </si>
  <si>
    <t>TXN_7037057</t>
  </si>
  <si>
    <t>TXN_1812590</t>
  </si>
  <si>
    <t>TXN_1539096</t>
  </si>
  <si>
    <t>TXN_7727096</t>
  </si>
  <si>
    <t>TXN_6189225</t>
  </si>
  <si>
    <t>TXN_1877006</t>
  </si>
  <si>
    <t>TXN_3064702</t>
  </si>
  <si>
    <t>TXN_4910271</t>
  </si>
  <si>
    <t>TXN_2222797</t>
  </si>
  <si>
    <t>TXN_5679757</t>
  </si>
  <si>
    <t>TXN_6492020</t>
  </si>
  <si>
    <t>TXN_5836421</t>
  </si>
  <si>
    <t>TXN_4041720</t>
  </si>
  <si>
    <t>TXN_7940060</t>
  </si>
  <si>
    <t>TXN_1880682</t>
  </si>
  <si>
    <t>TXN_9249556</t>
  </si>
  <si>
    <t>TXN_5241473</t>
  </si>
  <si>
    <t>TXN_5569187</t>
  </si>
  <si>
    <t>TXN_9645168</t>
  </si>
  <si>
    <t>TXN_8880741</t>
  </si>
  <si>
    <t>TXN_1224026</t>
  </si>
  <si>
    <t>TXN_9988948</t>
  </si>
  <si>
    <t>TXN_7755336</t>
  </si>
  <si>
    <t>TXN_5033281</t>
  </si>
  <si>
    <t>TXN_6064430</t>
  </si>
  <si>
    <t>TXN_4651323</t>
  </si>
  <si>
    <t>TXN_3023874</t>
  </si>
  <si>
    <t>TXN_6698228</t>
  </si>
  <si>
    <t>TXN_1673915</t>
  </si>
  <si>
    <t>TXN_3215453</t>
  </si>
  <si>
    <t>TXN_8196352</t>
  </si>
  <si>
    <t>TXN_2979465</t>
  </si>
  <si>
    <t>TXN_8908031</t>
  </si>
  <si>
    <t>TXN_2250059</t>
  </si>
  <si>
    <t>TXN_1016655</t>
  </si>
  <si>
    <t>TXN_5156844</t>
  </si>
  <si>
    <t>TXN_1367829</t>
  </si>
  <si>
    <t>TXN_4178874</t>
  </si>
  <si>
    <t>TXN_8921717</t>
  </si>
  <si>
    <t>TXN_3071038</t>
  </si>
  <si>
    <t>TXN_3496546</t>
  </si>
  <si>
    <t>TXN_4979630</t>
  </si>
  <si>
    <t>TXN_2980967</t>
  </si>
  <si>
    <t>TXN_4469477</t>
  </si>
  <si>
    <t>TXN_7564934</t>
  </si>
  <si>
    <t>TXN_6192129</t>
  </si>
  <si>
    <t>TXN_3723814</t>
  </si>
  <si>
    <t>TXN_1741161</t>
  </si>
  <si>
    <t>TXN_5529772</t>
  </si>
  <si>
    <t>TXN_4078266</t>
  </si>
  <si>
    <t>TXN_3969038</t>
  </si>
  <si>
    <t>TXN_7546166</t>
  </si>
  <si>
    <t>TXN_6667228</t>
  </si>
  <si>
    <t>TXN_5864711</t>
  </si>
  <si>
    <t>TXN_7828591</t>
  </si>
  <si>
    <t>TXN_5830803</t>
  </si>
  <si>
    <t>TXN_5551793</t>
  </si>
  <si>
    <t>TXN_4596184</t>
  </si>
  <si>
    <t>TXN_7278878</t>
  </si>
  <si>
    <t>TXN_6142111</t>
  </si>
  <si>
    <t>TXN_8805576</t>
  </si>
  <si>
    <t>TXN_4966636</t>
  </si>
  <si>
    <t>TXN_1725454</t>
  </si>
  <si>
    <t>TXN_2543656</t>
  </si>
  <si>
    <t>TXN_8223973</t>
  </si>
  <si>
    <t>TXN_8596049</t>
  </si>
  <si>
    <t>TXN_8566964</t>
  </si>
  <si>
    <t>TXN_8333599</t>
  </si>
  <si>
    <t>TXN_4215624</t>
  </si>
  <si>
    <t>TXN_4787913</t>
  </si>
  <si>
    <t>TXN_8776539</t>
  </si>
  <si>
    <t>TXN_8236215</t>
  </si>
  <si>
    <t>TXN_8178931</t>
  </si>
  <si>
    <t>TXN_3438683</t>
  </si>
  <si>
    <t>TXN_5585168</t>
  </si>
  <si>
    <t>TXN_2040809</t>
  </si>
  <si>
    <t>TXN_1101297</t>
  </si>
  <si>
    <t>TXN_1980623</t>
  </si>
  <si>
    <t>TXN_9040250</t>
  </si>
  <si>
    <t>TXN_7893709</t>
  </si>
  <si>
    <t>TXN_7224530</t>
  </si>
  <si>
    <t>TXN_4042022</t>
  </si>
  <si>
    <t>TXN_3623366</t>
  </si>
  <si>
    <t>TXN_4250432</t>
  </si>
  <si>
    <t>TXN_5186140</t>
  </si>
  <si>
    <t>TXN_9171042</t>
  </si>
  <si>
    <t>TXN_2856597</t>
  </si>
  <si>
    <t>TXN_7110900</t>
  </si>
  <si>
    <t>TXN_9205887</t>
  </si>
  <si>
    <t>TXN_8352203</t>
  </si>
  <si>
    <t>TXN_9171196</t>
  </si>
  <si>
    <t>TXN_3646004</t>
  </si>
  <si>
    <t>TXN_6237983</t>
  </si>
  <si>
    <t>TXN_9576418</t>
  </si>
  <si>
    <t>TXN_8136862</t>
  </si>
  <si>
    <t>TXN_4599772</t>
  </si>
  <si>
    <t>TXN_1311744</t>
  </si>
  <si>
    <t>TXN_7267517</t>
  </si>
  <si>
    <t>TXN_4937757</t>
  </si>
  <si>
    <t>TXN_3319640</t>
  </si>
  <si>
    <t>TXN_2099825</t>
  </si>
  <si>
    <t>TXN_9707152</t>
  </si>
  <si>
    <t>TXN_3553497</t>
  </si>
  <si>
    <t>TXN_5870405</t>
  </si>
  <si>
    <t>TXN_8005657</t>
  </si>
  <si>
    <t>TXN_3951413</t>
  </si>
  <si>
    <t>TXN_7943662</t>
  </si>
  <si>
    <t>TXN_5621564</t>
  </si>
  <si>
    <t>TXN_5224584</t>
  </si>
  <si>
    <t>TXN_7239576</t>
  </si>
  <si>
    <t>TXN_9072239</t>
  </si>
  <si>
    <t>TXN_9960444</t>
  </si>
  <si>
    <t>TXN_7027151</t>
  </si>
  <si>
    <t>TXN_1150006</t>
  </si>
  <si>
    <t>TXN_6904028</t>
  </si>
  <si>
    <t>TXN_9257483</t>
  </si>
  <si>
    <t>TXN_1792802</t>
  </si>
  <si>
    <t>TXN_6442602</t>
  </si>
  <si>
    <t>TXN_1350230</t>
  </si>
  <si>
    <t>TXN_6562034</t>
  </si>
  <si>
    <t>TXN_4581067</t>
  </si>
  <si>
    <t>TXN_8385569</t>
  </si>
  <si>
    <t>TXN_1625647</t>
  </si>
  <si>
    <t>TXN_6257905</t>
  </si>
  <si>
    <t>TXN_2528313</t>
  </si>
  <si>
    <t>TXN_1410689</t>
  </si>
  <si>
    <t>TXN_4673425</t>
  </si>
  <si>
    <t>TXN_7562077</t>
  </si>
  <si>
    <t>TXN_3108791</t>
  </si>
  <si>
    <t>TXN_5264491</t>
  </si>
  <si>
    <t>TXN_6689339</t>
  </si>
  <si>
    <t>TXN_1324813</t>
  </si>
  <si>
    <t>TXN_1741913</t>
  </si>
  <si>
    <t>TXN_2208547</t>
  </si>
  <si>
    <t>TXN_9820980</t>
  </si>
  <si>
    <t>TXN_2226385</t>
  </si>
  <si>
    <t>TXN_7676502</t>
  </si>
  <si>
    <t>TXN_5453940</t>
  </si>
  <si>
    <t>TXN_2439149</t>
  </si>
  <si>
    <t>TXN_4620709</t>
  </si>
  <si>
    <t>TXN_8792621</t>
  </si>
  <si>
    <t>TXN_6789123</t>
  </si>
  <si>
    <t>TXN_5552232</t>
  </si>
  <si>
    <t>TXN_6924343</t>
  </si>
  <si>
    <t>TXN_2112426</t>
  </si>
  <si>
    <t>TXN_9165480</t>
  </si>
  <si>
    <t>TXN_2829458</t>
  </si>
  <si>
    <t>TXN_2918886</t>
  </si>
  <si>
    <t>TXN_1369755</t>
  </si>
  <si>
    <t>TXN_9344795</t>
  </si>
  <si>
    <t>TXN_1266241</t>
  </si>
  <si>
    <t>TXN_2665313</t>
  </si>
  <si>
    <t>TXN_4750878</t>
  </si>
  <si>
    <t>TXN_3909621</t>
  </si>
  <si>
    <t>TXN_3384905</t>
  </si>
  <si>
    <t>TXN_2733288</t>
  </si>
  <si>
    <t>TXN_7474047</t>
  </si>
  <si>
    <t>TXN_5861014</t>
  </si>
  <si>
    <t>TXN_1404623</t>
  </si>
  <si>
    <t>TXN_2713028</t>
  </si>
  <si>
    <t>TXN_8697234</t>
  </si>
  <si>
    <t>TXN_3080253</t>
  </si>
  <si>
    <t>Item_3_EHE</t>
  </si>
  <si>
    <t>TXN_5422440</t>
  </si>
  <si>
    <t>TXN_9114087</t>
  </si>
  <si>
    <t>TXN_1107383</t>
  </si>
  <si>
    <t>TXN_5628115</t>
  </si>
  <si>
    <t>TXN_7148957</t>
  </si>
  <si>
    <t>TXN_4501679</t>
  </si>
  <si>
    <t>TXN_7779073</t>
  </si>
  <si>
    <t>TXN_2575540</t>
  </si>
  <si>
    <t>TXN_5302358</t>
  </si>
  <si>
    <t>TXN_9653552</t>
  </si>
  <si>
    <t>TXN_9686128</t>
  </si>
  <si>
    <t>TXN_5017877</t>
  </si>
  <si>
    <t>TXN_4899415</t>
  </si>
  <si>
    <t>TXN_4859554</t>
  </si>
  <si>
    <t>TXN_8040308</t>
  </si>
  <si>
    <t>TXN_8359482</t>
  </si>
  <si>
    <t>TXN_6405900</t>
  </si>
  <si>
    <t>TXN_9245240</t>
  </si>
  <si>
    <t>TXN_7101068</t>
  </si>
  <si>
    <t>TXN_7978734</t>
  </si>
  <si>
    <t>TXN_9117114</t>
  </si>
  <si>
    <t>TXN_5612697</t>
  </si>
  <si>
    <t>TXN_9047932</t>
  </si>
  <si>
    <t>TXN_7198271</t>
  </si>
  <si>
    <t>TXN_5318952</t>
  </si>
  <si>
    <t>TXN_4451027</t>
  </si>
  <si>
    <t>TXN_7390310</t>
  </si>
  <si>
    <t>TXN_9290596</t>
  </si>
  <si>
    <t>TXN_1636017</t>
  </si>
  <si>
    <t>TXN_5796004</t>
  </si>
  <si>
    <t>TXN_1059221</t>
  </si>
  <si>
    <t>TXN_8924913</t>
  </si>
  <si>
    <t>TXN_9061738</t>
  </si>
  <si>
    <t>TXN_5878503</t>
  </si>
  <si>
    <t>TXN_5171428</t>
  </si>
  <si>
    <t>TXN_8662127</t>
  </si>
  <si>
    <t>TXN_6421767</t>
  </si>
  <si>
    <t>TXN_5980130</t>
  </si>
  <si>
    <t>TXN_6283940</t>
  </si>
  <si>
    <t>TXN_4640794</t>
  </si>
  <si>
    <t>TXN_5872134</t>
  </si>
  <si>
    <t>TXN_2630677</t>
  </si>
  <si>
    <t>TXN_6640306</t>
  </si>
  <si>
    <t>TXN_5240246</t>
  </si>
  <si>
    <t>TXN_5701666</t>
  </si>
  <si>
    <t>TXN_1962372</t>
  </si>
  <si>
    <t>TXN_8160068</t>
  </si>
  <si>
    <t>TXN_2130078</t>
  </si>
  <si>
    <t>TXN_1294411</t>
  </si>
  <si>
    <t>TXN_7818602</t>
  </si>
  <si>
    <t>TXN_8256175</t>
  </si>
  <si>
    <t>TXN_7108299</t>
  </si>
  <si>
    <t>TXN_6746068</t>
  </si>
  <si>
    <t>TXN_9235754</t>
  </si>
  <si>
    <t>TXN_8504230</t>
  </si>
  <si>
    <t>TXN_5512644</t>
  </si>
  <si>
    <t>TXN_4240172</t>
  </si>
  <si>
    <t>TXN_3985103</t>
  </si>
  <si>
    <t>TXN_1460673</t>
  </si>
  <si>
    <t>TXN_2976114</t>
  </si>
  <si>
    <t>TXN_1882040</t>
  </si>
  <si>
    <t>TXN_3054684</t>
  </si>
  <si>
    <t>TXN_6726711</t>
  </si>
  <si>
    <t>TXN_9190979</t>
  </si>
  <si>
    <t>TXN_8445231</t>
  </si>
  <si>
    <t>TXN_9577293</t>
  </si>
  <si>
    <t>TXN_9472197</t>
  </si>
  <si>
    <t>TXN_5960789</t>
  </si>
  <si>
    <t>TXN_4416629</t>
  </si>
  <si>
    <t>TXN_7558428</t>
  </si>
  <si>
    <t>TXN_3217988</t>
  </si>
  <si>
    <t>TXN_2239968</t>
  </si>
  <si>
    <t>TXN_5642720</t>
  </si>
  <si>
    <t>TXN_6865387</t>
  </si>
  <si>
    <t>TXN_9468973</t>
  </si>
  <si>
    <t>TXN_6580606</t>
  </si>
  <si>
    <t>TXN_5035756</t>
  </si>
  <si>
    <t>TXN_4184687</t>
  </si>
  <si>
    <t>TXN_3794692</t>
  </si>
  <si>
    <t>TXN_7293443</t>
  </si>
  <si>
    <t>TXN_7369318</t>
  </si>
  <si>
    <t>TXN_1510555</t>
  </si>
  <si>
    <t>TXN_1512224</t>
  </si>
  <si>
    <t>TXN_1170545</t>
  </si>
  <si>
    <t>TXN_8402938</t>
  </si>
  <si>
    <t>TXN_3339094</t>
  </si>
  <si>
    <t>TXN_1490052</t>
  </si>
  <si>
    <t>TXN_2308456</t>
  </si>
  <si>
    <t>TXN_4186609</t>
  </si>
  <si>
    <t>TXN_5547862</t>
  </si>
  <si>
    <t>TXN_2316809</t>
  </si>
  <si>
    <t>TXN_5605094</t>
  </si>
  <si>
    <t>TXN_1941756</t>
  </si>
  <si>
    <t>TXN_2128482</t>
  </si>
  <si>
    <t>TXN_3961196</t>
  </si>
  <si>
    <t>TXN_3147080</t>
  </si>
  <si>
    <t>TXN_3369620</t>
  </si>
  <si>
    <t>TXN_1004091</t>
  </si>
  <si>
    <t>TXN_3882897</t>
  </si>
  <si>
    <t>TXN_4143543</t>
  </si>
  <si>
    <t>TXN_9754957</t>
  </si>
  <si>
    <t>TXN_6370101</t>
  </si>
  <si>
    <t>TXN_1466235</t>
  </si>
  <si>
    <t>TXN_5309800</t>
  </si>
  <si>
    <t>TXN_2035106</t>
  </si>
  <si>
    <t>TXN_4146156</t>
  </si>
  <si>
    <t>TXN_1532181</t>
  </si>
  <si>
    <t>TXN_8704721</t>
  </si>
  <si>
    <t>TXN_8830893</t>
  </si>
  <si>
    <t>TXN_9727406</t>
  </si>
  <si>
    <t>TXN_5230040</t>
  </si>
  <si>
    <t>TXN_9038605</t>
  </si>
  <si>
    <t>TXN_8837653</t>
  </si>
  <si>
    <t>TXN_3905417</t>
  </si>
  <si>
    <t>TXN_7819270</t>
  </si>
  <si>
    <t>TXN_9539536</t>
  </si>
  <si>
    <t>TXN_5383494</t>
  </si>
  <si>
    <t>TXN_9373920</t>
  </si>
  <si>
    <t>TXN_3362687</t>
  </si>
  <si>
    <t>TXN_5158663</t>
  </si>
  <si>
    <t>TXN_3507613</t>
  </si>
  <si>
    <t>TXN_7352034</t>
  </si>
  <si>
    <t>TXN_1433405</t>
  </si>
  <si>
    <t>TXN_5713524</t>
  </si>
  <si>
    <t>TXN_4105300</t>
  </si>
  <si>
    <t>TXN_1640128</t>
  </si>
  <si>
    <t>TXN_5646983</t>
  </si>
  <si>
    <t>TXN_6549525</t>
  </si>
  <si>
    <t>TXN_8236696</t>
  </si>
  <si>
    <t>TXN_1809144</t>
  </si>
  <si>
    <t>TXN_8147277</t>
  </si>
  <si>
    <t>TXN_3595305</t>
  </si>
  <si>
    <t>TXN_1006950</t>
  </si>
  <si>
    <t>TXN_4284887</t>
  </si>
  <si>
    <t>TXN_5331650</t>
  </si>
  <si>
    <t>TXN_3681075</t>
  </si>
  <si>
    <t>TXN_8420021</t>
  </si>
  <si>
    <t>TXN_6866610</t>
  </si>
  <si>
    <t>TXN_1123016</t>
  </si>
  <si>
    <t>TXN_7112380</t>
  </si>
  <si>
    <t>TXN_6902939</t>
  </si>
  <si>
    <t>TXN_4446737</t>
  </si>
  <si>
    <t>TXN_4403790</t>
  </si>
  <si>
    <t>TXN_8919663</t>
  </si>
  <si>
    <t>TXN_7545653</t>
  </si>
  <si>
    <t>TXN_4205627</t>
  </si>
  <si>
    <t>TXN_9884690</t>
  </si>
  <si>
    <t>TXN_7249444</t>
  </si>
  <si>
    <t>TXN_1803828</t>
  </si>
  <si>
    <t>TXN_7224484</t>
  </si>
  <si>
    <t>TXN_6402109</t>
  </si>
  <si>
    <t>TXN_3467911</t>
  </si>
  <si>
    <t>TXN_9738373</t>
  </si>
  <si>
    <t>TXN_5374685</t>
  </si>
  <si>
    <t>TXN_3881126</t>
  </si>
  <si>
    <t>TXN_7898844</t>
  </si>
  <si>
    <t>TXN_4807004</t>
  </si>
  <si>
    <t>TXN_5149787</t>
  </si>
  <si>
    <t>TXN_4407458</t>
  </si>
  <si>
    <t>TXN_3739937</t>
  </si>
  <si>
    <t>TXN_1877555</t>
  </si>
  <si>
    <t>TXN_1310355</t>
  </si>
  <si>
    <t>TXN_2774355</t>
  </si>
  <si>
    <t>TXN_3802505</t>
  </si>
  <si>
    <t>TXN_2327962</t>
  </si>
  <si>
    <t>TXN_7693291</t>
  </si>
  <si>
    <t>TXN_6533918</t>
  </si>
  <si>
    <t>TXN_2592664</t>
  </si>
  <si>
    <t>TXN_3334999</t>
  </si>
  <si>
    <t>TXN_9377257</t>
  </si>
  <si>
    <t>TXN_4674285</t>
  </si>
  <si>
    <t>TXN_9841782</t>
  </si>
  <si>
    <t>TXN_1603699</t>
  </si>
  <si>
    <t>TXN_1063182</t>
  </si>
  <si>
    <t>TXN_4717451</t>
  </si>
  <si>
    <t>TXN_1126918</t>
  </si>
  <si>
    <t>TXN_7759967</t>
  </si>
  <si>
    <t>TXN_9697733</t>
  </si>
  <si>
    <t>TXN_6610649</t>
  </si>
  <si>
    <t>TXN_2138629</t>
  </si>
  <si>
    <t>TXN_1139198</t>
  </si>
  <si>
    <t>TXN_9540741</t>
  </si>
  <si>
    <t>TXN_6887406</t>
  </si>
  <si>
    <t>TXN_3487125</t>
  </si>
  <si>
    <t>TXN_8949747</t>
  </si>
  <si>
    <t>TXN_1224414</t>
  </si>
  <si>
    <t>TXN_5627047</t>
  </si>
  <si>
    <t>TXN_7072572</t>
  </si>
  <si>
    <t>TXN_8583404</t>
  </si>
  <si>
    <t>TXN_1524234</t>
  </si>
  <si>
    <t>TXN_5969755</t>
  </si>
  <si>
    <t>TXN_6447825</t>
  </si>
  <si>
    <t>TXN_7182790</t>
  </si>
  <si>
    <t>TXN_6185500</t>
  </si>
  <si>
    <t>TXN_3201198</t>
  </si>
  <si>
    <t>TXN_8030351</t>
  </si>
  <si>
    <t>TXN_2525825</t>
  </si>
  <si>
    <t>TXN_3373651</t>
  </si>
  <si>
    <t>TXN_2344077</t>
  </si>
  <si>
    <t>TXN_6615966</t>
  </si>
  <si>
    <t>TXN_2721068</t>
  </si>
  <si>
    <t>TXN_2728490</t>
  </si>
  <si>
    <t>TXN_3545596</t>
  </si>
  <si>
    <t>TXN_4304033</t>
  </si>
  <si>
    <t>TXN_2586658</t>
  </si>
  <si>
    <t>TXN_3219471</t>
  </si>
  <si>
    <t>TXN_9199770</t>
  </si>
  <si>
    <t>TXN_3572849</t>
  </si>
  <si>
    <t>TXN_5503377</t>
  </si>
  <si>
    <t>TXN_2258785</t>
  </si>
  <si>
    <t>TXN_8012805</t>
  </si>
  <si>
    <t>TXN_3671517</t>
  </si>
  <si>
    <t>TXN_7069237</t>
  </si>
  <si>
    <t>TXN_4920125</t>
  </si>
  <si>
    <t>TXN_3419392</t>
  </si>
  <si>
    <t>TXN_5149491</t>
  </si>
  <si>
    <t>TXN_5317550</t>
  </si>
  <si>
    <t>TXN_9071198</t>
  </si>
  <si>
    <t>TXN_3588227</t>
  </si>
  <si>
    <t>TXN_5505701</t>
  </si>
  <si>
    <t>TXN_9211951</t>
  </si>
  <si>
    <t>TXN_9910150</t>
  </si>
  <si>
    <t>TXN_3381866</t>
  </si>
  <si>
    <t>TXN_3836955</t>
  </si>
  <si>
    <t>TXN_1899099</t>
  </si>
  <si>
    <t>TXN_4029684</t>
  </si>
  <si>
    <t>TXN_1097532</t>
  </si>
  <si>
    <t>TXN_1141808</t>
  </si>
  <si>
    <t>TXN_3519483</t>
  </si>
  <si>
    <t>TXN_5630572</t>
  </si>
  <si>
    <t>TXN_3886696</t>
  </si>
  <si>
    <t>TXN_3642410</t>
  </si>
  <si>
    <t>TXN_5936341</t>
  </si>
  <si>
    <t>TXN_1558197</t>
  </si>
  <si>
    <t>TXN_1509297</t>
  </si>
  <si>
    <t>TXN_6253708</t>
  </si>
  <si>
    <t>TXN_2276275</t>
  </si>
  <si>
    <t>TXN_8514415</t>
  </si>
  <si>
    <t>TXN_7232932</t>
  </si>
  <si>
    <t>TXN_8219862</t>
  </si>
  <si>
    <t>TXN_4483598</t>
  </si>
  <si>
    <t>TXN_1362426</t>
  </si>
  <si>
    <t>TXN_9372793</t>
  </si>
  <si>
    <t>TXN_2190866</t>
  </si>
  <si>
    <t>TXN_1204007</t>
  </si>
  <si>
    <t>TXN_2046485</t>
  </si>
  <si>
    <t>TXN_7548408</t>
  </si>
  <si>
    <t>TXN_7341164</t>
  </si>
  <si>
    <t>TXN_1040270</t>
  </si>
  <si>
    <t>TXN_6730972</t>
  </si>
  <si>
    <t>TXN_8139295</t>
  </si>
  <si>
    <t>TXN_5578636</t>
  </si>
  <si>
    <t>TXN_3878663</t>
  </si>
  <si>
    <t>TXN_3493022</t>
  </si>
  <si>
    <t>TXN_8052085</t>
  </si>
  <si>
    <t>TXN_8961064</t>
  </si>
  <si>
    <t>TXN_8148844</t>
  </si>
  <si>
    <t>TXN_8804809</t>
  </si>
  <si>
    <t>TXN_5239006</t>
  </si>
  <si>
    <t>TXN_1648617</t>
  </si>
  <si>
    <t>TXN_5116293</t>
  </si>
  <si>
    <t>TXN_1744322</t>
  </si>
  <si>
    <t>TXN_9170840</t>
  </si>
  <si>
    <t>TXN_3303369</t>
  </si>
  <si>
    <t>TXN_8431956</t>
  </si>
  <si>
    <t>TXN_3954668</t>
  </si>
  <si>
    <t>TXN_8098014</t>
  </si>
  <si>
    <t>TXN_2624160</t>
  </si>
  <si>
    <t>TXN_4066635</t>
  </si>
  <si>
    <t>TXN_1704261</t>
  </si>
  <si>
    <t>TXN_3746744</t>
  </si>
  <si>
    <t>TXN_7949340</t>
  </si>
  <si>
    <t>TXN_4974240</t>
  </si>
  <si>
    <t>TXN_9032953</t>
  </si>
  <si>
    <t>TXN_9612422</t>
  </si>
  <si>
    <t>TXN_8883555</t>
  </si>
  <si>
    <t>TXN_5890409</t>
  </si>
  <si>
    <t>TXN_9497226</t>
  </si>
  <si>
    <t>TXN_7010436</t>
  </si>
  <si>
    <t>TXN_2084347</t>
  </si>
  <si>
    <t>TXN_9978007</t>
  </si>
  <si>
    <t>TXN_1843848</t>
  </si>
  <si>
    <t>TXN_6600014</t>
  </si>
  <si>
    <t>TXN_7203576</t>
  </si>
  <si>
    <t>TXN_7597485</t>
  </si>
  <si>
    <t>TXN_8283053</t>
  </si>
  <si>
    <t>TXN_9662767</t>
  </si>
  <si>
    <t>TXN_1936106</t>
  </si>
  <si>
    <t>TXN_9701569</t>
  </si>
  <si>
    <t>TXN_3548100</t>
  </si>
  <si>
    <t>TXN_4151549</t>
  </si>
  <si>
    <t>TXN_4886514</t>
  </si>
  <si>
    <t>TXN_9027424</t>
  </si>
  <si>
    <t>TXN_5808902</t>
  </si>
  <si>
    <t>TXN_3345761</t>
  </si>
  <si>
    <t>TXN_5778640</t>
  </si>
  <si>
    <t>TXN_2703515</t>
  </si>
  <si>
    <t>TXN_8943178</t>
  </si>
  <si>
    <t>TXN_2322791</t>
  </si>
  <si>
    <t>TXN_4511207</t>
  </si>
  <si>
    <t>TXN_9450631</t>
  </si>
  <si>
    <t>TXN_9120797</t>
  </si>
  <si>
    <t>TXN_7177583</t>
  </si>
  <si>
    <t>TXN_2695742</t>
  </si>
  <si>
    <t>TXN_2430569</t>
  </si>
  <si>
    <t>TXN_9045570</t>
  </si>
  <si>
    <t>TXN_1223061</t>
  </si>
  <si>
    <t>TXN_3908189</t>
  </si>
  <si>
    <t>TXN_4892629</t>
  </si>
  <si>
    <t>TXN_9025455</t>
  </si>
  <si>
    <t>TXN_9891427</t>
  </si>
  <si>
    <t>TXN_9210943</t>
  </si>
  <si>
    <t>TXN_7188615</t>
  </si>
  <si>
    <t>TXN_9854071</t>
  </si>
  <si>
    <t>TXN_8138424</t>
  </si>
  <si>
    <t>TXN_1523076</t>
  </si>
  <si>
    <t>TXN_4813615</t>
  </si>
  <si>
    <t>TXN_4961176</t>
  </si>
  <si>
    <t>TXN_2140589</t>
  </si>
  <si>
    <t>TXN_7241323</t>
  </si>
  <si>
    <t>TXN_6423634</t>
  </si>
  <si>
    <t>TXN_1012234</t>
  </si>
  <si>
    <t>TXN_8941189</t>
  </si>
  <si>
    <t>TXN_6437858</t>
  </si>
  <si>
    <t>TXN_5539624</t>
  </si>
  <si>
    <t>TXN_7948812</t>
  </si>
  <si>
    <t>TXN_2239985</t>
  </si>
  <si>
    <t>TXN_3838395</t>
  </si>
  <si>
    <t>TXN_1845043</t>
  </si>
  <si>
    <t>TXN_8291984</t>
  </si>
  <si>
    <t>TXN_7799286</t>
  </si>
  <si>
    <t>TXN_4563856</t>
  </si>
  <si>
    <t>TXN_6159378</t>
  </si>
  <si>
    <t>TXN_9433964</t>
  </si>
  <si>
    <t>TXN_8626137</t>
  </si>
  <si>
    <t>TXN_8112678</t>
  </si>
  <si>
    <t>TXN_6177742</t>
  </si>
  <si>
    <t>TXN_1312767</t>
  </si>
  <si>
    <t>TXN_6161762</t>
  </si>
  <si>
    <t>TXN_1904037</t>
  </si>
  <si>
    <t>TXN_1190991</t>
  </si>
  <si>
    <t>TXN_9733008</t>
  </si>
  <si>
    <t>TXN_2394468</t>
  </si>
  <si>
    <t>TXN_2948826</t>
  </si>
  <si>
    <t>TXN_6807818</t>
  </si>
  <si>
    <t>TXN_7561371</t>
  </si>
  <si>
    <t>TXN_4574096</t>
  </si>
  <si>
    <t>TXN_7440936</t>
  </si>
  <si>
    <t>TXN_2959732</t>
  </si>
  <si>
    <t>TXN_6601827</t>
  </si>
  <si>
    <t>TXN_5626224</t>
  </si>
  <si>
    <t>TXN_9004658</t>
  </si>
  <si>
    <t>TXN_7405215</t>
  </si>
  <si>
    <t>TXN_1209700</t>
  </si>
  <si>
    <t>TXN_8730858</t>
  </si>
  <si>
    <t>TXN_2573564</t>
  </si>
  <si>
    <t>TXN_9457772</t>
  </si>
  <si>
    <t>TXN_4978591</t>
  </si>
  <si>
    <t>TXN_2419940</t>
  </si>
  <si>
    <t>TXN_9197649</t>
  </si>
  <si>
    <t>TXN_7241105</t>
  </si>
  <si>
    <t>TXN_9700363</t>
  </si>
  <si>
    <t>TXN_9193687</t>
  </si>
  <si>
    <t>TXN_5985965</t>
  </si>
  <si>
    <t>TXN_3223113</t>
  </si>
  <si>
    <t>TXN_2644918</t>
  </si>
  <si>
    <t>TXN_7516568</t>
  </si>
  <si>
    <t>TXN_7509489</t>
  </si>
  <si>
    <t>TXN_3930213</t>
  </si>
  <si>
    <t>TXN_3275375</t>
  </si>
  <si>
    <t>TXN_3195565</t>
  </si>
  <si>
    <t>TXN_3092030</t>
  </si>
  <si>
    <t>TXN_3422608</t>
  </si>
  <si>
    <t>TXN_2691273</t>
  </si>
  <si>
    <t>TXN_5650094</t>
  </si>
  <si>
    <t>TXN_7281625</t>
  </si>
  <si>
    <t>TXN_5274178</t>
  </si>
  <si>
    <t>TXN_2788225</t>
  </si>
  <si>
    <t>TXN_2041111</t>
  </si>
  <si>
    <t>TXN_8076769</t>
  </si>
  <si>
    <t>TXN_3630133</t>
  </si>
  <si>
    <t>TXN_2815543</t>
  </si>
  <si>
    <t>TXN_2028406</t>
  </si>
  <si>
    <t>TXN_4123570</t>
  </si>
  <si>
    <t>TXN_2356331</t>
  </si>
  <si>
    <t>TXN_1555216</t>
  </si>
  <si>
    <t>TXN_2620396</t>
  </si>
  <si>
    <t>TXN_4329866</t>
  </si>
  <si>
    <t>TXN_1978173</t>
  </si>
  <si>
    <t>TXN_4501948</t>
  </si>
  <si>
    <t>TXN_6354477</t>
  </si>
  <si>
    <t>TXN_2596191</t>
  </si>
  <si>
    <t>TXN_3435459</t>
  </si>
  <si>
    <t>TXN_6803961</t>
  </si>
  <si>
    <t>TXN_9915974</t>
  </si>
  <si>
    <t>TXN_8720680</t>
  </si>
  <si>
    <t>TXN_9680847</t>
  </si>
  <si>
    <t>TXN_8192943</t>
  </si>
  <si>
    <t>TXN_9245105</t>
  </si>
  <si>
    <t>TXN_3714766</t>
  </si>
  <si>
    <t>TXN_8025918</t>
  </si>
  <si>
    <t>TXN_7185925</t>
  </si>
  <si>
    <t>TXN_8876899</t>
  </si>
  <si>
    <t>TXN_1038078</t>
  </si>
  <si>
    <t>TXN_2849510</t>
  </si>
  <si>
    <t>TXN_3368961</t>
  </si>
  <si>
    <t>TXN_9284320</t>
  </si>
  <si>
    <t>TXN_3762237</t>
  </si>
  <si>
    <t>TXN_6856074</t>
  </si>
  <si>
    <t>TXN_6974117</t>
  </si>
  <si>
    <t>TXN_9827837</t>
  </si>
  <si>
    <t>TXN_6325122</t>
  </si>
  <si>
    <t>TXN_1517466</t>
  </si>
  <si>
    <t>TXN_9027497</t>
  </si>
  <si>
    <t>TXN_6478148</t>
  </si>
  <si>
    <t>TXN_3356979</t>
  </si>
  <si>
    <t>TXN_4939015</t>
  </si>
  <si>
    <t>TXN_3798801</t>
  </si>
  <si>
    <t>TXN_2294583</t>
  </si>
  <si>
    <t>TXN_6544404</t>
  </si>
  <si>
    <t>TXN_6359024</t>
  </si>
  <si>
    <t>TXN_5419806</t>
  </si>
  <si>
    <t>TXN_2372678</t>
  </si>
  <si>
    <t>TXN_2042782</t>
  </si>
  <si>
    <t>TXN_9571758</t>
  </si>
  <si>
    <t>TXN_7347365</t>
  </si>
  <si>
    <t>TXN_8408205</t>
  </si>
  <si>
    <t>TXN_1245404</t>
  </si>
  <si>
    <t>TXN_8265493</t>
  </si>
  <si>
    <t>TXN_2803747</t>
  </si>
  <si>
    <t>TXN_2963897</t>
  </si>
  <si>
    <t>TXN_4892743</t>
  </si>
  <si>
    <t>TXN_9618289</t>
  </si>
  <si>
    <t>TXN_7699654</t>
  </si>
  <si>
    <t>TXN_5220094</t>
  </si>
  <si>
    <t>TXN_9398801</t>
  </si>
  <si>
    <t>TXN_2369166</t>
  </si>
  <si>
    <t>TXN_2780567</t>
  </si>
  <si>
    <t>TXN_9986826</t>
  </si>
  <si>
    <t>TXN_6950467</t>
  </si>
  <si>
    <t>TXN_6851800</t>
  </si>
  <si>
    <t>TXN_7577984</t>
  </si>
  <si>
    <t>TXN_4063797</t>
  </si>
  <si>
    <t>TXN_3703356</t>
  </si>
  <si>
    <t>TXN_3277547</t>
  </si>
  <si>
    <t>TXN_9403711</t>
  </si>
  <si>
    <t>TXN_9013444</t>
  </si>
  <si>
    <t>TXN_6569610</t>
  </si>
  <si>
    <t>TXN_6239964</t>
  </si>
  <si>
    <t>TXN_2660107</t>
  </si>
  <si>
    <t>TXN_1155771</t>
  </si>
  <si>
    <t>TXN_6053470</t>
  </si>
  <si>
    <t>TXN_6959909</t>
  </si>
  <si>
    <t>TXN_4565790</t>
  </si>
  <si>
    <t>TXN_7697399</t>
  </si>
  <si>
    <t>TXN_5503303</t>
  </si>
  <si>
    <t>TXN_3068745</t>
  </si>
  <si>
    <t>TXN_6123799</t>
  </si>
  <si>
    <t>TXN_7490771</t>
  </si>
  <si>
    <t>TXN_3013542</t>
  </si>
  <si>
    <t>TXN_4688183</t>
  </si>
  <si>
    <t>TXN_3688977</t>
  </si>
  <si>
    <t>TXN_7224248</t>
  </si>
  <si>
    <t>TXN_7379840</t>
  </si>
  <si>
    <t>TXN_7507547</t>
  </si>
  <si>
    <t>TXN_5930877</t>
  </si>
  <si>
    <t>TXN_3892960</t>
  </si>
  <si>
    <t>TXN_7847697</t>
  </si>
  <si>
    <t>TXN_2270221</t>
  </si>
  <si>
    <t>TXN_8330302</t>
  </si>
  <si>
    <t>TXN_8335285</t>
  </si>
  <si>
    <t>TXN_4022379</t>
  </si>
  <si>
    <t>TXN_9314890</t>
  </si>
  <si>
    <t>TXN_2100342</t>
  </si>
  <si>
    <t>TXN_4565865</t>
  </si>
  <si>
    <t>TXN_7969117</t>
  </si>
  <si>
    <t>TXN_9763916</t>
  </si>
  <si>
    <t>TXN_3587475</t>
  </si>
  <si>
    <t>TXN_7658348</t>
  </si>
  <si>
    <t>TXN_6576319</t>
  </si>
  <si>
    <t>TXN_1840200</t>
  </si>
  <si>
    <t>TXN_4563536</t>
  </si>
  <si>
    <t>TXN_4390681</t>
  </si>
  <si>
    <t>TXN_4641997</t>
  </si>
  <si>
    <t>TXN_3053530</t>
  </si>
  <si>
    <t>TXN_4152048</t>
  </si>
  <si>
    <t>TXN_9827840</t>
  </si>
  <si>
    <t>TXN_1078497</t>
  </si>
  <si>
    <t>TXN_4280011</t>
  </si>
  <si>
    <t>TXN_9592651</t>
  </si>
  <si>
    <t>TXN_8891020</t>
  </si>
  <si>
    <t>TXN_3368057</t>
  </si>
  <si>
    <t>TXN_7390600</t>
  </si>
  <si>
    <t>TXN_7855690</t>
  </si>
  <si>
    <t>TXN_6439601</t>
  </si>
  <si>
    <t>TXN_5978239</t>
  </si>
  <si>
    <t>TXN_7045491</t>
  </si>
  <si>
    <t>TXN_3546752</t>
  </si>
  <si>
    <t>TXN_3244040</t>
  </si>
  <si>
    <t>TXN_4211434</t>
  </si>
  <si>
    <t>TXN_5746841</t>
  </si>
  <si>
    <t>TXN_2474939</t>
  </si>
  <si>
    <t>TXN_2516384</t>
  </si>
  <si>
    <t>TXN_7910126</t>
  </si>
  <si>
    <t>TXN_2628993</t>
  </si>
  <si>
    <t>TXN_9889065</t>
  </si>
  <si>
    <t>TXN_1514654</t>
  </si>
  <si>
    <t>TXN_4199863</t>
  </si>
  <si>
    <t>TXN_4435281</t>
  </si>
  <si>
    <t>TXN_5233566</t>
  </si>
  <si>
    <t>TXN_2871171</t>
  </si>
  <si>
    <t>Item_9_BUT</t>
  </si>
  <si>
    <t>TXN_4398240</t>
  </si>
  <si>
    <t>TXN_9885558</t>
  </si>
  <si>
    <t>TXN_6638995</t>
  </si>
  <si>
    <t>TXN_9525639</t>
  </si>
  <si>
    <t>TXN_6843942</t>
  </si>
  <si>
    <t>TXN_1848720</t>
  </si>
  <si>
    <t>TXN_5901894</t>
  </si>
  <si>
    <t>TXN_2500273</t>
  </si>
  <si>
    <t>TXN_6833313</t>
  </si>
  <si>
    <t>TXN_8842777</t>
  </si>
  <si>
    <t>TXN_5629949</t>
  </si>
  <si>
    <t>TXN_7016226</t>
  </si>
  <si>
    <t>TXN_1201615</t>
  </si>
  <si>
    <t>TXN_6229274</t>
  </si>
  <si>
    <t>TXN_7645274</t>
  </si>
  <si>
    <t>TXN_7460674</t>
  </si>
  <si>
    <t>TXN_9643570</t>
  </si>
  <si>
    <t>TXN_5017412</t>
  </si>
  <si>
    <t>TXN_8062274</t>
  </si>
  <si>
    <t>TXN_2504304</t>
  </si>
  <si>
    <t>TXN_5235086</t>
  </si>
  <si>
    <t>TXN_8397249</t>
  </si>
  <si>
    <t>TXN_5936172</t>
  </si>
  <si>
    <t>TXN_1794054</t>
  </si>
  <si>
    <t>TXN_4417030</t>
  </si>
  <si>
    <t>TXN_1385062</t>
  </si>
  <si>
    <t>TXN_1205880</t>
  </si>
  <si>
    <t>TXN_6642052</t>
  </si>
  <si>
    <t>TXN_6147473</t>
  </si>
  <si>
    <t>TXN_6570351</t>
  </si>
  <si>
    <t>TXN_7127612</t>
  </si>
  <si>
    <t>TXN_1189571</t>
  </si>
  <si>
    <t>TXN_9661826</t>
  </si>
  <si>
    <t>TXN_7261721</t>
  </si>
  <si>
    <t>TXN_9256493</t>
  </si>
  <si>
    <t>TXN_5119908</t>
  </si>
  <si>
    <t>TXN_9684431</t>
  </si>
  <si>
    <t>TXN_3712938</t>
  </si>
  <si>
    <t>TXN_9182264</t>
  </si>
  <si>
    <t>TXN_3557485</t>
  </si>
  <si>
    <t>TXN_5735627</t>
  </si>
  <si>
    <t>TXN_4430414</t>
  </si>
  <si>
    <t>TXN_4972574</t>
  </si>
  <si>
    <t>TXN_6852196</t>
  </si>
  <si>
    <t>TXN_3056063</t>
  </si>
  <si>
    <t>TXN_3784506</t>
  </si>
  <si>
    <t>TXN_8639287</t>
  </si>
  <si>
    <t>TXN_2951334</t>
  </si>
  <si>
    <t>TXN_8462959</t>
  </si>
  <si>
    <t>TXN_5888368</t>
  </si>
  <si>
    <t>TXN_3057167</t>
  </si>
  <si>
    <t>TXN_6923467</t>
  </si>
  <si>
    <t>TXN_2734881</t>
  </si>
  <si>
    <t>TXN_3899797</t>
  </si>
  <si>
    <t>TXN_7469530</t>
  </si>
  <si>
    <t>TXN_3194759</t>
  </si>
  <si>
    <t>TXN_7095637</t>
  </si>
  <si>
    <t>TXN_5515525</t>
  </si>
  <si>
    <t>TXN_1788104</t>
  </si>
  <si>
    <t>TXN_6736227</t>
  </si>
  <si>
    <t>TXN_3267850</t>
  </si>
  <si>
    <t>TXN_9065545</t>
  </si>
  <si>
    <t>TXN_8983531</t>
  </si>
  <si>
    <t>TXN_5374866</t>
  </si>
  <si>
    <t>TXN_4452311</t>
  </si>
  <si>
    <t>TXN_5171621</t>
  </si>
  <si>
    <t>TXN_7279836</t>
  </si>
  <si>
    <t>TXN_4558801</t>
  </si>
  <si>
    <t>TXN_2666524</t>
  </si>
  <si>
    <t>TXN_9333754</t>
  </si>
  <si>
    <t>TXN_2485997</t>
  </si>
  <si>
    <t>TXN_6319740</t>
  </si>
  <si>
    <t>TXN_6008493</t>
  </si>
  <si>
    <t>TXN_8041482</t>
  </si>
  <si>
    <t>TXN_3766245</t>
  </si>
  <si>
    <t>TXN_3268863</t>
  </si>
  <si>
    <t>TXN_3312414</t>
  </si>
  <si>
    <t>TXN_9136172</t>
  </si>
  <si>
    <t>TXN_3869362</t>
  </si>
  <si>
    <t>TXN_4628551</t>
  </si>
  <si>
    <t>TXN_7282686</t>
  </si>
  <si>
    <t>TXN_9850588</t>
  </si>
  <si>
    <t>TXN_4905063</t>
  </si>
  <si>
    <t>TXN_9574817</t>
  </si>
  <si>
    <t>TXN_5525894</t>
  </si>
  <si>
    <t>TXN_7193311</t>
  </si>
  <si>
    <t>TXN_9350737</t>
  </si>
  <si>
    <t>TXN_7574833</t>
  </si>
  <si>
    <t>TXN_6500682</t>
  </si>
  <si>
    <t>TXN_5200496</t>
  </si>
  <si>
    <t>TXN_9635473</t>
  </si>
  <si>
    <t>TXN_8050462</t>
  </si>
  <si>
    <t>TXN_8869237</t>
  </si>
  <si>
    <t>TXN_8836103</t>
  </si>
  <si>
    <t>TXN_6981443</t>
  </si>
  <si>
    <t>TXN_7765581</t>
  </si>
  <si>
    <t>TXN_3243189</t>
  </si>
  <si>
    <t>TXN_9533237</t>
  </si>
  <si>
    <t>TXN_3443190</t>
  </si>
  <si>
    <t>TXN_3008761</t>
  </si>
  <si>
    <t>TXN_4534121</t>
  </si>
  <si>
    <t>TXN_9425683</t>
  </si>
  <si>
    <t>TXN_7224309</t>
  </si>
  <si>
    <t>TXN_7752590</t>
  </si>
  <si>
    <t>TXN_8782421</t>
  </si>
  <si>
    <t>TXN_9216790</t>
  </si>
  <si>
    <t>TXN_7780264</t>
  </si>
  <si>
    <t>TXN_5582053</t>
  </si>
  <si>
    <t>TXN_7797020</t>
  </si>
  <si>
    <t>TXN_4183197</t>
  </si>
  <si>
    <t>TXN_8607752</t>
  </si>
  <si>
    <t>TXN_8877404</t>
  </si>
  <si>
    <t>TXN_9944884</t>
  </si>
  <si>
    <t>TXN_9545024</t>
  </si>
  <si>
    <t>TXN_1681196</t>
  </si>
  <si>
    <t>TXN_4678063</t>
  </si>
  <si>
    <t>TXN_2944457</t>
  </si>
  <si>
    <t>TXN_8653690</t>
  </si>
  <si>
    <t>TXN_5449536</t>
  </si>
  <si>
    <t>TXN_2327830</t>
  </si>
  <si>
    <t>TXN_5591807</t>
  </si>
  <si>
    <t>TXN_8335588</t>
  </si>
  <si>
    <t>TXN_6396944</t>
  </si>
  <si>
    <t>TXN_9389617</t>
  </si>
  <si>
    <t>TXN_2080372</t>
  </si>
  <si>
    <t>TXN_3416118</t>
  </si>
  <si>
    <t>TXN_2605225</t>
  </si>
  <si>
    <t>TXN_7189011</t>
  </si>
  <si>
    <t>TXN_1903317</t>
  </si>
  <si>
    <t>TXN_8900578</t>
  </si>
  <si>
    <t>TXN_1772393</t>
  </si>
  <si>
    <t>TXN_3344378</t>
  </si>
  <si>
    <t>TXN_7424367</t>
  </si>
  <si>
    <t>TXN_3624008</t>
  </si>
  <si>
    <t>TXN_9431847</t>
  </si>
  <si>
    <t>TXN_8007376</t>
  </si>
  <si>
    <t>TXN_6124315</t>
  </si>
  <si>
    <t>TXN_2527115</t>
  </si>
  <si>
    <t>TXN_7478809</t>
  </si>
  <si>
    <t>TXN_8846213</t>
  </si>
  <si>
    <t>TXN_3315463</t>
  </si>
  <si>
    <t>TXN_7130562</t>
  </si>
  <si>
    <t>TXN_7004172</t>
  </si>
  <si>
    <t>TXN_5806136</t>
  </si>
  <si>
    <t>TXN_8017386</t>
  </si>
  <si>
    <t>TXN_7151856</t>
  </si>
  <si>
    <t>TXN_2239008</t>
  </si>
  <si>
    <t>TXN_5192766</t>
  </si>
  <si>
    <t>TXN_8203879</t>
  </si>
  <si>
    <t>TXN_5703601</t>
  </si>
  <si>
    <t>TXN_9342543</t>
  </si>
  <si>
    <t>TXN_1966846</t>
  </si>
  <si>
    <t>TXN_5307105</t>
  </si>
  <si>
    <t>TXN_6083435</t>
  </si>
  <si>
    <t>TXN_1405939</t>
  </si>
  <si>
    <t>TXN_5721746</t>
  </si>
  <si>
    <t>TXN_6360570</t>
  </si>
  <si>
    <t>TXN_4537208</t>
  </si>
  <si>
    <t>TXN_2991066</t>
  </si>
  <si>
    <t>TXN_5728167</t>
  </si>
  <si>
    <t>TXN_7871836</t>
  </si>
  <si>
    <t>TXN_7133484</t>
  </si>
  <si>
    <t>TXN_9869914</t>
  </si>
  <si>
    <t>TXN_3287970</t>
  </si>
  <si>
    <t>TXN_5358578</t>
  </si>
  <si>
    <t>TXN_2216540</t>
  </si>
  <si>
    <t>TXN_8932922</t>
  </si>
  <si>
    <t>TXN_6166231</t>
  </si>
  <si>
    <t>TXN_9454768</t>
  </si>
  <si>
    <t>TXN_3832517</t>
  </si>
  <si>
    <t>TXN_3508176</t>
  </si>
  <si>
    <t>TXN_3647376</t>
  </si>
  <si>
    <t>TXN_4425254</t>
  </si>
  <si>
    <t>TXN_3892749</t>
  </si>
  <si>
    <t>TXN_7350444</t>
  </si>
  <si>
    <t>TXN_5069841</t>
  </si>
  <si>
    <t>TXN_2844235</t>
  </si>
  <si>
    <t>TXN_1513546</t>
  </si>
  <si>
    <t>TXN_1608080</t>
  </si>
  <si>
    <t>TXN_1515270</t>
  </si>
  <si>
    <t>TXN_9800846</t>
  </si>
  <si>
    <t>TXN_3152731</t>
  </si>
  <si>
    <t>TXN_5281103</t>
  </si>
  <si>
    <t>TXN_8263343</t>
  </si>
  <si>
    <t>TXN_1991242</t>
  </si>
  <si>
    <t>TXN_2986216</t>
  </si>
  <si>
    <t>TXN_2391516</t>
  </si>
  <si>
    <t>TXN_5469699</t>
  </si>
  <si>
    <t>TXN_3268543</t>
  </si>
  <si>
    <t>TXN_5117599</t>
  </si>
  <si>
    <t>TXN_8727312</t>
  </si>
  <si>
    <t>TXN_6421356</t>
  </si>
  <si>
    <t>TXN_8904317</t>
  </si>
  <si>
    <t>TXN_5252548</t>
  </si>
  <si>
    <t>TXN_9444660</t>
  </si>
  <si>
    <t>TXN_2027533</t>
  </si>
  <si>
    <t>TXN_6043282</t>
  </si>
  <si>
    <t>TXN_5863441</t>
  </si>
  <si>
    <t>TXN_6319342</t>
  </si>
  <si>
    <t>TXN_7925229</t>
  </si>
  <si>
    <t>TXN_8017236</t>
  </si>
  <si>
    <t>TXN_7694831</t>
  </si>
  <si>
    <t>TXN_7610612</t>
  </si>
  <si>
    <t>TXN_5946038</t>
  </si>
  <si>
    <t>TXN_9874732</t>
  </si>
  <si>
    <t>TXN_5530234</t>
  </si>
  <si>
    <t>TXN_7548617</t>
  </si>
  <si>
    <t>TXN_2301934</t>
  </si>
  <si>
    <t>TXN_8636007</t>
  </si>
  <si>
    <t>TXN_6696815</t>
  </si>
  <si>
    <t>TXN_4962334</t>
  </si>
  <si>
    <t>TXN_1383402</t>
  </si>
  <si>
    <t>TXN_1282545</t>
  </si>
  <si>
    <t>TXN_1766741</t>
  </si>
  <si>
    <t>TXN_9709127</t>
  </si>
  <si>
    <t>TXN_7179624</t>
  </si>
  <si>
    <t>TXN_6175359</t>
  </si>
  <si>
    <t>TXN_1074265</t>
  </si>
  <si>
    <t>TXN_7748483</t>
  </si>
  <si>
    <t>TXN_3636944</t>
  </si>
  <si>
    <t>TXN_8388138</t>
  </si>
  <si>
    <t>TXN_4205231</t>
  </si>
  <si>
    <t>TXN_8122173</t>
  </si>
  <si>
    <t>TXN_6709296</t>
  </si>
  <si>
    <t>TXN_8566128</t>
  </si>
  <si>
    <t>TXN_4289142</t>
  </si>
  <si>
    <t>TXN_6887267</t>
  </si>
  <si>
    <t>TXN_5153449</t>
  </si>
  <si>
    <t>TXN_5364503</t>
  </si>
  <si>
    <t>TXN_6849972</t>
  </si>
  <si>
    <t>TXN_2987709</t>
  </si>
  <si>
    <t>TXN_6693770</t>
  </si>
  <si>
    <t>TXN_8229538</t>
  </si>
  <si>
    <t>TXN_4373603</t>
  </si>
  <si>
    <t>TXN_7560356</t>
  </si>
  <si>
    <t>TXN_5280034</t>
  </si>
  <si>
    <t>TXN_4606507</t>
  </si>
  <si>
    <t>TXN_5165507</t>
  </si>
  <si>
    <t>TXN_6283478</t>
  </si>
  <si>
    <t>TXN_9493723</t>
  </si>
  <si>
    <t>TXN_4641540</t>
  </si>
  <si>
    <t>TXN_4854529</t>
  </si>
  <si>
    <t>TXN_5923084</t>
  </si>
  <si>
    <t>TXN_5321918</t>
  </si>
  <si>
    <t>TXN_1514611</t>
  </si>
  <si>
    <t>TXN_8560915</t>
  </si>
  <si>
    <t>TXN_9701250</t>
  </si>
  <si>
    <t>TXN_6698401</t>
  </si>
  <si>
    <t>TXN_7522804</t>
  </si>
  <si>
    <t>TXN_6429023</t>
  </si>
  <si>
    <t>TXN_9112753</t>
  </si>
  <si>
    <t>TXN_1862542</t>
  </si>
  <si>
    <t>TXN_3293968</t>
  </si>
  <si>
    <t>TXN_6092112</t>
  </si>
  <si>
    <t>TXN_1859813</t>
  </si>
  <si>
    <t>TXN_5859101</t>
  </si>
  <si>
    <t>TXN_8988079</t>
  </si>
  <si>
    <t>TXN_2378312</t>
  </si>
  <si>
    <t>TXN_6765730</t>
  </si>
  <si>
    <t>TXN_1194790</t>
  </si>
  <si>
    <t>TXN_3791096</t>
  </si>
  <si>
    <t>TXN_5739751</t>
  </si>
  <si>
    <t>TXN_7588153</t>
  </si>
  <si>
    <t>TXN_1534522</t>
  </si>
  <si>
    <t>TXN_8405907</t>
  </si>
  <si>
    <t>TXN_1002182</t>
  </si>
  <si>
    <t>TXN_5500378</t>
  </si>
  <si>
    <t>TXN_1137120</t>
  </si>
  <si>
    <t>TXN_4204523</t>
  </si>
  <si>
    <t>TXN_2900282</t>
  </si>
  <si>
    <t>TXN_6766113</t>
  </si>
  <si>
    <t>TXN_1558304</t>
  </si>
  <si>
    <t>TXN_6118432</t>
  </si>
  <si>
    <t>TXN_1894434</t>
  </si>
  <si>
    <t>TXN_1398307</t>
  </si>
  <si>
    <t>TXN_6207746</t>
  </si>
  <si>
    <t>TXN_8786372</t>
  </si>
  <si>
    <t>TXN_2250165</t>
  </si>
  <si>
    <t>TXN_7919038</t>
  </si>
  <si>
    <t>TXN_7814081</t>
  </si>
  <si>
    <t>TXN_5597499</t>
  </si>
  <si>
    <t>TXN_9203083</t>
  </si>
  <si>
    <t>TXN_8691499</t>
  </si>
  <si>
    <t>TXN_2481480</t>
  </si>
  <si>
    <t>TXN_7839304</t>
  </si>
  <si>
    <t>TXN_5881214</t>
  </si>
  <si>
    <t>TXN_5323387</t>
  </si>
  <si>
    <t>TXN_5991314</t>
  </si>
  <si>
    <t>TXN_8584185</t>
  </si>
  <si>
    <t>TXN_4037099</t>
  </si>
  <si>
    <t>TXN_9531274</t>
  </si>
  <si>
    <t>TXN_6395052</t>
  </si>
  <si>
    <t>TXN_7787171</t>
  </si>
  <si>
    <t>TXN_5756608</t>
  </si>
  <si>
    <t>TXN_4506079</t>
  </si>
  <si>
    <t>TXN_2122383</t>
  </si>
  <si>
    <t>TXN_1818008</t>
  </si>
  <si>
    <t>TXN_3231618</t>
  </si>
  <si>
    <t>TXN_7949571</t>
  </si>
  <si>
    <t>TXN_8228754</t>
  </si>
  <si>
    <t>TXN_4636584</t>
  </si>
  <si>
    <t>TXN_1338239</t>
  </si>
  <si>
    <t>TXN_5801836</t>
  </si>
  <si>
    <t>TXN_9989610</t>
  </si>
  <si>
    <t>TXN_8817845</t>
  </si>
  <si>
    <t>TXN_3280390</t>
  </si>
  <si>
    <t>TXN_8625188</t>
  </si>
  <si>
    <t>TXN_8974501</t>
  </si>
  <si>
    <t>TXN_7781176</t>
  </si>
  <si>
    <t>TXN_9362268</t>
  </si>
  <si>
    <t>TXN_1021914</t>
  </si>
  <si>
    <t>TXN_6029235</t>
  </si>
  <si>
    <t>TXN_1091462</t>
  </si>
  <si>
    <t>TXN_4751499</t>
  </si>
  <si>
    <t>TXN_9446585</t>
  </si>
  <si>
    <t>TXN_9069543</t>
  </si>
  <si>
    <t>TXN_3475563</t>
  </si>
  <si>
    <t>TXN_8678715</t>
  </si>
  <si>
    <t>TXN_7169866</t>
  </si>
  <si>
    <t>TXN_8655378</t>
  </si>
  <si>
    <t>TXN_3603189</t>
  </si>
  <si>
    <t>TXN_2054145</t>
  </si>
  <si>
    <t>TXN_3012172</t>
  </si>
  <si>
    <t>TXN_4748533</t>
  </si>
  <si>
    <t>TXN_1153259</t>
  </si>
  <si>
    <t>TXN_2739207</t>
  </si>
  <si>
    <t>TXN_3150131</t>
  </si>
  <si>
    <t>TXN_3628073</t>
  </si>
  <si>
    <t>TXN_3576295</t>
  </si>
  <si>
    <t>TXN_2331907</t>
  </si>
  <si>
    <t>TXN_1980053</t>
  </si>
  <si>
    <t>TXN_5678403</t>
  </si>
  <si>
    <t>TXN_9379604</t>
  </si>
  <si>
    <t>TXN_5721686</t>
  </si>
  <si>
    <t>TXN_2256891</t>
  </si>
  <si>
    <t>TXN_4224556</t>
  </si>
  <si>
    <t>TXN_3066671</t>
  </si>
  <si>
    <t>TXN_1518573</t>
  </si>
  <si>
    <t>TXN_8437627</t>
  </si>
  <si>
    <t>TXN_8615080</t>
  </si>
  <si>
    <t>TXN_6615723</t>
  </si>
  <si>
    <t>TXN_9731608</t>
  </si>
  <si>
    <t>TXN_4324046</t>
  </si>
  <si>
    <t>TXN_2848161</t>
  </si>
  <si>
    <t>TXN_5100596</t>
  </si>
  <si>
    <t>TXN_2321189</t>
  </si>
  <si>
    <t>TXN_5592067</t>
  </si>
  <si>
    <t>TXN_6651159</t>
  </si>
  <si>
    <t>TXN_6510149</t>
  </si>
  <si>
    <t>TXN_5219312</t>
  </si>
  <si>
    <t>TXN_1235721</t>
  </si>
  <si>
    <t>TXN_4656191</t>
  </si>
  <si>
    <t>TXN_3220505</t>
  </si>
  <si>
    <t>TXN_6115131</t>
  </si>
  <si>
    <t>TXN_6053836</t>
  </si>
  <si>
    <t>TXN_9416079</t>
  </si>
  <si>
    <t>TXN_6685616</t>
  </si>
  <si>
    <t>TXN_2222267</t>
  </si>
  <si>
    <t>TXN_8381171</t>
  </si>
  <si>
    <t>TXN_2449565</t>
  </si>
  <si>
    <t>TXN_5308350</t>
  </si>
  <si>
    <t>TXN_7670020</t>
  </si>
  <si>
    <t>TXN_5459334</t>
  </si>
  <si>
    <t>TXN_2497415</t>
  </si>
  <si>
    <t>TXN_6980149</t>
  </si>
  <si>
    <t>TXN_2070726</t>
  </si>
  <si>
    <t>TXN_4832015</t>
  </si>
  <si>
    <t>TXN_2714155</t>
  </si>
  <si>
    <t>TXN_3362535</t>
  </si>
  <si>
    <t>TXN_8805006</t>
  </si>
  <si>
    <t>TXN_6045260</t>
  </si>
  <si>
    <t>TXN_5704093</t>
  </si>
  <si>
    <t>TXN_2882366</t>
  </si>
  <si>
    <t>TXN_6531036</t>
  </si>
  <si>
    <t>TXN_9460532</t>
  </si>
  <si>
    <t>TXN_4043491</t>
  </si>
  <si>
    <t>TXN_8225628</t>
  </si>
  <si>
    <t>TXN_5502375</t>
  </si>
  <si>
    <t>TXN_1312186</t>
  </si>
  <si>
    <t>TXN_9365954</t>
  </si>
  <si>
    <t>TXN_3671598</t>
  </si>
  <si>
    <t>TXN_7017414</t>
  </si>
  <si>
    <t>TXN_6877528</t>
  </si>
  <si>
    <t>TXN_5799921</t>
  </si>
  <si>
    <t>TXN_3664114</t>
  </si>
  <si>
    <t>TXN_9413476</t>
  </si>
  <si>
    <t>TXN_1135069</t>
  </si>
  <si>
    <t>TXN_3363826</t>
  </si>
  <si>
    <t>TXN_9629561</t>
  </si>
  <si>
    <t>TXN_5210678</t>
  </si>
  <si>
    <t>TXN_2027461</t>
  </si>
  <si>
    <t>TXN_8489499</t>
  </si>
  <si>
    <t>TXN_9410689</t>
  </si>
  <si>
    <t>TXN_2131741</t>
  </si>
  <si>
    <t>TXN_2519309</t>
  </si>
  <si>
    <t>TXN_5486919</t>
  </si>
  <si>
    <t>TXN_6806724</t>
  </si>
  <si>
    <t>TXN_4975949</t>
  </si>
  <si>
    <t>TXN_4832164</t>
  </si>
  <si>
    <t>TXN_3581464</t>
  </si>
  <si>
    <t>TXN_4290067</t>
  </si>
  <si>
    <t>TXN_5602800</t>
  </si>
  <si>
    <t>TXN_2826177</t>
  </si>
  <si>
    <t>TXN_5521089</t>
  </si>
  <si>
    <t>TXN_9237182</t>
  </si>
  <si>
    <t>TXN_4011197</t>
  </si>
  <si>
    <t>TXN_2748100</t>
  </si>
  <si>
    <t>TXN_9205907</t>
  </si>
  <si>
    <t>TXN_2161304</t>
  </si>
  <si>
    <t>TXN_9532162</t>
  </si>
  <si>
    <t>TXN_4454635</t>
  </si>
  <si>
    <t>TXN_2442220</t>
  </si>
  <si>
    <t>TXN_9233022</t>
  </si>
  <si>
    <t>TXN_3554015</t>
  </si>
  <si>
    <t>TXN_6934967</t>
  </si>
  <si>
    <t>TXN_9282140</t>
  </si>
  <si>
    <t>TXN_4974891</t>
  </si>
  <si>
    <t>TXN_3425466</t>
  </si>
  <si>
    <t>TXN_9118242</t>
  </si>
  <si>
    <t>TXN_8070639</t>
  </si>
  <si>
    <t>TXN_3525754</t>
  </si>
  <si>
    <t>TXN_4279673</t>
  </si>
  <si>
    <t>TXN_5035012</t>
  </si>
  <si>
    <t>TXN_8858265</t>
  </si>
  <si>
    <t>TXN_5732366</t>
  </si>
  <si>
    <t>TXN_3066628</t>
  </si>
  <si>
    <t>TXN_5582373</t>
  </si>
  <si>
    <t>TXN_1238927</t>
  </si>
  <si>
    <t>TXN_5629281</t>
  </si>
  <si>
    <t>TXN_5824634</t>
  </si>
  <si>
    <t>TXN_3958528</t>
  </si>
  <si>
    <t>TXN_2501720</t>
  </si>
  <si>
    <t>TXN_9621073</t>
  </si>
  <si>
    <t>TXN_3138109</t>
  </si>
  <si>
    <t>TXN_5601134</t>
  </si>
  <si>
    <t>TXN_8229465</t>
  </si>
  <si>
    <t>TXN_5152688</t>
  </si>
  <si>
    <t>TXN_1869204</t>
  </si>
  <si>
    <t>TXN_5000043</t>
  </si>
  <si>
    <t>TXN_8667891</t>
  </si>
  <si>
    <t>TXN_1540809</t>
  </si>
  <si>
    <t>TXN_4425516</t>
  </si>
  <si>
    <t>TXN_6734375</t>
  </si>
  <si>
    <t>TXN_6780379</t>
  </si>
  <si>
    <t>TXN_8623799</t>
  </si>
  <si>
    <t>TXN_1316715</t>
  </si>
  <si>
    <t>TXN_8700100</t>
  </si>
  <si>
    <t>TXN_9967438</t>
  </si>
  <si>
    <t>TXN_2929525</t>
  </si>
  <si>
    <t>TXN_1974758</t>
  </si>
  <si>
    <t>TXN_2414726</t>
  </si>
  <si>
    <t>TXN_1018578</t>
  </si>
  <si>
    <t>TXN_2940238</t>
  </si>
  <si>
    <t>TXN_8331386</t>
  </si>
  <si>
    <t>TXN_4533445</t>
  </si>
  <si>
    <t>TXN_1796772</t>
  </si>
  <si>
    <t>TXN_5356491</t>
  </si>
  <si>
    <t>TXN_5027059</t>
  </si>
  <si>
    <t>TXN_2684604</t>
  </si>
  <si>
    <t>TXN_6591705</t>
  </si>
  <si>
    <t>TXN_3684265</t>
  </si>
  <si>
    <t>TXN_1852878</t>
  </si>
  <si>
    <t>TXN_6064040</t>
  </si>
  <si>
    <t>TXN_6559162</t>
  </si>
  <si>
    <t>TXN_9870030</t>
  </si>
  <si>
    <t>TXN_7918707</t>
  </si>
  <si>
    <t>TXN_8393818</t>
  </si>
  <si>
    <t>TXN_1212058</t>
  </si>
  <si>
    <t>TXN_3476786</t>
  </si>
  <si>
    <t>TXN_2271740</t>
  </si>
  <si>
    <t>TXN_5936766</t>
  </si>
  <si>
    <t>TXN_5913491</t>
  </si>
  <si>
    <t>TXN_5210938</t>
  </si>
  <si>
    <t>TXN_2279017</t>
  </si>
  <si>
    <t>TXN_3085712</t>
  </si>
  <si>
    <t>TXN_2253495</t>
  </si>
  <si>
    <t>TXN_2374919</t>
  </si>
  <si>
    <t>TXN_9810114</t>
  </si>
  <si>
    <t>TXN_7824771</t>
  </si>
  <si>
    <t>TXN_5389189</t>
  </si>
  <si>
    <t>TXN_1993899</t>
  </si>
  <si>
    <t>TXN_5702698</t>
  </si>
  <si>
    <t>TXN_1475185</t>
  </si>
  <si>
    <t>TXN_4098880</t>
  </si>
  <si>
    <t>TXN_6554226</t>
  </si>
  <si>
    <t>TXN_6275399</t>
  </si>
  <si>
    <t>TXN_5526147</t>
  </si>
  <si>
    <t>TXN_6917797</t>
  </si>
  <si>
    <t>TXN_6873857</t>
  </si>
  <si>
    <t>TXN_1361319</t>
  </si>
  <si>
    <t>TXN_3294760</t>
  </si>
  <si>
    <t>TXN_4509243</t>
  </si>
  <si>
    <t>TXN_5613059</t>
  </si>
  <si>
    <t>TXN_2738816</t>
  </si>
  <si>
    <t>TXN_5671863</t>
  </si>
  <si>
    <t>TXN_6071236</t>
  </si>
  <si>
    <t>TXN_9684520</t>
  </si>
  <si>
    <t>TXN_3782657</t>
  </si>
  <si>
    <t>TXN_8910219</t>
  </si>
  <si>
    <t>TXN_3437398</t>
  </si>
  <si>
    <t>TXN_6383474</t>
  </si>
  <si>
    <t>TXN_5321202</t>
  </si>
  <si>
    <t>TXN_7755695</t>
  </si>
  <si>
    <t>TXN_4641713</t>
  </si>
  <si>
    <t>TXN_8855788</t>
  </si>
  <si>
    <t>TXN_1334354</t>
  </si>
  <si>
    <t>TXN_3147712</t>
  </si>
  <si>
    <t>TXN_1432078</t>
  </si>
  <si>
    <t>TXN_1365756</t>
  </si>
  <si>
    <t>TXN_6661813</t>
  </si>
  <si>
    <t>TXN_6569843</t>
  </si>
  <si>
    <t>TXN_8760430</t>
  </si>
  <si>
    <t>TXN_7385950</t>
  </si>
  <si>
    <t>TXN_5405178</t>
  </si>
  <si>
    <t>TXN_7582930</t>
  </si>
  <si>
    <t>TXN_6234282</t>
  </si>
  <si>
    <t>TXN_1471121</t>
  </si>
  <si>
    <t>TXN_3398355</t>
  </si>
  <si>
    <t>TXN_3546074</t>
  </si>
  <si>
    <t>TXN_6564035</t>
  </si>
  <si>
    <t>TXN_8575100</t>
  </si>
  <si>
    <t>TXN_5002416</t>
  </si>
  <si>
    <t>TXN_9594272</t>
  </si>
  <si>
    <t>TXN_6012250</t>
  </si>
  <si>
    <t>TXN_5386801</t>
  </si>
  <si>
    <t>TXN_7936044</t>
  </si>
  <si>
    <t>TXN_9062805</t>
  </si>
  <si>
    <t>TXN_2506516</t>
  </si>
  <si>
    <t>TXN_4541742</t>
  </si>
  <si>
    <t>TXN_7358459</t>
  </si>
  <si>
    <t>TXN_6533713</t>
  </si>
  <si>
    <t>TXN_7816064</t>
  </si>
  <si>
    <t>TXN_6519351</t>
  </si>
  <si>
    <t>TXN_3617341</t>
  </si>
  <si>
    <t>TXN_3206633</t>
  </si>
  <si>
    <t>TXN_5543548</t>
  </si>
  <si>
    <t>TXN_8943264</t>
  </si>
  <si>
    <t>TXN_3874098</t>
  </si>
  <si>
    <t>TXN_1744579</t>
  </si>
  <si>
    <t>TXN_7516721</t>
  </si>
  <si>
    <t>TXN_8744758</t>
  </si>
  <si>
    <t>TXN_8954012</t>
  </si>
  <si>
    <t>TXN_5246508</t>
  </si>
  <si>
    <t>TXN_5763958</t>
  </si>
  <si>
    <t>TXN_4078421</t>
  </si>
  <si>
    <t>TXN_9776299</t>
  </si>
  <si>
    <t>TXN_3812778</t>
  </si>
  <si>
    <t>TXN_7480606</t>
  </si>
  <si>
    <t>TXN_3511587</t>
  </si>
  <si>
    <t>TXN_4372415</t>
  </si>
  <si>
    <t>TXN_8912253</t>
  </si>
  <si>
    <t>TXN_2167451</t>
  </si>
  <si>
    <t>TXN_9937951</t>
  </si>
  <si>
    <t>TXN_2859355</t>
  </si>
  <si>
    <t>TXN_6712220</t>
  </si>
  <si>
    <t>TXN_2109158</t>
  </si>
  <si>
    <t>TXN_4494003</t>
  </si>
  <si>
    <t>TXN_6018241</t>
  </si>
  <si>
    <t>TXN_8115206</t>
  </si>
  <si>
    <t>TXN_8804518</t>
  </si>
  <si>
    <t>TXN_4882373</t>
  </si>
  <si>
    <t>TXN_3579349</t>
  </si>
  <si>
    <t>TXN_2890875</t>
  </si>
  <si>
    <t>TXN_5965598</t>
  </si>
  <si>
    <t>TXN_8849165</t>
  </si>
  <si>
    <t>TXN_6397794</t>
  </si>
  <si>
    <t>TXN_5433450</t>
  </si>
  <si>
    <t>TXN_8762559</t>
  </si>
  <si>
    <t>TXN_4527650</t>
  </si>
  <si>
    <t>TXN_5474573</t>
  </si>
  <si>
    <t>TXN_3228673</t>
  </si>
  <si>
    <t>TXN_8864012</t>
  </si>
  <si>
    <t>TXN_3689994</t>
  </si>
  <si>
    <t>TXN_9708536</t>
  </si>
  <si>
    <t>TXN_7640925</t>
  </si>
  <si>
    <t>TXN_3409900</t>
  </si>
  <si>
    <t>TXN_9633310</t>
  </si>
  <si>
    <t>TXN_2509128</t>
  </si>
  <si>
    <t>TXN_4665475</t>
  </si>
  <si>
    <t>TXN_5111334</t>
  </si>
  <si>
    <t>TXN_2508788</t>
  </si>
  <si>
    <t>TXN_5420133</t>
  </si>
  <si>
    <t>TXN_1688684</t>
  </si>
  <si>
    <t>TXN_7940860</t>
  </si>
  <si>
    <t>TXN_2237944</t>
  </si>
  <si>
    <t>TXN_6509903</t>
  </si>
  <si>
    <t>TXN_8536862</t>
  </si>
  <si>
    <t>TXN_3163611</t>
  </si>
  <si>
    <t>TXN_9329582</t>
  </si>
  <si>
    <t>TXN_3346189</t>
  </si>
  <si>
    <t>TXN_3871665</t>
  </si>
  <si>
    <t>TXN_6580825</t>
  </si>
  <si>
    <t>TXN_7535754</t>
  </si>
  <si>
    <t>TXN_9188139</t>
  </si>
  <si>
    <t>TXN_9457212</t>
  </si>
  <si>
    <t>TXN_4217069</t>
  </si>
  <si>
    <t>TXN_3987547</t>
  </si>
  <si>
    <t>TXN_2234221</t>
  </si>
  <si>
    <t>TXN_7086211</t>
  </si>
  <si>
    <t>TXN_2482739</t>
  </si>
  <si>
    <t>TXN_3396169</t>
  </si>
  <si>
    <t>TXN_1119796</t>
  </si>
  <si>
    <t>TXN_5230472</t>
  </si>
  <si>
    <t>TXN_6614330</t>
  </si>
  <si>
    <t>TXN_5989344</t>
  </si>
  <si>
    <t>TXN_9353467</t>
  </si>
  <si>
    <t>TXN_8392495</t>
  </si>
  <si>
    <t>TXN_2221521</t>
  </si>
  <si>
    <t>TXN_5955516</t>
  </si>
  <si>
    <t>TXN_8688591</t>
  </si>
  <si>
    <t>TXN_8609493</t>
  </si>
  <si>
    <t>TXN_2783188</t>
  </si>
  <si>
    <t>TXN_5478774</t>
  </si>
  <si>
    <t>TXN_9632140</t>
  </si>
  <si>
    <t>TXN_6018998</t>
  </si>
  <si>
    <t>TXN_6355229</t>
  </si>
  <si>
    <t>TXN_6852631</t>
  </si>
  <si>
    <t>TXN_9699186</t>
  </si>
  <si>
    <t>TXN_4379015</t>
  </si>
  <si>
    <t>TXN_8868040</t>
  </si>
  <si>
    <t>TXN_9080064</t>
  </si>
  <si>
    <t>TXN_1891225</t>
  </si>
  <si>
    <t>TXN_9088118</t>
  </si>
  <si>
    <t>TXN_7586947</t>
  </si>
  <si>
    <t>TXN_7428358</t>
  </si>
  <si>
    <t>TXN_3246191</t>
  </si>
  <si>
    <t>TXN_6832172</t>
  </si>
  <si>
    <t>TXN_5912657</t>
  </si>
  <si>
    <t>TXN_8937865</t>
  </si>
  <si>
    <t>TXN_1581970</t>
  </si>
  <si>
    <t>TXN_7187748</t>
  </si>
  <si>
    <t>TXN_3672693</t>
  </si>
  <si>
    <t>TXN_4488468</t>
  </si>
  <si>
    <t>TXN_4500615</t>
  </si>
  <si>
    <t>TXN_6020454</t>
  </si>
  <si>
    <t>TXN_4419343</t>
  </si>
  <si>
    <t>TXN_6063963</t>
  </si>
  <si>
    <t>TXN_7904450</t>
  </si>
  <si>
    <t>TXN_6574877</t>
  </si>
  <si>
    <t>TXN_9093222</t>
  </si>
  <si>
    <t>TXN_9665364</t>
  </si>
  <si>
    <t>TXN_8027887</t>
  </si>
  <si>
    <t>TXN_7497608</t>
  </si>
  <si>
    <t>TXN_5951378</t>
  </si>
  <si>
    <t>TXN_6700115</t>
  </si>
  <si>
    <t>TXN_4851926</t>
  </si>
  <si>
    <t>TXN_1907425</t>
  </si>
  <si>
    <t>TXN_8043465</t>
  </si>
  <si>
    <t>TXN_3129688</t>
  </si>
  <si>
    <t>TXN_4916943</t>
  </si>
  <si>
    <t>TXN_4597899</t>
  </si>
  <si>
    <t>TXN_8297254</t>
  </si>
  <si>
    <t>TXN_6492305</t>
  </si>
  <si>
    <t>TXN_9381194</t>
  </si>
  <si>
    <t>TXN_8964461</t>
  </si>
  <si>
    <t>TXN_3290537</t>
  </si>
  <si>
    <t>TXN_4600404</t>
  </si>
  <si>
    <t>TXN_2502580</t>
  </si>
  <si>
    <t>TXN_7102763</t>
  </si>
  <si>
    <t>TXN_1611841</t>
  </si>
  <si>
    <t>TXN_6816540</t>
  </si>
  <si>
    <t>TXN_3235383</t>
  </si>
  <si>
    <t>TXN_2283732</t>
  </si>
  <si>
    <t>TXN_2078985</t>
  </si>
  <si>
    <t>TXN_1532731</t>
  </si>
  <si>
    <t>TXN_6400673</t>
  </si>
  <si>
    <t>TXN_4772232</t>
  </si>
  <si>
    <t>TXN_8402616</t>
  </si>
  <si>
    <t>TXN_4677874</t>
  </si>
  <si>
    <t>TXN_4412872</t>
  </si>
  <si>
    <t>TXN_1675317</t>
  </si>
  <si>
    <t>TXN_7340887</t>
  </si>
  <si>
    <t>TXN_4268375</t>
  </si>
  <si>
    <t>TXN_8358524</t>
  </si>
  <si>
    <t>TXN_9275757</t>
  </si>
  <si>
    <t>TXN_1076981</t>
  </si>
  <si>
    <t>TXN_9043280</t>
  </si>
  <si>
    <t>TXN_2733978</t>
  </si>
  <si>
    <t>TXN_9509161</t>
  </si>
  <si>
    <t>TXN_8789567</t>
  </si>
  <si>
    <t>TXN_1588521</t>
  </si>
  <si>
    <t>TXN_5400932</t>
  </si>
  <si>
    <t>TXN_3978068</t>
  </si>
  <si>
    <t>TXN_1897179</t>
  </si>
  <si>
    <t>TXN_4538100</t>
  </si>
  <si>
    <t>TXN_5229606</t>
  </si>
  <si>
    <t>TXN_5451213</t>
  </si>
  <si>
    <t>TXN_3923323</t>
  </si>
  <si>
    <t>TXN_1500424</t>
  </si>
  <si>
    <t>TXN_2893807</t>
  </si>
  <si>
    <t>TXN_5152166</t>
  </si>
  <si>
    <t>TXN_6452444</t>
  </si>
  <si>
    <t>TXN_4960977</t>
  </si>
  <si>
    <t>TXN_3903796</t>
  </si>
  <si>
    <t>TXN_5360194</t>
  </si>
  <si>
    <t>TXN_3126774</t>
  </si>
  <si>
    <t>TXN_5387968</t>
  </si>
  <si>
    <t>TXN_6498807</t>
  </si>
  <si>
    <t>TXN_9490479</t>
  </si>
  <si>
    <t>TXN_8551782</t>
  </si>
  <si>
    <t>TXN_4742699</t>
  </si>
  <si>
    <t>TXN_1321886</t>
  </si>
  <si>
    <t>TXN_1614186</t>
  </si>
  <si>
    <t>TXN_4422429</t>
  </si>
  <si>
    <t>TXN_5192394</t>
  </si>
  <si>
    <t>TXN_3760555</t>
  </si>
  <si>
    <t>TXN_8473780</t>
  </si>
  <si>
    <t>TXN_2172684</t>
  </si>
  <si>
    <t>TXN_1162568</t>
  </si>
  <si>
    <t>TXN_2312836</t>
  </si>
  <si>
    <t>TXN_8500549</t>
  </si>
  <si>
    <t>TXN_2620660</t>
  </si>
  <si>
    <t>TXN_6551677</t>
  </si>
  <si>
    <t>TXN_5365083</t>
  </si>
  <si>
    <t>TXN_6288656</t>
  </si>
  <si>
    <t>TXN_1205286</t>
  </si>
  <si>
    <t>TXN_4480140</t>
  </si>
  <si>
    <t>TXN_6062230</t>
  </si>
  <si>
    <t>TXN_6447649</t>
  </si>
  <si>
    <t>TXN_8572474</t>
  </si>
  <si>
    <t>TXN_3785882</t>
  </si>
  <si>
    <t>TXN_4923775</t>
  </si>
  <si>
    <t>TXN_3528512</t>
  </si>
  <si>
    <t>TXN_5653315</t>
  </si>
  <si>
    <t>TXN_3226342</t>
  </si>
  <si>
    <t>TXN_3599175</t>
  </si>
  <si>
    <t>TXN_1164425</t>
  </si>
  <si>
    <t>TXN_1453676</t>
  </si>
  <si>
    <t>TXN_9912310</t>
  </si>
  <si>
    <t>TXN_7384325</t>
  </si>
  <si>
    <t>TXN_7763038</t>
  </si>
  <si>
    <t>TXN_3125910</t>
  </si>
  <si>
    <t>TXN_9924831</t>
  </si>
  <si>
    <t>TXN_5395023</t>
  </si>
  <si>
    <t>TXN_9115901</t>
  </si>
  <si>
    <t>TXN_8750712</t>
  </si>
  <si>
    <t>TXN_3722570</t>
  </si>
  <si>
    <t>TXN_5866259</t>
  </si>
  <si>
    <t>TXN_9049596</t>
  </si>
  <si>
    <t>TXN_8471690</t>
  </si>
  <si>
    <t>TXN_5701415</t>
  </si>
  <si>
    <t>TXN_2394851</t>
  </si>
  <si>
    <t>TXN_5187952</t>
  </si>
  <si>
    <t>TXN_7908840</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</si>
  <si>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</si>
  <si>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</si>
  <si>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</si>
  <si>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</si>
  <si>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</si>
  <si>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</si>
  <si>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</si>
  <si>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</si>
  <si>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</si>
  <si>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</si>
  <si>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</si>
  <si>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</si>
  <si>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</si>
  <si>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</si>
  <si>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TXN_7349738</t>
  </si>
  <si>
    <t>TXN_7565362</t>
  </si>
  <si>
    <t>TXN_2848763</t>
  </si>
  <si>
    <t>TXN_8231269</t>
  </si>
  <si>
    <t>TXN_3646423</t>
  </si>
  <si>
    <t>TXN_7654337</t>
  </si>
  <si>
    <t>TXN_7985058</t>
  </si>
  <si>
    <t>TXN_5151843</t>
  </si>
  <si>
    <t>TXN_5061076</t>
  </si>
  <si>
    <t>TXN_6958368</t>
  </si>
  <si>
    <t>TXN_1777447</t>
  </si>
  <si>
    <t>TXN_9863754</t>
  </si>
  <si>
    <t>TXN_2006169</t>
  </si>
  <si>
    <t>TXN_8286464</t>
  </si>
  <si>
    <t>TXN_1514499</t>
  </si>
  <si>
    <t>TXN_6837191</t>
  </si>
  <si>
    <t>TXN_5077047</t>
  </si>
  <si>
    <t>TXN_2941903</t>
  </si>
  <si>
    <t>TXN_3824826</t>
  </si>
  <si>
    <t>TXN_9760843</t>
  </si>
  <si>
    <t>TXN_7219724</t>
  </si>
  <si>
    <t>TXN_8388538</t>
  </si>
  <si>
    <t>TXN_1788956</t>
  </si>
  <si>
    <t>TXN_6071674</t>
  </si>
  <si>
    <t>TXN_8782115</t>
  </si>
  <si>
    <t>TXN_5268986</t>
  </si>
  <si>
    <t>TXN_4421008</t>
  </si>
  <si>
    <t>TXN_7097180</t>
  </si>
  <si>
    <t>TXN_2866213</t>
  </si>
  <si>
    <t>TXN_3366166</t>
  </si>
  <si>
    <t>TXN_9045946</t>
  </si>
  <si>
    <t>TXN_1338572</t>
  </si>
  <si>
    <t>TXN_7468191</t>
  </si>
  <si>
    <t>TXN_8067292</t>
  </si>
  <si>
    <t>TXN_1076822</t>
  </si>
  <si>
    <t>TXN_8195314</t>
  </si>
  <si>
    <t>TXN_4378791</t>
  </si>
  <si>
    <t>TXN_1539113</t>
  </si>
  <si>
    <t>TXN_3744905</t>
  </si>
  <si>
    <t>TXN_7186993</t>
  </si>
  <si>
    <t>TXN_8628627</t>
  </si>
  <si>
    <t>TXN_8851227</t>
  </si>
  <si>
    <t>TXN_7654213</t>
  </si>
  <si>
    <t>TXN_3643735</t>
  </si>
  <si>
    <t>TXN_3780086</t>
  </si>
  <si>
    <t>TXN_3966470</t>
  </si>
  <si>
    <t>TXN_4126714</t>
  </si>
  <si>
    <t>TXN_6729338</t>
  </si>
  <si>
    <t>TXN_3465682</t>
  </si>
  <si>
    <t>TXN_7808804</t>
  </si>
  <si>
    <t>TXN_3641374</t>
  </si>
  <si>
    <t>TXN_1565935</t>
  </si>
  <si>
    <t>TXN_9161608</t>
  </si>
  <si>
    <t>TXN_4169720</t>
  </si>
  <si>
    <t>TXN_9479028</t>
  </si>
  <si>
    <t>TXN_8427493</t>
  </si>
  <si>
    <t>TXN_8008462</t>
  </si>
  <si>
    <t>TXN_2206004</t>
  </si>
  <si>
    <t>TXN_2035161</t>
  </si>
  <si>
    <t>TXN_1692396</t>
  </si>
  <si>
    <t>TXN_8498323</t>
  </si>
  <si>
    <t>TXN_3036246</t>
  </si>
  <si>
    <t>TXN_7044302</t>
  </si>
  <si>
    <t>TXN_5043649</t>
  </si>
  <si>
    <t>TXN_4954219</t>
  </si>
  <si>
    <t>TXN_5941390</t>
  </si>
  <si>
    <t>TXN_8972521</t>
  </si>
  <si>
    <t>TXN_5199524</t>
  </si>
  <si>
    <t>TXN_1392572</t>
  </si>
  <si>
    <t>TXN_4192360</t>
  </si>
  <si>
    <t>TXN_3158542</t>
  </si>
  <si>
    <t>TXN_5740962</t>
  </si>
  <si>
    <t>TXN_3925778</t>
  </si>
  <si>
    <t>TXN_8840155</t>
  </si>
  <si>
    <t>TXN_9415292</t>
  </si>
  <si>
    <t>TXN_5869329</t>
  </si>
  <si>
    <t>TXN_4832058</t>
  </si>
  <si>
    <t>TXN_5409965</t>
  </si>
  <si>
    <t>TXN_2961224</t>
  </si>
  <si>
    <t>TXN_7315605</t>
  </si>
  <si>
    <t>TXN_7609800</t>
  </si>
  <si>
    <t>TXN_6415667</t>
  </si>
  <si>
    <t>TXN_4136457</t>
  </si>
  <si>
    <t>TXN_9824897</t>
  </si>
  <si>
    <t>TXN_5834615</t>
  </si>
  <si>
    <t>TXN_2137243</t>
  </si>
  <si>
    <t>TXN_8184279</t>
  </si>
  <si>
    <t>TXN_2842290</t>
  </si>
  <si>
    <t>TXN_2646671</t>
  </si>
  <si>
    <t>TXN_2057291</t>
  </si>
  <si>
    <t>TXN_8551912</t>
  </si>
  <si>
    <t>TXN_2315839</t>
  </si>
  <si>
    <t>TXN_5629754</t>
  </si>
  <si>
    <t>TXN_4048563</t>
  </si>
  <si>
    <t>TXN_2673110</t>
  </si>
  <si>
    <t>TXN_4483784</t>
  </si>
  <si>
    <t>TXN_5870039</t>
  </si>
  <si>
    <t>TXN_7302888</t>
  </si>
  <si>
    <t>TXN_3964097</t>
  </si>
  <si>
    <t>TXN_1788744</t>
  </si>
  <si>
    <t>TXN_7310787</t>
  </si>
  <si>
    <t>TXN_6215670</t>
  </si>
  <si>
    <t>TXN_3932445</t>
  </si>
  <si>
    <t>TXN_4237426</t>
  </si>
  <si>
    <t>TXN_3035757</t>
  </si>
  <si>
    <t>TXN_7059698</t>
  </si>
  <si>
    <t>TXN_2169574</t>
  </si>
  <si>
    <t>TXN_4662762</t>
  </si>
  <si>
    <t>TXN_8676808</t>
  </si>
  <si>
    <t>TXN_5482804</t>
  </si>
  <si>
    <t>TXN_8182879</t>
  </si>
  <si>
    <t>TXN_7898890</t>
  </si>
  <si>
    <t>TXN_7002185</t>
  </si>
  <si>
    <t>TXN_7207962</t>
  </si>
  <si>
    <t>TXN_4528572</t>
  </si>
  <si>
    <t>TXN_3379869</t>
  </si>
  <si>
    <t>TXN_9042764</t>
  </si>
  <si>
    <t>TXN_4942678</t>
  </si>
  <si>
    <t>TXN_1028025</t>
  </si>
  <si>
    <t>TXN_2298440</t>
  </si>
  <si>
    <t>TXN_3994985</t>
  </si>
  <si>
    <t>TXN_8431681</t>
  </si>
  <si>
    <t>TXN_9013941</t>
  </si>
  <si>
    <t>TXN_5897445</t>
  </si>
  <si>
    <t>TXN_1417704</t>
  </si>
  <si>
    <t>TXN_8230124</t>
  </si>
  <si>
    <t>TXN_6085231</t>
  </si>
  <si>
    <t>TXN_1673701</t>
  </si>
  <si>
    <t>TXN_3988639</t>
  </si>
  <si>
    <t>TXN_7144471</t>
  </si>
  <si>
    <t>TXN_9996492</t>
  </si>
  <si>
    <t>TXN_2879758</t>
  </si>
  <si>
    <t>TXN_5140543</t>
  </si>
  <si>
    <t>TXN_9157443</t>
  </si>
  <si>
    <t>TXN_9297702</t>
  </si>
  <si>
    <t>TXN_6915562</t>
  </si>
  <si>
    <t>TXN_3074632</t>
  </si>
  <si>
    <t>TXN_9259125</t>
  </si>
  <si>
    <t>TXN_1851169</t>
  </si>
  <si>
    <t>TXN_9129538</t>
  </si>
  <si>
    <t>TXN_4286060</t>
  </si>
  <si>
    <t>TXN_9679439</t>
  </si>
  <si>
    <t>TXN_1315418</t>
  </si>
  <si>
    <t>TXN_9741550</t>
  </si>
  <si>
    <t>TXN_5109989</t>
  </si>
  <si>
    <t>TXN_8187246</t>
  </si>
  <si>
    <t>TXN_9151048</t>
  </si>
  <si>
    <t>TXN_9660196</t>
  </si>
  <si>
    <t>TXN_2284344</t>
  </si>
  <si>
    <t>TXN_9424650</t>
  </si>
  <si>
    <t>TXN_4459209</t>
  </si>
  <si>
    <t>TXN_6288657</t>
  </si>
  <si>
    <t>TXN_6560278</t>
  </si>
  <si>
    <t>TXN_1400981</t>
  </si>
  <si>
    <t>TXN_7755538</t>
  </si>
  <si>
    <t>TXN_2747605</t>
  </si>
  <si>
    <t>TXN_8160981</t>
  </si>
  <si>
    <t>TXN_4437254</t>
  </si>
  <si>
    <t>TXN_7548856</t>
  </si>
  <si>
    <t>TXN_7614106</t>
  </si>
  <si>
    <t>TXN_7358557</t>
  </si>
  <si>
    <t>TXN_9166176</t>
  </si>
  <si>
    <t>TXN_2692916</t>
  </si>
  <si>
    <t>TXN_1257071</t>
  </si>
  <si>
    <t>TXN_8781897</t>
  </si>
  <si>
    <t>TXN_1385443</t>
  </si>
  <si>
    <t>TXN_1833446</t>
  </si>
  <si>
    <t>TXN_9185602</t>
  </si>
  <si>
    <t>TXN_8323929</t>
  </si>
  <si>
    <t>TXN_3620925</t>
  </si>
  <si>
    <t>TXN_4316339</t>
  </si>
  <si>
    <t>TXN_1284168</t>
  </si>
  <si>
    <t>TXN_3122232</t>
  </si>
  <si>
    <t>TXN_4891106</t>
  </si>
  <si>
    <t>TXN_7842054</t>
  </si>
  <si>
    <t>TXN_8746609</t>
  </si>
  <si>
    <t>TXN_2534527</t>
  </si>
  <si>
    <t>TXN_1421687</t>
  </si>
  <si>
    <t>TXN_7304271</t>
  </si>
  <si>
    <t>TXN_8127659</t>
  </si>
  <si>
    <t>TXN_6007278</t>
  </si>
  <si>
    <t>TXN_1113144</t>
  </si>
  <si>
    <t>TXN_3168114</t>
  </si>
  <si>
    <t>TXN_8288361</t>
  </si>
  <si>
    <t>TXN_5138253</t>
  </si>
  <si>
    <t>TXN_9098606</t>
  </si>
  <si>
    <t>TXN_4340228</t>
  </si>
  <si>
    <t>TXN_4491189</t>
  </si>
  <si>
    <t>TXN_3327657</t>
  </si>
  <si>
    <t>TXN_5415838</t>
  </si>
  <si>
    <t>TXN_1105856</t>
  </si>
  <si>
    <t>TXN_9749270</t>
  </si>
  <si>
    <t>TXN_8625757</t>
  </si>
  <si>
    <t>TXN_5437649</t>
  </si>
  <si>
    <t>TXN_7967879</t>
  </si>
  <si>
    <t>TXN_1135577</t>
  </si>
  <si>
    <t>TXN_4033809</t>
  </si>
  <si>
    <t>TXN_7042991</t>
  </si>
  <si>
    <t>TXN_2691463</t>
  </si>
  <si>
    <t>TXN_5248957</t>
  </si>
  <si>
    <t>TXN_5711029</t>
  </si>
  <si>
    <t>TXN_7960911</t>
  </si>
  <si>
    <t>TXN_1707962</t>
  </si>
  <si>
    <t>TXN_2719011</t>
  </si>
  <si>
    <t>TXN_7352619</t>
  </si>
  <si>
    <t>TXN_4103847</t>
  </si>
  <si>
    <t>TXN_1928195</t>
  </si>
  <si>
    <t>TXN_4099365</t>
  </si>
  <si>
    <t>TXN_7254114</t>
  </si>
  <si>
    <t>TXN_6999553</t>
  </si>
  <si>
    <t>TXN_4974603</t>
  </si>
  <si>
    <t>TXN_4347270</t>
  </si>
  <si>
    <t>TXN_2598563</t>
  </si>
  <si>
    <t>TXN_7539741</t>
  </si>
  <si>
    <t>TXN_7810813</t>
  </si>
  <si>
    <t>TXN_8023602</t>
  </si>
  <si>
    <t>TXN_1470767</t>
  </si>
  <si>
    <t>TXN_6967638</t>
  </si>
  <si>
    <t>TXN_3108828</t>
  </si>
  <si>
    <t>TXN_9627455</t>
  </si>
  <si>
    <t>TXN_3097234</t>
  </si>
  <si>
    <t>TXN_3842407</t>
  </si>
  <si>
    <t>TXN_8260473</t>
  </si>
  <si>
    <t>TXN_5259443</t>
  </si>
  <si>
    <t>TXN_5275020</t>
  </si>
  <si>
    <t>TXN_9702562</t>
  </si>
  <si>
    <t>TXN_1650989</t>
  </si>
  <si>
    <t>TXN_9153686</t>
  </si>
  <si>
    <t>TXN_3736556</t>
  </si>
  <si>
    <t>TXN_1112566</t>
  </si>
  <si>
    <t>TXN_6460758</t>
  </si>
  <si>
    <t>TXN_5029574</t>
  </si>
  <si>
    <t>TXN_7440627</t>
  </si>
  <si>
    <t>TXN_2722898</t>
  </si>
  <si>
    <t>TXN_1701445</t>
  </si>
  <si>
    <t>TXN_8593945</t>
  </si>
  <si>
    <t>TXN_7218185</t>
  </si>
  <si>
    <t>TXN_8814811</t>
  </si>
  <si>
    <t>TXN_2405836</t>
  </si>
  <si>
    <t>TXN_6855605</t>
  </si>
  <si>
    <t>TXN_8643512</t>
  </si>
  <si>
    <t>TXN_1857948</t>
  </si>
  <si>
    <t>TXN_9815485</t>
  </si>
  <si>
    <t>TXN_7009289</t>
  </si>
  <si>
    <t>TXN_3893340</t>
  </si>
  <si>
    <t>TXN_6017531</t>
  </si>
  <si>
    <t>TXN_6327819</t>
  </si>
  <si>
    <t>TXN_2432720</t>
  </si>
  <si>
    <t>TXN_3328545</t>
  </si>
  <si>
    <t>TXN_9715411</t>
  </si>
  <si>
    <t>TXN_8941388</t>
  </si>
  <si>
    <t>TXN_6023185</t>
  </si>
  <si>
    <t>TXN_8046576</t>
  </si>
  <si>
    <t>TXN_1318784</t>
  </si>
  <si>
    <t>TXN_9501007</t>
  </si>
  <si>
    <t>TXN_6275978</t>
  </si>
  <si>
    <t>TXN_1694123</t>
  </si>
  <si>
    <t>TXN_4265824</t>
  </si>
  <si>
    <t>TXN_7283294</t>
  </si>
  <si>
    <t>TXN_8868134</t>
  </si>
  <si>
    <t>TXN_7207545</t>
  </si>
  <si>
    <t>TXN_5705847</t>
  </si>
  <si>
    <t>TXN_9532159</t>
  </si>
  <si>
    <t>TXN_2579665</t>
  </si>
  <si>
    <t>TXN_5392536</t>
  </si>
  <si>
    <t>TXN_8810062</t>
  </si>
  <si>
    <t>TXN_6727532</t>
  </si>
  <si>
    <t>TXN_3019783</t>
  </si>
  <si>
    <t>TXN_7128121</t>
  </si>
  <si>
    <t>TXN_6057467</t>
  </si>
  <si>
    <t>TXN_3594131</t>
  </si>
  <si>
    <t>TXN_5501595</t>
  </si>
  <si>
    <t>TXN_7444294</t>
  </si>
  <si>
    <t>TXN_5390097</t>
  </si>
  <si>
    <t>TXN_4803018</t>
  </si>
  <si>
    <t>TXN_5700967</t>
  </si>
  <si>
    <t>TXN_1705335</t>
  </si>
  <si>
    <t>TXN_8805325</t>
  </si>
  <si>
    <t>TXN_7843840</t>
  </si>
  <si>
    <t>TXN_8210536</t>
  </si>
  <si>
    <t>TXN_7186832</t>
  </si>
  <si>
    <t>TXN_2073385</t>
  </si>
  <si>
    <t>TXN_1512299</t>
  </si>
  <si>
    <t>TXN_3244604</t>
  </si>
  <si>
    <t>TXN_3490599</t>
  </si>
  <si>
    <t>TXN_8834540</t>
  </si>
  <si>
    <t>TXN_6631615</t>
  </si>
  <si>
    <t>TXN_1036563</t>
  </si>
  <si>
    <t>TXN_2585207</t>
  </si>
  <si>
    <t>TXN_7104996</t>
  </si>
  <si>
    <t>TXN_7711337</t>
  </si>
  <si>
    <t>TXN_3170394</t>
  </si>
  <si>
    <t>TXN_9364474</t>
  </si>
  <si>
    <t>TXN_9583903</t>
  </si>
  <si>
    <t>TXN_7688189</t>
  </si>
  <si>
    <t>TXN_4091330</t>
  </si>
  <si>
    <t>TXN_1999133</t>
  </si>
  <si>
    <t>TXN_7557807</t>
  </si>
  <si>
    <t>TXN_8376000</t>
  </si>
  <si>
    <t>TXN_8165056</t>
  </si>
  <si>
    <t>TXN_2624212</t>
  </si>
  <si>
    <t>TXN_4601804</t>
  </si>
  <si>
    <t>TXN_4145989</t>
  </si>
  <si>
    <t>TXN_3846767</t>
  </si>
  <si>
    <t>TXN_2726827</t>
  </si>
  <si>
    <t>TXN_3665212</t>
  </si>
  <si>
    <t>TXN_7889351</t>
  </si>
  <si>
    <t>TXN_8106612</t>
  </si>
  <si>
    <t>TXN_2061240</t>
  </si>
  <si>
    <t>TXN_1394949</t>
  </si>
  <si>
    <t>TXN_2879367</t>
  </si>
  <si>
    <t>TXN_6667216</t>
  </si>
  <si>
    <t>TXN_3409198</t>
  </si>
  <si>
    <t>TXN_1358906</t>
  </si>
  <si>
    <t>TXN_8948545</t>
  </si>
  <si>
    <t>TXN_5708736</t>
  </si>
  <si>
    <t>TXN_4837535</t>
  </si>
  <si>
    <t>TXN_4515690</t>
  </si>
  <si>
    <t>TXN_4311728</t>
  </si>
  <si>
    <t>TXN_6376012</t>
  </si>
  <si>
    <t>TXN_8721418</t>
  </si>
  <si>
    <t>TXN_8653580</t>
  </si>
  <si>
    <t>TXN_7836458</t>
  </si>
  <si>
    <t>TXN_6124741</t>
  </si>
  <si>
    <t>TXN_8534316</t>
  </si>
  <si>
    <t>TXN_9550516</t>
  </si>
  <si>
    <t>TXN_7092018</t>
  </si>
  <si>
    <t>TXN_8001268</t>
  </si>
  <si>
    <t>TXN_1691068</t>
  </si>
  <si>
    <t>TXN_5410292</t>
  </si>
  <si>
    <t>TXN_2362264</t>
  </si>
  <si>
    <t>TXN_2238459</t>
  </si>
  <si>
    <t>TXN_8768180</t>
  </si>
  <si>
    <t>TXN_9395578</t>
  </si>
  <si>
    <t>TXN_1229733</t>
  </si>
  <si>
    <t>TXN_9599898</t>
  </si>
  <si>
    <t>TXN_1264844</t>
  </si>
  <si>
    <t>TXN_9195331</t>
  </si>
  <si>
    <t>TXN_8103285</t>
  </si>
  <si>
    <t>TXN_3994212</t>
  </si>
  <si>
    <t>TXN_8252271</t>
  </si>
  <si>
    <t>TXN_5754863</t>
  </si>
  <si>
    <t>TXN_6473625</t>
  </si>
  <si>
    <t>TXN_4771635</t>
  </si>
  <si>
    <t>TXN_2897677</t>
  </si>
  <si>
    <t>TXN_6077372</t>
  </si>
  <si>
    <t>TXN_5684003</t>
  </si>
  <si>
    <t>TXN_8700769</t>
  </si>
  <si>
    <t>TXN_8163791</t>
  </si>
  <si>
    <t>TXN_4102275</t>
  </si>
  <si>
    <t>TXN_2563981</t>
  </si>
  <si>
    <t>TXN_3823879</t>
  </si>
  <si>
    <t>TXN_1735701</t>
  </si>
  <si>
    <t>TXN_9265528</t>
  </si>
  <si>
    <t>TXN_7243315</t>
  </si>
  <si>
    <t>TXN_2105562</t>
  </si>
  <si>
    <t>TXN_5402378</t>
  </si>
  <si>
    <t>TXN_1285698</t>
  </si>
  <si>
    <t>TXN_1686639</t>
  </si>
  <si>
    <t>TXN_7548261</t>
  </si>
  <si>
    <t>TXN_6612546</t>
  </si>
  <si>
    <t>TXN_1221709</t>
  </si>
  <si>
    <t>TXN_9180138</t>
  </si>
  <si>
    <t>TXN_5327909</t>
  </si>
  <si>
    <t>TXN_8751570</t>
  </si>
  <si>
    <t>TXN_9473262</t>
  </si>
  <si>
    <t>TXN_1434766</t>
  </si>
  <si>
    <t>TXN_6459760</t>
  </si>
  <si>
    <t>TXN_5615619</t>
  </si>
  <si>
    <t>TXN_6117321</t>
  </si>
  <si>
    <t>TXN_1429617</t>
  </si>
  <si>
    <t>TXN_6457304</t>
  </si>
  <si>
    <t>TXN_6645010</t>
  </si>
  <si>
    <t>TXN_7914826</t>
  </si>
  <si>
    <t>TXN_7235714</t>
  </si>
  <si>
    <t>TXN_5511793</t>
  </si>
  <si>
    <t>TXN_5239775</t>
  </si>
  <si>
    <t>TXN_6243391</t>
  </si>
  <si>
    <t>TXN_4058445</t>
  </si>
  <si>
    <t>TXN_5714450</t>
  </si>
  <si>
    <t>TXN_6960283</t>
  </si>
  <si>
    <t>TXN_5846086</t>
  </si>
  <si>
    <t>TXN_2683008</t>
  </si>
  <si>
    <t>TXN_1448231</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</si>
  <si>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</si>
  <si>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</si>
  <si>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</si>
  <si>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</si>
  <si>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</si>
  <si>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</si>
  <si>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</si>
  <si>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</si>
  <si>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</si>
  <si>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</si>
  <si>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</si>
  <si>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</si>
  <si>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</si>
  <si>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</si>
  <si>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</si>
  <si>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</si>
  <si>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</si>
  <si>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TXN_7926031</t>
  </si>
  <si>
    <t>TXN_3088437</t>
  </si>
  <si>
    <t>TXN_9408487</t>
  </si>
  <si>
    <t>TXN_8384530</t>
  </si>
  <si>
    <t>TXN_8926018</t>
  </si>
  <si>
    <t>TXN_8673963</t>
  </si>
  <si>
    <t>TXN_1133322</t>
  </si>
  <si>
    <t>TXN_6470137</t>
  </si>
  <si>
    <t>TXN_7635738</t>
  </si>
  <si>
    <t>TXN_1453723</t>
  </si>
  <si>
    <t>TXN_9232100</t>
  </si>
  <si>
    <t>TXN_2226766</t>
  </si>
  <si>
    <t>TXN_3155102</t>
  </si>
  <si>
    <t>TXN_7300159</t>
  </si>
  <si>
    <t>TXN_7012323</t>
  </si>
  <si>
    <t>TXN_6445899</t>
  </si>
  <si>
    <t>TXN_3677192</t>
  </si>
  <si>
    <t>TXN_9948370</t>
  </si>
  <si>
    <t>TXN_3956995</t>
  </si>
  <si>
    <t>TXN_8244193</t>
  </si>
  <si>
    <t>TXN_2279728</t>
  </si>
  <si>
    <t>TXN_1457601</t>
  </si>
  <si>
    <t>TXN_2556108</t>
  </si>
  <si>
    <t>TXN_3395288</t>
  </si>
  <si>
    <t>TXN_7188878</t>
  </si>
  <si>
    <t>TXN_8905031</t>
  </si>
  <si>
    <t>TXN_2841201</t>
  </si>
  <si>
    <t>TXN_5000633</t>
  </si>
  <si>
    <t>TXN_6096957</t>
  </si>
  <si>
    <t>TXN_5136166</t>
  </si>
  <si>
    <t>TXN_8705609</t>
  </si>
  <si>
    <t>TXN_3148275</t>
  </si>
  <si>
    <t>TXN_9659420</t>
  </si>
  <si>
    <t>TXN_9319671</t>
  </si>
  <si>
    <t>TXN_5060218</t>
  </si>
  <si>
    <t>TXN_1516336</t>
  </si>
  <si>
    <t>TXN_7426761</t>
  </si>
  <si>
    <t>TXN_9870820</t>
  </si>
  <si>
    <t>TXN_7332336</t>
  </si>
  <si>
    <t>TXN_3825785</t>
  </si>
  <si>
    <t>TXN_3989303</t>
  </si>
  <si>
    <t>TXN_4935375</t>
  </si>
  <si>
    <t>TXN_5501762</t>
  </si>
  <si>
    <t>TXN_7136333</t>
  </si>
  <si>
    <t>TXN_3827138</t>
  </si>
  <si>
    <t>TXN_5510271</t>
  </si>
  <si>
    <t>TXN_4800149</t>
  </si>
  <si>
    <t>TXN_2075432</t>
  </si>
  <si>
    <t>TXN_8252675</t>
  </si>
  <si>
    <t>TXN_8705070</t>
  </si>
  <si>
    <t>TXN_1331679</t>
  </si>
  <si>
    <t>TXN_3457164</t>
  </si>
  <si>
    <t>TXN_5506088</t>
  </si>
  <si>
    <t>TXN_4607212</t>
  </si>
  <si>
    <t>TXN_2794176</t>
  </si>
  <si>
    <t>TXN_4908056</t>
  </si>
  <si>
    <t>TXN_4859416</t>
  </si>
  <si>
    <t>TXN_7651449</t>
  </si>
  <si>
    <t>TXN_4406536</t>
  </si>
  <si>
    <t>TXN_5353247</t>
  </si>
  <si>
    <t>TXN_6562327</t>
  </si>
  <si>
    <t>TXN_9369177</t>
  </si>
  <si>
    <t>TXN_4553750</t>
  </si>
  <si>
    <t>TXN_3710680</t>
  </si>
  <si>
    <t>TXN_1140136</t>
  </si>
  <si>
    <t>TXN_7401761</t>
  </si>
  <si>
    <t>TXN_7336047</t>
  </si>
  <si>
    <t>TXN_1725123</t>
  </si>
  <si>
    <t>TXN_3943280</t>
  </si>
  <si>
    <t>TXN_7781876</t>
  </si>
  <si>
    <t>TXN_9493430</t>
  </si>
  <si>
    <t>TXN_9612339</t>
  </si>
  <si>
    <t>TXN_8335223</t>
  </si>
  <si>
    <t>TXN_7307996</t>
  </si>
  <si>
    <t>TXN_6494987</t>
  </si>
  <si>
    <t>TXN_9777548</t>
  </si>
  <si>
    <t>TXN_4127270</t>
  </si>
  <si>
    <t>TXN_9509119</t>
  </si>
  <si>
    <t>TXN_7014970</t>
  </si>
  <si>
    <t>TXN_7931338</t>
  </si>
  <si>
    <t>TXN_2542482</t>
  </si>
  <si>
    <t>TXN_6400478</t>
  </si>
  <si>
    <t>TXN_5460403</t>
  </si>
  <si>
    <t>TXN_9241557</t>
  </si>
  <si>
    <t>TXN_2859193</t>
  </si>
  <si>
    <t>TXN_9097846</t>
  </si>
  <si>
    <t>TXN_7000155</t>
  </si>
  <si>
    <t>TXN_2141766</t>
  </si>
  <si>
    <t>TXN_7446701</t>
  </si>
  <si>
    <t>TXN_2380474</t>
  </si>
  <si>
    <t>TXN_1946735</t>
  </si>
  <si>
    <t>TXN_5960367</t>
  </si>
  <si>
    <t>TXN_1810288</t>
  </si>
  <si>
    <t>TXN_7440605</t>
  </si>
  <si>
    <t>TXN_3113419</t>
  </si>
  <si>
    <t>TXN_3282291</t>
  </si>
  <si>
    <t>TXN_4287831</t>
  </si>
  <si>
    <t>TXN_7112439</t>
  </si>
  <si>
    <t>TXN_7561357</t>
  </si>
  <si>
    <t>TXN_4508836</t>
  </si>
  <si>
    <t>TXN_5560416</t>
  </si>
  <si>
    <t>TXN_8295967</t>
  </si>
  <si>
    <t>TXN_6470632</t>
  </si>
  <si>
    <t>TXN_7254832</t>
  </si>
  <si>
    <t>TXN_8914458</t>
  </si>
  <si>
    <t>TXN_6116778</t>
  </si>
  <si>
    <t>TXN_8943969</t>
  </si>
  <si>
    <t>TXN_7985007</t>
  </si>
  <si>
    <t>TXN_2445180</t>
  </si>
  <si>
    <t>TXN_9770930</t>
  </si>
  <si>
    <t>TXN_5815945</t>
  </si>
  <si>
    <t>TXN_8990776</t>
  </si>
  <si>
    <t>TXN_7767926</t>
  </si>
  <si>
    <t>TXN_4539548</t>
  </si>
  <si>
    <t>TXN_7601000</t>
  </si>
  <si>
    <t>TXN_7272612</t>
  </si>
  <si>
    <t>TXN_5130448</t>
  </si>
  <si>
    <t>TXN_5153387</t>
  </si>
  <si>
    <t>TXN_6841966</t>
  </si>
  <si>
    <t>TXN_3206883</t>
  </si>
  <si>
    <t>TXN_9590909</t>
  </si>
  <si>
    <t>TXN_3730487</t>
  </si>
  <si>
    <t>TXN_3392533</t>
  </si>
  <si>
    <t>TXN_7583684</t>
  </si>
  <si>
    <t>TXN_4469536</t>
  </si>
  <si>
    <t>TXN_2456405</t>
  </si>
  <si>
    <t>TXN_5748431</t>
  </si>
  <si>
    <t>TXN_2343171</t>
  </si>
  <si>
    <t>TXN_3713357</t>
  </si>
  <si>
    <t>TXN_2110881</t>
  </si>
  <si>
    <t>TXN_4221038</t>
  </si>
  <si>
    <t>TXN_6820017</t>
  </si>
  <si>
    <t>TXN_9468678</t>
  </si>
  <si>
    <t>TXN_7385251</t>
  </si>
  <si>
    <t>TXN_7856877</t>
  </si>
  <si>
    <t>TXN_9412012</t>
  </si>
  <si>
    <t>TXN_4962457</t>
  </si>
  <si>
    <t>TXN_1468469</t>
  </si>
  <si>
    <t>TXN_9824720</t>
  </si>
  <si>
    <t>TXN_1565598</t>
  </si>
  <si>
    <t>TXN_1521156</t>
  </si>
  <si>
    <t>TXN_1588681</t>
  </si>
  <si>
    <t>TXN_8705051</t>
  </si>
  <si>
    <t>TXN_7522989</t>
  </si>
  <si>
    <t>TXN_5762983</t>
  </si>
  <si>
    <t>TXN_4775495</t>
  </si>
  <si>
    <t>TXN_3531543</t>
  </si>
  <si>
    <t>TXN_8605252</t>
  </si>
  <si>
    <t>TXN_4740770</t>
  </si>
  <si>
    <t>TXN_3240995</t>
  </si>
  <si>
    <t>TXN_1767820</t>
  </si>
  <si>
    <t>TXN_6224076</t>
  </si>
  <si>
    <t>TXN_6705072</t>
  </si>
  <si>
    <t>TXN_3082732</t>
  </si>
  <si>
    <t>TXN_3286175</t>
  </si>
  <si>
    <t>TXN_1495409</t>
  </si>
  <si>
    <t>TXN_3194608</t>
  </si>
  <si>
    <t>TXN_5675288</t>
  </si>
  <si>
    <t>TXN_3416162</t>
  </si>
  <si>
    <t>TXN_7720299</t>
  </si>
  <si>
    <t>TXN_2045668</t>
  </si>
  <si>
    <t>TXN_8359279</t>
  </si>
  <si>
    <t>TXN_3897143</t>
  </si>
  <si>
    <t>TXN_1067274</t>
  </si>
  <si>
    <t>TXN_3668726</t>
  </si>
  <si>
    <t>TXN_8223724</t>
  </si>
  <si>
    <t>TXN_8997863</t>
  </si>
  <si>
    <t>TXN_1772948</t>
  </si>
  <si>
    <t>TXN_1787703</t>
  </si>
  <si>
    <t>TXN_8406652</t>
  </si>
  <si>
    <t>TXN_8192277</t>
  </si>
  <si>
    <t>TXN_9619188</t>
  </si>
  <si>
    <t>TXN_4354004</t>
  </si>
  <si>
    <t>TXN_4173894</t>
  </si>
  <si>
    <t>TXN_6490745</t>
  </si>
  <si>
    <t>TXN_6787727</t>
  </si>
  <si>
    <t>TXN_7635856</t>
  </si>
  <si>
    <t>TXN_9125500</t>
  </si>
  <si>
    <t>TXN_5377436</t>
  </si>
  <si>
    <t>TXN_6357043</t>
  </si>
  <si>
    <t>TXN_3030052</t>
  </si>
  <si>
    <t>TXN_5283369</t>
  </si>
  <si>
    <t>TXN_3675657</t>
  </si>
  <si>
    <t>TXN_7560470</t>
  </si>
  <si>
    <t>TXN_1794661</t>
  </si>
  <si>
    <t>TXN_5270554</t>
  </si>
  <si>
    <t>TXN_2074223</t>
  </si>
  <si>
    <t>TXN_7649427</t>
  </si>
  <si>
    <t>TXN_3265003</t>
  </si>
  <si>
    <t>TXN_4261151</t>
  </si>
  <si>
    <t>TXN_1961640</t>
  </si>
  <si>
    <t>TXN_5148932</t>
  </si>
  <si>
    <t>TXN_2328826</t>
  </si>
  <si>
    <t>TXN_6947858</t>
  </si>
  <si>
    <t>TXN_9184251</t>
  </si>
  <si>
    <t>TXN_5182350</t>
  </si>
  <si>
    <t>TXN_9978020</t>
  </si>
  <si>
    <t>TXN_6434833</t>
  </si>
  <si>
    <t>TXN_8741487</t>
  </si>
  <si>
    <t>TXN_9538673</t>
  </si>
  <si>
    <t>TXN_3481766</t>
  </si>
  <si>
    <t>TXN_3731943</t>
  </si>
  <si>
    <t>TXN_9224494</t>
  </si>
  <si>
    <t>TXN_8365008</t>
  </si>
  <si>
    <t>TXN_8887502</t>
  </si>
  <si>
    <t>TXN_2062102</t>
  </si>
  <si>
    <t>TXN_8363354</t>
  </si>
  <si>
    <t>TXN_4064037</t>
  </si>
  <si>
    <t>TXN_4793830</t>
  </si>
  <si>
    <t>TXN_6871003</t>
  </si>
  <si>
    <t>TXN_3704598</t>
  </si>
  <si>
    <t>TXN_4841196</t>
  </si>
  <si>
    <t>TXN_7019841</t>
  </si>
  <si>
    <t>TXN_2730739</t>
  </si>
  <si>
    <t>TXN_5821430</t>
  </si>
  <si>
    <t>TXN_5032085</t>
  </si>
  <si>
    <t>TXN_1671850</t>
  </si>
  <si>
    <t>TXN_2557410</t>
  </si>
  <si>
    <t>TXN_7462915</t>
  </si>
  <si>
    <t>TXN_4380514</t>
  </si>
  <si>
    <t>TXN_4131199</t>
  </si>
  <si>
    <t>TXN_2824933</t>
  </si>
  <si>
    <t>TXN_8129465</t>
  </si>
  <si>
    <t>TXN_7014731</t>
  </si>
  <si>
    <t>TXN_6109911</t>
  </si>
  <si>
    <t>TXN_7180483</t>
  </si>
  <si>
    <t>TXN_1965778</t>
  </si>
  <si>
    <t>TXN_7639348</t>
  </si>
  <si>
    <t>TXN_3111915</t>
  </si>
  <si>
    <t>TXN_4675506</t>
  </si>
  <si>
    <t>TXN_6131542</t>
  </si>
  <si>
    <t>TXN_8913051</t>
  </si>
  <si>
    <t>TXN_9736021</t>
  </si>
  <si>
    <t>TXN_1166423</t>
  </si>
  <si>
    <t>TXN_8592371</t>
  </si>
  <si>
    <t>TXN_1365343</t>
  </si>
  <si>
    <t>TXN_2084330</t>
  </si>
  <si>
    <t>TXN_3134220</t>
  </si>
  <si>
    <t>TXN_9601795</t>
  </si>
  <si>
    <t>TXN_6759122</t>
  </si>
  <si>
    <t>TXN_2850248</t>
  </si>
  <si>
    <t>TXN_9557968</t>
  </si>
  <si>
    <t>TXN_5498711</t>
  </si>
  <si>
    <t>TXN_9115473</t>
  </si>
  <si>
    <t>TXN_6144549</t>
  </si>
  <si>
    <t>TXN_4666124</t>
  </si>
  <si>
    <t>TXN_8559920</t>
  </si>
  <si>
    <t>TXN_4121313</t>
  </si>
  <si>
    <t>TXN_3875894</t>
  </si>
  <si>
    <t>TXN_7651965</t>
  </si>
  <si>
    <t>TXN_1058677</t>
  </si>
  <si>
    <t>TXN_6454963</t>
  </si>
  <si>
    <t>TXN_9572486</t>
  </si>
  <si>
    <t>TXN_3017727</t>
  </si>
  <si>
    <t>TXN_2542045</t>
  </si>
  <si>
    <t>TXN_9108644</t>
  </si>
  <si>
    <t>TXN_2873708</t>
  </si>
  <si>
    <t>TXN_6478003</t>
  </si>
  <si>
    <t>TXN_2346762</t>
  </si>
  <si>
    <t>TXN_9322958</t>
  </si>
  <si>
    <t>TXN_5751953</t>
  </si>
  <si>
    <t>TXN_6925920</t>
  </si>
  <si>
    <t>TXN_7128520</t>
  </si>
  <si>
    <t>TXN_9280381</t>
  </si>
  <si>
    <t>TXN_1042850</t>
  </si>
  <si>
    <t>TXN_9766485</t>
  </si>
  <si>
    <t>TXN_2519325</t>
  </si>
  <si>
    <t>TXN_3364617</t>
  </si>
  <si>
    <t>TXN_6329331</t>
  </si>
  <si>
    <t>TXN_8135631</t>
  </si>
  <si>
    <t>TXN_6407417</t>
  </si>
  <si>
    <t>TXN_7918216</t>
  </si>
  <si>
    <t>TXN_9775877</t>
  </si>
  <si>
    <t>TXN_4142861</t>
  </si>
  <si>
    <t>TXN_2142826</t>
  </si>
  <si>
    <t>TXN_8866340</t>
  </si>
  <si>
    <t>TXN_3919560</t>
  </si>
  <si>
    <t>TXN_3410016</t>
  </si>
  <si>
    <t>TXN_4214517</t>
  </si>
  <si>
    <t>TXN_2560468</t>
  </si>
  <si>
    <t>TXN_8742206</t>
  </si>
  <si>
    <t>TXN_9458229</t>
  </si>
  <si>
    <t>TXN_4677266</t>
  </si>
  <si>
    <t>TXN_7804412</t>
  </si>
  <si>
    <t>TXN_9516413</t>
  </si>
  <si>
    <t>TXN_6991981</t>
  </si>
  <si>
    <t>TXN_6883732</t>
  </si>
  <si>
    <t>TXN_8421665</t>
  </si>
  <si>
    <t>TXN_5529689</t>
  </si>
  <si>
    <t>TXN_4187658</t>
  </si>
  <si>
    <t>TXN_7222682</t>
  </si>
  <si>
    <t>TXN_4456347</t>
  </si>
  <si>
    <t>TXN_1845915</t>
  </si>
  <si>
    <t>TXN_2238924</t>
  </si>
  <si>
    <t>TXN_5304231</t>
  </si>
  <si>
    <t>TXN_2973712</t>
  </si>
  <si>
    <t>TXN_1702935</t>
  </si>
  <si>
    <t>TXN_9888265</t>
  </si>
  <si>
    <t>TXN_2084124</t>
  </si>
  <si>
    <t>TXN_5261739</t>
  </si>
  <si>
    <t>TXN_3622835</t>
  </si>
  <si>
    <t>TXN_9894424</t>
  </si>
  <si>
    <t>TXN_9857360</t>
  </si>
  <si>
    <t>TXN_6575376</t>
  </si>
  <si>
    <t>TXN_6943486</t>
  </si>
  <si>
    <t>TXN_3281468</t>
  </si>
  <si>
    <t>TXN_7081603</t>
  </si>
  <si>
    <t>TXN_6088884</t>
  </si>
  <si>
    <t>TXN_4471644</t>
  </si>
  <si>
    <t>TXN_7745477</t>
  </si>
  <si>
    <t>TXN_1198384</t>
  </si>
  <si>
    <t>TXN_6898807</t>
  </si>
  <si>
    <t>TXN_9704111</t>
  </si>
  <si>
    <t>TXN_1759826</t>
  </si>
  <si>
    <t>TXN_8836671</t>
  </si>
  <si>
    <t>TXN_1219422</t>
  </si>
  <si>
    <t>TXN_1617887</t>
  </si>
  <si>
    <t>TXN_3496091</t>
  </si>
  <si>
    <t>TXN_1373042</t>
  </si>
  <si>
    <t>TXN_5383084</t>
  </si>
  <si>
    <t>TXN_4454069</t>
  </si>
  <si>
    <t>TXN_8175642</t>
  </si>
  <si>
    <t>TXN_3442308</t>
  </si>
  <si>
    <t>TXN_5750828</t>
  </si>
  <si>
    <t>TXN_1534876</t>
  </si>
  <si>
    <t>TXN_9743568</t>
  </si>
  <si>
    <t>TXN_6271863</t>
  </si>
  <si>
    <t>TXN_3665903</t>
  </si>
  <si>
    <t>TXN_6656161</t>
  </si>
  <si>
    <t>TXN_5373853</t>
  </si>
  <si>
    <t>TXN_4337439</t>
  </si>
  <si>
    <t>TXN_8380333</t>
  </si>
  <si>
    <t>TXN_2267175</t>
  </si>
  <si>
    <t>TXN_9109677</t>
  </si>
  <si>
    <t>TXN_9210652</t>
  </si>
  <si>
    <t>TXN_5571349</t>
  </si>
  <si>
    <t>TXN_9019672</t>
  </si>
  <si>
    <t>TXN_2985304</t>
  </si>
  <si>
    <t>TXN_8673519</t>
  </si>
  <si>
    <t>TXN_2983912</t>
  </si>
  <si>
    <t>TXN_3414846</t>
  </si>
  <si>
    <t>TXN_8694833</t>
  </si>
  <si>
    <t>TXN_2329426</t>
  </si>
  <si>
    <t>TXN_8190713</t>
  </si>
  <si>
    <t>TXN_7504005</t>
  </si>
  <si>
    <t>TXN_8799205</t>
  </si>
  <si>
    <t>TXN_7876398</t>
  </si>
  <si>
    <t>TXN_8963699</t>
  </si>
  <si>
    <t>TXN_1042935</t>
  </si>
  <si>
    <t>TXN_3992626</t>
  </si>
  <si>
    <t>TXN_2357618</t>
  </si>
  <si>
    <t>TXN_7672104</t>
  </si>
  <si>
    <t>TXN_7771546</t>
  </si>
  <si>
    <t>TXN_6678768</t>
  </si>
  <si>
    <t>TXN_3219474</t>
  </si>
  <si>
    <t>TXN_2094611</t>
  </si>
  <si>
    <t>TXN_3005655</t>
  </si>
  <si>
    <t>TXN_5646436</t>
  </si>
  <si>
    <t>TXN_8848656</t>
  </si>
  <si>
    <t>TXN_6568701</t>
  </si>
  <si>
    <t>TXN_1531616</t>
  </si>
  <si>
    <t>TXN_5761822</t>
  </si>
  <si>
    <t>TXN_3070207</t>
  </si>
  <si>
    <t>TXN_5393801</t>
  </si>
  <si>
    <t>TXN_8300194</t>
  </si>
  <si>
    <t>TXN_6135005</t>
  </si>
  <si>
    <t>TXN_2464833</t>
  </si>
  <si>
    <t>TXN_4505972</t>
  </si>
  <si>
    <t>TXN_9185495</t>
  </si>
  <si>
    <t>TXN_9929027</t>
  </si>
  <si>
    <t>TXN_1908642</t>
  </si>
  <si>
    <t>TXN_6666804</t>
  </si>
  <si>
    <t>TXN_8313082</t>
  </si>
  <si>
    <t>TXN_9263134</t>
  </si>
  <si>
    <t>TXN_6086262</t>
  </si>
  <si>
    <t>TXN_9234343</t>
  </si>
  <si>
    <t>TXN_9496210</t>
  </si>
  <si>
    <t>TXN_5683189</t>
  </si>
  <si>
    <t>TXN_7405636</t>
  </si>
  <si>
    <t>TXN_4502266</t>
  </si>
  <si>
    <t>TXN_9283748</t>
  </si>
  <si>
    <t>TXN_1076574</t>
  </si>
  <si>
    <t>TXN_4212494</t>
  </si>
  <si>
    <t>TXN_1503110</t>
  </si>
  <si>
    <t>TXN_7891763</t>
  </si>
  <si>
    <t>TXN_7054509</t>
  </si>
  <si>
    <t>TXN_1744774</t>
  </si>
  <si>
    <t>TXN_4464022</t>
  </si>
  <si>
    <t>TXN_3360543</t>
  </si>
  <si>
    <t>TXN_8486938</t>
  </si>
  <si>
    <t>TXN_1870890</t>
  </si>
  <si>
    <t>TXN_7607001</t>
  </si>
  <si>
    <t>TXN_4551473</t>
  </si>
  <si>
    <t>TXN_2430342</t>
  </si>
  <si>
    <t>TXN_7219103</t>
  </si>
  <si>
    <t>TXN_8218511</t>
  </si>
  <si>
    <t>TXN_1346220</t>
  </si>
  <si>
    <t>TXN_6360170</t>
  </si>
  <si>
    <t>TXN_4023152</t>
  </si>
  <si>
    <t>TXN_2505439</t>
  </si>
  <si>
    <t>TXN_1190560</t>
  </si>
  <si>
    <t>TXN_7342615</t>
  </si>
  <si>
    <t>TXN_3759701</t>
  </si>
  <si>
    <t>TXN_6837418</t>
  </si>
  <si>
    <t>TXN_7093524</t>
  </si>
  <si>
    <t>TXN_2683891</t>
  </si>
  <si>
    <t>TXN_8517307</t>
  </si>
  <si>
    <t>TXN_2593807</t>
  </si>
  <si>
    <t>TXN_5661146</t>
  </si>
  <si>
    <t>TXN_5383343</t>
  </si>
  <si>
    <t>TXN_8361498</t>
  </si>
  <si>
    <t>TXN_6473121</t>
  </si>
  <si>
    <t>TXN_8890505</t>
  </si>
  <si>
    <t>TXN_3070750</t>
  </si>
  <si>
    <t>TXN_2896903</t>
  </si>
  <si>
    <t>TXN_1611046</t>
  </si>
  <si>
    <t>TXN_3809198</t>
  </si>
  <si>
    <t>TXN_6392993</t>
  </si>
  <si>
    <t>TXN_4078909</t>
  </si>
  <si>
    <t>TXN_4578696</t>
  </si>
  <si>
    <t>TXN_8737201</t>
  </si>
  <si>
    <t>TXN_8520280</t>
  </si>
  <si>
    <t>TXN_1079752</t>
  </si>
  <si>
    <t>TXN_5597194</t>
  </si>
  <si>
    <t>TXN_7781357</t>
  </si>
  <si>
    <t>TXN_7570892</t>
  </si>
  <si>
    <t>TXN_3875506</t>
  </si>
  <si>
    <t>TXN_2225065</t>
  </si>
  <si>
    <t>TXN_5396734</t>
  </si>
  <si>
    <t>TXN_7928872</t>
  </si>
  <si>
    <t>TXN_7876532</t>
  </si>
  <si>
    <t>TXN_9472024</t>
  </si>
  <si>
    <t>TXN_9515378</t>
  </si>
  <si>
    <t>TXN_4290895</t>
  </si>
  <si>
    <t>TXN_7035534</t>
  </si>
  <si>
    <t>TXN_6595410</t>
  </si>
  <si>
    <t>TXN_8231669</t>
  </si>
  <si>
    <t>TXN_8512354</t>
  </si>
  <si>
    <t>TXN_9299095</t>
  </si>
  <si>
    <t>TXN_1927837</t>
  </si>
  <si>
    <t>TXN_2489260</t>
  </si>
  <si>
    <t>TXN_3535824</t>
  </si>
  <si>
    <t>TXN_5543371</t>
  </si>
  <si>
    <t>TXN_5414836</t>
  </si>
  <si>
    <t>TXN_6087808</t>
  </si>
  <si>
    <t>TXN_5692725</t>
  </si>
  <si>
    <t>TXN_3380676</t>
  </si>
  <si>
    <t>TXN_2745420</t>
  </si>
  <si>
    <t>TXN_6836178</t>
  </si>
  <si>
    <t>TXN_7595317</t>
  </si>
  <si>
    <t>TXN_6724459</t>
  </si>
  <si>
    <t>TXN_8887696</t>
  </si>
  <si>
    <t>TXN_1598935</t>
  </si>
  <si>
    <t>TXN_5211291</t>
  </si>
  <si>
    <t>TXN_4751419</t>
  </si>
  <si>
    <t>TXN_8103030</t>
  </si>
  <si>
    <t>TXN_7965648</t>
  </si>
  <si>
    <t>TXN_3155343</t>
  </si>
  <si>
    <t>TXN_3913187</t>
  </si>
  <si>
    <t>TXN_9754923</t>
  </si>
  <si>
    <t>TXN_1245088</t>
  </si>
  <si>
    <t>TXN_3382647</t>
  </si>
  <si>
    <t>TXN_5233832</t>
  </si>
  <si>
    <t>TXN_1238430</t>
  </si>
  <si>
    <t>TXN_7622447</t>
  </si>
  <si>
    <t>TXN_5200656</t>
  </si>
  <si>
    <t>TXN_3900554</t>
  </si>
  <si>
    <t>TXN_4557580</t>
  </si>
  <si>
    <t>TXN_8254435</t>
  </si>
  <si>
    <t>TXN_1782376</t>
  </si>
  <si>
    <t>TXN_8682802</t>
  </si>
  <si>
    <t>TXN_2752244</t>
  </si>
  <si>
    <t>TXN_1820377</t>
  </si>
  <si>
    <t>TXN_2168738</t>
  </si>
  <si>
    <t>TXN_6679357</t>
  </si>
  <si>
    <t>TXN_4781587</t>
  </si>
  <si>
    <t>TXN_3807216</t>
  </si>
  <si>
    <t>TXN_3476954</t>
  </si>
  <si>
    <t>TXN_4494629</t>
  </si>
  <si>
    <t>TXN_1085427</t>
  </si>
  <si>
    <t>TXN_8867982</t>
  </si>
  <si>
    <t>TXN_5528637</t>
  </si>
  <si>
    <t>TXN_8926156</t>
  </si>
  <si>
    <t>TXN_6083342</t>
  </si>
  <si>
    <t>TXN_7049257</t>
  </si>
  <si>
    <t>TXN_6900977</t>
  </si>
  <si>
    <t>TXN_6200475</t>
  </si>
  <si>
    <t>TXN_2172498</t>
  </si>
  <si>
    <t>TXN_8562933</t>
  </si>
  <si>
    <t>TXN_8918509</t>
  </si>
  <si>
    <t>TXN_7695762</t>
  </si>
  <si>
    <t>TXN_7761795</t>
  </si>
  <si>
    <t>TXN_2991582</t>
  </si>
  <si>
    <t>TXN_8044037</t>
  </si>
  <si>
    <t>TXN_7325981</t>
  </si>
  <si>
    <t>TXN_7954030</t>
  </si>
  <si>
    <t>TXN_4371906</t>
  </si>
  <si>
    <t>TXN_2642292</t>
  </si>
  <si>
    <t>TXN_2143497</t>
  </si>
  <si>
    <t>TXN_1972818</t>
  </si>
  <si>
    <t>TXN_7977213</t>
  </si>
  <si>
    <t>TXN_6451411</t>
  </si>
  <si>
    <t>TXN_6722337</t>
  </si>
  <si>
    <t>TXN_9220270</t>
  </si>
  <si>
    <t>TXN_2621955</t>
  </si>
  <si>
    <t>TXN_7572716</t>
  </si>
  <si>
    <t>TXN_7833408</t>
  </si>
  <si>
    <t>TXN_4428473</t>
  </si>
  <si>
    <t>TXN_9773944</t>
  </si>
  <si>
    <t>TXN_8810408</t>
  </si>
  <si>
    <t>TXN_3971462</t>
  </si>
  <si>
    <t>TXN_9957726</t>
  </si>
  <si>
    <t>TXN_1472126</t>
  </si>
  <si>
    <t>TXN_1873507</t>
  </si>
  <si>
    <t>TXN_5843541</t>
  </si>
  <si>
    <t>TXN_6220248</t>
  </si>
  <si>
    <t>TXN_5700321</t>
  </si>
  <si>
    <t>TXN_7650764</t>
  </si>
  <si>
    <t>TXN_5313408</t>
  </si>
  <si>
    <t>TXN_9487352</t>
  </si>
  <si>
    <t>TXN_7236125</t>
  </si>
  <si>
    <t>TXN_6420801</t>
  </si>
  <si>
    <t>TXN_3890522</t>
  </si>
  <si>
    <t>TXN_7797943</t>
  </si>
  <si>
    <t>TXN_6117863</t>
  </si>
  <si>
    <t>TXN_7581358</t>
  </si>
  <si>
    <t>TXN_8586265</t>
  </si>
  <si>
    <t>TXN_3450219</t>
  </si>
  <si>
    <t>TXN_7688823</t>
  </si>
  <si>
    <t>TXN_5557152</t>
  </si>
  <si>
    <t>TXN_2796969</t>
  </si>
  <si>
    <t>TXN_4395524</t>
  </si>
  <si>
    <t>TXN_4672148</t>
  </si>
  <si>
    <t>TXN_7915725</t>
  </si>
  <si>
    <t>TXN_2707271</t>
  </si>
  <si>
    <t>TXN_2365443</t>
  </si>
  <si>
    <t>TXN_8956524</t>
  </si>
  <si>
    <t>TXN_1177301</t>
  </si>
  <si>
    <t>TXN_2881650</t>
  </si>
  <si>
    <t>TXN_1669980</t>
  </si>
  <si>
    <t>TXN_4363368</t>
  </si>
  <si>
    <t>TXN_5762331</t>
  </si>
  <si>
    <t>TXN_5880645</t>
  </si>
  <si>
    <t>TXN_4880074</t>
  </si>
  <si>
    <t>TXN_4202877</t>
  </si>
  <si>
    <t>TXN_7023913</t>
  </si>
  <si>
    <t>TXN_7836176</t>
  </si>
  <si>
    <t>TXN_9491535</t>
  </si>
  <si>
    <t>TXN_6484421</t>
  </si>
  <si>
    <t>TXN_5762742</t>
  </si>
  <si>
    <t>TXN_2573095</t>
  </si>
  <si>
    <t>TXN_4243879</t>
  </si>
  <si>
    <t>TXN_7236522</t>
  </si>
  <si>
    <t>TXN_4491503</t>
  </si>
  <si>
    <t>TXN_7859035</t>
  </si>
  <si>
    <t>TXN_8449990</t>
  </si>
  <si>
    <t>TXN_2458089</t>
  </si>
  <si>
    <t>TXN_4996657</t>
  </si>
  <si>
    <t>TXN_2026129</t>
  </si>
  <si>
    <t>TXN_6598342</t>
  </si>
  <si>
    <t>TXN_1694877</t>
  </si>
  <si>
    <t>TXN_6710021</t>
  </si>
  <si>
    <t>TXN_4270988</t>
  </si>
  <si>
    <t>TXN_5835918</t>
  </si>
  <si>
    <t>TXN_9608154</t>
  </si>
  <si>
    <t>TXN_6787154</t>
  </si>
  <si>
    <t>TXN_7138836</t>
  </si>
  <si>
    <t>TXN_6568290</t>
  </si>
  <si>
    <t>TXN_6820010</t>
  </si>
  <si>
    <t>TXN_3162108</t>
  </si>
  <si>
    <t>TXN_3262413</t>
  </si>
  <si>
    <t>TXN_6620511</t>
  </si>
  <si>
    <t>TXN_7066735</t>
  </si>
  <si>
    <t>TXN_4068594</t>
  </si>
  <si>
    <t>TXN_8920500</t>
  </si>
  <si>
    <t>TXN_3865439</t>
  </si>
  <si>
    <t>TXN_3918627</t>
  </si>
  <si>
    <t>TXN_6501945</t>
  </si>
  <si>
    <t>TXN_8784908</t>
  </si>
  <si>
    <t>TXN_3370472</t>
  </si>
  <si>
    <t>TXN_3992566</t>
  </si>
  <si>
    <t>TXN_8206691</t>
  </si>
  <si>
    <t>TXN_6320451</t>
  </si>
  <si>
    <t>TXN_6478731</t>
  </si>
  <si>
    <t>TXN_5811160</t>
  </si>
  <si>
    <t>TXN_7206264</t>
  </si>
  <si>
    <t>TXN_2277445</t>
  </si>
  <si>
    <t>TXN_4126711</t>
  </si>
  <si>
    <t>TXN_2663819</t>
  </si>
  <si>
    <t>TXN_8165820</t>
  </si>
  <si>
    <t>TXN_3026219</t>
  </si>
  <si>
    <t>TXN_1709795</t>
  </si>
  <si>
    <t>TXN_8053690</t>
  </si>
  <si>
    <t>TXN_5011602</t>
  </si>
  <si>
    <t>TXN_7539151</t>
  </si>
  <si>
    <t>TXN_7081940</t>
  </si>
  <si>
    <t>TXN_1935654</t>
  </si>
  <si>
    <t>TXN_2587368</t>
  </si>
  <si>
    <t>TXN_1237218</t>
  </si>
  <si>
    <t>TXN_5401881</t>
  </si>
  <si>
    <t>TXN_3756526</t>
  </si>
  <si>
    <t>TXN_7415381</t>
  </si>
  <si>
    <t>TXN_6323263</t>
  </si>
  <si>
    <t>TXN_7301327</t>
  </si>
  <si>
    <t>TXN_8977030</t>
  </si>
  <si>
    <t>TXN_1586094</t>
  </si>
  <si>
    <t>TXN_7662986</t>
  </si>
  <si>
    <t>TXN_6891125</t>
  </si>
  <si>
    <t>TXN_9643751</t>
  </si>
  <si>
    <t>TXN_3393629</t>
  </si>
  <si>
    <t>TXN_1564062</t>
  </si>
  <si>
    <t>TXN_4318867</t>
  </si>
  <si>
    <t>TXN_7740400</t>
  </si>
  <si>
    <t>TXN_2491068</t>
  </si>
  <si>
    <t>TXN_6287445</t>
  </si>
  <si>
    <t>TXN_8799969</t>
  </si>
  <si>
    <t>TXN_1372376</t>
  </si>
  <si>
    <t>TXN_4671284</t>
  </si>
  <si>
    <t>TXN_1662299</t>
  </si>
  <si>
    <t>TXN_4034624</t>
  </si>
  <si>
    <t>TXN_4856537</t>
  </si>
  <si>
    <t>TXN_2409789</t>
  </si>
  <si>
    <t>TXN_2219980</t>
  </si>
  <si>
    <t>TXN_7783487</t>
  </si>
  <si>
    <t>TXN_3845165</t>
  </si>
  <si>
    <t>TXN_2997948</t>
  </si>
  <si>
    <t>TXN_3731020</t>
  </si>
  <si>
    <t>TXN_3940160</t>
  </si>
  <si>
    <t>TXN_6494793</t>
  </si>
  <si>
    <t>TXN_7889556</t>
  </si>
  <si>
    <t>TXN_9026058</t>
  </si>
  <si>
    <t>TXN_9377315</t>
  </si>
  <si>
    <t>TXN_8015772</t>
  </si>
  <si>
    <t>TXN_7829243</t>
  </si>
  <si>
    <t>TXN_2569890</t>
  </si>
  <si>
    <t>TXN_6970370</t>
  </si>
  <si>
    <t>TXN_2543221</t>
  </si>
  <si>
    <t>TXN_2749140</t>
  </si>
  <si>
    <t>TXN_2485793</t>
  </si>
  <si>
    <t>TXN_7534544</t>
  </si>
  <si>
    <t>TXN_3816125</t>
  </si>
  <si>
    <t>TXN_6467014</t>
  </si>
  <si>
    <t>TXN_8031867</t>
  </si>
  <si>
    <t>TXN_5216018</t>
  </si>
  <si>
    <t>TXN_8896457</t>
  </si>
  <si>
    <t>TXN_8199497</t>
  </si>
  <si>
    <t>TXN_3608682</t>
  </si>
  <si>
    <t>TXN_3231808</t>
  </si>
  <si>
    <t>TXN_9404072</t>
  </si>
  <si>
    <t>TXN_3205425</t>
  </si>
  <si>
    <t>TXN_9621491</t>
  </si>
  <si>
    <t>TXN_6765122</t>
  </si>
  <si>
    <t>TXN_1305845</t>
  </si>
  <si>
    <t>TXN_2991837</t>
  </si>
  <si>
    <t>TXN_4644013</t>
  </si>
  <si>
    <t>TXN_5523804</t>
  </si>
  <si>
    <t>TXN_2197774</t>
  </si>
  <si>
    <t>TXN_8140334</t>
  </si>
  <si>
    <t>TXN_9271260</t>
  </si>
  <si>
    <t>TXN_3856063</t>
  </si>
  <si>
    <t>TXN_3816500</t>
  </si>
  <si>
    <t>TXN_2510100</t>
  </si>
  <si>
    <t>TXN_4356714</t>
  </si>
  <si>
    <t>TXN_2017094</t>
  </si>
  <si>
    <t>TXN_3521280</t>
  </si>
  <si>
    <t>TXN_9554941</t>
  </si>
  <si>
    <t>TXN_4404066</t>
  </si>
  <si>
    <t>TXN_2209308</t>
  </si>
  <si>
    <t>TXN_9489720</t>
  </si>
  <si>
    <t>TXN_8144925</t>
  </si>
  <si>
    <t>TXN_4064394</t>
  </si>
  <si>
    <t>TXN_7888046</t>
  </si>
  <si>
    <t>TXN_4506615</t>
  </si>
  <si>
    <t>TXN_7239667</t>
  </si>
  <si>
    <t>TXN_4299995</t>
  </si>
  <si>
    <t>TXN_7107517</t>
  </si>
  <si>
    <t>TXN_3195860</t>
  </si>
  <si>
    <t>TXN_3878711</t>
  </si>
  <si>
    <t>TXN_4871817</t>
  </si>
  <si>
    <t>TXN_2285773</t>
  </si>
  <si>
    <t>TXN_9357539</t>
  </si>
  <si>
    <t>TXN_9441394</t>
  </si>
  <si>
    <t>TXN_3298194</t>
  </si>
  <si>
    <t>TXN_5558575</t>
  </si>
  <si>
    <t>TXN_8715500</t>
  </si>
  <si>
    <t>TXN_2577257</t>
  </si>
  <si>
    <t>TXN_5384743</t>
  </si>
  <si>
    <t>TXN_6483370</t>
  </si>
  <si>
    <t>TXN_9026093</t>
  </si>
  <si>
    <t>TXN_8804764</t>
  </si>
  <si>
    <t>TXN_8845178</t>
  </si>
  <si>
    <t>TXN_4862103</t>
  </si>
  <si>
    <t>TXN_7017227</t>
  </si>
  <si>
    <t>TXN_3809776</t>
  </si>
  <si>
    <t>TXN_4399010</t>
  </si>
  <si>
    <t>TXN_6603773</t>
  </si>
  <si>
    <t>TXN_5814800</t>
  </si>
  <si>
    <t>TXN_7682765</t>
  </si>
  <si>
    <t>TXN_2570631</t>
  </si>
  <si>
    <t>TXN_3975050</t>
  </si>
  <si>
    <t>TXN_9532815</t>
  </si>
  <si>
    <t>TXN_9575437</t>
  </si>
  <si>
    <t>TXN_2572509</t>
  </si>
  <si>
    <t>TXN_4691878</t>
  </si>
  <si>
    <t>TXN_4989812</t>
  </si>
  <si>
    <t>TXN_7382906</t>
  </si>
  <si>
    <t>TXN_4361393</t>
  </si>
  <si>
    <t>TXN_5939495</t>
  </si>
  <si>
    <t>TXN_7736317</t>
  </si>
  <si>
    <t>TXN_6644662</t>
  </si>
  <si>
    <t>TXN_8356888</t>
  </si>
  <si>
    <t>TXN_9211870</t>
  </si>
  <si>
    <t>TXN_7455673</t>
  </si>
  <si>
    <t>TXN_6362597</t>
  </si>
  <si>
    <t>TXN_2595699</t>
  </si>
  <si>
    <t>TXN_1318100</t>
  </si>
  <si>
    <t>TXN_6886294</t>
  </si>
  <si>
    <t>TXN_6980255</t>
  </si>
  <si>
    <t>TXN_4169525</t>
  </si>
  <si>
    <t>TXN_7280884</t>
  </si>
  <si>
    <t>TXN_6398385</t>
  </si>
  <si>
    <t>TXN_7472179</t>
  </si>
  <si>
    <t>TXN_8969383</t>
  </si>
  <si>
    <t>TXN_7254503</t>
  </si>
  <si>
    <t>TXN_5761267</t>
  </si>
  <si>
    <t>TXN_6292001</t>
  </si>
  <si>
    <t>TXN_6226129</t>
  </si>
  <si>
    <t>TXN_4288023</t>
  </si>
  <si>
    <t>TXN_6845708</t>
  </si>
  <si>
    <t>TXN_4943330</t>
  </si>
  <si>
    <t>TXN_4920280</t>
  </si>
  <si>
    <t>TXN_3789637</t>
  </si>
  <si>
    <t>TXN_9779183</t>
  </si>
  <si>
    <t>TXN_7056129</t>
  </si>
  <si>
    <t>TXN_2012777</t>
  </si>
  <si>
    <t>TXN_2421640</t>
  </si>
  <si>
    <t>TXN_4071358</t>
  </si>
  <si>
    <t>TXN_4295746</t>
  </si>
  <si>
    <t>TXN_8588500</t>
  </si>
  <si>
    <t>TXN_7320060</t>
  </si>
  <si>
    <t>TXN_7095216</t>
  </si>
  <si>
    <t>TXN_6383303</t>
  </si>
  <si>
    <t>TXN_3601742</t>
  </si>
  <si>
    <t>TXN_6452259</t>
  </si>
  <si>
    <t>TXN_2379337</t>
  </si>
  <si>
    <t>TXN_8314850</t>
  </si>
  <si>
    <t>TXN_3066141</t>
  </si>
  <si>
    <t>TXN_9341645</t>
  </si>
  <si>
    <t>TXN_4567181</t>
  </si>
  <si>
    <t>TXN_7467643</t>
  </si>
  <si>
    <t>TXN_2226551</t>
  </si>
  <si>
    <t>TXN_8315289</t>
  </si>
  <si>
    <t>TXN_8760856</t>
  </si>
  <si>
    <t>TXN_6873651</t>
  </si>
  <si>
    <t>TXN_7078608</t>
  </si>
  <si>
    <t>TXN_1012276</t>
  </si>
  <si>
    <t>TXN_1508547</t>
  </si>
  <si>
    <t>TXN_8971441</t>
  </si>
  <si>
    <t>TXN_7101949</t>
  </si>
  <si>
    <t>TXN_3301108</t>
  </si>
  <si>
    <t>TXN_4437831</t>
  </si>
  <si>
    <t>TXN_3201793</t>
  </si>
  <si>
    <t>TXN_4893741</t>
  </si>
  <si>
    <t>TXN_7561812</t>
  </si>
  <si>
    <t>TXN_7116689</t>
  </si>
  <si>
    <t>TXN_9230065</t>
  </si>
  <si>
    <t>TXN_6936789</t>
  </si>
  <si>
    <t>TXN_1664534</t>
  </si>
  <si>
    <t>TXN_7750901</t>
  </si>
  <si>
    <t>TXN_8127453</t>
  </si>
  <si>
    <t>TXN_2173572</t>
  </si>
  <si>
    <t>TXN_2791670</t>
  </si>
  <si>
    <t>TXN_6745168</t>
  </si>
  <si>
    <t>TXN_2651748</t>
  </si>
  <si>
    <t>TXN_9821519</t>
  </si>
  <si>
    <t>TXN_1265326</t>
  </si>
  <si>
    <t>TXN_4176409</t>
  </si>
  <si>
    <t>TXN_2822564</t>
  </si>
  <si>
    <t>TXN_3199773</t>
  </si>
  <si>
    <t>TXN_6450000</t>
  </si>
  <si>
    <t>TXN_2872093</t>
  </si>
  <si>
    <t>TXN_8005357</t>
  </si>
  <si>
    <t>TXN_6947851</t>
  </si>
  <si>
    <t>TXN_7028436</t>
  </si>
  <si>
    <t>TXN_2541183</t>
  </si>
  <si>
    <t>TXN_1289036</t>
  </si>
  <si>
    <t>TXN_1219680</t>
  </si>
  <si>
    <t>TXN_2935001</t>
  </si>
  <si>
    <t>TXN_3644047</t>
  </si>
  <si>
    <t>TXN_6113342</t>
  </si>
  <si>
    <t>TXN_9397196</t>
  </si>
  <si>
    <t>TXN_6727590</t>
  </si>
  <si>
    <t>TXN_1392412</t>
  </si>
  <si>
    <t>TXN_4975288</t>
  </si>
  <si>
    <t>TXN_6577096</t>
  </si>
  <si>
    <t>TXN_5948038</t>
  </si>
  <si>
    <t>TXN_7345416</t>
  </si>
  <si>
    <t>TXN_7840743</t>
  </si>
  <si>
    <t>TXN_5217409</t>
  </si>
  <si>
    <t>TXN_4308632</t>
  </si>
  <si>
    <t>TXN_5851222</t>
  </si>
  <si>
    <t>TXN_1574874</t>
  </si>
  <si>
    <t>TXN_5917033</t>
  </si>
  <si>
    <t>TXN_3950585</t>
  </si>
  <si>
    <t>TXN_3641566</t>
  </si>
  <si>
    <t>TXN_1089350</t>
  </si>
  <si>
    <t>TXN_2408868</t>
  </si>
  <si>
    <t>TXN_5978214</t>
  </si>
  <si>
    <t>TXN_8240632</t>
  </si>
  <si>
    <t>TXN_5605251</t>
  </si>
  <si>
    <t>TXN_4703862</t>
  </si>
  <si>
    <t>TXN_3675138</t>
  </si>
  <si>
    <t>TXN_9080405</t>
  </si>
  <si>
    <t>TXN_6984733</t>
  </si>
  <si>
    <t>TXN_8078608</t>
  </si>
  <si>
    <t>TXN_4242984</t>
  </si>
  <si>
    <t>TXN_2602980</t>
  </si>
  <si>
    <t>TXN_2622199</t>
  </si>
  <si>
    <t>TXN_9915285</t>
  </si>
  <si>
    <t>TXN_4528114</t>
  </si>
  <si>
    <t>TXN_2570092</t>
  </si>
  <si>
    <t>TXN_1983263</t>
  </si>
  <si>
    <t>TXN_6286103</t>
  </si>
  <si>
    <t>TXN_2390056</t>
  </si>
  <si>
    <t>TXN_8271625</t>
  </si>
  <si>
    <t>TXN_9508915</t>
  </si>
  <si>
    <t>TXN_9355349</t>
  </si>
  <si>
    <t>TXN_8955481</t>
  </si>
  <si>
    <t>TXN_6784148</t>
  </si>
  <si>
    <t>TXN_1901951</t>
  </si>
  <si>
    <t>TXN_2021252</t>
  </si>
  <si>
    <t>TXN_7131796</t>
  </si>
  <si>
    <t>TXN_5819222</t>
  </si>
  <si>
    <t>TXN_7115676</t>
  </si>
  <si>
    <t>TXN_8879706</t>
  </si>
  <si>
    <t>TXN_2235747</t>
  </si>
  <si>
    <t>TXN_4709320</t>
  </si>
  <si>
    <t>TXN_7689517</t>
  </si>
  <si>
    <t>TXN_2049292</t>
  </si>
  <si>
    <t>TXN_4299947</t>
  </si>
  <si>
    <t>TXN_9518180</t>
  </si>
  <si>
    <t>TXN_1056560</t>
  </si>
  <si>
    <t>TXN_4984186</t>
  </si>
  <si>
    <t>TXN_4926679</t>
  </si>
  <si>
    <t>TXN_1802987</t>
  </si>
  <si>
    <t>TXN_5129876</t>
  </si>
  <si>
    <t>TXN_6167313</t>
  </si>
  <si>
    <t>TXN_6513125</t>
  </si>
  <si>
    <t>TXN_4287814</t>
  </si>
  <si>
    <t>TXN_2245991</t>
  </si>
  <si>
    <t>TXN_3922232</t>
  </si>
  <si>
    <t>TXN_4014378</t>
  </si>
  <si>
    <t>TXN_7271665</t>
  </si>
  <si>
    <t>TXN_2370951</t>
  </si>
  <si>
    <t>TXN_5261729</t>
  </si>
  <si>
    <t>TXN_8345096</t>
  </si>
  <si>
    <t>TXN_5052568</t>
  </si>
  <si>
    <t>TXN_8834965</t>
  </si>
  <si>
    <t>TXN_5328500</t>
  </si>
  <si>
    <t>TXN_6766304</t>
  </si>
  <si>
    <t>TXN_2994824</t>
  </si>
  <si>
    <t>TXN_2032102</t>
  </si>
  <si>
    <t>TXN_8494899</t>
  </si>
  <si>
    <t>TXN_9950024</t>
  </si>
  <si>
    <t>TXN_5391688</t>
  </si>
  <si>
    <t>TXN_2032621</t>
  </si>
  <si>
    <t>TXN_4864899</t>
  </si>
  <si>
    <t>TXN_3777133</t>
  </si>
  <si>
    <t>TXN_9867587</t>
  </si>
  <si>
    <t>TXN_7737340</t>
  </si>
  <si>
    <t>TXN_8754747</t>
  </si>
  <si>
    <t>TXN_9882558</t>
  </si>
  <si>
    <t>TXN_4902630</t>
  </si>
  <si>
    <t>TXN_4129849</t>
  </si>
  <si>
    <t>TXN_1138768</t>
  </si>
  <si>
    <t>TXN_7908356</t>
  </si>
  <si>
    <t>TXN_3300791</t>
  </si>
  <si>
    <t>TXN_5890227</t>
  </si>
  <si>
    <t>TXN_4677429</t>
  </si>
  <si>
    <t>TXN_7068908</t>
  </si>
  <si>
    <t>TXN_1354152</t>
  </si>
  <si>
    <t>TXN_6224018</t>
  </si>
  <si>
    <t>TXN_2853011</t>
  </si>
  <si>
    <t>TXN_9379089</t>
  </si>
  <si>
    <t>TXN_2029127</t>
  </si>
  <si>
    <t>TXN_4408619</t>
  </si>
  <si>
    <t>TXN_8931910</t>
  </si>
  <si>
    <t>TXN_4468083</t>
  </si>
  <si>
    <t>TXN_9044453</t>
  </si>
  <si>
    <t>TXN_7124851</t>
  </si>
  <si>
    <t>TXN_2179469</t>
  </si>
  <si>
    <t>TXN_9779104</t>
  </si>
  <si>
    <t>TXN_2030685</t>
  </si>
  <si>
    <t>TXN_7912681</t>
  </si>
  <si>
    <t>TXN_8165360</t>
  </si>
  <si>
    <t>TXN_2912284</t>
  </si>
  <si>
    <t>TXN_9002809</t>
  </si>
  <si>
    <t>TXN_3238026</t>
  </si>
  <si>
    <t>TXN_6543986</t>
  </si>
  <si>
    <t>TXN_3695108</t>
  </si>
  <si>
    <t>TXN_6648814</t>
  </si>
  <si>
    <t>TXN_8686778</t>
  </si>
  <si>
    <t>TXN_8532994</t>
  </si>
  <si>
    <t>TXN_8584427</t>
  </si>
  <si>
    <t>TXN_6279943</t>
  </si>
  <si>
    <t>TXN_7018266</t>
  </si>
  <si>
    <t>TXN_7814324</t>
  </si>
  <si>
    <t>TXN_7435689</t>
  </si>
  <si>
    <t>TXN_7927513</t>
  </si>
  <si>
    <t>TXN_4765007</t>
  </si>
  <si>
    <t>TXN_1637239</t>
  </si>
  <si>
    <t>TXN_4037215</t>
  </si>
  <si>
    <t>TXN_9742543</t>
  </si>
  <si>
    <t>TXN_4299562</t>
  </si>
  <si>
    <t>TXN_1838613</t>
  </si>
  <si>
    <t>TXN_9744101</t>
  </si>
  <si>
    <t>TXN_5047057</t>
  </si>
  <si>
    <t>TXN_8803385</t>
  </si>
  <si>
    <t>TXN_8934602</t>
  </si>
  <si>
    <t>TXN_4082819</t>
  </si>
  <si>
    <t>TXN_6703348</t>
  </si>
  <si>
    <t>TXN_7487176</t>
  </si>
  <si>
    <t>TXN_9483255</t>
  </si>
  <si>
    <t>TXN_8238998</t>
  </si>
  <si>
    <t>TXN_3861803</t>
  </si>
  <si>
    <t>TXN_6523729</t>
  </si>
  <si>
    <t>TXN_8917842</t>
  </si>
  <si>
    <t>TXN_2727006</t>
  </si>
  <si>
    <t>TXN_9546049</t>
  </si>
  <si>
    <t>TXN_3831672</t>
  </si>
  <si>
    <t>TXN_6991067</t>
  </si>
  <si>
    <t>TXN_2234295</t>
  </si>
  <si>
    <t>TXN_2447120</t>
  </si>
  <si>
    <t>TXN_3115030</t>
  </si>
  <si>
    <t>TXN_9298154</t>
  </si>
  <si>
    <t>TXN_3044362</t>
  </si>
  <si>
    <t>TXN_4534054</t>
  </si>
  <si>
    <t>TXN_7348487</t>
  </si>
  <si>
    <t>TXN_7669281</t>
  </si>
  <si>
    <t>TXN_5151808</t>
  </si>
  <si>
    <t>TXN_3103409</t>
  </si>
  <si>
    <t>TXN_1763880</t>
  </si>
  <si>
    <t>TXN_8376407</t>
  </si>
  <si>
    <t>TXN_1354704</t>
  </si>
  <si>
    <t>TXN_8213093</t>
  </si>
  <si>
    <t>TXN_2108505</t>
  </si>
  <si>
    <t>TXN_4274817</t>
  </si>
  <si>
    <t>TXN_4222067</t>
  </si>
  <si>
    <t>TXN_3354650</t>
  </si>
  <si>
    <t>TXN_5841884</t>
  </si>
  <si>
    <t>TXN_8299537</t>
  </si>
  <si>
    <t>TXN_2630534</t>
  </si>
  <si>
    <t>TXN_3499166</t>
  </si>
  <si>
    <t>TXN_5181239</t>
  </si>
  <si>
    <t>TXN_4102079</t>
  </si>
  <si>
    <t>TXN_6742452</t>
  </si>
  <si>
    <t>TXN_2111257</t>
  </si>
  <si>
    <t>TXN_7975440</t>
  </si>
  <si>
    <t>TXN_1190407</t>
  </si>
  <si>
    <t>TXN_6418246</t>
  </si>
  <si>
    <t>TXN_6742481</t>
  </si>
  <si>
    <t>TXN_5123517</t>
  </si>
  <si>
    <t>TXN_6460857</t>
  </si>
  <si>
    <t>TXN_9027302</t>
  </si>
  <si>
    <t>TXN_8402013</t>
  </si>
  <si>
    <t>TXN_2573164</t>
  </si>
  <si>
    <t>TXN_8953962</t>
  </si>
  <si>
    <t>TXN_4115707</t>
  </si>
  <si>
    <t>TXN_7673621</t>
  </si>
  <si>
    <t>TXN_3178675</t>
  </si>
  <si>
    <t>TXN_2401524</t>
  </si>
  <si>
    <t>TXN_6717903</t>
  </si>
  <si>
    <t>TXN_8438563</t>
  </si>
  <si>
    <t>TXN_3212539</t>
  </si>
  <si>
    <t>TXN_6157602</t>
  </si>
  <si>
    <t>TXN_8216096</t>
  </si>
  <si>
    <t>TXN_4710652</t>
  </si>
  <si>
    <t>TXN_8694760</t>
  </si>
  <si>
    <t>TXN_9829192</t>
  </si>
  <si>
    <t>TXN_6280148</t>
  </si>
  <si>
    <t>TXN_4063830</t>
  </si>
  <si>
    <t>TXN_2122406</t>
  </si>
  <si>
    <t>TXN_3158395</t>
  </si>
  <si>
    <t>TXN_2878204</t>
  </si>
  <si>
    <t>TXN_4580660</t>
  </si>
  <si>
    <t>TXN_5190484</t>
  </si>
  <si>
    <t>TXN_1926590</t>
  </si>
  <si>
    <t>TXN_9967357</t>
  </si>
  <si>
    <t>TXN_4238599</t>
  </si>
  <si>
    <t>TXN_6891915</t>
  </si>
  <si>
    <t>TXN_5588584</t>
  </si>
  <si>
    <t>TXN_1906850</t>
  </si>
  <si>
    <t>TXN_8179078</t>
  </si>
  <si>
    <t>TXN_6530329</t>
  </si>
  <si>
    <t>TXN_1629845</t>
  </si>
  <si>
    <t>TXN_8073705</t>
  </si>
  <si>
    <t>TXN_5071376</t>
  </si>
  <si>
    <t>TXN_9068188</t>
  </si>
  <si>
    <t>TXN_7583936</t>
  </si>
  <si>
    <t>TXN_4013276</t>
  </si>
  <si>
    <t>TXN_8692872</t>
  </si>
  <si>
    <t>TXN_8818340</t>
  </si>
  <si>
    <t>TXN_3890213</t>
  </si>
  <si>
    <t>TXN_7887194</t>
  </si>
  <si>
    <t>TXN_3531848</t>
  </si>
  <si>
    <t>TXN_1818334</t>
  </si>
  <si>
    <t>TXN_3894563</t>
  </si>
  <si>
    <t>TXN_7388794</t>
  </si>
  <si>
    <t>TXN_6415831</t>
  </si>
  <si>
    <t>TXN_9976541</t>
  </si>
  <si>
    <t>TXN_5428095</t>
  </si>
  <si>
    <t>TXN_2894843</t>
  </si>
  <si>
    <t>TXN_9442211</t>
  </si>
  <si>
    <t>TXN_7595172</t>
  </si>
  <si>
    <t>TXN_1965640</t>
  </si>
  <si>
    <t>TXN_5301234</t>
  </si>
  <si>
    <t>TXN_8642580</t>
  </si>
  <si>
    <t>TXN_1117354</t>
  </si>
  <si>
    <t>TXN_5239863</t>
  </si>
  <si>
    <t>TXN_9471719</t>
  </si>
  <si>
    <t>TXN_4657405</t>
  </si>
  <si>
    <t>TXN_8543967</t>
  </si>
  <si>
    <t>TXN_1610590</t>
  </si>
  <si>
    <t>TXN_5554317</t>
  </si>
  <si>
    <t>TXN_1360556</t>
  </si>
  <si>
    <t>TXN_7020339</t>
  </si>
  <si>
    <t>TXN_2198875</t>
  </si>
  <si>
    <t>TXN_7378314</t>
  </si>
  <si>
    <t>TXN_4226051</t>
  </si>
  <si>
    <t>TXN_3178975</t>
  </si>
  <si>
    <t>TXN_6867504</t>
  </si>
  <si>
    <t>TXN_9670800</t>
  </si>
  <si>
    <t>TXN_2232426</t>
  </si>
  <si>
    <t>TXN_2739401</t>
  </si>
  <si>
    <t>TXN_5292313</t>
  </si>
  <si>
    <t>TXN_7174887</t>
  </si>
  <si>
    <t>TXN_8317660</t>
  </si>
  <si>
    <t>TXN_5034413</t>
  </si>
  <si>
    <t>TXN_6092283</t>
  </si>
  <si>
    <t>TXN_5991912</t>
  </si>
  <si>
    <t>TXN_5248260</t>
  </si>
  <si>
    <t>TXN_6333391</t>
  </si>
  <si>
    <t>TXN_2767410</t>
  </si>
  <si>
    <t>TXN_5740060</t>
  </si>
  <si>
    <t>TXN_6321793</t>
  </si>
  <si>
    <t>TXN_9173181</t>
  </si>
  <si>
    <t>TXN_1971043</t>
  </si>
  <si>
    <t>TXN_8274832</t>
  </si>
  <si>
    <t>TXN_5035545</t>
  </si>
  <si>
    <t>TXN_4061146</t>
  </si>
  <si>
    <t>TXN_1826818</t>
  </si>
  <si>
    <t>TXN_7807998</t>
  </si>
  <si>
    <t>TXN_5055357</t>
  </si>
  <si>
    <t>TXN_8313334</t>
  </si>
  <si>
    <t>TXN_1408851</t>
  </si>
  <si>
    <t>TXN_5701048</t>
  </si>
  <si>
    <t>TXN_3706741</t>
  </si>
  <si>
    <t>TXN_2565254</t>
  </si>
  <si>
    <t>TXN_3703564</t>
  </si>
  <si>
    <t>TXN_7157916</t>
  </si>
  <si>
    <t>TXN_1091915</t>
  </si>
  <si>
    <t>TXN_5221018</t>
  </si>
  <si>
    <t>TXN_8603145</t>
  </si>
  <si>
    <t>TXN_9886688</t>
  </si>
  <si>
    <t>TXN_3325191</t>
  </si>
  <si>
    <t>TXN_7582224</t>
  </si>
  <si>
    <t>TXN_1781058</t>
  </si>
  <si>
    <t>TXN_5277569</t>
  </si>
  <si>
    <t>TXN_7497013</t>
  </si>
  <si>
    <t>TXN_8363763</t>
  </si>
  <si>
    <t>TXN_6008281</t>
  </si>
  <si>
    <t>TXN_5063217</t>
  </si>
  <si>
    <t>TXN_2088735</t>
  </si>
  <si>
    <t>TXN_3152795</t>
  </si>
  <si>
    <t>TXN_9312667</t>
  </si>
  <si>
    <t>TXN_5531182</t>
  </si>
  <si>
    <t>TXN_2855329</t>
  </si>
  <si>
    <t>TXN_3297253</t>
  </si>
  <si>
    <t>TXN_4955717</t>
  </si>
  <si>
    <t>TXN_3809804</t>
  </si>
  <si>
    <t>TXN_8262363</t>
  </si>
  <si>
    <t>TXN_2993263</t>
  </si>
  <si>
    <t>TXN_9687417</t>
  </si>
  <si>
    <t>TXN_8209222</t>
  </si>
  <si>
    <t>TXN_7442640</t>
  </si>
  <si>
    <t>TXN_4705123</t>
  </si>
  <si>
    <t>TXN_6893397</t>
  </si>
  <si>
    <t>TXN_7852936</t>
  </si>
  <si>
    <t>TXN_8860703</t>
  </si>
  <si>
    <t>TXN_8778726</t>
  </si>
  <si>
    <t>TXN_4689214</t>
  </si>
  <si>
    <t>TXN_7141723</t>
  </si>
  <si>
    <t>TXN_4663019</t>
  </si>
  <si>
    <t>TXN_4304226</t>
  </si>
  <si>
    <t>TXN_8837973</t>
  </si>
  <si>
    <t>TXN_6633776</t>
  </si>
  <si>
    <t>TXN_1914649</t>
  </si>
  <si>
    <t>TXN_1175007</t>
  </si>
  <si>
    <t>TXN_9252739</t>
  </si>
  <si>
    <t>TXN_2453156</t>
  </si>
  <si>
    <t>TXN_2694211</t>
  </si>
  <si>
    <t>TXN_9761735</t>
  </si>
  <si>
    <t>TXN_3206739</t>
  </si>
  <si>
    <t>TXN_1178688</t>
  </si>
  <si>
    <t>TXN_4030585</t>
  </si>
  <si>
    <t>TXN_5206226</t>
  </si>
  <si>
    <t>TXN_2400589</t>
  </si>
  <si>
    <t>TXN_5968294</t>
  </si>
  <si>
    <t>TXN_9013787</t>
  </si>
  <si>
    <t>TXN_1833797</t>
  </si>
  <si>
    <t>TXN_5356552</t>
  </si>
  <si>
    <t>TXN_1293495</t>
  </si>
  <si>
    <t>TXN_9760364</t>
  </si>
  <si>
    <t>TXN_9306598</t>
  </si>
  <si>
    <t>TXN_1877280</t>
  </si>
  <si>
    <t>TXN_4131069</t>
  </si>
  <si>
    <t>TXN_3642493</t>
  </si>
  <si>
    <t>TXN_8849152</t>
  </si>
  <si>
    <t>TXN_8430322</t>
  </si>
  <si>
    <t>TXN_2813616</t>
  </si>
  <si>
    <t>TXN_9748731</t>
  </si>
  <si>
    <t>TXN_7309819</t>
  </si>
  <si>
    <t>TXN_7358431</t>
  </si>
  <si>
    <t>TXN_1806809</t>
  </si>
  <si>
    <t>TXN_4858882</t>
  </si>
  <si>
    <t>TXN_2024907</t>
  </si>
  <si>
    <t>TXN_2427553</t>
  </si>
  <si>
    <t>TXN_1990804</t>
  </si>
  <si>
    <t>TXN_6330492</t>
  </si>
  <si>
    <t>TXN_5680991</t>
  </si>
  <si>
    <t>TXN_5706555</t>
  </si>
  <si>
    <t>TXN_4227145</t>
  </si>
  <si>
    <t>TXN_1749831</t>
  </si>
  <si>
    <t>TXN_5091925</t>
  </si>
  <si>
    <t>TXN_3774966</t>
  </si>
  <si>
    <t>TXN_8874924</t>
  </si>
  <si>
    <t>TXN_3324893</t>
  </si>
  <si>
    <t>TXN_2800453</t>
  </si>
  <si>
    <t>TXN_3869190</t>
  </si>
  <si>
    <t>TXN_1733096</t>
  </si>
  <si>
    <t>TXN_8343511</t>
  </si>
  <si>
    <t>TXN_6724745</t>
  </si>
  <si>
    <t>TXN_3452469</t>
  </si>
  <si>
    <t>TXN_8713017</t>
  </si>
  <si>
    <t>TXN_4477147</t>
  </si>
  <si>
    <t>TXN_1102901</t>
  </si>
  <si>
    <t>TXN_4631871</t>
  </si>
  <si>
    <t>TXN_1981490</t>
  </si>
  <si>
    <t>TXN_1265621</t>
  </si>
  <si>
    <t>TXN_4481593</t>
  </si>
  <si>
    <t>TXN_1192429</t>
  </si>
  <si>
    <t>TXN_6376057</t>
  </si>
  <si>
    <t>TXN_3290440</t>
  </si>
  <si>
    <t>TXN_5613380</t>
  </si>
  <si>
    <t>TXN_2634971</t>
  </si>
  <si>
    <t>TXN_8834253</t>
  </si>
  <si>
    <t>TXN_1822926</t>
  </si>
  <si>
    <t>TXN_5152448</t>
  </si>
  <si>
    <t>TXN_8785041</t>
  </si>
  <si>
    <t>TXN_5563568</t>
  </si>
  <si>
    <t>TXN_5110591</t>
  </si>
  <si>
    <t>TXN_8753170</t>
  </si>
  <si>
    <t>TXN_7437993</t>
  </si>
  <si>
    <t>TXN_6010260</t>
  </si>
  <si>
    <t>TXN_9444336</t>
  </si>
  <si>
    <t>TXN_2184078</t>
  </si>
  <si>
    <t>TXN_9276926</t>
  </si>
  <si>
    <t>TXN_6677830</t>
  </si>
  <si>
    <t>TXN_9540418</t>
  </si>
  <si>
    <t>TXN_1166621</t>
  </si>
  <si>
    <t>TXN_7628356</t>
  </si>
  <si>
    <t>TXN_4243232</t>
  </si>
  <si>
    <t>TXN_5227674</t>
  </si>
  <si>
    <t>TXN_5105777</t>
  </si>
  <si>
    <t>TXN_3001024</t>
  </si>
  <si>
    <t>TXN_9387439</t>
  </si>
  <si>
    <t>TXN_5575598</t>
  </si>
  <si>
    <t>TXN_4031068</t>
  </si>
  <si>
    <t>TXN_1483524</t>
  </si>
  <si>
    <t>TXN_7921654</t>
  </si>
  <si>
    <t>TXN_9067549</t>
  </si>
  <si>
    <t>TXN_9207641</t>
  </si>
  <si>
    <t>TXN_8215831</t>
  </si>
  <si>
    <t>TXN_5171758</t>
  </si>
  <si>
    <t>TXN_3317458</t>
  </si>
  <si>
    <t>TXN_8830035</t>
  </si>
  <si>
    <t>TXN_1535908</t>
  </si>
  <si>
    <t>TXN_4142429</t>
  </si>
  <si>
    <t>TXN_9451154</t>
  </si>
  <si>
    <t>TXN_3061840</t>
  </si>
  <si>
    <t>TXN_4373165</t>
  </si>
  <si>
    <t>TXN_3614311</t>
  </si>
  <si>
    <t>TXN_8489843</t>
  </si>
  <si>
    <t>TXN_1915866</t>
  </si>
  <si>
    <t>TXN_5995528</t>
  </si>
  <si>
    <t>TXN_3719328</t>
  </si>
  <si>
    <t>TXN_8162077</t>
  </si>
  <si>
    <t>TXN_9448652</t>
  </si>
  <si>
    <t>TXN_4283333</t>
  </si>
  <si>
    <t>TXN_9392209</t>
  </si>
  <si>
    <t>TXN_7061932</t>
  </si>
  <si>
    <t>TXN_3545055</t>
  </si>
  <si>
    <t>TXN_2573398</t>
  </si>
  <si>
    <t>TXN_7220136</t>
  </si>
  <si>
    <t>TXN_6126205</t>
  </si>
  <si>
    <t>TXN_9255550</t>
  </si>
  <si>
    <t>TXN_9682013</t>
  </si>
  <si>
    <t>TXN_5416951</t>
  </si>
  <si>
    <t>TXN_1726888</t>
  </si>
  <si>
    <t>TXN_1949980</t>
  </si>
  <si>
    <t>TXN_3513596</t>
  </si>
  <si>
    <t>TXN_1933506</t>
  </si>
  <si>
    <t>TXN_8441291</t>
  </si>
  <si>
    <t>TXN_9602143</t>
  </si>
  <si>
    <t>TXN_1021697</t>
  </si>
  <si>
    <t>TXN_3962481</t>
  </si>
  <si>
    <t>TXN_4865783</t>
  </si>
  <si>
    <t>TXN_4132386</t>
  </si>
  <si>
    <t>TXN_2744981</t>
  </si>
  <si>
    <t>TXN_2689920</t>
  </si>
  <si>
    <t>TXN_6471785</t>
  </si>
  <si>
    <t>TXN_5969171</t>
  </si>
  <si>
    <t>TXN_7248220</t>
  </si>
  <si>
    <t>TXN_4070576</t>
  </si>
  <si>
    <t>TXN_5889960</t>
  </si>
  <si>
    <t>TXN_2614296</t>
  </si>
  <si>
    <t>TXN_4051562</t>
  </si>
  <si>
    <t>TXN_2024171</t>
  </si>
  <si>
    <t>TXN_7109230</t>
  </si>
  <si>
    <t>TXN_1880096</t>
  </si>
  <si>
    <t>TXN_2128705</t>
  </si>
  <si>
    <t>TXN_8144943</t>
  </si>
  <si>
    <t>TXN_7347397</t>
  </si>
  <si>
    <t>TXN_5735723</t>
  </si>
  <si>
    <t>TXN_6886810</t>
  </si>
  <si>
    <t>TXN_6555696</t>
  </si>
  <si>
    <t>TXN_4704657</t>
  </si>
  <si>
    <t>TXN_3922622</t>
  </si>
  <si>
    <t>TXN_3270223</t>
  </si>
  <si>
    <t>TXN_4315111</t>
  </si>
  <si>
    <t>TXN_3568126</t>
  </si>
  <si>
    <t>TXN_4778944</t>
  </si>
  <si>
    <t>TXN_7951378</t>
  </si>
  <si>
    <t>TXN_6619258</t>
  </si>
  <si>
    <t>TXN_6427135</t>
  </si>
  <si>
    <t>TXN_6015616</t>
  </si>
  <si>
    <t>TXN_6770695</t>
  </si>
  <si>
    <t>TXN_1213004</t>
  </si>
  <si>
    <t>TXN_6076046</t>
  </si>
  <si>
    <t>TXN_4594043</t>
  </si>
  <si>
    <t>TXN_1317207</t>
  </si>
  <si>
    <t>TXN_7497632</t>
  </si>
  <si>
    <t>TXN_6841543</t>
  </si>
  <si>
    <t>TXN_9463668</t>
  </si>
  <si>
    <t>TXN_9807056</t>
  </si>
  <si>
    <t>TXN_1842699</t>
  </si>
  <si>
    <t>TXN_2025936</t>
  </si>
  <si>
    <t>TXN_2415104</t>
  </si>
  <si>
    <t>TXN_3314427</t>
  </si>
  <si>
    <t>TXN_7569506</t>
  </si>
  <si>
    <t>TXN_9522873</t>
  </si>
  <si>
    <t>TXN_8036485</t>
  </si>
  <si>
    <t>TXN_5193663</t>
  </si>
  <si>
    <t>TXN_3519634</t>
  </si>
  <si>
    <t>TXN_2135357</t>
  </si>
  <si>
    <t>TXN_7997772</t>
  </si>
  <si>
    <t>TXN_7556855</t>
  </si>
  <si>
    <t>TXN_3849990</t>
  </si>
  <si>
    <t>TXN_2860283</t>
  </si>
  <si>
    <t>TXN_9865472</t>
  </si>
  <si>
    <t>TXN_1731329</t>
  </si>
  <si>
    <t>TXN_5332685</t>
  </si>
  <si>
    <t>TXN_8545700</t>
  </si>
  <si>
    <t>TXN_9750559</t>
  </si>
  <si>
    <t>TXN_5056575</t>
  </si>
  <si>
    <t>TXN_3404251</t>
  </si>
  <si>
    <t>TXN_5458839</t>
  </si>
  <si>
    <t>TXN_7878130</t>
  </si>
  <si>
    <t>TXN_1829811</t>
  </si>
  <si>
    <t>TXN_8275640</t>
  </si>
  <si>
    <t>TXN_4265335</t>
  </si>
  <si>
    <t>TXN_9818960</t>
  </si>
  <si>
    <t>TXN_5436478</t>
  </si>
  <si>
    <t>TXN_2869668</t>
  </si>
  <si>
    <t>TXN_2781577</t>
  </si>
  <si>
    <t>TXN_8255668</t>
  </si>
  <si>
    <t>TXN_5546642</t>
  </si>
  <si>
    <t>TXN_3254399</t>
  </si>
  <si>
    <t>TXN_4444444</t>
  </si>
  <si>
    <t>TXN_6912966</t>
  </si>
  <si>
    <t>TXN_9605931</t>
  </si>
  <si>
    <t>TXN_2477555</t>
  </si>
  <si>
    <t>TXN_3864173</t>
  </si>
  <si>
    <t>TXN_8485060</t>
  </si>
  <si>
    <t>TXN_3826429</t>
  </si>
  <si>
    <t>TXN_6263624</t>
  </si>
  <si>
    <t>TXN_6379138</t>
  </si>
  <si>
    <t>TXN_2220459</t>
  </si>
  <si>
    <t>TXN_9739398</t>
  </si>
  <si>
    <t>TXN_5844928</t>
  </si>
  <si>
    <t>TXN_7093465</t>
  </si>
  <si>
    <t>TXN_4132764</t>
  </si>
  <si>
    <t>TXN_7575240</t>
  </si>
  <si>
    <t>TXN_5081040</t>
  </si>
  <si>
    <t>TXN_8018205</t>
  </si>
  <si>
    <t>TXN_2211997</t>
  </si>
  <si>
    <t>TXN_7037135</t>
  </si>
  <si>
    <t>TXN_4030118</t>
  </si>
  <si>
    <t>TXN_1794604</t>
  </si>
  <si>
    <t>TXN_2563000</t>
  </si>
  <si>
    <t>TXN_9901915</t>
  </si>
  <si>
    <t>TXN_5906554</t>
  </si>
  <si>
    <t>TXN_3614090</t>
  </si>
  <si>
    <t>TXN_4287352</t>
  </si>
  <si>
    <t>TXN_6145546</t>
  </si>
  <si>
    <t>TXN_5515647</t>
  </si>
  <si>
    <t>TXN_8879912</t>
  </si>
  <si>
    <t>TXN_5341621</t>
  </si>
  <si>
    <t>TXN_1940400</t>
  </si>
  <si>
    <t>TXN_2359902</t>
  </si>
  <si>
    <t>TXN_2192117</t>
  </si>
  <si>
    <t>TXN_3470018</t>
  </si>
  <si>
    <t>TXN_5326454</t>
  </si>
  <si>
    <t>TXN_6090746</t>
  </si>
  <si>
    <t>TXN_2503668</t>
  </si>
  <si>
    <t>TXN_7533209</t>
  </si>
  <si>
    <t>TXN_4238718</t>
  </si>
  <si>
    <t>TXN_5215490</t>
  </si>
  <si>
    <t>TXN_4195293</t>
  </si>
  <si>
    <t>TXN_9862117</t>
  </si>
  <si>
    <t>TXN_1188804</t>
  </si>
  <si>
    <t>TXN_7491390</t>
  </si>
  <si>
    <t>TXN_1576813</t>
  </si>
  <si>
    <t>TXN_5956886</t>
  </si>
  <si>
    <t>TXN_4907871</t>
  </si>
  <si>
    <t>TXN_3945230</t>
  </si>
  <si>
    <t>TXN_9344833</t>
  </si>
  <si>
    <t>TXN_6583758</t>
  </si>
  <si>
    <t>TXN_7953083</t>
  </si>
  <si>
    <t>TXN_4545070</t>
  </si>
  <si>
    <t>TXN_5872878</t>
  </si>
  <si>
    <t>TXN_4053847</t>
  </si>
  <si>
    <t>TXN_6053875</t>
  </si>
  <si>
    <t>TXN_5498882</t>
  </si>
  <si>
    <t>TXN_5162529</t>
  </si>
  <si>
    <t>TXN_2663829</t>
  </si>
  <si>
    <t>TXN_2964837</t>
  </si>
  <si>
    <t>TXN_3224940</t>
  </si>
  <si>
    <t>TXN_6850087</t>
  </si>
  <si>
    <t>TXN_3572918</t>
  </si>
  <si>
    <t>TXN_9817044</t>
  </si>
  <si>
    <t>TXN_9034288</t>
  </si>
  <si>
    <t>TXN_5184251</t>
  </si>
  <si>
    <t>TXN_1400422</t>
  </si>
  <si>
    <t>TXN_1027160</t>
  </si>
  <si>
    <t>TXN_7404210</t>
  </si>
  <si>
    <t>TXN_4526782</t>
  </si>
  <si>
    <t>TXN_5941938</t>
  </si>
  <si>
    <t>TXN_8510020</t>
  </si>
  <si>
    <t>TXN_7893476</t>
  </si>
  <si>
    <t>TXN_8097956</t>
  </si>
  <si>
    <t>TXN_1197350</t>
  </si>
  <si>
    <t>TXN_4952456</t>
  </si>
  <si>
    <t>TXN_4400958</t>
  </si>
  <si>
    <t>TXN_5764401</t>
  </si>
  <si>
    <t>TXN_8151892</t>
  </si>
  <si>
    <t>TXN_1928530</t>
  </si>
  <si>
    <t>TXN_2059946</t>
  </si>
  <si>
    <t>TXN_4492291</t>
  </si>
  <si>
    <t>TXN_4438137</t>
  </si>
  <si>
    <t>TXN_2771113</t>
  </si>
  <si>
    <t>TXN_9619028</t>
  </si>
  <si>
    <t>TXN_9676174</t>
  </si>
  <si>
    <t>TXN_6036315</t>
  </si>
  <si>
    <t>TXN_8192888</t>
  </si>
  <si>
    <t>TXN_5536792</t>
  </si>
  <si>
    <t>TXN_7722346</t>
  </si>
  <si>
    <t>TXN_1720595</t>
  </si>
  <si>
    <t>TXN_5701956</t>
  </si>
  <si>
    <t>TXN_1179909</t>
  </si>
  <si>
    <t>TXN_9950204</t>
  </si>
  <si>
    <t>TXN_5115935</t>
  </si>
  <si>
    <t>TXN_1733313</t>
  </si>
  <si>
    <t>TXN_8351579</t>
  </si>
  <si>
    <t>TXN_3840023</t>
  </si>
  <si>
    <t>TXN_8171664</t>
  </si>
  <si>
    <t>TXN_9943125</t>
  </si>
  <si>
    <t>TXN_7238799</t>
  </si>
  <si>
    <t>TXN_8825993</t>
  </si>
  <si>
    <t>TXN_8454614</t>
  </si>
  <si>
    <t>TXN_8247054</t>
  </si>
  <si>
    <t>TXN_8724290</t>
  </si>
  <si>
    <t>TXN_4555264</t>
  </si>
  <si>
    <t>TXN_9861492</t>
  </si>
  <si>
    <t>TXN_3218492</t>
  </si>
  <si>
    <t>TXN_1400912</t>
  </si>
  <si>
    <t>TXN_3157153</t>
  </si>
  <si>
    <t>TXN_1736098</t>
  </si>
  <si>
    <t>TXN_8037593</t>
  </si>
  <si>
    <t>TXN_1834791</t>
  </si>
  <si>
    <t>TXN_1674139</t>
  </si>
  <si>
    <t>TXN_3742027</t>
  </si>
  <si>
    <t>TXN_8774399</t>
  </si>
  <si>
    <t>TXN_9219085</t>
  </si>
  <si>
    <t>TXN_8197683</t>
  </si>
  <si>
    <t>TXN_8169854</t>
  </si>
  <si>
    <t>TXN_5692250</t>
  </si>
  <si>
    <t>TXN_7583955</t>
  </si>
  <si>
    <t>TXN_9830364</t>
  </si>
  <si>
    <t>TXN_6685805</t>
  </si>
  <si>
    <t>TXN_8367191</t>
  </si>
  <si>
    <t>TXN_6181532</t>
  </si>
  <si>
    <t>TXN_6908414</t>
  </si>
  <si>
    <t>TXN_6962668</t>
  </si>
  <si>
    <t>TXN_2411176</t>
  </si>
  <si>
    <t>TXN_9469827</t>
  </si>
  <si>
    <t>TXN_3766991</t>
  </si>
  <si>
    <t>TXN_6058992</t>
  </si>
  <si>
    <t>TXN_4861636</t>
  </si>
  <si>
    <t>TXN_9096772</t>
  </si>
  <si>
    <t>TXN_4076999</t>
  </si>
  <si>
    <t>TXN_7533515</t>
  </si>
  <si>
    <t>TXN_2450206</t>
  </si>
  <si>
    <t>TXN_2407410</t>
  </si>
  <si>
    <t>TXN_1061282</t>
  </si>
  <si>
    <t>TXN_4731654</t>
  </si>
  <si>
    <t>TXN_1361359</t>
  </si>
  <si>
    <t>TXN_2157334</t>
  </si>
  <si>
    <t>TXN_4634145</t>
  </si>
  <si>
    <t>TXN_2289344</t>
  </si>
  <si>
    <t>TXN_8688342</t>
  </si>
  <si>
    <t>TXN_7689571</t>
  </si>
  <si>
    <t>TXN_5109808</t>
  </si>
  <si>
    <t>TXN_4454614</t>
  </si>
  <si>
    <t>TXN_9702329</t>
  </si>
  <si>
    <t>TXN_4214690</t>
  </si>
  <si>
    <t>TXN_7273990</t>
  </si>
  <si>
    <t>TXN_8838210</t>
  </si>
  <si>
    <t>TXN_9946325</t>
  </si>
  <si>
    <t>TXN_1847488</t>
  </si>
  <si>
    <t>TXN_3674047</t>
  </si>
  <si>
    <t>TXN_2786014</t>
  </si>
  <si>
    <t>TXN_7549064</t>
  </si>
  <si>
    <t>TXN_3587629</t>
  </si>
  <si>
    <t>TXN_2128173</t>
  </si>
  <si>
    <t>TXN_1585530</t>
  </si>
  <si>
    <t>TXN_8444117</t>
  </si>
  <si>
    <t>TXN_9017295</t>
  </si>
  <si>
    <t>TXN_6516879</t>
  </si>
  <si>
    <t>TXN_6264210</t>
  </si>
  <si>
    <t>TXN_3739606</t>
  </si>
  <si>
    <t>TXN_4124586</t>
  </si>
  <si>
    <t>TXN_1699208</t>
  </si>
  <si>
    <t>TXN_6411912</t>
  </si>
  <si>
    <t>TXN_1780099</t>
  </si>
  <si>
    <t>TXN_8547248</t>
  </si>
  <si>
    <t>TXN_7818460</t>
  </si>
  <si>
    <t>TXN_6354929</t>
  </si>
  <si>
    <t>TXN_5197744</t>
  </si>
  <si>
    <t>TXN_7955262</t>
  </si>
  <si>
    <t>TXN_2666506</t>
  </si>
  <si>
    <t>TXN_7234463</t>
  </si>
  <si>
    <t>TXN_6417718</t>
  </si>
  <si>
    <t>TXN_8454618</t>
  </si>
  <si>
    <t>TXN_2342593</t>
  </si>
  <si>
    <t>TXN_1332543</t>
  </si>
  <si>
    <t>TXN_1510369</t>
  </si>
  <si>
    <t>TXN_9148620</t>
  </si>
  <si>
    <t>TXN_5289156</t>
  </si>
  <si>
    <t>TXN_1038808</t>
  </si>
  <si>
    <t>TXN_9093964</t>
  </si>
  <si>
    <t>TXN_9187405</t>
  </si>
  <si>
    <t>TXN_9714531</t>
  </si>
  <si>
    <t>TXN_1966350</t>
  </si>
  <si>
    <t>TXN_6522171</t>
  </si>
  <si>
    <t>TXN_6677921</t>
  </si>
  <si>
    <t>TXN_5747087</t>
  </si>
  <si>
    <t>TXN_2707360</t>
  </si>
  <si>
    <t>TXN_7190172</t>
  </si>
  <si>
    <t>TXN_3527658</t>
  </si>
  <si>
    <t>TXN_1999080</t>
  </si>
  <si>
    <t>TXN_2954304</t>
  </si>
  <si>
    <t>TXN_4724970</t>
  </si>
  <si>
    <t>TXN_5196670</t>
  </si>
  <si>
    <t>TXN_8155707</t>
  </si>
  <si>
    <t>TXN_2169979</t>
  </si>
  <si>
    <t>TXN_7020380</t>
  </si>
  <si>
    <t>TXN_4062533</t>
  </si>
  <si>
    <t>TXN_2387517</t>
  </si>
  <si>
    <t>TXN_2709041</t>
  </si>
  <si>
    <t>TXN_7183009</t>
  </si>
  <si>
    <t>TXN_1938762</t>
  </si>
  <si>
    <t>TXN_5826244</t>
  </si>
  <si>
    <t>TXN_9816950</t>
  </si>
  <si>
    <t>TXN_5355489</t>
  </si>
  <si>
    <t>TXN_2163300</t>
  </si>
  <si>
    <t>TXN_6920881</t>
  </si>
  <si>
    <t>TXN_9536103</t>
  </si>
  <si>
    <t>TXN_7591250</t>
  </si>
  <si>
    <t>TXN_2647272</t>
  </si>
  <si>
    <t>TXN_9370181</t>
  </si>
  <si>
    <t>TXN_8088350</t>
  </si>
  <si>
    <t>TXN_4320727</t>
  </si>
  <si>
    <t>TXN_5032042</t>
  </si>
  <si>
    <t>TXN_4734390</t>
  </si>
  <si>
    <t>TXN_3503821</t>
  </si>
  <si>
    <t>TXN_9254604</t>
  </si>
  <si>
    <t>TXN_1523065</t>
  </si>
  <si>
    <t>TXN_9361186</t>
  </si>
  <si>
    <t>TXN_7974413</t>
  </si>
  <si>
    <t>TXN_7504883</t>
  </si>
  <si>
    <t>TXN_4091872</t>
  </si>
  <si>
    <t>TXN_1367634</t>
  </si>
  <si>
    <t>TXN_1031651</t>
  </si>
  <si>
    <t>TXN_7090174</t>
  </si>
  <si>
    <t>TXN_6365546</t>
  </si>
  <si>
    <t>TXN_9054315</t>
  </si>
  <si>
    <t>TXN_9451256</t>
  </si>
  <si>
    <t>TXN_7663927</t>
  </si>
  <si>
    <t>TXN_2377286</t>
  </si>
  <si>
    <t>TXN_6476793</t>
  </si>
  <si>
    <t>TXN_9928533</t>
  </si>
  <si>
    <t>TXN_3653878</t>
  </si>
  <si>
    <t>TXN_7752160</t>
  </si>
  <si>
    <t>TXN_3071763</t>
  </si>
  <si>
    <t>TXN_1884808</t>
  </si>
  <si>
    <t>TXN_4497413</t>
  </si>
  <si>
    <t>TXN_3856988</t>
  </si>
  <si>
    <t>TXN_1398946</t>
  </si>
  <si>
    <t>TXN_6981431</t>
  </si>
  <si>
    <t>TXN_7365607</t>
  </si>
  <si>
    <t>TXN_1014253</t>
  </si>
  <si>
    <t>TXN_9631306</t>
  </si>
  <si>
    <t>TXN_5268837</t>
  </si>
  <si>
    <t>TXN_7467481</t>
  </si>
  <si>
    <t>TXN_5600366</t>
  </si>
  <si>
    <t>TXN_3255864</t>
  </si>
  <si>
    <t>TXN_9008981</t>
  </si>
  <si>
    <t>TXN_2037577</t>
  </si>
  <si>
    <t>TXN_8737799</t>
  </si>
  <si>
    <t>TXN_6705277</t>
  </si>
  <si>
    <t>TXN_3442471</t>
  </si>
  <si>
    <t>TXN_9538128</t>
  </si>
  <si>
    <t>TXN_2163627</t>
  </si>
  <si>
    <t>TXN_1796174</t>
  </si>
  <si>
    <t>TXN_8286101</t>
  </si>
  <si>
    <t>TXN_1441328</t>
  </si>
  <si>
    <t>TXN_9493348</t>
  </si>
  <si>
    <t>TXN_3858610</t>
  </si>
  <si>
    <t>TXN_5615436</t>
  </si>
  <si>
    <t>TXN_7833172</t>
  </si>
  <si>
    <t>TXN_8967003</t>
  </si>
  <si>
    <t>TXN_8996070</t>
  </si>
  <si>
    <t>TXN_5390878</t>
  </si>
  <si>
    <t>TXN_7767182</t>
  </si>
  <si>
    <t>TXN_3599726</t>
  </si>
  <si>
    <t>TXN_5009902</t>
  </si>
  <si>
    <t>TXN_1815089</t>
  </si>
  <si>
    <t>TXN_2685384</t>
  </si>
  <si>
    <t>TXN_9662222</t>
  </si>
  <si>
    <t>TXN_5247770</t>
  </si>
  <si>
    <t>TXN_2905292</t>
  </si>
  <si>
    <t>TXN_6476117</t>
  </si>
  <si>
    <t>TXN_1160375</t>
  </si>
  <si>
    <t>TXN_1851161</t>
  </si>
  <si>
    <t>TXN_4286155</t>
  </si>
  <si>
    <t>TXN_4214359</t>
  </si>
  <si>
    <t>TXN_9911083</t>
  </si>
  <si>
    <t>TXN_2095657</t>
  </si>
  <si>
    <t>TXN_4347202</t>
  </si>
  <si>
    <t>TXN_4045427</t>
  </si>
  <si>
    <t>TXN_3965941</t>
  </si>
  <si>
    <t>TXN_2782561</t>
  </si>
  <si>
    <t>TXN_1734171</t>
  </si>
  <si>
    <t>TXN_4059881</t>
  </si>
  <si>
    <t>TXN_9403833</t>
  </si>
  <si>
    <t>TXN_4096416</t>
  </si>
  <si>
    <t>TXN_5311558</t>
  </si>
  <si>
    <t>TXN_5527798</t>
  </si>
  <si>
    <t>TXN_1919804</t>
  </si>
  <si>
    <t>TXN_7306528</t>
  </si>
  <si>
    <t>TXN_5342329</t>
  </si>
  <si>
    <t>TXN_5270259</t>
  </si>
  <si>
    <t>TXN_4108031</t>
  </si>
  <si>
    <t>TXN_4231938</t>
  </si>
  <si>
    <t>TXN_8401176</t>
  </si>
  <si>
    <t>TXN_3202495</t>
  </si>
  <si>
    <t>TXN_8439426</t>
  </si>
  <si>
    <t>TXN_7900727</t>
  </si>
  <si>
    <t>TXN_3188922</t>
  </si>
  <si>
    <t>TXN_7949456</t>
  </si>
  <si>
    <t>TXN_1432870</t>
  </si>
  <si>
    <t>TXN_4752744</t>
  </si>
  <si>
    <t>TXN_4609121</t>
  </si>
  <si>
    <t>TXN_7792938</t>
  </si>
  <si>
    <t>TXN_6582263</t>
  </si>
  <si>
    <t>TXN_7929854</t>
  </si>
  <si>
    <t>TXN_4465035</t>
  </si>
  <si>
    <t>TXN_7384450</t>
  </si>
  <si>
    <t>TXN_3581677</t>
  </si>
  <si>
    <t>TXN_5761932</t>
  </si>
  <si>
    <t>TXN_8598964</t>
  </si>
  <si>
    <t>TXN_9588085</t>
  </si>
  <si>
    <t>TXN_3301515</t>
  </si>
  <si>
    <t>TXN_3858239</t>
  </si>
  <si>
    <t>TXN_4847645</t>
  </si>
  <si>
    <t>TXN_2995331</t>
  </si>
  <si>
    <t>TXN_9706254</t>
  </si>
  <si>
    <t>TXN_4049162</t>
  </si>
  <si>
    <t>TXN_5535762</t>
  </si>
  <si>
    <t>TXN_3505141</t>
  </si>
  <si>
    <t>TXN_2260411</t>
  </si>
  <si>
    <t>TXN_4092805</t>
  </si>
  <si>
    <t>TXN_8622563</t>
  </si>
  <si>
    <t>TXN_2018154</t>
  </si>
  <si>
    <t>TXN_5747284</t>
  </si>
  <si>
    <t>TXN_3047391</t>
  </si>
  <si>
    <t>TXN_9826370</t>
  </si>
  <si>
    <t>TXN_1258675</t>
  </si>
  <si>
    <t>TXN_2300142</t>
  </si>
  <si>
    <t>TXN_1545404</t>
  </si>
  <si>
    <t>TXN_7006720</t>
  </si>
  <si>
    <t>TXN_6491775</t>
  </si>
  <si>
    <t>TXN_9386080</t>
  </si>
  <si>
    <t>TXN_8319396</t>
  </si>
  <si>
    <t>TXN_9340241</t>
  </si>
  <si>
    <t>TXN_1342283</t>
  </si>
  <si>
    <t>TXN_5845226</t>
  </si>
  <si>
    <t>TXN_2069389</t>
  </si>
  <si>
    <t>TXN_5748429</t>
  </si>
  <si>
    <t>TXN_4398638</t>
  </si>
  <si>
    <t>TXN_6947902</t>
  </si>
  <si>
    <t>TXN_3547918</t>
  </si>
  <si>
    <t>TXN_7118644</t>
  </si>
  <si>
    <t>TXN_6897096</t>
  </si>
  <si>
    <t>TXN_7504945</t>
  </si>
  <si>
    <t>TXN_2690530</t>
  </si>
  <si>
    <t>TXN_9178438</t>
  </si>
  <si>
    <t>TXN_1078382</t>
  </si>
  <si>
    <t>TXN_7362256</t>
  </si>
  <si>
    <t>TXN_2581258</t>
  </si>
  <si>
    <t>TXN_9707301</t>
  </si>
  <si>
    <t>TXN_3883115</t>
  </si>
  <si>
    <t>TXN_8177813</t>
  </si>
  <si>
    <t>TXN_3070107</t>
  </si>
  <si>
    <t>TXN_5873481</t>
  </si>
  <si>
    <t>TXN_9969255</t>
  </si>
  <si>
    <t>TXN_9514388</t>
  </si>
  <si>
    <t>TXN_8466225</t>
  </si>
  <si>
    <t>TXN_7340795</t>
  </si>
  <si>
    <t>TXN_6136154</t>
  </si>
  <si>
    <t>TXN_3713358</t>
  </si>
  <si>
    <t>TXN_2328560</t>
  </si>
  <si>
    <t>TXN_3839216</t>
  </si>
  <si>
    <t>TXN_6346223</t>
  </si>
  <si>
    <t>TXN_5451832</t>
  </si>
  <si>
    <t>TXN_5498917</t>
  </si>
  <si>
    <t>TXN_7409573</t>
  </si>
  <si>
    <t>TXN_8793256</t>
  </si>
  <si>
    <t>TXN_4357861</t>
  </si>
  <si>
    <t>TXN_8296076</t>
  </si>
  <si>
    <t>TXN_1198181</t>
  </si>
  <si>
    <t>TXN_3286135</t>
  </si>
  <si>
    <t>TXN_7987242</t>
  </si>
  <si>
    <t>TXN_7782445</t>
  </si>
  <si>
    <t>TXN_6470413</t>
  </si>
  <si>
    <t>TXN_5156632</t>
  </si>
  <si>
    <t>TXN_4053566</t>
  </si>
  <si>
    <t>TXN_2746396</t>
  </si>
  <si>
    <t>TXN_8258782</t>
  </si>
  <si>
    <t>TXN_3998952</t>
  </si>
  <si>
    <t>TXN_8949319</t>
  </si>
  <si>
    <t>TXN_6179212</t>
  </si>
  <si>
    <t>TXN_1519431</t>
  </si>
  <si>
    <t>TXN_4876845</t>
  </si>
  <si>
    <t>TXN_5288559</t>
  </si>
  <si>
    <t>TXN_5953662</t>
  </si>
  <si>
    <t>TXN_1047304</t>
  </si>
  <si>
    <t>TXN_9664075</t>
  </si>
  <si>
    <t>TXN_9850952</t>
  </si>
  <si>
    <t>TXN_2548154</t>
  </si>
  <si>
    <t>TXN_2194494</t>
  </si>
  <si>
    <t>TXN_5016365</t>
  </si>
  <si>
    <t>TXN_7531055</t>
  </si>
  <si>
    <t>TXN_6450172</t>
  </si>
  <si>
    <t>TXN_3961169</t>
  </si>
  <si>
    <t>TXN_8824211</t>
  </si>
  <si>
    <t>TXN_9696371</t>
  </si>
  <si>
    <t>TXN_9386377</t>
  </si>
  <si>
    <t>TXN_3432541</t>
  </si>
  <si>
    <t>TXN_4406496</t>
  </si>
  <si>
    <t>TXN_5839296</t>
  </si>
  <si>
    <t>TXN_5600766</t>
  </si>
  <si>
    <t>TXN_2442022</t>
  </si>
  <si>
    <t>TXN_3268265</t>
  </si>
  <si>
    <t>TXN_3625744</t>
  </si>
  <si>
    <t>TXN_9150818</t>
  </si>
  <si>
    <t>TXN_5529274</t>
  </si>
  <si>
    <t>TXN_3070264</t>
  </si>
  <si>
    <t>TXN_7199751</t>
  </si>
  <si>
    <t>TXN_5942238</t>
  </si>
  <si>
    <t>TXN_4595269</t>
  </si>
  <si>
    <t>TXN_1263895</t>
  </si>
  <si>
    <t>TXN_4469798</t>
  </si>
  <si>
    <t>TXN_3603564</t>
  </si>
  <si>
    <t>TXN_4359913</t>
  </si>
  <si>
    <t>TXN_4405059</t>
  </si>
  <si>
    <t>TXN_2847928</t>
  </si>
  <si>
    <t>TXN_1666199</t>
  </si>
  <si>
    <t>TXN_6001401</t>
  </si>
  <si>
    <t>TXN_6718947</t>
  </si>
  <si>
    <t>TXN_5985157</t>
  </si>
  <si>
    <t>TXN_1640857</t>
  </si>
  <si>
    <t>TXN_5990910</t>
  </si>
  <si>
    <t>TXN_8736586</t>
  </si>
  <si>
    <t>TXN_1371395</t>
  </si>
  <si>
    <t>TXN_9813497</t>
  </si>
  <si>
    <t>TXN_4747660</t>
  </si>
  <si>
    <t>TXN_1422139</t>
  </si>
  <si>
    <t>TXN_7138473</t>
  </si>
  <si>
    <t>TXN_4882136</t>
  </si>
  <si>
    <t>TXN_6170543</t>
  </si>
  <si>
    <t>TXN_3747474</t>
  </si>
  <si>
    <t>TXN_2196056</t>
  </si>
  <si>
    <t>TXN_8748461</t>
  </si>
  <si>
    <t>TXN_4462629</t>
  </si>
  <si>
    <t>TXN_5442881</t>
  </si>
  <si>
    <t>TXN_1448205</t>
  </si>
  <si>
    <t>TXN_6329480</t>
  </si>
  <si>
    <t>TXN_2417956</t>
  </si>
  <si>
    <t>TXN_2679675</t>
  </si>
  <si>
    <t>TXN_7729843</t>
  </si>
  <si>
    <t>TXN_4313655</t>
  </si>
  <si>
    <t>TXN_3902130</t>
  </si>
  <si>
    <t>TXN_7166728</t>
  </si>
  <si>
    <t>TXN_7149456</t>
  </si>
  <si>
    <t>TXN_6999998</t>
  </si>
  <si>
    <t>TXN_3645379</t>
  </si>
  <si>
    <t>TXN_7175950</t>
  </si>
  <si>
    <t>TXN_3993154</t>
  </si>
  <si>
    <t>TXN_4672987</t>
  </si>
  <si>
    <t>TXN_3754218</t>
  </si>
  <si>
    <t>TXN_7972595</t>
  </si>
  <si>
    <t>TXN_4554478</t>
  </si>
  <si>
    <t>TXN_8596731</t>
  </si>
  <si>
    <t>TXN_8571165</t>
  </si>
  <si>
    <t>TXN_4239928</t>
  </si>
  <si>
    <t>TXN_7318897</t>
  </si>
  <si>
    <t>TXN_2076721</t>
  </si>
  <si>
    <t>TXN_5115378</t>
  </si>
  <si>
    <t>TXN_9391758</t>
  </si>
  <si>
    <t>TXN_7122930</t>
  </si>
  <si>
    <t>TXN_5482525</t>
  </si>
  <si>
    <t>TXN_2007985</t>
  </si>
  <si>
    <t>TXN_1456329</t>
  </si>
  <si>
    <t>TXN_8481601</t>
  </si>
  <si>
    <t>TXN_3351830</t>
  </si>
  <si>
    <t>TXN_2256322</t>
  </si>
  <si>
    <t>TXN_4812459</t>
  </si>
  <si>
    <t>TXN_4106360</t>
  </si>
  <si>
    <t>TXN_7144545</t>
  </si>
  <si>
    <t>TXN_8348576</t>
  </si>
  <si>
    <t>TXN_3037819</t>
  </si>
  <si>
    <t>TXN_1430909</t>
  </si>
  <si>
    <t>TXN_9565718</t>
  </si>
  <si>
    <t>TXN_2907353</t>
  </si>
  <si>
    <t>TXN_8506371</t>
  </si>
  <si>
    <t>TXN_4194209</t>
  </si>
  <si>
    <t>TXN_3435518</t>
  </si>
  <si>
    <t>TXN_8944977</t>
  </si>
  <si>
    <t>TXN_1091806</t>
  </si>
  <si>
    <t>TXN_2991101</t>
  </si>
  <si>
    <t>TXN_1474758</t>
  </si>
  <si>
    <t>TXN_2107105</t>
  </si>
  <si>
    <t>TXN_3030324</t>
  </si>
  <si>
    <t>TXN_4273287</t>
  </si>
  <si>
    <t>TXN_5187397</t>
  </si>
  <si>
    <t>TXN_1869028</t>
  </si>
  <si>
    <t>TXN_5431135</t>
  </si>
  <si>
    <t>TXN_2626134</t>
  </si>
  <si>
    <t>TXN_6005962</t>
  </si>
  <si>
    <t>TXN_5888872</t>
  </si>
  <si>
    <t>TXN_3678974</t>
  </si>
  <si>
    <t>TXN_5436979</t>
  </si>
  <si>
    <t>TXN_2528404</t>
  </si>
  <si>
    <t>TXN_8666651</t>
  </si>
  <si>
    <t>TXN_8571416</t>
  </si>
  <si>
    <t>TXN_7003448</t>
  </si>
  <si>
    <t>TXN_7112844</t>
  </si>
  <si>
    <t>TXN_3593226</t>
  </si>
  <si>
    <t>TXN_1543853</t>
  </si>
  <si>
    <t>TXN_3929635</t>
  </si>
  <si>
    <t>TXN_4159313</t>
  </si>
  <si>
    <t>TXN_5518783</t>
  </si>
  <si>
    <t>TXN_2254730</t>
  </si>
  <si>
    <t>TXN_9885625</t>
  </si>
  <si>
    <t>TXN_2913551</t>
  </si>
  <si>
    <t>TXN_8188147</t>
  </si>
  <si>
    <t>TXN_2596637</t>
  </si>
  <si>
    <t>TXN_4684679</t>
  </si>
  <si>
    <t>TXN_3504901</t>
  </si>
  <si>
    <t>TXN_3513732</t>
  </si>
  <si>
    <t>TXN_7192799</t>
  </si>
  <si>
    <t>TXN_8293749</t>
  </si>
  <si>
    <t>TXN_7675840</t>
  </si>
  <si>
    <t>TXN_2017512</t>
  </si>
  <si>
    <t>TXN_3927468</t>
  </si>
  <si>
    <t>TXN_8363775</t>
  </si>
  <si>
    <t>TXN_7180080</t>
  </si>
  <si>
    <t>TXN_6334800</t>
  </si>
  <si>
    <t>TXN_4863868</t>
  </si>
  <si>
    <t>TXN_8536324</t>
  </si>
  <si>
    <t>TXN_3122819</t>
  </si>
  <si>
    <t>TXN_5620470</t>
  </si>
  <si>
    <t>TXN_7593483</t>
  </si>
  <si>
    <t>TXN_4259268</t>
  </si>
  <si>
    <t>TXN_1686913</t>
  </si>
  <si>
    <t>TXN_1876426</t>
  </si>
  <si>
    <t>TXN_5060164</t>
  </si>
  <si>
    <t>TXN_1297128</t>
  </si>
  <si>
    <t>TXN_6657055</t>
  </si>
  <si>
    <t>TXN_9109937</t>
  </si>
  <si>
    <t>TXN_9311214</t>
  </si>
  <si>
    <t>TXN_8836430</t>
  </si>
  <si>
    <t>TXN_8207498</t>
  </si>
  <si>
    <t>TXN_5139260</t>
  </si>
  <si>
    <t>TXN_5981197</t>
  </si>
  <si>
    <t>TXN_1923790</t>
  </si>
  <si>
    <t>TXN_7764138</t>
  </si>
  <si>
    <t>TXN_3619946</t>
  </si>
  <si>
    <t>TXN_2647450</t>
  </si>
  <si>
    <t>TXN_9238218</t>
  </si>
  <si>
    <t>TXN_1976524</t>
  </si>
  <si>
    <t>TXN_7792504</t>
  </si>
  <si>
    <t>TXN_8393572</t>
  </si>
  <si>
    <t>TXN_1207317</t>
  </si>
  <si>
    <t>TXN_5497844</t>
  </si>
  <si>
    <t>TXN_1920349</t>
  </si>
  <si>
    <t>TXN_1891321</t>
  </si>
  <si>
    <t>TXN_8292411</t>
  </si>
  <si>
    <t>TXN_5123327</t>
  </si>
  <si>
    <t>TXN_7816964</t>
  </si>
  <si>
    <t>TXN_3854878</t>
  </si>
  <si>
    <t>TXN_1003865</t>
  </si>
  <si>
    <t>TXN_6382732</t>
  </si>
  <si>
    <t>TXN_6782085</t>
  </si>
  <si>
    <t>TXN_4478162</t>
  </si>
  <si>
    <t>TXN_3008793</t>
  </si>
  <si>
    <t>TXN_8822985</t>
  </si>
  <si>
    <t>TXN_4191194</t>
  </si>
  <si>
    <t>TXN_2455842</t>
  </si>
  <si>
    <t>TXN_9475395</t>
  </si>
  <si>
    <t>TXN_2659409</t>
  </si>
  <si>
    <t>TXN_3319577</t>
  </si>
  <si>
    <t>TXN_7405371</t>
  </si>
  <si>
    <t>TXN_5026476</t>
  </si>
  <si>
    <t>TXN_3868370</t>
  </si>
  <si>
    <t>TXN_4730708</t>
  </si>
  <si>
    <t>TXN_6681572</t>
  </si>
  <si>
    <t>TXN_8322513</t>
  </si>
  <si>
    <t>TXN_9281229</t>
  </si>
  <si>
    <t>TXN_9749228</t>
  </si>
  <si>
    <t>TXN_1315967</t>
  </si>
  <si>
    <t>TXN_4411366</t>
  </si>
  <si>
    <t>TXN_6992931</t>
  </si>
  <si>
    <t>TXN_3040201</t>
  </si>
  <si>
    <t>TXN_8502497</t>
  </si>
  <si>
    <t>TXN_2038385</t>
  </si>
  <si>
    <t>TXN_2196992</t>
  </si>
  <si>
    <t>TXN_6272881</t>
  </si>
  <si>
    <t>TXN_6162123</t>
  </si>
  <si>
    <t>TXN_8794922</t>
  </si>
  <si>
    <t>TXN_6834757</t>
  </si>
  <si>
    <t>TXN_8982011</t>
  </si>
  <si>
    <t>TXN_6272697</t>
  </si>
  <si>
    <t>TXN_8426490</t>
  </si>
  <si>
    <t>TXN_6271059</t>
  </si>
  <si>
    <t>TXN_2566721</t>
  </si>
  <si>
    <t>TXN_7007814</t>
  </si>
  <si>
    <t>TXN_5913765</t>
  </si>
  <si>
    <t>TXN_4502464</t>
  </si>
  <si>
    <t>TXN_6766170</t>
  </si>
  <si>
    <t>TXN_4167160</t>
  </si>
  <si>
    <t>TXN_8362951</t>
  </si>
  <si>
    <t>TXN_5915197</t>
  </si>
  <si>
    <t>TXN_5903404</t>
  </si>
  <si>
    <t>TXN_6730670</t>
  </si>
  <si>
    <t>TXN_8562646</t>
  </si>
  <si>
    <t>TXN_6107048</t>
  </si>
  <si>
    <t>TXN_7196079</t>
  </si>
  <si>
    <t>TXN_9384430</t>
  </si>
  <si>
    <t>TXN_3020816</t>
  </si>
  <si>
    <t>TXN_1613779</t>
  </si>
  <si>
    <t>TXN_6636773</t>
  </si>
  <si>
    <t>TXN_2203983</t>
  </si>
  <si>
    <t>TXN_8789017</t>
  </si>
  <si>
    <t>TXN_8826475</t>
  </si>
  <si>
    <t>TXN_4827125</t>
  </si>
  <si>
    <t>TXN_6995557</t>
  </si>
  <si>
    <t>TXN_7822143</t>
  </si>
  <si>
    <t>TXN_8295200</t>
  </si>
  <si>
    <t>TXN_1648427</t>
  </si>
  <si>
    <t>TXN_9509705</t>
  </si>
  <si>
    <t>TXN_9559442</t>
  </si>
  <si>
    <t>TXN_9368743</t>
  </si>
  <si>
    <t>TXN_8535621</t>
  </si>
  <si>
    <t>TXN_4577781</t>
  </si>
  <si>
    <t>TXN_6968704</t>
  </si>
  <si>
    <t>TXN_4732306</t>
  </si>
  <si>
    <t>TXN_8267402</t>
  </si>
  <si>
    <t>TXN_3392405</t>
  </si>
  <si>
    <t>TXN_1943582</t>
  </si>
  <si>
    <t>TXN_8744270</t>
  </si>
  <si>
    <t>TXN_3129751</t>
  </si>
  <si>
    <t>TXN_3111666</t>
  </si>
  <si>
    <t>TXN_8131935</t>
  </si>
  <si>
    <t>TXN_1489487</t>
  </si>
  <si>
    <t>TXN_9845530</t>
  </si>
  <si>
    <t>TXN_9893886</t>
  </si>
  <si>
    <t>TXN_5698793</t>
  </si>
  <si>
    <t>TXN_8155428</t>
  </si>
  <si>
    <t>TXN_5186312</t>
  </si>
  <si>
    <t>TXN_3342443</t>
  </si>
  <si>
    <t>TXN_2864845</t>
  </si>
  <si>
    <t>TXN_5291160</t>
  </si>
  <si>
    <t>TXN_4431120</t>
  </si>
  <si>
    <t>TXN_3544848</t>
  </si>
  <si>
    <t>TXN_5825215</t>
  </si>
  <si>
    <t>TXN_2802887</t>
  </si>
  <si>
    <t>TXN_5013447</t>
  </si>
  <si>
    <t>TXN_8186546</t>
  </si>
  <si>
    <t>TXN_7784402</t>
  </si>
  <si>
    <t>TXN_9832001</t>
  </si>
  <si>
    <t>TXN_5786843</t>
  </si>
  <si>
    <t>TXN_9929561</t>
  </si>
  <si>
    <t>TXN_3202645</t>
  </si>
  <si>
    <t>TXN_7864309</t>
  </si>
  <si>
    <t>TXN_2724532</t>
  </si>
  <si>
    <t>TXN_6927369</t>
  </si>
  <si>
    <t>TXN_2238366</t>
  </si>
  <si>
    <t>TXN_2455053</t>
  </si>
  <si>
    <t>TXN_8143902</t>
  </si>
  <si>
    <t>TXN_7729050</t>
  </si>
  <si>
    <t>TXN_3460199</t>
  </si>
  <si>
    <t>TXN_1393018</t>
  </si>
  <si>
    <t>TXN_6100931</t>
  </si>
  <si>
    <t>TXN_6091754</t>
  </si>
  <si>
    <t>TXN_5261605</t>
  </si>
  <si>
    <t>TXN_2126258</t>
  </si>
  <si>
    <t>TXN_9248541</t>
  </si>
  <si>
    <t>TXN_9964153</t>
  </si>
  <si>
    <t>TXN_1013045</t>
  </si>
  <si>
    <t>TXN_6514016</t>
  </si>
  <si>
    <t>TXN_2645782</t>
  </si>
  <si>
    <t>TXN_8585525</t>
  </si>
  <si>
    <t>TXN_9579985</t>
  </si>
  <si>
    <t>TXN_8434417</t>
  </si>
  <si>
    <t>TXN_6817577</t>
  </si>
  <si>
    <t>TXN_9171710</t>
  </si>
  <si>
    <t>TXN_7844000</t>
  </si>
  <si>
    <t>TXN_3006943</t>
  </si>
  <si>
    <t>TXN_4327164</t>
  </si>
  <si>
    <t>TXN_8549366</t>
  </si>
  <si>
    <t>TXN_1448668</t>
  </si>
  <si>
    <t>TXN_9722290</t>
  </si>
  <si>
    <t>TXN_4559771</t>
  </si>
  <si>
    <t>TXN_4383123</t>
  </si>
  <si>
    <t>TXN_7384527</t>
  </si>
  <si>
    <t>TXN_8987229</t>
  </si>
  <si>
    <t>TXN_8756884</t>
  </si>
  <si>
    <t>TXN_5741074</t>
  </si>
  <si>
    <t>TXN_2029611</t>
  </si>
  <si>
    <t>TXN_7804471</t>
  </si>
  <si>
    <t>TXN_1541024</t>
  </si>
  <si>
    <t>TXN_9090898</t>
  </si>
  <si>
    <t>TXN_1591772</t>
  </si>
  <si>
    <t>TXN_4787658</t>
  </si>
  <si>
    <t>TXN_8197313</t>
  </si>
  <si>
    <t>TXN_3599152</t>
  </si>
  <si>
    <t>TXN_4910983</t>
  </si>
  <si>
    <t>TXN_6707919</t>
  </si>
  <si>
    <t>TXN_9518234</t>
  </si>
  <si>
    <t>TXN_3019755</t>
  </si>
  <si>
    <t>TXN_4473345</t>
  </si>
  <si>
    <t>TXN_9265726</t>
  </si>
  <si>
    <t>TXN_3340219</t>
  </si>
  <si>
    <t>TXN_9699592</t>
  </si>
  <si>
    <t>TXN_2034268</t>
  </si>
  <si>
    <t>TXN_1456719</t>
  </si>
  <si>
    <t>TXN_8648358</t>
  </si>
  <si>
    <t>TXN_9515774</t>
  </si>
  <si>
    <t>TXN_1495979</t>
  </si>
  <si>
    <t>TXN_5568041</t>
  </si>
  <si>
    <t>TXN_1949455</t>
  </si>
  <si>
    <t>TXN_1732114</t>
  </si>
  <si>
    <t>TXN_2171581</t>
  </si>
  <si>
    <t>TXN_1007510</t>
  </si>
  <si>
    <t>TXN_3880353</t>
  </si>
  <si>
    <t>TXN_3409638</t>
  </si>
  <si>
    <t>TXN_4565043</t>
  </si>
  <si>
    <t>TXN_4399558</t>
  </si>
  <si>
    <t>TXN_3958510</t>
  </si>
  <si>
    <t>TXN_9413220</t>
  </si>
  <si>
    <t>TXN_6798190</t>
  </si>
  <si>
    <t>TXN_6403470</t>
  </si>
  <si>
    <t>TXN_2087965</t>
  </si>
  <si>
    <t>TXN_6363608</t>
  </si>
  <si>
    <t>TXN_9856856</t>
  </si>
  <si>
    <t>TXN_1746209</t>
  </si>
  <si>
    <t>TXN_4129646</t>
  </si>
  <si>
    <t>TXN_3079892</t>
  </si>
  <si>
    <t>TXN_2731981</t>
  </si>
  <si>
    <t>TXN_3388920</t>
  </si>
  <si>
    <t>TXN_5308673</t>
  </si>
  <si>
    <t>TXN_5672977</t>
  </si>
  <si>
    <t>TXN_4436938</t>
  </si>
  <si>
    <t>TXN_2494353</t>
  </si>
  <si>
    <t>TXN_1753755</t>
  </si>
  <si>
    <t>TXN_4704137</t>
  </si>
  <si>
    <t>TXN_6012297</t>
  </si>
  <si>
    <t>TXN_4522176</t>
  </si>
  <si>
    <t>TXN_9479679</t>
  </si>
  <si>
    <t>TXN_3089375</t>
  </si>
  <si>
    <t>TXN_7941679</t>
  </si>
  <si>
    <t>TXN_4828565</t>
  </si>
  <si>
    <t>TXN_9494162</t>
  </si>
  <si>
    <t>TXN_1349740</t>
  </si>
  <si>
    <t>TXN_9236082</t>
  </si>
  <si>
    <t>TXN_5040605</t>
  </si>
  <si>
    <t>TXN_7153317</t>
  </si>
  <si>
    <t>TXN_6666623</t>
  </si>
  <si>
    <t>TXN_6771805</t>
  </si>
  <si>
    <t>TXN_7609763</t>
  </si>
  <si>
    <t>TXN_4004830</t>
  </si>
  <si>
    <t>TXN_3583888</t>
  </si>
  <si>
    <t>TXN_2379515</t>
  </si>
  <si>
    <t>TXN_5915154</t>
  </si>
  <si>
    <t>TXN_9180432</t>
  </si>
  <si>
    <t>TXN_5712926</t>
  </si>
  <si>
    <t>TXN_5100476</t>
  </si>
  <si>
    <t>TXN_9787092</t>
  </si>
  <si>
    <t>TXN_9757864</t>
  </si>
  <si>
    <t>TXN_7525212</t>
  </si>
  <si>
    <t>TXN_6308905</t>
  </si>
  <si>
    <t>TXN_5984226</t>
  </si>
  <si>
    <t>TXN_5866486</t>
  </si>
  <si>
    <t>TXN_8999132</t>
  </si>
  <si>
    <t>TXN_2582450</t>
  </si>
  <si>
    <t>TXN_9537013</t>
  </si>
  <si>
    <t>TXN_4208189</t>
  </si>
  <si>
    <t>TXN_6774418</t>
  </si>
  <si>
    <t>TXN_3031828</t>
  </si>
  <si>
    <t>TXN_4387487</t>
  </si>
  <si>
    <t>TXN_3036586</t>
  </si>
  <si>
    <t>TXN_9745509</t>
  </si>
  <si>
    <t>TXN_6686319</t>
  </si>
  <si>
    <t>TXN_2035015</t>
  </si>
  <si>
    <t>TXN_7818630</t>
  </si>
  <si>
    <t>TXN_1143548</t>
  </si>
  <si>
    <t>TXN_4038490</t>
  </si>
  <si>
    <t>TXN_3923869</t>
  </si>
  <si>
    <t>TXN_2605841</t>
  </si>
  <si>
    <t>TXN_6818931</t>
  </si>
  <si>
    <t>TXN_8261655</t>
  </si>
  <si>
    <t>TXN_7575263</t>
  </si>
  <si>
    <t>TXN_9803107</t>
  </si>
  <si>
    <t>TXN_2957368</t>
  </si>
  <si>
    <t>TXN_5413491</t>
  </si>
  <si>
    <t>TXN_3834203</t>
  </si>
  <si>
    <t>TXN_1446414</t>
  </si>
  <si>
    <t>TXN_6672762</t>
  </si>
  <si>
    <t>TXN_9155245</t>
  </si>
  <si>
    <t>TXN_5212165</t>
  </si>
  <si>
    <t>TXN_6442868</t>
  </si>
  <si>
    <t>TXN_1630509</t>
  </si>
  <si>
    <t>TXN_7531099</t>
  </si>
  <si>
    <t>TXN_7007203</t>
  </si>
  <si>
    <t>TXN_3993454</t>
  </si>
  <si>
    <t>TXN_2558237</t>
  </si>
  <si>
    <t>TXN_1673118</t>
  </si>
  <si>
    <t>TXN_4433161</t>
  </si>
  <si>
    <t>TXN_2731024</t>
  </si>
  <si>
    <t>TXN_8536550</t>
  </si>
  <si>
    <t>TXN_5571853</t>
  </si>
  <si>
    <t>TXN_6867742</t>
  </si>
  <si>
    <t>TXN_1890352</t>
  </si>
  <si>
    <t>TXN_1248451</t>
  </si>
  <si>
    <t>TXN_9424217</t>
  </si>
  <si>
    <t>TXN_5659844</t>
  </si>
  <si>
    <t>TXN_1431325</t>
  </si>
  <si>
    <t>TXN_9445661</t>
  </si>
  <si>
    <t>TXN_7474583</t>
  </si>
  <si>
    <t>TXN_5248200</t>
  </si>
  <si>
    <t>TXN_6393003</t>
  </si>
  <si>
    <t>TXN_5246659</t>
  </si>
  <si>
    <t>TXN_6695324</t>
  </si>
  <si>
    <t>TXN_6368570</t>
  </si>
  <si>
    <t>TXN_8031470</t>
  </si>
  <si>
    <t>TXN_2930732</t>
  </si>
  <si>
    <t>TXN_8372883</t>
  </si>
  <si>
    <t>TXN_4524628</t>
  </si>
  <si>
    <t>TXN_6007030</t>
  </si>
  <si>
    <t>TXN_2285948</t>
  </si>
  <si>
    <t>TXN_6022574</t>
  </si>
  <si>
    <t>TXN_7027530</t>
  </si>
  <si>
    <t>TXN_7060106</t>
  </si>
  <si>
    <t>TXN_7837658</t>
  </si>
  <si>
    <t>TXN_5867581</t>
  </si>
  <si>
    <t>TXN_7304590</t>
  </si>
  <si>
    <t>TXN_2796296</t>
  </si>
  <si>
    <t>TXN_5513008</t>
  </si>
  <si>
    <t>TXN_6553626</t>
  </si>
  <si>
    <t>TXN_7911838</t>
  </si>
  <si>
    <t>TXN_8851575</t>
  </si>
  <si>
    <t>TXN_6138247</t>
  </si>
  <si>
    <t>TXN_9423890</t>
  </si>
  <si>
    <t>TXN_2112709</t>
  </si>
  <si>
    <t>TXN_1060478</t>
  </si>
  <si>
    <t>TXN_2387294</t>
  </si>
  <si>
    <t>TXN_2725350</t>
  </si>
  <si>
    <t>TXN_8583496</t>
  </si>
  <si>
    <t>TXN_5708335</t>
  </si>
  <si>
    <t>TXN_3367358</t>
  </si>
  <si>
    <t>TXN_8600677</t>
  </si>
  <si>
    <t>TXN_6352458</t>
  </si>
  <si>
    <t>TXN_7424528</t>
  </si>
  <si>
    <t>TXN_6390873</t>
  </si>
  <si>
    <t>TXN_7211010</t>
  </si>
  <si>
    <t>TXN_4586181</t>
  </si>
  <si>
    <t>TXN_6318554</t>
  </si>
  <si>
    <t>TXN_7928803</t>
  </si>
  <si>
    <t>TXN_6510355</t>
  </si>
  <si>
    <t>TXN_7108681</t>
  </si>
  <si>
    <t>TXN_3984894</t>
  </si>
  <si>
    <t>TXN_5146966</t>
  </si>
  <si>
    <t>TXN_8631389</t>
  </si>
  <si>
    <t>TXN_5069695</t>
  </si>
  <si>
    <t>TXN_1085751</t>
  </si>
  <si>
    <t>TXN_6572288</t>
  </si>
  <si>
    <t>TXN_8826135</t>
  </si>
  <si>
    <t>TXN_4586723</t>
  </si>
  <si>
    <t>TXN_5391293</t>
  </si>
  <si>
    <t>TXN_7667326</t>
  </si>
  <si>
    <t>TXN_1041912</t>
  </si>
  <si>
    <t>TXN_8369234</t>
  </si>
  <si>
    <t>TXN_5358328</t>
  </si>
  <si>
    <t>TXN_4538212</t>
  </si>
  <si>
    <t>TXN_7313687</t>
  </si>
  <si>
    <t>TXN_9753172</t>
  </si>
  <si>
    <t>TXN_8303338</t>
  </si>
  <si>
    <t>TXN_6334198</t>
  </si>
  <si>
    <t>TXN_1199408</t>
  </si>
  <si>
    <t>TXN_4694065</t>
  </si>
  <si>
    <t>TXN_1904948</t>
  </si>
  <si>
    <t>TXN_4229762</t>
  </si>
  <si>
    <t>TXN_9087734</t>
  </si>
  <si>
    <t>TXN_8724047</t>
  </si>
  <si>
    <t>TXN_5020329</t>
  </si>
  <si>
    <t>TXN_3376746</t>
  </si>
  <si>
    <t>TXN_7730094</t>
  </si>
  <si>
    <t>TXN_5537108</t>
  </si>
  <si>
    <t>TXN_7355536</t>
  </si>
  <si>
    <t>TXN_1809602</t>
  </si>
  <si>
    <t>TXN_1655146</t>
  </si>
  <si>
    <t>TXN_1670050</t>
  </si>
  <si>
    <t>TXN_3556254</t>
  </si>
  <si>
    <t>TXN_5251547</t>
  </si>
  <si>
    <t>TXN_3005788</t>
  </si>
  <si>
    <t>TXN_5678133</t>
  </si>
  <si>
    <t>TXN_7065534</t>
  </si>
  <si>
    <t>TXN_8175126</t>
  </si>
  <si>
    <t>TXN_9250095</t>
  </si>
  <si>
    <t>TXN_4292471</t>
  </si>
  <si>
    <t>TXN_7135060</t>
  </si>
  <si>
    <t>TXN_5543825</t>
  </si>
  <si>
    <t>TXN_5189628</t>
  </si>
  <si>
    <t>TXN_7068871</t>
  </si>
  <si>
    <t>TXN_8640842</t>
  </si>
  <si>
    <t>TXN_3520780</t>
  </si>
  <si>
    <t>TXN_8254168</t>
  </si>
  <si>
    <t>TXN_1028281</t>
  </si>
  <si>
    <t>TXN_5929470</t>
  </si>
  <si>
    <t>TXN_4651759</t>
  </si>
  <si>
    <t>TXN_1814218</t>
  </si>
  <si>
    <t>TXN_4520102</t>
  </si>
  <si>
    <t>TXN_6008086</t>
  </si>
  <si>
    <t>TXN_1639005</t>
  </si>
  <si>
    <t>TXN_3206472</t>
  </si>
  <si>
    <t>TXN_4868756</t>
  </si>
  <si>
    <t>TXN_8344839</t>
  </si>
  <si>
    <t>TXN_4192202</t>
  </si>
  <si>
    <t>TXN_4134539</t>
  </si>
  <si>
    <t>TXN_8334303</t>
  </si>
  <si>
    <t>TXN_1284960</t>
  </si>
  <si>
    <t>TXN_1175373</t>
  </si>
  <si>
    <t>TXN_9863257</t>
  </si>
  <si>
    <t>TXN_8182802</t>
  </si>
  <si>
    <t>TXN_1629752</t>
  </si>
  <si>
    <t>TXN_9657809</t>
  </si>
  <si>
    <t>TXN_2784398</t>
  </si>
  <si>
    <t>TXN_8754458</t>
  </si>
  <si>
    <t>TXN_6040270</t>
  </si>
  <si>
    <t>TXN_1463899</t>
  </si>
  <si>
    <t>TXN_5897477</t>
  </si>
  <si>
    <t>TXN_1758528</t>
  </si>
  <si>
    <t>TXN_8155874</t>
  </si>
  <si>
    <t>TXN_2871119</t>
  </si>
  <si>
    <t>TXN_7774282</t>
  </si>
  <si>
    <t>TXN_2459842</t>
  </si>
  <si>
    <t>TXN_4985546</t>
  </si>
  <si>
    <t>TXN_6241154</t>
  </si>
  <si>
    <t>TXN_5695976</t>
  </si>
  <si>
    <t>TXN_2635591</t>
  </si>
  <si>
    <t>TXN_5781403</t>
  </si>
  <si>
    <t>TXN_8702111</t>
  </si>
  <si>
    <t>TXN_9947407</t>
  </si>
  <si>
    <t>TXN_6808962</t>
  </si>
  <si>
    <t>TXN_4258190</t>
  </si>
  <si>
    <t>TXN_2365702</t>
  </si>
  <si>
    <t>TXN_4157444</t>
  </si>
  <si>
    <t>TXN_8015744</t>
  </si>
  <si>
    <t>TXN_5714071</t>
  </si>
  <si>
    <t>TXN_7630017</t>
  </si>
  <si>
    <t>TXN_5396093</t>
  </si>
  <si>
    <t>TXN_7683478</t>
  </si>
  <si>
    <t>TXN_8500248</t>
  </si>
  <si>
    <t>TXN_7015281</t>
  </si>
  <si>
    <t>TXN_9026226</t>
  </si>
  <si>
    <t>TXN_9410980</t>
  </si>
  <si>
    <t>TXN_5080396</t>
  </si>
  <si>
    <t>TXN_1656528</t>
  </si>
  <si>
    <t>TXN_9531173</t>
  </si>
  <si>
    <t>TXN_1010570</t>
  </si>
  <si>
    <t>TXN_4070771</t>
  </si>
  <si>
    <t>TXN_6358543</t>
  </si>
  <si>
    <t>TXN_8944875</t>
  </si>
  <si>
    <t>TXN_6300521</t>
  </si>
  <si>
    <t>TXN_5362878</t>
  </si>
  <si>
    <t>TXN_2961597</t>
  </si>
  <si>
    <t>TXN_5957357</t>
  </si>
  <si>
    <t>TXN_8386061</t>
  </si>
  <si>
    <t>TXN_1928442</t>
  </si>
  <si>
    <t>TXN_7765835</t>
  </si>
  <si>
    <t>TXN_7569671</t>
  </si>
  <si>
    <t>TXN_6186500</t>
  </si>
  <si>
    <t>TXN_8796188</t>
  </si>
  <si>
    <t>TXN_2664061</t>
  </si>
  <si>
    <t>TXN_6755599</t>
  </si>
  <si>
    <t>TXN_3413079</t>
  </si>
  <si>
    <t>TXN_1924304</t>
  </si>
  <si>
    <t>TXN_8941913</t>
  </si>
  <si>
    <t>TXN_2547495</t>
  </si>
  <si>
    <t>TXN_5169916</t>
  </si>
  <si>
    <t>TXN_7137586</t>
  </si>
  <si>
    <t>TXN_9458655</t>
  </si>
  <si>
    <t>TXN_7572090</t>
  </si>
  <si>
    <t>TXN_8061783</t>
  </si>
  <si>
    <t>TXN_6409562</t>
  </si>
  <si>
    <t>TXN_7580375</t>
  </si>
  <si>
    <t>TXN_7295453</t>
  </si>
  <si>
    <t>TXN_8831976</t>
  </si>
  <si>
    <t>TXN_1752239</t>
  </si>
  <si>
    <t>TXN_5976886</t>
  </si>
  <si>
    <t>TXN_9754668</t>
  </si>
  <si>
    <t>TXN_8047953</t>
  </si>
  <si>
    <t>TXN_1851007</t>
  </si>
  <si>
    <t>TXN_2432418</t>
  </si>
  <si>
    <t>TXN_7570716</t>
  </si>
  <si>
    <t>TXN_6837182</t>
  </si>
  <si>
    <t>TXN_4321114</t>
  </si>
  <si>
    <t>TXN_1491959</t>
  </si>
  <si>
    <t>TXN_7580724</t>
  </si>
  <si>
    <t>TXN_4366763</t>
  </si>
  <si>
    <t>TXN_8852168</t>
  </si>
  <si>
    <t>TXN_1255024</t>
  </si>
  <si>
    <t>TXN_5016366</t>
  </si>
  <si>
    <t>TXN_3334456</t>
  </si>
  <si>
    <t>TXN_5841902</t>
  </si>
  <si>
    <t>TXN_2971834</t>
  </si>
  <si>
    <t>TXN_6314933</t>
  </si>
  <si>
    <t>TXN_3633144</t>
  </si>
  <si>
    <t>TXN_9216601</t>
  </si>
  <si>
    <t>TXN_7695164</t>
  </si>
  <si>
    <t>TXN_2256792</t>
  </si>
  <si>
    <t>TXN_4205977</t>
  </si>
  <si>
    <t>TXN_6663151</t>
  </si>
  <si>
    <t>TXN_2175264</t>
  </si>
  <si>
    <t>TXN_6636272</t>
  </si>
  <si>
    <t>TXN_2654084</t>
  </si>
  <si>
    <t>TXN_1559058</t>
  </si>
  <si>
    <t>TXN_5380026</t>
  </si>
  <si>
    <t>TXN_6988754</t>
  </si>
  <si>
    <t>TXN_2826730</t>
  </si>
  <si>
    <t>TXN_6499936</t>
  </si>
  <si>
    <t>TXN_8959752</t>
  </si>
  <si>
    <t>TXN_2231855</t>
  </si>
  <si>
    <t>TXN_3366759</t>
  </si>
  <si>
    <t>TXN_4237098</t>
  </si>
  <si>
    <t>TXN_2270219</t>
  </si>
  <si>
    <t>TXN_3577627</t>
  </si>
  <si>
    <t>TXN_7659597</t>
  </si>
  <si>
    <t>TXN_8528791</t>
  </si>
  <si>
    <t>TXN_1422416</t>
  </si>
  <si>
    <t>TXN_1156192</t>
  </si>
  <si>
    <t>TXN_7177847</t>
  </si>
  <si>
    <t>TXN_1259242</t>
  </si>
  <si>
    <t>TXN_9860106</t>
  </si>
  <si>
    <t>TXN_9060698</t>
  </si>
  <si>
    <t>TXN_4559367</t>
  </si>
  <si>
    <t>TXN_8233787</t>
  </si>
  <si>
    <t>TXN_2402093</t>
  </si>
  <si>
    <t>TXN_9170078</t>
  </si>
  <si>
    <t>TXN_2436348</t>
  </si>
  <si>
    <t>TXN_8881867</t>
  </si>
  <si>
    <t>TXN_8731910</t>
  </si>
  <si>
    <t>TXN_6553826</t>
  </si>
  <si>
    <t>TXN_3602634</t>
  </si>
  <si>
    <t>TXN_6583535</t>
  </si>
  <si>
    <t>TXN_1326495</t>
  </si>
  <si>
    <t>TXN_8477874</t>
  </si>
  <si>
    <t>TXN_2722008</t>
  </si>
  <si>
    <t>TXN_8736071</t>
  </si>
  <si>
    <t>TXN_9480196</t>
  </si>
  <si>
    <t>TXN_8773755</t>
  </si>
  <si>
    <t>TXN_7827422</t>
  </si>
  <si>
    <t>TXN_2374522</t>
  </si>
  <si>
    <t>TXN_7900359</t>
  </si>
  <si>
    <t>TXN_9777000</t>
  </si>
  <si>
    <t>TXN_8994229</t>
  </si>
  <si>
    <t>TXN_9536237</t>
  </si>
  <si>
    <t>TXN_6172140</t>
  </si>
  <si>
    <t>TXN_6615544</t>
  </si>
  <si>
    <t>TXN_7840048</t>
  </si>
  <si>
    <t>TXN_1757347</t>
  </si>
  <si>
    <t>TXN_8072250</t>
  </si>
  <si>
    <t>TXN_3717310</t>
  </si>
  <si>
    <t>TXN_9544902</t>
  </si>
  <si>
    <t>TXN_2303813</t>
  </si>
  <si>
    <t>TXN_7760130</t>
  </si>
  <si>
    <t>TXN_2899586</t>
  </si>
  <si>
    <t>TXN_8838987</t>
  </si>
  <si>
    <t>TXN_4289411</t>
  </si>
  <si>
    <t>TXN_5594869</t>
  </si>
  <si>
    <t>TXN_8020971</t>
  </si>
  <si>
    <t>TXN_6257706</t>
  </si>
  <si>
    <t>TXN_5815128</t>
  </si>
  <si>
    <t>TXN_1900392</t>
  </si>
  <si>
    <t>TXN_3926641</t>
  </si>
  <si>
    <t>TXN_7851596</t>
  </si>
  <si>
    <t>TXN_6281965</t>
  </si>
  <si>
    <t>TXN_8506676</t>
  </si>
  <si>
    <t>TXN_1222397</t>
  </si>
  <si>
    <t>TXN_1821104</t>
  </si>
  <si>
    <t>TXN_1189728</t>
  </si>
  <si>
    <t>TXN_8852595</t>
  </si>
  <si>
    <t>TXN_8411721</t>
  </si>
  <si>
    <t>TXN_5595934</t>
  </si>
  <si>
    <t>TXN_8321017</t>
  </si>
  <si>
    <t>TXN_9923886</t>
  </si>
  <si>
    <t>TXN_8919975</t>
  </si>
  <si>
    <t>TXN_2085328</t>
  </si>
  <si>
    <t>TXN_1899145</t>
  </si>
  <si>
    <t>TXN_2761217</t>
  </si>
  <si>
    <t>TXN_2854455</t>
  </si>
  <si>
    <t>TXN_3687567</t>
  </si>
  <si>
    <t>TXN_6125814</t>
  </si>
  <si>
    <t>TXN_4093697</t>
  </si>
  <si>
    <t>TXN_4620050</t>
  </si>
  <si>
    <t>TXN_6157163</t>
  </si>
  <si>
    <t>TXN_9850035</t>
  </si>
  <si>
    <t>TXN_4620016</t>
  </si>
  <si>
    <t>TXN_8303713</t>
  </si>
  <si>
    <t>TXN_4215500</t>
  </si>
  <si>
    <t>TXN_1476186</t>
  </si>
  <si>
    <t>TXN_4445795</t>
  </si>
  <si>
    <t>TXN_3019852</t>
  </si>
  <si>
    <t>TXN_9762811</t>
  </si>
  <si>
    <t>TXN_7099616</t>
  </si>
  <si>
    <t>TXN_5707886</t>
  </si>
  <si>
    <t>TXN_9750057</t>
  </si>
  <si>
    <t>TXN_3518477</t>
  </si>
  <si>
    <t>TXN_2109847</t>
  </si>
  <si>
    <t>TXN_4393198</t>
  </si>
  <si>
    <t>TXN_9735326</t>
  </si>
  <si>
    <t>TXN_7505689</t>
  </si>
  <si>
    <t>TXN_1854833</t>
  </si>
  <si>
    <t>TXN_7753152</t>
  </si>
  <si>
    <t>TXN_5972272</t>
  </si>
  <si>
    <t>TXN_3311484</t>
  </si>
  <si>
    <t>TXN_4004092</t>
  </si>
  <si>
    <t>TXN_3676551</t>
  </si>
  <si>
    <t>TXN_1767448</t>
  </si>
  <si>
    <t>TXN_7804296</t>
  </si>
  <si>
    <t>TXN_8024224</t>
  </si>
  <si>
    <t>TXN_5830623</t>
  </si>
  <si>
    <t>TXN_6938910</t>
  </si>
  <si>
    <t>TXN_5275219</t>
  </si>
  <si>
    <t>TXN_6342314</t>
  </si>
  <si>
    <t>TXN_1502529</t>
  </si>
  <si>
    <t>TXN_2388264</t>
  </si>
  <si>
    <t>TXN_8454270</t>
  </si>
  <si>
    <t>TXN_4036266</t>
  </si>
  <si>
    <t>TXN_8199043</t>
  </si>
  <si>
    <t>TXN_6474195</t>
  </si>
  <si>
    <t>TXN_4689441</t>
  </si>
  <si>
    <t>TXN_2594117</t>
  </si>
  <si>
    <t>TXN_8961982</t>
  </si>
  <si>
    <t>TXN_4351750</t>
  </si>
  <si>
    <t>TXN_8180871</t>
  </si>
  <si>
    <t>TXN_7079048</t>
  </si>
  <si>
    <t>TXN_8883302</t>
  </si>
  <si>
    <t>TXN_5837003</t>
  </si>
  <si>
    <t>TXN_6181011</t>
  </si>
  <si>
    <t>TXN_7162597</t>
  </si>
  <si>
    <t>TXN_9175988</t>
  </si>
  <si>
    <t>TXN_6651579</t>
  </si>
  <si>
    <t>TXN_2848766</t>
  </si>
  <si>
    <t>TXN_6213892</t>
  </si>
  <si>
    <t>TXN_2869481</t>
  </si>
  <si>
    <t>TXN_7498911</t>
  </si>
  <si>
    <t>TXN_3792920</t>
  </si>
  <si>
    <t>TXN_5562705</t>
  </si>
  <si>
    <t>TXN_8357441</t>
  </si>
  <si>
    <t>TXN_1795312</t>
  </si>
  <si>
    <t>TXN_2326393</t>
  </si>
  <si>
    <t>TXN_7110396</t>
  </si>
  <si>
    <t>TXN_8463040</t>
  </si>
  <si>
    <t>TXN_2536386</t>
  </si>
  <si>
    <t>TXN_6219185</t>
  </si>
  <si>
    <t>TXN_6414764</t>
  </si>
  <si>
    <t>TXN_4492875</t>
  </si>
  <si>
    <t>TXN_6241258</t>
  </si>
  <si>
    <t>TXN_9110626</t>
  </si>
  <si>
    <t>TXN_2474922</t>
  </si>
  <si>
    <t>TXN_8644182</t>
  </si>
  <si>
    <t>TXN_4550414</t>
  </si>
  <si>
    <t>TXN_5485829</t>
  </si>
  <si>
    <t>TXN_9739067</t>
  </si>
  <si>
    <t>TXN_4304514</t>
  </si>
  <si>
    <t>TXN_9008414</t>
  </si>
  <si>
    <t>TXN_9911488</t>
  </si>
  <si>
    <t>TXN_1881857</t>
  </si>
  <si>
    <t>TXN_5744175</t>
  </si>
  <si>
    <t>TXN_2686357</t>
  </si>
  <si>
    <t>TXN_9200603</t>
  </si>
  <si>
    <t>TXN_1589489</t>
  </si>
  <si>
    <t>TXN_4901231</t>
  </si>
  <si>
    <t>TXN_8430438</t>
  </si>
  <si>
    <t>TXN_9268865</t>
  </si>
  <si>
    <t>TXN_6429558</t>
  </si>
  <si>
    <t>TXN_6156746</t>
  </si>
  <si>
    <t>TXN_8215023</t>
  </si>
  <si>
    <t>TXN_9889424</t>
  </si>
  <si>
    <t>TXN_6876092</t>
  </si>
  <si>
    <t>TXN_1917119</t>
  </si>
  <si>
    <t>TXN_6231912</t>
  </si>
  <si>
    <t>TXN_2920931</t>
  </si>
  <si>
    <t>TXN_4599435</t>
  </si>
  <si>
    <t>TXN_2243532</t>
  </si>
  <si>
    <t>TXN_8378538</t>
  </si>
  <si>
    <t>TXN_9352732</t>
  </si>
  <si>
    <t>TXN_8477564</t>
  </si>
  <si>
    <t>TXN_3421464</t>
  </si>
  <si>
    <t>TXN_9211823</t>
  </si>
  <si>
    <t>TXN_3609312</t>
  </si>
  <si>
    <t>TXN_6752216</t>
  </si>
  <si>
    <t>TXN_9474347</t>
  </si>
  <si>
    <t>TXN_1681078</t>
  </si>
  <si>
    <t>TXN_7697657</t>
  </si>
  <si>
    <t>TXN_4532532</t>
  </si>
  <si>
    <t>TXN_8739719</t>
  </si>
  <si>
    <t>TXN_1858867</t>
  </si>
  <si>
    <t>TXN_7930277</t>
  </si>
  <si>
    <t>TXN_5217730</t>
  </si>
  <si>
    <t>TXN_6400472</t>
  </si>
  <si>
    <t>TXN_9958872</t>
  </si>
  <si>
    <t>TXN_6700560</t>
  </si>
  <si>
    <t>TXN_7779819</t>
  </si>
  <si>
    <t>TXN_8160360</t>
  </si>
  <si>
    <t>TXN_9173957</t>
  </si>
  <si>
    <t>TXN_7681375</t>
  </si>
  <si>
    <t>TXN_7663232</t>
  </si>
  <si>
    <t>TXN_1197801</t>
  </si>
  <si>
    <t>TXN_2216840</t>
  </si>
  <si>
    <t>TXN_3033421</t>
  </si>
  <si>
    <t>TXN_8674510</t>
  </si>
  <si>
    <t>TXN_3811380</t>
  </si>
  <si>
    <t>TXN_2513356</t>
  </si>
  <si>
    <t>TXN_9110304</t>
  </si>
  <si>
    <t>TXN_6672586</t>
  </si>
  <si>
    <t>TXN_7070493</t>
  </si>
  <si>
    <t>TXN_2633088</t>
  </si>
  <si>
    <t>TXN_6835888</t>
  </si>
  <si>
    <t>TXN_3271903</t>
  </si>
  <si>
    <t>TXN_2894385</t>
  </si>
  <si>
    <t>TXN_8328068</t>
  </si>
  <si>
    <t>TXN_8984050</t>
  </si>
  <si>
    <t>TXN_9239185</t>
  </si>
  <si>
    <t>TXN_5939026</t>
  </si>
  <si>
    <t>TXN_6077319</t>
  </si>
  <si>
    <t>TXN_2459628</t>
  </si>
  <si>
    <t>TXN_5761154</t>
  </si>
  <si>
    <t>TXN_5106214</t>
  </si>
  <si>
    <t>TXN_1910146</t>
  </si>
  <si>
    <t>TXN_6287862</t>
  </si>
  <si>
    <t>TXN_1389066</t>
  </si>
  <si>
    <t>TXN_6548842</t>
  </si>
  <si>
    <t>TXN_1995025</t>
  </si>
  <si>
    <t>TXN_3226837</t>
  </si>
  <si>
    <t>TXN_8799154</t>
  </si>
  <si>
    <t>TXN_3175190</t>
  </si>
  <si>
    <t>TXN_3968183</t>
  </si>
  <si>
    <t>TXN_5410939</t>
  </si>
  <si>
    <t>TXN_4523627</t>
  </si>
  <si>
    <t>TXN_2640121</t>
  </si>
  <si>
    <t>TXN_1869739</t>
  </si>
  <si>
    <t>TXN_5926411</t>
  </si>
  <si>
    <t>TXN_8310973</t>
  </si>
  <si>
    <t>TXN_8095536</t>
  </si>
  <si>
    <t>TXN_7487450</t>
  </si>
  <si>
    <t>TXN_4183289</t>
  </si>
  <si>
    <t>TXN_3047486</t>
  </si>
  <si>
    <t>TXN_4726526</t>
  </si>
  <si>
    <t>TXN_3555481</t>
  </si>
  <si>
    <t>TXN_9595549</t>
  </si>
  <si>
    <t>TXN_8403668</t>
  </si>
  <si>
    <t>TXN_5149243</t>
  </si>
  <si>
    <t>TXN_1632221</t>
  </si>
  <si>
    <t>TXN_4684340</t>
  </si>
  <si>
    <t>TXN_4719168</t>
  </si>
  <si>
    <t>TXN_2592374</t>
  </si>
  <si>
    <t>TXN_7421983</t>
  </si>
  <si>
    <t>TXN_5449047</t>
  </si>
  <si>
    <t>TXN_3445828</t>
  </si>
  <si>
    <t>TXN_1570444</t>
  </si>
  <si>
    <t>TXN_4487199</t>
  </si>
  <si>
    <t>TXN_8838487</t>
  </si>
  <si>
    <t>TXN_2727085</t>
  </si>
  <si>
    <t>TXN_6944260</t>
  </si>
  <si>
    <t>TXN_5907338</t>
  </si>
  <si>
    <t>TXN_9110765</t>
  </si>
  <si>
    <t>TXN_3501915</t>
  </si>
  <si>
    <t>TXN_2790270</t>
  </si>
  <si>
    <t>TXN_1034189</t>
  </si>
  <si>
    <t>TXN_6026881</t>
  </si>
  <si>
    <t>TXN_2705106</t>
  </si>
  <si>
    <t>TXN_5806795</t>
  </si>
  <si>
    <t>TXN_9155538</t>
  </si>
  <si>
    <t>TXN_2386101</t>
  </si>
  <si>
    <t>TXN_6963310</t>
  </si>
  <si>
    <t>TXN_2093784</t>
  </si>
  <si>
    <t>TXN_9499247</t>
  </si>
  <si>
    <t>TXN_4461081</t>
  </si>
  <si>
    <t>TXN_5231180</t>
  </si>
  <si>
    <t>TXN_7974643</t>
  </si>
  <si>
    <t>TXN_4783588</t>
  </si>
  <si>
    <t>TXN_1164547</t>
  </si>
  <si>
    <t>TXN_6087379</t>
  </si>
  <si>
    <t>TXN_6214485</t>
  </si>
  <si>
    <t>TXN_8912049</t>
  </si>
  <si>
    <t>TXN_6263189</t>
  </si>
  <si>
    <t>TXN_8944954</t>
  </si>
  <si>
    <t>TXN_6562777</t>
  </si>
  <si>
    <t>TXN_4514680</t>
  </si>
  <si>
    <t>TXN_3414423</t>
  </si>
  <si>
    <t>TXN_1806675</t>
  </si>
  <si>
    <t>TXN_3133105</t>
  </si>
  <si>
    <t>TXN_9753727</t>
  </si>
  <si>
    <t>TXN_3175369</t>
  </si>
  <si>
    <t>TXN_1291675</t>
  </si>
  <si>
    <t>TXN_5584015</t>
  </si>
  <si>
    <t>TXN_2039959</t>
  </si>
  <si>
    <t>TXN_8747203</t>
  </si>
  <si>
    <t>TXN_2412802</t>
  </si>
  <si>
    <t>TXN_9401576</t>
  </si>
  <si>
    <t>TXN_9584772</t>
  </si>
  <si>
    <t>TXN_5675587</t>
  </si>
  <si>
    <t>TXN_5250994</t>
  </si>
  <si>
    <t>TXN_6162358</t>
  </si>
  <si>
    <t>TXN_2908355</t>
  </si>
  <si>
    <t>TXN_3789480</t>
  </si>
  <si>
    <t>TXN_4269120</t>
  </si>
  <si>
    <t>TXN_2893014</t>
  </si>
  <si>
    <t>TXN_9037382</t>
  </si>
  <si>
    <t>TXN_2334719</t>
  </si>
  <si>
    <t>TXN_2406868</t>
  </si>
  <si>
    <t>TXN_1511916</t>
  </si>
  <si>
    <t>TXN_9759459</t>
  </si>
  <si>
    <t>TXN_7603860</t>
  </si>
  <si>
    <t>TXN_8994247</t>
  </si>
  <si>
    <t>TXN_5849928</t>
  </si>
  <si>
    <t>TXN_8426341</t>
  </si>
  <si>
    <t>TXN_4632830</t>
  </si>
  <si>
    <t>TXN_6185003</t>
  </si>
  <si>
    <t>TXN_7326338</t>
  </si>
  <si>
    <t>TXN_7467487</t>
  </si>
  <si>
    <t>TXN_6946214</t>
  </si>
  <si>
    <t>TXN_2839407</t>
  </si>
  <si>
    <t>TXN_3634960</t>
  </si>
  <si>
    <t>TXN_2443824</t>
  </si>
  <si>
    <t>TXN_4490143</t>
  </si>
  <si>
    <t>TXN_1440593</t>
  </si>
  <si>
    <t>TXN_4325085</t>
  </si>
  <si>
    <t>TXN_8003213</t>
  </si>
  <si>
    <t>TXN_5597910</t>
  </si>
  <si>
    <t>TXN_9139150</t>
  </si>
  <si>
    <t>TXN_1310419</t>
  </si>
  <si>
    <t>TXN_5373878</t>
  </si>
  <si>
    <t>TXN_6698554</t>
  </si>
  <si>
    <t>TXN_8080510</t>
  </si>
  <si>
    <t>TXN_7979491</t>
  </si>
  <si>
    <t>TXN_3089083</t>
  </si>
  <si>
    <t>TXN_7515623</t>
  </si>
  <si>
    <t>TXN_3290344</t>
  </si>
  <si>
    <t>TXN_9017500</t>
  </si>
  <si>
    <t>TXN_4824819</t>
  </si>
  <si>
    <t>TXN_1657303</t>
  </si>
  <si>
    <t>TXN_9610510</t>
  </si>
  <si>
    <t>TXN_6187845</t>
  </si>
  <si>
    <t>TXN_1712389</t>
  </si>
  <si>
    <t>TXN_9066614</t>
  </si>
  <si>
    <t>TXN_4743953</t>
  </si>
  <si>
    <t>TXN_2759881</t>
  </si>
  <si>
    <t>TXN_6665991</t>
  </si>
  <si>
    <t>TXN_7586036</t>
  </si>
  <si>
    <t>TXN_4956593</t>
  </si>
  <si>
    <t>TXN_3922319</t>
  </si>
  <si>
    <t>TXN_4573687</t>
  </si>
  <si>
    <t>TXN_3048452</t>
  </si>
  <si>
    <t>TXN_6953040</t>
  </si>
  <si>
    <t>TXN_7254589</t>
  </si>
  <si>
    <t>TXN_6959290</t>
  </si>
  <si>
    <t>TXN_2630398</t>
  </si>
  <si>
    <t>TXN_9587075</t>
  </si>
  <si>
    <t>TXN_3425468</t>
  </si>
  <si>
    <t>TXN_7246599</t>
  </si>
  <si>
    <t>TXN_8027476</t>
  </si>
  <si>
    <t>TXN_5491571</t>
  </si>
  <si>
    <t>TXN_1374547</t>
  </si>
  <si>
    <t>TXN_1411456</t>
  </si>
  <si>
    <t>TXN_8802193</t>
  </si>
  <si>
    <t>TXN_8310704</t>
  </si>
  <si>
    <t>TXN_4525407</t>
  </si>
  <si>
    <t>TXN_1821468</t>
  </si>
  <si>
    <t>TXN_7697701</t>
  </si>
  <si>
    <t>TXN_1545490</t>
  </si>
  <si>
    <t>TXN_6571048</t>
  </si>
  <si>
    <t>TXN_4111338</t>
  </si>
  <si>
    <t>TXN_2381503</t>
  </si>
  <si>
    <t>TXN_3358757</t>
  </si>
  <si>
    <t>TXN_4637114</t>
  </si>
  <si>
    <t>TXN_7684251</t>
  </si>
  <si>
    <t>TXN_2315468</t>
  </si>
  <si>
    <t>TXN_2409097</t>
  </si>
  <si>
    <t>TXN_9417468</t>
  </si>
  <si>
    <t>TXN_9892104</t>
  </si>
  <si>
    <t>TXN_6175706</t>
  </si>
  <si>
    <t>TXN_2523425</t>
  </si>
  <si>
    <t>TXN_8580799</t>
  </si>
  <si>
    <t>TXN_6852192</t>
  </si>
  <si>
    <t>TXN_2660160</t>
  </si>
  <si>
    <t>TXN_2266891</t>
  </si>
  <si>
    <t>TXN_7717273</t>
  </si>
  <si>
    <t>TXN_1116351</t>
  </si>
  <si>
    <t>TXN_8912384</t>
  </si>
  <si>
    <t>TXN_4576812</t>
  </si>
  <si>
    <t>TXN_8845175</t>
  </si>
  <si>
    <t>TXN_4974375</t>
  </si>
  <si>
    <t>TXN_6838499</t>
  </si>
  <si>
    <t>TXN_6276845</t>
  </si>
  <si>
    <t>TXN_9471173</t>
  </si>
  <si>
    <t>TXN_4915355</t>
  </si>
  <si>
    <t>TXN_4130550</t>
  </si>
  <si>
    <t>TXN_3584985</t>
  </si>
  <si>
    <t>TXN_4006298</t>
  </si>
  <si>
    <t>TXN_6647013</t>
  </si>
  <si>
    <t>TXN_2774995</t>
  </si>
  <si>
    <t>TXN_4144026</t>
  </si>
  <si>
    <t>TXN_1688534</t>
  </si>
  <si>
    <t>TXN_2215668</t>
  </si>
  <si>
    <t>TXN_4961109</t>
  </si>
  <si>
    <t>TXN_3278728</t>
  </si>
  <si>
    <t>TXN_7139710</t>
  </si>
  <si>
    <t>TXN_3249244</t>
  </si>
  <si>
    <t>TXN_6036689</t>
  </si>
  <si>
    <t>TXN_7350390</t>
  </si>
  <si>
    <t>TXN_7378382</t>
  </si>
  <si>
    <t>TXN_8250681</t>
  </si>
  <si>
    <t>TXN_8037528</t>
  </si>
  <si>
    <t>TXN_3689417</t>
  </si>
  <si>
    <t>TXN_1199362</t>
  </si>
  <si>
    <t>TXN_4545143</t>
  </si>
  <si>
    <t>TXN_6360517</t>
  </si>
  <si>
    <t>TXN_7394333</t>
  </si>
  <si>
    <t>TXN_2902480</t>
  </si>
  <si>
    <t>TXN_6787087</t>
  </si>
  <si>
    <t>TXN_8640039</t>
  </si>
  <si>
    <t>TXN_4069953</t>
  </si>
  <si>
    <t>TXN_8766170</t>
  </si>
  <si>
    <t>TXN_3788122</t>
  </si>
  <si>
    <t>TXN_4148681</t>
  </si>
  <si>
    <t>TXN_3839676</t>
  </si>
  <si>
    <t>TXN_8044366</t>
  </si>
  <si>
    <t>TXN_9152328</t>
  </si>
  <si>
    <t>TXN_3480703</t>
  </si>
  <si>
    <t>TXN_7218983</t>
  </si>
  <si>
    <t>TXN_4106679</t>
  </si>
  <si>
    <t>TXN_4525013</t>
  </si>
  <si>
    <t>TXN_8716794</t>
  </si>
  <si>
    <t>TXN_1986874</t>
  </si>
  <si>
    <t>TXN_9414771</t>
  </si>
  <si>
    <t>TXN_3466324</t>
  </si>
  <si>
    <t>TXN_3342588</t>
  </si>
  <si>
    <t>TXN_9655455</t>
  </si>
  <si>
    <t>TXN_3851282</t>
  </si>
  <si>
    <t>TXN_7338102</t>
  </si>
  <si>
    <t>TXN_1884089</t>
  </si>
  <si>
    <t>TXN_7086312</t>
  </si>
  <si>
    <t>TXN_6152767</t>
  </si>
  <si>
    <t>TXN_7991727</t>
  </si>
  <si>
    <t>TXN_1738321</t>
  </si>
  <si>
    <t>TXN_7451771</t>
  </si>
  <si>
    <t>TXN_4020246</t>
  </si>
  <si>
    <t>TXN_1283354</t>
  </si>
  <si>
    <t>TXN_8334867</t>
  </si>
  <si>
    <t>TXN_6926177</t>
  </si>
  <si>
    <t>TXN_7634319</t>
  </si>
  <si>
    <t>TXN_8278381</t>
  </si>
  <si>
    <t>TXN_2294115</t>
  </si>
  <si>
    <t>TXN_6866882</t>
  </si>
  <si>
    <t>TXN_1009738</t>
  </si>
  <si>
    <t>TXN_3435040</t>
  </si>
  <si>
    <t>TXN_9140667</t>
  </si>
  <si>
    <t>TXN_8757431</t>
  </si>
  <si>
    <t>TXN_3262408</t>
  </si>
  <si>
    <t>TXN_6104935</t>
  </si>
  <si>
    <t>TXN_4792614</t>
  </si>
  <si>
    <t>TXN_6990280</t>
  </si>
  <si>
    <t>TXN_6287586</t>
  </si>
  <si>
    <t>TXN_3465412</t>
  </si>
  <si>
    <t>TXN_8243127</t>
  </si>
  <si>
    <t>TXN_6632197</t>
  </si>
  <si>
    <t>TXN_1676610</t>
  </si>
  <si>
    <t>TXN_2610553</t>
  </si>
  <si>
    <t>TXN_2039131</t>
  </si>
  <si>
    <t>TXN_9980622</t>
  </si>
  <si>
    <t>TXN_1384717</t>
  </si>
  <si>
    <t>TXN_3465568</t>
  </si>
  <si>
    <t>TXN_4859949</t>
  </si>
  <si>
    <t>TXN_8227754</t>
  </si>
  <si>
    <t>TXN_9233461</t>
  </si>
  <si>
    <t>TXN_2205807</t>
  </si>
  <si>
    <t>TXN_2375037</t>
  </si>
  <si>
    <t>TXN_6931270</t>
  </si>
  <si>
    <t>TXN_6778962</t>
  </si>
  <si>
    <t>TXN_8251002</t>
  </si>
  <si>
    <t>TXN_1681837</t>
  </si>
  <si>
    <t>TXN_8684883</t>
  </si>
  <si>
    <t>TXN_1107138</t>
  </si>
  <si>
    <t>TXN_4104983</t>
  </si>
  <si>
    <t>TXN_4257383</t>
  </si>
  <si>
    <t>TXN_5326091</t>
  </si>
  <si>
    <t>TXN_6093600</t>
  </si>
  <si>
    <t>TXN_4695478</t>
  </si>
  <si>
    <t>TXN_5412766</t>
  </si>
  <si>
    <t>TXN_3023847</t>
  </si>
  <si>
    <t>TXN_2841599</t>
  </si>
  <si>
    <t>TXN_8768337</t>
  </si>
  <si>
    <t>TXN_3888332</t>
  </si>
  <si>
    <t>TXN_5569617</t>
  </si>
  <si>
    <t>TXN_2696370</t>
  </si>
  <si>
    <t>TXN_1027353</t>
  </si>
  <si>
    <t>TXN_1916761</t>
  </si>
  <si>
    <t>TXN_8244589</t>
  </si>
  <si>
    <t>TXN_9777724</t>
  </si>
  <si>
    <t>TXN_8316905</t>
  </si>
  <si>
    <t>TXN_7733378</t>
  </si>
  <si>
    <t>TXN_5156689</t>
  </si>
  <si>
    <t>TXN_1073711</t>
  </si>
  <si>
    <t>TXN_8888063</t>
  </si>
  <si>
    <t>TXN_5804265</t>
  </si>
  <si>
    <t>TXN_1806496</t>
  </si>
  <si>
    <t>TXN_1862964</t>
  </si>
  <si>
    <t>TXN_4062280</t>
  </si>
  <si>
    <t>TXN_5701600</t>
  </si>
  <si>
    <t>TXN_1181808</t>
  </si>
  <si>
    <t>TXN_7761566</t>
  </si>
  <si>
    <t>TXN_7439699</t>
  </si>
  <si>
    <t>TXN_8964634</t>
  </si>
  <si>
    <t>TXN_3125291</t>
  </si>
  <si>
    <t>TXN_8666705</t>
  </si>
  <si>
    <t>TXN_4886619</t>
  </si>
  <si>
    <t>TXN_9641889</t>
  </si>
  <si>
    <t>TXN_6989369</t>
  </si>
  <si>
    <t>TXN_3096751</t>
  </si>
  <si>
    <t>TXN_2031274</t>
  </si>
  <si>
    <t>TXN_1178538</t>
  </si>
  <si>
    <t>TXN_9312548</t>
  </si>
  <si>
    <t>TXN_4636705</t>
  </si>
  <si>
    <t>TXN_3574025</t>
  </si>
  <si>
    <t>TXN_5577538</t>
  </si>
  <si>
    <t>TXN_8887105</t>
  </si>
  <si>
    <t>TXN_9290887</t>
  </si>
  <si>
    <t>TXN_9740238</t>
  </si>
  <si>
    <t>TXN_8393896</t>
  </si>
  <si>
    <t>TXN_2883620</t>
  </si>
  <si>
    <t>TXN_6764729</t>
  </si>
  <si>
    <t>TXN_3843142</t>
  </si>
  <si>
    <t>TXN_1221943</t>
  </si>
  <si>
    <t>TXN_5782507</t>
  </si>
  <si>
    <t>TXN_5659774</t>
  </si>
  <si>
    <t>TXN_2299437</t>
  </si>
  <si>
    <t>TXN_8242300</t>
  </si>
  <si>
    <t>TXN_8355945</t>
  </si>
  <si>
    <t>TXN_1266935</t>
  </si>
  <si>
    <t>TXN_4634440</t>
  </si>
  <si>
    <t>TXN_7841888</t>
  </si>
  <si>
    <t>TXN_2897744</t>
  </si>
  <si>
    <t>TXN_6909418</t>
  </si>
  <si>
    <t>TXN_7688827</t>
  </si>
  <si>
    <t>TXN_2756377</t>
  </si>
  <si>
    <t>TXN_4976644</t>
  </si>
  <si>
    <t>TXN_4923784</t>
  </si>
  <si>
    <t>TXN_6366734</t>
  </si>
  <si>
    <t>TXN_2866599</t>
  </si>
  <si>
    <t>TXN_9180837</t>
  </si>
  <si>
    <t>TXN_4251687</t>
  </si>
  <si>
    <t>TXN_2582569</t>
  </si>
  <si>
    <t>TXN_5639217</t>
  </si>
  <si>
    <t>TXN_7034182</t>
  </si>
  <si>
    <t>TXN_5867303</t>
  </si>
  <si>
    <t>TXN_9644977</t>
  </si>
  <si>
    <t>TXN_6008262</t>
  </si>
  <si>
    <t>TXN_1654267</t>
  </si>
  <si>
    <t>TXN_6118838</t>
  </si>
  <si>
    <t>TXN_3515984</t>
  </si>
  <si>
    <t>TXN_5621708</t>
  </si>
  <si>
    <t>TXN_6161257</t>
  </si>
  <si>
    <t>TXN_8741691</t>
  </si>
  <si>
    <t>TXN_3841423</t>
  </si>
  <si>
    <t>TXN_4989586</t>
  </si>
  <si>
    <t>TXN_9504371</t>
  </si>
  <si>
    <t>TXN_9825203</t>
  </si>
  <si>
    <t>TXN_6798539</t>
  </si>
  <si>
    <t>TXN_6310599</t>
  </si>
  <si>
    <t>TXN_8470431</t>
  </si>
  <si>
    <t>TXN_8787072</t>
  </si>
  <si>
    <t>TXN_9183177</t>
  </si>
  <si>
    <t>TXN_8223363</t>
  </si>
  <si>
    <t>TXN_1408645</t>
  </si>
  <si>
    <t>TXN_9460439</t>
  </si>
  <si>
    <t>TXN_8650516</t>
  </si>
  <si>
    <t>TXN_7652286</t>
  </si>
  <si>
    <t>TXN_2664086</t>
  </si>
  <si>
    <t>TXN_4501999</t>
  </si>
  <si>
    <t>TXN_1366514</t>
  </si>
  <si>
    <t>TXN_3460796</t>
  </si>
  <si>
    <t>TXN_7356793</t>
  </si>
  <si>
    <t>TXN_3651170</t>
  </si>
  <si>
    <t>TXN_9016705</t>
  </si>
  <si>
    <t>TXN_8370135</t>
  </si>
  <si>
    <t>TXN_3758485</t>
  </si>
  <si>
    <t>TXN_4743265</t>
  </si>
  <si>
    <t>TXN_4955403</t>
  </si>
  <si>
    <t>TXN_6910697</t>
  </si>
  <si>
    <t>TXN_7006360</t>
  </si>
  <si>
    <t>TXN_8257770</t>
  </si>
  <si>
    <t>TXN_4675937</t>
  </si>
  <si>
    <t>TXN_3144117</t>
  </si>
  <si>
    <t>TXN_1370678</t>
  </si>
  <si>
    <t>TXN_3478143</t>
  </si>
  <si>
    <t>TXN_1446635</t>
  </si>
  <si>
    <t>TXN_4347787</t>
  </si>
  <si>
    <t>TXN_7592178</t>
  </si>
  <si>
    <t>TXN_1245154</t>
  </si>
  <si>
    <t>TXN_6636511</t>
  </si>
  <si>
    <t>TXN_4004492</t>
  </si>
  <si>
    <t>TXN_9995715</t>
  </si>
  <si>
    <t>TXN_8145370</t>
  </si>
  <si>
    <t>TXN_3924468</t>
  </si>
  <si>
    <t>TXN_1428733</t>
  </si>
  <si>
    <t>TXN_6293942</t>
  </si>
  <si>
    <t>TXN_9705595</t>
  </si>
  <si>
    <t>TXN_2023468</t>
  </si>
  <si>
    <t>TXN_7366186</t>
  </si>
  <si>
    <t>TXN_5958952</t>
  </si>
  <si>
    <t>TXN_8032133</t>
  </si>
  <si>
    <t>TXN_2202231</t>
  </si>
  <si>
    <t>TXN_7694552</t>
  </si>
  <si>
    <t>TXN_6474835</t>
  </si>
  <si>
    <t>TXN_9263121</t>
  </si>
  <si>
    <t>TXN_2417746</t>
  </si>
  <si>
    <t>TXN_4011164</t>
  </si>
  <si>
    <t>TXN_5289749</t>
  </si>
  <si>
    <t>TXN_9896688</t>
  </si>
  <si>
    <t>TXN_8036462</t>
  </si>
  <si>
    <t>TXN_7614413</t>
  </si>
  <si>
    <t>TXN_1321193</t>
  </si>
  <si>
    <t>TXN_5404376</t>
  </si>
  <si>
    <t>TXN_5630495</t>
  </si>
  <si>
    <t>TXN_8928987</t>
  </si>
  <si>
    <t>TXN_6204154</t>
  </si>
  <si>
    <t>TXN_8111132</t>
  </si>
  <si>
    <t>TXN_4865362</t>
  </si>
  <si>
    <t>TXN_2828079</t>
  </si>
  <si>
    <t>TXN_9413455</t>
  </si>
  <si>
    <t>TXN_7856927</t>
  </si>
  <si>
    <t>TXN_1175726</t>
  </si>
  <si>
    <t>TXN_1929355</t>
  </si>
  <si>
    <t>TXN_4380075</t>
  </si>
  <si>
    <t>TXN_6330122</t>
  </si>
  <si>
    <t>TXN_4515512</t>
  </si>
  <si>
    <t>TXN_3513914</t>
  </si>
  <si>
    <t>TXN_4683473</t>
  </si>
  <si>
    <t>TXN_7283902</t>
  </si>
  <si>
    <t>TXN_3968072</t>
  </si>
  <si>
    <t>TXN_9571910</t>
  </si>
  <si>
    <t>TXN_5744845</t>
  </si>
  <si>
    <t>TXN_4691472</t>
  </si>
  <si>
    <t>TXN_9896775</t>
  </si>
  <si>
    <t>TXN_9696593</t>
  </si>
  <si>
    <t>TXN_1157208</t>
  </si>
  <si>
    <t>TXN_5520149</t>
  </si>
  <si>
    <t>TXN_1045345</t>
  </si>
  <si>
    <t>TXN_8294650</t>
  </si>
  <si>
    <t>TXN_9587085</t>
  </si>
  <si>
    <t>TXN_3106778</t>
  </si>
  <si>
    <t>TXN_1334624</t>
  </si>
  <si>
    <t>TXN_1403662</t>
  </si>
  <si>
    <t>TXN_5962064</t>
  </si>
  <si>
    <t>TXN_9167311</t>
  </si>
  <si>
    <t>TXN_3225013</t>
  </si>
  <si>
    <t>TXN_9120971</t>
  </si>
  <si>
    <t>TXN_5501865</t>
  </si>
  <si>
    <t>TXN_4699940</t>
  </si>
  <si>
    <t>TXN_1674512</t>
  </si>
  <si>
    <t>TXN_8105362</t>
  </si>
  <si>
    <t>TXN_7636962</t>
  </si>
  <si>
    <t>TXN_8596178</t>
  </si>
  <si>
    <t>TXN_3480896</t>
  </si>
  <si>
    <t>TXN_8155856</t>
  </si>
  <si>
    <t>TXN_5138320</t>
  </si>
  <si>
    <t>TXN_8291928</t>
  </si>
  <si>
    <t>TXN_2578245</t>
  </si>
  <si>
    <t>TXN_8552795</t>
  </si>
  <si>
    <t>TXN_1701594</t>
  </si>
  <si>
    <t>TXN_9301691</t>
  </si>
  <si>
    <t>TXN_7051038</t>
  </si>
  <si>
    <t>TXN_6871367</t>
  </si>
  <si>
    <t>TXN_5532395</t>
  </si>
  <si>
    <t>TXN_8750639</t>
  </si>
  <si>
    <t>TXN_3639113</t>
  </si>
  <si>
    <t>TXN_2496499</t>
  </si>
  <si>
    <t>TXN_9261462</t>
  </si>
  <si>
    <t>TXN_3845008</t>
  </si>
  <si>
    <t>TXN_4852804</t>
  </si>
  <si>
    <t>TXN_9861694</t>
  </si>
  <si>
    <t>TXN_5651502</t>
  </si>
  <si>
    <t>TXN_4611340</t>
  </si>
  <si>
    <t>TXN_2619807</t>
  </si>
  <si>
    <t>TXN_7472702</t>
  </si>
  <si>
    <t>TXN_5486882</t>
  </si>
  <si>
    <t>TXN_6932205</t>
  </si>
  <si>
    <t>TXN_7898832</t>
  </si>
  <si>
    <t>TXN_7194488</t>
  </si>
  <si>
    <t>TXN_5465898</t>
  </si>
  <si>
    <t>TXN_8878406</t>
  </si>
  <si>
    <t>TXN_8890901</t>
  </si>
  <si>
    <t>TXN_1440274</t>
  </si>
  <si>
    <t>TXN_4721081</t>
  </si>
  <si>
    <t>TXN_5387960</t>
  </si>
  <si>
    <t>TXN_1230793</t>
  </si>
  <si>
    <t>TXN_7689893</t>
  </si>
  <si>
    <t>TXN_8771271</t>
  </si>
  <si>
    <t>TXN_7119526</t>
  </si>
  <si>
    <t>TXN_8866842</t>
  </si>
  <si>
    <t>TXN_1742095</t>
  </si>
  <si>
    <t>TXN_7866322</t>
  </si>
  <si>
    <t>TXN_1738985</t>
  </si>
  <si>
    <t>TXN_8738852</t>
  </si>
  <si>
    <t>TXN_6657037</t>
  </si>
  <si>
    <t>TXN_4249164</t>
  </si>
  <si>
    <t>TXN_5557970</t>
  </si>
  <si>
    <t>TXN_8501609</t>
  </si>
  <si>
    <t>TXN_3471235</t>
  </si>
  <si>
    <t>TXN_4430201</t>
  </si>
  <si>
    <t>TXN_9938453</t>
  </si>
  <si>
    <t>TXN_3455359</t>
  </si>
  <si>
    <t>TXN_9017855</t>
  </si>
  <si>
    <t>TXN_3216677</t>
  </si>
  <si>
    <t>TXN_6968520</t>
  </si>
  <si>
    <t>TXN_3774181</t>
  </si>
  <si>
    <t>TXN_3394209</t>
  </si>
  <si>
    <t>TXN_3422782</t>
  </si>
  <si>
    <t>TXN_5612604</t>
  </si>
  <si>
    <t>TXN_7186220</t>
  </si>
  <si>
    <t>TXN_9964258</t>
  </si>
  <si>
    <t>TXN_6315393</t>
  </si>
  <si>
    <t>TXN_5728893</t>
  </si>
  <si>
    <t>TXN_4603497</t>
  </si>
  <si>
    <t>TXN_3088457</t>
  </si>
  <si>
    <t>TXN_4581110</t>
  </si>
  <si>
    <t>TXN_2298172</t>
  </si>
  <si>
    <t>TXN_8389190</t>
  </si>
  <si>
    <t>TXN_1543500</t>
  </si>
  <si>
    <t>TXN_8921373</t>
  </si>
  <si>
    <t>TXN_6614992</t>
  </si>
  <si>
    <t>TXN_8540228</t>
  </si>
  <si>
    <t>TXN_2956326</t>
  </si>
  <si>
    <t>TXN_7622517</t>
  </si>
  <si>
    <t>TXN_4452945</t>
  </si>
  <si>
    <t>TXN_8929732</t>
  </si>
  <si>
    <t>TXN_7872818</t>
  </si>
  <si>
    <t>TXN_4786065</t>
  </si>
  <si>
    <t>TXN_3794764</t>
  </si>
  <si>
    <t>TXN_7160397</t>
  </si>
  <si>
    <t>TXN_9344133</t>
  </si>
  <si>
    <t>TXN_5500210</t>
  </si>
  <si>
    <t>TXN_6622369</t>
  </si>
  <si>
    <t>TXN_8746397</t>
  </si>
  <si>
    <t>TXN_8332750</t>
  </si>
  <si>
    <t>TXN_3666421</t>
  </si>
  <si>
    <t>TXN_8839212</t>
  </si>
  <si>
    <t>TXN_2561337</t>
  </si>
  <si>
    <t>TXN_3638356</t>
  </si>
  <si>
    <t>TXN_9102833</t>
  </si>
  <si>
    <t>TXN_2885766</t>
  </si>
  <si>
    <t>TXN_8974716</t>
  </si>
  <si>
    <t>TXN_2168513</t>
  </si>
  <si>
    <t>TXN_2603033</t>
  </si>
  <si>
    <t>TXN_1535436</t>
  </si>
  <si>
    <t>TXN_3316842</t>
  </si>
  <si>
    <t>TXN_9558785</t>
  </si>
  <si>
    <t>TXN_2456641</t>
  </si>
  <si>
    <t>TXN_5828470</t>
  </si>
  <si>
    <t>TXN_7894785</t>
  </si>
  <si>
    <t>TXN_4781872</t>
  </si>
  <si>
    <t>TXN_1667308</t>
  </si>
  <si>
    <t>TXN_6162855</t>
  </si>
  <si>
    <t>TXN_4551815</t>
  </si>
  <si>
    <t>TXN_1967870</t>
  </si>
  <si>
    <t>TXN_9186802</t>
  </si>
  <si>
    <t>TXN_6564279</t>
  </si>
  <si>
    <t>TXN_9466601</t>
  </si>
  <si>
    <t>TXN_1661883</t>
  </si>
  <si>
    <t>TXN_8315216</t>
  </si>
  <si>
    <t>TXN_1407421</t>
  </si>
  <si>
    <t>TXN_1892062</t>
  </si>
  <si>
    <t>TXN_3303658</t>
  </si>
  <si>
    <t>TXN_2733999</t>
  </si>
  <si>
    <t>TXN_7297135</t>
  </si>
  <si>
    <t>TXN_9509818</t>
  </si>
  <si>
    <t>TXN_5613119</t>
  </si>
  <si>
    <t>TXN_7718157</t>
  </si>
  <si>
    <t>TXN_4005697</t>
  </si>
  <si>
    <t>TXN_3806405</t>
  </si>
  <si>
    <t>TXN_6229496</t>
  </si>
  <si>
    <t>TXN_8138219</t>
  </si>
  <si>
    <t>TXN_5270278</t>
  </si>
  <si>
    <t>TXN_6780976</t>
  </si>
  <si>
    <t>TXN_9629011</t>
  </si>
  <si>
    <t>TXN_4114361</t>
  </si>
  <si>
    <t>TXN_9435614</t>
  </si>
  <si>
    <t>TXN_6280574</t>
  </si>
  <si>
    <t>TXN_7691237</t>
  </si>
  <si>
    <t>TXN_2519908</t>
  </si>
  <si>
    <t>TXN_6105571</t>
  </si>
  <si>
    <t>TXN_2823557</t>
  </si>
  <si>
    <t>TXN_5302343</t>
  </si>
  <si>
    <t>TXN_2182761</t>
  </si>
  <si>
    <t>TXN_8397219</t>
  </si>
  <si>
    <t>TXN_2633896</t>
  </si>
  <si>
    <t>TXN_7505995</t>
  </si>
  <si>
    <t>TXN_1990907</t>
  </si>
  <si>
    <t>TXN_5095185</t>
  </si>
  <si>
    <t>TXN_2997969</t>
  </si>
  <si>
    <t>TXN_5387564</t>
  </si>
  <si>
    <t>TXN_8169294</t>
  </si>
  <si>
    <t>TXN_6581631</t>
  </si>
  <si>
    <t>TXN_5731969</t>
  </si>
  <si>
    <t>TXN_2181378</t>
  </si>
  <si>
    <t>TXN_1522116</t>
  </si>
  <si>
    <t>TXN_9848727</t>
  </si>
  <si>
    <t>TXN_8546325</t>
  </si>
  <si>
    <t>TXN_9097911</t>
  </si>
  <si>
    <t>TXN_2206422</t>
  </si>
  <si>
    <t>TXN_3325627</t>
  </si>
  <si>
    <t>TXN_9941927</t>
  </si>
  <si>
    <t>TXN_5856641</t>
  </si>
  <si>
    <t>TXN_3394998</t>
  </si>
  <si>
    <t>TXN_8965991</t>
  </si>
  <si>
    <t>TXN_5034759</t>
  </si>
  <si>
    <t>TXN_1248527</t>
  </si>
  <si>
    <t>TXN_5765739</t>
  </si>
  <si>
    <t>TXN_4125241</t>
  </si>
  <si>
    <t>TXN_3251996</t>
  </si>
  <si>
    <t>TXN_4300165</t>
  </si>
  <si>
    <t>TXN_2320393</t>
  </si>
  <si>
    <t>TXN_1679032</t>
  </si>
  <si>
    <t>TXN_4900538</t>
  </si>
  <si>
    <t>TXN_2948772</t>
  </si>
  <si>
    <t>TXN_8377069</t>
  </si>
  <si>
    <t>TXN_9449378</t>
  </si>
  <si>
    <t>TXN_7043815</t>
  </si>
  <si>
    <t>TXN_7618002</t>
  </si>
  <si>
    <t>TXN_3425571</t>
  </si>
  <si>
    <t>TXN_3434610</t>
  </si>
  <si>
    <t>TXN_5715479</t>
  </si>
  <si>
    <t>TXN_4900166</t>
  </si>
  <si>
    <t>TXN_7764643</t>
  </si>
  <si>
    <t>TXN_3909456</t>
  </si>
  <si>
    <t>TXN_9768625</t>
  </si>
  <si>
    <t>TXN_7744488</t>
  </si>
  <si>
    <t>TXN_3932434</t>
  </si>
  <si>
    <t>TXN_4940851</t>
  </si>
  <si>
    <t>TXN_8229936</t>
  </si>
  <si>
    <t>TXN_9945795</t>
  </si>
  <si>
    <t>TXN_2124243</t>
  </si>
  <si>
    <t>TXN_6532456</t>
  </si>
  <si>
    <t>TXN_8417758</t>
  </si>
  <si>
    <t>TXN_6233251</t>
  </si>
  <si>
    <t>TXN_4044183</t>
  </si>
  <si>
    <t>TXN_2982700</t>
  </si>
  <si>
    <t>TXN_2466028</t>
  </si>
  <si>
    <t>TXN_2910590</t>
  </si>
  <si>
    <t>TXN_7254324</t>
  </si>
  <si>
    <t>TXN_4878295</t>
  </si>
  <si>
    <t>TXN_1807679</t>
  </si>
  <si>
    <t>TXN_1583003</t>
  </si>
  <si>
    <t>TXN_3206331</t>
  </si>
  <si>
    <t>TXN_1870960</t>
  </si>
  <si>
    <t>TXN_3138269</t>
  </si>
  <si>
    <t>TXN_7603643</t>
  </si>
  <si>
    <t>TXN_3290365</t>
  </si>
  <si>
    <t>TXN_8529373</t>
  </si>
  <si>
    <t>TXN_7719299</t>
  </si>
  <si>
    <t>TXN_8131304</t>
  </si>
  <si>
    <t>TXN_6408271</t>
  </si>
  <si>
    <t>TXN_5937092</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</si>
  <si>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</si>
  <si>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</si>
  <si>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</si>
  <si>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</si>
  <si>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</si>
  <si>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</si>
  <si>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</si>
  <si>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</si>
  <si>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</si>
  <si>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</si>
  <si>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</si>
  <si>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</si>
  <si>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</si>
  <si>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</si>
  <si>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TXN_9279531</t>
  </si>
  <si>
    <t>TXN_1038947</t>
  </si>
  <si>
    <t>TXN_8945922</t>
  </si>
  <si>
    <t>TXN_1565839</t>
  </si>
  <si>
    <t>TXN_4765966</t>
  </si>
  <si>
    <t>TXN_2207487</t>
  </si>
  <si>
    <t>TXN_7629978</t>
  </si>
  <si>
    <t>TXN_2329051</t>
  </si>
  <si>
    <t>TXN_9590838</t>
  </si>
  <si>
    <t>TXN_6091744</t>
  </si>
  <si>
    <t>TXN_8678788</t>
  </si>
  <si>
    <t>TXN_6883886</t>
  </si>
  <si>
    <t>TXN_5617475</t>
  </si>
  <si>
    <t>TXN_6634398</t>
  </si>
  <si>
    <t>TXN_8101715</t>
  </si>
  <si>
    <t>TXN_2108164</t>
  </si>
  <si>
    <t>TXN_7172046</t>
  </si>
  <si>
    <t>TXN_1585678</t>
  </si>
  <si>
    <t>TXN_7026068</t>
  </si>
  <si>
    <t>TXN_2516949</t>
  </si>
  <si>
    <t>TXN_1611004</t>
  </si>
  <si>
    <t>TXN_7350591</t>
  </si>
  <si>
    <t>TXN_6868345</t>
  </si>
  <si>
    <t>TXN_6376665</t>
  </si>
  <si>
    <t>TXN_5655357</t>
  </si>
  <si>
    <t>TXN_5178964</t>
  </si>
  <si>
    <t>TXN_4964635</t>
  </si>
  <si>
    <t>TXN_1574964</t>
  </si>
  <si>
    <t>TXN_3192449</t>
  </si>
  <si>
    <t>TXN_4077402</t>
  </si>
  <si>
    <t>TXN_1133577</t>
  </si>
  <si>
    <t>TXN_8645893</t>
  </si>
  <si>
    <t>TXN_9581850</t>
  </si>
  <si>
    <t>TXN_6135201</t>
  </si>
  <si>
    <t>TXN_4948429</t>
  </si>
  <si>
    <t>TXN_1095513</t>
  </si>
  <si>
    <t>TXN_1564693</t>
  </si>
  <si>
    <t>TXN_9832770</t>
  </si>
  <si>
    <t>TXN_6690069</t>
  </si>
  <si>
    <t>TXN_4388498</t>
  </si>
  <si>
    <t>TXN_7449467</t>
  </si>
  <si>
    <t>TXN_6617081</t>
  </si>
  <si>
    <t>TXN_7896612</t>
  </si>
  <si>
    <t>TXN_8403235</t>
  </si>
  <si>
    <t>TXN_5157840</t>
  </si>
  <si>
    <t>TXN_6079647</t>
  </si>
  <si>
    <t>TXN_4882057</t>
  </si>
  <si>
    <t>TXN_2029816</t>
  </si>
  <si>
    <t>TXN_3025023</t>
  </si>
  <si>
    <t>TXN_7867899</t>
  </si>
  <si>
    <t>TXN_6461021</t>
  </si>
  <si>
    <t>TXN_8467828</t>
  </si>
  <si>
    <t>TXN_6094184</t>
  </si>
  <si>
    <t>TXN_7358436</t>
  </si>
  <si>
    <t>TXN_6179500</t>
  </si>
  <si>
    <t>TXN_4655797</t>
  </si>
  <si>
    <t>TXN_6453492</t>
  </si>
  <si>
    <t>TXN_3320818</t>
  </si>
  <si>
    <t>TXN_9135173</t>
  </si>
  <si>
    <t>TXN_2716104</t>
  </si>
  <si>
    <t>TXN_8768729</t>
  </si>
  <si>
    <t>TXN_1595061</t>
  </si>
  <si>
    <t>TXN_1143957</t>
  </si>
  <si>
    <t>TXN_9116992</t>
  </si>
  <si>
    <t>TXN_7346993</t>
  </si>
  <si>
    <t>TXN_8574907</t>
  </si>
  <si>
    <t>TXN_2704600</t>
  </si>
  <si>
    <t>TXN_7901897</t>
  </si>
  <si>
    <t>TXN_1814977</t>
  </si>
  <si>
    <t>TXN_9650087</t>
  </si>
  <si>
    <t>TXN_8802679</t>
  </si>
  <si>
    <t>TXN_9724017</t>
  </si>
  <si>
    <t>TXN_7256305</t>
  </si>
  <si>
    <t>TXN_1217844</t>
  </si>
  <si>
    <t>TXN_9877509</t>
  </si>
  <si>
    <t>TXN_9323213</t>
  </si>
  <si>
    <t>TXN_8537042</t>
  </si>
  <si>
    <t>TXN_7000451</t>
  </si>
  <si>
    <t>TXN_6174168</t>
  </si>
  <si>
    <t>TXN_7932286</t>
  </si>
  <si>
    <t>TXN_6102615</t>
  </si>
  <si>
    <t>TXN_7238273</t>
  </si>
  <si>
    <t>TXN_1273571</t>
  </si>
  <si>
    <t>TXN_7344843</t>
  </si>
  <si>
    <t>TXN_1602301</t>
  </si>
  <si>
    <t>TXN_2807320</t>
  </si>
  <si>
    <t>TXN_5395458</t>
  </si>
  <si>
    <t>TXN_8568991</t>
  </si>
  <si>
    <t>TXN_6820348</t>
  </si>
  <si>
    <t>TXN_6612014</t>
  </si>
  <si>
    <t>TXN_4090288</t>
  </si>
  <si>
    <t>TXN_9930429</t>
  </si>
  <si>
    <t>TXN_2651294</t>
  </si>
  <si>
    <t>TXN_7861115</t>
  </si>
  <si>
    <t>TXN_1211734</t>
  </si>
  <si>
    <t>TXN_9024754</t>
  </si>
  <si>
    <t>TXN_8201653</t>
  </si>
  <si>
    <t>TXN_1464828</t>
  </si>
  <si>
    <t>TXN_7108214</t>
  </si>
  <si>
    <t>TXN_6426118</t>
  </si>
  <si>
    <t>TXN_6992970</t>
  </si>
  <si>
    <t>TXN_9519628</t>
  </si>
  <si>
    <t>TXN_9463303</t>
  </si>
  <si>
    <t>TXN_7972987</t>
  </si>
  <si>
    <t>TXN_3941354</t>
  </si>
  <si>
    <t>TXN_2480021</t>
  </si>
  <si>
    <t>TXN_7705088</t>
  </si>
  <si>
    <t>TXN_3443251</t>
  </si>
  <si>
    <t>TXN_6545897</t>
  </si>
  <si>
    <t>TXN_8250306</t>
  </si>
  <si>
    <t>TXN_1684657</t>
  </si>
  <si>
    <t>TXN_3387043</t>
  </si>
  <si>
    <t>TXN_7529592</t>
  </si>
  <si>
    <t>TXN_3854610</t>
  </si>
  <si>
    <t>TXN_8192036</t>
  </si>
  <si>
    <t>TXN_3113686</t>
  </si>
  <si>
    <t>TXN_5908874</t>
  </si>
  <si>
    <t>TXN_3460510</t>
  </si>
  <si>
    <t>TXN_5659150</t>
  </si>
  <si>
    <t>TXN_3827311</t>
  </si>
  <si>
    <t>TXN_1665071</t>
  </si>
  <si>
    <t>TXN_1641449</t>
  </si>
  <si>
    <t>TXN_8211512</t>
  </si>
  <si>
    <t>TXN_1387633</t>
  </si>
  <si>
    <t>TXN_8152726</t>
  </si>
  <si>
    <t>TXN_1030654</t>
  </si>
  <si>
    <t>TXN_9122970</t>
  </si>
  <si>
    <t>TXN_7694074</t>
  </si>
  <si>
    <t>TXN_5746977</t>
  </si>
  <si>
    <t>TXN_7011651</t>
  </si>
  <si>
    <t>TXN_3447649</t>
  </si>
  <si>
    <t>TXN_9534348</t>
  </si>
  <si>
    <t>TXN_8984720</t>
  </si>
  <si>
    <t>TXN_9635879</t>
  </si>
  <si>
    <t>TXN_9604839</t>
  </si>
  <si>
    <t>TXN_5140377</t>
  </si>
  <si>
    <t>TXN_8749911</t>
  </si>
  <si>
    <t>TXN_9066835</t>
  </si>
  <si>
    <t>TXN_7404296</t>
  </si>
  <si>
    <t>TXN_1481272</t>
  </si>
  <si>
    <t>TXN_6871081</t>
  </si>
  <si>
    <t>TXN_4570231</t>
  </si>
  <si>
    <t>TXN_5107572</t>
  </si>
  <si>
    <t>TXN_2300485</t>
  </si>
  <si>
    <t>TXN_6981287</t>
  </si>
  <si>
    <t>TXN_6483684</t>
  </si>
  <si>
    <t>TXN_5286547</t>
  </si>
  <si>
    <t>TXN_6640803</t>
  </si>
  <si>
    <t>TXN_9174227</t>
  </si>
  <si>
    <t>TXN_1507506</t>
  </si>
  <si>
    <t>TXN_5254886</t>
  </si>
  <si>
    <t>TXN_5689168</t>
  </si>
  <si>
    <t>TXN_6111459</t>
  </si>
  <si>
    <t>TXN_6212454</t>
  </si>
  <si>
    <t>TXN_8932184</t>
  </si>
  <si>
    <t>TXN_1538849</t>
  </si>
  <si>
    <t>TXN_5687185</t>
  </si>
  <si>
    <t>TXN_2973718</t>
  </si>
  <si>
    <t>TXN_9943430</t>
  </si>
  <si>
    <t>TXN_8091223</t>
  </si>
  <si>
    <t>TXN_1293012</t>
  </si>
  <si>
    <t>TXN_8636216</t>
  </si>
  <si>
    <t>TXN_5682462</t>
  </si>
  <si>
    <t>TXN_9204093</t>
  </si>
  <si>
    <t>TXN_7490726</t>
  </si>
  <si>
    <t>TXN_3145941</t>
  </si>
  <si>
    <t>TXN_8930734</t>
  </si>
  <si>
    <t>TXN_9455438</t>
  </si>
  <si>
    <t>TXN_7274761</t>
  </si>
  <si>
    <t>TXN_2092141</t>
  </si>
  <si>
    <t>TXN_3552188</t>
  </si>
  <si>
    <t>TXN_1653522</t>
  </si>
  <si>
    <t>TXN_5196281</t>
  </si>
  <si>
    <t>TXN_8732641</t>
  </si>
  <si>
    <t>TXN_4219923</t>
  </si>
  <si>
    <t>TXN_3710830</t>
  </si>
  <si>
    <t>TXN_8568373</t>
  </si>
  <si>
    <t>TXN_4589320</t>
  </si>
  <si>
    <t>TXN_8992034</t>
  </si>
  <si>
    <t>TXN_3314885</t>
  </si>
  <si>
    <t>TXN_1140976</t>
  </si>
  <si>
    <t>TXN_3036860</t>
  </si>
  <si>
    <t>TXN_9732293</t>
  </si>
  <si>
    <t>TXN_3690471</t>
  </si>
  <si>
    <t>TXN_7795859</t>
  </si>
  <si>
    <t>TXN_7870096</t>
  </si>
  <si>
    <t>TXN_9030177</t>
  </si>
  <si>
    <t>TXN_9240994</t>
  </si>
  <si>
    <t>TXN_9988833</t>
  </si>
  <si>
    <t>TXN_8197865</t>
  </si>
  <si>
    <t>TXN_8480994</t>
  </si>
  <si>
    <t>TXN_8984027</t>
  </si>
  <si>
    <t>TXN_8451193</t>
  </si>
  <si>
    <t>TXN_7814128</t>
  </si>
  <si>
    <t>TXN_6040995</t>
  </si>
  <si>
    <t>TXN_2857681</t>
  </si>
  <si>
    <t>TXN_8514144</t>
  </si>
  <si>
    <t>TXN_7428897</t>
  </si>
  <si>
    <t>TXN_8831168</t>
  </si>
  <si>
    <t>TXN_8886498</t>
  </si>
  <si>
    <t>TXN_9554512</t>
  </si>
  <si>
    <t>TXN_4173885</t>
  </si>
  <si>
    <t>TXN_9003520</t>
  </si>
  <si>
    <t>TXN_1122145</t>
  </si>
  <si>
    <t>TXN_2635940</t>
  </si>
  <si>
    <t>TXN_6729334</t>
  </si>
  <si>
    <t>TXN_6983480</t>
  </si>
  <si>
    <t>TXN_3067798</t>
  </si>
  <si>
    <t>TXN_5492495</t>
  </si>
  <si>
    <t>TXN_2917453</t>
  </si>
  <si>
    <t>TXN_8760288</t>
  </si>
  <si>
    <t>TXN_7282375</t>
  </si>
  <si>
    <t>TXN_8489525</t>
  </si>
  <si>
    <t>TXN_5328299</t>
  </si>
  <si>
    <t>TXN_3454798</t>
  </si>
  <si>
    <t>TXN_8283036</t>
  </si>
  <si>
    <t>TXN_1551643</t>
  </si>
  <si>
    <t>TXN_6764514</t>
  </si>
  <si>
    <t>TXN_8853331</t>
  </si>
  <si>
    <t>TXN_1422045</t>
  </si>
  <si>
    <t>TXN_9800440</t>
  </si>
  <si>
    <t>TXN_8508878</t>
  </si>
  <si>
    <t>TXN_2951536</t>
  </si>
  <si>
    <t>TXN_4235196</t>
  </si>
  <si>
    <t>TXN_9575417</t>
  </si>
  <si>
    <t>TXN_8476669</t>
  </si>
  <si>
    <t>TXN_7672297</t>
  </si>
  <si>
    <t>TXN_4379449</t>
  </si>
  <si>
    <t>TXN_9930960</t>
  </si>
  <si>
    <t>TXN_6183279</t>
  </si>
  <si>
    <t>TXN_1481798</t>
  </si>
  <si>
    <t>TXN_7510710</t>
  </si>
  <si>
    <t>TXN_5436799</t>
  </si>
  <si>
    <t>TXN_7964647</t>
  </si>
  <si>
    <t>TXN_3408382</t>
  </si>
  <si>
    <t>TXN_6486541</t>
  </si>
  <si>
    <t>TXN_6730028</t>
  </si>
  <si>
    <t>TXN_8879321</t>
  </si>
  <si>
    <t>TXN_2912976</t>
  </si>
  <si>
    <t>TXN_5533070</t>
  </si>
  <si>
    <t>TXN_7633013</t>
  </si>
  <si>
    <t>TXN_2333490</t>
  </si>
  <si>
    <t>TXN_2158875</t>
  </si>
  <si>
    <t>TXN_2952993</t>
  </si>
  <si>
    <t>TXN_9315342</t>
  </si>
  <si>
    <t>TXN_6117034</t>
  </si>
  <si>
    <t>TXN_4691043</t>
  </si>
  <si>
    <t>TXN_1840133</t>
  </si>
  <si>
    <t>TXN_6563779</t>
  </si>
  <si>
    <t>TXN_3240724</t>
  </si>
  <si>
    <t>TXN_5709336</t>
  </si>
  <si>
    <t>TXN_6673236</t>
  </si>
  <si>
    <t>TXN_3056537</t>
  </si>
  <si>
    <t>TXN_4062925</t>
  </si>
  <si>
    <t>TXN_7399994</t>
  </si>
  <si>
    <t>TXN_4116590</t>
  </si>
  <si>
    <t>TXN_7478191</t>
  </si>
  <si>
    <t>TXN_6850311</t>
  </si>
  <si>
    <t>TXN_4376840</t>
  </si>
  <si>
    <t>TXN_1148392</t>
  </si>
  <si>
    <t>TXN_2621151</t>
  </si>
  <si>
    <t>TXN_2014213</t>
  </si>
  <si>
    <t>TXN_2665357</t>
  </si>
  <si>
    <t>TXN_5710989</t>
  </si>
  <si>
    <t>TXN_2305142</t>
  </si>
  <si>
    <t>TXN_5214483</t>
  </si>
  <si>
    <t>TXN_7172192</t>
  </si>
  <si>
    <t>TXN_4398511</t>
  </si>
  <si>
    <t>TXN_5878279</t>
  </si>
  <si>
    <t>TXN_3972926</t>
  </si>
  <si>
    <t>TXN_2337021</t>
  </si>
  <si>
    <t>TXN_9213019</t>
  </si>
  <si>
    <t>TXN_3867607</t>
  </si>
  <si>
    <t>TXN_3348669</t>
  </si>
  <si>
    <t>TXN_8276463</t>
  </si>
  <si>
    <t>TXN_9544241</t>
  </si>
  <si>
    <t>TXN_4296408</t>
  </si>
  <si>
    <t>TXN_8711676</t>
  </si>
  <si>
    <t>TXN_2838184</t>
  </si>
  <si>
    <t>TXN_2396087</t>
  </si>
  <si>
    <t>TXN_6234812</t>
  </si>
  <si>
    <t>TXN_1547338</t>
  </si>
  <si>
    <t>TXN_6809427</t>
  </si>
  <si>
    <t>TXN_6500125</t>
  </si>
  <si>
    <t>TXN_9234803</t>
  </si>
  <si>
    <t>TXN_2169323</t>
  </si>
  <si>
    <t>TXN_9493303</t>
  </si>
  <si>
    <t>TXN_3515383</t>
  </si>
  <si>
    <t>TXN_6065064</t>
  </si>
  <si>
    <t>TXN_6878442</t>
  </si>
  <si>
    <t>TXN_2898737</t>
  </si>
  <si>
    <t>TXN_4865786</t>
  </si>
  <si>
    <t>TXN_6392061</t>
  </si>
  <si>
    <t>TXN_6811437</t>
  </si>
  <si>
    <t>TXN_5902799</t>
  </si>
  <si>
    <t>TXN_1294354</t>
  </si>
  <si>
    <t>TXN_5586175</t>
  </si>
  <si>
    <t>TXN_9063254</t>
  </si>
  <si>
    <t>TXN_3396013</t>
  </si>
  <si>
    <t>TXN_4425679</t>
  </si>
  <si>
    <t>TXN_4212096</t>
  </si>
  <si>
    <t>TXN_3046542</t>
  </si>
  <si>
    <t>TXN_5498797</t>
  </si>
  <si>
    <t>TXN_9961587</t>
  </si>
  <si>
    <t>TXN_5645945</t>
  </si>
  <si>
    <t>TXN_2752080</t>
  </si>
  <si>
    <t>TXN_9365217</t>
  </si>
  <si>
    <t>TXN_8371014</t>
  </si>
  <si>
    <t>TXN_7275004</t>
  </si>
  <si>
    <t>TXN_6921763</t>
  </si>
  <si>
    <t>TXN_8568204</t>
  </si>
  <si>
    <t>TXN_2648609</t>
  </si>
  <si>
    <t>TXN_7986151</t>
  </si>
  <si>
    <t>TXN_8350913</t>
  </si>
  <si>
    <t>TXN_1715848</t>
  </si>
  <si>
    <t>TXN_9209672</t>
  </si>
  <si>
    <t>TXN_1287015</t>
  </si>
  <si>
    <t>TXN_5936964</t>
  </si>
  <si>
    <t>TXN_8551130</t>
  </si>
  <si>
    <t>TXN_1195231</t>
  </si>
  <si>
    <t>TXN_2241242</t>
  </si>
  <si>
    <t>TXN_2654851</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</si>
  <si>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</si>
  <si>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</si>
  <si>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</si>
  <si>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</si>
  <si>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</si>
  <si>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</si>
  <si>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</si>
  <si>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</si>
  <si>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</si>
  <si>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</si>
  <si>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</si>
  <si>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</si>
  <si>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</si>
  <si>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</si>
  <si>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</si>
  <si>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</si>
  <si>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</si>
  <si>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</si>
  <si>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TXN_1785816</t>
  </si>
  <si>
    <t>TXN_2092821</t>
  </si>
  <si>
    <t>TXN_4702637</t>
  </si>
  <si>
    <t>TXN_8022463</t>
  </si>
  <si>
    <t>TXN_1198866</t>
  </si>
  <si>
    <t>TXN_3753292</t>
  </si>
  <si>
    <t>TXN_4297569</t>
  </si>
  <si>
    <t>TXN_9644345</t>
  </si>
  <si>
    <t>TXN_4857821</t>
  </si>
  <si>
    <t>TXN_1980146</t>
  </si>
  <si>
    <t>TXN_2694884</t>
  </si>
  <si>
    <t>TXN_1382113</t>
  </si>
  <si>
    <t>TXN_3256982</t>
  </si>
  <si>
    <t>TXN_8658665</t>
  </si>
  <si>
    <t>TXN_4369693</t>
  </si>
  <si>
    <t>TXN_9100315</t>
  </si>
  <si>
    <t>TXN_6038207</t>
  </si>
  <si>
    <t>TXN_6025445</t>
  </si>
  <si>
    <t>TXN_8591611</t>
  </si>
  <si>
    <t>TXN_9989402</t>
  </si>
  <si>
    <t>TXN_6469412</t>
  </si>
  <si>
    <t>TXN_9160928</t>
  </si>
  <si>
    <t>TXN_6928165</t>
  </si>
  <si>
    <t>TXN_8047214</t>
  </si>
  <si>
    <t>TXN_3404090</t>
  </si>
  <si>
    <t>TXN_4975771</t>
  </si>
  <si>
    <t>TXN_7887414</t>
  </si>
  <si>
    <t>TXN_7285632</t>
  </si>
  <si>
    <t>TXN_3635725</t>
  </si>
  <si>
    <t>TXN_8949666</t>
  </si>
  <si>
    <t>TXN_7402104</t>
  </si>
  <si>
    <t>TXN_3521530</t>
  </si>
  <si>
    <t>TXN_2527692</t>
  </si>
  <si>
    <t>TXN_6590291</t>
  </si>
  <si>
    <t>TXN_7304233</t>
  </si>
  <si>
    <t>TXN_9253623</t>
  </si>
  <si>
    <t>TXN_6165989</t>
  </si>
  <si>
    <t>TXN_9201978</t>
  </si>
  <si>
    <t>TXN_7454284</t>
  </si>
  <si>
    <t>TXN_8123523</t>
  </si>
  <si>
    <t>TXN_9861930</t>
  </si>
  <si>
    <t>TXN_3499913</t>
  </si>
  <si>
    <t>TXN_1913469</t>
  </si>
  <si>
    <t>TXN_8008279</t>
  </si>
  <si>
    <t>TXN_7044349</t>
  </si>
  <si>
    <t>TXN_2345067</t>
  </si>
  <si>
    <t>TXN_7720273</t>
  </si>
  <si>
    <t>TXN_5600824</t>
  </si>
  <si>
    <t>TXN_8155559</t>
  </si>
  <si>
    <t>TXN_6806342</t>
  </si>
  <si>
    <t>TXN_2121764</t>
  </si>
  <si>
    <t>TXN_8437474</t>
  </si>
  <si>
    <t>TXN_1470677</t>
  </si>
  <si>
    <t>TXN_5810679</t>
  </si>
  <si>
    <t>TXN_5483650</t>
  </si>
  <si>
    <t>TXN_6087995</t>
  </si>
  <si>
    <t>TXN_6696518</t>
  </si>
  <si>
    <t>TXN_8688377</t>
  </si>
  <si>
    <t>TXN_3171599</t>
  </si>
  <si>
    <t>TXN_2458698</t>
  </si>
  <si>
    <t>TXN_5969212</t>
  </si>
  <si>
    <t>TXN_8869702</t>
  </si>
  <si>
    <t>TXN_9247458</t>
  </si>
  <si>
    <t>TXN_2297342</t>
  </si>
  <si>
    <t>TXN_1451533</t>
  </si>
  <si>
    <t>TXN_4431438</t>
  </si>
  <si>
    <t>TXN_5692167</t>
  </si>
  <si>
    <t>TXN_2858218</t>
  </si>
  <si>
    <t>TXN_3457042</t>
  </si>
  <si>
    <t>TXN_8170521</t>
  </si>
  <si>
    <t>TXN_4571221</t>
  </si>
  <si>
    <t>TXN_7439015</t>
  </si>
  <si>
    <t>TXN_4255190</t>
  </si>
  <si>
    <t>TXN_5838263</t>
  </si>
  <si>
    <t>TXN_4617673</t>
  </si>
  <si>
    <t>TXN_8648672</t>
  </si>
  <si>
    <t>TXN_6440331</t>
  </si>
  <si>
    <t>TXN_5821224</t>
  </si>
  <si>
    <t>TXN_9550618</t>
  </si>
  <si>
    <t>TXN_7842114</t>
  </si>
  <si>
    <t>TXN_6182431</t>
  </si>
  <si>
    <t>TXN_6666892</t>
  </si>
  <si>
    <t>TXN_2880014</t>
  </si>
  <si>
    <t>TXN_7641109</t>
  </si>
  <si>
    <t>TXN_4193004</t>
  </si>
  <si>
    <t>TXN_5951718</t>
  </si>
  <si>
    <t>TXN_5174529</t>
  </si>
  <si>
    <t>TXN_4481519</t>
  </si>
  <si>
    <t>TXN_2681399</t>
  </si>
  <si>
    <t>TXN_1384378</t>
  </si>
  <si>
    <t>TXN_6609869</t>
  </si>
  <si>
    <t>TXN_2808540</t>
  </si>
  <si>
    <t>TXN_4909656</t>
  </si>
  <si>
    <t>TXN_4062425</t>
  </si>
  <si>
    <t>TXN_1919855</t>
  </si>
  <si>
    <t>TXN_6329610</t>
  </si>
  <si>
    <t>TXN_5729612</t>
  </si>
  <si>
    <t>TXN_6082372</t>
  </si>
  <si>
    <t>TXN_4076284</t>
  </si>
  <si>
    <t>TXN_2593320</t>
  </si>
  <si>
    <t>TXN_8574556</t>
  </si>
  <si>
    <t>TXN_7517582</t>
  </si>
  <si>
    <t>TXN_2284744</t>
  </si>
  <si>
    <t>TXN_9760823</t>
  </si>
  <si>
    <t>TXN_6090167</t>
  </si>
  <si>
    <t>TXN_5380293</t>
  </si>
  <si>
    <t>TXN_2417229</t>
  </si>
  <si>
    <t>TXN_4721128</t>
  </si>
  <si>
    <t>TXN_9316296</t>
  </si>
  <si>
    <t>TXN_3795064</t>
  </si>
  <si>
    <t>TXN_5983240</t>
  </si>
  <si>
    <t>TXN_3081988</t>
  </si>
  <si>
    <t>TXN_2080604</t>
  </si>
  <si>
    <t>TXN_9217850</t>
  </si>
  <si>
    <t>TXN_8573178</t>
  </si>
  <si>
    <t>TXN_1285084</t>
  </si>
  <si>
    <t>TXN_6761654</t>
  </si>
  <si>
    <t>TXN_8487424</t>
  </si>
  <si>
    <t>TXN_3867722</t>
  </si>
  <si>
    <t>TXN_4838066</t>
  </si>
  <si>
    <t>TXN_3876726</t>
  </si>
  <si>
    <t>TXN_2797985</t>
  </si>
  <si>
    <t>TXN_1372787</t>
  </si>
  <si>
    <t>TXN_8241824</t>
  </si>
  <si>
    <t>TXN_4116552</t>
  </si>
  <si>
    <t>TXN_6954466</t>
  </si>
  <si>
    <t>TXN_7451610</t>
  </si>
  <si>
    <t>TXN_2251815</t>
  </si>
  <si>
    <t>TXN_6637102</t>
  </si>
  <si>
    <t>TXN_1411832</t>
  </si>
  <si>
    <t>TXN_5336983</t>
  </si>
  <si>
    <t>TXN_6109021</t>
  </si>
  <si>
    <t>TXN_1014375</t>
  </si>
  <si>
    <t>TXN_5308548</t>
  </si>
  <si>
    <t>TXN_3394031</t>
  </si>
  <si>
    <t>TXN_5681367</t>
  </si>
  <si>
    <t>TXN_3260804</t>
  </si>
  <si>
    <t>TXN_7432361</t>
  </si>
  <si>
    <t>TXN_3249079</t>
  </si>
  <si>
    <t>TXN_1494063</t>
  </si>
  <si>
    <t>TXN_1961400</t>
  </si>
  <si>
    <t>TXN_2718872</t>
  </si>
  <si>
    <t>TXN_3770345</t>
  </si>
  <si>
    <t>TXN_8107966</t>
  </si>
  <si>
    <t>TXN_4585670</t>
  </si>
  <si>
    <t>TXN_6630344</t>
  </si>
  <si>
    <t>TXN_7277962</t>
  </si>
  <si>
    <t>TXN_5637756</t>
  </si>
  <si>
    <t>TXN_4758145</t>
  </si>
  <si>
    <t>TXN_6853941</t>
  </si>
  <si>
    <t>TXN_5926111</t>
  </si>
  <si>
    <t>TXN_9083605</t>
  </si>
  <si>
    <t>TXN_1669239</t>
  </si>
  <si>
    <t>TXN_7673761</t>
  </si>
  <si>
    <t>TXN_6078486</t>
  </si>
  <si>
    <t>TXN_4700436</t>
  </si>
  <si>
    <t>TXN_6608719</t>
  </si>
  <si>
    <t>TXN_2370062</t>
  </si>
  <si>
    <t>TXN_6595084</t>
  </si>
  <si>
    <t>TXN_6837562</t>
  </si>
  <si>
    <t>TXN_4935565</t>
  </si>
  <si>
    <t>TXN_4795710</t>
  </si>
  <si>
    <t>TXN_1962874</t>
  </si>
  <si>
    <t>TXN_2562140</t>
  </si>
  <si>
    <t>TXN_2291678</t>
  </si>
  <si>
    <t>TXN_3245632</t>
  </si>
  <si>
    <t>TXN_3581663</t>
  </si>
  <si>
    <t>TXN_5219250</t>
  </si>
  <si>
    <t>TXN_7356854</t>
  </si>
  <si>
    <t>TXN_8911952</t>
  </si>
  <si>
    <t>TXN_4759525</t>
  </si>
  <si>
    <t>TXN_2228877</t>
  </si>
  <si>
    <t>TXN_3201354</t>
  </si>
  <si>
    <t>TXN_9537792</t>
  </si>
  <si>
    <t>TXN_5161250</t>
  </si>
  <si>
    <t>TXN_3918997</t>
  </si>
  <si>
    <t>TXN_8108026</t>
  </si>
  <si>
    <t>TXN_2156507</t>
  </si>
  <si>
    <t>TXN_7485369</t>
  </si>
  <si>
    <t>TXN_4508080</t>
  </si>
  <si>
    <t>TXN_5577761</t>
  </si>
  <si>
    <t>TXN_7666691</t>
  </si>
  <si>
    <t>TXN_6766893</t>
  </si>
  <si>
    <t>TXN_6528640</t>
  </si>
  <si>
    <t>TXN_8423167</t>
  </si>
  <si>
    <t>TXN_6845254</t>
  </si>
  <si>
    <t>TXN_6184133</t>
  </si>
  <si>
    <t>TXN_9776378</t>
  </si>
  <si>
    <t>TXN_2377075</t>
  </si>
  <si>
    <t>TXN_5277964</t>
  </si>
  <si>
    <t>TXN_6110164</t>
  </si>
  <si>
    <t>TXN_6688642</t>
  </si>
  <si>
    <t>TXN_1135615</t>
  </si>
  <si>
    <t>TXN_1174385</t>
  </si>
  <si>
    <t>TXN_5481214</t>
  </si>
  <si>
    <t>TXN_9648410</t>
  </si>
  <si>
    <t>TXN_7536831</t>
  </si>
  <si>
    <t>TXN_4466822</t>
  </si>
  <si>
    <t>TXN_4562594</t>
  </si>
  <si>
    <t>TXN_3478292</t>
  </si>
  <si>
    <t>TXN_3627669</t>
  </si>
  <si>
    <t>TXN_5455904</t>
  </si>
  <si>
    <t>TXN_8994166</t>
  </si>
  <si>
    <t>TXN_8680983</t>
  </si>
  <si>
    <t>TXN_9980683</t>
  </si>
  <si>
    <t>TXN_5598682</t>
  </si>
  <si>
    <t>TXN_6868890</t>
  </si>
  <si>
    <t>TXN_3412748</t>
  </si>
  <si>
    <t>TXN_2632666</t>
  </si>
  <si>
    <t>TXN_3389691</t>
  </si>
  <si>
    <t>TXN_7284110</t>
  </si>
  <si>
    <t>TXN_3614727</t>
  </si>
  <si>
    <t>TXN_9403273</t>
  </si>
  <si>
    <t>TXN_7152319</t>
  </si>
  <si>
    <t>TXN_8405843</t>
  </si>
  <si>
    <t>TXN_8620480</t>
  </si>
  <si>
    <t>TXN_1520722</t>
  </si>
  <si>
    <t>TXN_9518640</t>
  </si>
  <si>
    <t>TXN_7604093</t>
  </si>
  <si>
    <t>TXN_4436192</t>
  </si>
  <si>
    <t>TXN_5838495</t>
  </si>
  <si>
    <t>TXN_9189148</t>
  </si>
  <si>
    <t>TXN_2472029</t>
  </si>
  <si>
    <t>TXN_5501281</t>
  </si>
  <si>
    <t>TXN_1394876</t>
  </si>
  <si>
    <t>TXN_3522960</t>
  </si>
  <si>
    <t>TXN_8637678</t>
  </si>
  <si>
    <t>TXN_3887868</t>
  </si>
  <si>
    <t>TXN_8141257</t>
  </si>
  <si>
    <t>TXN_6582092</t>
  </si>
  <si>
    <t>TXN_3091025</t>
  </si>
  <si>
    <t>TXN_2434158</t>
  </si>
  <si>
    <t>TXN_7790991</t>
  </si>
  <si>
    <t>TXN_5951686</t>
  </si>
  <si>
    <t>TXN_2811659</t>
  </si>
  <si>
    <t>TXN_9993395</t>
  </si>
  <si>
    <t>TXN_6354290</t>
  </si>
  <si>
    <t>TXN_6931532</t>
  </si>
  <si>
    <t>TXN_9259738</t>
  </si>
  <si>
    <t>TXN_7589315</t>
  </si>
  <si>
    <t>TXN_2767877</t>
  </si>
  <si>
    <t>TXN_6088854</t>
  </si>
  <si>
    <t>TXN_2097083</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</si>
  <si>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</si>
  <si>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</si>
  <si>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</si>
  <si>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</si>
  <si>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</si>
  <si>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</si>
  <si>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</si>
  <si>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</si>
  <si>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</si>
  <si>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</si>
  <si>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</si>
  <si>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</si>
  <si>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</si>
  <si>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</si>
  <si>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</si>
  <si>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</si>
  <si>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TXN_4281742</t>
  </si>
  <si>
    <t>TXN_5407015</t>
  </si>
  <si>
    <t>TXN_5608512</t>
  </si>
  <si>
    <t>TXN_1219590</t>
  </si>
  <si>
    <t>TXN_1424166</t>
  </si>
  <si>
    <t>TXN_2940196</t>
  </si>
  <si>
    <t>TXN_7648026</t>
  </si>
  <si>
    <t>TXN_2052834</t>
  </si>
  <si>
    <t>TXN_9276040</t>
  </si>
  <si>
    <t>TXN_8666461</t>
  </si>
  <si>
    <t>TXN_8585970</t>
  </si>
  <si>
    <t>TXN_4824863</t>
  </si>
  <si>
    <t>TXN_1193062</t>
  </si>
  <si>
    <t>TXN_4914355</t>
  </si>
  <si>
    <t>TXN_7528525</t>
  </si>
  <si>
    <t>TXN_4245153</t>
  </si>
  <si>
    <t>TXN_3854731</t>
  </si>
  <si>
    <t>TXN_6582789</t>
  </si>
  <si>
    <t>TXN_5509332</t>
  </si>
  <si>
    <t>TXN_6900823</t>
  </si>
  <si>
    <t>TXN_5581558</t>
  </si>
  <si>
    <t>TXN_8877890</t>
  </si>
  <si>
    <t>TXN_3044686</t>
  </si>
  <si>
    <t>TXN_5269978</t>
  </si>
  <si>
    <t>TXN_4140793</t>
  </si>
  <si>
    <t>TXN_5870737</t>
  </si>
  <si>
    <t>TXN_7979356</t>
  </si>
  <si>
    <t>TXN_4007615</t>
  </si>
  <si>
    <t>TXN_3513460</t>
  </si>
  <si>
    <t>TXN_5061512</t>
  </si>
  <si>
    <t>TXN_9777368</t>
  </si>
  <si>
    <t>TXN_9601038</t>
  </si>
  <si>
    <t>TXN_8582247</t>
  </si>
  <si>
    <t>TXN_4845406</t>
  </si>
  <si>
    <t>TXN_9612514</t>
  </si>
  <si>
    <t>TXN_5290650</t>
  </si>
  <si>
    <t>TXN_7228096</t>
  </si>
  <si>
    <t>TXN_9736193</t>
  </si>
  <si>
    <t>TXN_3462357</t>
  </si>
  <si>
    <t>TXN_3322099</t>
  </si>
  <si>
    <t>TXN_3406391</t>
  </si>
  <si>
    <t>TXN_5118834</t>
  </si>
  <si>
    <t>TXN_6162781</t>
  </si>
  <si>
    <t>TXN_1244212</t>
  </si>
  <si>
    <t>TXN_3456696</t>
  </si>
  <si>
    <t>TXN_8769384</t>
  </si>
  <si>
    <t>TXN_3969448</t>
  </si>
  <si>
    <t>TXN_1780281</t>
  </si>
  <si>
    <t>TXN_5125056</t>
  </si>
  <si>
    <t>TXN_6481590</t>
  </si>
  <si>
    <t>TXN_8252234</t>
  </si>
  <si>
    <t>TXN_8874047</t>
  </si>
  <si>
    <t>TXN_7967269</t>
  </si>
  <si>
    <t>TXN_1039114</t>
  </si>
  <si>
    <t>TXN_7529501</t>
  </si>
  <si>
    <t>TXN_3003224</t>
  </si>
  <si>
    <t>TXN_9024860</t>
  </si>
  <si>
    <t>TXN_6635815</t>
  </si>
  <si>
    <t>TXN_7595390</t>
  </si>
  <si>
    <t>TXN_5770406</t>
  </si>
  <si>
    <t>TXN_8878131</t>
  </si>
  <si>
    <t>TXN_9464600</t>
  </si>
  <si>
    <t>TXN_6956096</t>
  </si>
  <si>
    <t>TXN_2663672</t>
  </si>
  <si>
    <t>TXN_2052776</t>
  </si>
  <si>
    <t>TXN_1838690</t>
  </si>
  <si>
    <t>TXN_5796919</t>
  </si>
  <si>
    <t>TXN_8832056</t>
  </si>
  <si>
    <t>TXN_6633737</t>
  </si>
  <si>
    <t>TXN_2210266</t>
  </si>
  <si>
    <t>TXN_3534846</t>
  </si>
  <si>
    <t>TXN_5899902</t>
  </si>
  <si>
    <t>TXN_8429586</t>
  </si>
  <si>
    <t>TXN_2017195</t>
  </si>
  <si>
    <t>TXN_8237202</t>
  </si>
  <si>
    <t>TXN_9946792</t>
  </si>
  <si>
    <t>TXN_3931564</t>
  </si>
  <si>
    <t>TXN_4954384</t>
  </si>
  <si>
    <t>TXN_7120744</t>
  </si>
  <si>
    <t>TXN_8689221</t>
  </si>
  <si>
    <t>TXN_7039501</t>
  </si>
  <si>
    <t>TXN_6449781</t>
  </si>
  <si>
    <t>TXN_5585946</t>
  </si>
  <si>
    <t>TXN_7822326</t>
  </si>
  <si>
    <t>TXN_2210332</t>
  </si>
  <si>
    <t>TXN_2569828</t>
  </si>
  <si>
    <t>TXN_9081402</t>
  </si>
  <si>
    <t>TXN_7525583</t>
  </si>
  <si>
    <t>TXN_1762272</t>
  </si>
  <si>
    <t>TXN_2752566</t>
  </si>
  <si>
    <t>TXN_1399723</t>
  </si>
  <si>
    <t>TXN_4764622</t>
  </si>
  <si>
    <t>TXN_4401677</t>
  </si>
  <si>
    <t>TXN_3275079</t>
  </si>
  <si>
    <t>TXN_9558666</t>
  </si>
  <si>
    <t>TXN_4346191</t>
  </si>
  <si>
    <t>TXN_1978587</t>
  </si>
  <si>
    <t>TXN_1299663</t>
  </si>
  <si>
    <t>TXN_2256249</t>
  </si>
  <si>
    <t>TXN_1727861</t>
  </si>
  <si>
    <t>TXN_4848427</t>
  </si>
  <si>
    <t>TXN_3424321</t>
  </si>
  <si>
    <t>TXN_7040885</t>
  </si>
  <si>
    <t>TXN_6604135</t>
  </si>
  <si>
    <t>TXN_6964148</t>
  </si>
  <si>
    <t>TXN_3135262</t>
  </si>
  <si>
    <t>TXN_1089119</t>
  </si>
  <si>
    <t>TXN_9926710</t>
  </si>
  <si>
    <t>TXN_4147529</t>
  </si>
  <si>
    <t>TXN_2272691</t>
  </si>
  <si>
    <t>TXN_4032210</t>
  </si>
  <si>
    <t>TXN_5374493</t>
  </si>
  <si>
    <t>TXN_8425366</t>
  </si>
  <si>
    <t>TXN_9340588</t>
  </si>
  <si>
    <t>TXN_5702123</t>
  </si>
  <si>
    <t>TXN_3582606</t>
  </si>
  <si>
    <t>TXN_4092798</t>
  </si>
  <si>
    <t>TXN_3767932</t>
  </si>
  <si>
    <t>TXN_7026879</t>
  </si>
  <si>
    <t>TXN_6546571</t>
  </si>
  <si>
    <t>TXN_1020775</t>
  </si>
  <si>
    <t>TXN_1005750</t>
  </si>
  <si>
    <t>TXN_4055976</t>
  </si>
  <si>
    <t>TXN_4811114</t>
  </si>
  <si>
    <t>TXN_1935246</t>
  </si>
  <si>
    <t>TXN_5395129</t>
  </si>
  <si>
    <t>TXN_4869342</t>
  </si>
  <si>
    <t>TXN_7306114</t>
  </si>
  <si>
    <t>TXN_3204284</t>
  </si>
  <si>
    <t>TXN_9711658</t>
  </si>
  <si>
    <t>TXN_9436654</t>
  </si>
  <si>
    <t>TXN_8641832</t>
  </si>
  <si>
    <t>TXN_4778282</t>
  </si>
  <si>
    <t>TXN_8132309</t>
  </si>
  <si>
    <t>TXN_4270618</t>
  </si>
  <si>
    <t>TXN_5350553</t>
  </si>
  <si>
    <t>TXN_3087686</t>
  </si>
  <si>
    <t>TXN_9067738</t>
  </si>
  <si>
    <t>TXN_3604177</t>
  </si>
  <si>
    <t>TXN_3336876</t>
  </si>
  <si>
    <t>TXN_9466734</t>
  </si>
  <si>
    <t>TXN_1795726</t>
  </si>
  <si>
    <t>TXN_4533853</t>
  </si>
  <si>
    <t>TXN_4459060</t>
  </si>
  <si>
    <t>TXN_4286798</t>
  </si>
  <si>
    <t>TXN_1201757</t>
  </si>
  <si>
    <t>TXN_5725550</t>
  </si>
  <si>
    <t>TXN_4034447</t>
  </si>
  <si>
    <t>TXN_8435121</t>
  </si>
  <si>
    <t>TXN_8077020</t>
  </si>
  <si>
    <t>TXN_4972248</t>
  </si>
  <si>
    <t>TXN_5921082</t>
  </si>
  <si>
    <t>TXN_5498300</t>
  </si>
  <si>
    <t>TXN_9052265</t>
  </si>
  <si>
    <t>TXN_3542101</t>
  </si>
  <si>
    <t>TXN_8414492</t>
  </si>
  <si>
    <t>TXN_7422235</t>
  </si>
  <si>
    <t>TXN_2120609</t>
  </si>
  <si>
    <t>TXN_8765485</t>
  </si>
  <si>
    <t>TXN_5263251</t>
  </si>
  <si>
    <t>TXN_8269434</t>
  </si>
  <si>
    <t>TXN_5690131</t>
  </si>
  <si>
    <t>TXN_6697034</t>
  </si>
  <si>
    <t>TXN_5071954</t>
  </si>
  <si>
    <t>TXN_1810111</t>
  </si>
  <si>
    <t>TXN_8487509</t>
  </si>
  <si>
    <t>TXN_9299347</t>
  </si>
  <si>
    <t>TXN_5654404</t>
  </si>
  <si>
    <t>TXN_8178715</t>
  </si>
  <si>
    <t>TXN_4366890</t>
  </si>
  <si>
    <t>TXN_1017199</t>
  </si>
  <si>
    <t>TXN_4523273</t>
  </si>
  <si>
    <t>TXN_6711906</t>
  </si>
  <si>
    <t>TXN_1892600</t>
  </si>
  <si>
    <t>TXN_1790105</t>
  </si>
  <si>
    <t>TXN_2830771</t>
  </si>
  <si>
    <t>TXN_8622375</t>
  </si>
  <si>
    <t>TXN_9649833</t>
  </si>
  <si>
    <t>TXN_1127219</t>
  </si>
  <si>
    <t>TXN_7220277</t>
  </si>
  <si>
    <t>TXN_5490508</t>
  </si>
  <si>
    <t>TXN_6910028</t>
  </si>
  <si>
    <t>TXN_8421920</t>
  </si>
  <si>
    <t>TXN_9713065</t>
  </si>
  <si>
    <t>TXN_2394864</t>
  </si>
  <si>
    <t>TXN_8963284</t>
  </si>
  <si>
    <t>TXN_4901726</t>
  </si>
  <si>
    <t>TXN_3994914</t>
  </si>
  <si>
    <t>TXN_6573349</t>
  </si>
  <si>
    <t>TXN_6096297</t>
  </si>
  <si>
    <t>TXN_2163609</t>
  </si>
  <si>
    <t>TXN_1422215</t>
  </si>
  <si>
    <t>TXN_8581920</t>
  </si>
  <si>
    <t>TXN_1248793</t>
  </si>
  <si>
    <t>TXN_5306857</t>
  </si>
  <si>
    <t>TXN_3831310</t>
  </si>
  <si>
    <t>TXN_7815351</t>
  </si>
  <si>
    <t>TXN_1190422</t>
  </si>
  <si>
    <t>TXN_2621464</t>
  </si>
  <si>
    <t>TXN_9258508</t>
  </si>
  <si>
    <t>TXN_3461490</t>
  </si>
  <si>
    <t>TXN_5010435</t>
  </si>
  <si>
    <t>TXN_1573513</t>
  </si>
  <si>
    <t>TXN_1201718</t>
  </si>
  <si>
    <t>TXN_7833453</t>
  </si>
  <si>
    <t>TXN_4713817</t>
  </si>
  <si>
    <t>TXN_2843740</t>
  </si>
  <si>
    <t>TXN_2060935</t>
  </si>
  <si>
    <t>TXN_6499717</t>
  </si>
  <si>
    <t>TXN_7426702</t>
  </si>
  <si>
    <t>TXN_5821825</t>
  </si>
  <si>
    <t>TXN_7938026</t>
  </si>
  <si>
    <t>TXN_8011504</t>
  </si>
  <si>
    <t>TXN_5566685</t>
  </si>
  <si>
    <t>TXN_4780435</t>
  </si>
  <si>
    <t>TXN_8976767</t>
  </si>
  <si>
    <t>TXN_2691157</t>
  </si>
  <si>
    <t>TXN_7955635</t>
  </si>
  <si>
    <t>TXN_5410671</t>
  </si>
  <si>
    <t>TXN_1407563</t>
  </si>
  <si>
    <t>TXN_3465341</t>
  </si>
  <si>
    <t>TXN_1056184</t>
  </si>
  <si>
    <t>TXN_8831675</t>
  </si>
  <si>
    <t>TXN_9974710</t>
  </si>
  <si>
    <t>TXN_2843646</t>
  </si>
  <si>
    <t>TXN_9792470</t>
  </si>
  <si>
    <t>TXN_7009968</t>
  </si>
  <si>
    <t>TXN_5134226</t>
  </si>
  <si>
    <t>TXN_7662644</t>
  </si>
  <si>
    <t>TXN_4422759</t>
  </si>
  <si>
    <t>TXN_1947569</t>
  </si>
  <si>
    <t>TXN_9770361</t>
  </si>
  <si>
    <t>TXN_2159886</t>
  </si>
  <si>
    <t>TXN_1751349</t>
  </si>
  <si>
    <t>TXN_4777181</t>
  </si>
  <si>
    <t>TXN_2481299</t>
  </si>
  <si>
    <t>TXN_2685666</t>
  </si>
  <si>
    <t>TXN_2972823</t>
  </si>
  <si>
    <t>TXN_5240612</t>
  </si>
  <si>
    <t>TXN_2798740</t>
  </si>
  <si>
    <t>TXN_5192905</t>
  </si>
  <si>
    <t>TXN_4834959</t>
  </si>
  <si>
    <t>TXN_8801583</t>
  </si>
  <si>
    <t>TXN_6108978</t>
  </si>
  <si>
    <t>TXN_6038887</t>
  </si>
  <si>
    <t>TXN_9224762</t>
  </si>
  <si>
    <t>TXN_3724129</t>
  </si>
  <si>
    <t>TXN_8952212</t>
  </si>
  <si>
    <t>TXN_1037036</t>
  </si>
  <si>
    <t>TXN_3369728</t>
  </si>
  <si>
    <t>TXN_4090699</t>
  </si>
  <si>
    <t>TXN_9560804</t>
  </si>
  <si>
    <t>TXN_8222717</t>
  </si>
  <si>
    <t>TXN_8739336</t>
  </si>
  <si>
    <t>TXN_6292835</t>
  </si>
  <si>
    <t>TXN_7241224</t>
  </si>
  <si>
    <t>TXN_9675873</t>
  </si>
  <si>
    <t>TXN_9867797</t>
  </si>
  <si>
    <t>TXN_1449888</t>
  </si>
  <si>
    <t>TXN_1765249</t>
  </si>
  <si>
    <t>TXN_8011706</t>
  </si>
  <si>
    <t>TXN_1595881</t>
  </si>
  <si>
    <t>TXN_5501500</t>
  </si>
  <si>
    <t>TXN_5798656</t>
  </si>
  <si>
    <t>TXN_4491566</t>
  </si>
  <si>
    <t>TXN_3718315</t>
  </si>
  <si>
    <t>TXN_6943850</t>
  </si>
  <si>
    <t>TXN_7836121</t>
  </si>
  <si>
    <t>TXN_3775360</t>
  </si>
  <si>
    <t>TXN_1624550</t>
  </si>
  <si>
    <t>TXN_3412638</t>
  </si>
  <si>
    <t>TXN_5999343</t>
  </si>
  <si>
    <t>TXN_6297355</t>
  </si>
  <si>
    <t>TXN_6404565</t>
  </si>
  <si>
    <t>TXN_8375614</t>
  </si>
  <si>
    <t>TXN_4703372</t>
  </si>
  <si>
    <t>TXN_6699940</t>
  </si>
  <si>
    <t>TXN_5448250</t>
  </si>
  <si>
    <t>TXN_8540247</t>
  </si>
  <si>
    <t>TXN_8694108</t>
  </si>
  <si>
    <t>TXN_2279408</t>
  </si>
  <si>
    <t>TXN_8505513</t>
  </si>
  <si>
    <t>TXN_1571058</t>
  </si>
  <si>
    <t>TXN_3119913</t>
  </si>
  <si>
    <t>TXN_6516845</t>
  </si>
  <si>
    <t>TXN_2209765</t>
  </si>
  <si>
    <t>TXN_7871362</t>
  </si>
  <si>
    <t>TXN_4886343</t>
  </si>
  <si>
    <t>TXN_3792534</t>
  </si>
  <si>
    <t>TXN_3846992</t>
  </si>
  <si>
    <t>TXN_9755184</t>
  </si>
  <si>
    <t>TXN_8886427</t>
  </si>
  <si>
    <t>TXN_4098785</t>
  </si>
  <si>
    <t>TXN_1068864</t>
  </si>
  <si>
    <t>TXN_5799395</t>
  </si>
  <si>
    <t>TXN_4611823</t>
  </si>
  <si>
    <t>TXN_8576669</t>
  </si>
  <si>
    <t>TXN_7102203</t>
  </si>
  <si>
    <t>TXN_1075229</t>
  </si>
  <si>
    <t>TXN_3422017</t>
  </si>
  <si>
    <t>TXN_7000051</t>
  </si>
  <si>
    <t>TXN_2056215</t>
  </si>
  <si>
    <t>TXN_9534194</t>
  </si>
  <si>
    <t>TXN_2043452</t>
  </si>
  <si>
    <t>TXN_2825406</t>
  </si>
  <si>
    <t>TXN_9847297</t>
  </si>
  <si>
    <t>TXN_1820052</t>
  </si>
  <si>
    <t>TXN_3662714</t>
  </si>
  <si>
    <t>TXN_6141590</t>
  </si>
  <si>
    <t>TXN_4743910</t>
  </si>
  <si>
    <t>TXN_1479443</t>
  </si>
  <si>
    <t>TXN_7075340</t>
  </si>
  <si>
    <t>TXN_1125784</t>
  </si>
  <si>
    <t>TXN_1748782</t>
  </si>
  <si>
    <t>TXN_1550222</t>
  </si>
  <si>
    <t>TXN_8385458</t>
  </si>
  <si>
    <t>TXN_8230533</t>
  </si>
  <si>
    <t>TXN_6213133</t>
  </si>
  <si>
    <t>TXN_4624883</t>
  </si>
  <si>
    <t>TXN_2746895</t>
  </si>
  <si>
    <t>TXN_8655450</t>
  </si>
  <si>
    <t>TXN_9690494</t>
  </si>
  <si>
    <t>TXN_6480679</t>
  </si>
  <si>
    <t>TXN_7706309</t>
  </si>
  <si>
    <t>TXN_8722597</t>
  </si>
  <si>
    <t>TXN_3245407</t>
  </si>
  <si>
    <t>TXN_9807861</t>
  </si>
  <si>
    <t>TXN_4689236</t>
  </si>
  <si>
    <t>TXN_6544317</t>
  </si>
  <si>
    <t>TXN_2229400</t>
  </si>
  <si>
    <t>TXN_5974170</t>
  </si>
  <si>
    <t>TXN_5928216</t>
  </si>
  <si>
    <t>TXN_7132653</t>
  </si>
  <si>
    <t>TXN_5150834</t>
  </si>
  <si>
    <t>TXN_2713911</t>
  </si>
  <si>
    <t>TXN_9273608</t>
  </si>
  <si>
    <t>TXN_7989998</t>
  </si>
  <si>
    <t>TXN_9632054</t>
  </si>
  <si>
    <t>TXN_7182787</t>
  </si>
  <si>
    <t>TXN_8613508</t>
  </si>
  <si>
    <t>TXN_1643393</t>
  </si>
  <si>
    <t>TXN_9791556</t>
  </si>
  <si>
    <t>TXN_6129356</t>
  </si>
  <si>
    <t>TXN_4169051</t>
  </si>
  <si>
    <t>TXN_9325414</t>
  </si>
  <si>
    <t>TXN_4584080</t>
  </si>
  <si>
    <t>TXN_1003940</t>
  </si>
  <si>
    <t>TXN_7216595</t>
  </si>
  <si>
    <t>TXN_1499023</t>
  </si>
  <si>
    <t>TXN_3320709</t>
  </si>
  <si>
    <t>TXN_5091544</t>
  </si>
  <si>
    <t>TXN_4562537</t>
  </si>
  <si>
    <t>TXN_3442651</t>
  </si>
  <si>
    <t>TXN_9831254</t>
  </si>
  <si>
    <t>TXN_3108062</t>
  </si>
  <si>
    <t>TXN_1082353</t>
  </si>
  <si>
    <t>TXN_1113295</t>
  </si>
  <si>
    <t>TXN_7506005</t>
  </si>
  <si>
    <t>TXN_3282392</t>
  </si>
  <si>
    <t>TXN_5204789</t>
  </si>
  <si>
    <t>TXN_9897293</t>
  </si>
  <si>
    <t>TXN_5942806</t>
  </si>
  <si>
    <t>TXN_4023955</t>
  </si>
  <si>
    <t>TXN_6038542</t>
  </si>
  <si>
    <t>TXN_6928167</t>
  </si>
  <si>
    <t>TXN_6429820</t>
  </si>
  <si>
    <t>TXN_4690086</t>
  </si>
  <si>
    <t>TXN_4900137</t>
  </si>
  <si>
    <t>TXN_2766289</t>
  </si>
  <si>
    <t>TXN_2558306</t>
  </si>
  <si>
    <t>TXN_6750796</t>
  </si>
  <si>
    <t>TXN_9852381</t>
  </si>
  <si>
    <t>TXN_7471824</t>
  </si>
  <si>
    <t>TXN_8762760</t>
  </si>
  <si>
    <t>TXN_5246412</t>
  </si>
  <si>
    <t>TXN_8055736</t>
  </si>
  <si>
    <t>TXN_8445692</t>
  </si>
  <si>
    <t>TXN_4033083</t>
  </si>
  <si>
    <t>TXN_8987762</t>
  </si>
  <si>
    <t>TXN_2102550</t>
  </si>
  <si>
    <t>TXN_5985666</t>
  </si>
  <si>
    <t>TXN_2585566</t>
  </si>
  <si>
    <t>TXN_9611005</t>
  </si>
  <si>
    <t>TXN_9974657</t>
  </si>
  <si>
    <t>TXN_9717609</t>
  </si>
  <si>
    <t>TXN_8696709</t>
  </si>
  <si>
    <t>TXN_2033155</t>
  </si>
  <si>
    <t>TXN_5171451</t>
  </si>
  <si>
    <t>TXN_6424495</t>
  </si>
  <si>
    <t>TXN_8027800</t>
  </si>
  <si>
    <t>TXN_9576699</t>
  </si>
  <si>
    <t>TXN_6607116</t>
  </si>
  <si>
    <t>TXN_5798687</t>
  </si>
  <si>
    <t>TXN_5993328</t>
  </si>
  <si>
    <t>TXN_7602955</t>
  </si>
  <si>
    <t>TXN_5959676</t>
  </si>
  <si>
    <t>TXN_2479039</t>
  </si>
  <si>
    <t>TXN_4461705</t>
  </si>
  <si>
    <t>TXN_1072609</t>
  </si>
  <si>
    <t>TXN_5613029</t>
  </si>
  <si>
    <t>TXN_1464198</t>
  </si>
  <si>
    <t>TXN_9163687</t>
  </si>
  <si>
    <t>TXN_4090239</t>
  </si>
  <si>
    <t>TXN_8543296</t>
  </si>
  <si>
    <t>TXN_9169456</t>
  </si>
  <si>
    <t>TXN_7234193</t>
  </si>
  <si>
    <t>TXN_1606266</t>
  </si>
  <si>
    <t>TXN_3652625</t>
  </si>
  <si>
    <t>TXN_4002627</t>
  </si>
  <si>
    <t>TXN_8270365</t>
  </si>
  <si>
    <t>TXN_3180157</t>
  </si>
  <si>
    <t>TXN_6439849</t>
  </si>
  <si>
    <t>TXN_1346294</t>
  </si>
  <si>
    <t>TXN_1862637</t>
  </si>
  <si>
    <t>TXN_1051037</t>
  </si>
  <si>
    <t>TXN_4000119</t>
  </si>
  <si>
    <t>TXN_4959669</t>
  </si>
  <si>
    <t>TXN_7218006</t>
  </si>
  <si>
    <t>TXN_9601873</t>
  </si>
  <si>
    <t>TXN_6430445</t>
  </si>
  <si>
    <t>TXN_1942110</t>
  </si>
  <si>
    <t>TXN_7861272</t>
  </si>
  <si>
    <t>TXN_1043899</t>
  </si>
  <si>
    <t>TXN_6618312</t>
  </si>
  <si>
    <t>TXN_6237980</t>
  </si>
  <si>
    <t>TXN_4674977</t>
  </si>
  <si>
    <t>TXN_9944467</t>
  </si>
  <si>
    <t>TXN_9699376</t>
  </si>
  <si>
    <t>TXN_5740887</t>
  </si>
  <si>
    <t>TXN_8074184</t>
  </si>
  <si>
    <t>TXN_7739400</t>
  </si>
  <si>
    <t>TXN_8617279</t>
  </si>
  <si>
    <t>TXN_5830740</t>
  </si>
  <si>
    <t>TXN_1383780</t>
  </si>
  <si>
    <t>TXN_2558768</t>
  </si>
  <si>
    <t>TXN_9099567</t>
  </si>
  <si>
    <t>TXN_9394458</t>
  </si>
  <si>
    <t>TXN_9567750</t>
  </si>
  <si>
    <t>TXN_7518278</t>
  </si>
  <si>
    <t>TXN_1960454</t>
  </si>
  <si>
    <t>TXN_9474780</t>
  </si>
  <si>
    <t>TXN_3758932</t>
  </si>
  <si>
    <t>TXN_4912510</t>
  </si>
  <si>
    <t>TXN_3876549</t>
  </si>
  <si>
    <t>TXN_8796772</t>
  </si>
  <si>
    <t>TXN_2895764</t>
  </si>
  <si>
    <t>TXN_5308530</t>
  </si>
  <si>
    <t>TXN_5894246</t>
  </si>
  <si>
    <t>TXN_6218723</t>
  </si>
  <si>
    <t>TXN_1413741</t>
  </si>
  <si>
    <t>TXN_2248111</t>
  </si>
  <si>
    <t>TXN_5161441</t>
  </si>
  <si>
    <t>TXN_8133054</t>
  </si>
  <si>
    <t>TXN_5035840</t>
  </si>
  <si>
    <t>TXN_6128965</t>
  </si>
  <si>
    <t>TXN_6193647</t>
  </si>
  <si>
    <t>TXN_9720178</t>
  </si>
  <si>
    <t>TXN_8449935</t>
  </si>
  <si>
    <t>TXN_6754018</t>
  </si>
  <si>
    <t>TXN_5241822</t>
  </si>
  <si>
    <t>TXN_9669469</t>
  </si>
  <si>
    <t>TXN_3598923</t>
  </si>
  <si>
    <t>TXN_9901111</t>
  </si>
  <si>
    <t>TXN_3054311</t>
  </si>
  <si>
    <t>TXN_1278695</t>
  </si>
  <si>
    <t>TXN_8219700</t>
  </si>
  <si>
    <t>TXN_8441709</t>
  </si>
  <si>
    <t>TXN_8889008</t>
  </si>
  <si>
    <t>TXN_2403712</t>
  </si>
  <si>
    <t>TXN_8797238</t>
  </si>
  <si>
    <t>TXN_3568403</t>
  </si>
  <si>
    <t>TXN_6936220</t>
  </si>
  <si>
    <t>TXN_4247005</t>
  </si>
  <si>
    <t>TXN_9655096</t>
  </si>
  <si>
    <t>TXN_4477071</t>
  </si>
  <si>
    <t>TXN_3619820</t>
  </si>
  <si>
    <t>TXN_3541009</t>
  </si>
  <si>
    <t>TXN_4678316</t>
  </si>
  <si>
    <t>TXN_1016292</t>
  </si>
  <si>
    <t>TXN_5389562</t>
  </si>
  <si>
    <t>TXN_9397079</t>
  </si>
  <si>
    <t>TXN_4864042</t>
  </si>
  <si>
    <t>TXN_5449031</t>
  </si>
  <si>
    <t>TXN_8653248</t>
  </si>
  <si>
    <t>TXN_8751139</t>
  </si>
  <si>
    <t>TXN_7016337</t>
  </si>
  <si>
    <t>TXN_6850372</t>
  </si>
  <si>
    <t>TXN_1851428</t>
  </si>
  <si>
    <t>TXN_8090236</t>
  </si>
  <si>
    <t>TXN_9422597</t>
  </si>
  <si>
    <t>TXN_8564216</t>
  </si>
  <si>
    <t>TXN_6013565</t>
  </si>
  <si>
    <t>TXN_7799651</t>
  </si>
  <si>
    <t>TXN_7502019</t>
  </si>
  <si>
    <t>TXN_2328288</t>
  </si>
  <si>
    <t>TXN_1384868</t>
  </si>
  <si>
    <t>TXN_9164663</t>
  </si>
  <si>
    <t>TXN_6492555</t>
  </si>
  <si>
    <t>TXN_2988794</t>
  </si>
  <si>
    <t>TXN_2071777</t>
  </si>
  <si>
    <t>TXN_8996671</t>
  </si>
  <si>
    <t>TXN_8285743</t>
  </si>
  <si>
    <t>TXN_3430293</t>
  </si>
  <si>
    <t>TXN_7765690</t>
  </si>
  <si>
    <t>TXN_8790118</t>
  </si>
  <si>
    <t>TXN_2752036</t>
  </si>
  <si>
    <t>TXN_2777924</t>
  </si>
  <si>
    <t>TXN_5890815</t>
  </si>
  <si>
    <t>TXN_1395838</t>
  </si>
  <si>
    <t>TXN_1156632</t>
  </si>
  <si>
    <t>TXN_4274237</t>
  </si>
  <si>
    <t>TXN_1188935</t>
  </si>
  <si>
    <t>TXN_4407953</t>
  </si>
  <si>
    <t>TXN_4918465</t>
  </si>
  <si>
    <t>TXN_5987428</t>
  </si>
  <si>
    <t>TXN_1877576</t>
  </si>
  <si>
    <t>TXN_5602350</t>
  </si>
  <si>
    <t>TXN_6801032</t>
  </si>
  <si>
    <t>TXN_2896400</t>
  </si>
  <si>
    <t>TXN_5928099</t>
  </si>
  <si>
    <t>TXN_3294780</t>
  </si>
  <si>
    <t>TXN_4853688</t>
  </si>
  <si>
    <t>TXN_5832757</t>
  </si>
  <si>
    <t>TXN_1102582</t>
  </si>
  <si>
    <t>TXN_2855409</t>
  </si>
  <si>
    <t>TXN_9210011</t>
  </si>
  <si>
    <t>TXN_7459774</t>
  </si>
  <si>
    <t>TXN_3506491</t>
  </si>
  <si>
    <t>TXN_9920471</t>
  </si>
  <si>
    <t>TXN_1118794</t>
  </si>
  <si>
    <t>TXN_8111105</t>
  </si>
  <si>
    <t>TXN_5042193</t>
  </si>
  <si>
    <t>TXN_9556376</t>
  </si>
  <si>
    <t>TXN_2260801</t>
  </si>
  <si>
    <t>TXN_2919179</t>
  </si>
  <si>
    <t>TXN_6377971</t>
  </si>
  <si>
    <t>TXN_9753366</t>
  </si>
  <si>
    <t>TXN_3604299</t>
  </si>
  <si>
    <t>TXN_4685476</t>
  </si>
  <si>
    <t>TXN_2937151</t>
  </si>
  <si>
    <t>TXN_7484072</t>
  </si>
  <si>
    <t>TXN_2340343</t>
  </si>
  <si>
    <t>TXN_9373460</t>
  </si>
  <si>
    <t>TXN_6627221</t>
  </si>
  <si>
    <t>TXN_3271634</t>
  </si>
  <si>
    <t>TXN_1434202</t>
  </si>
  <si>
    <t>TXN_9743446</t>
  </si>
  <si>
    <t>TXN_7239201</t>
  </si>
  <si>
    <t>TXN_6295698</t>
  </si>
  <si>
    <t>TXN_5604451</t>
  </si>
  <si>
    <t>TXN_6972612</t>
  </si>
  <si>
    <t>TXN_6960333</t>
  </si>
  <si>
    <t>TXN_5394856</t>
  </si>
  <si>
    <t>TXN_1712895</t>
  </si>
  <si>
    <t>TXN_6298574</t>
  </si>
  <si>
    <t>TXN_4890318</t>
  </si>
  <si>
    <t>TXN_2318174</t>
  </si>
  <si>
    <t>TXN_4009414</t>
  </si>
  <si>
    <t>TXN_5167298</t>
  </si>
  <si>
    <t>ADD</t>
  </si>
  <si>
    <t>SUBTRACT</t>
  </si>
  <si>
    <t>MULTIPLICATION</t>
  </si>
  <si>
    <t>DIVISION</t>
  </si>
  <si>
    <t>SUM</t>
  </si>
  <si>
    <t>MEAN(AVERAGE)</t>
  </si>
  <si>
    <t>MEDIAN</t>
  </si>
  <si>
    <t>COUNT</t>
  </si>
  <si>
    <t>COUNTA</t>
  </si>
  <si>
    <t>MIN</t>
  </si>
  <si>
    <t>MAX</t>
  </si>
  <si>
    <t>IF</t>
  </si>
  <si>
    <t>CONCAT</t>
  </si>
  <si>
    <t>LEN</t>
  </si>
  <si>
    <t>TRIM</t>
  </si>
  <si>
    <t>LOWER</t>
  </si>
  <si>
    <t>PROPER</t>
  </si>
  <si>
    <t>SUMIF</t>
  </si>
  <si>
    <t>COUNTIF</t>
  </si>
  <si>
    <t>AVERAGEIF</t>
  </si>
  <si>
    <t>SUMIFS</t>
  </si>
  <si>
    <t>LEFT</t>
  </si>
  <si>
    <t>RIGHT</t>
  </si>
  <si>
    <t>MID</t>
  </si>
  <si>
    <t>ROUND</t>
  </si>
  <si>
    <t>TODAY/NOW</t>
  </si>
  <si>
    <t>DATE TO TEXT</t>
  </si>
  <si>
    <t>UNIQUE</t>
  </si>
  <si>
    <t>TRANSPOSE</t>
  </si>
  <si>
    <t>UPPER</t>
  </si>
  <si>
    <t>Row Labels</t>
  </si>
  <si>
    <t>Grand Total</t>
  </si>
  <si>
    <t>Sum of Total Spent</t>
  </si>
  <si>
    <t>Sum of Quantity</t>
  </si>
  <si>
    <t>Sum of Price Per Unit</t>
  </si>
  <si>
    <t>2022</t>
  </si>
  <si>
    <t>2023</t>
  </si>
  <si>
    <t>2024</t>
  </si>
  <si>
    <t>2025</t>
  </si>
  <si>
    <t>Count of Transaction ID</t>
  </si>
  <si>
    <t xml:space="preserve">Top category </t>
  </si>
  <si>
    <t>Milk product: 12.93%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</si>
</sst>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2"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4" formatCode="0.00%"/>
    </dxf>
    <dxf>
      <numFmt numFmtId="166" formatCode="0.0%"/>
    </dxf>
    <dxf>
      <numFmt numFmtId="13" formatCode="0%"/>
    </dxf>
    <dxf>
      <numFmt numFmtId="14" formatCode="0.00%"/>
    </dxf>
    <dxf>
      <numFmt numFmtId="13" formatCode="0%"/>
    </dxf>
    <dxf>
      <numFmt numFmtId="13" formatCode="0%"/>
    </dxf>
    <dxf>
      <numFmt numFmtId="13" formatCode="0%"/>
    </dxf>
    <dxf>
      <numFmt numFmtId="19" formatCode="dd/mm/yyyy"/>
    </dxf>
    <dxf>
      <numFmt numFmtId="164" formatCode="&quot;$&quot;#,##0"/>
    </dxf>
    <dxf>
      <numFmt numFmtId="1" formatCode="0"/>
    </dxf>
    <dxf>
      <numFmt numFmtId="164" formatCode="&quot;$&quot;#,##0"/>
    </dxf>
  </dxfs>
  <tableStyles count="1" defaultTableStyle="TableStyleMedium2" defaultPivotStyle="PivotStyleLight16">
    <tableStyle name="Invisible" pivot="0" table="0" count="0" xr9:uid="{F3309AB7-5444-4F35-AF39-BBDED6E7C16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[retail_store_clean.xlsx]Sheet4!PivotTable3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kern="1200" spc="0" baseline="0">
                <a:solidFill>
                  <a:sysClr val="windowText" lastClr="000000"/>
                </a:solidFill>
              </a:rPr>
              <a:t> Total price per unit by payment method</a:t>
            </a:r>
          </a:p>
        </c:rich>
      </c:tx>
      <c:layout>
        <c:manualLayout>
          <c:xMode val="edge"/>
          <c:yMode val="edge"/>
          <c:x val="0.10522336769759451"/>
          <c:y val="3.4934497816593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2"/>
            </a:solidFill>
            <a:ln>
              <a:noFill/>
            </a:ln>
            <a:effectLst/>
          </c:spPr>
          <c:invertIfNegative val="0"/>
          <c:cat>
            <c:strRef>
              <c:f>Sheet4!$A$4:$A$7</c:f>
              <c:strCache>
                <c:ptCount val="3"/>
                <c:pt idx="0">
                  <c:v>Credit Card</c:v>
                </c:pt>
                <c:pt idx="1">
                  <c:v>Digital Wallet</c:v>
                </c:pt>
                <c:pt idx="2">
                  <c:v>Cash</c:v>
                </c:pt>
              </c:strCache>
            </c:strRef>
          </c:cat>
          <c:val>
            <c:numRef>
              <c:f>Sheet4!$B$4:$B$7</c:f>
              <c:numCache>
                <c:formatCode>"$"#,##0</c:formatCode>
                <c:ptCount val="3"/>
                <c:pt idx="0">
                  <c:v>57920</c:v>
                </c:pt>
                <c:pt idx="1">
                  <c:v>58378.5</c:v>
                </c:pt>
                <c:pt idx="2">
                  <c:v>61269</c:v>
                </c:pt>
              </c:numCache>
            </c:numRef>
          </c:val>
          <c:extLst>
            <c:ext xmlns:c16="http://schemas.microsoft.com/office/drawing/2014/chart" uri="{C3380CC4-5D6E-409C-BE32-E72D297353CC}">
              <c16:uniqueId val="{00000000-F2B0-4092-A9FD-B76817081AB6}"/>
            </c:ext>
          </c:extLst>
        </c:ser>
        <c:dLbls>
          <c:showLegendKey val="0"/>
          <c:showVal val="0"/>
          <c:showCatName val="0"/>
          <c:showSerName val="0"/>
          <c:showPercent val="0"/>
          <c:showBubbleSize val="0"/>
        </c:dLbls>
        <c:gapWidth val="150"/>
        <c:axId val="1316882832"/>
        <c:axId val="1316883312"/>
      </c:barChart>
      <c:catAx>
        <c:axId val="1316882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6883312"/>
        <c:crosses val="autoZero"/>
        <c:auto val="1"/>
        <c:lblAlgn val="ctr"/>
        <c:lblOffset val="100"/>
        <c:noMultiLvlLbl val="0"/>
      </c:catAx>
      <c:valAx>
        <c:axId val="1316883312"/>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1688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[retail_store_clean.xlsx]Sheet5!PivotTable4</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600"/>
              <a:t>Sum of quantity by location</a:t>
            </a:r>
          </a:p>
        </c:rich>
      </c:tx>
      <c:layout>
        <c:manualLayout>
          <c:xMode val="edge"/>
          <c:yMode val="edge"/>
          <c:x val="0.20667541557305336"/>
          <c:y val="3.493449781659388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2"/>
            </a:solidFill>
            <a:ln w="9525" cap="flat" cmpd="sng" algn="ctr">
              <a:solidFill>
                <a:schemeClr val="accent2"/>
              </a:solidFill>
              <a:round/>
            </a:ln>
            <a:effectLst/>
          </c:spPr>
          <c:invertIfNegative val="0"/>
          <c:cat>
            <c:strRef>
              <c:f>Sheet5!$A$4:$A$6</c:f>
              <c:strCache>
                <c:ptCount val="2"/>
                <c:pt idx="0">
                  <c:v>In-store</c:v>
                </c:pt>
                <c:pt idx="1">
                  <c:v>Online</c:v>
                </c:pt>
              </c:strCache>
            </c:strRef>
          </c:cat>
          <c:val>
            <c:numRef>
              <c:f>Sheet5!$B$4:$B$6</c:f>
              <c:numCache>
                <c:formatCode>0</c:formatCode>
                <c:ptCount val="2"/>
                <c:pt idx="0">
                  <c:v>20635</c:v>
                </c:pt>
                <c:pt idx="1">
                  <c:v>21484</c:v>
                </c:pt>
              </c:numCache>
            </c:numRef>
          </c:val>
          <c:extLst>
            <c:ext xmlns:c16="http://schemas.microsoft.com/office/drawing/2014/chart" uri="{C3380CC4-5D6E-409C-BE32-E72D297353CC}">
              <c16:uniqueId val="{00000000-1442-42BC-AAD4-1DFFC0E8CB1C}"/>
            </c:ext>
          </c:extLst>
        </c:ser>
        <c:dLbls>
          <c:showLegendKey val="0"/>
          <c:showVal val="0"/>
          <c:showCatName val="0"/>
          <c:showSerName val="0"/>
          <c:showPercent val="0"/>
          <c:showBubbleSize val="0"/>
        </c:dLbls>
        <c:gapWidth val="65"/>
        <c:axId val="631963792"/>
        <c:axId val="631963312"/>
      </c:barChart>
      <c:catAx>
        <c:axId val="6319637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631963312"/>
        <c:crosses val="autoZero"/>
        <c:auto val="1"/>
        <c:lblAlgn val="ctr"/>
        <c:lblOffset val="100"/>
        <c:noMultiLvlLbl val="0"/>
      </c:catAx>
      <c:valAx>
        <c:axId val="6319633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196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[retail_store_clean.xlsx]Sheet6!PivotTable5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Top</a:t>
            </a:r>
            <a:r>
              <a:rPr lang="en-US" b="1" baseline="0"/>
              <a:t> 5 quantites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2"/>
            </a:solidFill>
            <a:ln>
              <a:noFill/>
            </a:ln>
            <a:effectLst/>
          </c:spPr>
          <c:invertIfNegative val="0"/>
          <c:cat>
            <c:strRef>
              <c:f>Sheet6!$A$4:$A$9</c:f>
              <c:strCache>
                <c:ptCount val="5"/>
                <c:pt idx="0">
                  <c:v>3</c:v>
                </c:pt>
                <c:pt idx="1">
                  <c:v>5</c:v>
                </c:pt>
                <c:pt idx="2">
                  <c:v>8</c:v>
                </c:pt>
                <c:pt idx="3">
                  <c:v>6</c:v>
                </c:pt>
                <c:pt idx="4">
                  <c:v>10</c:v>
                </c:pt>
              </c:strCache>
            </c:strRef>
          </c:cat>
          <c:val>
            <c:numRef>
              <c:f>Sheet6!$B$4:$B$9</c:f>
              <c:numCache>
                <c:formatCode>"$"#,##0</c:formatCode>
                <c:ptCount val="5"/>
                <c:pt idx="0">
                  <c:v>17987.5</c:v>
                </c:pt>
                <c:pt idx="1">
                  <c:v>18238</c:v>
                </c:pt>
                <c:pt idx="2">
                  <c:v>18267.5</c:v>
                </c:pt>
                <c:pt idx="3">
                  <c:v>18595</c:v>
                </c:pt>
                <c:pt idx="4">
                  <c:v>18645.5</c:v>
                </c:pt>
              </c:numCache>
            </c:numRef>
          </c:val>
          <c:extLst>
            <c:ext xmlns:c16="http://schemas.microsoft.com/office/drawing/2014/chart" uri="{C3380CC4-5D6E-409C-BE32-E72D297353CC}">
              <c16:uniqueId val="{00000000-A78A-41DE-967E-74047EE86D0C}"/>
            </c:ext>
          </c:extLst>
        </c:ser>
        <c:dLbls>
          <c:showLegendKey val="0"/>
          <c:showVal val="0"/>
          <c:showCatName val="0"/>
          <c:showSerName val="0"/>
          <c:showPercent val="0"/>
          <c:showBubbleSize val="0"/>
        </c:dLbls>
        <c:gapWidth val="150"/>
        <c:axId val="915222096"/>
        <c:axId val="915219216"/>
      </c:barChart>
      <c:catAx>
        <c:axId val="915222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5219216"/>
        <c:crosses val="autoZero"/>
        <c:auto val="1"/>
        <c:lblAlgn val="ctr"/>
        <c:lblOffset val="100"/>
        <c:noMultiLvlLbl val="0"/>
      </c:catAx>
      <c:valAx>
        <c:axId val="915219216"/>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522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[retail_store_clean.xlsx]pivot table!PivotTable2</c:name>
    <c:fmtId val="3"/>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600"/>
              <a:t>Total spent per category</a:t>
            </a:r>
          </a:p>
        </c:rich>
      </c:tx>
      <c:layout>
        <c:manualLayout>
          <c:xMode val="edge"/>
          <c:yMode val="edge"/>
          <c:x val="0.23122375328083988"/>
          <c:y val="3.292182492329041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solidFill>
              <a:schemeClr val="accent2">
                <a:alpha val="85000"/>
              </a:schemeClr>
            </a:solidFill>
            <a:ln w="9525" cap="flat" cmpd="sng" algn="ctr">
              <a:solidFill>
                <a:schemeClr val="accent2"/>
              </a:solidFill>
              <a:round/>
            </a:ln>
            <a:effectLst/>
          </c:spPr>
          <c:invertIfNegative val="0"/>
          <c:cat>
            <c:strRef>
              <c:f>'pivot table'!$A$3:$A$11</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 table'!$B$3:$B$11</c:f>
              <c:numCache>
                <c:formatCode>"$"#,##0</c:formatCode>
                <c:ptCount val="8"/>
                <c:pt idx="0">
                  <c:v>124513</c:v>
                </c:pt>
                <c:pt idx="1">
                  <c:v>136146.5</c:v>
                </c:pt>
                <c:pt idx="2">
                  <c:v>126621.5</c:v>
                </c:pt>
                <c:pt idx="3">
                  <c:v>124381.5</c:v>
                </c:pt>
                <c:pt idx="4">
                  <c:v>122434.5</c:v>
                </c:pt>
                <c:pt idx="5">
                  <c:v>120756.5</c:v>
                </c:pt>
                <c:pt idx="6">
                  <c:v>116538.5</c:v>
                </c:pt>
                <c:pt idx="7">
                  <c:v>117121</c:v>
                </c:pt>
              </c:numCache>
            </c:numRef>
          </c:val>
          <c:extLst>
            <c:ext xmlns:c16="http://schemas.microsoft.com/office/drawing/2014/chart" uri="{C3380CC4-5D6E-409C-BE32-E72D297353CC}">
              <c16:uniqueId val="{00000000-5237-49C6-B56A-3200F5AD89CC}"/>
            </c:ext>
          </c:extLst>
        </c:ser>
        <c:dLbls>
          <c:showLegendKey val="0"/>
          <c:showVal val="0"/>
          <c:showCatName val="0"/>
          <c:showSerName val="0"/>
          <c:showPercent val="0"/>
          <c:showBubbleSize val="0"/>
        </c:dLbls>
        <c:gapWidth val="65"/>
        <c:axId val="1148557664"/>
        <c:axId val="1148535104"/>
      </c:barChart>
      <c:catAx>
        <c:axId val="1148557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148535104"/>
        <c:crosses val="autoZero"/>
        <c:auto val="1"/>
        <c:lblAlgn val="ctr"/>
        <c:lblOffset val="100"/>
        <c:noMultiLvlLbl val="0"/>
      </c:catAx>
      <c:valAx>
        <c:axId val="114853510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855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[retail_store_clean.xlsx]Sheet4!PivotTable6</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t>Total spent per year</a:t>
            </a:r>
          </a:p>
        </c:rich>
      </c:tx>
      <c:layout>
        <c:manualLayout>
          <c:xMode val="edge"/>
          <c:yMode val="edge"/>
          <c:x val="0.29396871966346672"/>
          <c:y val="4.9149445838920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Sheet4!$B$12</c:f>
              <c:strCache>
                <c:ptCount val="1"/>
                <c:pt idx="0">
                  <c:v>Total</c:v>
                </c:pt>
              </c:strCache>
            </c:strRef>
          </c:tx>
          <c:spPr>
            <a:ln w="28575" cap="rnd">
              <a:solidFill>
                <a:schemeClr val="accent2"/>
              </a:solidFill>
              <a:round/>
            </a:ln>
            <a:effectLst/>
          </c:spPr>
          <c:marker>
            <c:symbol val="none"/>
          </c:marker>
          <c:cat>
            <c:strRef>
              <c:f>Sheet4!$A$13:$A$17</c:f>
              <c:strCache>
                <c:ptCount val="4"/>
                <c:pt idx="0">
                  <c:v>2022</c:v>
                </c:pt>
                <c:pt idx="1">
                  <c:v>2023</c:v>
                </c:pt>
                <c:pt idx="2">
                  <c:v>2024</c:v>
                </c:pt>
                <c:pt idx="3">
                  <c:v>2025</c:v>
                </c:pt>
              </c:strCache>
            </c:strRef>
          </c:cat>
          <c:val>
            <c:numRef>
              <c:f>Sheet4!$B$13:$B$17</c:f>
              <c:numCache>
                <c:formatCode>"$"#,##0</c:formatCode>
                <c:ptCount val="4"/>
                <c:pt idx="0">
                  <c:v>329939</c:v>
                </c:pt>
                <c:pt idx="1">
                  <c:v>303318</c:v>
                </c:pt>
                <c:pt idx="2">
                  <c:v>338900</c:v>
                </c:pt>
                <c:pt idx="3">
                  <c:v>16356</c:v>
                </c:pt>
              </c:numCache>
            </c:numRef>
          </c:val>
          <c:smooth val="0"/>
          <c:extLst>
            <c:ext xmlns:c16="http://schemas.microsoft.com/office/drawing/2014/chart" uri="{C3380CC4-5D6E-409C-BE32-E72D297353CC}">
              <c16:uniqueId val="{00000000-4EE9-4480-86C2-6B78530DA876}"/>
            </c:ext>
          </c:extLst>
        </c:ser>
        <c:dLbls>
          <c:showLegendKey val="0"/>
          <c:showVal val="0"/>
          <c:showCatName val="0"/>
          <c:showSerName val="0"/>
          <c:showPercent val="0"/>
          <c:showBubbleSize val="0"/>
        </c:dLbls>
        <c:smooth val="0"/>
        <c:axId val="237857775"/>
        <c:axId val="237856335"/>
      </c:lineChart>
      <c:catAx>
        <c:axId val="23785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7856335"/>
        <c:crosses val="autoZero"/>
        <c:auto val="1"/>
        <c:lblAlgn val="ctr"/>
        <c:lblOffset val="100"/>
        <c:noMultiLvlLbl val="0"/>
      </c:catAx>
      <c:valAx>
        <c:axId val="23785633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78577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[retail_store_clean.xlsx]Sheet4!PivotTable7</c:name>
    <c:fmtId val="1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t>Total spent by payment method</a:t>
            </a:r>
          </a:p>
        </c:rich>
      </c:tx>
      <c:layout>
        <c:manualLayout>
          <c:xMode val="edge"/>
          <c:yMode val="edge"/>
          <c:x val="8.9155313351498636E-2"/>
          <c:y val="5.23541561553301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lumMod val="20000"/>
              <a:lumOff val="80000"/>
            </a:schemeClr>
          </a:solidFill>
          <a:ln w="19050">
            <a:solidFill>
              <a:schemeClr val="lt1"/>
            </a:solidFill>
          </a:ln>
          <a:effectLst/>
        </c:spPr>
      </c:pivotFmt>
    </c:pivotFmts>
    <c:plotArea>
      <c:layout/>
      <c:pieChart>
        <c:varyColors val="1"/>
        <c:ser>
          <c:idx val="0"/>
          <c:order val="0"/>
          <c:tx>
            <c:strRef>
              <c:f>Sheet4!$E$4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CC7F-4ECB-BCD4-D853BE6873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7F-4ECB-BCD4-D853BE687325}"/>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CC7F-4ECB-BCD4-D853BE68732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Sheet4!$D$5:$D$8</c:f>
              <c:strCache>
                <c:ptCount val="3"/>
                <c:pt idx="0">
                  <c:v>Cash</c:v>
                </c:pt>
                <c:pt idx="1">
                  <c:v>Credit Card</c:v>
                </c:pt>
                <c:pt idx="2">
                  <c:v>Digital Wallet</c:v>
                </c:pt>
              </c:strCache>
            </c:strRef>
          </c:cat>
          <c:val>
            <c:numRef>
              <c:f>Sheet4!$E$5:$E$8</c:f>
              <c:numCache>
                <c:formatCode>0%</c:formatCode>
                <c:ptCount val="3"/>
                <c:pt idx="0">
                  <c:v>0.34776730300967212</c:v>
                </c:pt>
                <c:pt idx="1">
                  <c:v>0.32778071709729667</c:v>
                </c:pt>
                <c:pt idx="2">
                  <c:v>0.32445197989303126</c:v>
                </c:pt>
              </c:numCache>
            </c:numRef>
          </c:val>
          <c:extLst>
            <c:ext xmlns:c16="http://schemas.microsoft.com/office/drawing/2014/chart" uri="{C3380CC4-5D6E-409C-BE32-E72D297353CC}">
              <c16:uniqueId val="{00000006-CC7F-4ECB-BCD4-D853BE6873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47625</xdr:rowOff>
    </xdr:from>
    <xdr:to>
      <xdr:col>6</xdr:col>
      <xdr:colOff>38100</xdr:colOff>
      <xdr:row>15</xdr:row>
      <xdr:rowOff>133350</xdr:rowOff>
    </xdr:to>
    <xdr:graphicFrame macro="">
      <xdr:nvGraphicFramePr>
        <xdr:cNvPr id="2" name="Chart 1">
          <a:extLst>
            <a:ext uri="{FF2B5EF4-FFF2-40B4-BE49-F238E27FC236}">
              <a16:creationId xmlns:a16="http://schemas.microsoft.com/office/drawing/2014/main" id="{3B9E46F9-24E4-4FA4-9CAC-D92E8BF05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523875</xdr:colOff>
      <xdr:row>4</xdr:row>
      <xdr:rowOff>47624</xdr:rowOff>
    </xdr:from>
    <xdr:to>
      <xdr:col>17</xdr:col>
      <xdr:colOff>409575</xdr:colOff>
      <xdr:row>15</xdr:row>
      <xdr:rowOff>133349</xdr:rowOff>
    </xdr:to>
    <xdr:graphicFrame macro="">
      <xdr:nvGraphicFramePr>
        <xdr:cNvPr id="3" name="Chart 2">
          <a:extLst>
            <a:ext uri="{FF2B5EF4-FFF2-40B4-BE49-F238E27FC236}">
              <a16:creationId xmlns:a16="http://schemas.microsoft.com/office/drawing/2014/main" id="{13B70118-6530-4658-AAAA-E4E171361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514350</xdr:colOff>
      <xdr:row>15</xdr:row>
      <xdr:rowOff>152399</xdr:rowOff>
    </xdr:from>
    <xdr:to>
      <xdr:col>17</xdr:col>
      <xdr:colOff>447675</xdr:colOff>
      <xdr:row>27</xdr:row>
      <xdr:rowOff>171450</xdr:rowOff>
    </xdr:to>
    <xdr:graphicFrame macro="">
      <xdr:nvGraphicFramePr>
        <xdr:cNvPr id="4" name="Chart 3">
          <a:extLst>
            <a:ext uri="{FF2B5EF4-FFF2-40B4-BE49-F238E27FC236}">
              <a16:creationId xmlns:a16="http://schemas.microsoft.com/office/drawing/2014/main" id="{1023B14A-961E-4198-A21B-99090DBD9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15</xdr:row>
      <xdr:rowOff>142876</xdr:rowOff>
    </xdr:from>
    <xdr:to>
      <xdr:col>6</xdr:col>
      <xdr:colOff>9525</xdr:colOff>
      <xdr:row>27</xdr:row>
      <xdr:rowOff>171450</xdr:rowOff>
    </xdr:to>
    <xdr:graphicFrame macro="">
      <xdr:nvGraphicFramePr>
        <xdr:cNvPr id="5" name="Chart 4">
          <a:extLst>
            <a:ext uri="{FF2B5EF4-FFF2-40B4-BE49-F238E27FC236}">
              <a16:creationId xmlns:a16="http://schemas.microsoft.com/office/drawing/2014/main" id="{B784E6C9-A86D-4C0A-98CE-D5F3D7FF3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419100</xdr:colOff>
      <xdr:row>3</xdr:row>
      <xdr:rowOff>180975</xdr:rowOff>
    </xdr:from>
    <xdr:to>
      <xdr:col>19</xdr:col>
      <xdr:colOff>561975</xdr:colOff>
      <xdr:row>9</xdr:row>
      <xdr:rowOff>0</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74652646-31C2-FE4A-B4AD-16DA962133A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782300" y="752475"/>
              <a:ext cx="136207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450851</xdr:colOff>
      <xdr:row>16</xdr:row>
      <xdr:rowOff>38100</xdr:rowOff>
    </xdr:from>
    <xdr:to>
      <xdr:col>20</xdr:col>
      <xdr:colOff>12701</xdr:colOff>
      <xdr:row>21</xdr:row>
      <xdr:rowOff>19050</xdr:rowOff>
    </xdr:to>
    <mc:AlternateContent xmlns:mc="http://schemas.openxmlformats.org/markup-compatibility/2006" xmlns:a14="http://schemas.microsoft.com/office/drawing/2010/main">
      <mc:Choice Requires="a14">
        <xdr:graphicFrame macro="">
          <xdr:nvGraphicFramePr>
            <xdr:cNvPr id="8" name="Discount Applied">
              <a:extLst>
                <a:ext uri="{FF2B5EF4-FFF2-40B4-BE49-F238E27FC236}">
                  <a16:creationId xmlns:a16="http://schemas.microsoft.com/office/drawing/2014/main" id="{9334DD6C-1D3B-1BD6-A9EE-5C07FB888C89}"/>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mlns="">
        <xdr:sp macro="" textlink="">
          <xdr:nvSpPr>
            <xdr:cNvPr id="0" name=""/>
            <xdr:cNvSpPr>
              <a:spLocks noTextEdit="1"/>
            </xdr:cNvSpPr>
          </xdr:nvSpPr>
          <xdr:spPr>
            <a:xfrm>
              <a:off x="10814051" y="3086100"/>
              <a:ext cx="139065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76200</xdr:colOff>
      <xdr:row>4</xdr:row>
      <xdr:rowOff>47624</xdr:rowOff>
    </xdr:from>
    <xdr:to>
      <xdr:col>11</xdr:col>
      <xdr:colOff>504825</xdr:colOff>
      <xdr:row>15</xdr:row>
      <xdr:rowOff>133349</xdr:rowOff>
    </xdr:to>
    <xdr:graphicFrame macro="">
      <xdr:nvGraphicFramePr>
        <xdr:cNvPr id="9" name="Chart 8">
          <a:extLst>
            <a:ext uri="{FF2B5EF4-FFF2-40B4-BE49-F238E27FC236}">
              <a16:creationId xmlns:a16="http://schemas.microsoft.com/office/drawing/2014/main" id="{91580134-8742-4464-9DDA-A8F2E6A09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447675</xdr:colOff>
      <xdr:row>9</xdr:row>
      <xdr:rowOff>114300</xdr:rowOff>
    </xdr:from>
    <xdr:to>
      <xdr:col>20</xdr:col>
      <xdr:colOff>0</xdr:colOff>
      <xdr:row>16</xdr:row>
      <xdr:rowOff>28575</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C9757D3E-E35A-E6DD-4476-4E9771EFB5A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810875" y="1828800"/>
              <a:ext cx="1381125"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47625</xdr:colOff>
      <xdr:row>15</xdr:row>
      <xdr:rowOff>142874</xdr:rowOff>
    </xdr:from>
    <xdr:to>
      <xdr:col>11</xdr:col>
      <xdr:colOff>495300</xdr:colOff>
      <xdr:row>27</xdr:row>
      <xdr:rowOff>161925</xdr:rowOff>
    </xdr:to>
    <xdr:graphicFrame macro="">
      <xdr:nvGraphicFramePr>
        <xdr:cNvPr id="11" name="Chart 10">
          <a:extLst>
            <a:ext uri="{FF2B5EF4-FFF2-40B4-BE49-F238E27FC236}">
              <a16:creationId xmlns:a16="http://schemas.microsoft.com/office/drawing/2014/main" id="{0B99341A-9287-4F3B-9D60-2D46E1B98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xdr:colOff>
      <xdr:row>0</xdr:row>
      <xdr:rowOff>66675</xdr:rowOff>
    </xdr:from>
    <xdr:to>
      <xdr:col>19</xdr:col>
      <xdr:colOff>581025</xdr:colOff>
      <xdr:row>4</xdr:row>
      <xdr:rowOff>47625</xdr:rowOff>
    </xdr:to>
    <xdr:sp macro="" textlink="">
      <xdr:nvSpPr>
        <xdr:cNvPr id="12" name="Rectangle 11">
          <a:extLst>
            <a:ext uri="{FF2B5EF4-FFF2-40B4-BE49-F238E27FC236}">
              <a16:creationId xmlns:a16="http://schemas.microsoft.com/office/drawing/2014/main" id="{0FBBE49D-2CDE-CCC9-8E49-656F39DC16EF}"/>
            </a:ext>
          </a:extLst>
        </xdr:cNvPr>
        <xdr:cNvSpPr/>
      </xdr:nvSpPr>
      <xdr:spPr>
        <a:xfrm>
          <a:off x="19050" y="66675"/>
          <a:ext cx="12144375" cy="742950"/>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800" b="1"/>
            <a:t>          Retail Stores</a:t>
          </a:r>
          <a:r>
            <a:rPr lang="en-US" sz="3800" b="1" baseline="0"/>
            <a:t> Sales Dashboarda</a:t>
          </a:r>
          <a:endParaRPr lang="en-US" sz="3800" b="1"/>
        </a:p>
      </xdr:txBody>
    </xdr:sp>
    <xdr:clientData/>
  </xdr:twoCellAnchor>
  <xdr:twoCellAnchor>
    <xdr:from>
      <xdr:col>0</xdr:col>
      <xdr:colOff>123825</xdr:colOff>
      <xdr:row>0</xdr:row>
      <xdr:rowOff>142875</xdr:rowOff>
    </xdr:from>
    <xdr:to>
      <xdr:col>1</xdr:col>
      <xdr:colOff>190500</xdr:colOff>
      <xdr:row>3</xdr:row>
      <xdr:rowOff>156689</xdr:rowOff>
    </xdr:to>
    <xdr:pic>
      <xdr:nvPicPr>
        <xdr:cNvPr id="14" name="Picture 13">
          <a:extLst>
            <a:ext uri="{FF2B5EF4-FFF2-40B4-BE49-F238E27FC236}">
              <a16:creationId xmlns:a16="http://schemas.microsoft.com/office/drawing/2014/main" id="{01296253-E8FC-4BC6-955D-DF39FF6F2F5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825" y="142875"/>
          <a:ext cx="676275" cy="585314"/>
        </a:xfrm>
        <a:prstGeom prst="rect">
          <a:avLst/>
        </a:prstGeom>
      </xdr:spPr>
    </xdr:pic>
    <xdr:clientData/>
  </xdr:twoCellAnchor>
  <xdr:twoCellAnchor>
    <xdr:from>
      <xdr:col>11</xdr:col>
      <xdr:colOff>400049</xdr:colOff>
      <xdr:row>0</xdr:row>
      <xdr:rowOff>133351</xdr:rowOff>
    </xdr:from>
    <xdr:to>
      <xdr:col>14</xdr:col>
      <xdr:colOff>104775</xdr:colOff>
      <xdr:row>4</xdr:row>
      <xdr:rowOff>9525</xdr:rowOff>
    </xdr:to>
    <xdr:sp macro="" textlink="formulas!C7">
      <xdr:nvSpPr>
        <xdr:cNvPr id="15" name="Rectangle: Rounded Corners 14">
          <a:extLst>
            <a:ext uri="{FF2B5EF4-FFF2-40B4-BE49-F238E27FC236}">
              <a16:creationId xmlns:a16="http://schemas.microsoft.com/office/drawing/2014/main" id="{91B3E36D-65B1-3895-BED8-B3E81F8A197B}"/>
            </a:ext>
          </a:extLst>
        </xdr:cNvPr>
        <xdr:cNvSpPr/>
      </xdr:nvSpPr>
      <xdr:spPr>
        <a:xfrm>
          <a:off x="7105649" y="133351"/>
          <a:ext cx="1533526" cy="638174"/>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baseline="0">
              <a:solidFill>
                <a:srgbClr val="000000"/>
              </a:solidFill>
              <a:latin typeface="Aptos Narrow"/>
            </a:rPr>
            <a:t>Total Revenue</a:t>
          </a:r>
        </a:p>
        <a:p>
          <a:pPr algn="ctr"/>
          <a:fld id="{12953784-F4B8-4BFE-B262-94DB39BF8E1F}" type="TxLink">
            <a:rPr lang="en-US" sz="1400" b="1" i="0" u="none" strike="noStrike" baseline="0">
              <a:solidFill>
                <a:srgbClr val="000000"/>
              </a:solidFill>
              <a:latin typeface="Aptos Narrow"/>
            </a:rPr>
            <a:pPr algn="ctr"/>
            <a:t>$988,513</a:t>
          </a:fld>
          <a:endParaRPr lang="en-US" sz="1400" b="1" baseline="0">
            <a:solidFill>
              <a:sysClr val="windowText" lastClr="000000"/>
            </a:solidFill>
          </a:endParaRPr>
        </a:p>
      </xdr:txBody>
    </xdr:sp>
    <xdr:clientData/>
  </xdr:twoCellAnchor>
  <xdr:twoCellAnchor>
    <xdr:from>
      <xdr:col>14</xdr:col>
      <xdr:colOff>190498</xdr:colOff>
      <xdr:row>0</xdr:row>
      <xdr:rowOff>133349</xdr:rowOff>
    </xdr:from>
    <xdr:to>
      <xdr:col>16</xdr:col>
      <xdr:colOff>609599</xdr:colOff>
      <xdr:row>4</xdr:row>
      <xdr:rowOff>9524</xdr:rowOff>
    </xdr:to>
    <xdr:sp macro="" textlink="formulas!C10">
      <xdr:nvSpPr>
        <xdr:cNvPr id="16" name="Rectangle: Rounded Corners 15">
          <a:extLst>
            <a:ext uri="{FF2B5EF4-FFF2-40B4-BE49-F238E27FC236}">
              <a16:creationId xmlns:a16="http://schemas.microsoft.com/office/drawing/2014/main" id="{3FF77457-343F-4279-F7DE-504C28E549F8}"/>
            </a:ext>
          </a:extLst>
        </xdr:cNvPr>
        <xdr:cNvSpPr/>
      </xdr:nvSpPr>
      <xdr:spPr>
        <a:xfrm>
          <a:off x="8724898" y="133349"/>
          <a:ext cx="1638301" cy="638175"/>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rgbClr val="000000"/>
              </a:solidFill>
              <a:latin typeface="Aptos Narrow"/>
            </a:rPr>
            <a:t>Total</a:t>
          </a:r>
          <a:r>
            <a:rPr lang="en-US" sz="1400" b="1" i="0" u="none" strike="noStrike" baseline="0">
              <a:solidFill>
                <a:srgbClr val="000000"/>
              </a:solidFill>
              <a:latin typeface="Aptos Narrow"/>
            </a:rPr>
            <a:t> Transaction</a:t>
          </a:r>
        </a:p>
        <a:p>
          <a:pPr algn="ctr"/>
          <a:fld id="{9AD3DC31-0801-4B5E-8B63-006A51F18F8A}" type="TxLink">
            <a:rPr lang="en-US" sz="1400" b="1" i="0" u="none" strike="noStrike">
              <a:solidFill>
                <a:srgbClr val="000000"/>
              </a:solidFill>
              <a:latin typeface="Aptos Narrow"/>
            </a:rPr>
            <a:pPr algn="ctr"/>
            <a:t>7579</a:t>
          </a:fld>
          <a:endParaRPr lang="en-US" sz="1400" b="1">
            <a:solidFill>
              <a:sysClr val="windowText" lastClr="000000"/>
            </a:solidFill>
          </a:endParaRPr>
        </a:p>
      </xdr:txBody>
    </xdr:sp>
    <xdr:clientData/>
  </xdr:twoCellAnchor>
  <xdr:twoCellAnchor>
    <xdr:from>
      <xdr:col>17</xdr:col>
      <xdr:colOff>85724</xdr:colOff>
      <xdr:row>0</xdr:row>
      <xdr:rowOff>123824</xdr:rowOff>
    </xdr:from>
    <xdr:to>
      <xdr:col>19</xdr:col>
      <xdr:colOff>533400</xdr:colOff>
      <xdr:row>3</xdr:row>
      <xdr:rowOff>190499</xdr:rowOff>
    </xdr:to>
    <xdr:sp macro="" textlink="Sheet4!H15">
      <xdr:nvSpPr>
        <xdr:cNvPr id="20" name="Rectangle: Rounded Corners 19">
          <a:extLst>
            <a:ext uri="{FF2B5EF4-FFF2-40B4-BE49-F238E27FC236}">
              <a16:creationId xmlns:a16="http://schemas.microsoft.com/office/drawing/2014/main" id="{928A83B2-4931-147B-5952-86B7E7C589C6}"/>
            </a:ext>
          </a:extLst>
        </xdr:cNvPr>
        <xdr:cNvSpPr/>
      </xdr:nvSpPr>
      <xdr:spPr>
        <a:xfrm>
          <a:off x="10448924" y="123824"/>
          <a:ext cx="1666876" cy="638175"/>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rgbClr val="000000"/>
              </a:solidFill>
              <a:latin typeface="Aptos Narrow"/>
            </a:rPr>
            <a:t>Top</a:t>
          </a:r>
          <a:r>
            <a:rPr lang="en-US" sz="1600" b="1" i="0" u="none" strike="noStrike" baseline="0">
              <a:solidFill>
                <a:srgbClr val="000000"/>
              </a:solidFill>
              <a:latin typeface="Aptos Narrow"/>
            </a:rPr>
            <a:t> category %</a:t>
          </a:r>
        </a:p>
        <a:p>
          <a:pPr algn="l"/>
          <a:fld id="{B30B09B9-783A-48F9-BB6A-2C64082F2732}" type="TxLink">
            <a:rPr lang="en-US" sz="1200" b="1" i="0" u="none" strike="noStrike">
              <a:solidFill>
                <a:srgbClr val="000000"/>
              </a:solidFill>
              <a:latin typeface="Aptos Narrow"/>
            </a:rPr>
            <a:pPr algn="l"/>
            <a:t>Milk product: 12.93%</a:t>
          </a:fld>
          <a:endParaRPr lang="en-US" sz="1200" b="1"/>
        </a:p>
      </xdr:txBody>
    </xdr:sp>
    <xdr:clientData/>
  </xdr:twoCellAnchor>
  <xdr:twoCellAnchor>
    <xdr:from>
      <xdr:col>17</xdr:col>
      <xdr:colOff>466725</xdr:colOff>
      <xdr:row>21</xdr:row>
      <xdr:rowOff>66675</xdr:rowOff>
    </xdr:from>
    <xdr:to>
      <xdr:col>20</xdr:col>
      <xdr:colOff>66675</xdr:colOff>
      <xdr:row>28</xdr:row>
      <xdr:rowOff>19050</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91538F87-9F80-4C7A-4DE2-9E652241BA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29925" y="4067175"/>
              <a:ext cx="142875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rence Olorunda" refreshedDate="46130.695537037034" createdVersion="8" refreshedVersion="8" minRefreshableVersion="3" recordCount="7579" xr:uid="{F9BC80F2-E587-4101-9CB0-7CD8CCD7CF86}">
  <cacheSource type="worksheet">
    <worksheetSource name="Table1"/>
  </cacheSource>
  <cacheFields count="19">
    <cacheField name="Transaction ID" numFmtId="0">
      <sharedItems/>
    </cacheField>
    <cacheField name="Customer ID" numFmtId="0">
      <sharedItems/>
    </cacheField>
    <cacheField name="Category" numFmtId="0">
      <sharedItems count="8">
        <s v="Milk Products"/>
        <s v="Beverages"/>
        <s v="Furniture"/>
        <s v="Butchers"/>
        <s v="Food"/>
        <s v="Electric household essentials"/>
        <s v="Computers and electric accessories"/>
        <s v="Patisserie"/>
      </sharedItems>
    </cacheField>
    <cacheField name="Item" numFmtId="0">
      <sharedItems count="200">
        <s v="Item_25_MILK"/>
        <s v="Item_25_BEV"/>
        <s v="Item_25_FUR"/>
        <s v="Item_25_BUT"/>
        <s v="Item_25_FOOD"/>
        <s v="Item_25_EHE"/>
        <s v="Item_25_CEA"/>
        <s v="Item_25_PAT"/>
        <s v="Item_24_BEV"/>
        <s v="Item_24_FUR"/>
        <s v="Item_24_PAT"/>
        <s v="Item_24_FOOD"/>
        <s v="Item_24_BUT"/>
        <s v="Item_24_EHE"/>
        <s v="Item_24_MILK"/>
        <s v="Item_23_EHE"/>
        <s v="Item_23_BUT"/>
        <s v="Item_23_MILK"/>
        <s v="Item_23_CEA"/>
        <s v="Item_23_BEV"/>
        <s v="Item_23_FUR"/>
        <s v="Item_23_PAT"/>
        <s v="Item_23_FOOD"/>
        <s v="Item_22_FUR"/>
        <s v="Item_22_BUT"/>
        <s v="Item_22_MILK"/>
        <s v="Item_22_CEA"/>
        <s v="Item_22_FOOD"/>
        <s v="Item_22_EHE"/>
        <s v="Item_22_BEV"/>
        <s v="Item_22_PAT"/>
        <s v="Item_21_MILK"/>
        <s v="Item_21_FUR"/>
        <s v="Item_21_CEA"/>
        <s v="Item_21_BEV"/>
        <s v="Item_21_EHE"/>
        <s v="Item_21_FOOD"/>
        <s v="Item_20_BEV"/>
        <s v="Item_20_EHE"/>
        <s v="Item_20_FUR"/>
        <s v="Item_20_MILK"/>
        <s v="Item_20_BUT"/>
        <s v="Item_20_FOOD"/>
        <s v="Item_20_CEA"/>
        <s v="Item_20_PAT"/>
        <s v="Item_19_PAT"/>
        <s v="Item_19_BUT"/>
        <s v="Item_19_MILK"/>
        <s v="Item_19_EHE"/>
        <s v="Item_19_CEA"/>
        <s v="Item_19_BEV"/>
        <s v="Item_24_CEA"/>
        <s v="Item_21_BUT"/>
        <s v="Item_18_FOOD"/>
        <s v="Item_18_EHE"/>
        <s v="Item_18_BUT"/>
        <s v="Item_18_FUR"/>
        <s v="Item_18_MILK"/>
        <s v="Item_18_CEA"/>
        <s v="Item_18_BEV"/>
        <s v="Item_18_PAT"/>
        <s v="Item_17_MILK"/>
        <s v="Item_17_CEA"/>
        <s v="Item_17_PAT"/>
        <s v="Item_17_BEV"/>
        <s v="Item_17_BUT"/>
        <s v="Item_17_FOOD"/>
        <s v="Item_17_EHE"/>
        <s v="Item_17_FUR"/>
        <s v="Item_19_FOOD"/>
        <s v="Item_16_CEA"/>
        <s v="Item_16_BEV"/>
        <s v="Item_16_PAT"/>
        <s v="Item_16_MILK"/>
        <s v="Item_16_BUT"/>
        <s v="Item_16_EHE"/>
        <s v="Item_16_FUR"/>
        <s v="Item_15_FUR"/>
        <s v="Item_15_BEV"/>
        <s v="Item_15_FOOD"/>
        <s v="Item_15_BUT"/>
        <s v="Item_15_EHE"/>
        <s v="Item_15_CEA"/>
        <s v="Item_15_PAT"/>
        <s v="Item_15_MILK"/>
        <s v="Item_19_FUR"/>
        <s v="Item_14_PAT"/>
        <s v="Item_14_FOOD"/>
        <s v="Item_14_CEA"/>
        <s v="Item_14_BEV"/>
        <s v="Item_14_FUR"/>
        <s v="Item_14_MILK"/>
        <s v="Item_14_BUT"/>
        <s v="Item_13_CEA"/>
        <s v="Item_13_FOOD"/>
        <s v="Item_13_BUT"/>
        <s v="Item_13_PAT"/>
        <s v="Item_13_EHE"/>
        <s v="Item_13_MILK"/>
        <s v="Item_13_BEV"/>
        <s v="Item_14_EHE"/>
        <s v="Item_16_FOOD"/>
        <s v="Item_12_EHE"/>
        <s v="Item_12_BUT"/>
        <s v="Item_12_CEA"/>
        <s v="Item_12_BEV"/>
        <s v="Item_12_PAT"/>
        <s v="Item_12_FOOD"/>
        <s v="Item_12_FUR"/>
        <s v="Item_11_FOOD"/>
        <s v="Item_11_PAT"/>
        <s v="Item_11_EHE"/>
        <s v="Item_11_CEA"/>
        <s v="Item_11_FUR"/>
        <s v="Item_11_BEV"/>
        <s v="Item_11_MILK"/>
        <s v="Item_12_MILK"/>
        <s v="Item_10_FUR"/>
        <s v="Item_10_FOOD"/>
        <s v="Item_10_PAT"/>
        <s v="Item_10_CEA"/>
        <s v="Item_10_BEV"/>
        <s v="Item_10_EHE"/>
        <s v="Item_10_MILK"/>
        <s v="Item_10_BUT"/>
        <s v="Item_13_FUR"/>
        <s v="Item_11_BUT"/>
        <s v="Item_21_PAT"/>
        <s v="Item_9_EHE"/>
        <s v="Item_9_BEV"/>
        <s v="Item_9_FOOD"/>
        <s v="Item_9_FUR"/>
        <s v="Item_9_CEA"/>
        <s v="Item_9_PAT"/>
        <s v="Item_8_BUT"/>
        <s v="Item_8_FUR"/>
        <s v="Item_8_BEV"/>
        <s v="Item_8_PAT"/>
        <s v="Item_8_EHE"/>
        <s v="Item_8_MILK"/>
        <s v="Item_8_CEA"/>
        <s v="Item_8_FOOD"/>
        <s v="Item_9_BUT"/>
        <s v="Item_7_EHE"/>
        <s v="Item_7_BUT"/>
        <s v="Item_7_CEA"/>
        <s v="Item_7_PAT"/>
        <s v="Item_7_FOOD"/>
        <s v="Item_7_FUR"/>
        <s v="Item_7_BEV"/>
        <s v="Item_7_MILK"/>
        <s v="Item_9_MILK"/>
        <s v="Item_6_CEA"/>
        <s v="Item_6_PAT"/>
        <s v="Item_6_MILK"/>
        <s v="Item_6_FOOD"/>
        <s v="Item_6_BEV"/>
        <s v="Item_6_BUT"/>
        <s v="Item_6_FUR"/>
        <s v="Item_6_EHE"/>
        <s v="Item_5_EHE"/>
        <s v="Item_5_FUR"/>
        <s v="Item_5_CEA"/>
        <s v="Item_5_FOOD"/>
        <s v="Item_5_BUT"/>
        <s v="Item_5_PAT"/>
        <s v="Item_4_FOOD"/>
        <s v="Item_4_EHE"/>
        <s v="Item_4_MILK"/>
        <s v="Item_4_BEV"/>
        <s v="Item_4_PAT"/>
        <s v="Item_4_FUR"/>
        <s v="Item_4_CEA"/>
        <s v="Item_4_BUT"/>
        <s v="Item_5_MILK"/>
        <s v="Item_5_BEV"/>
        <s v="Item_3_FOOD"/>
        <s v="Item_3_BUT"/>
        <s v="Item_3_FUR"/>
        <s v="Item_3_MILK"/>
        <s v="Item_3_BEV"/>
        <s v="Item_3_PAT"/>
        <s v="Item_3_CEA"/>
        <s v="Item_3_EHE"/>
        <s v="Item_2_BEV"/>
        <s v="Item_2_FOOD"/>
        <s v="Item_2_MILK"/>
        <s v="Item_2_FUR"/>
        <s v="Item_2_CEA"/>
        <s v="Item_2_BUT"/>
        <s v="Item_2_EHE"/>
        <s v="Item_2_PAT"/>
        <s v="Item_1_PAT"/>
        <s v="Item_1_BEV"/>
        <s v="Item_1_EHE"/>
        <s v="Item_1_MILK"/>
        <s v="Item_1_CEA"/>
        <s v="Item_1_BUT"/>
        <s v="Item_1_FOOD"/>
        <s v="Item_1_FUR"/>
      </sharedItems>
    </cacheField>
    <cacheField name="Price Per Unit" numFmtId="164">
      <sharedItems containsSemiMixedTypes="0" containsString="0" containsNumber="1" minValue="5" maxValue="41" count="25">
        <n v="41"/>
        <n v="39.5"/>
        <n v="38"/>
        <n v="36.5"/>
        <n v="35"/>
        <n v="33.5"/>
        <n v="32"/>
        <n v="30.5"/>
        <n v="29"/>
        <n v="27.5"/>
        <n v="26"/>
        <n v="24.5"/>
        <n v="23"/>
        <n v="21.5"/>
        <n v="20"/>
        <n v="18.5"/>
        <n v="17"/>
        <n v="15.5"/>
        <n v="14"/>
        <n v="12.5"/>
        <n v="11"/>
        <n v="9.5"/>
        <n v="8"/>
        <n v="6.5"/>
        <n v="5"/>
      </sharedItems>
    </cacheField>
    <cacheField name="Quantity" numFmtId="1">
      <sharedItems containsSemiMixedTypes="0" containsString="0" containsNumber="1" containsInteger="1" minValue="1" maxValue="10" count="10">
        <n v="10"/>
        <n v="9"/>
        <n v="8"/>
        <n v="7"/>
        <n v="6"/>
        <n v="5"/>
        <n v="4"/>
        <n v="3"/>
        <n v="2"/>
        <n v="1"/>
      </sharedItems>
    </cacheField>
    <cacheField name="Total Spent" numFmtId="164">
      <sharedItems containsSemiMixedTypes="0" containsString="0" containsNumber="1" minValue="5" maxValue="410"/>
    </cacheField>
    <cacheField name="Payment Method" numFmtId="0">
      <sharedItems count="4">
        <s v="Digital Wallet"/>
        <s v="Cash"/>
        <s v="Credit Card"/>
        <s v="              Digital Wallet" u="1"/>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0">
        <d v="2022-08-23T00:00:00"/>
        <d v="2023-04-01T00:00:00"/>
        <d v="2022-11-04T00:00:00"/>
        <d v="2024-03-24T00:00:00"/>
        <d v="2024-03-23T00:00:00"/>
        <d v="2022-01-19T00:00:00"/>
        <d v="2023-12-20T00:00:00"/>
        <d v="2022-02-23T00:00:00"/>
        <d v="2025-01-04T00:00:00"/>
        <d v="2022-06-19T00:00:00"/>
        <d v="2022-08-29T00:00:00"/>
        <d v="2023-10-03T00:00:00"/>
        <d v="2024-07-23T00:00:00"/>
        <d v="2022-09-08T00:00:00"/>
        <d v="2022-06-07T00:00:00"/>
        <d v="2022-07-28T00:00:00"/>
        <d v="2022-09-11T00:00:00"/>
        <d v="2022-02-24T00:00:00"/>
        <d v="2023-02-16T00:00:00"/>
        <d v="2023-08-13T00:00:00"/>
        <d v="2024-12-24T00:00:00"/>
        <d v="2023-05-20T00:00:00"/>
        <d v="2024-01-24T00:00:00"/>
        <d v="2024-08-31T00:00:00"/>
        <d v="2024-05-01T00:00:00"/>
        <d v="2022-09-24T00:00:00"/>
        <d v="2024-12-31T00:00:00"/>
        <d v="2023-12-25T00:00:00"/>
        <d v="2024-03-27T00:00:00"/>
        <d v="2024-04-20T00:00:00"/>
        <d v="2024-05-29T00:00:00"/>
        <d v="2022-07-05T00:00:00"/>
        <d v="2023-08-24T00:00:00"/>
        <d v="2023-10-10T00:00:00"/>
        <d v="2024-01-27T00:00:00"/>
        <d v="2024-03-22T00:00:00"/>
        <d v="2023-01-19T00:00:00"/>
        <d v="2023-06-19T00:00:00"/>
        <d v="2022-02-18T00:00:00"/>
        <d v="2025-01-10T00:00:00"/>
        <d v="2022-08-24T00:00:00"/>
        <d v="2024-05-15T00:00:00"/>
        <d v="2022-09-02T00:00:00"/>
        <d v="2024-06-10T00:00:00"/>
        <d v="2022-10-02T00:00:00"/>
        <d v="2024-10-01T00:00:00"/>
        <d v="2024-04-24T00:00:00"/>
        <d v="2024-01-01T00:00:00"/>
        <d v="2022-12-03T00:00:00"/>
        <d v="2022-09-14T00:00:00"/>
        <d v="2022-01-17T00:00:00"/>
        <d v="2023-03-12T00:00:00"/>
        <d v="2024-12-05T00:00:00"/>
        <d v="2023-03-28T00:00:00"/>
        <d v="2023-02-23T00:00:00"/>
        <d v="2023-05-26T00:00:00"/>
        <d v="2024-04-16T00:00:00"/>
        <d v="2023-07-16T00:00:00"/>
        <d v="2024-04-09T00:00:00"/>
        <d v="2022-11-24T00:00:00"/>
        <d v="2024-06-01T00:00:00"/>
        <d v="2023-01-18T00:00:00"/>
        <d v="2023-06-26T00:00:00"/>
        <d v="2024-04-02T00:00:00"/>
        <d v="2024-03-09T00:00:00"/>
        <d v="2024-09-02T00:00:00"/>
        <d v="2024-09-25T00:00:00"/>
        <d v="2022-08-18T00:00:00"/>
        <d v="2023-11-05T00:00:00"/>
        <d v="2023-11-14T00:00:00"/>
        <d v="2024-06-18T00:00:00"/>
        <d v="2022-06-09T00:00:00"/>
        <d v="2024-04-25T00:00:00"/>
        <d v="2023-09-01T00:00:00"/>
        <d v="2022-11-27T00:00:00"/>
        <d v="2022-01-02T00:00:00"/>
        <d v="2023-09-02T00:00:00"/>
        <d v="2024-01-29T00:00:00"/>
        <d v="2024-07-04T00:00:00"/>
        <d v="2023-04-07T00:00:00"/>
        <d v="2024-02-08T00:00:00"/>
        <d v="2025-01-08T00:00:00"/>
        <d v="2024-10-07T00:00:00"/>
        <d v="2023-12-21T00:00:00"/>
        <d v="2022-04-26T00:00:00"/>
        <d v="2024-10-18T00:00:00"/>
        <d v="2023-04-30T00:00:00"/>
        <d v="2023-07-23T00:00:00"/>
        <d v="2022-12-31T00:00:00"/>
        <d v="2022-01-14T00:00:00"/>
        <d v="2022-09-06T00:00:00"/>
        <d v="2023-12-09T00:00:00"/>
        <d v="2024-03-03T00:00:00"/>
        <d v="2022-12-08T00:00:00"/>
        <d v="2024-03-19T00:00:00"/>
        <d v="2023-06-07T00:00:00"/>
        <d v="2023-04-11T00:00:00"/>
        <d v="2024-06-20T00:00:00"/>
        <d v="2023-04-04T00:00:00"/>
        <d v="2023-03-04T00:00:00"/>
        <d v="2024-02-18T00:00:00"/>
        <d v="2024-08-10T00:00:00"/>
        <d v="2023-03-31T00:00:00"/>
        <d v="2022-05-30T00:00:00"/>
        <d v="2023-09-10T00:00:00"/>
        <d v="2024-09-19T00:00:00"/>
        <d v="2024-09-01T00:00:00"/>
        <d v="2022-07-11T00:00:00"/>
        <d v="2023-10-09T00:00:00"/>
        <d v="2022-06-05T00:00:00"/>
        <d v="2024-07-27T00:00:00"/>
        <d v="2024-11-03T00:00:00"/>
        <d v="2024-06-29T00:00:00"/>
        <d v="2022-07-18T00:00:00"/>
        <d v="2022-04-13T00:00:00"/>
        <d v="2022-08-21T00:00:00"/>
        <d v="2023-10-25T00:00:00"/>
        <d v="2023-07-30T00:00:00"/>
        <d v="2022-04-27T00:00:00"/>
        <d v="2023-12-24T00:00:00"/>
        <d v="2022-05-10T00:00:00"/>
        <d v="2024-08-21T00:00:00"/>
        <d v="2022-04-09T00:00:00"/>
        <d v="2023-01-14T00:00:00"/>
        <d v="2022-04-19T00:00:00"/>
        <d v="2022-03-18T00:00:00"/>
        <d v="2023-10-21T00:00:00"/>
        <d v="2024-05-23T00:00:00"/>
        <d v="2024-08-18T00:00:00"/>
        <d v="2024-06-06T00:00:00"/>
        <d v="2023-09-21T00:00:00"/>
        <d v="2023-05-15T00:00:00"/>
        <d v="2023-09-12T00:00:00"/>
        <d v="2024-01-17T00:00:00"/>
        <d v="2022-02-11T00:00:00"/>
        <d v="2024-04-03T00:00:00"/>
        <d v="2022-07-07T00:00:00"/>
        <d v="2023-11-24T00:00:00"/>
        <d v="2024-02-10T00:00:00"/>
        <d v="2024-06-13T00:00:00"/>
        <d v="2022-03-13T00:00:00"/>
        <d v="2024-10-12T00:00:00"/>
        <d v="2024-08-02T00:00:00"/>
        <d v="2023-08-23T00:00:00"/>
        <d v="2024-11-08T00:00:00"/>
        <d v="2023-07-31T00:00:00"/>
        <d v="2024-12-06T00:00:00"/>
        <d v="2023-07-15T00:00:00"/>
        <d v="2024-01-10T00:00:00"/>
        <d v="2022-06-13T00:00:00"/>
        <d v="2024-01-21T00:00:00"/>
        <d v="2024-06-17T00:00:00"/>
        <d v="2022-02-10T00:00:00"/>
        <d v="2023-05-28T00:00:00"/>
        <d v="2023-06-04T00:00:00"/>
        <d v="2022-02-19T00:00:00"/>
        <d v="2022-07-04T00:00:00"/>
        <d v="2022-06-08T00:00:00"/>
        <d v="2022-07-30T00:00:00"/>
        <d v="2022-12-07T00:00:00"/>
        <d v="2023-02-20T00:00:00"/>
        <d v="2024-06-04T00:00:00"/>
        <d v="2024-03-08T00:00:00"/>
        <d v="2022-07-21T00:00:00"/>
        <d v="2022-01-26T00:00:00"/>
        <d v="2023-04-18T00:00:00"/>
        <d v="2024-05-06T00:00:00"/>
        <d v="2022-04-16T00:00:00"/>
        <d v="2022-06-29T00:00:00"/>
        <d v="2024-05-03T00:00:00"/>
        <d v="2024-05-10T00:00:00"/>
        <d v="2024-07-30T00:00:00"/>
        <d v="2023-09-25T00:00:00"/>
        <d v="2023-11-17T00:00:00"/>
        <d v="2022-11-29T00:00:00"/>
        <d v="2024-12-25T00:00:00"/>
        <d v="2024-02-01T00:00:00"/>
        <d v="2024-06-14T00:00:00"/>
        <d v="2024-10-21T00:00:00"/>
        <d v="2022-09-05T00:00:00"/>
        <d v="2023-12-05T00:00:00"/>
        <d v="2023-08-14T00:00:00"/>
        <d v="2024-04-28T00:00:00"/>
        <d v="2023-12-31T00:00:00"/>
        <d v="2022-01-01T00:00:00"/>
        <d v="2024-08-08T00:00:00"/>
        <d v="2022-09-15T00:00:00"/>
        <d v="2023-02-18T00:00:00"/>
        <d v="2023-12-14T00:00:00"/>
        <d v="2023-09-22T00:00:00"/>
        <d v="2022-02-07T00:00:00"/>
        <d v="2024-06-21T00:00:00"/>
        <d v="2024-05-17T00:00:00"/>
        <d v="2022-01-08T00:00:00"/>
        <d v="2022-12-25T00:00:00"/>
        <d v="2022-07-01T00:00:00"/>
        <d v="2022-12-11T00:00:00"/>
        <d v="2022-09-01T00:00:00"/>
        <d v="2023-11-04T00:00:00"/>
        <d v="2024-12-27T00:00:00"/>
        <d v="2022-01-29T00:00:00"/>
        <d v="2023-04-25T00:00:00"/>
        <d v="2024-04-10T00:00:00"/>
        <d v="2022-09-23T00:00:00"/>
        <d v="2023-05-25T00:00:00"/>
        <d v="2022-06-11T00:00:00"/>
        <d v="2022-02-08T00:00:00"/>
        <d v="2022-09-25T00:00:00"/>
        <d v="2023-06-02T00:00:00"/>
        <d v="2023-07-01T00:00:00"/>
        <d v="2022-08-15T00:00:00"/>
        <d v="2022-09-12T00:00:00"/>
        <d v="2022-12-10T00:00:00"/>
        <d v="2023-07-14T00:00:00"/>
        <d v="2025-01-18T00:00:00"/>
        <d v="2022-05-13T00:00:00"/>
        <d v="2023-04-19T00:00:00"/>
        <d v="2024-01-12T00:00:00"/>
        <d v="2022-10-06T00:00:00"/>
        <d v="2023-05-23T00:00:00"/>
        <d v="2024-03-25T00:00:00"/>
        <d v="2024-11-20T00:00:00"/>
        <d v="2022-12-13T00:00:00"/>
        <d v="2024-12-29T00:00:00"/>
        <d v="2023-06-10T00:00:00"/>
        <d v="2023-03-26T00:00:00"/>
        <d v="2023-01-20T00:00:00"/>
        <d v="2024-06-12T00:00:00"/>
        <d v="2022-02-27T00:00:00"/>
        <d v="2024-03-16T00:00:00"/>
        <d v="2022-09-19T00:00:00"/>
        <d v="2022-01-04T00:00:00"/>
        <d v="2022-02-28T00:00:00"/>
        <d v="2023-04-02T00:00:00"/>
        <d v="2022-01-16T00:00:00"/>
        <d v="2025-01-11T00:00:00"/>
        <d v="2024-11-07T00:00:00"/>
        <d v="2022-07-23T00:00:00"/>
        <d v="2023-08-09T00:00:00"/>
        <d v="2023-02-21T00:00:00"/>
        <d v="2024-07-08T00:00:00"/>
        <d v="2024-02-07T00:00:00"/>
        <d v="2023-04-12T00:00:00"/>
        <d v="2024-07-21T00:00:00"/>
        <d v="2023-02-22T00:00:00"/>
        <d v="2023-02-03T00:00:00"/>
        <d v="2022-08-13T00:00:00"/>
        <d v="2024-05-24T00:00:00"/>
        <d v="2022-01-31T00:00:00"/>
        <d v="2024-04-12T00:00:00"/>
        <d v="2024-05-21T00:00:00"/>
        <d v="2022-03-24T00:00:00"/>
        <d v="2023-04-14T00:00:00"/>
        <d v="2024-07-31T00:00:00"/>
        <d v="2022-02-13T00:00:00"/>
        <d v="2023-05-22T00:00:00"/>
        <d v="2023-10-20T00:00:00"/>
        <d v="2024-11-09T00:00:00"/>
        <d v="2024-12-04T00:00:00"/>
        <d v="2024-07-11T00:00:00"/>
        <d v="2023-07-04T00:00:00"/>
        <d v="2024-05-14T00:00:00"/>
        <d v="2024-12-20T00:00:00"/>
        <d v="2024-06-09T00:00:00"/>
        <d v="2024-07-15T00:00:00"/>
        <d v="2024-06-30T00:00:00"/>
        <d v="2023-01-11T00:00:00"/>
        <d v="2024-09-18T00:00:00"/>
        <d v="2022-04-29T00:00:00"/>
        <d v="2022-07-26T00:00:00"/>
        <d v="2023-11-08T00:00:00"/>
        <d v="2022-11-26T00:00:00"/>
        <d v="2022-04-08T00:00:00"/>
        <d v="2023-08-12T00:00:00"/>
        <d v="2024-11-30T00:00:00"/>
        <d v="2024-06-16T00:00:00"/>
        <d v="2023-02-27T00:00:00"/>
        <d v="2023-02-02T00:00:00"/>
        <d v="2024-12-26T00:00:00"/>
        <d v="2023-01-06T00:00:00"/>
        <d v="2023-06-28T00:00:00"/>
        <d v="2023-02-06T00:00:00"/>
        <d v="2023-06-20T00:00:00"/>
        <d v="2023-01-15T00:00:00"/>
        <d v="2023-05-10T00:00:00"/>
        <d v="2022-03-12T00:00:00"/>
        <d v="2022-10-16T00:00:00"/>
        <d v="2023-04-22T00:00:00"/>
        <d v="2023-11-15T00:00:00"/>
        <d v="2022-03-04T00:00:00"/>
        <d v="2023-09-30T00:00:00"/>
        <d v="2024-02-22T00:00:00"/>
        <d v="2023-10-24T00:00:00"/>
        <d v="2024-08-16T00:00:00"/>
        <d v="2022-07-09T00:00:00"/>
        <d v="2022-03-31T00:00:00"/>
        <d v="2024-11-06T00:00:00"/>
        <d v="2024-11-11T00:00:00"/>
        <d v="2022-02-03T00:00:00"/>
        <d v="2022-10-11T00:00:00"/>
        <d v="2022-04-14T00:00:00"/>
        <d v="2022-04-15T00:00:00"/>
        <d v="2022-11-05T00:00:00"/>
        <d v="2024-12-22T00:00:00"/>
        <d v="2024-10-15T00:00:00"/>
        <d v="2023-05-21T00:00:00"/>
        <d v="2025-01-07T00:00:00"/>
        <d v="2024-12-10T00:00:00"/>
        <d v="2022-05-25T00:00:00"/>
        <d v="2024-10-02T00:00:00"/>
        <d v="2024-11-01T00:00:00"/>
        <d v="2023-03-27T00:00:00"/>
        <d v="2022-11-07T00:00:00"/>
        <d v="2024-07-07T00:00:00"/>
        <d v="2022-05-04T00:00:00"/>
        <d v="2023-09-28T00:00:00"/>
        <d v="2022-05-27T00:00:00"/>
        <d v="2024-05-20T00:00:00"/>
        <d v="2024-03-20T00:00:00"/>
        <d v="2023-12-22T00:00:00"/>
        <d v="2022-01-05T00:00:00"/>
        <d v="2024-03-28T00:00:00"/>
        <d v="2023-06-22T00:00:00"/>
        <d v="2022-11-14T00:00:00"/>
        <d v="2023-03-25T00:00:00"/>
        <d v="2022-02-17T00:00:00"/>
        <d v="2024-09-10T00:00:00"/>
        <d v="2024-05-19T00:00:00"/>
        <d v="2024-06-08T00:00:00"/>
        <d v="2022-03-02T00:00:00"/>
        <d v="2024-04-23T00:00:00"/>
        <d v="2023-11-30T00:00:00"/>
        <d v="2022-08-01T00:00:00"/>
        <d v="2022-12-16T00:00:00"/>
        <d v="2022-03-29T00:00:00"/>
        <d v="2025-01-02T00:00:00"/>
        <d v="2024-11-05T00:00:00"/>
        <d v="2024-08-20T00:00:00"/>
        <d v="2024-12-03T00:00:00"/>
        <d v="2022-09-03T00:00:00"/>
        <d v="2022-03-05T00:00:00"/>
        <d v="2024-07-12T00:00:00"/>
        <d v="2024-07-02T00:00:00"/>
        <d v="2024-06-27T00:00:00"/>
        <d v="2022-04-01T00:00:00"/>
        <d v="2024-05-12T00:00:00"/>
        <d v="2022-06-06T00:00:00"/>
        <d v="2024-12-11T00:00:00"/>
        <d v="2024-09-30T00:00:00"/>
        <d v="2024-09-04T00:00:00"/>
        <d v="2022-01-15T00:00:00"/>
        <d v="2023-01-24T00:00:00"/>
        <d v="2024-03-11T00:00:00"/>
        <d v="2023-08-30T00:00:00"/>
        <d v="2023-05-02T00:00:00"/>
        <d v="2024-12-23T00:00:00"/>
        <d v="2024-02-23T00:00:00"/>
        <d v="2023-07-09T00:00:00"/>
        <d v="2022-10-01T00:00:00"/>
        <d v="2022-08-09T00:00:00"/>
        <d v="2022-06-20T00:00:00"/>
        <d v="2022-12-17T00:00:00"/>
        <d v="2023-03-10T00:00:00"/>
        <d v="2023-03-20T00:00:00"/>
        <d v="2024-11-14T00:00:00"/>
        <d v="2022-03-19T00:00:00"/>
        <d v="2024-11-29T00:00:00"/>
        <d v="2023-10-13T00:00:00"/>
        <d v="2022-06-12T00:00:00"/>
        <d v="2023-10-05T00:00:00"/>
        <d v="2025-01-14T00:00:00"/>
        <d v="2023-07-05T00:00:00"/>
        <d v="2024-07-17T00:00:00"/>
        <d v="2024-09-23T00:00:00"/>
        <d v="2024-10-04T00:00:00"/>
        <d v="2022-07-02T00:00:00"/>
        <d v="2023-10-28T00:00:00"/>
        <d v="2023-05-27T00:00:00"/>
        <d v="2023-04-29T00:00:00"/>
        <d v="2024-03-15T00:00:00"/>
        <d v="2024-07-20T00:00:00"/>
        <d v="2022-03-06T00:00:00"/>
        <d v="2022-07-25T00:00:00"/>
        <d v="2024-10-23T00:00:00"/>
        <d v="2024-11-12T00:00:00"/>
        <d v="2022-06-28T00:00:00"/>
        <d v="2022-01-18T00:00:00"/>
        <d v="2022-12-30T00:00:00"/>
        <d v="2023-01-23T00:00:00"/>
        <d v="2023-07-12T00:00:00"/>
        <d v="2024-11-22T00:00:00"/>
        <d v="2022-07-08T00:00:00"/>
        <d v="2023-01-13T00:00:00"/>
        <d v="2022-10-18T00:00:00"/>
        <d v="2024-12-13T00:00:00"/>
        <d v="2022-06-21T00:00:00"/>
        <d v="2022-10-12T00:00:00"/>
        <d v="2023-06-01T00:00:00"/>
        <d v="2024-02-27T00:00:00"/>
        <d v="2023-12-12T00:00:00"/>
        <d v="2024-09-27T00:00:00"/>
        <d v="2023-08-25T00:00:00"/>
        <d v="2023-09-07T00:00:00"/>
        <d v="2023-05-07T00:00:00"/>
        <d v="2022-11-23T00:00:00"/>
        <d v="2022-10-28T00:00:00"/>
        <d v="2023-12-27T00:00:00"/>
        <d v="2022-10-10T00:00:00"/>
        <d v="2024-11-24T00:00:00"/>
        <d v="2023-07-13T00:00:00"/>
        <d v="2023-06-30T00:00:00"/>
        <d v="2023-12-03T00:00:00"/>
        <d v="2022-10-17T00:00:00"/>
        <d v="2023-04-06T00:00:00"/>
        <d v="2022-02-01T00:00:00"/>
        <d v="2024-12-09T00:00:00"/>
        <d v="2024-05-25T00:00:00"/>
        <d v="2024-10-17T00:00:00"/>
        <d v="2024-09-29T00:00:00"/>
        <d v="2024-04-08T00:00:00"/>
        <d v="2024-09-28T00:00:00"/>
        <d v="2024-04-29T00:00:00"/>
        <d v="2023-02-05T00:00:00"/>
        <d v="2024-07-13T00:00:00"/>
        <d v="2024-08-25T00:00:00"/>
        <d v="2022-08-12T00:00:00"/>
        <d v="2022-12-29T00:00:00"/>
        <d v="2022-02-20T00:00:00"/>
        <d v="2023-05-01T00:00:00"/>
        <d v="2024-03-18T00:00:00"/>
        <d v="2023-05-04T00:00:00"/>
        <d v="2025-01-01T00:00:00"/>
        <d v="2024-10-06T00:00:00"/>
        <d v="2022-04-28T00:00:00"/>
        <d v="2024-04-18T00:00:00"/>
        <d v="2023-10-26T00:00:00"/>
        <d v="2022-06-18T00:00:00"/>
        <d v="2024-08-23T00:00:00"/>
        <d v="2022-01-11T00:00:00"/>
        <d v="2024-10-19T00:00:00"/>
        <d v="2023-12-30T00:00:00"/>
        <d v="2022-05-09T00:00:00"/>
        <d v="2023-03-23T00:00:00"/>
        <d v="2024-02-28T00:00:00"/>
        <d v="2022-10-19T00:00:00"/>
        <d v="2023-10-02T00:00:00"/>
        <d v="2024-09-12T00:00:00"/>
        <d v="2024-01-08T00:00:00"/>
        <d v="2023-11-13T00:00:00"/>
        <d v="2022-03-27T00:00:00"/>
        <d v="2023-03-21T00:00:00"/>
        <d v="2024-01-06T00:00:00"/>
        <d v="2022-09-26T00:00:00"/>
        <d v="2022-06-26T00:00:00"/>
        <d v="2024-04-19T00:00:00"/>
        <d v="2024-04-06T00:00:00"/>
        <d v="2024-07-18T00:00:00"/>
        <d v="2022-01-21T00:00:00"/>
        <d v="2024-05-18T00:00:00"/>
        <d v="2023-01-08T00:00:00"/>
        <d v="2023-03-11T00:00:00"/>
        <d v="2023-11-01T00:00:00"/>
        <d v="2024-11-02T00:00:00"/>
        <d v="2022-02-22T00:00:00"/>
        <d v="2022-01-13T00:00:00"/>
        <d v="2022-08-22T00:00:00"/>
        <d v="2024-06-28T00:00:00"/>
        <d v="2022-05-18T00:00:00"/>
        <d v="2022-03-08T00:00:00"/>
        <d v="2023-11-29T00:00:00"/>
        <d v="2024-10-31T00:00:00"/>
        <d v="2022-05-12T00:00:00"/>
        <d v="2023-10-29T00:00:00"/>
        <d v="2024-12-02T00:00:00"/>
        <d v="2023-02-24T00:00:00"/>
        <d v="2024-09-03T00:00:00"/>
        <d v="2024-04-04T00:00:00"/>
        <d v="2022-01-28T00:00:00"/>
        <d v="2023-11-28T00:00:00"/>
        <d v="2022-03-17T00:00:00"/>
        <d v="2025-01-17T00:00:00"/>
        <d v="2022-11-20T00:00:00"/>
        <d v="2023-03-03T00:00:00"/>
        <d v="2023-12-13T00:00:00"/>
        <d v="2024-06-26T00:00:00"/>
        <d v="2023-01-05T00:00:00"/>
        <d v="2022-10-21T00:00:00"/>
        <d v="2022-02-06T00:00:00"/>
        <d v="2024-01-30T00:00:00"/>
        <d v="2022-01-12T00:00:00"/>
        <d v="2024-11-13T00:00:00"/>
        <d v="2023-01-01T00:00:00"/>
        <d v="2024-03-29T00:00:00"/>
        <d v="2024-06-03T00:00:00"/>
        <d v="2023-09-29T00:00:00"/>
        <d v="2022-02-02T00:00:00"/>
        <d v="2022-03-23T00:00:00"/>
        <d v="2023-08-18T00:00:00"/>
        <d v="2022-08-19T00:00:00"/>
        <d v="2022-04-12T00:00:00"/>
        <d v="2023-06-16T00:00:00"/>
        <d v="2022-10-27T00:00:00"/>
        <d v="2024-09-20T00:00:00"/>
        <d v="2022-08-16T00:00:00"/>
        <d v="2022-02-12T00:00:00"/>
        <d v="2024-04-13T00:00:00"/>
        <d v="2022-10-09T00:00:00"/>
        <d v="2024-12-30T00:00:00"/>
        <d v="2022-06-01T00:00:00"/>
        <d v="2023-09-14T00:00:00"/>
        <d v="2023-02-14T00:00:00"/>
        <d v="2022-11-16T00:00:00"/>
        <d v="2022-06-24T00:00:00"/>
        <d v="2024-07-01T00:00:00"/>
        <d v="2022-05-28T00:00:00"/>
        <d v="2025-01-16T00:00:00"/>
        <d v="2023-12-28T00:00:00"/>
        <d v="2023-06-25T00:00:00"/>
        <d v="2023-09-04T00:00:00"/>
        <d v="2023-03-08T00:00:00"/>
        <d v="2022-08-08T00:00:00"/>
        <d v="2022-11-01T00:00:00"/>
        <d v="2024-08-27T00:00:00"/>
        <d v="2024-02-02T00:00:00"/>
        <d v="2024-01-05T00:00:00"/>
        <d v="2022-07-17T00:00:00"/>
        <d v="2024-12-28T00:00:00"/>
        <d v="2023-08-20T00:00:00"/>
        <d v="2024-09-11T00:00:00"/>
        <d v="2023-04-28T00:00:00"/>
        <d v="2022-10-25T00:00:00"/>
        <d v="2023-10-08T00:00:00"/>
        <d v="2022-05-05T00:00:00"/>
        <d v="2024-10-14T00:00:00"/>
        <d v="2024-02-25T00:00:00"/>
        <d v="2024-07-06T00:00:00"/>
        <d v="2022-05-02T00:00:00"/>
        <d v="2022-09-27T00:00:00"/>
        <d v="2024-07-16T00:00:00"/>
        <d v="2023-02-13T00:00:00"/>
        <d v="2022-05-17T00:00:00"/>
        <d v="2022-11-21T00:00:00"/>
        <d v="2023-08-28T00:00:00"/>
        <d v="2022-11-17T00:00:00"/>
        <d v="2023-07-17T00:00:00"/>
        <d v="2022-03-15T00:00:00"/>
        <d v="2022-05-21T00:00:00"/>
        <d v="2023-10-14T00:00:00"/>
        <d v="2022-01-22T00:00:00"/>
        <d v="2023-03-18T00:00:00"/>
        <d v="2024-11-15T00:00:00"/>
        <d v="2024-12-01T00:00:00"/>
        <d v="2024-09-22T00:00:00"/>
        <d v="2024-08-04T00:00:00"/>
        <d v="2024-02-20T00:00:00"/>
        <d v="2024-08-28T00:00:00"/>
        <d v="2024-02-16T00:00:00"/>
        <d v="2022-05-08T00:00:00"/>
        <d v="2024-04-17T00:00:00"/>
        <d v="2022-10-14T00:00:00"/>
        <d v="2022-04-20T00:00:00"/>
        <d v="2024-04-27T00:00:00"/>
        <d v="2024-08-06T00:00:00"/>
        <d v="2024-10-03T00:00:00"/>
        <d v="2023-01-31T00:00:00"/>
        <d v="2023-02-15T00:00:00"/>
        <d v="2024-11-16T00:00:00"/>
        <d v="2022-03-01T00:00:00"/>
        <d v="2024-09-07T00:00:00"/>
        <d v="2024-05-02T00:00:00"/>
        <d v="2025-01-03T00:00:00"/>
        <d v="2023-08-01T00:00:00"/>
        <d v="2023-02-17T00:00:00"/>
        <d v="2024-05-11T00:00:00"/>
        <d v="2022-05-24T00:00:00"/>
        <d v="2023-01-09T00:00:00"/>
        <d v="2023-11-18T00:00:00"/>
        <d v="2024-06-22T00:00:00"/>
        <d v="2022-11-02T00:00:00"/>
        <d v="2022-08-26T00:00:00"/>
        <d v="2022-11-10T00:00:00"/>
        <d v="2022-04-21T00:00:00"/>
        <d v="2023-10-15T00:00:00"/>
        <d v="2022-03-16T00:00:00"/>
        <d v="2023-04-08T00:00:00"/>
        <d v="2022-07-15T00:00:00"/>
        <d v="2023-02-26T00:00:00"/>
        <d v="2022-04-05T00:00:00"/>
        <d v="2022-01-10T00:00:00"/>
        <d v="2022-02-25T00:00:00"/>
        <d v="2022-12-05T00:00:00"/>
        <d v="2022-11-11T00:00:00"/>
        <d v="2023-12-11T00:00:00"/>
        <d v="2022-07-10T00:00:00"/>
        <d v="2023-10-12T00:00:00"/>
        <d v="2023-10-17T00:00:00"/>
        <d v="2023-12-06T00:00:00"/>
        <d v="2022-09-10T00:00:00"/>
        <d v="2024-03-06T00:00:00"/>
        <d v="2023-07-10T00:00:00"/>
        <d v="2022-10-26T00:00:00"/>
        <d v="2024-01-26T00:00:00"/>
        <d v="2024-01-22T00:00:00"/>
        <d v="2023-07-25T00:00:00"/>
        <d v="2024-01-28T00:00:00"/>
        <d v="2022-12-27T00:00:00"/>
        <d v="2023-08-02T00:00:00"/>
        <d v="2022-08-25T00:00:00"/>
        <d v="2022-11-19T00:00:00"/>
        <d v="2024-02-14T00:00:00"/>
        <d v="2024-08-15T00:00:00"/>
        <d v="2022-12-18T00:00:00"/>
        <d v="2024-11-18T00:00:00"/>
        <d v="2023-04-20T00:00:00"/>
        <d v="2023-08-07T00:00:00"/>
        <d v="2023-12-02T00:00:00"/>
        <d v="2023-08-17T00:00:00"/>
        <d v="2024-11-28T00:00:00"/>
        <d v="2024-01-23T00:00:00"/>
        <d v="2024-09-15T00:00:00"/>
        <d v="2023-09-19T00:00:00"/>
        <d v="2023-06-03T00:00:00"/>
        <d v="2022-10-23T00:00:00"/>
        <d v="2024-08-26T00:00:00"/>
        <d v="2022-01-30T00:00:00"/>
        <d v="2022-11-13T00:00:00"/>
        <d v="2024-10-11T00:00:00"/>
        <d v="2023-05-19T00:00:00"/>
        <d v="2024-01-25T00:00:00"/>
        <d v="2024-12-16T00:00:00"/>
        <d v="2024-07-10T00:00:00"/>
        <d v="2024-09-05T00:00:00"/>
        <d v="2023-09-06T00:00:00"/>
        <d v="2024-08-03T00:00:00"/>
        <d v="2024-08-19T00:00:00"/>
        <d v="2023-11-26T00:00:00"/>
        <d v="2022-09-21T00:00:00"/>
        <d v="2023-05-29T00:00:00"/>
        <d v="2022-07-13T00:00:00"/>
        <d v="2024-07-29T00:00:00"/>
        <d v="2024-09-26T00:00:00"/>
        <d v="2022-01-09T00:00:00"/>
        <d v="2022-06-22T00:00:00"/>
        <d v="2023-01-26T00:00:00"/>
        <d v="2024-06-25T00:00:00"/>
        <d v="2023-07-24T00:00:00"/>
        <d v="2022-07-27T00:00:00"/>
        <d v="2024-01-16T00:00:00"/>
        <d v="2023-03-22T00:00:00"/>
        <d v="2023-06-11T00:00:00"/>
        <d v="2023-01-03T00:00:00"/>
        <d v="2022-05-01T00:00:00"/>
        <d v="2023-11-12T00:00:00"/>
        <d v="2023-05-31T00:00:00"/>
        <d v="2022-06-10T00:00:00"/>
        <d v="2022-05-11T00:00:00"/>
        <d v="2025-01-06T00:00:00"/>
        <d v="2022-03-22T00:00:00"/>
        <d v="2022-09-29T00:00:00"/>
        <d v="2022-08-10T00:00:00"/>
        <d v="2022-04-25T00:00:00"/>
        <d v="2023-06-12T00:00:00"/>
        <d v="2024-12-17T00:00:00"/>
        <d v="2023-04-05T00:00:00"/>
        <d v="2023-11-03T00:00:00"/>
        <d v="2022-02-04T00:00:00"/>
        <d v="2023-12-19T00:00:00"/>
        <d v="2023-12-18T00:00:00"/>
        <d v="2024-06-24T00:00:00"/>
        <d v="2022-01-23T00:00:00"/>
        <d v="2023-10-22T00:00:00"/>
        <d v="2024-08-09T00:00:00"/>
        <d v="2023-09-20T00:00:00"/>
        <d v="2023-02-12T00:00:00"/>
        <d v="2023-09-26T00:00:00"/>
        <d v="2023-01-02T00:00:00"/>
        <d v="2023-05-08T00:00:00"/>
        <d v="2023-06-23T00:00:00"/>
        <d v="2023-03-09T00:00:00"/>
        <d v="2023-05-12T00:00:00"/>
        <d v="2023-03-02T00:00:00"/>
        <d v="2022-12-14T00:00:00"/>
        <d v="2022-12-01T00:00:00"/>
        <d v="2022-02-21T00:00:00"/>
        <d v="2024-03-13T00:00:00"/>
        <d v="2023-07-20T00:00:00"/>
        <d v="2023-07-21T00:00:00"/>
        <d v="2022-10-08T00:00:00"/>
        <d v="2024-03-04T00:00:00"/>
        <d v="2022-09-07T00:00:00"/>
        <d v="2024-12-12T00:00:00"/>
        <d v="2024-05-28T00:00:00"/>
        <d v="2022-06-23T00:00:00"/>
        <d v="2024-05-07T00:00:00"/>
        <d v="2023-01-28T00:00:00"/>
        <d v="2023-08-19T00:00:00"/>
        <d v="2023-10-01T00:00:00"/>
        <d v="2022-08-14T00:00:00"/>
        <d v="2023-01-30T00:00:00"/>
        <d v="2023-03-24T00:00:00"/>
        <d v="2023-03-01T00:00:00"/>
        <d v="2023-04-16T00:00:00"/>
        <d v="2022-02-09T00:00:00"/>
        <d v="2024-01-31T00:00:00"/>
        <d v="2024-03-02T00:00:00"/>
        <d v="2024-10-27T00:00:00"/>
        <d v="2022-06-25T00:00:00"/>
        <d v="2023-06-08T00:00:00"/>
        <d v="2024-04-30T00:00:00"/>
        <d v="2024-01-02T00:00:00"/>
        <d v="2024-08-05T00:00:00"/>
        <d v="2022-04-04T00:00:00"/>
        <d v="2022-04-30T00:00:00"/>
        <d v="2022-07-29T00:00:00"/>
        <d v="2023-04-23T00:00:00"/>
        <d v="2022-12-12T00:00:00"/>
        <d v="2022-05-19T00:00:00"/>
        <d v="2022-05-15T00:00:00"/>
        <d v="2023-11-21T00:00:00"/>
        <d v="2022-11-28T00:00:00"/>
        <d v="2024-07-19T00:00:00"/>
        <d v="2024-07-03T00:00:00"/>
        <d v="2023-09-03T00:00:00"/>
        <d v="2024-05-05T00:00:00"/>
        <d v="2024-10-08T00:00:00"/>
        <d v="2024-04-14T00:00:00"/>
        <d v="2022-05-20T00:00:00"/>
        <d v="2023-10-06T00:00:00"/>
        <d v="2022-06-14T00:00:00"/>
        <d v="2024-12-07T00:00:00"/>
        <d v="2022-08-11T00:00:00"/>
        <d v="2024-07-09T00:00:00"/>
        <d v="2024-08-17T00:00:00"/>
        <d v="2022-05-16T00:00:00"/>
        <d v="2023-08-11T00:00:00"/>
        <d v="2023-08-16T00:00:00"/>
        <d v="2024-05-13T00:00:00"/>
        <d v="2024-11-21T00:00:00"/>
        <d v="2024-02-09T00:00:00"/>
        <d v="2022-05-23T00:00:00"/>
        <d v="2022-09-04T00:00:00"/>
        <d v="2022-11-22T00:00:00"/>
        <d v="2023-05-13T00:00:00"/>
        <d v="2022-07-03T00:00:00"/>
        <d v="2024-06-15T00:00:00"/>
        <d v="2024-05-16T00:00:00"/>
        <d v="2024-01-20T00:00:00"/>
        <d v="2023-04-10T00:00:00"/>
        <d v="2023-06-21T00:00:00"/>
        <d v="2023-04-24T00:00:00"/>
        <d v="2024-11-17T00:00:00"/>
        <d v="2023-01-04T00:00:00"/>
        <d v="2023-05-18T00:00:00"/>
        <d v="2025-01-12T00:00:00"/>
        <d v="2023-12-26T00:00:00"/>
        <d v="2024-07-22T00:00:00"/>
        <d v="2023-06-15T00:00:00"/>
        <d v="2024-09-08T00:00:00"/>
        <d v="2024-11-10T00:00:00"/>
        <d v="2024-05-08T00:00:00"/>
        <d v="2022-11-30T00:00:00"/>
        <d v="2023-07-08T00:00:00"/>
        <d v="2024-05-04T00:00:00"/>
        <d v="2024-09-21T00:00:00"/>
        <d v="2022-05-03T00:00:00"/>
        <d v="2024-12-19T00:00:00"/>
        <d v="2022-12-09T00:00:00"/>
        <d v="2022-07-24T00:00:00"/>
        <d v="2023-12-04T00:00:00"/>
        <d v="2022-12-02T00:00:00"/>
        <d v="2024-02-03T00:00:00"/>
        <d v="2024-07-24T00:00:00"/>
        <d v="2022-07-19T00:00:00"/>
        <d v="2023-09-16T00:00:00"/>
        <d v="2022-04-17T00:00:00"/>
        <d v="2024-03-31T00:00:00"/>
        <d v="2024-12-15T00:00:00"/>
        <d v="2024-07-25T00:00:00"/>
        <d v="2023-07-26T00:00:00"/>
        <d v="2023-01-10T00:00:00"/>
        <d v="2024-04-22T00:00:00"/>
        <d v="2022-07-14T00:00:00"/>
        <d v="2023-09-13T00:00:00"/>
        <d v="2023-02-04T00:00:00"/>
        <d v="2023-06-17T00:00:00"/>
        <d v="2022-03-30T00:00:00"/>
        <d v="2022-08-07T00:00:00"/>
        <d v="2024-06-11T00:00:00"/>
        <d v="2023-09-05T00:00:00"/>
        <d v="2023-09-24T00:00:00"/>
        <d v="2022-10-31T00:00:00"/>
        <d v="2023-11-25T00:00:00"/>
        <d v="2023-11-10T00:00:00"/>
        <d v="2024-03-01T00:00:00"/>
        <d v="2024-02-19T00:00:00"/>
        <d v="2023-10-23T00:00:00"/>
        <d v="2023-03-14T00:00:00"/>
        <d v="2022-01-24T00:00:00"/>
        <d v="2024-01-09T00:00:00"/>
        <d v="2024-10-30T00:00:00"/>
        <d v="2022-05-06T00:00:00"/>
        <d v="2022-12-22T00:00:00"/>
        <d v="2024-10-05T00:00:00"/>
        <d v="2022-04-24T00:00:00"/>
        <d v="2024-09-17T00:00:00"/>
        <d v="2022-06-04T00:00:00"/>
        <d v="2022-06-27T00:00:00"/>
        <d v="2023-10-19T00:00:00"/>
        <d v="2023-03-07T00:00:00"/>
        <d v="2022-08-31T00:00:00"/>
        <d v="2023-11-16T00:00:00"/>
        <d v="2023-07-28T00:00:00"/>
        <d v="2024-04-21T00:00:00"/>
        <d v="2023-07-22T00:00:00"/>
        <d v="2023-01-27T00:00:00"/>
        <d v="2023-02-28T00:00:00"/>
        <d v="2023-08-27T00:00:00"/>
        <d v="2023-02-07T00:00:00"/>
        <d v="2022-10-30T00:00:00"/>
        <d v="2023-07-11T00:00:00"/>
        <d v="2023-10-07T00:00:00"/>
        <d v="2022-05-14T00:00:00"/>
        <d v="2024-01-07T00:00:00"/>
        <d v="2022-09-17T00:00:00"/>
        <d v="2024-07-14T00:00:00"/>
        <d v="2023-08-26T00:00:00"/>
        <d v="2022-08-03T00:00:00"/>
        <d v="2023-03-05T00:00:00"/>
        <d v="2023-01-16T00:00:00"/>
        <d v="2023-06-29T00:00:00"/>
        <d v="2023-12-29T00:00:00"/>
        <d v="2023-12-23T00:00:00"/>
        <d v="2022-08-27T00:00:00"/>
        <d v="2024-05-22T00:00:00"/>
        <d v="2024-02-21T00:00:00"/>
        <d v="2022-03-20T00:00:00"/>
        <d v="2022-05-22T00:00:00"/>
        <d v="2023-10-04T00:00:00"/>
        <d v="2022-10-24T00:00:00"/>
        <d v="2022-11-18T00:00:00"/>
        <d v="2022-03-07T00:00:00"/>
        <d v="2023-06-14T00:00:00"/>
        <d v="2024-03-30T00:00:00"/>
        <d v="2024-08-07T00:00:00"/>
        <d v="2023-12-15T00:00:00"/>
        <d v="2024-05-09T00:00:00"/>
        <d v="2023-03-29T00:00:00"/>
        <d v="2024-11-04T00:00:00"/>
        <d v="2022-10-22T00:00:00"/>
        <d v="2023-02-01T00:00:00"/>
        <d v="2023-10-27T00:00:00"/>
        <d v="2022-03-28T00:00:00"/>
        <d v="2022-05-26T00:00:00"/>
        <d v="2024-08-12T00:00:00"/>
        <d v="2023-02-19T00:00:00"/>
        <d v="2023-09-09T00:00:00"/>
        <d v="2022-12-23T00:00:00"/>
        <d v="2023-08-29T00:00:00"/>
        <d v="2024-06-23T00:00:00"/>
        <d v="2023-01-21T00:00:00"/>
        <d v="2023-09-23T00:00:00"/>
        <d v="2024-08-14T00:00:00"/>
        <d v="2024-10-22T00:00:00"/>
        <d v="2022-12-26T00:00:00"/>
        <d v="2023-08-08T00:00:00"/>
        <d v="2023-04-03T00:00:00"/>
        <d v="2022-10-04T00:00:00"/>
        <d v="2022-09-09T00:00:00"/>
        <d v="2024-08-22T00:00:00"/>
        <d v="2022-07-16T00:00:00"/>
        <d v="2022-09-18T00:00:00"/>
        <d v="2024-03-17T00:00:00"/>
        <d v="2024-06-07T00:00:00"/>
        <d v="2024-02-12T00:00:00"/>
        <d v="2024-09-06T00:00:00"/>
        <d v="2023-09-08T00:00:00"/>
        <d v="2024-02-17T00:00:00"/>
        <d v="2022-02-15T00:00:00"/>
        <d v="2022-10-13T00:00:00"/>
        <d v="2022-07-12T00:00:00"/>
        <d v="2023-04-21T00:00:00"/>
        <d v="2024-12-14T00:00:00"/>
        <d v="2023-07-27T00:00:00"/>
        <d v="2024-10-20T00:00:00"/>
        <d v="2024-01-13T00:00:00"/>
        <d v="2022-06-02T00:00:00"/>
        <d v="2024-03-21T00:00:00"/>
        <d v="2022-04-03T00:00:00"/>
        <d v="2023-08-10T00:00:00"/>
        <d v="2024-10-10T00:00:00"/>
        <d v="2024-09-16T00:00:00"/>
        <d v="2022-04-07T00:00:00"/>
        <d v="2022-01-07T00:00:00"/>
        <d v="2022-10-29T00:00:00"/>
        <d v="2022-08-30T00:00:00"/>
        <d v="2023-04-17T00:00:00"/>
        <d v="2022-02-14T00:00:00"/>
        <d v="2022-10-03T00:00:00"/>
        <d v="2023-02-10T00:00:00"/>
        <d v="2022-07-20T00:00:00"/>
        <d v="2023-11-06T00:00:00"/>
        <d v="2024-07-28T00:00:00"/>
        <d v="2024-08-29T00:00:00"/>
        <d v="2024-01-18T00:00:00"/>
        <d v="2022-03-09T00:00:00"/>
        <d v="2025-01-05T00:00:00"/>
        <d v="2022-01-27T00:00:00"/>
        <d v="2023-04-09T00:00:00"/>
        <d v="2023-04-26T00:00:00"/>
        <d v="2024-03-07T00:00:00"/>
        <d v="2022-01-20T00:00:00"/>
        <d v="2022-11-08T00:00:00"/>
        <d v="2024-01-19T00:00:00"/>
        <d v="2023-01-12T00:00:00"/>
        <d v="2023-12-16T00:00:00"/>
        <d v="2024-08-11T00:00:00"/>
        <d v="2024-10-13T00:00:00"/>
        <d v="2022-09-13T00:00:00"/>
        <d v="2023-09-17T00:00:00"/>
        <d v="2022-04-11T00:00:00"/>
        <d v="2023-07-03T00:00:00"/>
        <d v="2023-09-11T00:00:00"/>
        <d v="2024-02-06T00:00:00"/>
        <d v="2023-12-01T00:00:00"/>
        <d v="2023-07-06T00:00:00"/>
        <d v="2022-12-15T00:00:00"/>
        <d v="2023-11-22T00:00:00"/>
        <d v="2024-10-28T00:00:00"/>
        <d v="2022-03-11T00:00:00"/>
        <d v="2024-10-24T00:00:00"/>
        <d v="2024-02-05T00:00:00"/>
        <d v="2023-05-14T00:00:00"/>
        <d v="2022-04-22T00:00:00"/>
        <d v="2024-10-29T00:00:00"/>
        <d v="2024-05-27T00:00:00"/>
        <d v="2023-02-09T00:00:00"/>
        <d v="2022-01-25T00:00:00"/>
        <d v="2023-02-25T00:00:00"/>
        <d v="2024-06-05T00:00:00"/>
        <d v="2024-10-26T00:00:00"/>
        <d v="2023-08-21T00:00:00"/>
        <d v="2022-06-15T00:00:00"/>
        <d v="2023-08-05T00:00:00"/>
        <d v="2022-07-22T00:00:00"/>
        <d v="2024-01-14T00:00:00"/>
        <d v="2022-03-10T00:00:00"/>
        <d v="2024-11-25T00:00:00"/>
        <d v="2022-09-28T00:00:00"/>
        <d v="2022-12-04T00:00:00"/>
        <d v="2023-02-11T00:00:00"/>
        <d v="2022-09-20T00:00:00"/>
        <d v="2022-11-12T00:00:00"/>
        <d v="2024-11-27T00:00:00"/>
        <d v="2023-01-25T00:00:00"/>
        <d v="2022-04-02T00:00:00"/>
        <d v="2024-12-21T00:00:00"/>
        <d v="2022-12-28T00:00:00"/>
        <d v="2022-01-03T00:00:00"/>
        <d v="2023-07-19T00:00:00"/>
        <d v="2024-08-13T00:00:00"/>
        <d v="2022-11-25T00:00:00"/>
        <d v="2023-10-18T00:00:00"/>
        <d v="2024-01-04T00:00:00"/>
        <d v="2023-11-27T00:00:00"/>
        <d v="2024-04-11T00:00:00"/>
        <d v="2024-06-02T00:00:00"/>
        <d v="2022-02-26T00:00:00"/>
        <d v="2024-04-15T00:00:00"/>
        <d v="2022-08-17T00:00:00"/>
        <d v="2023-06-27T00:00:00"/>
        <d v="2022-04-10T00:00:00"/>
        <d v="2022-08-04T00:00:00"/>
        <d v="2023-08-06T00:00:00"/>
        <d v="2022-06-03T00:00:00"/>
        <d v="2022-06-30T00:00:00"/>
        <d v="2022-05-31T00:00:00"/>
        <d v="2024-07-26T00:00:00"/>
        <d v="2023-11-19T00:00:00"/>
        <d v="2025-01-09T00:00:00"/>
        <d v="2024-01-11T00:00:00"/>
        <d v="2023-05-05T00:00:00"/>
        <d v="2023-12-07T00:00:00"/>
        <d v="2024-11-19T00:00:00"/>
        <d v="2023-01-22T00:00:00"/>
        <d v="2022-10-07T00:00:00"/>
        <d v="2024-11-23T00:00:00"/>
        <d v="2023-11-07T00:00:00"/>
        <d v="2022-07-06T00:00:00"/>
        <d v="2022-04-06T00:00:00"/>
        <d v="2024-10-09T00:00:00"/>
        <d v="2023-07-29T00:00:00"/>
        <d v="2023-02-08T00:00:00"/>
        <d v="2022-09-30T00:00:00"/>
        <d v="2022-08-20T00:00:00"/>
        <d v="2024-03-10T00:00:00"/>
        <d v="2022-06-16T00:00:00"/>
        <d v="2023-04-27T00:00:00"/>
        <d v="2022-07-31T00:00:00"/>
        <d v="2022-03-25T00:00:00"/>
        <d v="2024-02-13T00:00:00"/>
        <d v="2022-03-03T00:00:00"/>
        <d v="2023-05-03T00:00:00"/>
        <d v="2024-12-08T00:00:00"/>
        <d v="2024-09-09T00:00:00"/>
        <d v="2022-11-03T00:00:00"/>
        <d v="2024-03-26T00:00:00"/>
        <d v="2023-06-09T00:00:00"/>
        <d v="2024-12-18T00:00:00"/>
        <d v="2024-10-25T00:00:00"/>
        <d v="2024-09-24T00:00:00"/>
        <d v="2023-10-30T00:00:00"/>
        <d v="2023-11-09T00:00:00"/>
        <d v="2023-01-17T00:00:00"/>
        <d v="2023-08-03T00:00:00"/>
        <d v="2023-05-11T00:00:00"/>
        <d v="2023-08-31T00:00:00"/>
        <d v="2024-03-14T00:00:00"/>
        <d v="2024-02-26T00:00:00"/>
        <d v="2024-09-13T00:00:00"/>
        <d v="2024-08-24T00:00:00"/>
        <d v="2023-10-16T00:00:00"/>
        <d v="2023-09-27T00:00:00"/>
        <d v="2023-03-15T00:00:00"/>
        <d v="2024-02-11T00:00:00"/>
        <d v="2024-04-01T00:00:00"/>
        <d v="2023-05-06T00:00:00"/>
        <d v="2023-11-02T00:00:00"/>
        <d v="2024-05-30T00:00:00"/>
        <d v="2023-09-15T00:00:00"/>
        <d v="2024-01-03T00:00:00"/>
        <d v="2022-12-20T00:00:00"/>
        <d v="2023-07-02T00:00:00"/>
        <d v="2023-03-30T00:00:00"/>
        <d v="2023-05-16T00:00:00"/>
        <d v="2024-04-05T00:00:00"/>
        <d v="2024-03-12T00:00:00"/>
        <d v="2023-11-11T00:00:00"/>
        <d v="2023-05-24T00:00:00"/>
        <d v="2023-07-07T00:00:00"/>
        <d v="2023-01-07T00:00:00"/>
        <d v="2022-03-21T00:00:00"/>
        <d v="2023-03-06T00:00:00"/>
        <d v="2022-10-05T00:00:00"/>
        <d v="2022-04-18T00:00:00"/>
        <d v="2024-02-04T00:00:00"/>
        <d v="2022-11-15T00:00:00"/>
        <d v="2024-03-05T00:00:00"/>
        <d v="2024-06-19T00:00:00"/>
        <d v="2022-06-17T00:00:00"/>
        <d v="2023-11-20T00:00:00"/>
        <d v="2024-08-01T00:00:00"/>
        <d v="2024-07-05T00:00:00"/>
        <d v="2023-09-18T00:00:00"/>
        <d v="2023-08-22T00:00:00"/>
        <d v="2023-06-24T00:00:00"/>
        <d v="2024-04-07T00:00:00"/>
        <d v="2022-12-21T00:00:00"/>
        <d v="2023-03-19T00:00:00"/>
        <d v="2022-08-06T00:00:00"/>
        <d v="2024-02-24T00:00:00"/>
        <d v="2023-06-18T00:00:00"/>
        <d v="2022-08-05T00:00:00"/>
        <d v="2023-10-11T00:00:00"/>
        <d v="2023-06-13T00:00:00"/>
        <d v="2022-02-16T00:00:00"/>
        <d v="2023-12-10T00:00:00"/>
        <d v="2022-11-09T00:00:00"/>
        <d v="2023-10-31T00:00:00"/>
        <d v="2023-04-13T00:00:00"/>
        <d v="2022-09-22T00:00:00"/>
        <d v="2024-02-29T00:00:00"/>
        <d v="2022-11-06T00:00:00"/>
        <d v="2023-12-17T00:00:00"/>
        <d v="2022-08-02T00:00:00"/>
        <d v="2024-05-31T00:00:00"/>
        <d v="2023-05-09T00:00:00"/>
        <d v="2024-11-26T00:00:00"/>
        <d v="2023-03-13T00:00:00"/>
        <d v="2024-01-15T00:00:00"/>
        <d v="2025-01-15T00:00:00"/>
        <d v="2025-01-13T00:00:00"/>
        <d v="2023-08-15T00:00:00"/>
        <d v="2024-02-15T00:00:00"/>
        <d v="2022-04-23T00:00:00"/>
        <d v="2022-05-29T00:00:00"/>
        <d v="2023-08-04T00:00:00"/>
        <d v="2023-07-18T00:00:00"/>
        <d v="2023-01-29T00:00:00"/>
        <d v="2022-03-26T00:00:00"/>
        <d v="2024-10-16T00:00:00"/>
        <d v="2023-11-23T00:00:00"/>
        <d v="2022-01-06T00:00:00"/>
        <d v="2022-02-05T00:00:00"/>
        <d v="2024-09-14T00:00:00"/>
        <d v="2023-04-15T00:00:00"/>
        <d v="2024-05-26T00:00:00"/>
        <d v="2023-05-17T00:00:00"/>
        <d v="2022-10-15T00:00:00"/>
        <d v="2024-08-30T00:00:00"/>
        <d v="2022-12-24T00:00:00"/>
        <d v="2023-12-08T00:00:00"/>
        <d v="2022-08-28T00:00:00"/>
        <d v="2022-03-14T00:00:00"/>
        <d v="2022-12-06T00:00:00"/>
        <d v="2022-09-16T00:00:00"/>
        <d v="2023-03-16T00:00:00"/>
        <d v="2022-12-19T00:00:00"/>
        <d v="2024-04-26T00:00:00"/>
        <d v="2023-05-30T00:00:00"/>
        <d v="2022-05-07T00:00:00"/>
      </sharedItems>
      <fieldGroup par="18"/>
    </cacheField>
    <cacheField name="Discount Applied" numFmtId="0">
      <sharedItems count="2">
        <b v="0"/>
        <b v="1"/>
      </sharedItems>
    </cacheField>
    <cacheField name="Discount allowed" numFmtId="0">
      <sharedItems/>
    </cacheField>
    <cacheField name="Column1" numFmtId="0">
      <sharedItems/>
    </cacheField>
    <cacheField name="Column2" numFmtId="0">
      <sharedItems/>
    </cacheField>
    <cacheField name="Column3" numFmtId="0">
      <sharedItems/>
    </cacheField>
    <cacheField name="Column4" numFmtId="0">
      <sharedItems/>
    </cacheField>
    <cacheField name="Months (Transaction Date)" numFmtId="0" databaseField="0">
      <fieldGroup base="9">
        <rangePr groupBy="months" startDate="2022-01-01T00:00:00" endDate="2025-01-19T00:00:00"/>
        <groupItems count="14">
          <s v="&lt;01/01/2022"/>
          <s v="Jan"/>
          <s v="Feb"/>
          <s v="Mar"/>
          <s v="Apr"/>
          <s v="May"/>
          <s v="Jun"/>
          <s v="Jul"/>
          <s v="Aug"/>
          <s v="Sep"/>
          <s v="Oct"/>
          <s v="Nov"/>
          <s v="Dec"/>
          <s v="&gt;19/01/2025"/>
        </groupItems>
      </fieldGroup>
    </cacheField>
    <cacheField name="Quarters (Transaction Date)" numFmtId="0" databaseField="0">
      <fieldGroup base="9">
        <rangePr groupBy="quarters" startDate="2022-01-01T00:00:00" endDate="2025-01-19T00:00:00"/>
        <groupItems count="6">
          <s v="&lt;01/01/2022"/>
          <s v="Qtr1"/>
          <s v="Qtr2"/>
          <s v="Qtr3"/>
          <s v="Qtr4"/>
          <s v="&gt;19/01/2025"/>
        </groupItems>
      </fieldGroup>
    </cacheField>
    <cacheField name="Years (Transaction Date)" numFmtId="0" databaseField="0">
      <fieldGroup base="9">
        <rangePr groupBy="years" startDate="2022-01-01T00:00:00" endDate="2025-01-19T00:00:00"/>
        <groupItems count="6">
          <s v="&lt;01/01/2022"/>
          <s v="2022"/>
          <s v="2023"/>
          <s v="2024"/>
          <s v="2025"/>
          <s v="&gt;19/01/2025"/>
        </groupItems>
      </fieldGroup>
    </cacheField>
  </cacheFields>
  <extLst>
    <ext xmlns:x14="http://schemas.microsoft.com/office/spreadsheetml/2009/9/main" uri="{725AE2AE-9491-48be-B2B4-4EB974FC3084}">
      <x14:pivotCacheDefinition pivotCacheId="94135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79">
  <r>
    <s v="TXN_1113295"/>
    <s v="CUST_11"/>
    <x v="0"/>
    <x v="0"/>
    <x v="0"/>
    <x v="0"/>
    <n v="410"/>
    <x v="0"/>
    <x v="0"/>
    <x v="0"/>
    <x v="0"/>
    <s v="DISCOUNT NOT ALLOWED"/>
    <s v="discount not allowed"/>
    <s v="DISCOUNT NOT ALLOWED"/>
    <s v="Discount Not Allowed"/>
    <s v="23/08/22"/>
  </r>
  <r>
    <s v="TXN_1172555"/>
    <s v="CUST_08"/>
    <x v="1"/>
    <x v="1"/>
    <x v="0"/>
    <x v="0"/>
    <n v="410"/>
    <x v="1"/>
    <x v="1"/>
    <x v="1"/>
    <x v="1"/>
    <s v="DISCOUNT ALLOWED"/>
    <s v="discount allowed"/>
    <s v="DISCOUNT ALLOWED"/>
    <s v="Discount Allowed"/>
    <s v="01/04/23"/>
  </r>
  <r>
    <s v="TXN_1273334"/>
    <s v="CUST_22"/>
    <x v="1"/>
    <x v="1"/>
    <x v="0"/>
    <x v="0"/>
    <n v="410"/>
    <x v="0"/>
    <x v="1"/>
    <x v="2"/>
    <x v="1"/>
    <s v="DISCOUNT ALLOWED"/>
    <s v="discount allowed"/>
    <s v="DISCOUNT ALLOWED"/>
    <s v="Discount Allowed"/>
    <s v="04/11/22"/>
  </r>
  <r>
    <s v="TXN_1599706"/>
    <s v="CUST_14"/>
    <x v="2"/>
    <x v="2"/>
    <x v="0"/>
    <x v="0"/>
    <n v="410"/>
    <x v="2"/>
    <x v="1"/>
    <x v="3"/>
    <x v="1"/>
    <s v="DISCOUNT ALLOWED"/>
    <s v="discount allowed"/>
    <s v="DISCOUNT ALLOWED"/>
    <s v="Discount Allowed"/>
    <s v="24/03/24"/>
  </r>
  <r>
    <s v="TXN_1654267"/>
    <s v="CUST_03"/>
    <x v="0"/>
    <x v="0"/>
    <x v="0"/>
    <x v="0"/>
    <n v="410"/>
    <x v="1"/>
    <x v="0"/>
    <x v="4"/>
    <x v="0"/>
    <s v="DISCOUNT NOT ALLOWED"/>
    <s v="discount not allowed"/>
    <s v="DISCOUNT NOT ALLOWED"/>
    <s v="Discount Not Allowed"/>
    <s v="23/03/24"/>
  </r>
  <r>
    <s v="TXN_1860120"/>
    <s v="CUST_01"/>
    <x v="2"/>
    <x v="2"/>
    <x v="0"/>
    <x v="0"/>
    <n v="410"/>
    <x v="0"/>
    <x v="0"/>
    <x v="5"/>
    <x v="1"/>
    <s v="DISCOUNT ALLOWED"/>
    <s v="discount allowed"/>
    <s v="DISCOUNT ALLOWED"/>
    <s v="Discount Allowed"/>
    <s v="19/01/22"/>
  </r>
  <r>
    <s v="TXN_1938135"/>
    <s v="CUST_17"/>
    <x v="3"/>
    <x v="3"/>
    <x v="0"/>
    <x v="0"/>
    <n v="410"/>
    <x v="0"/>
    <x v="1"/>
    <x v="6"/>
    <x v="1"/>
    <s v="DISCOUNT ALLOWED"/>
    <s v="discount allowed"/>
    <s v="DISCOUNT ALLOWED"/>
    <s v="Discount Allowed"/>
    <s v="20/12/23"/>
  </r>
  <r>
    <s v="TXN_2208547"/>
    <s v="CUST_05"/>
    <x v="1"/>
    <x v="1"/>
    <x v="0"/>
    <x v="0"/>
    <n v="410"/>
    <x v="2"/>
    <x v="0"/>
    <x v="7"/>
    <x v="1"/>
    <s v="DISCOUNT ALLOWED"/>
    <s v="discount allowed"/>
    <s v="DISCOUNT ALLOWED"/>
    <s v="Discount Allowed"/>
    <s v="23/02/22"/>
  </r>
  <r>
    <s v="TXN_2386101"/>
    <s v="CUST_14"/>
    <x v="2"/>
    <x v="2"/>
    <x v="0"/>
    <x v="0"/>
    <n v="410"/>
    <x v="0"/>
    <x v="1"/>
    <x v="8"/>
    <x v="1"/>
    <s v="DISCOUNT ALLOWED"/>
    <s v="discount allowed"/>
    <s v="DISCOUNT ALLOWED"/>
    <s v="Discount Allowed"/>
    <s v="04/01/25"/>
  </r>
  <r>
    <s v="TXN_2624160"/>
    <s v="CUST_16"/>
    <x v="3"/>
    <x v="3"/>
    <x v="0"/>
    <x v="0"/>
    <n v="410"/>
    <x v="0"/>
    <x v="0"/>
    <x v="9"/>
    <x v="1"/>
    <s v="DISCOUNT ALLOWED"/>
    <s v="discount allowed"/>
    <s v="DISCOUNT ALLOWED"/>
    <s v="Discount Allowed"/>
    <s v="19/06/22"/>
  </r>
  <r>
    <s v="TXN_2971834"/>
    <s v="CUST_11"/>
    <x v="3"/>
    <x v="3"/>
    <x v="0"/>
    <x v="0"/>
    <n v="410"/>
    <x v="2"/>
    <x v="0"/>
    <x v="10"/>
    <x v="1"/>
    <s v="DISCOUNT ALLOWED"/>
    <s v="discount allowed"/>
    <s v="DISCOUNT ALLOWED"/>
    <s v="Discount Allowed"/>
    <s v="29/08/22"/>
  </r>
  <r>
    <s v="TXN_3342443"/>
    <s v="CUST_08"/>
    <x v="3"/>
    <x v="3"/>
    <x v="0"/>
    <x v="0"/>
    <n v="410"/>
    <x v="2"/>
    <x v="1"/>
    <x v="11"/>
    <x v="1"/>
    <s v="DISCOUNT ALLOWED"/>
    <s v="discount allowed"/>
    <s v="DISCOUNT ALLOWED"/>
    <s v="Discount Allowed"/>
    <s v="03/10/23"/>
  </r>
  <r>
    <s v="TXN_3465682"/>
    <s v="CUST_12"/>
    <x v="3"/>
    <x v="3"/>
    <x v="0"/>
    <x v="0"/>
    <n v="410"/>
    <x v="2"/>
    <x v="1"/>
    <x v="12"/>
    <x v="0"/>
    <s v="DISCOUNT NOT ALLOWED"/>
    <s v="discount not allowed"/>
    <s v="DISCOUNT NOT ALLOWED"/>
    <s v="Discount Not Allowed"/>
    <s v="23/07/24"/>
  </r>
  <r>
    <s v="TXN_3858239"/>
    <s v="CUST_23"/>
    <x v="4"/>
    <x v="4"/>
    <x v="0"/>
    <x v="0"/>
    <n v="410"/>
    <x v="1"/>
    <x v="1"/>
    <x v="13"/>
    <x v="1"/>
    <s v="DISCOUNT ALLOWED"/>
    <s v="discount allowed"/>
    <s v="DISCOUNT ALLOWED"/>
    <s v="Discount Allowed"/>
    <s v="08/09/22"/>
  </r>
  <r>
    <s v="TXN_4208189"/>
    <s v="CUST_23"/>
    <x v="3"/>
    <x v="3"/>
    <x v="0"/>
    <x v="0"/>
    <n v="410"/>
    <x v="1"/>
    <x v="1"/>
    <x v="14"/>
    <x v="0"/>
    <s v="DISCOUNT NOT ALLOWED"/>
    <s v="discount not allowed"/>
    <s v="DISCOUNT NOT ALLOWED"/>
    <s v="Discount Not Allowed"/>
    <s v="07/06/22"/>
  </r>
  <r>
    <s v="TXN_4428473"/>
    <s v="CUST_04"/>
    <x v="5"/>
    <x v="5"/>
    <x v="0"/>
    <x v="0"/>
    <n v="410"/>
    <x v="0"/>
    <x v="1"/>
    <x v="15"/>
    <x v="1"/>
    <s v="DISCOUNT ALLOWED"/>
    <s v="discount allowed"/>
    <s v="DISCOUNT ALLOWED"/>
    <s v="Discount Allowed"/>
    <s v="28/07/22"/>
  </r>
  <r>
    <s v="TXN_4456347"/>
    <s v="CUST_16"/>
    <x v="5"/>
    <x v="5"/>
    <x v="0"/>
    <x v="0"/>
    <n v="410"/>
    <x v="1"/>
    <x v="0"/>
    <x v="16"/>
    <x v="1"/>
    <s v="DISCOUNT ALLOWED"/>
    <s v="discount allowed"/>
    <s v="DISCOUNT ALLOWED"/>
    <s v="Discount Allowed"/>
    <s v="11/09/22"/>
  </r>
  <r>
    <s v="TXN_4858882"/>
    <s v="CUST_19"/>
    <x v="5"/>
    <x v="5"/>
    <x v="0"/>
    <x v="0"/>
    <n v="410"/>
    <x v="0"/>
    <x v="0"/>
    <x v="6"/>
    <x v="1"/>
    <s v="DISCOUNT ALLOWED"/>
    <s v="discount allowed"/>
    <s v="DISCOUNT ALLOWED"/>
    <s v="Discount Allowed"/>
    <s v="20/12/23"/>
  </r>
  <r>
    <s v="TXN_5150834"/>
    <s v="CUST_13"/>
    <x v="5"/>
    <x v="5"/>
    <x v="0"/>
    <x v="0"/>
    <n v="410"/>
    <x v="0"/>
    <x v="0"/>
    <x v="17"/>
    <x v="1"/>
    <s v="DISCOUNT ALLOWED"/>
    <s v="discount allowed"/>
    <s v="DISCOUNT ALLOWED"/>
    <s v="Discount Allowed"/>
    <s v="24/02/22"/>
  </r>
  <r>
    <s v="TXN_5286547"/>
    <s v="CUST_16"/>
    <x v="4"/>
    <x v="4"/>
    <x v="0"/>
    <x v="0"/>
    <n v="410"/>
    <x v="0"/>
    <x v="0"/>
    <x v="18"/>
    <x v="0"/>
    <s v="DISCOUNT NOT ALLOWED"/>
    <s v="discount not allowed"/>
    <s v="DISCOUNT NOT ALLOWED"/>
    <s v="Discount Not Allowed"/>
    <s v="16/02/23"/>
  </r>
  <r>
    <s v="TXN_5710989"/>
    <s v="CUST_21"/>
    <x v="1"/>
    <x v="1"/>
    <x v="0"/>
    <x v="0"/>
    <n v="410"/>
    <x v="2"/>
    <x v="1"/>
    <x v="19"/>
    <x v="1"/>
    <s v="DISCOUNT ALLOWED"/>
    <s v="discount allowed"/>
    <s v="DISCOUNT ALLOWED"/>
    <s v="Discount Allowed"/>
    <s v="13/08/23"/>
  </r>
  <r>
    <s v="TXN_5870737"/>
    <s v="CUST_17"/>
    <x v="6"/>
    <x v="6"/>
    <x v="0"/>
    <x v="0"/>
    <n v="410"/>
    <x v="2"/>
    <x v="0"/>
    <x v="20"/>
    <x v="0"/>
    <s v="DISCOUNT NOT ALLOWED"/>
    <s v="discount not allowed"/>
    <s v="DISCOUNT NOT ALLOWED"/>
    <s v="Discount Not Allowed"/>
    <s v="24/12/24"/>
  </r>
  <r>
    <s v="TXN_6513125"/>
    <s v="CUST_14"/>
    <x v="1"/>
    <x v="1"/>
    <x v="0"/>
    <x v="0"/>
    <n v="410"/>
    <x v="1"/>
    <x v="0"/>
    <x v="21"/>
    <x v="0"/>
    <s v="DISCOUNT NOT ALLOWED"/>
    <s v="discount not allowed"/>
    <s v="DISCOUNT NOT ALLOWED"/>
    <s v="Discount Not Allowed"/>
    <s v="20/05/23"/>
  </r>
  <r>
    <s v="TXN_6812555"/>
    <s v="CUST_02"/>
    <x v="1"/>
    <x v="1"/>
    <x v="0"/>
    <x v="0"/>
    <n v="410"/>
    <x v="1"/>
    <x v="1"/>
    <x v="22"/>
    <x v="1"/>
    <s v="DISCOUNT ALLOWED"/>
    <s v="discount allowed"/>
    <s v="DISCOUNT ALLOWED"/>
    <s v="Discount Allowed"/>
    <s v="24/01/24"/>
  </r>
  <r>
    <s v="TXN_7177583"/>
    <s v="CUST_10"/>
    <x v="3"/>
    <x v="3"/>
    <x v="0"/>
    <x v="0"/>
    <n v="410"/>
    <x v="1"/>
    <x v="1"/>
    <x v="23"/>
    <x v="0"/>
    <s v="DISCOUNT NOT ALLOWED"/>
    <s v="discount not allowed"/>
    <s v="DISCOUNT NOT ALLOWED"/>
    <s v="Discount Not Allowed"/>
    <s v="31/08/24"/>
  </r>
  <r>
    <s v="TXN_7239201"/>
    <s v="CUST_24"/>
    <x v="1"/>
    <x v="1"/>
    <x v="0"/>
    <x v="0"/>
    <n v="410"/>
    <x v="0"/>
    <x v="1"/>
    <x v="24"/>
    <x v="0"/>
    <s v="DISCOUNT NOT ALLOWED"/>
    <s v="discount not allowed"/>
    <s v="DISCOUNT NOT ALLOWED"/>
    <s v="Discount Not Allowed"/>
    <s v="01/05/24"/>
  </r>
  <r>
    <s v="TXN_7254589"/>
    <s v="CUST_03"/>
    <x v="3"/>
    <x v="3"/>
    <x v="0"/>
    <x v="0"/>
    <n v="410"/>
    <x v="1"/>
    <x v="0"/>
    <x v="25"/>
    <x v="0"/>
    <s v="DISCOUNT NOT ALLOWED"/>
    <s v="discount not allowed"/>
    <s v="DISCOUNT NOT ALLOWED"/>
    <s v="Discount Not Allowed"/>
    <s v="24/09/22"/>
  </r>
  <r>
    <s v="TXN_7484072"/>
    <s v="CUST_02"/>
    <x v="3"/>
    <x v="3"/>
    <x v="0"/>
    <x v="0"/>
    <n v="410"/>
    <x v="2"/>
    <x v="1"/>
    <x v="26"/>
    <x v="0"/>
    <s v="DISCOUNT NOT ALLOWED"/>
    <s v="discount not allowed"/>
    <s v="DISCOUNT NOT ALLOWED"/>
    <s v="Discount Not Allowed"/>
    <s v="31/12/24"/>
  </r>
  <r>
    <s v="TXN_8048041"/>
    <s v="CUST_14"/>
    <x v="3"/>
    <x v="3"/>
    <x v="0"/>
    <x v="0"/>
    <n v="410"/>
    <x v="2"/>
    <x v="1"/>
    <x v="27"/>
    <x v="1"/>
    <s v="DISCOUNT ALLOWED"/>
    <s v="discount allowed"/>
    <s v="DISCOUNT ALLOWED"/>
    <s v="Discount Allowed"/>
    <s v="25/12/23"/>
  </r>
  <r>
    <s v="TXN_8384530"/>
    <s v="CUST_02"/>
    <x v="5"/>
    <x v="5"/>
    <x v="0"/>
    <x v="0"/>
    <n v="410"/>
    <x v="2"/>
    <x v="1"/>
    <x v="27"/>
    <x v="0"/>
    <s v="DISCOUNT NOT ALLOWED"/>
    <s v="discount not allowed"/>
    <s v="DISCOUNT NOT ALLOWED"/>
    <s v="Discount Not Allowed"/>
    <s v="25/12/23"/>
  </r>
  <r>
    <s v="TXN_8520397"/>
    <s v="CUST_12"/>
    <x v="5"/>
    <x v="5"/>
    <x v="0"/>
    <x v="0"/>
    <n v="410"/>
    <x v="2"/>
    <x v="0"/>
    <x v="28"/>
    <x v="1"/>
    <s v="DISCOUNT ALLOWED"/>
    <s v="discount allowed"/>
    <s v="DISCOUNT ALLOWED"/>
    <s v="Discount Allowed"/>
    <s v="27/03/24"/>
  </r>
  <r>
    <s v="TXN_8688342"/>
    <s v="CUST_12"/>
    <x v="2"/>
    <x v="2"/>
    <x v="0"/>
    <x v="0"/>
    <n v="410"/>
    <x v="0"/>
    <x v="0"/>
    <x v="29"/>
    <x v="1"/>
    <s v="DISCOUNT ALLOWED"/>
    <s v="discount allowed"/>
    <s v="DISCOUNT ALLOWED"/>
    <s v="Discount Allowed"/>
    <s v="20/04/24"/>
  </r>
  <r>
    <s v="TXN_8716794"/>
    <s v="CUST_13"/>
    <x v="4"/>
    <x v="4"/>
    <x v="0"/>
    <x v="0"/>
    <n v="410"/>
    <x v="1"/>
    <x v="0"/>
    <x v="30"/>
    <x v="0"/>
    <s v="DISCOUNT NOT ALLOWED"/>
    <s v="discount not allowed"/>
    <s v="DISCOUNT NOT ALLOWED"/>
    <s v="Discount Not Allowed"/>
    <s v="29/05/24"/>
  </r>
  <r>
    <s v="TXN_8830035"/>
    <s v="CUST_17"/>
    <x v="2"/>
    <x v="2"/>
    <x v="0"/>
    <x v="0"/>
    <n v="410"/>
    <x v="0"/>
    <x v="0"/>
    <x v="31"/>
    <x v="1"/>
    <s v="DISCOUNT ALLOWED"/>
    <s v="discount allowed"/>
    <s v="DISCOUNT ALLOWED"/>
    <s v="Discount Allowed"/>
    <s v="05/07/22"/>
  </r>
  <r>
    <s v="TXN_9745509"/>
    <s v="CUST_01"/>
    <x v="7"/>
    <x v="7"/>
    <x v="0"/>
    <x v="0"/>
    <n v="410"/>
    <x v="0"/>
    <x v="1"/>
    <x v="32"/>
    <x v="0"/>
    <s v="DISCOUNT NOT ALLOWED"/>
    <s v="discount not allowed"/>
    <s v="DISCOUNT NOT ALLOWED"/>
    <s v="Discount Not Allowed"/>
    <s v="24/08/23"/>
  </r>
  <r>
    <s v="TXN_9777368"/>
    <s v="CUST_01"/>
    <x v="4"/>
    <x v="4"/>
    <x v="0"/>
    <x v="0"/>
    <n v="410"/>
    <x v="0"/>
    <x v="0"/>
    <x v="33"/>
    <x v="1"/>
    <s v="DISCOUNT ALLOWED"/>
    <s v="discount allowed"/>
    <s v="DISCOUNT ALLOWED"/>
    <s v="Discount Allowed"/>
    <s v="10/10/23"/>
  </r>
  <r>
    <s v="TXN_9791556"/>
    <s v="CUST_18"/>
    <x v="2"/>
    <x v="2"/>
    <x v="0"/>
    <x v="0"/>
    <n v="410"/>
    <x v="0"/>
    <x v="1"/>
    <x v="34"/>
    <x v="0"/>
    <s v="DISCOUNT NOT ALLOWED"/>
    <s v="discount not allowed"/>
    <s v="DISCOUNT NOT ALLOWED"/>
    <s v="Discount Not Allowed"/>
    <s v="27/01/24"/>
  </r>
  <r>
    <s v="TXN_1037036"/>
    <s v="CUST_18"/>
    <x v="1"/>
    <x v="8"/>
    <x v="1"/>
    <x v="0"/>
    <n v="395"/>
    <x v="0"/>
    <x v="0"/>
    <x v="35"/>
    <x v="0"/>
    <s v="DISCOUNT NOT ALLOWED"/>
    <s v="discount not allowed"/>
    <s v="DISCOUNT NOT ALLOWED"/>
    <s v="Discount Not Allowed"/>
    <s v="22/03/24"/>
  </r>
  <r>
    <s v="TXN_1511916"/>
    <s v="CUST_08"/>
    <x v="2"/>
    <x v="9"/>
    <x v="1"/>
    <x v="0"/>
    <n v="395"/>
    <x v="2"/>
    <x v="1"/>
    <x v="36"/>
    <x v="0"/>
    <s v="DISCOUNT NOT ALLOWED"/>
    <s v="discount not allowed"/>
    <s v="DISCOUNT NOT ALLOWED"/>
    <s v="Discount Not Allowed"/>
    <s v="19/01/23"/>
  </r>
  <r>
    <s v="TXN_1852878"/>
    <s v="CUST_07"/>
    <x v="7"/>
    <x v="10"/>
    <x v="1"/>
    <x v="0"/>
    <n v="395"/>
    <x v="2"/>
    <x v="1"/>
    <x v="37"/>
    <x v="1"/>
    <s v="DISCOUNT ALLOWED"/>
    <s v="discount allowed"/>
    <s v="DISCOUNT ALLOWED"/>
    <s v="Discount Allowed"/>
    <s v="19/06/23"/>
  </r>
  <r>
    <s v="TXN_2565828"/>
    <s v="CUST_21"/>
    <x v="4"/>
    <x v="11"/>
    <x v="1"/>
    <x v="0"/>
    <n v="395"/>
    <x v="2"/>
    <x v="0"/>
    <x v="38"/>
    <x v="0"/>
    <s v="DISCOUNT NOT ALLOWED"/>
    <s v="discount not allowed"/>
    <s v="DISCOUNT NOT ALLOWED"/>
    <s v="Discount Not Allowed"/>
    <s v="18/02/22"/>
  </r>
  <r>
    <s v="TXN_3839456"/>
    <s v="CUST_20"/>
    <x v="2"/>
    <x v="9"/>
    <x v="1"/>
    <x v="0"/>
    <n v="395"/>
    <x v="1"/>
    <x v="0"/>
    <x v="39"/>
    <x v="1"/>
    <s v="DISCOUNT ALLOWED"/>
    <s v="discount allowed"/>
    <s v="DISCOUNT ALLOWED"/>
    <s v="Discount Allowed"/>
    <s v="10/01/25"/>
  </r>
  <r>
    <s v="TXN_3846767"/>
    <s v="CUST_07"/>
    <x v="3"/>
    <x v="12"/>
    <x v="1"/>
    <x v="0"/>
    <n v="395"/>
    <x v="1"/>
    <x v="1"/>
    <x v="40"/>
    <x v="0"/>
    <s v="DISCOUNT NOT ALLOWED"/>
    <s v="discount not allowed"/>
    <s v="DISCOUNT NOT ALLOWED"/>
    <s v="Discount Not Allowed"/>
    <s v="24/08/22"/>
  </r>
  <r>
    <s v="TXN_3858610"/>
    <s v="CUST_17"/>
    <x v="7"/>
    <x v="10"/>
    <x v="1"/>
    <x v="0"/>
    <n v="395"/>
    <x v="0"/>
    <x v="0"/>
    <x v="41"/>
    <x v="1"/>
    <s v="DISCOUNT ALLOWED"/>
    <s v="discount allowed"/>
    <s v="DISCOUNT ALLOWED"/>
    <s v="Discount Allowed"/>
    <s v="15/05/24"/>
  </r>
  <r>
    <s v="TXN_4115707"/>
    <s v="CUST_02"/>
    <x v="1"/>
    <x v="8"/>
    <x v="1"/>
    <x v="0"/>
    <n v="395"/>
    <x v="2"/>
    <x v="0"/>
    <x v="42"/>
    <x v="0"/>
    <s v="DISCOUNT NOT ALLOWED"/>
    <s v="discount not allowed"/>
    <s v="DISCOUNT NOT ALLOWED"/>
    <s v="Discount Not Allowed"/>
    <s v="02/09/22"/>
  </r>
  <r>
    <s v="TXN_4422429"/>
    <s v="CUST_15"/>
    <x v="5"/>
    <x v="13"/>
    <x v="1"/>
    <x v="0"/>
    <n v="395"/>
    <x v="1"/>
    <x v="0"/>
    <x v="43"/>
    <x v="0"/>
    <s v="DISCOUNT NOT ALLOWED"/>
    <s v="discount not allowed"/>
    <s v="DISCOUNT NOT ALLOWED"/>
    <s v="Discount Not Allowed"/>
    <s v="10/06/24"/>
  </r>
  <r>
    <s v="TXN_5412766"/>
    <s v="CUST_20"/>
    <x v="2"/>
    <x v="9"/>
    <x v="1"/>
    <x v="0"/>
    <n v="395"/>
    <x v="2"/>
    <x v="1"/>
    <x v="44"/>
    <x v="0"/>
    <s v="DISCOUNT NOT ALLOWED"/>
    <s v="discount not allowed"/>
    <s v="DISCOUNT NOT ALLOWED"/>
    <s v="Discount Not Allowed"/>
    <s v="02/10/22"/>
  </r>
  <r>
    <s v="TXN_5414836"/>
    <s v="CUST_03"/>
    <x v="1"/>
    <x v="8"/>
    <x v="1"/>
    <x v="0"/>
    <n v="395"/>
    <x v="1"/>
    <x v="1"/>
    <x v="45"/>
    <x v="1"/>
    <s v="DISCOUNT ALLOWED"/>
    <s v="discount allowed"/>
    <s v="DISCOUNT ALLOWED"/>
    <s v="Discount Allowed"/>
    <s v="01/10/24"/>
  </r>
  <r>
    <s v="TXN_5761822"/>
    <s v="CUST_07"/>
    <x v="2"/>
    <x v="9"/>
    <x v="1"/>
    <x v="0"/>
    <n v="395"/>
    <x v="0"/>
    <x v="1"/>
    <x v="46"/>
    <x v="1"/>
    <s v="DISCOUNT ALLOWED"/>
    <s v="discount allowed"/>
    <s v="DISCOUNT ALLOWED"/>
    <s v="Discount Allowed"/>
    <s v="24/04/24"/>
  </r>
  <r>
    <s v="TXN_6376665"/>
    <s v="CUST_09"/>
    <x v="4"/>
    <x v="11"/>
    <x v="1"/>
    <x v="0"/>
    <n v="395"/>
    <x v="1"/>
    <x v="0"/>
    <x v="47"/>
    <x v="1"/>
    <s v="DISCOUNT ALLOWED"/>
    <s v="discount allowed"/>
    <s v="DISCOUNT ALLOWED"/>
    <s v="Discount Allowed"/>
    <s v="01/01/24"/>
  </r>
  <r>
    <s v="TXN_6533918"/>
    <s v="CUST_07"/>
    <x v="2"/>
    <x v="9"/>
    <x v="1"/>
    <x v="0"/>
    <n v="395"/>
    <x v="0"/>
    <x v="0"/>
    <x v="48"/>
    <x v="0"/>
    <s v="DISCOUNT NOT ALLOWED"/>
    <s v="discount not allowed"/>
    <s v="DISCOUNT NOT ALLOWED"/>
    <s v="Discount Not Allowed"/>
    <s v="03/12/22"/>
  </r>
  <r>
    <s v="TXN_7648026"/>
    <s v="CUST_09"/>
    <x v="1"/>
    <x v="8"/>
    <x v="1"/>
    <x v="0"/>
    <n v="395"/>
    <x v="2"/>
    <x v="0"/>
    <x v="22"/>
    <x v="1"/>
    <s v="DISCOUNT ALLOWED"/>
    <s v="discount allowed"/>
    <s v="DISCOUNT ALLOWED"/>
    <s v="Discount Allowed"/>
    <s v="24/01/24"/>
  </r>
  <r>
    <s v="TXN_7780286"/>
    <s v="CUST_05"/>
    <x v="1"/>
    <x v="8"/>
    <x v="1"/>
    <x v="0"/>
    <n v="395"/>
    <x v="2"/>
    <x v="0"/>
    <x v="49"/>
    <x v="0"/>
    <s v="DISCOUNT NOT ALLOWED"/>
    <s v="discount not allowed"/>
    <s v="DISCOUNT NOT ALLOWED"/>
    <s v="Discount Not Allowed"/>
    <s v="14/09/22"/>
  </r>
  <r>
    <s v="TXN_7951378"/>
    <s v="CUST_02"/>
    <x v="0"/>
    <x v="14"/>
    <x v="1"/>
    <x v="0"/>
    <n v="395"/>
    <x v="2"/>
    <x v="1"/>
    <x v="50"/>
    <x v="0"/>
    <s v="DISCOUNT NOT ALLOWED"/>
    <s v="discount not allowed"/>
    <s v="DISCOUNT NOT ALLOWED"/>
    <s v="Discount Not Allowed"/>
    <s v="17/01/22"/>
  </r>
  <r>
    <s v="TXN_8534316"/>
    <s v="CUST_13"/>
    <x v="7"/>
    <x v="10"/>
    <x v="1"/>
    <x v="0"/>
    <n v="395"/>
    <x v="0"/>
    <x v="1"/>
    <x v="51"/>
    <x v="0"/>
    <s v="DISCOUNT NOT ALLOWED"/>
    <s v="discount not allowed"/>
    <s v="DISCOUNT NOT ALLOWED"/>
    <s v="Discount Not Allowed"/>
    <s v="12/03/23"/>
  </r>
  <r>
    <s v="TXN_8963284"/>
    <s v="CUST_09"/>
    <x v="2"/>
    <x v="9"/>
    <x v="1"/>
    <x v="0"/>
    <n v="395"/>
    <x v="0"/>
    <x v="1"/>
    <x v="52"/>
    <x v="0"/>
    <s v="DISCOUNT NOT ALLOWED"/>
    <s v="discount not allowed"/>
    <s v="DISCOUNT NOT ALLOWED"/>
    <s v="Discount Not Allowed"/>
    <s v="05/12/24"/>
  </r>
  <r>
    <s v="TXN_9377315"/>
    <s v="CUST_06"/>
    <x v="2"/>
    <x v="9"/>
    <x v="1"/>
    <x v="0"/>
    <n v="395"/>
    <x v="2"/>
    <x v="1"/>
    <x v="53"/>
    <x v="0"/>
    <s v="DISCOUNT NOT ALLOWED"/>
    <s v="discount not allowed"/>
    <s v="DISCOUNT NOT ALLOWED"/>
    <s v="Discount Not Allowed"/>
    <s v="28/03/23"/>
  </r>
  <r>
    <s v="TXN_9575437"/>
    <s v="CUST_02"/>
    <x v="0"/>
    <x v="14"/>
    <x v="1"/>
    <x v="0"/>
    <n v="395"/>
    <x v="2"/>
    <x v="0"/>
    <x v="54"/>
    <x v="0"/>
    <s v="DISCOUNT NOT ALLOWED"/>
    <s v="discount not allowed"/>
    <s v="DISCOUNT NOT ALLOWED"/>
    <s v="Discount Not Allowed"/>
    <s v="23/02/23"/>
  </r>
  <r>
    <s v="TXN_9897293"/>
    <s v="CUST_23"/>
    <x v="7"/>
    <x v="10"/>
    <x v="1"/>
    <x v="0"/>
    <n v="395"/>
    <x v="1"/>
    <x v="0"/>
    <x v="55"/>
    <x v="1"/>
    <s v="DISCOUNT ALLOWED"/>
    <s v="discount allowed"/>
    <s v="DISCOUNT ALLOWED"/>
    <s v="Discount Allowed"/>
    <s v="26/05/23"/>
  </r>
  <r>
    <s v="TXN_1431325"/>
    <s v="CUST_08"/>
    <x v="5"/>
    <x v="15"/>
    <x v="2"/>
    <x v="0"/>
    <n v="380"/>
    <x v="1"/>
    <x v="0"/>
    <x v="56"/>
    <x v="1"/>
    <s v="DISCOUNT ALLOWED"/>
    <s v="discount allowed"/>
    <s v="DISCOUNT ALLOWED"/>
    <s v="Discount Allowed"/>
    <s v="16/04/24"/>
  </r>
  <r>
    <s v="TXN_2030685"/>
    <s v="CUST_08"/>
    <x v="3"/>
    <x v="16"/>
    <x v="2"/>
    <x v="0"/>
    <n v="380"/>
    <x v="1"/>
    <x v="1"/>
    <x v="57"/>
    <x v="1"/>
    <s v="DISCOUNT ALLOWED"/>
    <s v="discount allowed"/>
    <s v="DISCOUNT ALLOWED"/>
    <s v="Discount Allowed"/>
    <s v="16/07/23"/>
  </r>
  <r>
    <s v="TXN_2062102"/>
    <s v="CUST_23"/>
    <x v="3"/>
    <x v="16"/>
    <x v="2"/>
    <x v="0"/>
    <n v="380"/>
    <x v="0"/>
    <x v="1"/>
    <x v="58"/>
    <x v="1"/>
    <s v="DISCOUNT ALLOWED"/>
    <s v="discount allowed"/>
    <s v="DISCOUNT ALLOWED"/>
    <s v="Discount Allowed"/>
    <s v="09/04/24"/>
  </r>
  <r>
    <s v="TXN_2157334"/>
    <s v="CUST_15"/>
    <x v="0"/>
    <x v="17"/>
    <x v="2"/>
    <x v="0"/>
    <n v="380"/>
    <x v="1"/>
    <x v="1"/>
    <x v="59"/>
    <x v="1"/>
    <s v="DISCOUNT ALLOWED"/>
    <s v="discount allowed"/>
    <s v="DISCOUNT ALLOWED"/>
    <s v="Discount Allowed"/>
    <s v="24/11/22"/>
  </r>
  <r>
    <s v="TXN_2206422"/>
    <s v="CUST_21"/>
    <x v="6"/>
    <x v="18"/>
    <x v="2"/>
    <x v="0"/>
    <n v="380"/>
    <x v="2"/>
    <x v="0"/>
    <x v="3"/>
    <x v="1"/>
    <s v="DISCOUNT ALLOWED"/>
    <s v="discount allowed"/>
    <s v="DISCOUNT ALLOWED"/>
    <s v="Discount Allowed"/>
    <s v="24/03/24"/>
  </r>
  <r>
    <s v="TXN_2216540"/>
    <s v="CUST_16"/>
    <x v="5"/>
    <x v="15"/>
    <x v="2"/>
    <x v="0"/>
    <n v="380"/>
    <x v="1"/>
    <x v="0"/>
    <x v="60"/>
    <x v="0"/>
    <s v="DISCOUNT NOT ALLOWED"/>
    <s v="discount not allowed"/>
    <s v="DISCOUNT NOT ALLOWED"/>
    <s v="Discount Not Allowed"/>
    <s v="01/06/24"/>
  </r>
  <r>
    <s v="TXN_2509128"/>
    <s v="CUST_05"/>
    <x v="0"/>
    <x v="17"/>
    <x v="2"/>
    <x v="0"/>
    <n v="380"/>
    <x v="2"/>
    <x v="1"/>
    <x v="61"/>
    <x v="1"/>
    <s v="DISCOUNT ALLOWED"/>
    <s v="discount allowed"/>
    <s v="DISCOUNT ALLOWED"/>
    <s v="Discount Allowed"/>
    <s v="18/01/23"/>
  </r>
  <r>
    <s v="TXN_2912284"/>
    <s v="CUST_10"/>
    <x v="3"/>
    <x v="16"/>
    <x v="2"/>
    <x v="0"/>
    <n v="380"/>
    <x v="2"/>
    <x v="1"/>
    <x v="62"/>
    <x v="1"/>
    <s v="DISCOUNT ALLOWED"/>
    <s v="discount allowed"/>
    <s v="DISCOUNT ALLOWED"/>
    <s v="Discount Allowed"/>
    <s v="26/06/23"/>
  </r>
  <r>
    <s v="TXN_2961597"/>
    <s v="CUST_23"/>
    <x v="1"/>
    <x v="19"/>
    <x v="2"/>
    <x v="0"/>
    <n v="380"/>
    <x v="2"/>
    <x v="0"/>
    <x v="63"/>
    <x v="1"/>
    <s v="DISCOUNT ALLOWED"/>
    <s v="discount allowed"/>
    <s v="DISCOUNT ALLOWED"/>
    <s v="Discount Allowed"/>
    <s v="02/04/24"/>
  </r>
  <r>
    <s v="TXN_3005788"/>
    <s v="CUST_10"/>
    <x v="6"/>
    <x v="18"/>
    <x v="2"/>
    <x v="0"/>
    <n v="380"/>
    <x v="1"/>
    <x v="1"/>
    <x v="24"/>
    <x v="0"/>
    <s v="DISCOUNT NOT ALLOWED"/>
    <s v="discount not allowed"/>
    <s v="DISCOUNT NOT ALLOWED"/>
    <s v="Discount Not Allowed"/>
    <s v="01/05/24"/>
  </r>
  <r>
    <s v="TXN_3470552"/>
    <s v="CUST_12"/>
    <x v="2"/>
    <x v="20"/>
    <x v="2"/>
    <x v="0"/>
    <n v="380"/>
    <x v="0"/>
    <x v="0"/>
    <x v="64"/>
    <x v="0"/>
    <s v="DISCOUNT NOT ALLOWED"/>
    <s v="discount not allowed"/>
    <s v="DISCOUNT NOT ALLOWED"/>
    <s v="Discount Not Allowed"/>
    <s v="09/03/24"/>
  </r>
  <r>
    <s v="TXN_3659154"/>
    <s v="CUST_06"/>
    <x v="1"/>
    <x v="19"/>
    <x v="2"/>
    <x v="0"/>
    <n v="380"/>
    <x v="0"/>
    <x v="1"/>
    <x v="65"/>
    <x v="1"/>
    <s v="DISCOUNT ALLOWED"/>
    <s v="discount allowed"/>
    <s v="DISCOUNT ALLOWED"/>
    <s v="Discount Allowed"/>
    <s v="02/09/24"/>
  </r>
  <r>
    <s v="TXN_3736146"/>
    <s v="CUST_07"/>
    <x v="7"/>
    <x v="21"/>
    <x v="2"/>
    <x v="0"/>
    <n v="380"/>
    <x v="2"/>
    <x v="1"/>
    <x v="66"/>
    <x v="1"/>
    <s v="DISCOUNT ALLOWED"/>
    <s v="discount allowed"/>
    <s v="DISCOUNT ALLOWED"/>
    <s v="Discount Allowed"/>
    <s v="25/09/24"/>
  </r>
  <r>
    <s v="TXN_4412300"/>
    <s v="CUST_05"/>
    <x v="5"/>
    <x v="15"/>
    <x v="2"/>
    <x v="0"/>
    <n v="380"/>
    <x v="0"/>
    <x v="1"/>
    <x v="67"/>
    <x v="0"/>
    <s v="DISCOUNT NOT ALLOWED"/>
    <s v="discount not allowed"/>
    <s v="DISCOUNT NOT ALLOWED"/>
    <s v="Discount Not Allowed"/>
    <s v="18/08/22"/>
  </r>
  <r>
    <s v="TXN_4462629"/>
    <s v="CUST_06"/>
    <x v="7"/>
    <x v="21"/>
    <x v="2"/>
    <x v="0"/>
    <n v="380"/>
    <x v="2"/>
    <x v="1"/>
    <x v="68"/>
    <x v="1"/>
    <s v="DISCOUNT ALLOWED"/>
    <s v="discount allowed"/>
    <s v="DISCOUNT ALLOWED"/>
    <s v="Discount Allowed"/>
    <s v="05/11/23"/>
  </r>
  <r>
    <s v="TXN_4859554"/>
    <s v="CUST_16"/>
    <x v="2"/>
    <x v="20"/>
    <x v="2"/>
    <x v="0"/>
    <n v="380"/>
    <x v="2"/>
    <x v="1"/>
    <x v="69"/>
    <x v="1"/>
    <s v="DISCOUNT ALLOWED"/>
    <s v="discount allowed"/>
    <s v="DISCOUNT ALLOWED"/>
    <s v="Discount Allowed"/>
    <s v="14/11/23"/>
  </r>
  <r>
    <s v="TXN_5091925"/>
    <s v="CUST_24"/>
    <x v="2"/>
    <x v="20"/>
    <x v="2"/>
    <x v="0"/>
    <n v="380"/>
    <x v="1"/>
    <x v="1"/>
    <x v="70"/>
    <x v="1"/>
    <s v="DISCOUNT ALLOWED"/>
    <s v="discount allowed"/>
    <s v="DISCOUNT ALLOWED"/>
    <s v="Discount Allowed"/>
    <s v="18/06/24"/>
  </r>
  <r>
    <s v="TXN_5601134"/>
    <s v="CUST_04"/>
    <x v="7"/>
    <x v="21"/>
    <x v="2"/>
    <x v="0"/>
    <n v="380"/>
    <x v="1"/>
    <x v="0"/>
    <x v="71"/>
    <x v="0"/>
    <s v="DISCOUNT NOT ALLOWED"/>
    <s v="discount not allowed"/>
    <s v="DISCOUNT NOT ALLOWED"/>
    <s v="Discount Not Allowed"/>
    <s v="09/06/22"/>
  </r>
  <r>
    <s v="TXN_5710740"/>
    <s v="CUST_16"/>
    <x v="3"/>
    <x v="16"/>
    <x v="2"/>
    <x v="0"/>
    <n v="380"/>
    <x v="0"/>
    <x v="0"/>
    <x v="72"/>
    <x v="1"/>
    <s v="DISCOUNT ALLOWED"/>
    <s v="discount allowed"/>
    <s v="DISCOUNT ALLOWED"/>
    <s v="Discount Allowed"/>
    <s v="25/04/24"/>
  </r>
  <r>
    <s v="TXN_5728893"/>
    <s v="CUST_23"/>
    <x v="7"/>
    <x v="21"/>
    <x v="2"/>
    <x v="0"/>
    <n v="380"/>
    <x v="1"/>
    <x v="0"/>
    <x v="73"/>
    <x v="1"/>
    <s v="DISCOUNT ALLOWED"/>
    <s v="discount allowed"/>
    <s v="DISCOUNT ALLOWED"/>
    <s v="Discount Allowed"/>
    <s v="01/09/23"/>
  </r>
  <r>
    <s v="TXN_6095170"/>
    <s v="CUST_13"/>
    <x v="2"/>
    <x v="20"/>
    <x v="2"/>
    <x v="0"/>
    <n v="380"/>
    <x v="2"/>
    <x v="0"/>
    <x v="74"/>
    <x v="1"/>
    <s v="DISCOUNT ALLOWED"/>
    <s v="discount allowed"/>
    <s v="DISCOUNT ALLOWED"/>
    <s v="Discount Allowed"/>
    <s v="27/11/22"/>
  </r>
  <r>
    <s v="TXN_6450000"/>
    <s v="CUST_06"/>
    <x v="7"/>
    <x v="21"/>
    <x v="2"/>
    <x v="0"/>
    <n v="380"/>
    <x v="1"/>
    <x v="1"/>
    <x v="75"/>
    <x v="1"/>
    <s v="DISCOUNT ALLOWED"/>
    <s v="discount allowed"/>
    <s v="DISCOUNT ALLOWED"/>
    <s v="Discount Allowed"/>
    <s v="02/01/22"/>
  </r>
  <r>
    <s v="TXN_6575376"/>
    <s v="CUST_08"/>
    <x v="3"/>
    <x v="16"/>
    <x v="2"/>
    <x v="0"/>
    <n v="380"/>
    <x v="1"/>
    <x v="0"/>
    <x v="76"/>
    <x v="1"/>
    <s v="DISCOUNT ALLOWED"/>
    <s v="discount allowed"/>
    <s v="DISCOUNT ALLOWED"/>
    <s v="Discount Allowed"/>
    <s v="02/09/23"/>
  </r>
  <r>
    <s v="TXN_6782085"/>
    <s v="CUST_16"/>
    <x v="5"/>
    <x v="15"/>
    <x v="2"/>
    <x v="0"/>
    <n v="380"/>
    <x v="0"/>
    <x v="1"/>
    <x v="77"/>
    <x v="1"/>
    <s v="DISCOUNT ALLOWED"/>
    <s v="discount allowed"/>
    <s v="DISCOUNT ALLOWED"/>
    <s v="Discount Allowed"/>
    <s v="29/01/24"/>
  </r>
  <r>
    <s v="TXN_6820348"/>
    <s v="CUST_15"/>
    <x v="3"/>
    <x v="16"/>
    <x v="2"/>
    <x v="0"/>
    <n v="380"/>
    <x v="2"/>
    <x v="0"/>
    <x v="78"/>
    <x v="0"/>
    <s v="DISCOUNT NOT ALLOWED"/>
    <s v="discount not allowed"/>
    <s v="DISCOUNT NOT ALLOWED"/>
    <s v="Discount Not Allowed"/>
    <s v="04/07/24"/>
  </r>
  <r>
    <s v="TXN_7138473"/>
    <s v="CUST_11"/>
    <x v="3"/>
    <x v="16"/>
    <x v="2"/>
    <x v="0"/>
    <n v="380"/>
    <x v="0"/>
    <x v="1"/>
    <x v="79"/>
    <x v="1"/>
    <s v="DISCOUNT ALLOWED"/>
    <s v="discount allowed"/>
    <s v="DISCOUNT ALLOWED"/>
    <s v="Discount Allowed"/>
    <s v="07/04/23"/>
  </r>
  <r>
    <s v="TXN_7254324"/>
    <s v="CUST_01"/>
    <x v="5"/>
    <x v="15"/>
    <x v="2"/>
    <x v="0"/>
    <n v="380"/>
    <x v="0"/>
    <x v="0"/>
    <x v="80"/>
    <x v="0"/>
    <s v="DISCOUNT NOT ALLOWED"/>
    <s v="discount not allowed"/>
    <s v="DISCOUNT NOT ALLOWED"/>
    <s v="Discount Not Allowed"/>
    <s v="08/02/24"/>
  </r>
  <r>
    <s v="TXN_7287258"/>
    <s v="CUST_07"/>
    <x v="2"/>
    <x v="20"/>
    <x v="2"/>
    <x v="0"/>
    <n v="380"/>
    <x v="1"/>
    <x v="0"/>
    <x v="81"/>
    <x v="0"/>
    <s v="DISCOUNT NOT ALLOWED"/>
    <s v="discount not allowed"/>
    <s v="DISCOUNT NOT ALLOWED"/>
    <s v="Discount Not Allowed"/>
    <s v="08/01/25"/>
  </r>
  <r>
    <s v="TXN_7444294"/>
    <s v="CUST_13"/>
    <x v="5"/>
    <x v="15"/>
    <x v="2"/>
    <x v="0"/>
    <n v="380"/>
    <x v="1"/>
    <x v="0"/>
    <x v="57"/>
    <x v="0"/>
    <s v="DISCOUNT NOT ALLOWED"/>
    <s v="discount not allowed"/>
    <s v="DISCOUNT NOT ALLOWED"/>
    <s v="Discount Not Allowed"/>
    <s v="16/07/23"/>
  </r>
  <r>
    <s v="TXN_7548617"/>
    <s v="CUST_12"/>
    <x v="5"/>
    <x v="15"/>
    <x v="2"/>
    <x v="0"/>
    <n v="380"/>
    <x v="0"/>
    <x v="1"/>
    <x v="82"/>
    <x v="1"/>
    <s v="DISCOUNT ALLOWED"/>
    <s v="discount allowed"/>
    <s v="DISCOUNT ALLOWED"/>
    <s v="Discount Allowed"/>
    <s v="07/10/24"/>
  </r>
  <r>
    <s v="TXN_7570892"/>
    <s v="CUST_04"/>
    <x v="0"/>
    <x v="17"/>
    <x v="2"/>
    <x v="0"/>
    <n v="380"/>
    <x v="0"/>
    <x v="1"/>
    <x v="83"/>
    <x v="0"/>
    <s v="DISCOUNT NOT ALLOWED"/>
    <s v="discount not allowed"/>
    <s v="DISCOUNT NOT ALLOWED"/>
    <s v="Discount Not Allowed"/>
    <s v="21/12/23"/>
  </r>
  <r>
    <s v="TXN_7894785"/>
    <s v="CUST_24"/>
    <x v="0"/>
    <x v="17"/>
    <x v="2"/>
    <x v="0"/>
    <n v="380"/>
    <x v="2"/>
    <x v="0"/>
    <x v="84"/>
    <x v="0"/>
    <s v="DISCOUNT NOT ALLOWED"/>
    <s v="discount not allowed"/>
    <s v="DISCOUNT NOT ALLOWED"/>
    <s v="Discount Not Allowed"/>
    <s v="26/04/22"/>
  </r>
  <r>
    <s v="TXN_8179078"/>
    <s v="CUST_04"/>
    <x v="3"/>
    <x v="16"/>
    <x v="2"/>
    <x v="0"/>
    <n v="380"/>
    <x v="2"/>
    <x v="0"/>
    <x v="85"/>
    <x v="0"/>
    <s v="DISCOUNT NOT ALLOWED"/>
    <s v="discount not allowed"/>
    <s v="DISCOUNT NOT ALLOWED"/>
    <s v="Discount Not Allowed"/>
    <s v="18/10/24"/>
  </r>
  <r>
    <s v="TXN_8223724"/>
    <s v="CUST_16"/>
    <x v="1"/>
    <x v="19"/>
    <x v="2"/>
    <x v="0"/>
    <n v="380"/>
    <x v="2"/>
    <x v="1"/>
    <x v="86"/>
    <x v="0"/>
    <s v="DISCOUNT NOT ALLOWED"/>
    <s v="discount not allowed"/>
    <s v="DISCOUNT NOT ALLOWED"/>
    <s v="Discount Not Allowed"/>
    <s v="30/04/23"/>
  </r>
  <r>
    <s v="TXN_8762559"/>
    <s v="CUST_19"/>
    <x v="7"/>
    <x v="21"/>
    <x v="2"/>
    <x v="0"/>
    <n v="380"/>
    <x v="0"/>
    <x v="0"/>
    <x v="87"/>
    <x v="0"/>
    <s v="DISCOUNT NOT ALLOWED"/>
    <s v="discount not allowed"/>
    <s v="DISCOUNT NOT ALLOWED"/>
    <s v="Discount Not Allowed"/>
    <s v="23/07/23"/>
  </r>
  <r>
    <s v="TXN_8949319"/>
    <s v="CUST_20"/>
    <x v="0"/>
    <x v="17"/>
    <x v="2"/>
    <x v="0"/>
    <n v="380"/>
    <x v="2"/>
    <x v="1"/>
    <x v="88"/>
    <x v="0"/>
    <s v="DISCOUNT NOT ALLOWED"/>
    <s v="discount not allowed"/>
    <s v="DISCOUNT NOT ALLOWED"/>
    <s v="Discount Not Allowed"/>
    <s v="31/12/22"/>
  </r>
  <r>
    <s v="TXN_8982011"/>
    <s v="CUST_23"/>
    <x v="1"/>
    <x v="19"/>
    <x v="2"/>
    <x v="0"/>
    <n v="380"/>
    <x v="1"/>
    <x v="1"/>
    <x v="89"/>
    <x v="0"/>
    <s v="DISCOUNT NOT ALLOWED"/>
    <s v="discount not allowed"/>
    <s v="DISCOUNT NOT ALLOWED"/>
    <s v="Discount Not Allowed"/>
    <s v="14/01/22"/>
  </r>
  <r>
    <s v="TXN_9097846"/>
    <s v="CUST_14"/>
    <x v="3"/>
    <x v="16"/>
    <x v="2"/>
    <x v="0"/>
    <n v="380"/>
    <x v="1"/>
    <x v="1"/>
    <x v="90"/>
    <x v="1"/>
    <s v="DISCOUNT ALLOWED"/>
    <s v="discount allowed"/>
    <s v="DISCOUNT ALLOWED"/>
    <s v="Discount Allowed"/>
    <s v="06/09/22"/>
  </r>
  <r>
    <s v="TXN_9276040"/>
    <s v="CUST_20"/>
    <x v="4"/>
    <x v="22"/>
    <x v="2"/>
    <x v="0"/>
    <n v="380"/>
    <x v="0"/>
    <x v="1"/>
    <x v="91"/>
    <x v="0"/>
    <s v="DISCOUNT NOT ALLOWED"/>
    <s v="discount not allowed"/>
    <s v="DISCOUNT NOT ALLOWED"/>
    <s v="Discount Not Allowed"/>
    <s v="09/12/23"/>
  </r>
  <r>
    <s v="TXN_1877555"/>
    <s v="CUST_18"/>
    <x v="3"/>
    <x v="3"/>
    <x v="0"/>
    <x v="1"/>
    <n v="369"/>
    <x v="2"/>
    <x v="1"/>
    <x v="92"/>
    <x v="1"/>
    <s v="DISCOUNT ALLOWED"/>
    <s v="discount allowed"/>
    <s v="DISCOUNT ALLOWED"/>
    <s v="Discount Allowed"/>
    <s v="03/03/24"/>
  </r>
  <r>
    <s v="TXN_2035015"/>
    <s v="CUST_23"/>
    <x v="3"/>
    <x v="3"/>
    <x v="0"/>
    <x v="1"/>
    <n v="369"/>
    <x v="1"/>
    <x v="1"/>
    <x v="93"/>
    <x v="0"/>
    <s v="DISCOUNT NOT ALLOWED"/>
    <s v="discount not allowed"/>
    <s v="DISCOUNT NOT ALLOWED"/>
    <s v="Discount Not Allowed"/>
    <s v="08/12/22"/>
  </r>
  <r>
    <s v="TXN_3155102"/>
    <s v="CUST_17"/>
    <x v="6"/>
    <x v="6"/>
    <x v="0"/>
    <x v="1"/>
    <n v="369"/>
    <x v="0"/>
    <x v="1"/>
    <x v="94"/>
    <x v="0"/>
    <s v="DISCOUNT NOT ALLOWED"/>
    <s v="discount not allowed"/>
    <s v="DISCOUNT NOT ALLOWED"/>
    <s v="Discount Not Allowed"/>
    <s v="19/03/24"/>
  </r>
  <r>
    <s v="TXN_3665212"/>
    <s v="CUST_02"/>
    <x v="2"/>
    <x v="2"/>
    <x v="0"/>
    <x v="1"/>
    <n v="369"/>
    <x v="0"/>
    <x v="1"/>
    <x v="95"/>
    <x v="1"/>
    <s v="DISCOUNT ALLOWED"/>
    <s v="discount allowed"/>
    <s v="DISCOUNT ALLOWED"/>
    <s v="Discount Allowed"/>
    <s v="07/06/23"/>
  </r>
  <r>
    <s v="TXN_4387487"/>
    <s v="CUST_17"/>
    <x v="6"/>
    <x v="6"/>
    <x v="0"/>
    <x v="1"/>
    <n v="369"/>
    <x v="2"/>
    <x v="1"/>
    <x v="96"/>
    <x v="0"/>
    <s v="DISCOUNT NOT ALLOWED"/>
    <s v="discount not allowed"/>
    <s v="DISCOUNT NOT ALLOWED"/>
    <s v="Discount Not Allowed"/>
    <s v="11/04/23"/>
  </r>
  <r>
    <s v="TXN_4702637"/>
    <s v="CUST_24"/>
    <x v="6"/>
    <x v="6"/>
    <x v="0"/>
    <x v="1"/>
    <n v="369"/>
    <x v="2"/>
    <x v="1"/>
    <x v="97"/>
    <x v="1"/>
    <s v="DISCOUNT ALLOWED"/>
    <s v="discount allowed"/>
    <s v="DISCOUNT ALLOWED"/>
    <s v="Discount Allowed"/>
    <s v="20/06/24"/>
  </r>
  <r>
    <s v="TXN_4910983"/>
    <s v="CUST_13"/>
    <x v="2"/>
    <x v="2"/>
    <x v="0"/>
    <x v="1"/>
    <n v="369"/>
    <x v="2"/>
    <x v="1"/>
    <x v="98"/>
    <x v="0"/>
    <s v="DISCOUNT NOT ALLOWED"/>
    <s v="discount not allowed"/>
    <s v="DISCOUNT NOT ALLOWED"/>
    <s v="Discount Not Allowed"/>
    <s v="04/04/23"/>
  </r>
  <r>
    <s v="TXN_5014165"/>
    <s v="CUST_05"/>
    <x v="4"/>
    <x v="4"/>
    <x v="0"/>
    <x v="1"/>
    <n v="369"/>
    <x v="1"/>
    <x v="1"/>
    <x v="99"/>
    <x v="0"/>
    <s v="DISCOUNT NOT ALLOWED"/>
    <s v="discount not allowed"/>
    <s v="DISCOUNT NOT ALLOWED"/>
    <s v="Discount Not Allowed"/>
    <s v="04/03/23"/>
  </r>
  <r>
    <s v="TXN_5149787"/>
    <s v="CUST_05"/>
    <x v="3"/>
    <x v="3"/>
    <x v="0"/>
    <x v="1"/>
    <n v="369"/>
    <x v="2"/>
    <x v="0"/>
    <x v="100"/>
    <x v="1"/>
    <s v="DISCOUNT ALLOWED"/>
    <s v="discount allowed"/>
    <s v="DISCOUNT ALLOWED"/>
    <s v="Discount Allowed"/>
    <s v="18/02/24"/>
  </r>
  <r>
    <s v="TXN_5582053"/>
    <s v="CUST_25"/>
    <x v="4"/>
    <x v="4"/>
    <x v="0"/>
    <x v="1"/>
    <n v="369"/>
    <x v="2"/>
    <x v="0"/>
    <x v="101"/>
    <x v="0"/>
    <s v="DISCOUNT NOT ALLOWED"/>
    <s v="discount not allowed"/>
    <s v="DISCOUNT NOT ALLOWED"/>
    <s v="Discount Not Allowed"/>
    <s v="10/08/24"/>
  </r>
  <r>
    <s v="TXN_6023185"/>
    <s v="CUST_17"/>
    <x v="5"/>
    <x v="5"/>
    <x v="0"/>
    <x v="1"/>
    <n v="369"/>
    <x v="1"/>
    <x v="1"/>
    <x v="102"/>
    <x v="1"/>
    <s v="DISCOUNT ALLOWED"/>
    <s v="discount allowed"/>
    <s v="DISCOUNT ALLOWED"/>
    <s v="Discount Allowed"/>
    <s v="31/03/23"/>
  </r>
  <r>
    <s v="TXN_6139701"/>
    <s v="CUST_18"/>
    <x v="4"/>
    <x v="4"/>
    <x v="0"/>
    <x v="1"/>
    <n v="369"/>
    <x v="0"/>
    <x v="0"/>
    <x v="103"/>
    <x v="0"/>
    <s v="DISCOUNT NOT ALLOWED"/>
    <s v="discount not allowed"/>
    <s v="DISCOUNT NOT ALLOWED"/>
    <s v="Discount Not Allowed"/>
    <s v="30/05/22"/>
  </r>
  <r>
    <s v="TXN_6765730"/>
    <s v="CUST_17"/>
    <x v="2"/>
    <x v="2"/>
    <x v="0"/>
    <x v="1"/>
    <n v="369"/>
    <x v="1"/>
    <x v="0"/>
    <x v="104"/>
    <x v="1"/>
    <s v="DISCOUNT ALLOWED"/>
    <s v="discount allowed"/>
    <s v="DISCOUNT ALLOWED"/>
    <s v="Discount Allowed"/>
    <s v="10/09/23"/>
  </r>
  <r>
    <s v="TXN_6962668"/>
    <s v="CUST_14"/>
    <x v="2"/>
    <x v="2"/>
    <x v="0"/>
    <x v="1"/>
    <n v="369"/>
    <x v="0"/>
    <x v="1"/>
    <x v="105"/>
    <x v="0"/>
    <s v="DISCOUNT NOT ALLOWED"/>
    <s v="discount not allowed"/>
    <s v="DISCOUNT NOT ALLOWED"/>
    <s v="Discount Not Allowed"/>
    <s v="19/09/24"/>
  </r>
  <r>
    <s v="TXN_7065534"/>
    <s v="CUST_21"/>
    <x v="1"/>
    <x v="1"/>
    <x v="0"/>
    <x v="1"/>
    <n v="369"/>
    <x v="2"/>
    <x v="0"/>
    <x v="106"/>
    <x v="1"/>
    <s v="DISCOUNT ALLOWED"/>
    <s v="discount allowed"/>
    <s v="DISCOUNT ALLOWED"/>
    <s v="Discount Allowed"/>
    <s v="01/09/24"/>
  </r>
  <r>
    <s v="TXN_7409573"/>
    <s v="CUST_09"/>
    <x v="2"/>
    <x v="2"/>
    <x v="0"/>
    <x v="1"/>
    <n v="369"/>
    <x v="0"/>
    <x v="0"/>
    <x v="107"/>
    <x v="1"/>
    <s v="DISCOUNT ALLOWED"/>
    <s v="discount allowed"/>
    <s v="DISCOUNT ALLOWED"/>
    <s v="Discount Allowed"/>
    <s v="11/07/22"/>
  </r>
  <r>
    <s v="TXN_7795859"/>
    <s v="CUST_22"/>
    <x v="2"/>
    <x v="2"/>
    <x v="0"/>
    <x v="1"/>
    <n v="369"/>
    <x v="2"/>
    <x v="0"/>
    <x v="108"/>
    <x v="0"/>
    <s v="DISCOUNT NOT ALLOWED"/>
    <s v="discount not allowed"/>
    <s v="DISCOUNT NOT ALLOWED"/>
    <s v="Discount Not Allowed"/>
    <s v="09/10/23"/>
  </r>
  <r>
    <s v="TXN_8105362"/>
    <s v="CUST_15"/>
    <x v="2"/>
    <x v="2"/>
    <x v="0"/>
    <x v="1"/>
    <n v="369"/>
    <x v="0"/>
    <x v="0"/>
    <x v="109"/>
    <x v="1"/>
    <s v="DISCOUNT ALLOWED"/>
    <s v="discount allowed"/>
    <s v="DISCOUNT ALLOWED"/>
    <s v="Discount Allowed"/>
    <s v="05/06/22"/>
  </r>
  <r>
    <s v="TXN_8132309"/>
    <s v="CUST_10"/>
    <x v="5"/>
    <x v="5"/>
    <x v="0"/>
    <x v="1"/>
    <n v="369"/>
    <x v="0"/>
    <x v="1"/>
    <x v="110"/>
    <x v="1"/>
    <s v="DISCOUNT ALLOWED"/>
    <s v="discount allowed"/>
    <s v="DISCOUNT ALLOWED"/>
    <s v="Discount Allowed"/>
    <s v="27/07/24"/>
  </r>
  <r>
    <s v="TXN_8560915"/>
    <s v="CUST_05"/>
    <x v="3"/>
    <x v="3"/>
    <x v="0"/>
    <x v="1"/>
    <n v="369"/>
    <x v="1"/>
    <x v="1"/>
    <x v="111"/>
    <x v="0"/>
    <s v="DISCOUNT NOT ALLOWED"/>
    <s v="discount not allowed"/>
    <s v="DISCOUNT NOT ALLOWED"/>
    <s v="Discount Not Allowed"/>
    <s v="03/11/24"/>
  </r>
  <r>
    <s v="TXN_8720680"/>
    <s v="CUST_14"/>
    <x v="1"/>
    <x v="1"/>
    <x v="0"/>
    <x v="1"/>
    <n v="369"/>
    <x v="1"/>
    <x v="0"/>
    <x v="82"/>
    <x v="0"/>
    <s v="DISCOUNT NOT ALLOWED"/>
    <s v="discount not allowed"/>
    <s v="DISCOUNT NOT ALLOWED"/>
    <s v="Discount Not Allowed"/>
    <s v="07/10/24"/>
  </r>
  <r>
    <s v="TXN_8834965"/>
    <s v="CUST_08"/>
    <x v="3"/>
    <x v="3"/>
    <x v="0"/>
    <x v="1"/>
    <n v="369"/>
    <x v="1"/>
    <x v="0"/>
    <x v="112"/>
    <x v="0"/>
    <s v="DISCOUNT NOT ALLOWED"/>
    <s v="discount not allowed"/>
    <s v="DISCOUNT NOT ALLOWED"/>
    <s v="Discount Not Allowed"/>
    <s v="29/06/24"/>
  </r>
  <r>
    <s v="TXN_8912384"/>
    <s v="CUST_05"/>
    <x v="5"/>
    <x v="5"/>
    <x v="0"/>
    <x v="1"/>
    <n v="369"/>
    <x v="0"/>
    <x v="0"/>
    <x v="113"/>
    <x v="1"/>
    <s v="DISCOUNT ALLOWED"/>
    <s v="discount allowed"/>
    <s v="DISCOUNT ALLOWED"/>
    <s v="Discount Allowed"/>
    <s v="18/07/22"/>
  </r>
  <r>
    <s v="TXN_9150818"/>
    <s v="CUST_22"/>
    <x v="1"/>
    <x v="1"/>
    <x v="0"/>
    <x v="1"/>
    <n v="369"/>
    <x v="1"/>
    <x v="1"/>
    <x v="114"/>
    <x v="1"/>
    <s v="DISCOUNT ALLOWED"/>
    <s v="discount allowed"/>
    <s v="DISCOUNT ALLOWED"/>
    <s v="Discount Allowed"/>
    <s v="13/04/22"/>
  </r>
  <r>
    <s v="TXN_9403711"/>
    <s v="CUST_23"/>
    <x v="2"/>
    <x v="2"/>
    <x v="0"/>
    <x v="1"/>
    <n v="369"/>
    <x v="2"/>
    <x v="0"/>
    <x v="115"/>
    <x v="0"/>
    <s v="DISCOUNT NOT ALLOWED"/>
    <s v="discount not allowed"/>
    <s v="DISCOUNT NOT ALLOWED"/>
    <s v="Discount Not Allowed"/>
    <s v="21/08/22"/>
  </r>
  <r>
    <s v="TXN_9440172"/>
    <s v="CUST_20"/>
    <x v="1"/>
    <x v="1"/>
    <x v="0"/>
    <x v="1"/>
    <n v="369"/>
    <x v="2"/>
    <x v="1"/>
    <x v="116"/>
    <x v="0"/>
    <s v="DISCOUNT NOT ALLOWED"/>
    <s v="discount not allowed"/>
    <s v="DISCOUNT NOT ALLOWED"/>
    <s v="Discount Not Allowed"/>
    <s v="25/10/23"/>
  </r>
  <r>
    <s v="TXN_9832001"/>
    <s v="CUST_05"/>
    <x v="3"/>
    <x v="3"/>
    <x v="0"/>
    <x v="1"/>
    <n v="369"/>
    <x v="1"/>
    <x v="1"/>
    <x v="117"/>
    <x v="0"/>
    <s v="DISCOUNT NOT ALLOWED"/>
    <s v="discount not allowed"/>
    <s v="DISCOUNT NOT ALLOWED"/>
    <s v="Discount Not Allowed"/>
    <s v="30/07/23"/>
  </r>
  <r>
    <s v="TXN_9948170"/>
    <s v="CUST_14"/>
    <x v="5"/>
    <x v="5"/>
    <x v="0"/>
    <x v="1"/>
    <n v="369"/>
    <x v="0"/>
    <x v="1"/>
    <x v="118"/>
    <x v="1"/>
    <s v="DISCOUNT ALLOWED"/>
    <s v="discount allowed"/>
    <s v="DISCOUNT ALLOWED"/>
    <s v="Discount Allowed"/>
    <s v="27/04/22"/>
  </r>
  <r>
    <s v="TXN_1260450"/>
    <s v="CUST_25"/>
    <x v="2"/>
    <x v="23"/>
    <x v="3"/>
    <x v="0"/>
    <n v="365"/>
    <x v="0"/>
    <x v="1"/>
    <x v="119"/>
    <x v="1"/>
    <s v="DISCOUNT ALLOWED"/>
    <s v="discount allowed"/>
    <s v="DISCOUNT ALLOWED"/>
    <s v="Discount Allowed"/>
    <s v="24/12/23"/>
  </r>
  <r>
    <s v="TXN_1312767"/>
    <s v="CUST_24"/>
    <x v="3"/>
    <x v="24"/>
    <x v="3"/>
    <x v="0"/>
    <n v="365"/>
    <x v="2"/>
    <x v="0"/>
    <x v="120"/>
    <x v="1"/>
    <s v="DISCOUNT ALLOWED"/>
    <s v="discount allowed"/>
    <s v="DISCOUNT ALLOWED"/>
    <s v="Discount Allowed"/>
    <s v="10/05/22"/>
  </r>
  <r>
    <s v="TXN_1428733"/>
    <s v="CUST_08"/>
    <x v="0"/>
    <x v="25"/>
    <x v="3"/>
    <x v="0"/>
    <n v="365"/>
    <x v="1"/>
    <x v="1"/>
    <x v="121"/>
    <x v="1"/>
    <s v="DISCOUNT ALLOWED"/>
    <s v="discount allowed"/>
    <s v="DISCOUNT ALLOWED"/>
    <s v="Discount Allowed"/>
    <s v="21/08/24"/>
  </r>
  <r>
    <s v="TXN_1464198"/>
    <s v="CUST_07"/>
    <x v="6"/>
    <x v="26"/>
    <x v="3"/>
    <x v="0"/>
    <n v="365"/>
    <x v="2"/>
    <x v="0"/>
    <x v="122"/>
    <x v="1"/>
    <s v="DISCOUNT ALLOWED"/>
    <s v="discount allowed"/>
    <s v="DISCOUNT ALLOWED"/>
    <s v="Discount Allowed"/>
    <s v="09/04/22"/>
  </r>
  <r>
    <s v="TXN_1610590"/>
    <s v="CUST_03"/>
    <x v="3"/>
    <x v="24"/>
    <x v="3"/>
    <x v="0"/>
    <n v="365"/>
    <x v="1"/>
    <x v="1"/>
    <x v="123"/>
    <x v="0"/>
    <s v="DISCOUNT NOT ALLOWED"/>
    <s v="discount not allowed"/>
    <s v="DISCOUNT NOT ALLOWED"/>
    <s v="Discount Not Allowed"/>
    <s v="14/01/23"/>
  </r>
  <r>
    <s v="TXN_1639005"/>
    <s v="CUST_07"/>
    <x v="3"/>
    <x v="24"/>
    <x v="3"/>
    <x v="0"/>
    <n v="365"/>
    <x v="0"/>
    <x v="0"/>
    <x v="124"/>
    <x v="1"/>
    <s v="DISCOUNT ALLOWED"/>
    <s v="discount allowed"/>
    <s v="DISCOUNT ALLOWED"/>
    <s v="Discount Allowed"/>
    <s v="19/04/22"/>
  </r>
  <r>
    <s v="TXN_1919020"/>
    <s v="CUST_20"/>
    <x v="3"/>
    <x v="24"/>
    <x v="3"/>
    <x v="0"/>
    <n v="365"/>
    <x v="0"/>
    <x v="1"/>
    <x v="125"/>
    <x v="1"/>
    <s v="DISCOUNT ALLOWED"/>
    <s v="discount allowed"/>
    <s v="DISCOUNT ALLOWED"/>
    <s v="Discount Allowed"/>
    <s v="18/03/22"/>
  </r>
  <r>
    <s v="TXN_1947569"/>
    <s v="CUST_09"/>
    <x v="4"/>
    <x v="27"/>
    <x v="3"/>
    <x v="0"/>
    <n v="365"/>
    <x v="0"/>
    <x v="0"/>
    <x v="126"/>
    <x v="1"/>
    <s v="DISCOUNT ALLOWED"/>
    <s v="discount allowed"/>
    <s v="DISCOUNT ALLOWED"/>
    <s v="Discount Allowed"/>
    <s v="21/10/23"/>
  </r>
  <r>
    <s v="TXN_2040809"/>
    <s v="CUST_08"/>
    <x v="3"/>
    <x v="24"/>
    <x v="3"/>
    <x v="0"/>
    <n v="365"/>
    <x v="2"/>
    <x v="1"/>
    <x v="127"/>
    <x v="1"/>
    <s v="DISCOUNT ALLOWED"/>
    <s v="discount allowed"/>
    <s v="DISCOUNT ALLOWED"/>
    <s v="Discount Allowed"/>
    <s v="23/05/24"/>
  </r>
  <r>
    <s v="TXN_2142826"/>
    <s v="CUST_11"/>
    <x v="5"/>
    <x v="28"/>
    <x v="3"/>
    <x v="0"/>
    <n v="365"/>
    <x v="2"/>
    <x v="0"/>
    <x v="128"/>
    <x v="1"/>
    <s v="DISCOUNT ALLOWED"/>
    <s v="discount allowed"/>
    <s v="DISCOUNT ALLOWED"/>
    <s v="Discount Allowed"/>
    <s v="18/08/24"/>
  </r>
  <r>
    <s v="TXN_2156507"/>
    <s v="CUST_10"/>
    <x v="1"/>
    <x v="29"/>
    <x v="3"/>
    <x v="0"/>
    <n v="365"/>
    <x v="0"/>
    <x v="0"/>
    <x v="129"/>
    <x v="0"/>
    <s v="DISCOUNT NOT ALLOWED"/>
    <s v="discount not allowed"/>
    <s v="DISCOUNT NOT ALLOWED"/>
    <s v="Discount Not Allowed"/>
    <s v="06/06/24"/>
  </r>
  <r>
    <s v="TXN_2321189"/>
    <s v="CUST_16"/>
    <x v="3"/>
    <x v="24"/>
    <x v="3"/>
    <x v="0"/>
    <n v="365"/>
    <x v="0"/>
    <x v="1"/>
    <x v="130"/>
    <x v="1"/>
    <s v="DISCOUNT ALLOWED"/>
    <s v="discount allowed"/>
    <s v="DISCOUNT ALLOWED"/>
    <s v="Discount Allowed"/>
    <s v="21/09/23"/>
  </r>
  <r>
    <s v="TXN_2660160"/>
    <s v="CUST_04"/>
    <x v="6"/>
    <x v="26"/>
    <x v="3"/>
    <x v="0"/>
    <n v="365"/>
    <x v="2"/>
    <x v="0"/>
    <x v="131"/>
    <x v="0"/>
    <s v="DISCOUNT NOT ALLOWED"/>
    <s v="discount not allowed"/>
    <s v="DISCOUNT NOT ALLOWED"/>
    <s v="Discount Not Allowed"/>
    <s v="15/05/23"/>
  </r>
  <r>
    <s v="TXN_2663672"/>
    <s v="CUST_05"/>
    <x v="3"/>
    <x v="24"/>
    <x v="3"/>
    <x v="0"/>
    <n v="365"/>
    <x v="1"/>
    <x v="0"/>
    <x v="132"/>
    <x v="1"/>
    <s v="DISCOUNT ALLOWED"/>
    <s v="discount allowed"/>
    <s v="DISCOUNT ALLOWED"/>
    <s v="Discount Allowed"/>
    <s v="12/09/23"/>
  </r>
  <r>
    <s v="TXN_4508836"/>
    <s v="CUST_21"/>
    <x v="5"/>
    <x v="28"/>
    <x v="3"/>
    <x v="0"/>
    <n v="365"/>
    <x v="0"/>
    <x v="1"/>
    <x v="133"/>
    <x v="1"/>
    <s v="DISCOUNT ALLOWED"/>
    <s v="discount allowed"/>
    <s v="DISCOUNT ALLOWED"/>
    <s v="Discount Allowed"/>
    <s v="17/01/24"/>
  </r>
  <r>
    <s v="TXN_5575598"/>
    <s v="CUST_24"/>
    <x v="4"/>
    <x v="27"/>
    <x v="3"/>
    <x v="0"/>
    <n v="365"/>
    <x v="0"/>
    <x v="1"/>
    <x v="134"/>
    <x v="0"/>
    <s v="DISCOUNT NOT ALLOWED"/>
    <s v="discount not allowed"/>
    <s v="DISCOUNT NOT ALLOWED"/>
    <s v="Discount Not Allowed"/>
    <s v="11/02/22"/>
  </r>
  <r>
    <s v="TXN_5613380"/>
    <s v="CUST_01"/>
    <x v="1"/>
    <x v="29"/>
    <x v="3"/>
    <x v="0"/>
    <n v="365"/>
    <x v="2"/>
    <x v="1"/>
    <x v="135"/>
    <x v="1"/>
    <s v="DISCOUNT ALLOWED"/>
    <s v="discount allowed"/>
    <s v="DISCOUNT ALLOWED"/>
    <s v="Discount Allowed"/>
    <s v="03/04/24"/>
  </r>
  <r>
    <s v="TXN_5912161"/>
    <s v="CUST_11"/>
    <x v="7"/>
    <x v="30"/>
    <x v="3"/>
    <x v="0"/>
    <n v="365"/>
    <x v="1"/>
    <x v="1"/>
    <x v="2"/>
    <x v="1"/>
    <s v="DISCOUNT ALLOWED"/>
    <s v="discount allowed"/>
    <s v="DISCOUNT ALLOWED"/>
    <s v="Discount Allowed"/>
    <s v="04/11/22"/>
  </r>
  <r>
    <s v="TXN_5958952"/>
    <s v="CUST_22"/>
    <x v="0"/>
    <x v="25"/>
    <x v="3"/>
    <x v="0"/>
    <n v="365"/>
    <x v="2"/>
    <x v="1"/>
    <x v="136"/>
    <x v="0"/>
    <s v="DISCOUNT NOT ALLOWED"/>
    <s v="discount not allowed"/>
    <s v="DISCOUNT NOT ALLOWED"/>
    <s v="Discount Not Allowed"/>
    <s v="07/07/22"/>
  </r>
  <r>
    <s v="TXN_6025445"/>
    <s v="CUST_06"/>
    <x v="3"/>
    <x v="24"/>
    <x v="3"/>
    <x v="0"/>
    <n v="365"/>
    <x v="1"/>
    <x v="1"/>
    <x v="137"/>
    <x v="0"/>
    <s v="DISCOUNT NOT ALLOWED"/>
    <s v="discount not allowed"/>
    <s v="DISCOUNT NOT ALLOWED"/>
    <s v="Discount Not Allowed"/>
    <s v="24/11/23"/>
  </r>
  <r>
    <s v="TXN_6096957"/>
    <s v="CUST_05"/>
    <x v="7"/>
    <x v="30"/>
    <x v="3"/>
    <x v="0"/>
    <n v="365"/>
    <x v="2"/>
    <x v="1"/>
    <x v="138"/>
    <x v="1"/>
    <s v="DISCOUNT ALLOWED"/>
    <s v="discount allowed"/>
    <s v="DISCOUNT ALLOWED"/>
    <s v="Discount Allowed"/>
    <s v="10/02/24"/>
  </r>
  <r>
    <s v="TXN_6492305"/>
    <s v="CUST_23"/>
    <x v="5"/>
    <x v="28"/>
    <x v="3"/>
    <x v="0"/>
    <n v="365"/>
    <x v="1"/>
    <x v="0"/>
    <x v="139"/>
    <x v="1"/>
    <s v="DISCOUNT ALLOWED"/>
    <s v="discount allowed"/>
    <s v="DISCOUNT ALLOWED"/>
    <s v="Discount Allowed"/>
    <s v="13/06/24"/>
  </r>
  <r>
    <s v="TXN_6524933"/>
    <s v="CUST_15"/>
    <x v="4"/>
    <x v="27"/>
    <x v="3"/>
    <x v="0"/>
    <n v="365"/>
    <x v="1"/>
    <x v="1"/>
    <x v="140"/>
    <x v="1"/>
    <s v="DISCOUNT ALLOWED"/>
    <s v="discount allowed"/>
    <s v="DISCOUNT ALLOWED"/>
    <s v="Discount Allowed"/>
    <s v="13/03/22"/>
  </r>
  <r>
    <s v="TXN_6543986"/>
    <s v="CUST_18"/>
    <x v="3"/>
    <x v="24"/>
    <x v="3"/>
    <x v="0"/>
    <n v="365"/>
    <x v="0"/>
    <x v="1"/>
    <x v="141"/>
    <x v="0"/>
    <s v="DISCOUNT NOT ALLOWED"/>
    <s v="discount not allowed"/>
    <s v="DISCOUNT NOT ALLOWED"/>
    <s v="Discount Not Allowed"/>
    <s v="12/10/24"/>
  </r>
  <r>
    <s v="TXN_6952276"/>
    <s v="CUST_01"/>
    <x v="4"/>
    <x v="27"/>
    <x v="3"/>
    <x v="0"/>
    <n v="365"/>
    <x v="2"/>
    <x v="0"/>
    <x v="142"/>
    <x v="1"/>
    <s v="DISCOUNT ALLOWED"/>
    <s v="discount allowed"/>
    <s v="DISCOUNT ALLOWED"/>
    <s v="Discount Allowed"/>
    <s v="02/08/24"/>
  </r>
  <r>
    <s v="TXN_7151856"/>
    <s v="CUST_15"/>
    <x v="7"/>
    <x v="30"/>
    <x v="3"/>
    <x v="0"/>
    <n v="365"/>
    <x v="0"/>
    <x v="1"/>
    <x v="143"/>
    <x v="1"/>
    <s v="DISCOUNT ALLOWED"/>
    <s v="discount allowed"/>
    <s v="DISCOUNT ALLOWED"/>
    <s v="Discount Allowed"/>
    <s v="23/08/23"/>
  </r>
  <r>
    <s v="TXN_7179624"/>
    <s v="CUST_04"/>
    <x v="0"/>
    <x v="25"/>
    <x v="3"/>
    <x v="0"/>
    <n v="365"/>
    <x v="2"/>
    <x v="0"/>
    <x v="144"/>
    <x v="0"/>
    <s v="DISCOUNT NOT ALLOWED"/>
    <s v="discount not allowed"/>
    <s v="DISCOUNT NOT ALLOWED"/>
    <s v="Discount Not Allowed"/>
    <s v="08/11/24"/>
  </r>
  <r>
    <s v="TXN_7284110"/>
    <s v="CUST_06"/>
    <x v="4"/>
    <x v="27"/>
    <x v="3"/>
    <x v="0"/>
    <n v="365"/>
    <x v="2"/>
    <x v="1"/>
    <x v="145"/>
    <x v="0"/>
    <s v="DISCOUNT NOT ALLOWED"/>
    <s v="discount not allowed"/>
    <s v="DISCOUNT NOT ALLOWED"/>
    <s v="Discount Not Allowed"/>
    <s v="31/07/23"/>
  </r>
  <r>
    <s v="TXN_8360887"/>
    <s v="CUST_12"/>
    <x v="0"/>
    <x v="25"/>
    <x v="3"/>
    <x v="0"/>
    <n v="365"/>
    <x v="1"/>
    <x v="0"/>
    <x v="146"/>
    <x v="0"/>
    <s v="DISCOUNT NOT ALLOWED"/>
    <s v="discount not allowed"/>
    <s v="DISCOUNT NOT ALLOWED"/>
    <s v="Discount Not Allowed"/>
    <s v="06/12/24"/>
  </r>
  <r>
    <s v="TXN_8438563"/>
    <s v="CUST_17"/>
    <x v="4"/>
    <x v="27"/>
    <x v="3"/>
    <x v="0"/>
    <n v="365"/>
    <x v="0"/>
    <x v="0"/>
    <x v="147"/>
    <x v="1"/>
    <s v="DISCOUNT ALLOWED"/>
    <s v="discount allowed"/>
    <s v="DISCOUNT ALLOWED"/>
    <s v="Discount Allowed"/>
    <s v="15/07/23"/>
  </r>
  <r>
    <s v="TXN_9081402"/>
    <s v="CUST_03"/>
    <x v="3"/>
    <x v="24"/>
    <x v="3"/>
    <x v="0"/>
    <n v="365"/>
    <x v="0"/>
    <x v="1"/>
    <x v="148"/>
    <x v="0"/>
    <s v="DISCOUNT NOT ALLOWED"/>
    <s v="discount not allowed"/>
    <s v="DISCOUNT NOT ALLOWED"/>
    <s v="Discount Not Allowed"/>
    <s v="10/01/24"/>
  </r>
  <r>
    <s v="TXN_9494162"/>
    <s v="CUST_11"/>
    <x v="5"/>
    <x v="28"/>
    <x v="3"/>
    <x v="0"/>
    <n v="365"/>
    <x v="1"/>
    <x v="0"/>
    <x v="149"/>
    <x v="1"/>
    <s v="DISCOUNT ALLOWED"/>
    <s v="discount allowed"/>
    <s v="DISCOUNT ALLOWED"/>
    <s v="Discount Allowed"/>
    <s v="13/06/22"/>
  </r>
  <r>
    <s v="TXN_1078497"/>
    <s v="CUST_03"/>
    <x v="2"/>
    <x v="9"/>
    <x v="1"/>
    <x v="1"/>
    <n v="355.5"/>
    <x v="1"/>
    <x v="1"/>
    <x v="150"/>
    <x v="0"/>
    <s v="DISCOUNT NOT ALLOWED"/>
    <s v="discount not allowed"/>
    <s v="DISCOUNT NOT ALLOWED"/>
    <s v="Discount Not Allowed"/>
    <s v="21/01/24"/>
  </r>
  <r>
    <s v="TXN_1209700"/>
    <s v="CUST_08"/>
    <x v="1"/>
    <x v="8"/>
    <x v="1"/>
    <x v="1"/>
    <n v="355.5"/>
    <x v="0"/>
    <x v="1"/>
    <x v="151"/>
    <x v="0"/>
    <s v="DISCOUNT NOT ALLOWED"/>
    <s v="discount not allowed"/>
    <s v="DISCOUNT NOT ALLOWED"/>
    <s v="Discount Not Allowed"/>
    <s v="17/06/24"/>
  </r>
  <r>
    <s v="TXN_1361319"/>
    <s v="CUST_11"/>
    <x v="3"/>
    <x v="12"/>
    <x v="1"/>
    <x v="1"/>
    <n v="355.5"/>
    <x v="2"/>
    <x v="1"/>
    <x v="152"/>
    <x v="1"/>
    <s v="DISCOUNT ALLOWED"/>
    <s v="discount allowed"/>
    <s v="DISCOUNT ALLOWED"/>
    <s v="Discount Allowed"/>
    <s v="10/02/22"/>
  </r>
  <r>
    <s v="TXN_1475185"/>
    <s v="CUST_04"/>
    <x v="2"/>
    <x v="9"/>
    <x v="1"/>
    <x v="1"/>
    <n v="355.5"/>
    <x v="2"/>
    <x v="0"/>
    <x v="153"/>
    <x v="0"/>
    <s v="DISCOUNT NOT ALLOWED"/>
    <s v="discount not allowed"/>
    <s v="DISCOUNT NOT ALLOWED"/>
    <s v="Discount Not Allowed"/>
    <s v="28/05/23"/>
  </r>
  <r>
    <s v="TXN_1479443"/>
    <s v="CUST_14"/>
    <x v="0"/>
    <x v="14"/>
    <x v="1"/>
    <x v="1"/>
    <n v="355.5"/>
    <x v="1"/>
    <x v="0"/>
    <x v="154"/>
    <x v="1"/>
    <s v="DISCOUNT ALLOWED"/>
    <s v="discount allowed"/>
    <s v="DISCOUNT ALLOWED"/>
    <s v="Discount Allowed"/>
    <s v="04/06/23"/>
  </r>
  <r>
    <s v="TXN_1500424"/>
    <s v="CUST_06"/>
    <x v="3"/>
    <x v="12"/>
    <x v="1"/>
    <x v="1"/>
    <n v="355.5"/>
    <x v="0"/>
    <x v="0"/>
    <x v="155"/>
    <x v="0"/>
    <s v="DISCOUNT NOT ALLOWED"/>
    <s v="discount not allowed"/>
    <s v="DISCOUNT NOT ALLOWED"/>
    <s v="Discount Not Allowed"/>
    <s v="19/02/22"/>
  </r>
  <r>
    <s v="TXN_1673118"/>
    <s v="CUST_15"/>
    <x v="7"/>
    <x v="10"/>
    <x v="1"/>
    <x v="1"/>
    <n v="355.5"/>
    <x v="1"/>
    <x v="0"/>
    <x v="20"/>
    <x v="1"/>
    <s v="DISCOUNT ALLOWED"/>
    <s v="discount allowed"/>
    <s v="DISCOUNT ALLOWED"/>
    <s v="Discount Allowed"/>
    <s v="24/12/24"/>
  </r>
  <r>
    <s v="TXN_1857948"/>
    <s v="CUST_12"/>
    <x v="1"/>
    <x v="8"/>
    <x v="1"/>
    <x v="1"/>
    <n v="355.5"/>
    <x v="2"/>
    <x v="1"/>
    <x v="156"/>
    <x v="1"/>
    <s v="DISCOUNT ALLOWED"/>
    <s v="discount allowed"/>
    <s v="DISCOUNT ALLOWED"/>
    <s v="Discount Allowed"/>
    <s v="04/07/22"/>
  </r>
  <r>
    <s v="TXN_2407410"/>
    <s v="CUST_02"/>
    <x v="3"/>
    <x v="12"/>
    <x v="1"/>
    <x v="1"/>
    <n v="355.5"/>
    <x v="1"/>
    <x v="0"/>
    <x v="157"/>
    <x v="0"/>
    <s v="DISCOUNT NOT ALLOWED"/>
    <s v="discount not allowed"/>
    <s v="DISCOUNT NOT ALLOWED"/>
    <s v="Discount Not Allowed"/>
    <s v="08/06/22"/>
  </r>
  <r>
    <s v="TXN_2508788"/>
    <s v="CUST_09"/>
    <x v="4"/>
    <x v="11"/>
    <x v="1"/>
    <x v="1"/>
    <n v="355.5"/>
    <x v="1"/>
    <x v="1"/>
    <x v="158"/>
    <x v="0"/>
    <s v="DISCOUNT NOT ALLOWED"/>
    <s v="discount not allowed"/>
    <s v="DISCOUNT NOT ALLOWED"/>
    <s v="Discount Not Allowed"/>
    <s v="30/07/22"/>
  </r>
  <r>
    <s v="TXN_2646301"/>
    <s v="CUST_18"/>
    <x v="2"/>
    <x v="9"/>
    <x v="1"/>
    <x v="1"/>
    <n v="355.5"/>
    <x v="2"/>
    <x v="1"/>
    <x v="159"/>
    <x v="0"/>
    <s v="DISCOUNT NOT ALLOWED"/>
    <s v="discount not allowed"/>
    <s v="DISCOUNT NOT ALLOWED"/>
    <s v="Discount Not Allowed"/>
    <s v="07/12/22"/>
  </r>
  <r>
    <s v="TXN_2803747"/>
    <s v="CUST_15"/>
    <x v="1"/>
    <x v="8"/>
    <x v="1"/>
    <x v="1"/>
    <n v="355.5"/>
    <x v="1"/>
    <x v="1"/>
    <x v="160"/>
    <x v="0"/>
    <s v="DISCOUNT NOT ALLOWED"/>
    <s v="discount not allowed"/>
    <s v="DISCOUNT NOT ALLOWED"/>
    <s v="Discount Not Allowed"/>
    <s v="20/02/23"/>
  </r>
  <r>
    <s v="TXN_2858218"/>
    <s v="CUST_24"/>
    <x v="1"/>
    <x v="8"/>
    <x v="1"/>
    <x v="1"/>
    <n v="355.5"/>
    <x v="0"/>
    <x v="1"/>
    <x v="161"/>
    <x v="1"/>
    <s v="DISCOUNT ALLOWED"/>
    <s v="discount allowed"/>
    <s v="DISCOUNT ALLOWED"/>
    <s v="Discount Allowed"/>
    <s v="04/06/24"/>
  </r>
  <r>
    <s v="TXN_3370472"/>
    <s v="CUST_12"/>
    <x v="2"/>
    <x v="9"/>
    <x v="1"/>
    <x v="1"/>
    <n v="355.5"/>
    <x v="2"/>
    <x v="1"/>
    <x v="162"/>
    <x v="0"/>
    <s v="DISCOUNT NOT ALLOWED"/>
    <s v="discount not allowed"/>
    <s v="DISCOUNT NOT ALLOWED"/>
    <s v="Discount Not Allowed"/>
    <s v="08/03/24"/>
  </r>
  <r>
    <s v="TXN_4624883"/>
    <s v="CUST_06"/>
    <x v="7"/>
    <x v="10"/>
    <x v="1"/>
    <x v="1"/>
    <n v="355.5"/>
    <x v="1"/>
    <x v="0"/>
    <x v="163"/>
    <x v="1"/>
    <s v="DISCOUNT ALLOWED"/>
    <s v="discount allowed"/>
    <s v="DISCOUNT ALLOWED"/>
    <s v="Discount Allowed"/>
    <s v="21/07/22"/>
  </r>
  <r>
    <s v="TXN_4673425"/>
    <s v="CUST_21"/>
    <x v="7"/>
    <x v="10"/>
    <x v="1"/>
    <x v="1"/>
    <n v="355.5"/>
    <x v="2"/>
    <x v="0"/>
    <x v="164"/>
    <x v="1"/>
    <s v="DISCOUNT ALLOWED"/>
    <s v="discount allowed"/>
    <s v="DISCOUNT ALLOWED"/>
    <s v="Discount Allowed"/>
    <s v="26/01/22"/>
  </r>
  <r>
    <s v="TXN_5398868"/>
    <s v="CUST_09"/>
    <x v="0"/>
    <x v="14"/>
    <x v="1"/>
    <x v="1"/>
    <n v="355.5"/>
    <x v="2"/>
    <x v="1"/>
    <x v="165"/>
    <x v="0"/>
    <s v="DISCOUNT NOT ALLOWED"/>
    <s v="discount not allowed"/>
    <s v="DISCOUNT NOT ALLOWED"/>
    <s v="Discount Not Allowed"/>
    <s v="18/04/23"/>
  </r>
  <r>
    <s v="TXN_5736213"/>
    <s v="CUST_21"/>
    <x v="3"/>
    <x v="12"/>
    <x v="1"/>
    <x v="1"/>
    <n v="355.5"/>
    <x v="1"/>
    <x v="1"/>
    <x v="166"/>
    <x v="0"/>
    <s v="DISCOUNT NOT ALLOWED"/>
    <s v="discount not allowed"/>
    <s v="DISCOUNT NOT ALLOWED"/>
    <s v="Discount Not Allowed"/>
    <s v="06/05/24"/>
  </r>
  <r>
    <s v="TXN_5897477"/>
    <s v="CUST_05"/>
    <x v="2"/>
    <x v="9"/>
    <x v="1"/>
    <x v="1"/>
    <n v="355.5"/>
    <x v="1"/>
    <x v="1"/>
    <x v="167"/>
    <x v="0"/>
    <s v="DISCOUNT NOT ALLOWED"/>
    <s v="discount not allowed"/>
    <s v="DISCOUNT NOT ALLOWED"/>
    <s v="Discount Not Allowed"/>
    <s v="16/04/22"/>
  </r>
  <r>
    <s v="TXN_6333391"/>
    <s v="CUST_18"/>
    <x v="2"/>
    <x v="9"/>
    <x v="1"/>
    <x v="1"/>
    <n v="355.5"/>
    <x v="2"/>
    <x v="0"/>
    <x v="168"/>
    <x v="1"/>
    <s v="DISCOUNT ALLOWED"/>
    <s v="discount allowed"/>
    <s v="DISCOUNT ALLOWED"/>
    <s v="Discount Allowed"/>
    <s v="29/06/22"/>
  </r>
  <r>
    <s v="TXN_6580825"/>
    <s v="CUST_05"/>
    <x v="1"/>
    <x v="8"/>
    <x v="1"/>
    <x v="1"/>
    <n v="355.5"/>
    <x v="1"/>
    <x v="1"/>
    <x v="169"/>
    <x v="1"/>
    <s v="DISCOUNT ALLOWED"/>
    <s v="discount allowed"/>
    <s v="DISCOUNT ALLOWED"/>
    <s v="Discount Allowed"/>
    <s v="03/05/24"/>
  </r>
  <r>
    <s v="TXN_6798539"/>
    <s v="CUST_23"/>
    <x v="1"/>
    <x v="8"/>
    <x v="1"/>
    <x v="1"/>
    <n v="355.5"/>
    <x v="1"/>
    <x v="0"/>
    <x v="60"/>
    <x v="1"/>
    <s v="DISCOUNT ALLOWED"/>
    <s v="discount allowed"/>
    <s v="DISCOUNT ALLOWED"/>
    <s v="Discount Allowed"/>
    <s v="01/06/24"/>
  </r>
  <r>
    <s v="TXN_7203061"/>
    <s v="CUST_01"/>
    <x v="2"/>
    <x v="9"/>
    <x v="1"/>
    <x v="1"/>
    <n v="355.5"/>
    <x v="2"/>
    <x v="0"/>
    <x v="170"/>
    <x v="0"/>
    <s v="DISCOUNT NOT ALLOWED"/>
    <s v="discount not allowed"/>
    <s v="DISCOUNT NOT ALLOWED"/>
    <s v="Discount Not Allowed"/>
    <s v="10/05/24"/>
  </r>
  <r>
    <s v="TXN_7782445"/>
    <s v="CUST_13"/>
    <x v="7"/>
    <x v="10"/>
    <x v="1"/>
    <x v="1"/>
    <n v="355.5"/>
    <x v="0"/>
    <x v="1"/>
    <x v="171"/>
    <x v="1"/>
    <s v="DISCOUNT ALLOWED"/>
    <s v="discount allowed"/>
    <s v="DISCOUNT ALLOWED"/>
    <s v="Discount Allowed"/>
    <s v="30/07/24"/>
  </r>
  <r>
    <s v="TXN_8037593"/>
    <s v="CUST_14"/>
    <x v="0"/>
    <x v="14"/>
    <x v="1"/>
    <x v="1"/>
    <n v="355.5"/>
    <x v="2"/>
    <x v="1"/>
    <x v="172"/>
    <x v="1"/>
    <s v="DISCOUNT ALLOWED"/>
    <s v="discount allowed"/>
    <s v="DISCOUNT ALLOWED"/>
    <s v="Discount Allowed"/>
    <s v="25/09/23"/>
  </r>
  <r>
    <s v="TXN_8378538"/>
    <s v="CUST_06"/>
    <x v="4"/>
    <x v="11"/>
    <x v="1"/>
    <x v="1"/>
    <n v="355.5"/>
    <x v="2"/>
    <x v="0"/>
    <x v="173"/>
    <x v="0"/>
    <s v="DISCOUNT NOT ALLOWED"/>
    <s v="discount not allowed"/>
    <s v="DISCOUNT NOT ALLOWED"/>
    <s v="Discount Not Allowed"/>
    <s v="17/11/23"/>
  </r>
  <r>
    <s v="TXN_8680983"/>
    <s v="CUST_02"/>
    <x v="4"/>
    <x v="11"/>
    <x v="1"/>
    <x v="1"/>
    <n v="355.5"/>
    <x v="1"/>
    <x v="0"/>
    <x v="174"/>
    <x v="1"/>
    <s v="DISCOUNT ALLOWED"/>
    <s v="discount allowed"/>
    <s v="DISCOUNT ALLOWED"/>
    <s v="Discount Allowed"/>
    <s v="29/11/22"/>
  </r>
  <r>
    <s v="TXN_9222292"/>
    <s v="CUST_15"/>
    <x v="2"/>
    <x v="9"/>
    <x v="1"/>
    <x v="1"/>
    <n v="355.5"/>
    <x v="0"/>
    <x v="1"/>
    <x v="175"/>
    <x v="0"/>
    <s v="DISCOUNT NOT ALLOWED"/>
    <s v="discount not allowed"/>
    <s v="DISCOUNT NOT ALLOWED"/>
    <s v="Discount Not Allowed"/>
    <s v="25/12/24"/>
  </r>
  <r>
    <s v="TXN_9544902"/>
    <s v="CUST_25"/>
    <x v="1"/>
    <x v="8"/>
    <x v="1"/>
    <x v="1"/>
    <n v="355.5"/>
    <x v="0"/>
    <x v="1"/>
    <x v="176"/>
    <x v="1"/>
    <s v="DISCOUNT ALLOWED"/>
    <s v="discount allowed"/>
    <s v="DISCOUNT ALLOWED"/>
    <s v="Discount Allowed"/>
    <s v="01/02/24"/>
  </r>
  <r>
    <s v="TXN_9715411"/>
    <s v="CUST_22"/>
    <x v="3"/>
    <x v="12"/>
    <x v="1"/>
    <x v="1"/>
    <n v="355.5"/>
    <x v="1"/>
    <x v="0"/>
    <x v="177"/>
    <x v="1"/>
    <s v="DISCOUNT ALLOWED"/>
    <s v="discount allowed"/>
    <s v="DISCOUNT ALLOWED"/>
    <s v="Discount Allowed"/>
    <s v="14/06/24"/>
  </r>
  <r>
    <s v="TXN_9888917"/>
    <s v="CUST_05"/>
    <x v="7"/>
    <x v="10"/>
    <x v="1"/>
    <x v="1"/>
    <n v="355.5"/>
    <x v="0"/>
    <x v="1"/>
    <x v="178"/>
    <x v="0"/>
    <s v="DISCOUNT NOT ALLOWED"/>
    <s v="discount not allowed"/>
    <s v="DISCOUNT NOT ALLOWED"/>
    <s v="Discount Not Allowed"/>
    <s v="21/10/24"/>
  </r>
  <r>
    <s v="TXN_1223061"/>
    <s v="CUST_17"/>
    <x v="0"/>
    <x v="31"/>
    <x v="4"/>
    <x v="0"/>
    <n v="350"/>
    <x v="2"/>
    <x v="0"/>
    <x v="179"/>
    <x v="1"/>
    <s v="DISCOUNT ALLOWED"/>
    <s v="discount allowed"/>
    <s v="DISCOUNT ALLOWED"/>
    <s v="Discount Allowed"/>
    <s v="05/09/22"/>
  </r>
  <r>
    <s v="TXN_1752239"/>
    <s v="CUST_06"/>
    <x v="2"/>
    <x v="32"/>
    <x v="4"/>
    <x v="0"/>
    <n v="350"/>
    <x v="1"/>
    <x v="1"/>
    <x v="180"/>
    <x v="1"/>
    <s v="DISCOUNT ALLOWED"/>
    <s v="discount allowed"/>
    <s v="DISCOUNT ALLOWED"/>
    <s v="Discount Allowed"/>
    <s v="05/12/23"/>
  </r>
  <r>
    <s v="TXN_1891225"/>
    <s v="CUST_08"/>
    <x v="2"/>
    <x v="32"/>
    <x v="4"/>
    <x v="0"/>
    <n v="350"/>
    <x v="0"/>
    <x v="1"/>
    <x v="181"/>
    <x v="1"/>
    <s v="DISCOUNT ALLOWED"/>
    <s v="discount allowed"/>
    <s v="DISCOUNT ALLOWED"/>
    <s v="Discount Allowed"/>
    <s v="14/08/23"/>
  </r>
  <r>
    <s v="TXN_2226766"/>
    <s v="CUST_01"/>
    <x v="6"/>
    <x v="33"/>
    <x v="4"/>
    <x v="0"/>
    <n v="350"/>
    <x v="2"/>
    <x v="0"/>
    <x v="182"/>
    <x v="0"/>
    <s v="DISCOUNT NOT ALLOWED"/>
    <s v="discount not allowed"/>
    <s v="DISCOUNT NOT ALLOWED"/>
    <s v="Discount Not Allowed"/>
    <s v="28/04/24"/>
  </r>
  <r>
    <s v="TXN_2845414"/>
    <s v="CUST_24"/>
    <x v="2"/>
    <x v="32"/>
    <x v="4"/>
    <x v="0"/>
    <n v="350"/>
    <x v="0"/>
    <x v="0"/>
    <x v="37"/>
    <x v="0"/>
    <s v="DISCOUNT NOT ALLOWED"/>
    <s v="discount not allowed"/>
    <s v="DISCOUNT NOT ALLOWED"/>
    <s v="Discount Not Allowed"/>
    <s v="19/06/23"/>
  </r>
  <r>
    <s v="TXN_3066628"/>
    <s v="CUST_07"/>
    <x v="1"/>
    <x v="34"/>
    <x v="4"/>
    <x v="0"/>
    <n v="350"/>
    <x v="1"/>
    <x v="0"/>
    <x v="183"/>
    <x v="1"/>
    <s v="DISCOUNT ALLOWED"/>
    <s v="discount allowed"/>
    <s v="DISCOUNT ALLOWED"/>
    <s v="Discount Allowed"/>
    <s v="31/12/23"/>
  </r>
  <r>
    <s v="TXN_3113686"/>
    <s v="CUST_06"/>
    <x v="5"/>
    <x v="35"/>
    <x v="4"/>
    <x v="0"/>
    <n v="350"/>
    <x v="1"/>
    <x v="0"/>
    <x v="184"/>
    <x v="1"/>
    <s v="DISCOUNT ALLOWED"/>
    <s v="discount allowed"/>
    <s v="DISCOUNT ALLOWED"/>
    <s v="Discount Allowed"/>
    <s v="01/01/22"/>
  </r>
  <r>
    <s v="TXN_3245999"/>
    <s v="CUST_08"/>
    <x v="2"/>
    <x v="32"/>
    <x v="4"/>
    <x v="0"/>
    <n v="350"/>
    <x v="2"/>
    <x v="0"/>
    <x v="185"/>
    <x v="1"/>
    <s v="DISCOUNT ALLOWED"/>
    <s v="discount allowed"/>
    <s v="DISCOUNT ALLOWED"/>
    <s v="Discount Allowed"/>
    <s v="08/08/24"/>
  </r>
  <r>
    <s v="TXN_3703356"/>
    <s v="CUST_07"/>
    <x v="4"/>
    <x v="36"/>
    <x v="4"/>
    <x v="0"/>
    <n v="350"/>
    <x v="2"/>
    <x v="0"/>
    <x v="186"/>
    <x v="1"/>
    <s v="DISCOUNT ALLOWED"/>
    <s v="discount allowed"/>
    <s v="DISCOUNT ALLOWED"/>
    <s v="Discount Allowed"/>
    <s v="15/09/22"/>
  </r>
  <r>
    <s v="TXN_4034447"/>
    <s v="CUST_13"/>
    <x v="5"/>
    <x v="35"/>
    <x v="4"/>
    <x v="0"/>
    <n v="350"/>
    <x v="1"/>
    <x v="0"/>
    <x v="187"/>
    <x v="0"/>
    <s v="DISCOUNT NOT ALLOWED"/>
    <s v="discount not allowed"/>
    <s v="DISCOUNT NOT ALLOWED"/>
    <s v="Discount Not Allowed"/>
    <s v="18/02/23"/>
  </r>
  <r>
    <s v="TXN_4901726"/>
    <s v="CUST_24"/>
    <x v="5"/>
    <x v="35"/>
    <x v="4"/>
    <x v="0"/>
    <n v="350"/>
    <x v="2"/>
    <x v="0"/>
    <x v="188"/>
    <x v="0"/>
    <s v="DISCOUNT NOT ALLOWED"/>
    <s v="discount not allowed"/>
    <s v="DISCOUNT NOT ALLOWED"/>
    <s v="Discount Not Allowed"/>
    <s v="14/12/23"/>
  </r>
  <r>
    <s v="TXN_4903332"/>
    <s v="CUST_08"/>
    <x v="4"/>
    <x v="36"/>
    <x v="4"/>
    <x v="0"/>
    <n v="350"/>
    <x v="2"/>
    <x v="1"/>
    <x v="61"/>
    <x v="1"/>
    <s v="DISCOUNT ALLOWED"/>
    <s v="discount allowed"/>
    <s v="DISCOUNT ALLOWED"/>
    <s v="Discount Allowed"/>
    <s v="18/01/23"/>
  </r>
  <r>
    <s v="TXN_5085529"/>
    <s v="CUST_05"/>
    <x v="6"/>
    <x v="33"/>
    <x v="4"/>
    <x v="0"/>
    <n v="350"/>
    <x v="2"/>
    <x v="1"/>
    <x v="189"/>
    <x v="1"/>
    <s v="DISCOUNT ALLOWED"/>
    <s v="discount allowed"/>
    <s v="DISCOUNT ALLOWED"/>
    <s v="Discount Allowed"/>
    <s v="22/09/23"/>
  </r>
  <r>
    <s v="TXN_5171758"/>
    <s v="CUST_19"/>
    <x v="5"/>
    <x v="35"/>
    <x v="4"/>
    <x v="0"/>
    <n v="350"/>
    <x v="0"/>
    <x v="0"/>
    <x v="190"/>
    <x v="1"/>
    <s v="DISCOUNT ALLOWED"/>
    <s v="discount allowed"/>
    <s v="DISCOUNT ALLOWED"/>
    <s v="Discount Allowed"/>
    <s v="07/02/22"/>
  </r>
  <r>
    <s v="TXN_5261729"/>
    <s v="CUST_02"/>
    <x v="6"/>
    <x v="33"/>
    <x v="4"/>
    <x v="0"/>
    <n v="350"/>
    <x v="1"/>
    <x v="0"/>
    <x v="191"/>
    <x v="0"/>
    <s v="DISCOUNT NOT ALLOWED"/>
    <s v="discount not allowed"/>
    <s v="DISCOUNT NOT ALLOWED"/>
    <s v="Discount Not Allowed"/>
    <s v="21/06/24"/>
  </r>
  <r>
    <s v="TXN_5501500"/>
    <s v="CUST_25"/>
    <x v="6"/>
    <x v="33"/>
    <x v="4"/>
    <x v="0"/>
    <n v="350"/>
    <x v="2"/>
    <x v="1"/>
    <x v="192"/>
    <x v="0"/>
    <s v="DISCOUNT NOT ALLOWED"/>
    <s v="discount not allowed"/>
    <s v="DISCOUNT NOT ALLOWED"/>
    <s v="Discount Not Allowed"/>
    <s v="17/05/24"/>
  </r>
  <r>
    <s v="TXN_5690131"/>
    <s v="CUST_20"/>
    <x v="2"/>
    <x v="32"/>
    <x v="4"/>
    <x v="0"/>
    <n v="350"/>
    <x v="1"/>
    <x v="0"/>
    <x v="109"/>
    <x v="0"/>
    <s v="DISCOUNT NOT ALLOWED"/>
    <s v="discount not allowed"/>
    <s v="DISCOUNT NOT ALLOWED"/>
    <s v="Discount Not Allowed"/>
    <s v="05/06/22"/>
  </r>
  <r>
    <s v="TXN_6415831"/>
    <s v="CUST_18"/>
    <x v="1"/>
    <x v="34"/>
    <x v="4"/>
    <x v="0"/>
    <n v="350"/>
    <x v="1"/>
    <x v="0"/>
    <x v="121"/>
    <x v="0"/>
    <s v="DISCOUNT NOT ALLOWED"/>
    <s v="discount not allowed"/>
    <s v="DISCOUNT NOT ALLOWED"/>
    <s v="Discount Not Allowed"/>
    <s v="21/08/24"/>
  </r>
  <r>
    <s v="TXN_6887267"/>
    <s v="CUST_08"/>
    <x v="6"/>
    <x v="33"/>
    <x v="4"/>
    <x v="0"/>
    <n v="350"/>
    <x v="2"/>
    <x v="0"/>
    <x v="193"/>
    <x v="0"/>
    <s v="DISCOUNT NOT ALLOWED"/>
    <s v="discount not allowed"/>
    <s v="DISCOUNT NOT ALLOWED"/>
    <s v="Discount Not Allowed"/>
    <s v="08/01/22"/>
  </r>
  <r>
    <s v="TXN_7504945"/>
    <s v="CUST_07"/>
    <x v="6"/>
    <x v="33"/>
    <x v="4"/>
    <x v="0"/>
    <n v="350"/>
    <x v="2"/>
    <x v="0"/>
    <x v="194"/>
    <x v="1"/>
    <s v="DISCOUNT ALLOWED"/>
    <s v="discount allowed"/>
    <s v="DISCOUNT ALLOWED"/>
    <s v="Discount Allowed"/>
    <s v="25/12/22"/>
  </r>
  <r>
    <s v="TXN_8123523"/>
    <s v="CUST_04"/>
    <x v="0"/>
    <x v="31"/>
    <x v="4"/>
    <x v="0"/>
    <n v="350"/>
    <x v="1"/>
    <x v="0"/>
    <x v="195"/>
    <x v="1"/>
    <s v="DISCOUNT ALLOWED"/>
    <s v="discount allowed"/>
    <s v="DISCOUNT ALLOWED"/>
    <s v="Discount Allowed"/>
    <s v="01/07/22"/>
  </r>
  <r>
    <s v="TXN_8912253"/>
    <s v="CUST_22"/>
    <x v="6"/>
    <x v="33"/>
    <x v="4"/>
    <x v="0"/>
    <n v="350"/>
    <x v="2"/>
    <x v="0"/>
    <x v="196"/>
    <x v="0"/>
    <s v="DISCOUNT NOT ALLOWED"/>
    <s v="discount not allowed"/>
    <s v="DISCOUNT NOT ALLOWED"/>
    <s v="Discount Not Allowed"/>
    <s v="11/12/22"/>
  </r>
  <r>
    <s v="TXN_9306598"/>
    <s v="CUST_24"/>
    <x v="6"/>
    <x v="33"/>
    <x v="4"/>
    <x v="0"/>
    <n v="350"/>
    <x v="2"/>
    <x v="0"/>
    <x v="197"/>
    <x v="0"/>
    <s v="DISCOUNT NOT ALLOWED"/>
    <s v="discount not allowed"/>
    <s v="DISCOUNT NOT ALLOWED"/>
    <s v="Discount Not Allowed"/>
    <s v="01/09/22"/>
  </r>
  <r>
    <s v="TXN_9493303"/>
    <s v="CUST_13"/>
    <x v="6"/>
    <x v="33"/>
    <x v="4"/>
    <x v="0"/>
    <n v="350"/>
    <x v="2"/>
    <x v="0"/>
    <x v="198"/>
    <x v="1"/>
    <s v="DISCOUNT ALLOWED"/>
    <s v="discount allowed"/>
    <s v="DISCOUNT ALLOWED"/>
    <s v="Discount Allowed"/>
    <s v="04/11/23"/>
  </r>
  <r>
    <s v="TXN_9753727"/>
    <s v="CUST_09"/>
    <x v="1"/>
    <x v="34"/>
    <x v="4"/>
    <x v="0"/>
    <n v="350"/>
    <x v="2"/>
    <x v="0"/>
    <x v="199"/>
    <x v="0"/>
    <s v="DISCOUNT NOT ALLOWED"/>
    <s v="discount not allowed"/>
    <s v="DISCOUNT NOT ALLOWED"/>
    <s v="Discount Not Allowed"/>
    <s v="27/12/24"/>
  </r>
  <r>
    <s v="TXN_9896688"/>
    <s v="CUST_12"/>
    <x v="2"/>
    <x v="32"/>
    <x v="4"/>
    <x v="0"/>
    <n v="350"/>
    <x v="1"/>
    <x v="0"/>
    <x v="200"/>
    <x v="1"/>
    <s v="DISCOUNT ALLOWED"/>
    <s v="discount allowed"/>
    <s v="DISCOUNT ALLOWED"/>
    <s v="Discount Allowed"/>
    <s v="29/01/22"/>
  </r>
  <r>
    <s v="TXN_1632854"/>
    <s v="CUST_22"/>
    <x v="0"/>
    <x v="17"/>
    <x v="2"/>
    <x v="1"/>
    <n v="342"/>
    <x v="1"/>
    <x v="0"/>
    <x v="201"/>
    <x v="1"/>
    <s v="DISCOUNT ALLOWED"/>
    <s v="discount allowed"/>
    <s v="DISCOUNT ALLOWED"/>
    <s v="Discount Allowed"/>
    <s v="25/04/23"/>
  </r>
  <r>
    <s v="TXN_1903317"/>
    <s v="CUST_11"/>
    <x v="2"/>
    <x v="20"/>
    <x v="2"/>
    <x v="1"/>
    <n v="342"/>
    <x v="1"/>
    <x v="1"/>
    <x v="202"/>
    <x v="0"/>
    <s v="DISCOUNT NOT ALLOWED"/>
    <s v="discount not allowed"/>
    <s v="DISCOUNT NOT ALLOWED"/>
    <s v="Discount Not Allowed"/>
    <s v="10/04/24"/>
  </r>
  <r>
    <s v="TXN_1978695"/>
    <s v="CUST_22"/>
    <x v="7"/>
    <x v="21"/>
    <x v="2"/>
    <x v="1"/>
    <n v="342"/>
    <x v="1"/>
    <x v="0"/>
    <x v="203"/>
    <x v="0"/>
    <s v="DISCOUNT NOT ALLOWED"/>
    <s v="discount not allowed"/>
    <s v="DISCOUNT NOT ALLOWED"/>
    <s v="Discount Not Allowed"/>
    <s v="23/09/22"/>
  </r>
  <r>
    <s v="TXN_2038385"/>
    <s v="CUST_07"/>
    <x v="0"/>
    <x v="17"/>
    <x v="2"/>
    <x v="1"/>
    <n v="342"/>
    <x v="1"/>
    <x v="0"/>
    <x v="204"/>
    <x v="1"/>
    <s v="DISCOUNT ALLOWED"/>
    <s v="discount allowed"/>
    <s v="DISCOUNT ALLOWED"/>
    <s v="Discount Allowed"/>
    <s v="25/05/23"/>
  </r>
  <r>
    <s v="TXN_2145753"/>
    <s v="CUST_05"/>
    <x v="5"/>
    <x v="15"/>
    <x v="2"/>
    <x v="1"/>
    <n v="342"/>
    <x v="2"/>
    <x v="1"/>
    <x v="125"/>
    <x v="0"/>
    <s v="DISCOUNT NOT ALLOWED"/>
    <s v="discount not allowed"/>
    <s v="DISCOUNT NOT ALLOWED"/>
    <s v="Discount Not Allowed"/>
    <s v="18/03/22"/>
  </r>
  <r>
    <s v="TXN_2246570"/>
    <s v="CUST_21"/>
    <x v="7"/>
    <x v="21"/>
    <x v="2"/>
    <x v="1"/>
    <n v="342"/>
    <x v="1"/>
    <x v="1"/>
    <x v="205"/>
    <x v="0"/>
    <s v="DISCOUNT NOT ALLOWED"/>
    <s v="discount not allowed"/>
    <s v="DISCOUNT NOT ALLOWED"/>
    <s v="Discount Not Allowed"/>
    <s v="11/06/22"/>
  </r>
  <r>
    <s v="TXN_3125910"/>
    <s v="CUST_09"/>
    <x v="6"/>
    <x v="18"/>
    <x v="2"/>
    <x v="1"/>
    <n v="342"/>
    <x v="0"/>
    <x v="1"/>
    <x v="206"/>
    <x v="0"/>
    <s v="DISCOUNT NOT ALLOWED"/>
    <s v="discount not allowed"/>
    <s v="DISCOUNT NOT ALLOWED"/>
    <s v="Discount Not Allowed"/>
    <s v="08/02/22"/>
  </r>
  <r>
    <s v="TXN_3202645"/>
    <s v="CUST_12"/>
    <x v="6"/>
    <x v="18"/>
    <x v="2"/>
    <x v="1"/>
    <n v="342"/>
    <x v="2"/>
    <x v="0"/>
    <x v="207"/>
    <x v="0"/>
    <s v="DISCOUNT NOT ALLOWED"/>
    <s v="discount not allowed"/>
    <s v="DISCOUNT NOT ALLOWED"/>
    <s v="Discount Not Allowed"/>
    <s v="25/09/22"/>
  </r>
  <r>
    <s v="TXN_3228853"/>
    <s v="CUST_19"/>
    <x v="0"/>
    <x v="17"/>
    <x v="2"/>
    <x v="1"/>
    <n v="342"/>
    <x v="1"/>
    <x v="0"/>
    <x v="208"/>
    <x v="1"/>
    <s v="DISCOUNT ALLOWED"/>
    <s v="discount allowed"/>
    <s v="DISCOUNT ALLOWED"/>
    <s v="Discount Allowed"/>
    <s v="02/06/23"/>
  </r>
  <r>
    <s v="TXN_3253186"/>
    <s v="CUST_04"/>
    <x v="0"/>
    <x v="17"/>
    <x v="2"/>
    <x v="1"/>
    <n v="342"/>
    <x v="1"/>
    <x v="0"/>
    <x v="49"/>
    <x v="1"/>
    <s v="DISCOUNT ALLOWED"/>
    <s v="discount allowed"/>
    <s v="DISCOUNT ALLOWED"/>
    <s v="Discount Allowed"/>
    <s v="14/09/22"/>
  </r>
  <r>
    <s v="TXN_3425466"/>
    <s v="CUST_20"/>
    <x v="3"/>
    <x v="16"/>
    <x v="2"/>
    <x v="1"/>
    <n v="342"/>
    <x v="0"/>
    <x v="0"/>
    <x v="209"/>
    <x v="1"/>
    <s v="DISCOUNT ALLOWED"/>
    <s v="discount allowed"/>
    <s v="DISCOUNT ALLOWED"/>
    <s v="Discount Allowed"/>
    <s v="01/07/23"/>
  </r>
  <r>
    <s v="TXN_4096416"/>
    <s v="CUST_18"/>
    <x v="2"/>
    <x v="20"/>
    <x v="2"/>
    <x v="1"/>
    <n v="342"/>
    <x v="0"/>
    <x v="0"/>
    <x v="210"/>
    <x v="0"/>
    <s v="DISCOUNT NOT ALLOWED"/>
    <s v="discount not allowed"/>
    <s v="DISCOUNT NOT ALLOWED"/>
    <s v="Discount Not Allowed"/>
    <s v="15/08/22"/>
  </r>
  <r>
    <s v="TXN_4199863"/>
    <s v="CUST_11"/>
    <x v="2"/>
    <x v="20"/>
    <x v="2"/>
    <x v="1"/>
    <n v="342"/>
    <x v="1"/>
    <x v="1"/>
    <x v="211"/>
    <x v="0"/>
    <s v="DISCOUNT NOT ALLOWED"/>
    <s v="discount not allowed"/>
    <s v="DISCOUNT NOT ALLOWED"/>
    <s v="Discount Not Allowed"/>
    <s v="12/09/22"/>
  </r>
  <r>
    <s v="TXN_4215500"/>
    <s v="CUST_09"/>
    <x v="2"/>
    <x v="20"/>
    <x v="2"/>
    <x v="1"/>
    <n v="342"/>
    <x v="0"/>
    <x v="0"/>
    <x v="212"/>
    <x v="0"/>
    <s v="DISCOUNT NOT ALLOWED"/>
    <s v="discount not allowed"/>
    <s v="DISCOUNT NOT ALLOWED"/>
    <s v="Discount Not Allowed"/>
    <s v="10/12/22"/>
  </r>
  <r>
    <s v="TXN_4396240"/>
    <s v="CUST_23"/>
    <x v="5"/>
    <x v="15"/>
    <x v="2"/>
    <x v="1"/>
    <n v="342"/>
    <x v="1"/>
    <x v="0"/>
    <x v="182"/>
    <x v="1"/>
    <s v="DISCOUNT ALLOWED"/>
    <s v="discount allowed"/>
    <s v="DISCOUNT ALLOWED"/>
    <s v="Discount Allowed"/>
    <s v="28/04/24"/>
  </r>
  <r>
    <s v="TXN_4943330"/>
    <s v="CUST_07"/>
    <x v="1"/>
    <x v="19"/>
    <x v="2"/>
    <x v="1"/>
    <n v="342"/>
    <x v="0"/>
    <x v="1"/>
    <x v="213"/>
    <x v="1"/>
    <s v="DISCOUNT ALLOWED"/>
    <s v="discount allowed"/>
    <s v="DISCOUNT ALLOWED"/>
    <s v="Discount Allowed"/>
    <s v="14/07/23"/>
  </r>
  <r>
    <s v="TXN_5907338"/>
    <s v="CUST_25"/>
    <x v="1"/>
    <x v="19"/>
    <x v="2"/>
    <x v="1"/>
    <n v="342"/>
    <x v="1"/>
    <x v="1"/>
    <x v="214"/>
    <x v="1"/>
    <s v="DISCOUNT ALLOWED"/>
    <s v="discount allowed"/>
    <s v="DISCOUNT ALLOWED"/>
    <s v="Discount Allowed"/>
    <s v="18/01/25"/>
  </r>
  <r>
    <s v="TXN_6063963"/>
    <s v="CUST_06"/>
    <x v="6"/>
    <x v="18"/>
    <x v="2"/>
    <x v="1"/>
    <n v="342"/>
    <x v="2"/>
    <x v="1"/>
    <x v="215"/>
    <x v="0"/>
    <s v="DISCOUNT NOT ALLOWED"/>
    <s v="discount not allowed"/>
    <s v="DISCOUNT NOT ALLOWED"/>
    <s v="Discount Not Allowed"/>
    <s v="13/05/22"/>
  </r>
  <r>
    <s v="TXN_6087379"/>
    <s v="CUST_24"/>
    <x v="0"/>
    <x v="17"/>
    <x v="2"/>
    <x v="1"/>
    <n v="342"/>
    <x v="1"/>
    <x v="0"/>
    <x v="216"/>
    <x v="1"/>
    <s v="DISCOUNT ALLOWED"/>
    <s v="discount allowed"/>
    <s v="DISCOUNT ALLOWED"/>
    <s v="Discount Allowed"/>
    <s v="19/04/23"/>
  </r>
  <r>
    <s v="TXN_6320451"/>
    <s v="CUST_02"/>
    <x v="2"/>
    <x v="20"/>
    <x v="2"/>
    <x v="1"/>
    <n v="342"/>
    <x v="0"/>
    <x v="1"/>
    <x v="217"/>
    <x v="0"/>
    <s v="DISCOUNT NOT ALLOWED"/>
    <s v="discount not allowed"/>
    <s v="DISCOUNT NOT ALLOWED"/>
    <s v="Discount Not Allowed"/>
    <s v="12/01/24"/>
  </r>
  <r>
    <s v="TXN_6480679"/>
    <s v="CUST_13"/>
    <x v="3"/>
    <x v="16"/>
    <x v="2"/>
    <x v="1"/>
    <n v="342"/>
    <x v="2"/>
    <x v="1"/>
    <x v="202"/>
    <x v="0"/>
    <s v="DISCOUNT NOT ALLOWED"/>
    <s v="discount not allowed"/>
    <s v="DISCOUNT NOT ALLOWED"/>
    <s v="Discount Not Allowed"/>
    <s v="10/04/24"/>
  </r>
  <r>
    <s v="TXN_6636773"/>
    <s v="CUST_05"/>
    <x v="5"/>
    <x v="15"/>
    <x v="2"/>
    <x v="1"/>
    <n v="342"/>
    <x v="0"/>
    <x v="0"/>
    <x v="42"/>
    <x v="1"/>
    <s v="DISCOUNT ALLOWED"/>
    <s v="discount allowed"/>
    <s v="DISCOUNT ALLOWED"/>
    <s v="Discount Allowed"/>
    <s v="02/09/22"/>
  </r>
  <r>
    <s v="TXN_7000451"/>
    <s v="CUST_06"/>
    <x v="3"/>
    <x v="16"/>
    <x v="2"/>
    <x v="1"/>
    <n v="342"/>
    <x v="2"/>
    <x v="1"/>
    <x v="218"/>
    <x v="0"/>
    <s v="DISCOUNT NOT ALLOWED"/>
    <s v="discount not allowed"/>
    <s v="DISCOUNT NOT ALLOWED"/>
    <s v="Discount Not Allowed"/>
    <s v="06/10/22"/>
  </r>
  <r>
    <s v="TXN_7401761"/>
    <s v="CUST_19"/>
    <x v="5"/>
    <x v="15"/>
    <x v="2"/>
    <x v="1"/>
    <n v="342"/>
    <x v="1"/>
    <x v="0"/>
    <x v="219"/>
    <x v="0"/>
    <s v="DISCOUNT NOT ALLOWED"/>
    <s v="discount not allowed"/>
    <s v="DISCOUNT NOT ALLOWED"/>
    <s v="Discount Not Allowed"/>
    <s v="23/05/23"/>
  </r>
  <r>
    <s v="TXN_7451610"/>
    <s v="CUST_19"/>
    <x v="7"/>
    <x v="21"/>
    <x v="2"/>
    <x v="1"/>
    <n v="342"/>
    <x v="1"/>
    <x v="0"/>
    <x v="220"/>
    <x v="1"/>
    <s v="DISCOUNT ALLOWED"/>
    <s v="discount allowed"/>
    <s v="DISCOUNT ALLOWED"/>
    <s v="Discount Allowed"/>
    <s v="25/03/24"/>
  </r>
  <r>
    <s v="TXN_7694552"/>
    <s v="CUST_20"/>
    <x v="2"/>
    <x v="20"/>
    <x v="2"/>
    <x v="1"/>
    <n v="342"/>
    <x v="2"/>
    <x v="1"/>
    <x v="24"/>
    <x v="0"/>
    <s v="DISCOUNT NOT ALLOWED"/>
    <s v="discount not allowed"/>
    <s v="DISCOUNT NOT ALLOWED"/>
    <s v="Discount Not Allowed"/>
    <s v="01/05/24"/>
  </r>
  <r>
    <s v="TXN_7739444"/>
    <s v="CUST_04"/>
    <x v="0"/>
    <x v="17"/>
    <x v="2"/>
    <x v="1"/>
    <n v="342"/>
    <x v="1"/>
    <x v="1"/>
    <x v="204"/>
    <x v="0"/>
    <s v="DISCOUNT NOT ALLOWED"/>
    <s v="discount not allowed"/>
    <s v="DISCOUNT NOT ALLOWED"/>
    <s v="Discount Not Allowed"/>
    <s v="25/05/23"/>
  </r>
  <r>
    <s v="TXN_7804412"/>
    <s v="CUST_12"/>
    <x v="6"/>
    <x v="18"/>
    <x v="2"/>
    <x v="1"/>
    <n v="342"/>
    <x v="0"/>
    <x v="1"/>
    <x v="8"/>
    <x v="0"/>
    <s v="DISCOUNT NOT ALLOWED"/>
    <s v="discount not allowed"/>
    <s v="DISCOUNT NOT ALLOWED"/>
    <s v="Discount Not Allowed"/>
    <s v="04/01/25"/>
  </r>
  <r>
    <s v="TXN_8031470"/>
    <s v="CUST_14"/>
    <x v="5"/>
    <x v="15"/>
    <x v="2"/>
    <x v="1"/>
    <n v="342"/>
    <x v="0"/>
    <x v="1"/>
    <x v="221"/>
    <x v="1"/>
    <s v="DISCOUNT ALLOWED"/>
    <s v="discount allowed"/>
    <s v="DISCOUNT ALLOWED"/>
    <s v="Discount Allowed"/>
    <s v="20/11/24"/>
  </r>
  <r>
    <s v="TXN_8642580"/>
    <s v="CUST_23"/>
    <x v="3"/>
    <x v="16"/>
    <x v="2"/>
    <x v="1"/>
    <n v="342"/>
    <x v="2"/>
    <x v="1"/>
    <x v="222"/>
    <x v="1"/>
    <s v="DISCOUNT ALLOWED"/>
    <s v="discount allowed"/>
    <s v="DISCOUNT ALLOWED"/>
    <s v="Discount Allowed"/>
    <s v="13/12/22"/>
  </r>
  <r>
    <s v="TXN_8837973"/>
    <s v="CUST_18"/>
    <x v="6"/>
    <x v="18"/>
    <x v="2"/>
    <x v="1"/>
    <n v="342"/>
    <x v="0"/>
    <x v="1"/>
    <x v="223"/>
    <x v="1"/>
    <s v="DISCOUNT ALLOWED"/>
    <s v="discount allowed"/>
    <s v="DISCOUNT ALLOWED"/>
    <s v="Discount Allowed"/>
    <s v="29/12/24"/>
  </r>
  <r>
    <s v="TXN_8988079"/>
    <s v="CUST_19"/>
    <x v="6"/>
    <x v="18"/>
    <x v="2"/>
    <x v="1"/>
    <n v="342"/>
    <x v="2"/>
    <x v="1"/>
    <x v="224"/>
    <x v="0"/>
    <s v="DISCOUNT NOT ALLOWED"/>
    <s v="discount not allowed"/>
    <s v="DISCOUNT NOT ALLOWED"/>
    <s v="Discount Not Allowed"/>
    <s v="10/06/23"/>
  </r>
  <r>
    <s v="TXN_9413455"/>
    <s v="CUST_21"/>
    <x v="3"/>
    <x v="16"/>
    <x v="2"/>
    <x v="1"/>
    <n v="342"/>
    <x v="2"/>
    <x v="1"/>
    <x v="225"/>
    <x v="1"/>
    <s v="DISCOUNT ALLOWED"/>
    <s v="discount allowed"/>
    <s v="DISCOUNT ALLOWED"/>
    <s v="Discount Allowed"/>
    <s v="26/03/23"/>
  </r>
  <r>
    <s v="TXN_9943125"/>
    <s v="CUST_16"/>
    <x v="6"/>
    <x v="18"/>
    <x v="2"/>
    <x v="1"/>
    <n v="342"/>
    <x v="2"/>
    <x v="1"/>
    <x v="226"/>
    <x v="1"/>
    <s v="DISCOUNT ALLOWED"/>
    <s v="discount allowed"/>
    <s v="DISCOUNT ALLOWED"/>
    <s v="Discount Allowed"/>
    <s v="20/01/23"/>
  </r>
  <r>
    <s v="TXN_1027160"/>
    <s v="CUST_15"/>
    <x v="1"/>
    <x v="37"/>
    <x v="5"/>
    <x v="0"/>
    <n v="335"/>
    <x v="0"/>
    <x v="1"/>
    <x v="227"/>
    <x v="1"/>
    <s v="DISCOUNT ALLOWED"/>
    <s v="discount allowed"/>
    <s v="DISCOUNT ALLOWED"/>
    <s v="Discount Allowed"/>
    <s v="12/06/24"/>
  </r>
  <r>
    <s v="TXN_1028281"/>
    <s v="CUST_20"/>
    <x v="1"/>
    <x v="37"/>
    <x v="5"/>
    <x v="0"/>
    <n v="335"/>
    <x v="1"/>
    <x v="1"/>
    <x v="228"/>
    <x v="1"/>
    <s v="DISCOUNT ALLOWED"/>
    <s v="discount allowed"/>
    <s v="DISCOUNT ALLOWED"/>
    <s v="Discount Allowed"/>
    <s v="27/02/22"/>
  </r>
  <r>
    <s v="TXN_1263895"/>
    <s v="CUST_15"/>
    <x v="5"/>
    <x v="38"/>
    <x v="5"/>
    <x v="0"/>
    <n v="335"/>
    <x v="2"/>
    <x v="1"/>
    <x v="229"/>
    <x v="1"/>
    <s v="DISCOUNT ALLOWED"/>
    <s v="discount allowed"/>
    <s v="DISCOUNT ALLOWED"/>
    <s v="Discount Allowed"/>
    <s v="16/03/24"/>
  </r>
  <r>
    <s v="TXN_1318100"/>
    <s v="CUST_03"/>
    <x v="2"/>
    <x v="39"/>
    <x v="5"/>
    <x v="0"/>
    <n v="335"/>
    <x v="1"/>
    <x v="0"/>
    <x v="230"/>
    <x v="1"/>
    <s v="DISCOUNT ALLOWED"/>
    <s v="discount allowed"/>
    <s v="DISCOUNT ALLOWED"/>
    <s v="Discount Allowed"/>
    <s v="19/09/22"/>
  </r>
  <r>
    <s v="TXN_1535908"/>
    <s v="CUST_10"/>
    <x v="0"/>
    <x v="40"/>
    <x v="5"/>
    <x v="0"/>
    <n v="335"/>
    <x v="2"/>
    <x v="1"/>
    <x v="231"/>
    <x v="0"/>
    <s v="DISCOUNT NOT ALLOWED"/>
    <s v="discount not allowed"/>
    <s v="DISCOUNT NOT ALLOWED"/>
    <s v="Discount Not Allowed"/>
    <s v="04/01/22"/>
  </r>
  <r>
    <s v="TXN_2505439"/>
    <s v="CUST_16"/>
    <x v="5"/>
    <x v="38"/>
    <x v="5"/>
    <x v="0"/>
    <n v="335"/>
    <x v="0"/>
    <x v="0"/>
    <x v="91"/>
    <x v="0"/>
    <s v="DISCOUNT NOT ALLOWED"/>
    <s v="discount not allowed"/>
    <s v="DISCOUNT NOT ALLOWED"/>
    <s v="Discount Not Allowed"/>
    <s v="09/12/23"/>
  </r>
  <r>
    <s v="TXN_2580755"/>
    <s v="CUST_21"/>
    <x v="3"/>
    <x v="41"/>
    <x v="5"/>
    <x v="0"/>
    <n v="335"/>
    <x v="1"/>
    <x v="1"/>
    <x v="232"/>
    <x v="0"/>
    <s v="DISCOUNT NOT ALLOWED"/>
    <s v="discount not allowed"/>
    <s v="DISCOUNT NOT ALLOWED"/>
    <s v="Discount Not Allowed"/>
    <s v="28/02/22"/>
  </r>
  <r>
    <s v="TXN_2849510"/>
    <s v="CUST_07"/>
    <x v="2"/>
    <x v="39"/>
    <x v="5"/>
    <x v="0"/>
    <n v="335"/>
    <x v="0"/>
    <x v="1"/>
    <x v="161"/>
    <x v="0"/>
    <s v="DISCOUNT NOT ALLOWED"/>
    <s v="discount not allowed"/>
    <s v="DISCOUNT NOT ALLOWED"/>
    <s v="Discount Not Allowed"/>
    <s v="04/06/24"/>
  </r>
  <r>
    <s v="TXN_3334999"/>
    <s v="CUST_06"/>
    <x v="4"/>
    <x v="42"/>
    <x v="5"/>
    <x v="0"/>
    <n v="335"/>
    <x v="0"/>
    <x v="1"/>
    <x v="233"/>
    <x v="1"/>
    <s v="DISCOUNT ALLOWED"/>
    <s v="discount allowed"/>
    <s v="DISCOUNT ALLOWED"/>
    <s v="Discount Allowed"/>
    <s v="02/04/23"/>
  </r>
  <r>
    <s v="TXN_3338914"/>
    <s v="CUST_16"/>
    <x v="4"/>
    <x v="42"/>
    <x v="5"/>
    <x v="0"/>
    <n v="335"/>
    <x v="0"/>
    <x v="0"/>
    <x v="30"/>
    <x v="0"/>
    <s v="DISCOUNT NOT ALLOWED"/>
    <s v="discount not allowed"/>
    <s v="DISCOUNT NOT ALLOWED"/>
    <s v="Discount Not Allowed"/>
    <s v="29/05/24"/>
  </r>
  <r>
    <s v="TXN_3368961"/>
    <s v="CUST_10"/>
    <x v="6"/>
    <x v="43"/>
    <x v="5"/>
    <x v="0"/>
    <n v="335"/>
    <x v="0"/>
    <x v="0"/>
    <x v="234"/>
    <x v="0"/>
    <s v="DISCOUNT NOT ALLOWED"/>
    <s v="discount not allowed"/>
    <s v="DISCOUNT NOT ALLOWED"/>
    <s v="Discount Not Allowed"/>
    <s v="16/01/22"/>
  </r>
  <r>
    <s v="TXN_3792062"/>
    <s v="CUST_14"/>
    <x v="3"/>
    <x v="41"/>
    <x v="5"/>
    <x v="0"/>
    <n v="335"/>
    <x v="1"/>
    <x v="0"/>
    <x v="151"/>
    <x v="0"/>
    <s v="DISCOUNT NOT ALLOWED"/>
    <s v="discount not allowed"/>
    <s v="DISCOUNT NOT ALLOWED"/>
    <s v="Discount Not Allowed"/>
    <s v="17/06/24"/>
  </r>
  <r>
    <s v="TXN_3929635"/>
    <s v="CUST_19"/>
    <x v="3"/>
    <x v="41"/>
    <x v="5"/>
    <x v="0"/>
    <n v="335"/>
    <x v="2"/>
    <x v="0"/>
    <x v="235"/>
    <x v="0"/>
    <s v="DISCOUNT NOT ALLOWED"/>
    <s v="discount not allowed"/>
    <s v="DISCOUNT NOT ALLOWED"/>
    <s v="Discount Not Allowed"/>
    <s v="11/01/25"/>
  </r>
  <r>
    <s v="TXN_4104983"/>
    <s v="CUST_09"/>
    <x v="6"/>
    <x v="43"/>
    <x v="5"/>
    <x v="0"/>
    <n v="335"/>
    <x v="1"/>
    <x v="1"/>
    <x v="236"/>
    <x v="0"/>
    <s v="DISCOUNT NOT ALLOWED"/>
    <s v="discount not allowed"/>
    <s v="DISCOUNT NOT ALLOWED"/>
    <s v="Discount Not Allowed"/>
    <s v="07/11/24"/>
  </r>
  <r>
    <s v="TXN_4691472"/>
    <s v="CUST_07"/>
    <x v="6"/>
    <x v="43"/>
    <x v="5"/>
    <x v="0"/>
    <n v="335"/>
    <x v="0"/>
    <x v="0"/>
    <x v="237"/>
    <x v="1"/>
    <s v="DISCOUNT ALLOWED"/>
    <s v="discount allowed"/>
    <s v="DISCOUNT ALLOWED"/>
    <s v="Discount Allowed"/>
    <s v="23/07/22"/>
  </r>
  <r>
    <s v="TXN_4787913"/>
    <s v="CUST_03"/>
    <x v="2"/>
    <x v="39"/>
    <x v="5"/>
    <x v="0"/>
    <n v="335"/>
    <x v="1"/>
    <x v="1"/>
    <x v="238"/>
    <x v="1"/>
    <s v="DISCOUNT ALLOWED"/>
    <s v="discount allowed"/>
    <s v="DISCOUNT ALLOWED"/>
    <s v="Discount Allowed"/>
    <s v="09/08/23"/>
  </r>
  <r>
    <s v="TXN_5061512"/>
    <s v="CUST_21"/>
    <x v="1"/>
    <x v="37"/>
    <x v="5"/>
    <x v="0"/>
    <n v="335"/>
    <x v="2"/>
    <x v="0"/>
    <x v="94"/>
    <x v="0"/>
    <s v="DISCOUNT NOT ALLOWED"/>
    <s v="discount not allowed"/>
    <s v="DISCOUNT NOT ALLOWED"/>
    <s v="Discount Not Allowed"/>
    <s v="19/03/24"/>
  </r>
  <r>
    <s v="TXN_5254886"/>
    <s v="CUST_22"/>
    <x v="1"/>
    <x v="37"/>
    <x v="5"/>
    <x v="0"/>
    <n v="335"/>
    <x v="0"/>
    <x v="0"/>
    <x v="55"/>
    <x v="1"/>
    <s v="DISCOUNT ALLOWED"/>
    <s v="discount allowed"/>
    <s v="DISCOUNT ALLOWED"/>
    <s v="Discount Allowed"/>
    <s v="26/05/23"/>
  </r>
  <r>
    <s v="TXN_5326091"/>
    <s v="CUST_05"/>
    <x v="6"/>
    <x v="43"/>
    <x v="5"/>
    <x v="0"/>
    <n v="335"/>
    <x v="1"/>
    <x v="0"/>
    <x v="239"/>
    <x v="1"/>
    <s v="DISCOUNT ALLOWED"/>
    <s v="discount allowed"/>
    <s v="DISCOUNT ALLOWED"/>
    <s v="Discount Allowed"/>
    <s v="21/02/23"/>
  </r>
  <r>
    <s v="TXN_5328604"/>
    <s v="CUST_07"/>
    <x v="4"/>
    <x v="42"/>
    <x v="5"/>
    <x v="0"/>
    <n v="335"/>
    <x v="1"/>
    <x v="0"/>
    <x v="240"/>
    <x v="0"/>
    <s v="DISCOUNT NOT ALLOWED"/>
    <s v="discount not allowed"/>
    <s v="DISCOUNT NOT ALLOWED"/>
    <s v="Discount Not Allowed"/>
    <s v="08/07/24"/>
  </r>
  <r>
    <s v="TXN_5365083"/>
    <s v="CUST_07"/>
    <x v="0"/>
    <x v="40"/>
    <x v="5"/>
    <x v="0"/>
    <n v="335"/>
    <x v="2"/>
    <x v="0"/>
    <x v="241"/>
    <x v="1"/>
    <s v="DISCOUNT ALLOWED"/>
    <s v="discount allowed"/>
    <s v="DISCOUNT ALLOWED"/>
    <s v="Discount Allowed"/>
    <s v="07/02/24"/>
  </r>
  <r>
    <s v="TXN_5379241"/>
    <s v="CUST_05"/>
    <x v="3"/>
    <x v="41"/>
    <x v="5"/>
    <x v="0"/>
    <n v="335"/>
    <x v="2"/>
    <x v="1"/>
    <x v="242"/>
    <x v="0"/>
    <s v="DISCOUNT NOT ALLOWED"/>
    <s v="discount not allowed"/>
    <s v="DISCOUNT NOT ALLOWED"/>
    <s v="Discount Not Allowed"/>
    <s v="12/04/23"/>
  </r>
  <r>
    <s v="TXN_5526147"/>
    <s v="CUST_16"/>
    <x v="1"/>
    <x v="37"/>
    <x v="5"/>
    <x v="0"/>
    <n v="335"/>
    <x v="0"/>
    <x v="1"/>
    <x v="243"/>
    <x v="1"/>
    <s v="DISCOUNT ALLOWED"/>
    <s v="discount allowed"/>
    <s v="DISCOUNT ALLOWED"/>
    <s v="Discount Allowed"/>
    <s v="21/07/24"/>
  </r>
  <r>
    <s v="TXN_5528637"/>
    <s v="CUST_22"/>
    <x v="7"/>
    <x v="44"/>
    <x v="5"/>
    <x v="0"/>
    <n v="335"/>
    <x v="1"/>
    <x v="0"/>
    <x v="244"/>
    <x v="0"/>
    <s v="DISCOUNT NOT ALLOWED"/>
    <s v="discount not allowed"/>
    <s v="DISCOUNT NOT ALLOWED"/>
    <s v="Discount Not Allowed"/>
    <s v="22/02/23"/>
  </r>
  <r>
    <s v="TXN_5901894"/>
    <s v="CUST_24"/>
    <x v="2"/>
    <x v="39"/>
    <x v="5"/>
    <x v="0"/>
    <n v="335"/>
    <x v="2"/>
    <x v="1"/>
    <x v="245"/>
    <x v="0"/>
    <s v="DISCOUNT NOT ALLOWED"/>
    <s v="discount not allowed"/>
    <s v="DISCOUNT NOT ALLOWED"/>
    <s v="Discount Not Allowed"/>
    <s v="03/02/23"/>
  </r>
  <r>
    <s v="TXN_6037062"/>
    <s v="CUST_04"/>
    <x v="3"/>
    <x v="41"/>
    <x v="5"/>
    <x v="0"/>
    <n v="335"/>
    <x v="0"/>
    <x v="0"/>
    <x v="246"/>
    <x v="0"/>
    <s v="DISCOUNT NOT ALLOWED"/>
    <s v="discount not allowed"/>
    <s v="DISCOUNT NOT ALLOWED"/>
    <s v="Discount Not Allowed"/>
    <s v="13/08/22"/>
  </r>
  <r>
    <s v="TXN_6096297"/>
    <s v="CUST_24"/>
    <x v="0"/>
    <x v="40"/>
    <x v="5"/>
    <x v="0"/>
    <n v="335"/>
    <x v="1"/>
    <x v="0"/>
    <x v="247"/>
    <x v="1"/>
    <s v="DISCOUNT ALLOWED"/>
    <s v="discount allowed"/>
    <s v="DISCOUNT ALLOWED"/>
    <s v="Discount Allowed"/>
    <s v="24/05/24"/>
  </r>
  <r>
    <s v="TXN_6904028"/>
    <s v="CUST_08"/>
    <x v="3"/>
    <x v="41"/>
    <x v="5"/>
    <x v="0"/>
    <n v="335"/>
    <x v="1"/>
    <x v="0"/>
    <x v="248"/>
    <x v="0"/>
    <s v="DISCOUNT NOT ALLOWED"/>
    <s v="discount not allowed"/>
    <s v="DISCOUNT NOT ALLOWED"/>
    <s v="Discount Not Allowed"/>
    <s v="31/01/22"/>
  </r>
  <r>
    <s v="TXN_7280884"/>
    <s v="CUST_16"/>
    <x v="2"/>
    <x v="39"/>
    <x v="5"/>
    <x v="0"/>
    <n v="335"/>
    <x v="1"/>
    <x v="0"/>
    <x v="58"/>
    <x v="0"/>
    <s v="DISCOUNT NOT ALLOWED"/>
    <s v="discount not allowed"/>
    <s v="DISCOUNT NOT ALLOWED"/>
    <s v="Discount Not Allowed"/>
    <s v="09/04/24"/>
  </r>
  <r>
    <s v="TXN_7310262"/>
    <s v="CUST_09"/>
    <x v="3"/>
    <x v="41"/>
    <x v="5"/>
    <x v="0"/>
    <n v="335"/>
    <x v="2"/>
    <x v="0"/>
    <x v="249"/>
    <x v="0"/>
    <s v="DISCOUNT NOT ALLOWED"/>
    <s v="discount not allowed"/>
    <s v="DISCOUNT NOT ALLOWED"/>
    <s v="Discount Not Allowed"/>
    <s v="12/04/24"/>
  </r>
  <r>
    <s v="TXN_7425133"/>
    <s v="CUST_03"/>
    <x v="7"/>
    <x v="44"/>
    <x v="5"/>
    <x v="0"/>
    <n v="335"/>
    <x v="1"/>
    <x v="1"/>
    <x v="250"/>
    <x v="0"/>
    <s v="DISCOUNT NOT ALLOWED"/>
    <s v="discount not allowed"/>
    <s v="DISCOUNT NOT ALLOWED"/>
    <s v="Discount Not Allowed"/>
    <s v="21/05/24"/>
  </r>
  <r>
    <s v="TXN_7588153"/>
    <s v="CUST_16"/>
    <x v="5"/>
    <x v="38"/>
    <x v="5"/>
    <x v="0"/>
    <n v="335"/>
    <x v="0"/>
    <x v="0"/>
    <x v="251"/>
    <x v="1"/>
    <s v="DISCOUNT ALLOWED"/>
    <s v="discount allowed"/>
    <s v="DISCOUNT ALLOWED"/>
    <s v="Discount Allowed"/>
    <s v="24/03/22"/>
  </r>
  <r>
    <s v="TXN_7622447"/>
    <s v="CUST_03"/>
    <x v="0"/>
    <x v="40"/>
    <x v="5"/>
    <x v="0"/>
    <n v="335"/>
    <x v="1"/>
    <x v="0"/>
    <x v="252"/>
    <x v="0"/>
    <s v="DISCOUNT NOT ALLOWED"/>
    <s v="discount not allowed"/>
    <s v="DISCOUNT NOT ALLOWED"/>
    <s v="Discount Not Allowed"/>
    <s v="14/04/23"/>
  </r>
  <r>
    <s v="TXN_7737340"/>
    <s v="CUST_22"/>
    <x v="6"/>
    <x v="43"/>
    <x v="5"/>
    <x v="0"/>
    <n v="335"/>
    <x v="2"/>
    <x v="0"/>
    <x v="253"/>
    <x v="1"/>
    <s v="DISCOUNT ALLOWED"/>
    <s v="discount allowed"/>
    <s v="DISCOUNT ALLOWED"/>
    <s v="Discount Allowed"/>
    <s v="31/07/24"/>
  </r>
  <r>
    <s v="TXN_7779073"/>
    <s v="CUST_18"/>
    <x v="5"/>
    <x v="38"/>
    <x v="5"/>
    <x v="0"/>
    <n v="335"/>
    <x v="2"/>
    <x v="0"/>
    <x v="254"/>
    <x v="1"/>
    <s v="DISCOUNT ALLOWED"/>
    <s v="discount allowed"/>
    <s v="DISCOUNT ALLOWED"/>
    <s v="Discount Allowed"/>
    <s v="13/02/22"/>
  </r>
  <r>
    <s v="TXN_7843840"/>
    <s v="CUST_25"/>
    <x v="7"/>
    <x v="44"/>
    <x v="5"/>
    <x v="0"/>
    <n v="335"/>
    <x v="1"/>
    <x v="1"/>
    <x v="88"/>
    <x v="0"/>
    <s v="DISCOUNT NOT ALLOWED"/>
    <s v="discount not allowed"/>
    <s v="DISCOUNT NOT ALLOWED"/>
    <s v="Discount Not Allowed"/>
    <s v="31/12/22"/>
  </r>
  <r>
    <s v="TXN_8107966"/>
    <s v="CUST_20"/>
    <x v="4"/>
    <x v="42"/>
    <x v="5"/>
    <x v="0"/>
    <n v="335"/>
    <x v="1"/>
    <x v="1"/>
    <x v="255"/>
    <x v="1"/>
    <s v="DISCOUNT ALLOWED"/>
    <s v="discount allowed"/>
    <s v="DISCOUNT ALLOWED"/>
    <s v="Discount Allowed"/>
    <s v="22/05/23"/>
  </r>
  <r>
    <s v="TXN_8230533"/>
    <s v="CUST_21"/>
    <x v="0"/>
    <x v="40"/>
    <x v="5"/>
    <x v="0"/>
    <n v="335"/>
    <x v="2"/>
    <x v="0"/>
    <x v="256"/>
    <x v="0"/>
    <s v="DISCOUNT NOT ALLOWED"/>
    <s v="discount not allowed"/>
    <s v="DISCOUNT NOT ALLOWED"/>
    <s v="Discount Not Allowed"/>
    <s v="20/10/23"/>
  </r>
  <r>
    <s v="TXN_8231269"/>
    <s v="CUST_02"/>
    <x v="5"/>
    <x v="38"/>
    <x v="5"/>
    <x v="0"/>
    <n v="335"/>
    <x v="0"/>
    <x v="0"/>
    <x v="257"/>
    <x v="1"/>
    <s v="DISCOUNT ALLOWED"/>
    <s v="discount allowed"/>
    <s v="DISCOUNT ALLOWED"/>
    <s v="Discount Allowed"/>
    <s v="09/11/24"/>
  </r>
  <r>
    <s v="TXN_8233787"/>
    <s v="CUST_13"/>
    <x v="4"/>
    <x v="42"/>
    <x v="5"/>
    <x v="0"/>
    <n v="335"/>
    <x v="2"/>
    <x v="1"/>
    <x v="258"/>
    <x v="1"/>
    <s v="DISCOUNT ALLOWED"/>
    <s v="discount allowed"/>
    <s v="DISCOUNT ALLOWED"/>
    <s v="Discount Allowed"/>
    <s v="04/12/24"/>
  </r>
  <r>
    <s v="TXN_8323929"/>
    <s v="CUST_11"/>
    <x v="1"/>
    <x v="37"/>
    <x v="5"/>
    <x v="0"/>
    <n v="335"/>
    <x v="0"/>
    <x v="1"/>
    <x v="259"/>
    <x v="0"/>
    <s v="DISCOUNT NOT ALLOWED"/>
    <s v="discount not allowed"/>
    <s v="DISCOUNT NOT ALLOWED"/>
    <s v="Discount Not Allowed"/>
    <s v="11/07/24"/>
  </r>
  <r>
    <s v="TXN_8371014"/>
    <s v="CUST_10"/>
    <x v="5"/>
    <x v="38"/>
    <x v="5"/>
    <x v="0"/>
    <n v="335"/>
    <x v="1"/>
    <x v="1"/>
    <x v="137"/>
    <x v="0"/>
    <s v="DISCOUNT NOT ALLOWED"/>
    <s v="discount not allowed"/>
    <s v="DISCOUNT NOT ALLOWED"/>
    <s v="Discount Not Allowed"/>
    <s v="24/11/23"/>
  </r>
  <r>
    <s v="TXN_8514144"/>
    <s v="CUST_06"/>
    <x v="6"/>
    <x v="43"/>
    <x v="5"/>
    <x v="0"/>
    <n v="335"/>
    <x v="1"/>
    <x v="0"/>
    <x v="260"/>
    <x v="1"/>
    <s v="DISCOUNT ALLOWED"/>
    <s v="discount allowed"/>
    <s v="DISCOUNT ALLOWED"/>
    <s v="Discount Allowed"/>
    <s v="04/07/23"/>
  </r>
  <r>
    <s v="TXN_8700769"/>
    <s v="CUST_01"/>
    <x v="3"/>
    <x v="41"/>
    <x v="5"/>
    <x v="0"/>
    <n v="335"/>
    <x v="0"/>
    <x v="1"/>
    <x v="261"/>
    <x v="0"/>
    <s v="DISCOUNT NOT ALLOWED"/>
    <s v="discount not allowed"/>
    <s v="DISCOUNT NOT ALLOWED"/>
    <s v="Discount Not Allowed"/>
    <s v="14/05/24"/>
  </r>
  <r>
    <s v="TXN_8962338"/>
    <s v="CUST_20"/>
    <x v="3"/>
    <x v="41"/>
    <x v="5"/>
    <x v="0"/>
    <n v="335"/>
    <x v="2"/>
    <x v="1"/>
    <x v="253"/>
    <x v="0"/>
    <s v="DISCOUNT NOT ALLOWED"/>
    <s v="discount not allowed"/>
    <s v="DISCOUNT NOT ALLOWED"/>
    <s v="Discount Not Allowed"/>
    <s v="31/07/24"/>
  </r>
  <r>
    <s v="TXN_9148620"/>
    <s v="CUST_12"/>
    <x v="2"/>
    <x v="39"/>
    <x v="5"/>
    <x v="0"/>
    <n v="335"/>
    <x v="0"/>
    <x v="0"/>
    <x v="262"/>
    <x v="1"/>
    <s v="DISCOUNT ALLOWED"/>
    <s v="discount allowed"/>
    <s v="DISCOUNT ALLOWED"/>
    <s v="Discount Allowed"/>
    <s v="20/12/24"/>
  </r>
  <r>
    <s v="TXN_9450631"/>
    <s v="CUST_25"/>
    <x v="7"/>
    <x v="44"/>
    <x v="5"/>
    <x v="0"/>
    <n v="335"/>
    <x v="0"/>
    <x v="1"/>
    <x v="263"/>
    <x v="1"/>
    <s v="DISCOUNT ALLOWED"/>
    <s v="discount allowed"/>
    <s v="DISCOUNT ALLOWED"/>
    <s v="Discount Allowed"/>
    <s v="09/06/24"/>
  </r>
  <r>
    <s v="TXN_9509705"/>
    <s v="CUST_20"/>
    <x v="6"/>
    <x v="43"/>
    <x v="5"/>
    <x v="0"/>
    <n v="335"/>
    <x v="1"/>
    <x v="0"/>
    <x v="264"/>
    <x v="0"/>
    <s v="DISCOUNT NOT ALLOWED"/>
    <s v="discount not allowed"/>
    <s v="DISCOUNT NOT ALLOWED"/>
    <s v="Discount Not Allowed"/>
    <s v="15/07/24"/>
  </r>
  <r>
    <s v="TXN_9655096"/>
    <s v="CUST_03"/>
    <x v="3"/>
    <x v="41"/>
    <x v="5"/>
    <x v="0"/>
    <n v="335"/>
    <x v="1"/>
    <x v="0"/>
    <x v="265"/>
    <x v="0"/>
    <s v="DISCOUNT NOT ALLOWED"/>
    <s v="discount not allowed"/>
    <s v="DISCOUNT NOT ALLOWED"/>
    <s v="Discount Not Allowed"/>
    <s v="30/06/24"/>
  </r>
  <r>
    <s v="TXN_1648617"/>
    <s v="CUST_05"/>
    <x v="5"/>
    <x v="28"/>
    <x v="3"/>
    <x v="1"/>
    <n v="328.5"/>
    <x v="1"/>
    <x v="1"/>
    <x v="266"/>
    <x v="1"/>
    <s v="DISCOUNT ALLOWED"/>
    <s v="discount allowed"/>
    <s v="DISCOUNT ALLOWED"/>
    <s v="Discount Allowed"/>
    <s v="11/01/23"/>
  </r>
  <r>
    <s v="TXN_2155063"/>
    <s v="CUST_15"/>
    <x v="5"/>
    <x v="28"/>
    <x v="3"/>
    <x v="1"/>
    <n v="328.5"/>
    <x v="0"/>
    <x v="1"/>
    <x v="267"/>
    <x v="0"/>
    <s v="DISCOUNT NOT ALLOWED"/>
    <s v="discount not allowed"/>
    <s v="DISCOUNT NOT ALLOWED"/>
    <s v="Discount Not Allowed"/>
    <s v="18/09/24"/>
  </r>
  <r>
    <s v="TXN_2276275"/>
    <s v="CUST_13"/>
    <x v="0"/>
    <x v="25"/>
    <x v="3"/>
    <x v="1"/>
    <n v="328.5"/>
    <x v="1"/>
    <x v="1"/>
    <x v="268"/>
    <x v="1"/>
    <s v="DISCOUNT ALLOWED"/>
    <s v="discount allowed"/>
    <s v="DISCOUNT ALLOWED"/>
    <s v="Discount Allowed"/>
    <s v="29/04/22"/>
  </r>
  <r>
    <s v="TXN_2704600"/>
    <s v="CUST_17"/>
    <x v="5"/>
    <x v="28"/>
    <x v="3"/>
    <x v="1"/>
    <n v="328.5"/>
    <x v="2"/>
    <x v="1"/>
    <x v="269"/>
    <x v="1"/>
    <s v="DISCOUNT ALLOWED"/>
    <s v="discount allowed"/>
    <s v="DISCOUNT ALLOWED"/>
    <s v="Discount Allowed"/>
    <s v="26/07/22"/>
  </r>
  <r>
    <s v="TXN_2709041"/>
    <s v="CUST_01"/>
    <x v="3"/>
    <x v="24"/>
    <x v="3"/>
    <x v="1"/>
    <n v="328.5"/>
    <x v="1"/>
    <x v="0"/>
    <x v="139"/>
    <x v="1"/>
    <s v="DISCOUNT ALLOWED"/>
    <s v="discount allowed"/>
    <s v="DISCOUNT ALLOWED"/>
    <s v="Discount Allowed"/>
    <s v="13/06/24"/>
  </r>
  <r>
    <s v="TXN_2823976"/>
    <s v="CUST_15"/>
    <x v="3"/>
    <x v="24"/>
    <x v="3"/>
    <x v="1"/>
    <n v="328.5"/>
    <x v="1"/>
    <x v="0"/>
    <x v="270"/>
    <x v="0"/>
    <s v="DISCOUNT NOT ALLOWED"/>
    <s v="discount not allowed"/>
    <s v="DISCOUNT NOT ALLOWED"/>
    <s v="Discount Not Allowed"/>
    <s v="08/11/23"/>
  </r>
  <r>
    <s v="TXN_3362687"/>
    <s v="CUST_11"/>
    <x v="7"/>
    <x v="30"/>
    <x v="3"/>
    <x v="1"/>
    <n v="328.5"/>
    <x v="0"/>
    <x v="1"/>
    <x v="271"/>
    <x v="0"/>
    <s v="DISCOUNT NOT ALLOWED"/>
    <s v="discount not allowed"/>
    <s v="DISCOUNT NOT ALLOWED"/>
    <s v="Discount Not Allowed"/>
    <s v="26/11/22"/>
  </r>
  <r>
    <s v="TXN_3531848"/>
    <s v="CUST_23"/>
    <x v="5"/>
    <x v="28"/>
    <x v="3"/>
    <x v="1"/>
    <n v="328.5"/>
    <x v="2"/>
    <x v="1"/>
    <x v="272"/>
    <x v="1"/>
    <s v="DISCOUNT ALLOWED"/>
    <s v="discount allowed"/>
    <s v="DISCOUNT ALLOWED"/>
    <s v="Discount Allowed"/>
    <s v="08/04/22"/>
  </r>
  <r>
    <s v="TXN_4031068"/>
    <s v="CUST_23"/>
    <x v="5"/>
    <x v="28"/>
    <x v="3"/>
    <x v="1"/>
    <n v="328.5"/>
    <x v="0"/>
    <x v="0"/>
    <x v="248"/>
    <x v="0"/>
    <s v="DISCOUNT NOT ALLOWED"/>
    <s v="discount not allowed"/>
    <s v="DISCOUNT NOT ALLOWED"/>
    <s v="Discount Not Allowed"/>
    <s v="31/01/22"/>
  </r>
  <r>
    <s v="TXN_4255841"/>
    <s v="CUST_21"/>
    <x v="6"/>
    <x v="26"/>
    <x v="3"/>
    <x v="1"/>
    <n v="328.5"/>
    <x v="2"/>
    <x v="0"/>
    <x v="273"/>
    <x v="0"/>
    <s v="DISCOUNT NOT ALLOWED"/>
    <s v="discount not allowed"/>
    <s v="DISCOUNT NOT ALLOWED"/>
    <s v="Discount Not Allowed"/>
    <s v="12/08/23"/>
  </r>
  <r>
    <s v="TXN_4299688"/>
    <s v="CUST_24"/>
    <x v="1"/>
    <x v="29"/>
    <x v="3"/>
    <x v="1"/>
    <n v="328.5"/>
    <x v="2"/>
    <x v="1"/>
    <x v="274"/>
    <x v="1"/>
    <s v="DISCOUNT ALLOWED"/>
    <s v="discount allowed"/>
    <s v="DISCOUNT ALLOWED"/>
    <s v="Discount Allowed"/>
    <s v="30/11/24"/>
  </r>
  <r>
    <s v="TXN_4562537"/>
    <s v="CUST_06"/>
    <x v="3"/>
    <x v="24"/>
    <x v="3"/>
    <x v="1"/>
    <n v="328.5"/>
    <x v="0"/>
    <x v="0"/>
    <x v="217"/>
    <x v="0"/>
    <s v="DISCOUNT NOT ALLOWED"/>
    <s v="discount not allowed"/>
    <s v="DISCOUNT NOT ALLOWED"/>
    <s v="Discount Not Allowed"/>
    <s v="12/01/24"/>
  </r>
  <r>
    <s v="TXN_4581110"/>
    <s v="CUST_25"/>
    <x v="4"/>
    <x v="27"/>
    <x v="3"/>
    <x v="1"/>
    <n v="328.5"/>
    <x v="0"/>
    <x v="0"/>
    <x v="275"/>
    <x v="0"/>
    <s v="DISCOUNT NOT ALLOWED"/>
    <s v="discount not allowed"/>
    <s v="DISCOUNT NOT ALLOWED"/>
    <s v="Discount Not Allowed"/>
    <s v="16/06/24"/>
  </r>
  <r>
    <s v="TXN_4728272"/>
    <s v="CUST_21"/>
    <x v="6"/>
    <x v="26"/>
    <x v="3"/>
    <x v="1"/>
    <n v="328.5"/>
    <x v="1"/>
    <x v="0"/>
    <x v="276"/>
    <x v="0"/>
    <s v="DISCOUNT NOT ALLOWED"/>
    <s v="discount not allowed"/>
    <s v="DISCOUNT NOT ALLOWED"/>
    <s v="Discount Not Allowed"/>
    <s v="27/02/23"/>
  </r>
  <r>
    <s v="TXN_4901231"/>
    <s v="CUST_13"/>
    <x v="0"/>
    <x v="25"/>
    <x v="3"/>
    <x v="1"/>
    <n v="328.5"/>
    <x v="1"/>
    <x v="0"/>
    <x v="277"/>
    <x v="1"/>
    <s v="DISCOUNT ALLOWED"/>
    <s v="discount allowed"/>
    <s v="DISCOUNT ALLOWED"/>
    <s v="Discount Allowed"/>
    <s v="02/02/23"/>
  </r>
  <r>
    <s v="TXN_5034759"/>
    <s v="CUST_10"/>
    <x v="0"/>
    <x v="25"/>
    <x v="3"/>
    <x v="1"/>
    <n v="328.5"/>
    <x v="1"/>
    <x v="1"/>
    <x v="278"/>
    <x v="1"/>
    <s v="DISCOUNT ALLOWED"/>
    <s v="discount allowed"/>
    <s v="DISCOUNT ALLOWED"/>
    <s v="Discount Allowed"/>
    <s v="26/12/24"/>
  </r>
  <r>
    <s v="TXN_5239006"/>
    <s v="CUST_03"/>
    <x v="0"/>
    <x v="25"/>
    <x v="3"/>
    <x v="1"/>
    <n v="328.5"/>
    <x v="2"/>
    <x v="0"/>
    <x v="279"/>
    <x v="0"/>
    <s v="DISCOUNT NOT ALLOWED"/>
    <s v="discount not allowed"/>
    <s v="DISCOUNT NOT ALLOWED"/>
    <s v="Discount Not Allowed"/>
    <s v="06/01/23"/>
  </r>
  <r>
    <s v="TXN_5290650"/>
    <s v="CUST_01"/>
    <x v="3"/>
    <x v="24"/>
    <x v="3"/>
    <x v="1"/>
    <n v="328.5"/>
    <x v="0"/>
    <x v="1"/>
    <x v="280"/>
    <x v="1"/>
    <s v="DISCOUNT ALLOWED"/>
    <s v="discount allowed"/>
    <s v="DISCOUNT ALLOWED"/>
    <s v="Discount Allowed"/>
    <s v="28/06/23"/>
  </r>
  <r>
    <s v="TXN_6186500"/>
    <s v="CUST_21"/>
    <x v="4"/>
    <x v="27"/>
    <x v="3"/>
    <x v="1"/>
    <n v="328.5"/>
    <x v="1"/>
    <x v="0"/>
    <x v="260"/>
    <x v="0"/>
    <s v="DISCOUNT NOT ALLOWED"/>
    <s v="discount not allowed"/>
    <s v="DISCOUNT NOT ALLOWED"/>
    <s v="Discount Not Allowed"/>
    <s v="04/07/23"/>
  </r>
  <r>
    <s v="TXN_6430445"/>
    <s v="CUST_20"/>
    <x v="6"/>
    <x v="26"/>
    <x v="3"/>
    <x v="1"/>
    <n v="328.5"/>
    <x v="1"/>
    <x v="0"/>
    <x v="281"/>
    <x v="1"/>
    <s v="DISCOUNT ALLOWED"/>
    <s v="discount allowed"/>
    <s v="DISCOUNT ALLOWED"/>
    <s v="Discount Allowed"/>
    <s v="06/02/23"/>
  </r>
  <r>
    <s v="TXN_6729334"/>
    <s v="CUST_17"/>
    <x v="3"/>
    <x v="24"/>
    <x v="3"/>
    <x v="1"/>
    <n v="328.5"/>
    <x v="1"/>
    <x v="0"/>
    <x v="282"/>
    <x v="1"/>
    <s v="DISCOUNT ALLOWED"/>
    <s v="discount allowed"/>
    <s v="DISCOUNT ALLOWED"/>
    <s v="Discount Allowed"/>
    <s v="20/06/23"/>
  </r>
  <r>
    <s v="TXN_7268120"/>
    <s v="CUST_23"/>
    <x v="7"/>
    <x v="30"/>
    <x v="3"/>
    <x v="1"/>
    <n v="328.5"/>
    <x v="1"/>
    <x v="1"/>
    <x v="283"/>
    <x v="0"/>
    <s v="DISCOUNT NOT ALLOWED"/>
    <s v="discount not allowed"/>
    <s v="DISCOUNT NOT ALLOWED"/>
    <s v="Discount Not Allowed"/>
    <s v="15/01/23"/>
  </r>
  <r>
    <s v="TXN_7277176"/>
    <s v="CUST_18"/>
    <x v="3"/>
    <x v="24"/>
    <x v="3"/>
    <x v="1"/>
    <n v="328.5"/>
    <x v="2"/>
    <x v="1"/>
    <x v="284"/>
    <x v="1"/>
    <s v="DISCOUNT ALLOWED"/>
    <s v="discount allowed"/>
    <s v="DISCOUNT ALLOWED"/>
    <s v="Discount Allowed"/>
    <s v="10/05/23"/>
  </r>
  <r>
    <s v="TXN_7467481"/>
    <s v="CUST_09"/>
    <x v="1"/>
    <x v="29"/>
    <x v="3"/>
    <x v="1"/>
    <n v="328.5"/>
    <x v="1"/>
    <x v="1"/>
    <x v="285"/>
    <x v="1"/>
    <s v="DISCOUNT ALLOWED"/>
    <s v="discount allowed"/>
    <s v="DISCOUNT ALLOWED"/>
    <s v="Discount Allowed"/>
    <s v="12/03/22"/>
  </r>
  <r>
    <s v="TXN_8397219"/>
    <s v="CUST_24"/>
    <x v="0"/>
    <x v="25"/>
    <x v="3"/>
    <x v="1"/>
    <n v="328.5"/>
    <x v="2"/>
    <x v="0"/>
    <x v="286"/>
    <x v="0"/>
    <s v="DISCOUNT NOT ALLOWED"/>
    <s v="discount not allowed"/>
    <s v="DISCOUNT NOT ALLOWED"/>
    <s v="Discount Not Allowed"/>
    <s v="16/10/22"/>
  </r>
  <r>
    <s v="TXN_8501609"/>
    <s v="CUST_16"/>
    <x v="0"/>
    <x v="25"/>
    <x v="3"/>
    <x v="1"/>
    <n v="328.5"/>
    <x v="2"/>
    <x v="0"/>
    <x v="174"/>
    <x v="1"/>
    <s v="DISCOUNT ALLOWED"/>
    <s v="discount allowed"/>
    <s v="DISCOUNT ALLOWED"/>
    <s v="Discount Allowed"/>
    <s v="29/11/22"/>
  </r>
  <r>
    <s v="TXN_8584427"/>
    <s v="CUST_08"/>
    <x v="3"/>
    <x v="24"/>
    <x v="3"/>
    <x v="1"/>
    <n v="328.5"/>
    <x v="0"/>
    <x v="1"/>
    <x v="99"/>
    <x v="0"/>
    <s v="DISCOUNT NOT ALLOWED"/>
    <s v="discount not allowed"/>
    <s v="DISCOUNT NOT ALLOWED"/>
    <s v="Discount Not Allowed"/>
    <s v="04/03/23"/>
  </r>
  <r>
    <s v="TXN_8609493"/>
    <s v="CUST_17"/>
    <x v="4"/>
    <x v="27"/>
    <x v="3"/>
    <x v="1"/>
    <n v="328.5"/>
    <x v="2"/>
    <x v="0"/>
    <x v="58"/>
    <x v="0"/>
    <s v="DISCOUNT NOT ALLOWED"/>
    <s v="discount not allowed"/>
    <s v="DISCOUNT NOT ALLOWED"/>
    <s v="Discount Not Allowed"/>
    <s v="09/04/24"/>
  </r>
  <r>
    <s v="TXN_9109677"/>
    <s v="CUST_16"/>
    <x v="3"/>
    <x v="24"/>
    <x v="3"/>
    <x v="1"/>
    <n v="328.5"/>
    <x v="2"/>
    <x v="1"/>
    <x v="287"/>
    <x v="1"/>
    <s v="DISCOUNT ALLOWED"/>
    <s v="discount allowed"/>
    <s v="DISCOUNT ALLOWED"/>
    <s v="Discount Allowed"/>
    <s v="22/04/23"/>
  </r>
  <r>
    <s v="TXN_9474780"/>
    <s v="CUST_09"/>
    <x v="6"/>
    <x v="26"/>
    <x v="3"/>
    <x v="1"/>
    <n v="328.5"/>
    <x v="1"/>
    <x v="0"/>
    <x v="288"/>
    <x v="1"/>
    <s v="DISCOUNT ALLOWED"/>
    <s v="discount allowed"/>
    <s v="DISCOUNT ALLOWED"/>
    <s v="Discount Allowed"/>
    <s v="15/11/23"/>
  </r>
  <r>
    <s v="TXN_9629011"/>
    <s v="CUST_06"/>
    <x v="3"/>
    <x v="24"/>
    <x v="3"/>
    <x v="1"/>
    <n v="328.5"/>
    <x v="0"/>
    <x v="1"/>
    <x v="289"/>
    <x v="1"/>
    <s v="DISCOUNT ALLOWED"/>
    <s v="discount allowed"/>
    <s v="DISCOUNT ALLOWED"/>
    <s v="Discount Allowed"/>
    <s v="04/03/22"/>
  </r>
  <r>
    <s v="TXN_9635879"/>
    <s v="CUST_07"/>
    <x v="4"/>
    <x v="27"/>
    <x v="3"/>
    <x v="1"/>
    <n v="328.5"/>
    <x v="0"/>
    <x v="0"/>
    <x v="290"/>
    <x v="1"/>
    <s v="DISCOUNT ALLOWED"/>
    <s v="discount allowed"/>
    <s v="DISCOUNT ALLOWED"/>
    <s v="Discount Allowed"/>
    <s v="30/09/23"/>
  </r>
  <r>
    <s v="TXN_9832770"/>
    <s v="CUST_23"/>
    <x v="6"/>
    <x v="26"/>
    <x v="3"/>
    <x v="1"/>
    <n v="328.5"/>
    <x v="1"/>
    <x v="0"/>
    <x v="291"/>
    <x v="0"/>
    <s v="DISCOUNT NOT ALLOWED"/>
    <s v="discount not allowed"/>
    <s v="DISCOUNT NOT ALLOWED"/>
    <s v="Discount Not Allowed"/>
    <s v="22/02/24"/>
  </r>
  <r>
    <s v="TXN_9834766"/>
    <s v="CUST_04"/>
    <x v="3"/>
    <x v="24"/>
    <x v="3"/>
    <x v="1"/>
    <n v="328.5"/>
    <x v="2"/>
    <x v="0"/>
    <x v="292"/>
    <x v="0"/>
    <s v="DISCOUNT NOT ALLOWED"/>
    <s v="discount not allowed"/>
    <s v="DISCOUNT NOT ALLOWED"/>
    <s v="Discount Not Allowed"/>
    <s v="24/10/23"/>
  </r>
  <r>
    <s v="TXN_9922518"/>
    <s v="CUST_08"/>
    <x v="4"/>
    <x v="27"/>
    <x v="3"/>
    <x v="1"/>
    <n v="328.5"/>
    <x v="1"/>
    <x v="0"/>
    <x v="117"/>
    <x v="1"/>
    <s v="DISCOUNT ALLOWED"/>
    <s v="discount allowed"/>
    <s v="DISCOUNT ALLOWED"/>
    <s v="Discount Allowed"/>
    <s v="30/07/23"/>
  </r>
  <r>
    <s v="TXN_1422215"/>
    <s v="CUST_08"/>
    <x v="2"/>
    <x v="2"/>
    <x v="0"/>
    <x v="2"/>
    <n v="328"/>
    <x v="0"/>
    <x v="1"/>
    <x v="293"/>
    <x v="0"/>
    <s v="DISCOUNT NOT ALLOWED"/>
    <s v="discount not allowed"/>
    <s v="DISCOUNT NOT ALLOWED"/>
    <s v="Discount Not Allowed"/>
    <s v="16/08/24"/>
  </r>
  <r>
    <s v="TXN_1535436"/>
    <s v="CUST_12"/>
    <x v="6"/>
    <x v="6"/>
    <x v="0"/>
    <x v="2"/>
    <n v="328"/>
    <x v="2"/>
    <x v="1"/>
    <x v="294"/>
    <x v="0"/>
    <s v="DISCOUNT NOT ALLOWED"/>
    <s v="discount not allowed"/>
    <s v="DISCOUNT NOT ALLOWED"/>
    <s v="Discount Not Allowed"/>
    <s v="09/07/22"/>
  </r>
  <r>
    <s v="TXN_1848720"/>
    <s v="CUST_03"/>
    <x v="0"/>
    <x v="0"/>
    <x v="0"/>
    <x v="2"/>
    <n v="328"/>
    <x v="1"/>
    <x v="1"/>
    <x v="295"/>
    <x v="1"/>
    <s v="DISCOUNT ALLOWED"/>
    <s v="discount allowed"/>
    <s v="DISCOUNT ALLOWED"/>
    <s v="Discount Allowed"/>
    <s v="31/03/22"/>
  </r>
  <r>
    <s v="TXN_2562140"/>
    <s v="CUST_08"/>
    <x v="3"/>
    <x v="3"/>
    <x v="0"/>
    <x v="2"/>
    <n v="328"/>
    <x v="2"/>
    <x v="0"/>
    <x v="296"/>
    <x v="1"/>
    <s v="DISCOUNT ALLOWED"/>
    <s v="discount allowed"/>
    <s v="DISCOUNT ALLOWED"/>
    <s v="Discount Allowed"/>
    <s v="06/11/24"/>
  </r>
  <r>
    <s v="TXN_2691157"/>
    <s v="CUST_14"/>
    <x v="7"/>
    <x v="7"/>
    <x v="0"/>
    <x v="2"/>
    <n v="328"/>
    <x v="2"/>
    <x v="1"/>
    <x v="297"/>
    <x v="1"/>
    <s v="DISCOUNT ALLOWED"/>
    <s v="discount allowed"/>
    <s v="DISCOUNT ALLOWED"/>
    <s v="Discount Allowed"/>
    <s v="11/11/24"/>
  </r>
  <r>
    <s v="TXN_3260804"/>
    <s v="CUST_14"/>
    <x v="1"/>
    <x v="1"/>
    <x v="0"/>
    <x v="2"/>
    <n v="328"/>
    <x v="0"/>
    <x v="0"/>
    <x v="142"/>
    <x v="0"/>
    <s v="DISCOUNT NOT ALLOWED"/>
    <s v="discount not allowed"/>
    <s v="DISCOUNT NOT ALLOWED"/>
    <s v="Discount Not Allowed"/>
    <s v="02/08/24"/>
  </r>
  <r>
    <s v="TXN_3724129"/>
    <s v="CUST_15"/>
    <x v="1"/>
    <x v="1"/>
    <x v="0"/>
    <x v="2"/>
    <n v="328"/>
    <x v="0"/>
    <x v="1"/>
    <x v="298"/>
    <x v="1"/>
    <s v="DISCOUNT ALLOWED"/>
    <s v="discount allowed"/>
    <s v="DISCOUNT ALLOWED"/>
    <s v="Discount Allowed"/>
    <s v="03/02/22"/>
  </r>
  <r>
    <s v="TXN_3972926"/>
    <s v="CUST_20"/>
    <x v="6"/>
    <x v="6"/>
    <x v="0"/>
    <x v="2"/>
    <n v="328"/>
    <x v="2"/>
    <x v="1"/>
    <x v="299"/>
    <x v="0"/>
    <s v="DISCOUNT NOT ALLOWED"/>
    <s v="discount not allowed"/>
    <s v="DISCOUNT NOT ALLOWED"/>
    <s v="Discount Not Allowed"/>
    <s v="11/10/22"/>
  </r>
  <r>
    <s v="TXN_4375152"/>
    <s v="CUST_17"/>
    <x v="3"/>
    <x v="3"/>
    <x v="0"/>
    <x v="2"/>
    <n v="328"/>
    <x v="2"/>
    <x v="0"/>
    <x v="300"/>
    <x v="1"/>
    <s v="DISCOUNT ALLOWED"/>
    <s v="discount allowed"/>
    <s v="DISCOUNT ALLOWED"/>
    <s v="Discount Allowed"/>
    <s v="14/04/22"/>
  </r>
  <r>
    <s v="TXN_4852804"/>
    <s v="CUST_02"/>
    <x v="5"/>
    <x v="5"/>
    <x v="0"/>
    <x v="2"/>
    <n v="328"/>
    <x v="2"/>
    <x v="0"/>
    <x v="301"/>
    <x v="1"/>
    <s v="DISCOUNT ALLOWED"/>
    <s v="discount allowed"/>
    <s v="DISCOUNT ALLOWED"/>
    <s v="Discount Allowed"/>
    <s v="15/04/22"/>
  </r>
  <r>
    <s v="TXN_4916943"/>
    <s v="CUST_01"/>
    <x v="4"/>
    <x v="4"/>
    <x v="0"/>
    <x v="2"/>
    <n v="328"/>
    <x v="2"/>
    <x v="0"/>
    <x v="302"/>
    <x v="1"/>
    <s v="DISCOUNT ALLOWED"/>
    <s v="discount allowed"/>
    <s v="DISCOUNT ALLOWED"/>
    <s v="Discount Allowed"/>
    <s v="05/11/22"/>
  </r>
  <r>
    <s v="TXN_5211291"/>
    <s v="CUST_05"/>
    <x v="3"/>
    <x v="3"/>
    <x v="0"/>
    <x v="2"/>
    <n v="328"/>
    <x v="2"/>
    <x v="0"/>
    <x v="154"/>
    <x v="0"/>
    <s v="DISCOUNT NOT ALLOWED"/>
    <s v="discount not allowed"/>
    <s v="DISCOUNT NOT ALLOWED"/>
    <s v="Discount Not Allowed"/>
    <s v="04/06/23"/>
  </r>
  <r>
    <s v="TXN_5239863"/>
    <s v="CUST_21"/>
    <x v="2"/>
    <x v="2"/>
    <x v="0"/>
    <x v="2"/>
    <n v="328"/>
    <x v="0"/>
    <x v="1"/>
    <x v="303"/>
    <x v="0"/>
    <s v="DISCOUNT NOT ALLOWED"/>
    <s v="discount not allowed"/>
    <s v="DISCOUNT NOT ALLOWED"/>
    <s v="Discount Not Allowed"/>
    <s v="22/12/24"/>
  </r>
  <r>
    <s v="TXN_5351535"/>
    <s v="CUST_23"/>
    <x v="7"/>
    <x v="7"/>
    <x v="0"/>
    <x v="2"/>
    <n v="328"/>
    <x v="1"/>
    <x v="1"/>
    <x v="304"/>
    <x v="1"/>
    <s v="DISCOUNT ALLOWED"/>
    <s v="discount allowed"/>
    <s v="DISCOUNT ALLOWED"/>
    <s v="Discount Allowed"/>
    <s v="15/10/24"/>
  </r>
  <r>
    <s v="TXN_5485829"/>
    <s v="CUST_17"/>
    <x v="6"/>
    <x v="6"/>
    <x v="0"/>
    <x v="2"/>
    <n v="328"/>
    <x v="0"/>
    <x v="0"/>
    <x v="305"/>
    <x v="0"/>
    <s v="DISCOUNT NOT ALLOWED"/>
    <s v="discount not allowed"/>
    <s v="DISCOUNT NOT ALLOWED"/>
    <s v="Discount Not Allowed"/>
    <s v="21/05/23"/>
  </r>
  <r>
    <s v="TXN_5571349"/>
    <s v="CUST_10"/>
    <x v="5"/>
    <x v="5"/>
    <x v="0"/>
    <x v="2"/>
    <n v="328"/>
    <x v="0"/>
    <x v="0"/>
    <x v="232"/>
    <x v="0"/>
    <s v="DISCOUNT NOT ALLOWED"/>
    <s v="discount not allowed"/>
    <s v="DISCOUNT NOT ALLOWED"/>
    <s v="Discount Not Allowed"/>
    <s v="28/02/22"/>
  </r>
  <r>
    <s v="TXN_5715686"/>
    <s v="CUST_06"/>
    <x v="5"/>
    <x v="5"/>
    <x v="0"/>
    <x v="2"/>
    <n v="328"/>
    <x v="0"/>
    <x v="1"/>
    <x v="306"/>
    <x v="1"/>
    <s v="DISCOUNT ALLOWED"/>
    <s v="discount allowed"/>
    <s v="DISCOUNT ALLOWED"/>
    <s v="Discount Allowed"/>
    <s v="07/01/25"/>
  </r>
  <r>
    <s v="TXN_5744175"/>
    <s v="CUST_21"/>
    <x v="5"/>
    <x v="5"/>
    <x v="0"/>
    <x v="2"/>
    <n v="328"/>
    <x v="0"/>
    <x v="1"/>
    <x v="15"/>
    <x v="1"/>
    <s v="DISCOUNT ALLOWED"/>
    <s v="discount allowed"/>
    <s v="DISCOUNT ALLOWED"/>
    <s v="Discount Allowed"/>
    <s v="28/07/22"/>
  </r>
  <r>
    <s v="TXN_5781403"/>
    <s v="CUST_10"/>
    <x v="1"/>
    <x v="1"/>
    <x v="0"/>
    <x v="2"/>
    <n v="328"/>
    <x v="2"/>
    <x v="1"/>
    <x v="307"/>
    <x v="1"/>
    <s v="DISCOUNT ALLOWED"/>
    <s v="discount allowed"/>
    <s v="DISCOUNT ALLOWED"/>
    <s v="Discount Allowed"/>
    <s v="10/12/24"/>
  </r>
  <r>
    <s v="TXN_6314933"/>
    <s v="CUST_13"/>
    <x v="5"/>
    <x v="5"/>
    <x v="0"/>
    <x v="2"/>
    <n v="328"/>
    <x v="2"/>
    <x v="0"/>
    <x v="308"/>
    <x v="1"/>
    <s v="DISCOUNT ALLOWED"/>
    <s v="discount allowed"/>
    <s v="DISCOUNT ALLOWED"/>
    <s v="Discount Allowed"/>
    <s v="25/05/22"/>
  </r>
  <r>
    <s v="TXN_6395052"/>
    <s v="CUST_09"/>
    <x v="4"/>
    <x v="4"/>
    <x v="0"/>
    <x v="2"/>
    <n v="328"/>
    <x v="1"/>
    <x v="0"/>
    <x v="309"/>
    <x v="1"/>
    <s v="DISCOUNT ALLOWED"/>
    <s v="discount allowed"/>
    <s v="DISCOUNT ALLOWED"/>
    <s v="Discount Allowed"/>
    <s v="02/10/24"/>
  </r>
  <r>
    <s v="TXN_6411912"/>
    <s v="CUST_17"/>
    <x v="5"/>
    <x v="5"/>
    <x v="0"/>
    <x v="2"/>
    <n v="328"/>
    <x v="0"/>
    <x v="1"/>
    <x v="310"/>
    <x v="1"/>
    <s v="DISCOUNT ALLOWED"/>
    <s v="discount allowed"/>
    <s v="DISCOUNT ALLOWED"/>
    <s v="Discount Allowed"/>
    <s v="01/11/24"/>
  </r>
  <r>
    <s v="TXN_6462908"/>
    <s v="CUST_19"/>
    <x v="1"/>
    <x v="1"/>
    <x v="0"/>
    <x v="2"/>
    <n v="328"/>
    <x v="1"/>
    <x v="0"/>
    <x v="267"/>
    <x v="1"/>
    <s v="DISCOUNT ALLOWED"/>
    <s v="discount allowed"/>
    <s v="DISCOUNT ALLOWED"/>
    <s v="Discount Allowed"/>
    <s v="18/09/24"/>
  </r>
  <r>
    <s v="TXN_6843942"/>
    <s v="CUST_15"/>
    <x v="4"/>
    <x v="4"/>
    <x v="0"/>
    <x v="2"/>
    <n v="328"/>
    <x v="1"/>
    <x v="1"/>
    <x v="311"/>
    <x v="1"/>
    <s v="DISCOUNT ALLOWED"/>
    <s v="discount allowed"/>
    <s v="DISCOUNT ALLOWED"/>
    <s v="Discount Allowed"/>
    <s v="27/03/23"/>
  </r>
  <r>
    <s v="TXN_7013242"/>
    <s v="CUST_24"/>
    <x v="5"/>
    <x v="5"/>
    <x v="0"/>
    <x v="2"/>
    <n v="328"/>
    <x v="0"/>
    <x v="1"/>
    <x v="312"/>
    <x v="0"/>
    <s v="DISCOUNT NOT ALLOWED"/>
    <s v="discount not allowed"/>
    <s v="DISCOUNT NOT ALLOWED"/>
    <s v="Discount Not Allowed"/>
    <s v="07/11/22"/>
  </r>
  <r>
    <s v="TXN_7093465"/>
    <s v="CUST_12"/>
    <x v="1"/>
    <x v="1"/>
    <x v="0"/>
    <x v="2"/>
    <n v="328"/>
    <x v="2"/>
    <x v="1"/>
    <x v="313"/>
    <x v="0"/>
    <s v="DISCOUNT NOT ALLOWED"/>
    <s v="discount not allowed"/>
    <s v="DISCOUNT NOT ALLOWED"/>
    <s v="Discount Not Allowed"/>
    <s v="07/07/24"/>
  </r>
  <r>
    <s v="TXN_7095637"/>
    <s v="CUST_08"/>
    <x v="5"/>
    <x v="5"/>
    <x v="0"/>
    <x v="2"/>
    <n v="328"/>
    <x v="1"/>
    <x v="0"/>
    <x v="314"/>
    <x v="0"/>
    <s v="DISCOUNT NOT ALLOWED"/>
    <s v="discount not allowed"/>
    <s v="DISCOUNT NOT ALLOWED"/>
    <s v="Discount Not Allowed"/>
    <s v="04/05/22"/>
  </r>
  <r>
    <s v="TXN_7097180"/>
    <s v="CUST_12"/>
    <x v="6"/>
    <x v="6"/>
    <x v="0"/>
    <x v="2"/>
    <n v="328"/>
    <x v="2"/>
    <x v="0"/>
    <x v="58"/>
    <x v="0"/>
    <s v="DISCOUNT NOT ALLOWED"/>
    <s v="discount not allowed"/>
    <s v="DISCOUNT NOT ALLOWED"/>
    <s v="Discount Not Allowed"/>
    <s v="09/04/24"/>
  </r>
  <r>
    <s v="TXN_7144471"/>
    <s v="CUST_13"/>
    <x v="1"/>
    <x v="1"/>
    <x v="0"/>
    <x v="2"/>
    <n v="328"/>
    <x v="2"/>
    <x v="0"/>
    <x v="315"/>
    <x v="0"/>
    <s v="DISCOUNT NOT ALLOWED"/>
    <s v="discount not allowed"/>
    <s v="DISCOUNT NOT ALLOWED"/>
    <s v="Discount Not Allowed"/>
    <s v="28/09/23"/>
  </r>
  <r>
    <s v="TXN_7393477"/>
    <s v="CUST_02"/>
    <x v="4"/>
    <x v="4"/>
    <x v="0"/>
    <x v="2"/>
    <n v="328"/>
    <x v="2"/>
    <x v="1"/>
    <x v="316"/>
    <x v="1"/>
    <s v="DISCOUNT ALLOWED"/>
    <s v="discount allowed"/>
    <s v="DISCOUNT ALLOWED"/>
    <s v="Discount Allowed"/>
    <s v="27/05/22"/>
  </r>
  <r>
    <s v="TXN_7428897"/>
    <s v="CUST_16"/>
    <x v="2"/>
    <x v="2"/>
    <x v="0"/>
    <x v="2"/>
    <n v="328"/>
    <x v="2"/>
    <x v="1"/>
    <x v="300"/>
    <x v="1"/>
    <s v="DISCOUNT ALLOWED"/>
    <s v="discount allowed"/>
    <s v="DISCOUNT ALLOWED"/>
    <s v="Discount Allowed"/>
    <s v="14/04/22"/>
  </r>
  <r>
    <s v="TXN_7753152"/>
    <s v="CUST_10"/>
    <x v="2"/>
    <x v="2"/>
    <x v="0"/>
    <x v="2"/>
    <n v="328"/>
    <x v="1"/>
    <x v="1"/>
    <x v="317"/>
    <x v="1"/>
    <s v="DISCOUNT ALLOWED"/>
    <s v="discount allowed"/>
    <s v="DISCOUNT ALLOWED"/>
    <s v="Discount Allowed"/>
    <s v="20/05/24"/>
  </r>
  <r>
    <s v="TXN_7878130"/>
    <s v="CUST_15"/>
    <x v="0"/>
    <x v="0"/>
    <x v="0"/>
    <x v="2"/>
    <n v="328"/>
    <x v="0"/>
    <x v="1"/>
    <x v="318"/>
    <x v="1"/>
    <s v="DISCOUNT ALLOWED"/>
    <s v="discount allowed"/>
    <s v="DISCOUNT ALLOWED"/>
    <s v="Discount Allowed"/>
    <s v="20/03/24"/>
  </r>
  <r>
    <s v="TXN_7914826"/>
    <s v="CUST_24"/>
    <x v="2"/>
    <x v="2"/>
    <x v="0"/>
    <x v="2"/>
    <n v="328"/>
    <x v="0"/>
    <x v="0"/>
    <x v="319"/>
    <x v="0"/>
    <s v="DISCOUNT NOT ALLOWED"/>
    <s v="discount not allowed"/>
    <s v="DISCOUNT NOT ALLOWED"/>
    <s v="Discount Not Allowed"/>
    <s v="22/12/23"/>
  </r>
  <r>
    <s v="TXN_7943662"/>
    <s v="CUST_08"/>
    <x v="1"/>
    <x v="1"/>
    <x v="0"/>
    <x v="2"/>
    <n v="328"/>
    <x v="0"/>
    <x v="0"/>
    <x v="97"/>
    <x v="1"/>
    <s v="DISCOUNT ALLOWED"/>
    <s v="discount allowed"/>
    <s v="DISCOUNT ALLOWED"/>
    <s v="Discount Allowed"/>
    <s v="20/06/24"/>
  </r>
  <r>
    <s v="TXN_8258782"/>
    <s v="CUST_10"/>
    <x v="6"/>
    <x v="6"/>
    <x v="0"/>
    <x v="2"/>
    <n v="328"/>
    <x v="1"/>
    <x v="0"/>
    <x v="320"/>
    <x v="1"/>
    <s v="DISCOUNT ALLOWED"/>
    <s v="discount allowed"/>
    <s v="DISCOUNT ALLOWED"/>
    <s v="Discount Allowed"/>
    <s v="05/01/22"/>
  </r>
  <r>
    <s v="TXN_8552732"/>
    <s v="CUST_02"/>
    <x v="2"/>
    <x v="2"/>
    <x v="0"/>
    <x v="2"/>
    <n v="328"/>
    <x v="1"/>
    <x v="1"/>
    <x v="321"/>
    <x v="1"/>
    <s v="DISCOUNT ALLOWED"/>
    <s v="discount allowed"/>
    <s v="DISCOUNT ALLOWED"/>
    <s v="Discount Allowed"/>
    <s v="28/03/24"/>
  </r>
  <r>
    <s v="TXN_8650516"/>
    <s v="CUST_17"/>
    <x v="2"/>
    <x v="2"/>
    <x v="0"/>
    <x v="2"/>
    <n v="328"/>
    <x v="0"/>
    <x v="1"/>
    <x v="322"/>
    <x v="1"/>
    <s v="DISCOUNT ALLOWED"/>
    <s v="discount allowed"/>
    <s v="DISCOUNT ALLOWED"/>
    <s v="Discount Allowed"/>
    <s v="22/06/23"/>
  </r>
  <r>
    <s v="TXN_9259738"/>
    <s v="CUST_25"/>
    <x v="4"/>
    <x v="4"/>
    <x v="0"/>
    <x v="2"/>
    <n v="328"/>
    <x v="1"/>
    <x v="0"/>
    <x v="323"/>
    <x v="0"/>
    <s v="DISCOUNT NOT ALLOWED"/>
    <s v="discount not allowed"/>
    <s v="DISCOUNT NOT ALLOWED"/>
    <s v="Discount Not Allowed"/>
    <s v="14/11/22"/>
  </r>
  <r>
    <s v="TXN_1011915"/>
    <s v="CUST_16"/>
    <x v="7"/>
    <x v="45"/>
    <x v="6"/>
    <x v="0"/>
    <n v="320"/>
    <x v="2"/>
    <x v="1"/>
    <x v="324"/>
    <x v="1"/>
    <s v="DISCOUNT ALLOWED"/>
    <s v="discount allowed"/>
    <s v="DISCOUNT ALLOWED"/>
    <s v="Discount Allowed"/>
    <s v="25/03/23"/>
  </r>
  <r>
    <s v="TXN_1234299"/>
    <s v="CUST_15"/>
    <x v="3"/>
    <x v="46"/>
    <x v="6"/>
    <x v="0"/>
    <n v="320"/>
    <x v="0"/>
    <x v="0"/>
    <x v="325"/>
    <x v="1"/>
    <s v="DISCOUNT ALLOWED"/>
    <s v="discount allowed"/>
    <s v="DISCOUNT ALLOWED"/>
    <s v="Discount Allowed"/>
    <s v="17/02/22"/>
  </r>
  <r>
    <s v="TXN_1334354"/>
    <s v="CUST_02"/>
    <x v="0"/>
    <x v="47"/>
    <x v="6"/>
    <x v="0"/>
    <n v="320"/>
    <x v="2"/>
    <x v="0"/>
    <x v="326"/>
    <x v="1"/>
    <s v="DISCOUNT ALLOWED"/>
    <s v="discount allowed"/>
    <s v="DISCOUNT ALLOWED"/>
    <s v="Discount Allowed"/>
    <s v="10/09/24"/>
  </r>
  <r>
    <s v="TXN_1877006"/>
    <s v="CUST_15"/>
    <x v="5"/>
    <x v="48"/>
    <x v="6"/>
    <x v="0"/>
    <n v="320"/>
    <x v="0"/>
    <x v="0"/>
    <x v="327"/>
    <x v="1"/>
    <s v="DISCOUNT ALLOWED"/>
    <s v="discount allowed"/>
    <s v="DISCOUNT ALLOWED"/>
    <s v="Discount Allowed"/>
    <s v="19/05/24"/>
  </r>
  <r>
    <s v="TXN_1909877"/>
    <s v="CUST_13"/>
    <x v="0"/>
    <x v="47"/>
    <x v="6"/>
    <x v="0"/>
    <n v="320"/>
    <x v="1"/>
    <x v="0"/>
    <x v="328"/>
    <x v="1"/>
    <s v="DISCOUNT ALLOWED"/>
    <s v="discount allowed"/>
    <s v="DISCOUNT ALLOWED"/>
    <s v="Discount Allowed"/>
    <s v="08/06/24"/>
  </r>
  <r>
    <s v="TXN_1927624"/>
    <s v="CUST_12"/>
    <x v="5"/>
    <x v="48"/>
    <x v="6"/>
    <x v="0"/>
    <n v="320"/>
    <x v="2"/>
    <x v="0"/>
    <x v="329"/>
    <x v="0"/>
    <s v="DISCOUNT NOT ALLOWED"/>
    <s v="discount not allowed"/>
    <s v="DISCOUNT NOT ALLOWED"/>
    <s v="Discount Not Allowed"/>
    <s v="02/03/22"/>
  </r>
  <r>
    <s v="TXN_2169574"/>
    <s v="CUST_03"/>
    <x v="6"/>
    <x v="49"/>
    <x v="6"/>
    <x v="0"/>
    <n v="320"/>
    <x v="1"/>
    <x v="1"/>
    <x v="330"/>
    <x v="0"/>
    <s v="DISCOUNT NOT ALLOWED"/>
    <s v="discount not allowed"/>
    <s v="DISCOUNT NOT ALLOWED"/>
    <s v="Discount Not Allowed"/>
    <s v="23/04/24"/>
  </r>
  <r>
    <s v="TXN_2269494"/>
    <s v="CUST_11"/>
    <x v="6"/>
    <x v="49"/>
    <x v="6"/>
    <x v="0"/>
    <n v="320"/>
    <x v="0"/>
    <x v="0"/>
    <x v="331"/>
    <x v="1"/>
    <s v="DISCOUNT ALLOWED"/>
    <s v="discount allowed"/>
    <s v="DISCOUNT ALLOWED"/>
    <s v="Discount Allowed"/>
    <s v="30/11/23"/>
  </r>
  <r>
    <s v="TXN_2297342"/>
    <s v="CUST_07"/>
    <x v="6"/>
    <x v="49"/>
    <x v="6"/>
    <x v="0"/>
    <n v="320"/>
    <x v="0"/>
    <x v="0"/>
    <x v="332"/>
    <x v="0"/>
    <s v="DISCOUNT NOT ALLOWED"/>
    <s v="discount not allowed"/>
    <s v="DISCOUNT NOT ALLOWED"/>
    <s v="Discount Not Allowed"/>
    <s v="01/08/22"/>
  </r>
  <r>
    <s v="TXN_2523425"/>
    <s v="CUST_04"/>
    <x v="5"/>
    <x v="48"/>
    <x v="6"/>
    <x v="0"/>
    <n v="320"/>
    <x v="0"/>
    <x v="1"/>
    <x v="333"/>
    <x v="1"/>
    <s v="DISCOUNT ALLOWED"/>
    <s v="discount allowed"/>
    <s v="DISCOUNT ALLOWED"/>
    <s v="Discount Allowed"/>
    <s v="16/12/22"/>
  </r>
  <r>
    <s v="TXN_2896903"/>
    <s v="CUST_15"/>
    <x v="1"/>
    <x v="50"/>
    <x v="6"/>
    <x v="0"/>
    <n v="320"/>
    <x v="0"/>
    <x v="0"/>
    <x v="334"/>
    <x v="1"/>
    <s v="DISCOUNT ALLOWED"/>
    <s v="discount allowed"/>
    <s v="DISCOUNT ALLOWED"/>
    <s v="Discount Allowed"/>
    <s v="29/03/22"/>
  </r>
  <r>
    <s v="TXN_2964837"/>
    <s v="CUST_03"/>
    <x v="1"/>
    <x v="50"/>
    <x v="6"/>
    <x v="0"/>
    <n v="320"/>
    <x v="1"/>
    <x v="0"/>
    <x v="335"/>
    <x v="1"/>
    <s v="DISCOUNT ALLOWED"/>
    <s v="discount allowed"/>
    <s v="DISCOUNT ALLOWED"/>
    <s v="Discount Allowed"/>
    <s v="02/01/25"/>
  </r>
  <r>
    <s v="TXN_3776622"/>
    <s v="CUST_11"/>
    <x v="6"/>
    <x v="49"/>
    <x v="6"/>
    <x v="0"/>
    <n v="320"/>
    <x v="0"/>
    <x v="1"/>
    <x v="336"/>
    <x v="1"/>
    <s v="DISCOUNT ALLOWED"/>
    <s v="discount allowed"/>
    <s v="DISCOUNT ALLOWED"/>
    <s v="Discount Allowed"/>
    <s v="05/11/24"/>
  </r>
  <r>
    <s v="TXN_4245153"/>
    <s v="CUST_08"/>
    <x v="1"/>
    <x v="50"/>
    <x v="6"/>
    <x v="0"/>
    <n v="320"/>
    <x v="1"/>
    <x v="1"/>
    <x v="337"/>
    <x v="0"/>
    <s v="DISCOUNT NOT ALLOWED"/>
    <s v="discount not allowed"/>
    <s v="DISCOUNT NOT ALLOWED"/>
    <s v="Discount Not Allowed"/>
    <s v="20/08/24"/>
  </r>
  <r>
    <s v="TXN_4492875"/>
    <s v="CUST_16"/>
    <x v="0"/>
    <x v="47"/>
    <x v="6"/>
    <x v="0"/>
    <n v="320"/>
    <x v="2"/>
    <x v="1"/>
    <x v="338"/>
    <x v="1"/>
    <s v="DISCOUNT ALLOWED"/>
    <s v="discount allowed"/>
    <s v="DISCOUNT ALLOWED"/>
    <s v="Discount Allowed"/>
    <s v="03/12/24"/>
  </r>
  <r>
    <s v="TXN_5332685"/>
    <s v="CUST_07"/>
    <x v="3"/>
    <x v="46"/>
    <x v="6"/>
    <x v="0"/>
    <n v="320"/>
    <x v="1"/>
    <x v="1"/>
    <x v="339"/>
    <x v="0"/>
    <s v="DISCOUNT NOT ALLOWED"/>
    <s v="discount not allowed"/>
    <s v="DISCOUNT NOT ALLOWED"/>
    <s v="Discount Not Allowed"/>
    <s v="03/09/22"/>
  </r>
  <r>
    <s v="TXN_6204154"/>
    <s v="CUST_18"/>
    <x v="5"/>
    <x v="48"/>
    <x v="6"/>
    <x v="0"/>
    <n v="320"/>
    <x v="0"/>
    <x v="1"/>
    <x v="340"/>
    <x v="1"/>
    <s v="DISCOUNT ALLOWED"/>
    <s v="discount allowed"/>
    <s v="DISCOUNT ALLOWED"/>
    <s v="Discount Allowed"/>
    <s v="05/03/22"/>
  </r>
  <r>
    <s v="TXN_6532456"/>
    <s v="CUST_24"/>
    <x v="6"/>
    <x v="49"/>
    <x v="6"/>
    <x v="0"/>
    <n v="320"/>
    <x v="1"/>
    <x v="0"/>
    <x v="341"/>
    <x v="0"/>
    <s v="DISCOUNT NOT ALLOWED"/>
    <s v="discount not allowed"/>
    <s v="DISCOUNT NOT ALLOWED"/>
    <s v="Discount Not Allowed"/>
    <s v="12/07/24"/>
  </r>
  <r>
    <s v="TXN_7017227"/>
    <s v="CUST_23"/>
    <x v="3"/>
    <x v="46"/>
    <x v="6"/>
    <x v="0"/>
    <n v="320"/>
    <x v="1"/>
    <x v="1"/>
    <x v="342"/>
    <x v="0"/>
    <s v="DISCOUNT NOT ALLOWED"/>
    <s v="discount not allowed"/>
    <s v="DISCOUNT NOT ALLOWED"/>
    <s v="Discount Not Allowed"/>
    <s v="02/07/24"/>
  </r>
  <r>
    <s v="TXN_7127992"/>
    <s v="CUST_21"/>
    <x v="6"/>
    <x v="49"/>
    <x v="6"/>
    <x v="0"/>
    <n v="320"/>
    <x v="0"/>
    <x v="1"/>
    <x v="343"/>
    <x v="1"/>
    <s v="DISCOUNT ALLOWED"/>
    <s v="discount allowed"/>
    <s v="DISCOUNT ALLOWED"/>
    <s v="Discount Allowed"/>
    <s v="27/06/24"/>
  </r>
  <r>
    <s v="TXN_7816064"/>
    <s v="CUST_14"/>
    <x v="3"/>
    <x v="46"/>
    <x v="6"/>
    <x v="0"/>
    <n v="320"/>
    <x v="0"/>
    <x v="0"/>
    <x v="344"/>
    <x v="1"/>
    <s v="DISCOUNT ALLOWED"/>
    <s v="discount allowed"/>
    <s v="DISCOUNT ALLOWED"/>
    <s v="Discount Allowed"/>
    <s v="01/04/22"/>
  </r>
  <r>
    <s v="TXN_7836458"/>
    <s v="CUST_14"/>
    <x v="6"/>
    <x v="49"/>
    <x v="6"/>
    <x v="0"/>
    <n v="320"/>
    <x v="1"/>
    <x v="0"/>
    <x v="345"/>
    <x v="0"/>
    <s v="DISCOUNT NOT ALLOWED"/>
    <s v="discount not allowed"/>
    <s v="DISCOUNT NOT ALLOWED"/>
    <s v="Discount Not Allowed"/>
    <s v="12/05/24"/>
  </r>
  <r>
    <s v="TXN_8466225"/>
    <s v="CUST_01"/>
    <x v="5"/>
    <x v="48"/>
    <x v="6"/>
    <x v="0"/>
    <n v="320"/>
    <x v="1"/>
    <x v="0"/>
    <x v="346"/>
    <x v="0"/>
    <s v="DISCOUNT NOT ALLOWED"/>
    <s v="discount not allowed"/>
    <s v="DISCOUNT NOT ALLOWED"/>
    <s v="Discount Not Allowed"/>
    <s v="06/06/22"/>
  </r>
  <r>
    <s v="TXN_9100315"/>
    <s v="CUST_06"/>
    <x v="1"/>
    <x v="50"/>
    <x v="6"/>
    <x v="0"/>
    <n v="320"/>
    <x v="0"/>
    <x v="0"/>
    <x v="347"/>
    <x v="0"/>
    <s v="DISCOUNT NOT ALLOWED"/>
    <s v="discount not allowed"/>
    <s v="DISCOUNT NOT ALLOWED"/>
    <s v="Discount Not Allowed"/>
    <s v="11/12/24"/>
  </r>
  <r>
    <s v="TXN_9211870"/>
    <s v="CUST_25"/>
    <x v="1"/>
    <x v="50"/>
    <x v="6"/>
    <x v="0"/>
    <n v="320"/>
    <x v="1"/>
    <x v="0"/>
    <x v="348"/>
    <x v="1"/>
    <s v="DISCOUNT ALLOWED"/>
    <s v="discount allowed"/>
    <s v="DISCOUNT ALLOWED"/>
    <s v="Discount Allowed"/>
    <s v="30/09/24"/>
  </r>
  <r>
    <s v="TXN_9608154"/>
    <s v="CUST_11"/>
    <x v="0"/>
    <x v="47"/>
    <x v="6"/>
    <x v="0"/>
    <n v="320"/>
    <x v="2"/>
    <x v="0"/>
    <x v="349"/>
    <x v="1"/>
    <s v="DISCOUNT ALLOWED"/>
    <s v="discount allowed"/>
    <s v="DISCOUNT ALLOWED"/>
    <s v="Discount Allowed"/>
    <s v="04/09/24"/>
  </r>
  <r>
    <s v="TXN_9705595"/>
    <s v="CUST_11"/>
    <x v="7"/>
    <x v="45"/>
    <x v="6"/>
    <x v="0"/>
    <n v="320"/>
    <x v="1"/>
    <x v="1"/>
    <x v="350"/>
    <x v="1"/>
    <s v="DISCOUNT ALLOWED"/>
    <s v="discount allowed"/>
    <s v="DISCOUNT ALLOWED"/>
    <s v="Discount Allowed"/>
    <s v="15/01/22"/>
  </r>
  <r>
    <s v="TXN_9714531"/>
    <s v="CUST_03"/>
    <x v="1"/>
    <x v="50"/>
    <x v="6"/>
    <x v="0"/>
    <n v="320"/>
    <x v="1"/>
    <x v="1"/>
    <x v="351"/>
    <x v="0"/>
    <s v="DISCOUNT NOT ALLOWED"/>
    <s v="discount not allowed"/>
    <s v="DISCOUNT NOT ALLOWED"/>
    <s v="Discount Not Allowed"/>
    <s v="24/01/23"/>
  </r>
  <r>
    <s v="TXN_9787092"/>
    <s v="CUST_16"/>
    <x v="6"/>
    <x v="49"/>
    <x v="6"/>
    <x v="0"/>
    <n v="320"/>
    <x v="2"/>
    <x v="0"/>
    <x v="352"/>
    <x v="0"/>
    <s v="DISCOUNT NOT ALLOWED"/>
    <s v="discount not allowed"/>
    <s v="DISCOUNT NOT ALLOWED"/>
    <s v="Discount Not Allowed"/>
    <s v="11/03/24"/>
  </r>
  <r>
    <s v="TXN_9857360"/>
    <s v="CUST_05"/>
    <x v="7"/>
    <x v="45"/>
    <x v="6"/>
    <x v="0"/>
    <n v="320"/>
    <x v="0"/>
    <x v="1"/>
    <x v="192"/>
    <x v="0"/>
    <s v="DISCOUNT NOT ALLOWED"/>
    <s v="discount not allowed"/>
    <s v="DISCOUNT NOT ALLOWED"/>
    <s v="Discount Not Allowed"/>
    <s v="17/05/24"/>
  </r>
  <r>
    <s v="TXN_1448231"/>
    <s v="CUST_24"/>
    <x v="2"/>
    <x v="9"/>
    <x v="1"/>
    <x v="2"/>
    <n v="316"/>
    <x v="0"/>
    <x v="1"/>
    <x v="353"/>
    <x v="1"/>
    <s v="DISCOUNT ALLOWED"/>
    <s v="discount allowed"/>
    <s v="DISCOUNT ALLOWED"/>
    <s v="Discount Allowed"/>
    <s v="30/08/23"/>
  </r>
  <r>
    <s v="TXN_1550222"/>
    <s v="CUST_10"/>
    <x v="1"/>
    <x v="8"/>
    <x v="1"/>
    <x v="2"/>
    <n v="316"/>
    <x v="1"/>
    <x v="0"/>
    <x v="245"/>
    <x v="0"/>
    <s v="DISCOUNT NOT ALLOWED"/>
    <s v="discount not allowed"/>
    <s v="DISCOUNT NOT ALLOWED"/>
    <s v="Discount Not Allowed"/>
    <s v="03/02/23"/>
  </r>
  <r>
    <s v="TXN_2228445"/>
    <s v="CUST_08"/>
    <x v="0"/>
    <x v="14"/>
    <x v="1"/>
    <x v="2"/>
    <n v="316"/>
    <x v="2"/>
    <x v="1"/>
    <x v="354"/>
    <x v="0"/>
    <s v="DISCOUNT NOT ALLOWED"/>
    <s v="discount not allowed"/>
    <s v="DISCOUNT NOT ALLOWED"/>
    <s v="Discount Not Allowed"/>
    <s v="02/05/23"/>
  </r>
  <r>
    <s v="TXN_3107156"/>
    <s v="CUST_02"/>
    <x v="6"/>
    <x v="51"/>
    <x v="1"/>
    <x v="2"/>
    <n v="316"/>
    <x v="1"/>
    <x v="0"/>
    <x v="355"/>
    <x v="1"/>
    <s v="DISCOUNT ALLOWED"/>
    <s v="discount allowed"/>
    <s v="DISCOUNT ALLOWED"/>
    <s v="Discount Allowed"/>
    <s v="23/12/24"/>
  </r>
  <r>
    <s v="TXN_3435459"/>
    <s v="CUST_19"/>
    <x v="3"/>
    <x v="12"/>
    <x v="1"/>
    <x v="2"/>
    <n v="316"/>
    <x v="1"/>
    <x v="0"/>
    <x v="110"/>
    <x v="0"/>
    <s v="DISCOUNT NOT ALLOWED"/>
    <s v="discount not allowed"/>
    <s v="DISCOUNT NOT ALLOWED"/>
    <s v="Discount Not Allowed"/>
    <s v="27/07/24"/>
  </r>
  <r>
    <s v="TXN_4491566"/>
    <s v="CUST_20"/>
    <x v="1"/>
    <x v="8"/>
    <x v="1"/>
    <x v="2"/>
    <n v="316"/>
    <x v="2"/>
    <x v="0"/>
    <x v="356"/>
    <x v="0"/>
    <s v="DISCOUNT NOT ALLOWED"/>
    <s v="discount not allowed"/>
    <s v="DISCOUNT NOT ALLOWED"/>
    <s v="Discount Not Allowed"/>
    <s v="23/02/24"/>
  </r>
  <r>
    <s v="TXN_4525407"/>
    <s v="CUST_19"/>
    <x v="0"/>
    <x v="14"/>
    <x v="1"/>
    <x v="2"/>
    <n v="316"/>
    <x v="1"/>
    <x v="1"/>
    <x v="329"/>
    <x v="1"/>
    <s v="DISCOUNT ALLOWED"/>
    <s v="discount allowed"/>
    <s v="DISCOUNT ALLOWED"/>
    <s v="Discount Allowed"/>
    <s v="02/03/22"/>
  </r>
  <r>
    <s v="TXN_4900538"/>
    <s v="CUST_10"/>
    <x v="3"/>
    <x v="12"/>
    <x v="1"/>
    <x v="2"/>
    <n v="316"/>
    <x v="1"/>
    <x v="1"/>
    <x v="223"/>
    <x v="1"/>
    <s v="DISCOUNT ALLOWED"/>
    <s v="discount allowed"/>
    <s v="DISCOUNT ALLOWED"/>
    <s v="Discount Allowed"/>
    <s v="29/12/24"/>
  </r>
  <r>
    <s v="TXN_5283643"/>
    <s v="CUST_02"/>
    <x v="1"/>
    <x v="8"/>
    <x v="1"/>
    <x v="2"/>
    <n v="316"/>
    <x v="1"/>
    <x v="0"/>
    <x v="357"/>
    <x v="1"/>
    <s v="DISCOUNT ALLOWED"/>
    <s v="discount allowed"/>
    <s v="DISCOUNT ALLOWED"/>
    <s v="Discount Allowed"/>
    <s v="09/07/23"/>
  </r>
  <r>
    <s v="TXN_5653315"/>
    <s v="CUST_18"/>
    <x v="6"/>
    <x v="51"/>
    <x v="1"/>
    <x v="2"/>
    <n v="316"/>
    <x v="1"/>
    <x v="1"/>
    <x v="62"/>
    <x v="0"/>
    <s v="DISCOUNT NOT ALLOWED"/>
    <s v="discount not allowed"/>
    <s v="DISCOUNT NOT ALLOWED"/>
    <s v="Discount Not Allowed"/>
    <s v="26/06/23"/>
  </r>
  <r>
    <s v="TXN_5659844"/>
    <s v="CUST_14"/>
    <x v="7"/>
    <x v="10"/>
    <x v="1"/>
    <x v="2"/>
    <n v="316"/>
    <x v="2"/>
    <x v="1"/>
    <x v="358"/>
    <x v="1"/>
    <s v="DISCOUNT ALLOWED"/>
    <s v="discount allowed"/>
    <s v="DISCOUNT ALLOWED"/>
    <s v="Discount Allowed"/>
    <s v="01/10/22"/>
  </r>
  <r>
    <s v="TXN_5682462"/>
    <s v="CUST_20"/>
    <x v="1"/>
    <x v="8"/>
    <x v="1"/>
    <x v="2"/>
    <n v="316"/>
    <x v="1"/>
    <x v="0"/>
    <x v="327"/>
    <x v="1"/>
    <s v="DISCOUNT ALLOWED"/>
    <s v="discount allowed"/>
    <s v="DISCOUNT ALLOWED"/>
    <s v="Discount Allowed"/>
    <s v="19/05/24"/>
  </r>
  <r>
    <s v="TXN_6450172"/>
    <s v="CUST_06"/>
    <x v="0"/>
    <x v="14"/>
    <x v="1"/>
    <x v="2"/>
    <n v="316"/>
    <x v="1"/>
    <x v="1"/>
    <x v="359"/>
    <x v="0"/>
    <s v="DISCOUNT NOT ALLOWED"/>
    <s v="discount not allowed"/>
    <s v="DISCOUNT NOT ALLOWED"/>
    <s v="Discount Not Allowed"/>
    <s v="09/08/22"/>
  </r>
  <r>
    <s v="TXN_6820452"/>
    <s v="CUST_10"/>
    <x v="6"/>
    <x v="51"/>
    <x v="1"/>
    <x v="2"/>
    <n v="316"/>
    <x v="2"/>
    <x v="1"/>
    <x v="165"/>
    <x v="0"/>
    <s v="DISCOUNT NOT ALLOWED"/>
    <s v="discount not allowed"/>
    <s v="DISCOUNT NOT ALLOWED"/>
    <s v="Discount Not Allowed"/>
    <s v="18/04/23"/>
  </r>
  <r>
    <s v="TXN_6928167"/>
    <s v="CUST_10"/>
    <x v="2"/>
    <x v="9"/>
    <x v="1"/>
    <x v="2"/>
    <n v="316"/>
    <x v="2"/>
    <x v="1"/>
    <x v="360"/>
    <x v="0"/>
    <s v="DISCOUNT NOT ALLOWED"/>
    <s v="discount not allowed"/>
    <s v="DISCOUNT NOT ALLOWED"/>
    <s v="Discount Not Allowed"/>
    <s v="20/06/22"/>
  </r>
  <r>
    <s v="TXN_6934967"/>
    <s v="CUST_23"/>
    <x v="6"/>
    <x v="51"/>
    <x v="1"/>
    <x v="2"/>
    <n v="316"/>
    <x v="1"/>
    <x v="1"/>
    <x v="361"/>
    <x v="0"/>
    <s v="DISCOUNT NOT ALLOWED"/>
    <s v="discount not allowed"/>
    <s v="DISCOUNT NOT ALLOWED"/>
    <s v="Discount Not Allowed"/>
    <s v="17/12/22"/>
  </r>
  <r>
    <s v="TXN_9129538"/>
    <s v="CUST_10"/>
    <x v="2"/>
    <x v="9"/>
    <x v="1"/>
    <x v="2"/>
    <n v="316"/>
    <x v="1"/>
    <x v="0"/>
    <x v="362"/>
    <x v="1"/>
    <s v="DISCOUNT ALLOWED"/>
    <s v="discount allowed"/>
    <s v="DISCOUNT ALLOWED"/>
    <s v="Discount Allowed"/>
    <s v="10/03/23"/>
  </r>
  <r>
    <s v="TXN_9290596"/>
    <s v="CUST_06"/>
    <x v="1"/>
    <x v="8"/>
    <x v="1"/>
    <x v="2"/>
    <n v="316"/>
    <x v="0"/>
    <x v="1"/>
    <x v="296"/>
    <x v="0"/>
    <s v="DISCOUNT NOT ALLOWED"/>
    <s v="discount not allowed"/>
    <s v="DISCOUNT NOT ALLOWED"/>
    <s v="Discount Not Allowed"/>
    <s v="06/11/24"/>
  </r>
  <r>
    <s v="TXN_9342543"/>
    <s v="CUST_22"/>
    <x v="7"/>
    <x v="10"/>
    <x v="1"/>
    <x v="2"/>
    <n v="316"/>
    <x v="0"/>
    <x v="1"/>
    <x v="363"/>
    <x v="1"/>
    <s v="DISCOUNT ALLOWED"/>
    <s v="discount allowed"/>
    <s v="DISCOUNT ALLOWED"/>
    <s v="Discount Allowed"/>
    <s v="20/03/23"/>
  </r>
  <r>
    <s v="TXN_1012276"/>
    <s v="CUST_16"/>
    <x v="4"/>
    <x v="36"/>
    <x v="4"/>
    <x v="1"/>
    <n v="315"/>
    <x v="1"/>
    <x v="1"/>
    <x v="364"/>
    <x v="1"/>
    <s v="DISCOUNT ALLOWED"/>
    <s v="discount allowed"/>
    <s v="DISCOUNT ALLOWED"/>
    <s v="Discount Allowed"/>
    <s v="14/11/24"/>
  </r>
  <r>
    <s v="TXN_1361359"/>
    <s v="CUST_12"/>
    <x v="2"/>
    <x v="32"/>
    <x v="4"/>
    <x v="1"/>
    <n v="315"/>
    <x v="0"/>
    <x v="1"/>
    <x v="365"/>
    <x v="0"/>
    <s v="DISCOUNT NOT ALLOWED"/>
    <s v="discount not allowed"/>
    <s v="DISCOUNT NOT ALLOWED"/>
    <s v="Discount Not Allowed"/>
    <s v="19/03/22"/>
  </r>
  <r>
    <s v="TXN_1686639"/>
    <s v="CUST_04"/>
    <x v="5"/>
    <x v="35"/>
    <x v="4"/>
    <x v="1"/>
    <n v="315"/>
    <x v="2"/>
    <x v="0"/>
    <x v="219"/>
    <x v="1"/>
    <s v="DISCOUNT ALLOWED"/>
    <s v="discount allowed"/>
    <s v="DISCOUNT ALLOWED"/>
    <s v="Discount Allowed"/>
    <s v="23/05/23"/>
  </r>
  <r>
    <s v="TXN_1772948"/>
    <s v="CUST_11"/>
    <x v="4"/>
    <x v="36"/>
    <x v="4"/>
    <x v="1"/>
    <n v="315"/>
    <x v="2"/>
    <x v="1"/>
    <x v="366"/>
    <x v="0"/>
    <s v="DISCOUNT NOT ALLOWED"/>
    <s v="discount not allowed"/>
    <s v="DISCOUNT NOT ALLOWED"/>
    <s v="Discount Not Allowed"/>
    <s v="29/11/24"/>
  </r>
  <r>
    <s v="TXN_2196324"/>
    <s v="CUST_11"/>
    <x v="3"/>
    <x v="52"/>
    <x v="4"/>
    <x v="1"/>
    <n v="315"/>
    <x v="1"/>
    <x v="1"/>
    <x v="80"/>
    <x v="1"/>
    <s v="DISCOUNT ALLOWED"/>
    <s v="discount allowed"/>
    <s v="DISCOUNT ALLOWED"/>
    <s v="Discount Allowed"/>
    <s v="08/02/24"/>
  </r>
  <r>
    <s v="TXN_2866599"/>
    <s v="CUST_14"/>
    <x v="4"/>
    <x v="36"/>
    <x v="4"/>
    <x v="1"/>
    <n v="315"/>
    <x v="2"/>
    <x v="1"/>
    <x v="367"/>
    <x v="1"/>
    <s v="DISCOUNT ALLOWED"/>
    <s v="discount allowed"/>
    <s v="DISCOUNT ALLOWED"/>
    <s v="Discount Allowed"/>
    <s v="13/10/23"/>
  </r>
  <r>
    <s v="TXN_3949704"/>
    <s v="CUST_22"/>
    <x v="5"/>
    <x v="35"/>
    <x v="4"/>
    <x v="1"/>
    <n v="315"/>
    <x v="1"/>
    <x v="0"/>
    <x v="368"/>
    <x v="0"/>
    <s v="DISCOUNT NOT ALLOWED"/>
    <s v="discount not allowed"/>
    <s v="DISCOUNT NOT ALLOWED"/>
    <s v="Discount Not Allowed"/>
    <s v="12/06/22"/>
  </r>
  <r>
    <s v="TXN_4787658"/>
    <s v="CUST_25"/>
    <x v="4"/>
    <x v="36"/>
    <x v="4"/>
    <x v="1"/>
    <n v="315"/>
    <x v="0"/>
    <x v="1"/>
    <x v="369"/>
    <x v="0"/>
    <s v="DISCOUNT NOT ALLOWED"/>
    <s v="discount not allowed"/>
    <s v="DISCOUNT NOT ALLOWED"/>
    <s v="Discount Not Allowed"/>
    <s v="05/10/23"/>
  </r>
  <r>
    <s v="TXN_4865783"/>
    <s v="CUST_05"/>
    <x v="1"/>
    <x v="34"/>
    <x v="4"/>
    <x v="1"/>
    <n v="315"/>
    <x v="1"/>
    <x v="1"/>
    <x v="331"/>
    <x v="1"/>
    <s v="DISCOUNT ALLOWED"/>
    <s v="discount allowed"/>
    <s v="DISCOUNT ALLOWED"/>
    <s v="Discount Allowed"/>
    <s v="30/11/23"/>
  </r>
  <r>
    <s v="TXN_5116993"/>
    <s v="CUST_04"/>
    <x v="2"/>
    <x v="32"/>
    <x v="4"/>
    <x v="1"/>
    <n v="315"/>
    <x v="0"/>
    <x v="0"/>
    <x v="250"/>
    <x v="1"/>
    <s v="DISCOUNT ALLOWED"/>
    <s v="discount allowed"/>
    <s v="DISCOUNT ALLOWED"/>
    <s v="Discount Allowed"/>
    <s v="21/05/24"/>
  </r>
  <r>
    <s v="TXN_5270259"/>
    <s v="CUST_06"/>
    <x v="4"/>
    <x v="36"/>
    <x v="4"/>
    <x v="1"/>
    <n v="315"/>
    <x v="1"/>
    <x v="1"/>
    <x v="370"/>
    <x v="0"/>
    <s v="DISCOUNT NOT ALLOWED"/>
    <s v="discount not allowed"/>
    <s v="DISCOUNT NOT ALLOWED"/>
    <s v="Discount Not Allowed"/>
    <s v="14/01/25"/>
  </r>
  <r>
    <s v="TXN_5451213"/>
    <s v="CUST_12"/>
    <x v="1"/>
    <x v="34"/>
    <x v="4"/>
    <x v="1"/>
    <n v="315"/>
    <x v="0"/>
    <x v="1"/>
    <x v="217"/>
    <x v="1"/>
    <s v="DISCOUNT ALLOWED"/>
    <s v="discount allowed"/>
    <s v="DISCOUNT ALLOWED"/>
    <s v="Discount Allowed"/>
    <s v="12/01/24"/>
  </r>
  <r>
    <s v="TXN_6029235"/>
    <s v="CUST_24"/>
    <x v="3"/>
    <x v="52"/>
    <x v="4"/>
    <x v="1"/>
    <n v="315"/>
    <x v="2"/>
    <x v="1"/>
    <x v="256"/>
    <x v="1"/>
    <s v="DISCOUNT ALLOWED"/>
    <s v="discount allowed"/>
    <s v="DISCOUNT ALLOWED"/>
    <s v="Discount Allowed"/>
    <s v="20/10/23"/>
  </r>
  <r>
    <s v="TXN_6275978"/>
    <s v="CUST_13"/>
    <x v="5"/>
    <x v="35"/>
    <x v="4"/>
    <x v="1"/>
    <n v="315"/>
    <x v="2"/>
    <x v="0"/>
    <x v="371"/>
    <x v="0"/>
    <s v="DISCOUNT NOT ALLOWED"/>
    <s v="discount not allowed"/>
    <s v="DISCOUNT NOT ALLOWED"/>
    <s v="Discount Not Allowed"/>
    <s v="05/07/23"/>
  </r>
  <r>
    <s v="TXN_6490027"/>
    <s v="CUST_19"/>
    <x v="1"/>
    <x v="34"/>
    <x v="4"/>
    <x v="1"/>
    <n v="315"/>
    <x v="2"/>
    <x v="0"/>
    <x v="337"/>
    <x v="0"/>
    <s v="DISCOUNT NOT ALLOWED"/>
    <s v="discount not allowed"/>
    <s v="DISCOUNT NOT ALLOWED"/>
    <s v="Discount Not Allowed"/>
    <s v="20/08/24"/>
  </r>
  <r>
    <s v="TXN_7341164"/>
    <s v="CUST_11"/>
    <x v="2"/>
    <x v="32"/>
    <x v="4"/>
    <x v="1"/>
    <n v="315"/>
    <x v="1"/>
    <x v="1"/>
    <x v="372"/>
    <x v="1"/>
    <s v="DISCOUNT ALLOWED"/>
    <s v="discount allowed"/>
    <s v="DISCOUNT ALLOWED"/>
    <s v="Discount Allowed"/>
    <s v="17/07/24"/>
  </r>
  <r>
    <s v="TXN_8181223"/>
    <s v="CUST_01"/>
    <x v="1"/>
    <x v="34"/>
    <x v="4"/>
    <x v="1"/>
    <n v="315"/>
    <x v="1"/>
    <x v="1"/>
    <x v="373"/>
    <x v="0"/>
    <s v="DISCOUNT NOT ALLOWED"/>
    <s v="discount not allowed"/>
    <s v="DISCOUNT NOT ALLOWED"/>
    <s v="Discount Not Allowed"/>
    <s v="23/09/24"/>
  </r>
  <r>
    <s v="TXN_8750712"/>
    <s v="CUST_22"/>
    <x v="6"/>
    <x v="33"/>
    <x v="4"/>
    <x v="1"/>
    <n v="315"/>
    <x v="2"/>
    <x v="1"/>
    <x v="39"/>
    <x v="1"/>
    <s v="DISCOUNT ALLOWED"/>
    <s v="discount allowed"/>
    <s v="DISCOUNT ALLOWED"/>
    <s v="Discount Allowed"/>
    <s v="10/01/25"/>
  </r>
  <r>
    <s v="TXN_8921373"/>
    <s v="CUST_23"/>
    <x v="3"/>
    <x v="52"/>
    <x v="4"/>
    <x v="1"/>
    <n v="315"/>
    <x v="0"/>
    <x v="0"/>
    <x v="40"/>
    <x v="1"/>
    <s v="DISCOUNT ALLOWED"/>
    <s v="discount allowed"/>
    <s v="DISCOUNT ALLOWED"/>
    <s v="Discount Allowed"/>
    <s v="24/08/22"/>
  </r>
  <r>
    <s v="TXN_9464600"/>
    <s v="CUST_11"/>
    <x v="2"/>
    <x v="32"/>
    <x v="4"/>
    <x v="1"/>
    <n v="315"/>
    <x v="1"/>
    <x v="1"/>
    <x v="374"/>
    <x v="0"/>
    <s v="DISCOUNT NOT ALLOWED"/>
    <s v="discount not allowed"/>
    <s v="DISCOUNT NOT ALLOWED"/>
    <s v="Discount Not Allowed"/>
    <s v="04/10/24"/>
  </r>
  <r>
    <s v="TXN_1385062"/>
    <s v="CUST_16"/>
    <x v="4"/>
    <x v="53"/>
    <x v="7"/>
    <x v="0"/>
    <n v="305"/>
    <x v="2"/>
    <x v="0"/>
    <x v="375"/>
    <x v="0"/>
    <s v="DISCOUNT NOT ALLOWED"/>
    <s v="discount not allowed"/>
    <s v="DISCOUNT NOT ALLOWED"/>
    <s v="Discount Not Allowed"/>
    <s v="02/07/22"/>
  </r>
  <r>
    <s v="TXN_2143497"/>
    <s v="CUST_13"/>
    <x v="5"/>
    <x v="54"/>
    <x v="7"/>
    <x v="0"/>
    <n v="305"/>
    <x v="1"/>
    <x v="1"/>
    <x v="376"/>
    <x v="0"/>
    <s v="DISCOUNT NOT ALLOWED"/>
    <s v="discount not allowed"/>
    <s v="DISCOUNT NOT ALLOWED"/>
    <s v="Discount Not Allowed"/>
    <s v="28/10/23"/>
  </r>
  <r>
    <s v="TXN_2211997"/>
    <s v="CUST_11"/>
    <x v="4"/>
    <x v="53"/>
    <x v="7"/>
    <x v="0"/>
    <n v="305"/>
    <x v="0"/>
    <x v="0"/>
    <x v="377"/>
    <x v="1"/>
    <s v="DISCOUNT ALLOWED"/>
    <s v="discount allowed"/>
    <s v="DISCOUNT ALLOWED"/>
    <s v="Discount Allowed"/>
    <s v="27/05/23"/>
  </r>
  <r>
    <s v="TXN_2683845"/>
    <s v="CUST_17"/>
    <x v="3"/>
    <x v="55"/>
    <x v="7"/>
    <x v="0"/>
    <n v="305"/>
    <x v="1"/>
    <x v="0"/>
    <x v="332"/>
    <x v="0"/>
    <s v="DISCOUNT NOT ALLOWED"/>
    <s v="discount not allowed"/>
    <s v="DISCOUNT NOT ALLOWED"/>
    <s v="Discount Not Allowed"/>
    <s v="01/08/22"/>
  </r>
  <r>
    <s v="TXN_2691375"/>
    <s v="CUST_13"/>
    <x v="2"/>
    <x v="56"/>
    <x v="7"/>
    <x v="0"/>
    <n v="305"/>
    <x v="0"/>
    <x v="1"/>
    <x v="378"/>
    <x v="0"/>
    <s v="DISCOUNT NOT ALLOWED"/>
    <s v="discount not allowed"/>
    <s v="DISCOUNT NOT ALLOWED"/>
    <s v="Discount Not Allowed"/>
    <s v="29/04/23"/>
  </r>
  <r>
    <s v="TXN_3033421"/>
    <s v="CUST_20"/>
    <x v="5"/>
    <x v="54"/>
    <x v="7"/>
    <x v="0"/>
    <n v="305"/>
    <x v="0"/>
    <x v="1"/>
    <x v="379"/>
    <x v="0"/>
    <s v="DISCOUNT NOT ALLOWED"/>
    <s v="discount not allowed"/>
    <s v="DISCOUNT NOT ALLOWED"/>
    <s v="Discount Not Allowed"/>
    <s v="15/03/24"/>
  </r>
  <r>
    <s v="TXN_3192449"/>
    <s v="CUST_02"/>
    <x v="3"/>
    <x v="55"/>
    <x v="7"/>
    <x v="0"/>
    <n v="305"/>
    <x v="2"/>
    <x v="1"/>
    <x v="380"/>
    <x v="0"/>
    <s v="DISCOUNT NOT ALLOWED"/>
    <s v="discount not allowed"/>
    <s v="DISCOUNT NOT ALLOWED"/>
    <s v="Discount Not Allowed"/>
    <s v="20/07/24"/>
  </r>
  <r>
    <s v="TXN_3689417"/>
    <s v="CUST_10"/>
    <x v="3"/>
    <x v="55"/>
    <x v="7"/>
    <x v="0"/>
    <n v="305"/>
    <x v="2"/>
    <x v="1"/>
    <x v="233"/>
    <x v="0"/>
    <s v="DISCOUNT NOT ALLOWED"/>
    <s v="discount not allowed"/>
    <s v="DISCOUNT NOT ALLOWED"/>
    <s v="Discount Not Allowed"/>
    <s v="02/04/23"/>
  </r>
  <r>
    <s v="TXN_3812778"/>
    <s v="CUST_18"/>
    <x v="0"/>
    <x v="57"/>
    <x v="7"/>
    <x v="0"/>
    <n v="305"/>
    <x v="1"/>
    <x v="1"/>
    <x v="381"/>
    <x v="0"/>
    <s v="DISCOUNT NOT ALLOWED"/>
    <s v="discount not allowed"/>
    <s v="DISCOUNT NOT ALLOWED"/>
    <s v="Discount Not Allowed"/>
    <s v="06/03/22"/>
  </r>
  <r>
    <s v="TXN_4221582"/>
    <s v="CUST_19"/>
    <x v="5"/>
    <x v="54"/>
    <x v="7"/>
    <x v="0"/>
    <n v="305"/>
    <x v="0"/>
    <x v="0"/>
    <x v="382"/>
    <x v="1"/>
    <s v="DISCOUNT ALLOWED"/>
    <s v="discount allowed"/>
    <s v="DISCOUNT ALLOWED"/>
    <s v="Discount Allowed"/>
    <s v="25/07/22"/>
  </r>
  <r>
    <s v="TXN_4454635"/>
    <s v="CUST_02"/>
    <x v="4"/>
    <x v="53"/>
    <x v="7"/>
    <x v="0"/>
    <n v="305"/>
    <x v="1"/>
    <x v="1"/>
    <x v="383"/>
    <x v="0"/>
    <s v="DISCOUNT NOT ALLOWED"/>
    <s v="discount not allowed"/>
    <s v="DISCOUNT NOT ALLOWED"/>
    <s v="Discount Not Allowed"/>
    <s v="23/10/24"/>
  </r>
  <r>
    <s v="TXN_4688183"/>
    <s v="CUST_08"/>
    <x v="6"/>
    <x v="58"/>
    <x v="7"/>
    <x v="0"/>
    <n v="305"/>
    <x v="2"/>
    <x v="1"/>
    <x v="260"/>
    <x v="1"/>
    <s v="DISCOUNT ALLOWED"/>
    <s v="discount allowed"/>
    <s v="DISCOUNT ALLOWED"/>
    <s v="Discount Allowed"/>
    <s v="04/07/23"/>
  </r>
  <r>
    <s v="TXN_4891106"/>
    <s v="CUST_03"/>
    <x v="1"/>
    <x v="59"/>
    <x v="7"/>
    <x v="0"/>
    <n v="305"/>
    <x v="1"/>
    <x v="0"/>
    <x v="346"/>
    <x v="0"/>
    <s v="DISCOUNT NOT ALLOWED"/>
    <s v="discount not allowed"/>
    <s v="DISCOUNT NOT ALLOWED"/>
    <s v="Discount Not Allowed"/>
    <s v="06/06/22"/>
  </r>
  <r>
    <s v="TXN_4947386"/>
    <s v="CUST_13"/>
    <x v="4"/>
    <x v="53"/>
    <x v="7"/>
    <x v="0"/>
    <n v="305"/>
    <x v="1"/>
    <x v="0"/>
    <x v="384"/>
    <x v="0"/>
    <s v="DISCOUNT NOT ALLOWED"/>
    <s v="discount not allowed"/>
    <s v="DISCOUNT NOT ALLOWED"/>
    <s v="Discount Not Allowed"/>
    <s v="12/11/24"/>
  </r>
  <r>
    <s v="TXN_5529689"/>
    <s v="CUST_14"/>
    <x v="0"/>
    <x v="57"/>
    <x v="7"/>
    <x v="0"/>
    <n v="305"/>
    <x v="2"/>
    <x v="1"/>
    <x v="385"/>
    <x v="0"/>
    <s v="DISCOUNT NOT ALLOWED"/>
    <s v="discount not allowed"/>
    <s v="DISCOUNT NOT ALLOWED"/>
    <s v="Discount Not Allowed"/>
    <s v="28/06/22"/>
  </r>
  <r>
    <s v="TXN_5536792"/>
    <s v="CUST_16"/>
    <x v="6"/>
    <x v="58"/>
    <x v="7"/>
    <x v="0"/>
    <n v="305"/>
    <x v="1"/>
    <x v="1"/>
    <x v="386"/>
    <x v="1"/>
    <s v="DISCOUNT ALLOWED"/>
    <s v="discount allowed"/>
    <s v="DISCOUNT ALLOWED"/>
    <s v="Discount Allowed"/>
    <s v="18/01/22"/>
  </r>
  <r>
    <s v="TXN_5675587"/>
    <s v="CUST_23"/>
    <x v="4"/>
    <x v="53"/>
    <x v="7"/>
    <x v="0"/>
    <n v="305"/>
    <x v="2"/>
    <x v="0"/>
    <x v="222"/>
    <x v="0"/>
    <s v="DISCOUNT NOT ALLOWED"/>
    <s v="discount not allowed"/>
    <s v="DISCOUNT NOT ALLOWED"/>
    <s v="Discount Not Allowed"/>
    <s v="13/12/22"/>
  </r>
  <r>
    <s v="TXN_5861199"/>
    <s v="CUST_19"/>
    <x v="1"/>
    <x v="59"/>
    <x v="7"/>
    <x v="0"/>
    <n v="305"/>
    <x v="1"/>
    <x v="0"/>
    <x v="387"/>
    <x v="0"/>
    <s v="DISCOUNT NOT ALLOWED"/>
    <s v="discount not allowed"/>
    <s v="DISCOUNT NOT ALLOWED"/>
    <s v="Discount Not Allowed"/>
    <s v="30/12/22"/>
  </r>
  <r>
    <s v="TXN_6497599"/>
    <s v="CUST_21"/>
    <x v="5"/>
    <x v="54"/>
    <x v="7"/>
    <x v="0"/>
    <n v="305"/>
    <x v="1"/>
    <x v="1"/>
    <x v="388"/>
    <x v="1"/>
    <s v="DISCOUNT ALLOWED"/>
    <s v="discount allowed"/>
    <s v="DISCOUNT ALLOWED"/>
    <s v="Discount Allowed"/>
    <s v="23/01/23"/>
  </r>
  <r>
    <s v="TXN_6633737"/>
    <s v="CUST_03"/>
    <x v="1"/>
    <x v="59"/>
    <x v="7"/>
    <x v="0"/>
    <n v="305"/>
    <x v="1"/>
    <x v="0"/>
    <x v="389"/>
    <x v="1"/>
    <s v="DISCOUNT ALLOWED"/>
    <s v="discount allowed"/>
    <s v="DISCOUNT ALLOWED"/>
    <s v="Discount Allowed"/>
    <s v="12/07/23"/>
  </r>
  <r>
    <s v="TXN_7228096"/>
    <s v="CUST_21"/>
    <x v="0"/>
    <x v="57"/>
    <x v="7"/>
    <x v="0"/>
    <n v="305"/>
    <x v="2"/>
    <x v="0"/>
    <x v="295"/>
    <x v="0"/>
    <s v="DISCOUNT NOT ALLOWED"/>
    <s v="discount not allowed"/>
    <s v="DISCOUNT NOT ALLOWED"/>
    <s v="Discount Not Allowed"/>
    <s v="31/03/22"/>
  </r>
  <r>
    <s v="TXN_7249444"/>
    <s v="CUST_14"/>
    <x v="6"/>
    <x v="58"/>
    <x v="7"/>
    <x v="0"/>
    <n v="305"/>
    <x v="0"/>
    <x v="1"/>
    <x v="376"/>
    <x v="0"/>
    <s v="DISCOUNT NOT ALLOWED"/>
    <s v="discount not allowed"/>
    <s v="DISCOUNT NOT ALLOWED"/>
    <s v="Discount Not Allowed"/>
    <s v="28/10/23"/>
  </r>
  <r>
    <s v="TXN_7533209"/>
    <s v="CUST_21"/>
    <x v="7"/>
    <x v="60"/>
    <x v="7"/>
    <x v="0"/>
    <n v="305"/>
    <x v="2"/>
    <x v="0"/>
    <x v="390"/>
    <x v="0"/>
    <s v="DISCOUNT NOT ALLOWED"/>
    <s v="discount not allowed"/>
    <s v="DISCOUNT NOT ALLOWED"/>
    <s v="Discount Not Allowed"/>
    <s v="22/11/24"/>
  </r>
  <r>
    <s v="TXN_8435121"/>
    <s v="CUST_25"/>
    <x v="6"/>
    <x v="58"/>
    <x v="7"/>
    <x v="0"/>
    <n v="305"/>
    <x v="1"/>
    <x v="1"/>
    <x v="221"/>
    <x v="0"/>
    <s v="DISCOUNT NOT ALLOWED"/>
    <s v="discount not allowed"/>
    <s v="DISCOUNT NOT ALLOWED"/>
    <s v="Discount Not Allowed"/>
    <s v="20/11/24"/>
  </r>
  <r>
    <s v="TXN_8568204"/>
    <s v="CUST_23"/>
    <x v="4"/>
    <x v="53"/>
    <x v="7"/>
    <x v="0"/>
    <n v="305"/>
    <x v="0"/>
    <x v="1"/>
    <x v="93"/>
    <x v="0"/>
    <s v="DISCOUNT NOT ALLOWED"/>
    <s v="discount not allowed"/>
    <s v="DISCOUNT NOT ALLOWED"/>
    <s v="Discount Not Allowed"/>
    <s v="08/12/22"/>
  </r>
  <r>
    <s v="TXN_8730858"/>
    <s v="CUST_20"/>
    <x v="0"/>
    <x v="57"/>
    <x v="7"/>
    <x v="0"/>
    <n v="305"/>
    <x v="2"/>
    <x v="1"/>
    <x v="319"/>
    <x v="1"/>
    <s v="DISCOUNT ALLOWED"/>
    <s v="discount allowed"/>
    <s v="DISCOUNT ALLOWED"/>
    <s v="Discount Allowed"/>
    <s v="22/12/23"/>
  </r>
  <r>
    <s v="TXN_9118242"/>
    <s v="CUST_19"/>
    <x v="4"/>
    <x v="53"/>
    <x v="7"/>
    <x v="0"/>
    <n v="305"/>
    <x v="1"/>
    <x v="1"/>
    <x v="391"/>
    <x v="1"/>
    <s v="DISCOUNT ALLOWED"/>
    <s v="discount allowed"/>
    <s v="DISCOUNT ALLOWED"/>
    <s v="Discount Allowed"/>
    <s v="08/07/22"/>
  </r>
  <r>
    <s v="TXN_9252739"/>
    <s v="CUST_23"/>
    <x v="0"/>
    <x v="57"/>
    <x v="7"/>
    <x v="0"/>
    <n v="305"/>
    <x v="0"/>
    <x v="0"/>
    <x v="392"/>
    <x v="1"/>
    <s v="DISCOUNT ALLOWED"/>
    <s v="discount allowed"/>
    <s v="DISCOUNT ALLOWED"/>
    <s v="Discount Allowed"/>
    <s v="13/01/23"/>
  </r>
  <r>
    <s v="TXN_9590909"/>
    <s v="CUST_03"/>
    <x v="5"/>
    <x v="54"/>
    <x v="7"/>
    <x v="0"/>
    <n v="305"/>
    <x v="0"/>
    <x v="0"/>
    <x v="223"/>
    <x v="0"/>
    <s v="DISCOUNT NOT ALLOWED"/>
    <s v="discount not allowed"/>
    <s v="DISCOUNT NOT ALLOWED"/>
    <s v="Discount Not Allowed"/>
    <s v="29/12/24"/>
  </r>
  <r>
    <s v="TXN_9739067"/>
    <s v="CUST_20"/>
    <x v="4"/>
    <x v="53"/>
    <x v="7"/>
    <x v="0"/>
    <n v="305"/>
    <x v="1"/>
    <x v="0"/>
    <x v="393"/>
    <x v="1"/>
    <s v="DISCOUNT ALLOWED"/>
    <s v="discount allowed"/>
    <s v="DISCOUNT ALLOWED"/>
    <s v="Discount Allowed"/>
    <s v="18/10/22"/>
  </r>
  <r>
    <s v="TXN_1576813"/>
    <s v="CUST_01"/>
    <x v="0"/>
    <x v="17"/>
    <x v="2"/>
    <x v="2"/>
    <n v="304"/>
    <x v="1"/>
    <x v="0"/>
    <x v="394"/>
    <x v="1"/>
    <s v="DISCOUNT ALLOWED"/>
    <s v="discount allowed"/>
    <s v="DISCOUNT ALLOWED"/>
    <s v="Discount Allowed"/>
    <s v="13/12/24"/>
  </r>
  <r>
    <s v="TXN_1726888"/>
    <s v="CUST_03"/>
    <x v="7"/>
    <x v="21"/>
    <x v="2"/>
    <x v="2"/>
    <n v="304"/>
    <x v="0"/>
    <x v="0"/>
    <x v="395"/>
    <x v="0"/>
    <s v="DISCOUNT NOT ALLOWED"/>
    <s v="discount not allowed"/>
    <s v="DISCOUNT NOT ALLOWED"/>
    <s v="Discount Not Allowed"/>
    <s v="21/06/22"/>
  </r>
  <r>
    <s v="TXN_2485997"/>
    <s v="CUST_09"/>
    <x v="0"/>
    <x v="17"/>
    <x v="2"/>
    <x v="2"/>
    <n v="304"/>
    <x v="1"/>
    <x v="1"/>
    <x v="396"/>
    <x v="1"/>
    <s v="DISCOUNT ALLOWED"/>
    <s v="discount allowed"/>
    <s v="DISCOUNT ALLOWED"/>
    <s v="Discount Allowed"/>
    <s v="12/10/22"/>
  </r>
  <r>
    <s v="TXN_2582450"/>
    <s v="CUST_03"/>
    <x v="0"/>
    <x v="17"/>
    <x v="2"/>
    <x v="2"/>
    <n v="304"/>
    <x v="2"/>
    <x v="0"/>
    <x v="397"/>
    <x v="0"/>
    <s v="DISCOUNT NOT ALLOWED"/>
    <s v="discount not allowed"/>
    <s v="DISCOUNT NOT ALLOWED"/>
    <s v="Discount Not Allowed"/>
    <s v="01/06/23"/>
  </r>
  <r>
    <s v="TXN_2822564"/>
    <s v="CUST_05"/>
    <x v="7"/>
    <x v="21"/>
    <x v="2"/>
    <x v="2"/>
    <n v="304"/>
    <x v="2"/>
    <x v="0"/>
    <x v="398"/>
    <x v="1"/>
    <s v="DISCOUNT ALLOWED"/>
    <s v="discount allowed"/>
    <s v="DISCOUNT ALLOWED"/>
    <s v="Discount Allowed"/>
    <s v="27/02/24"/>
  </r>
  <r>
    <s v="TXN_3382647"/>
    <s v="CUST_07"/>
    <x v="2"/>
    <x v="20"/>
    <x v="2"/>
    <x v="2"/>
    <n v="304"/>
    <x v="0"/>
    <x v="0"/>
    <x v="399"/>
    <x v="1"/>
    <s v="DISCOUNT ALLOWED"/>
    <s v="discount allowed"/>
    <s v="DISCOUNT ALLOWED"/>
    <s v="Discount Allowed"/>
    <s v="12/12/23"/>
  </r>
  <r>
    <s v="TXN_3403695"/>
    <s v="CUST_25"/>
    <x v="1"/>
    <x v="19"/>
    <x v="2"/>
    <x v="2"/>
    <n v="304"/>
    <x v="1"/>
    <x v="0"/>
    <x v="400"/>
    <x v="1"/>
    <s v="DISCOUNT ALLOWED"/>
    <s v="discount allowed"/>
    <s v="DISCOUNT ALLOWED"/>
    <s v="Discount Allowed"/>
    <s v="27/09/24"/>
  </r>
  <r>
    <s v="TXN_3542101"/>
    <s v="CUST_24"/>
    <x v="7"/>
    <x v="21"/>
    <x v="2"/>
    <x v="2"/>
    <n v="304"/>
    <x v="2"/>
    <x v="0"/>
    <x v="401"/>
    <x v="0"/>
    <s v="DISCOUNT NOT ALLOWED"/>
    <s v="discount not allowed"/>
    <s v="DISCOUNT NOT ALLOWED"/>
    <s v="Discount Not Allowed"/>
    <s v="25/08/23"/>
  </r>
  <r>
    <s v="TXN_4064394"/>
    <s v="CUST_04"/>
    <x v="5"/>
    <x v="15"/>
    <x v="2"/>
    <x v="2"/>
    <n v="304"/>
    <x v="2"/>
    <x v="1"/>
    <x v="402"/>
    <x v="1"/>
    <s v="DISCOUNT ALLOWED"/>
    <s v="discount allowed"/>
    <s v="DISCOUNT ALLOWED"/>
    <s v="Discount Allowed"/>
    <s v="07/09/23"/>
  </r>
  <r>
    <s v="TXN_4481519"/>
    <s v="CUST_03"/>
    <x v="3"/>
    <x v="16"/>
    <x v="2"/>
    <x v="2"/>
    <n v="304"/>
    <x v="1"/>
    <x v="1"/>
    <x v="403"/>
    <x v="0"/>
    <s v="DISCOUNT NOT ALLOWED"/>
    <s v="discount not allowed"/>
    <s v="DISCOUNT NOT ALLOWED"/>
    <s v="Discount Not Allowed"/>
    <s v="07/05/23"/>
  </r>
  <r>
    <s v="TXN_4481593"/>
    <s v="CUST_25"/>
    <x v="3"/>
    <x v="16"/>
    <x v="2"/>
    <x v="2"/>
    <n v="304"/>
    <x v="1"/>
    <x v="0"/>
    <x v="404"/>
    <x v="1"/>
    <s v="DISCOUNT ALLOWED"/>
    <s v="discount allowed"/>
    <s v="DISCOUNT ALLOWED"/>
    <s v="Discount Allowed"/>
    <s v="23/11/22"/>
  </r>
  <r>
    <s v="TXN_4603497"/>
    <s v="CUST_04"/>
    <x v="0"/>
    <x v="17"/>
    <x v="2"/>
    <x v="2"/>
    <n v="304"/>
    <x v="0"/>
    <x v="1"/>
    <x v="405"/>
    <x v="0"/>
    <s v="DISCOUNT NOT ALLOWED"/>
    <s v="discount not allowed"/>
    <s v="DISCOUNT NOT ALLOWED"/>
    <s v="Discount Not Allowed"/>
    <s v="28/10/22"/>
  </r>
  <r>
    <s v="TXN_4962334"/>
    <s v="CUST_06"/>
    <x v="5"/>
    <x v="15"/>
    <x v="2"/>
    <x v="2"/>
    <n v="304"/>
    <x v="1"/>
    <x v="0"/>
    <x v="406"/>
    <x v="0"/>
    <s v="DISCOUNT NOT ALLOWED"/>
    <s v="discount not allowed"/>
    <s v="DISCOUNT NOT ALLOWED"/>
    <s v="Discount Not Allowed"/>
    <s v="27/12/23"/>
  </r>
  <r>
    <s v="TXN_5729612"/>
    <s v="CUST_11"/>
    <x v="7"/>
    <x v="21"/>
    <x v="2"/>
    <x v="2"/>
    <n v="304"/>
    <x v="0"/>
    <x v="0"/>
    <x v="407"/>
    <x v="1"/>
    <s v="DISCOUNT ALLOWED"/>
    <s v="discount allowed"/>
    <s v="DISCOUNT ALLOWED"/>
    <s v="Discount Allowed"/>
    <s v="10/10/22"/>
  </r>
  <r>
    <s v="TXN_5810679"/>
    <s v="CUST_19"/>
    <x v="6"/>
    <x v="18"/>
    <x v="2"/>
    <x v="2"/>
    <n v="304"/>
    <x v="2"/>
    <x v="1"/>
    <x v="408"/>
    <x v="1"/>
    <s v="DISCOUNT ALLOWED"/>
    <s v="discount allowed"/>
    <s v="DISCOUNT ALLOWED"/>
    <s v="Discount Allowed"/>
    <s v="24/11/24"/>
  </r>
  <r>
    <s v="TXN_5985666"/>
    <s v="CUST_09"/>
    <x v="2"/>
    <x v="20"/>
    <x v="2"/>
    <x v="2"/>
    <n v="304"/>
    <x v="2"/>
    <x v="0"/>
    <x v="409"/>
    <x v="0"/>
    <s v="DISCOUNT NOT ALLOWED"/>
    <s v="discount not allowed"/>
    <s v="DISCOUNT NOT ALLOWED"/>
    <s v="Discount Not Allowed"/>
    <s v="13/07/23"/>
  </r>
  <r>
    <s v="TXN_6185003"/>
    <s v="CUST_20"/>
    <x v="5"/>
    <x v="15"/>
    <x v="2"/>
    <x v="2"/>
    <n v="304"/>
    <x v="0"/>
    <x v="1"/>
    <x v="410"/>
    <x v="1"/>
    <s v="DISCOUNT ALLOWED"/>
    <s v="discount allowed"/>
    <s v="DISCOUNT ALLOWED"/>
    <s v="Discount Allowed"/>
    <s v="30/06/23"/>
  </r>
  <r>
    <s v="TXN_6214485"/>
    <s v="CUST_13"/>
    <x v="6"/>
    <x v="18"/>
    <x v="2"/>
    <x v="2"/>
    <n v="304"/>
    <x v="1"/>
    <x v="0"/>
    <x v="411"/>
    <x v="0"/>
    <s v="DISCOUNT NOT ALLOWED"/>
    <s v="discount not allowed"/>
    <s v="DISCOUNT NOT ALLOWED"/>
    <s v="Discount Not Allowed"/>
    <s v="03/12/23"/>
  </r>
  <r>
    <s v="TXN_6724459"/>
    <s v="CUST_19"/>
    <x v="1"/>
    <x v="19"/>
    <x v="2"/>
    <x v="2"/>
    <n v="304"/>
    <x v="1"/>
    <x v="1"/>
    <x v="412"/>
    <x v="0"/>
    <s v="DISCOUNT NOT ALLOWED"/>
    <s v="discount not allowed"/>
    <s v="DISCOUNT NOT ALLOWED"/>
    <s v="Discount Not Allowed"/>
    <s v="17/10/22"/>
  </r>
  <r>
    <s v="TXN_7092567"/>
    <s v="CUST_22"/>
    <x v="6"/>
    <x v="18"/>
    <x v="2"/>
    <x v="2"/>
    <n v="304"/>
    <x v="0"/>
    <x v="0"/>
    <x v="413"/>
    <x v="0"/>
    <s v="DISCOUNT NOT ALLOWED"/>
    <s v="discount not allowed"/>
    <s v="DISCOUNT NOT ALLOWED"/>
    <s v="Discount Not Allowed"/>
    <s v="06/04/23"/>
  </r>
  <r>
    <s v="TXN_7108681"/>
    <s v="CUST_11"/>
    <x v="2"/>
    <x v="20"/>
    <x v="2"/>
    <x v="2"/>
    <n v="304"/>
    <x v="1"/>
    <x v="0"/>
    <x v="414"/>
    <x v="0"/>
    <s v="DISCOUNT NOT ALLOWED"/>
    <s v="discount not allowed"/>
    <s v="DISCOUNT NOT ALLOWED"/>
    <s v="Discount Not Allowed"/>
    <s v="01/02/22"/>
  </r>
  <r>
    <s v="TXN_7633588"/>
    <s v="CUST_04"/>
    <x v="1"/>
    <x v="19"/>
    <x v="2"/>
    <x v="2"/>
    <n v="304"/>
    <x v="0"/>
    <x v="1"/>
    <x v="318"/>
    <x v="0"/>
    <s v="DISCOUNT NOT ALLOWED"/>
    <s v="discount not allowed"/>
    <s v="DISCOUNT NOT ALLOWED"/>
    <s v="Discount Not Allowed"/>
    <s v="20/03/24"/>
  </r>
  <r>
    <s v="TXN_7755538"/>
    <s v="CUST_13"/>
    <x v="5"/>
    <x v="15"/>
    <x v="2"/>
    <x v="2"/>
    <n v="304"/>
    <x v="2"/>
    <x v="0"/>
    <x v="415"/>
    <x v="1"/>
    <s v="DISCOUNT ALLOWED"/>
    <s v="discount allowed"/>
    <s v="DISCOUNT ALLOWED"/>
    <s v="Discount Allowed"/>
    <s v="09/12/24"/>
  </r>
  <r>
    <s v="TXN_8122173"/>
    <s v="CUST_15"/>
    <x v="5"/>
    <x v="15"/>
    <x v="2"/>
    <x v="2"/>
    <n v="304"/>
    <x v="0"/>
    <x v="0"/>
    <x v="98"/>
    <x v="0"/>
    <s v="DISCOUNT NOT ALLOWED"/>
    <s v="discount not allowed"/>
    <s v="DISCOUNT NOT ALLOWED"/>
    <s v="Discount Not Allowed"/>
    <s v="04/04/23"/>
  </r>
  <r>
    <s v="TXN_8441709"/>
    <s v="CUST_10"/>
    <x v="5"/>
    <x v="15"/>
    <x v="2"/>
    <x v="2"/>
    <n v="304"/>
    <x v="2"/>
    <x v="0"/>
    <x v="416"/>
    <x v="1"/>
    <s v="DISCOUNT ALLOWED"/>
    <s v="discount allowed"/>
    <s v="DISCOUNT ALLOWED"/>
    <s v="Discount Allowed"/>
    <s v="25/05/24"/>
  </r>
  <r>
    <s v="TXN_8888063"/>
    <s v="CUST_10"/>
    <x v="7"/>
    <x v="21"/>
    <x v="2"/>
    <x v="2"/>
    <n v="304"/>
    <x v="1"/>
    <x v="1"/>
    <x v="291"/>
    <x v="1"/>
    <s v="DISCOUNT ALLOWED"/>
    <s v="discount allowed"/>
    <s v="DISCOUNT ALLOWED"/>
    <s v="Discount Allowed"/>
    <s v="22/02/24"/>
  </r>
  <r>
    <s v="TXN_9779104"/>
    <s v="CUST_13"/>
    <x v="5"/>
    <x v="15"/>
    <x v="2"/>
    <x v="2"/>
    <n v="304"/>
    <x v="1"/>
    <x v="1"/>
    <x v="52"/>
    <x v="1"/>
    <s v="DISCOUNT ALLOWED"/>
    <s v="discount allowed"/>
    <s v="DISCOUNT ALLOWED"/>
    <s v="Discount Allowed"/>
    <s v="05/12/24"/>
  </r>
  <r>
    <s v="TXN_1802987"/>
    <s v="CUST_14"/>
    <x v="4"/>
    <x v="42"/>
    <x v="5"/>
    <x v="1"/>
    <n v="301.5"/>
    <x v="0"/>
    <x v="1"/>
    <x v="417"/>
    <x v="1"/>
    <s v="DISCOUNT ALLOWED"/>
    <s v="discount allowed"/>
    <s v="DISCOUNT ALLOWED"/>
    <s v="Discount Allowed"/>
    <s v="17/10/24"/>
  </r>
  <r>
    <s v="TXN_1971043"/>
    <s v="CUST_25"/>
    <x v="2"/>
    <x v="39"/>
    <x v="5"/>
    <x v="1"/>
    <n v="301.5"/>
    <x v="1"/>
    <x v="0"/>
    <x v="179"/>
    <x v="0"/>
    <s v="DISCOUNT NOT ALLOWED"/>
    <s v="discount not allowed"/>
    <s v="DISCOUNT NOT ALLOWED"/>
    <s v="Discount Not Allowed"/>
    <s v="05/09/22"/>
  </r>
  <r>
    <s v="TXN_1990804"/>
    <s v="CUST_23"/>
    <x v="4"/>
    <x v="42"/>
    <x v="5"/>
    <x v="1"/>
    <n v="301.5"/>
    <x v="1"/>
    <x v="1"/>
    <x v="157"/>
    <x v="0"/>
    <s v="DISCOUNT NOT ALLOWED"/>
    <s v="discount not allowed"/>
    <s v="DISCOUNT NOT ALLOWED"/>
    <s v="Discount Not Allowed"/>
    <s v="08/06/22"/>
  </r>
  <r>
    <s v="TXN_2232768"/>
    <s v="CUST_02"/>
    <x v="4"/>
    <x v="42"/>
    <x v="5"/>
    <x v="1"/>
    <n v="301.5"/>
    <x v="0"/>
    <x v="1"/>
    <x v="418"/>
    <x v="0"/>
    <s v="DISCOUNT NOT ALLOWED"/>
    <s v="discount not allowed"/>
    <s v="DISCOUNT NOT ALLOWED"/>
    <s v="Discount Not Allowed"/>
    <s v="29/09/24"/>
  </r>
  <r>
    <s v="TXN_2243096"/>
    <s v="CUST_18"/>
    <x v="7"/>
    <x v="44"/>
    <x v="5"/>
    <x v="1"/>
    <n v="301.5"/>
    <x v="2"/>
    <x v="0"/>
    <x v="419"/>
    <x v="1"/>
    <s v="DISCOUNT ALLOWED"/>
    <s v="discount allowed"/>
    <s v="DISCOUNT ALLOWED"/>
    <s v="Discount Allowed"/>
    <s v="08/04/24"/>
  </r>
  <r>
    <s v="TXN_2251911"/>
    <s v="CUST_08"/>
    <x v="2"/>
    <x v="39"/>
    <x v="5"/>
    <x v="1"/>
    <n v="301.5"/>
    <x v="0"/>
    <x v="1"/>
    <x v="420"/>
    <x v="0"/>
    <s v="DISCOUNT NOT ALLOWED"/>
    <s v="discount not allowed"/>
    <s v="DISCOUNT NOT ALLOWED"/>
    <s v="Discount Not Allowed"/>
    <s v="28/09/24"/>
  </r>
  <r>
    <s v="TXN_2329426"/>
    <s v="CUST_22"/>
    <x v="5"/>
    <x v="38"/>
    <x v="5"/>
    <x v="1"/>
    <n v="301.5"/>
    <x v="1"/>
    <x v="0"/>
    <x v="421"/>
    <x v="1"/>
    <s v="DISCOUNT ALLOWED"/>
    <s v="discount allowed"/>
    <s v="DISCOUNT ALLOWED"/>
    <s v="Discount Allowed"/>
    <s v="29/04/24"/>
  </r>
  <r>
    <s v="TXN_2432418"/>
    <s v="CUST_03"/>
    <x v="6"/>
    <x v="43"/>
    <x v="5"/>
    <x v="1"/>
    <n v="301.5"/>
    <x v="1"/>
    <x v="1"/>
    <x v="422"/>
    <x v="1"/>
    <s v="DISCOUNT ALLOWED"/>
    <s v="discount allowed"/>
    <s v="DISCOUNT ALLOWED"/>
    <s v="Discount Allowed"/>
    <s v="05/02/23"/>
  </r>
  <r>
    <s v="TXN_2593807"/>
    <s v="CUST_01"/>
    <x v="4"/>
    <x v="42"/>
    <x v="5"/>
    <x v="1"/>
    <n v="301.5"/>
    <x v="0"/>
    <x v="1"/>
    <x v="423"/>
    <x v="1"/>
    <s v="DISCOUNT ALLOWED"/>
    <s v="discount allowed"/>
    <s v="DISCOUNT ALLOWED"/>
    <s v="Discount Allowed"/>
    <s v="13/07/24"/>
  </r>
  <r>
    <s v="TXN_2691463"/>
    <s v="CUST_19"/>
    <x v="7"/>
    <x v="44"/>
    <x v="5"/>
    <x v="1"/>
    <n v="301.5"/>
    <x v="0"/>
    <x v="1"/>
    <x v="424"/>
    <x v="0"/>
    <s v="DISCOUNT NOT ALLOWED"/>
    <s v="discount not allowed"/>
    <s v="DISCOUNT NOT ALLOWED"/>
    <s v="Discount Not Allowed"/>
    <s v="25/08/24"/>
  </r>
  <r>
    <s v="TXN_3328545"/>
    <s v="CUST_05"/>
    <x v="1"/>
    <x v="37"/>
    <x v="5"/>
    <x v="1"/>
    <n v="301.5"/>
    <x v="2"/>
    <x v="0"/>
    <x v="35"/>
    <x v="1"/>
    <s v="DISCOUNT ALLOWED"/>
    <s v="discount allowed"/>
    <s v="DISCOUNT ALLOWED"/>
    <s v="Discount Allowed"/>
    <s v="22/03/24"/>
  </r>
  <r>
    <s v="TXN_3478143"/>
    <s v="CUST_08"/>
    <x v="7"/>
    <x v="44"/>
    <x v="5"/>
    <x v="1"/>
    <n v="301.5"/>
    <x v="1"/>
    <x v="0"/>
    <x v="425"/>
    <x v="0"/>
    <s v="DISCOUNT NOT ALLOWED"/>
    <s v="discount not allowed"/>
    <s v="DISCOUNT NOT ALLOWED"/>
    <s v="Discount Not Allowed"/>
    <s v="12/08/22"/>
  </r>
  <r>
    <s v="TXN_3875894"/>
    <s v="CUST_03"/>
    <x v="3"/>
    <x v="41"/>
    <x v="5"/>
    <x v="1"/>
    <n v="301.5"/>
    <x v="0"/>
    <x v="0"/>
    <x v="18"/>
    <x v="0"/>
    <s v="DISCOUNT NOT ALLOWED"/>
    <s v="discount not allowed"/>
    <s v="DISCOUNT NOT ALLOWED"/>
    <s v="Discount Not Allowed"/>
    <s v="16/02/23"/>
  </r>
  <r>
    <s v="TXN_4126711"/>
    <s v="CUST_15"/>
    <x v="3"/>
    <x v="41"/>
    <x v="5"/>
    <x v="1"/>
    <n v="301.5"/>
    <x v="0"/>
    <x v="1"/>
    <x v="357"/>
    <x v="1"/>
    <s v="DISCOUNT ALLOWED"/>
    <s v="discount allowed"/>
    <s v="DISCOUNT ALLOWED"/>
    <s v="Discount Allowed"/>
    <s v="09/07/23"/>
  </r>
  <r>
    <s v="TXN_4366890"/>
    <s v="CUST_04"/>
    <x v="5"/>
    <x v="38"/>
    <x v="5"/>
    <x v="1"/>
    <n v="301.5"/>
    <x v="2"/>
    <x v="0"/>
    <x v="2"/>
    <x v="1"/>
    <s v="DISCOUNT ALLOWED"/>
    <s v="discount allowed"/>
    <s v="DISCOUNT ALLOWED"/>
    <s v="Discount Allowed"/>
    <s v="04/11/22"/>
  </r>
  <r>
    <s v="TXN_4752744"/>
    <s v="CUST_20"/>
    <x v="7"/>
    <x v="44"/>
    <x v="5"/>
    <x v="1"/>
    <n v="301.5"/>
    <x v="1"/>
    <x v="0"/>
    <x v="207"/>
    <x v="1"/>
    <s v="DISCOUNT ALLOWED"/>
    <s v="discount allowed"/>
    <s v="DISCOUNT ALLOWED"/>
    <s v="Discount Allowed"/>
    <s v="25/09/22"/>
  </r>
  <r>
    <s v="TXN_4847645"/>
    <s v="CUST_10"/>
    <x v="1"/>
    <x v="37"/>
    <x v="5"/>
    <x v="1"/>
    <n v="301.5"/>
    <x v="0"/>
    <x v="1"/>
    <x v="248"/>
    <x v="1"/>
    <s v="DISCOUNT ALLOWED"/>
    <s v="discount allowed"/>
    <s v="DISCOUNT ALLOWED"/>
    <s v="Discount Allowed"/>
    <s v="31/01/22"/>
  </r>
  <r>
    <s v="TXN_5509332"/>
    <s v="CUST_02"/>
    <x v="4"/>
    <x v="42"/>
    <x v="5"/>
    <x v="1"/>
    <n v="301.5"/>
    <x v="2"/>
    <x v="1"/>
    <x v="426"/>
    <x v="0"/>
    <s v="DISCOUNT NOT ALLOWED"/>
    <s v="discount not allowed"/>
    <s v="DISCOUNT NOT ALLOWED"/>
    <s v="Discount Not Allowed"/>
    <s v="29/12/22"/>
  </r>
  <r>
    <s v="TXN_5629754"/>
    <s v="CUST_04"/>
    <x v="1"/>
    <x v="37"/>
    <x v="5"/>
    <x v="1"/>
    <n v="301.5"/>
    <x v="2"/>
    <x v="0"/>
    <x v="427"/>
    <x v="0"/>
    <s v="DISCOUNT NOT ALLOWED"/>
    <s v="discount not allowed"/>
    <s v="DISCOUNT NOT ALLOWED"/>
    <s v="Discount Not Allowed"/>
    <s v="20/02/22"/>
  </r>
  <r>
    <s v="TXN_5835918"/>
    <s v="CUST_11"/>
    <x v="7"/>
    <x v="44"/>
    <x v="5"/>
    <x v="1"/>
    <n v="301.5"/>
    <x v="0"/>
    <x v="0"/>
    <x v="296"/>
    <x v="1"/>
    <s v="DISCOUNT ALLOWED"/>
    <s v="discount allowed"/>
    <s v="DISCOUNT ALLOWED"/>
    <s v="Discount Allowed"/>
    <s v="06/11/24"/>
  </r>
  <r>
    <s v="TXN_5926111"/>
    <s v="CUST_11"/>
    <x v="7"/>
    <x v="44"/>
    <x v="5"/>
    <x v="1"/>
    <n v="301.5"/>
    <x v="1"/>
    <x v="0"/>
    <x v="428"/>
    <x v="1"/>
    <s v="DISCOUNT ALLOWED"/>
    <s v="discount allowed"/>
    <s v="DISCOUNT ALLOWED"/>
    <s v="Discount Allowed"/>
    <s v="01/05/23"/>
  </r>
  <r>
    <s v="TXN_6638995"/>
    <s v="CUST_03"/>
    <x v="7"/>
    <x v="44"/>
    <x v="5"/>
    <x v="1"/>
    <n v="301.5"/>
    <x v="0"/>
    <x v="0"/>
    <x v="279"/>
    <x v="0"/>
    <s v="DISCOUNT NOT ALLOWED"/>
    <s v="discount not allowed"/>
    <s v="DISCOUNT NOT ALLOWED"/>
    <s v="Discount Not Allowed"/>
    <s v="06/01/23"/>
  </r>
  <r>
    <s v="TXN_6724745"/>
    <s v="CUST_16"/>
    <x v="5"/>
    <x v="38"/>
    <x v="5"/>
    <x v="1"/>
    <n v="301.5"/>
    <x v="1"/>
    <x v="0"/>
    <x v="382"/>
    <x v="0"/>
    <s v="DISCOUNT NOT ALLOWED"/>
    <s v="discount not allowed"/>
    <s v="DISCOUNT NOT ALLOWED"/>
    <s v="Discount Not Allowed"/>
    <s v="25/07/22"/>
  </r>
  <r>
    <s v="TXN_6808962"/>
    <s v="CUST_09"/>
    <x v="5"/>
    <x v="38"/>
    <x v="5"/>
    <x v="1"/>
    <n v="301.5"/>
    <x v="0"/>
    <x v="1"/>
    <x v="102"/>
    <x v="1"/>
    <s v="DISCOUNT ALLOWED"/>
    <s v="discount allowed"/>
    <s v="DISCOUNT ALLOWED"/>
    <s v="Discount Allowed"/>
    <s v="31/03/23"/>
  </r>
  <r>
    <s v="TXN_7409081"/>
    <s v="CUST_21"/>
    <x v="4"/>
    <x v="42"/>
    <x v="5"/>
    <x v="1"/>
    <n v="301.5"/>
    <x v="1"/>
    <x v="1"/>
    <x v="386"/>
    <x v="1"/>
    <s v="DISCOUNT ALLOWED"/>
    <s v="discount allowed"/>
    <s v="DISCOUNT ALLOWED"/>
    <s v="Discount Allowed"/>
    <s v="18/01/22"/>
  </r>
  <r>
    <s v="TXN_7490771"/>
    <s v="CUST_22"/>
    <x v="0"/>
    <x v="40"/>
    <x v="5"/>
    <x v="1"/>
    <n v="301.5"/>
    <x v="2"/>
    <x v="0"/>
    <x v="429"/>
    <x v="1"/>
    <s v="DISCOUNT ALLOWED"/>
    <s v="discount allowed"/>
    <s v="DISCOUNT ALLOWED"/>
    <s v="Discount Allowed"/>
    <s v="18/03/24"/>
  </r>
  <r>
    <s v="TXN_7636962"/>
    <s v="CUST_07"/>
    <x v="7"/>
    <x v="44"/>
    <x v="5"/>
    <x v="1"/>
    <n v="301.5"/>
    <x v="2"/>
    <x v="0"/>
    <x v="40"/>
    <x v="0"/>
    <s v="DISCOUNT NOT ALLOWED"/>
    <s v="discount not allowed"/>
    <s v="DISCOUNT NOT ALLOWED"/>
    <s v="Discount Not Allowed"/>
    <s v="24/08/22"/>
  </r>
  <r>
    <s v="TXN_7810813"/>
    <s v="CUST_09"/>
    <x v="3"/>
    <x v="41"/>
    <x v="5"/>
    <x v="1"/>
    <n v="301.5"/>
    <x v="2"/>
    <x v="1"/>
    <x v="430"/>
    <x v="0"/>
    <s v="DISCOUNT NOT ALLOWED"/>
    <s v="discount not allowed"/>
    <s v="DISCOUNT NOT ALLOWED"/>
    <s v="Discount Not Allowed"/>
    <s v="04/05/23"/>
  </r>
  <r>
    <s v="TXN_7893476"/>
    <s v="CUST_13"/>
    <x v="4"/>
    <x v="42"/>
    <x v="5"/>
    <x v="1"/>
    <n v="301.5"/>
    <x v="2"/>
    <x v="1"/>
    <x v="431"/>
    <x v="1"/>
    <s v="DISCOUNT ALLOWED"/>
    <s v="discount allowed"/>
    <s v="DISCOUNT ALLOWED"/>
    <s v="Discount Allowed"/>
    <s v="01/01/25"/>
  </r>
  <r>
    <s v="TXN_8007376"/>
    <s v="CUST_07"/>
    <x v="0"/>
    <x v="40"/>
    <x v="5"/>
    <x v="1"/>
    <n v="301.5"/>
    <x v="2"/>
    <x v="0"/>
    <x v="432"/>
    <x v="0"/>
    <s v="DISCOUNT NOT ALLOWED"/>
    <s v="discount not allowed"/>
    <s v="DISCOUNT NOT ALLOWED"/>
    <s v="Discount Not Allowed"/>
    <s v="06/10/24"/>
  </r>
  <r>
    <s v="TXN_8008462"/>
    <s v="CUST_20"/>
    <x v="7"/>
    <x v="44"/>
    <x v="5"/>
    <x v="1"/>
    <n v="301.5"/>
    <x v="2"/>
    <x v="0"/>
    <x v="433"/>
    <x v="0"/>
    <s v="DISCOUNT NOT ALLOWED"/>
    <s v="discount not allowed"/>
    <s v="DISCOUNT NOT ALLOWED"/>
    <s v="Discount Not Allowed"/>
    <s v="28/04/22"/>
  </r>
  <r>
    <s v="TXN_8036485"/>
    <s v="CUST_05"/>
    <x v="1"/>
    <x v="37"/>
    <x v="5"/>
    <x v="1"/>
    <n v="301.5"/>
    <x v="2"/>
    <x v="0"/>
    <x v="232"/>
    <x v="1"/>
    <s v="DISCOUNT ALLOWED"/>
    <s v="discount allowed"/>
    <s v="DISCOUNT ALLOWED"/>
    <s v="Discount Allowed"/>
    <s v="28/02/22"/>
  </r>
  <r>
    <s v="TXN_8596049"/>
    <s v="CUST_05"/>
    <x v="3"/>
    <x v="41"/>
    <x v="5"/>
    <x v="1"/>
    <n v="301.5"/>
    <x v="2"/>
    <x v="1"/>
    <x v="434"/>
    <x v="0"/>
    <s v="DISCOUNT NOT ALLOWED"/>
    <s v="discount not allowed"/>
    <s v="DISCOUNT NOT ALLOWED"/>
    <s v="Discount Not Allowed"/>
    <s v="18/04/24"/>
  </r>
  <r>
    <s v="TXN_9298154"/>
    <s v="CUST_23"/>
    <x v="7"/>
    <x v="44"/>
    <x v="5"/>
    <x v="1"/>
    <n v="301.5"/>
    <x v="2"/>
    <x v="0"/>
    <x v="435"/>
    <x v="1"/>
    <s v="DISCOUNT ALLOWED"/>
    <s v="discount allowed"/>
    <s v="DISCOUNT ALLOWED"/>
    <s v="Discount Allowed"/>
    <s v="26/10/23"/>
  </r>
  <r>
    <s v="TXN_9316296"/>
    <s v="CUST_13"/>
    <x v="7"/>
    <x v="44"/>
    <x v="5"/>
    <x v="1"/>
    <n v="301.5"/>
    <x v="1"/>
    <x v="0"/>
    <x v="436"/>
    <x v="1"/>
    <s v="DISCOUNT ALLOWED"/>
    <s v="discount allowed"/>
    <s v="DISCOUNT ALLOWED"/>
    <s v="Discount Allowed"/>
    <s v="18/06/22"/>
  </r>
  <r>
    <s v="TXN_9649394"/>
    <s v="CUST_13"/>
    <x v="7"/>
    <x v="44"/>
    <x v="5"/>
    <x v="1"/>
    <n v="301.5"/>
    <x v="2"/>
    <x v="0"/>
    <x v="437"/>
    <x v="1"/>
    <s v="DISCOUNT ALLOWED"/>
    <s v="discount allowed"/>
    <s v="DISCOUNT ALLOWED"/>
    <s v="Discount Allowed"/>
    <s v="23/08/24"/>
  </r>
  <r>
    <s v="TXN_9662767"/>
    <s v="CUST_01"/>
    <x v="1"/>
    <x v="37"/>
    <x v="5"/>
    <x v="1"/>
    <n v="301.5"/>
    <x v="2"/>
    <x v="1"/>
    <x v="75"/>
    <x v="1"/>
    <s v="DISCOUNT ALLOWED"/>
    <s v="discount allowed"/>
    <s v="DISCOUNT ALLOWED"/>
    <s v="Discount Allowed"/>
    <s v="02/01/22"/>
  </r>
  <r>
    <s v="TXN_1265621"/>
    <s v="CUST_03"/>
    <x v="5"/>
    <x v="28"/>
    <x v="3"/>
    <x v="2"/>
    <n v="292"/>
    <x v="0"/>
    <x v="0"/>
    <x v="438"/>
    <x v="1"/>
    <s v="DISCOUNT ALLOWED"/>
    <s v="discount allowed"/>
    <s v="DISCOUNT ALLOWED"/>
    <s v="Discount Allowed"/>
    <s v="11/01/22"/>
  </r>
  <r>
    <s v="TXN_2779699"/>
    <s v="CUST_22"/>
    <x v="4"/>
    <x v="27"/>
    <x v="3"/>
    <x v="2"/>
    <n v="292"/>
    <x v="1"/>
    <x v="1"/>
    <x v="393"/>
    <x v="0"/>
    <s v="DISCOUNT NOT ALLOWED"/>
    <s v="discount not allowed"/>
    <s v="DISCOUNT NOT ALLOWED"/>
    <s v="Discount Not Allowed"/>
    <s v="18/10/22"/>
  </r>
  <r>
    <s v="TXN_3036860"/>
    <s v="CUST_08"/>
    <x v="5"/>
    <x v="28"/>
    <x v="3"/>
    <x v="2"/>
    <n v="292"/>
    <x v="1"/>
    <x v="0"/>
    <x v="46"/>
    <x v="0"/>
    <s v="DISCOUNT NOT ALLOWED"/>
    <s v="discount not allowed"/>
    <s v="DISCOUNT NOT ALLOWED"/>
    <s v="Discount Not Allowed"/>
    <s v="24/04/24"/>
  </r>
  <r>
    <s v="TXN_3088437"/>
    <s v="CUST_11"/>
    <x v="3"/>
    <x v="24"/>
    <x v="3"/>
    <x v="2"/>
    <n v="292"/>
    <x v="1"/>
    <x v="0"/>
    <x v="439"/>
    <x v="1"/>
    <s v="DISCOUNT ALLOWED"/>
    <s v="discount allowed"/>
    <s v="DISCOUNT ALLOWED"/>
    <s v="Discount Allowed"/>
    <s v="19/10/24"/>
  </r>
  <r>
    <s v="TXN_3163611"/>
    <s v="CUST_25"/>
    <x v="6"/>
    <x v="26"/>
    <x v="3"/>
    <x v="2"/>
    <n v="292"/>
    <x v="0"/>
    <x v="1"/>
    <x v="440"/>
    <x v="0"/>
    <s v="DISCOUNT NOT ALLOWED"/>
    <s v="discount not allowed"/>
    <s v="DISCOUNT NOT ALLOWED"/>
    <s v="Discount Not Allowed"/>
    <s v="30/12/23"/>
  </r>
  <r>
    <s v="TXN_3588227"/>
    <s v="CUST_22"/>
    <x v="3"/>
    <x v="24"/>
    <x v="3"/>
    <x v="2"/>
    <n v="292"/>
    <x v="2"/>
    <x v="0"/>
    <x v="441"/>
    <x v="1"/>
    <s v="DISCOUNT ALLOWED"/>
    <s v="discount allowed"/>
    <s v="DISCOUNT ALLOWED"/>
    <s v="Discount Allowed"/>
    <s v="09/05/22"/>
  </r>
  <r>
    <s v="TXN_3603496"/>
    <s v="CUST_03"/>
    <x v="6"/>
    <x v="26"/>
    <x v="3"/>
    <x v="2"/>
    <n v="292"/>
    <x v="2"/>
    <x v="0"/>
    <x v="270"/>
    <x v="0"/>
    <s v="DISCOUNT NOT ALLOWED"/>
    <s v="discount not allowed"/>
    <s v="DISCOUNT NOT ALLOWED"/>
    <s v="Discount Not Allowed"/>
    <s v="08/11/23"/>
  </r>
  <r>
    <s v="TXN_3841708"/>
    <s v="CUST_23"/>
    <x v="1"/>
    <x v="29"/>
    <x v="3"/>
    <x v="2"/>
    <n v="292"/>
    <x v="0"/>
    <x v="0"/>
    <x v="442"/>
    <x v="0"/>
    <s v="DISCOUNT NOT ALLOWED"/>
    <s v="discount not allowed"/>
    <s v="DISCOUNT NOT ALLOWED"/>
    <s v="Discount Not Allowed"/>
    <s v="23/03/23"/>
  </r>
  <r>
    <s v="TXN_4006298"/>
    <s v="CUST_15"/>
    <x v="0"/>
    <x v="25"/>
    <x v="3"/>
    <x v="2"/>
    <n v="292"/>
    <x v="0"/>
    <x v="1"/>
    <x v="443"/>
    <x v="0"/>
    <s v="DISCOUNT NOT ALLOWED"/>
    <s v="discount not allowed"/>
    <s v="DISCOUNT NOT ALLOWED"/>
    <s v="Discount Not Allowed"/>
    <s v="28/02/24"/>
  </r>
  <r>
    <s v="TXN_4451594"/>
    <s v="CUST_23"/>
    <x v="7"/>
    <x v="30"/>
    <x v="3"/>
    <x v="2"/>
    <n v="292"/>
    <x v="0"/>
    <x v="0"/>
    <x v="444"/>
    <x v="1"/>
    <s v="DISCOUNT ALLOWED"/>
    <s v="discount allowed"/>
    <s v="DISCOUNT ALLOWED"/>
    <s v="Discount Allowed"/>
    <s v="19/10/22"/>
  </r>
  <r>
    <s v="TXN_4841196"/>
    <s v="CUST_10"/>
    <x v="4"/>
    <x v="27"/>
    <x v="3"/>
    <x v="2"/>
    <n v="292"/>
    <x v="1"/>
    <x v="0"/>
    <x v="50"/>
    <x v="0"/>
    <s v="DISCOUNT NOT ALLOWED"/>
    <s v="discount not allowed"/>
    <s v="DISCOUNT NOT ALLOWED"/>
    <s v="Discount Not Allowed"/>
    <s v="17/01/22"/>
  </r>
  <r>
    <s v="TXN_4876845"/>
    <s v="CUST_12"/>
    <x v="0"/>
    <x v="25"/>
    <x v="3"/>
    <x v="2"/>
    <n v="292"/>
    <x v="2"/>
    <x v="1"/>
    <x v="200"/>
    <x v="1"/>
    <s v="DISCOUNT ALLOWED"/>
    <s v="discount allowed"/>
    <s v="DISCOUNT ALLOWED"/>
    <s v="Discount Allowed"/>
    <s v="29/01/22"/>
  </r>
  <r>
    <s v="TXN_4964635"/>
    <s v="CUST_15"/>
    <x v="1"/>
    <x v="29"/>
    <x v="3"/>
    <x v="2"/>
    <n v="292"/>
    <x v="1"/>
    <x v="1"/>
    <x v="11"/>
    <x v="1"/>
    <s v="DISCOUNT ALLOWED"/>
    <s v="discount allowed"/>
    <s v="DISCOUNT ALLOWED"/>
    <s v="Discount Allowed"/>
    <s v="03/10/23"/>
  </r>
  <r>
    <s v="TXN_5449536"/>
    <s v="CUST_01"/>
    <x v="3"/>
    <x v="24"/>
    <x v="3"/>
    <x v="2"/>
    <n v="292"/>
    <x v="0"/>
    <x v="0"/>
    <x v="327"/>
    <x v="1"/>
    <s v="DISCOUNT ALLOWED"/>
    <s v="discount allowed"/>
    <s v="DISCOUNT ALLOWED"/>
    <s v="Discount Allowed"/>
    <s v="19/05/24"/>
  </r>
  <r>
    <s v="TXN_5455904"/>
    <s v="CUST_02"/>
    <x v="5"/>
    <x v="28"/>
    <x v="3"/>
    <x v="2"/>
    <n v="292"/>
    <x v="2"/>
    <x v="0"/>
    <x v="78"/>
    <x v="1"/>
    <s v="DISCOUNT ALLOWED"/>
    <s v="discount allowed"/>
    <s v="DISCOUNT ALLOWED"/>
    <s v="Discount Allowed"/>
    <s v="04/07/24"/>
  </r>
  <r>
    <s v="TXN_5629949"/>
    <s v="CUST_25"/>
    <x v="1"/>
    <x v="29"/>
    <x v="3"/>
    <x v="2"/>
    <n v="292"/>
    <x v="1"/>
    <x v="1"/>
    <x v="445"/>
    <x v="1"/>
    <s v="DISCOUNT ALLOWED"/>
    <s v="discount allowed"/>
    <s v="DISCOUNT ALLOWED"/>
    <s v="Discount Allowed"/>
    <s v="02/10/23"/>
  </r>
  <r>
    <s v="TXN_5679757"/>
    <s v="CUST_19"/>
    <x v="3"/>
    <x v="24"/>
    <x v="3"/>
    <x v="2"/>
    <n v="292"/>
    <x v="0"/>
    <x v="0"/>
    <x v="350"/>
    <x v="1"/>
    <s v="DISCOUNT ALLOWED"/>
    <s v="discount allowed"/>
    <s v="DISCOUNT ALLOWED"/>
    <s v="Discount Allowed"/>
    <s v="15/01/22"/>
  </r>
  <r>
    <s v="TXN_6216918"/>
    <s v="CUST_20"/>
    <x v="7"/>
    <x v="30"/>
    <x v="3"/>
    <x v="2"/>
    <n v="292"/>
    <x v="1"/>
    <x v="1"/>
    <x v="136"/>
    <x v="1"/>
    <s v="DISCOUNT ALLOWED"/>
    <s v="discount allowed"/>
    <s v="DISCOUNT ALLOWED"/>
    <s v="Discount Allowed"/>
    <s v="07/07/22"/>
  </r>
  <r>
    <s v="TXN_6689708"/>
    <s v="CUST_05"/>
    <x v="1"/>
    <x v="29"/>
    <x v="3"/>
    <x v="2"/>
    <n v="292"/>
    <x v="2"/>
    <x v="0"/>
    <x v="446"/>
    <x v="0"/>
    <s v="DISCOUNT NOT ALLOWED"/>
    <s v="discount not allowed"/>
    <s v="DISCOUNT NOT ALLOWED"/>
    <s v="Discount Not Allowed"/>
    <s v="12/09/24"/>
  </r>
  <r>
    <s v="TXN_7007203"/>
    <s v="CUST_24"/>
    <x v="6"/>
    <x v="26"/>
    <x v="3"/>
    <x v="2"/>
    <n v="292"/>
    <x v="1"/>
    <x v="0"/>
    <x v="185"/>
    <x v="0"/>
    <s v="DISCOUNT NOT ALLOWED"/>
    <s v="discount not allowed"/>
    <s v="DISCOUNT NOT ALLOWED"/>
    <s v="Discount Not Allowed"/>
    <s v="08/08/24"/>
  </r>
  <r>
    <s v="TXN_7976109"/>
    <s v="CUST_23"/>
    <x v="7"/>
    <x v="30"/>
    <x v="3"/>
    <x v="2"/>
    <n v="292"/>
    <x v="1"/>
    <x v="0"/>
    <x v="181"/>
    <x v="0"/>
    <s v="DISCOUNT NOT ALLOWED"/>
    <s v="discount not allowed"/>
    <s v="DISCOUNT NOT ALLOWED"/>
    <s v="Discount Not Allowed"/>
    <s v="14/08/23"/>
  </r>
  <r>
    <s v="TXN_8363354"/>
    <s v="CUST_12"/>
    <x v="7"/>
    <x v="30"/>
    <x v="3"/>
    <x v="2"/>
    <n v="292"/>
    <x v="2"/>
    <x v="0"/>
    <x v="447"/>
    <x v="1"/>
    <s v="DISCOUNT ALLOWED"/>
    <s v="discount allowed"/>
    <s v="DISCOUNT ALLOWED"/>
    <s v="Discount Allowed"/>
    <s v="08/01/24"/>
  </r>
  <r>
    <s v="TXN_8372453"/>
    <s v="CUST_25"/>
    <x v="1"/>
    <x v="29"/>
    <x v="3"/>
    <x v="2"/>
    <n v="292"/>
    <x v="2"/>
    <x v="0"/>
    <x v="274"/>
    <x v="0"/>
    <s v="DISCOUNT NOT ALLOWED"/>
    <s v="discount not allowed"/>
    <s v="DISCOUNT NOT ALLOWED"/>
    <s v="Discount Not Allowed"/>
    <s v="30/11/24"/>
  </r>
  <r>
    <s v="TXN_8376407"/>
    <s v="CUST_02"/>
    <x v="0"/>
    <x v="25"/>
    <x v="3"/>
    <x v="2"/>
    <n v="292"/>
    <x v="2"/>
    <x v="0"/>
    <x v="135"/>
    <x v="0"/>
    <s v="DISCOUNT NOT ALLOWED"/>
    <s v="discount not allowed"/>
    <s v="DISCOUNT NOT ALLOWED"/>
    <s v="Discount Not Allowed"/>
    <s v="03/04/24"/>
  </r>
  <r>
    <s v="TXN_9433964"/>
    <s v="CUST_08"/>
    <x v="0"/>
    <x v="25"/>
    <x v="3"/>
    <x v="2"/>
    <n v="292"/>
    <x v="2"/>
    <x v="1"/>
    <x v="448"/>
    <x v="0"/>
    <s v="DISCOUNT NOT ALLOWED"/>
    <s v="discount not allowed"/>
    <s v="DISCOUNT NOT ALLOWED"/>
    <s v="Discount Not Allowed"/>
    <s v="13/11/23"/>
  </r>
  <r>
    <s v="TXN_9531173"/>
    <s v="CUST_21"/>
    <x v="1"/>
    <x v="29"/>
    <x v="3"/>
    <x v="2"/>
    <n v="292"/>
    <x v="1"/>
    <x v="1"/>
    <x v="449"/>
    <x v="1"/>
    <s v="DISCOUNT ALLOWED"/>
    <s v="discount allowed"/>
    <s v="DISCOUNT ALLOWED"/>
    <s v="Discount Allowed"/>
    <s v="27/03/22"/>
  </r>
  <r>
    <s v="TXN_1674139"/>
    <s v="CUST_05"/>
    <x v="0"/>
    <x v="61"/>
    <x v="8"/>
    <x v="0"/>
    <n v="290"/>
    <x v="0"/>
    <x v="0"/>
    <x v="450"/>
    <x v="1"/>
    <s v="DISCOUNT ALLOWED"/>
    <s v="discount allowed"/>
    <s v="DISCOUNT ALLOWED"/>
    <s v="Discount Allowed"/>
    <s v="21/03/23"/>
  </r>
  <r>
    <s v="TXN_1920349"/>
    <s v="CUST_22"/>
    <x v="6"/>
    <x v="62"/>
    <x v="8"/>
    <x v="0"/>
    <n v="290"/>
    <x v="0"/>
    <x v="0"/>
    <x v="451"/>
    <x v="0"/>
    <s v="DISCOUNT NOT ALLOWED"/>
    <s v="discount not allowed"/>
    <s v="DISCOUNT NOT ALLOWED"/>
    <s v="Discount Not Allowed"/>
    <s v="06/01/24"/>
  </r>
  <r>
    <s v="TXN_1980053"/>
    <s v="CUST_13"/>
    <x v="0"/>
    <x v="61"/>
    <x v="8"/>
    <x v="0"/>
    <n v="290"/>
    <x v="1"/>
    <x v="1"/>
    <x v="452"/>
    <x v="0"/>
    <s v="DISCOUNT NOT ALLOWED"/>
    <s v="discount not allowed"/>
    <s v="DISCOUNT NOT ALLOWED"/>
    <s v="Discount Not Allowed"/>
    <s v="26/09/22"/>
  </r>
  <r>
    <s v="TXN_2270221"/>
    <s v="CUST_01"/>
    <x v="7"/>
    <x v="63"/>
    <x v="8"/>
    <x v="0"/>
    <n v="290"/>
    <x v="0"/>
    <x v="1"/>
    <x v="197"/>
    <x v="1"/>
    <s v="DISCOUNT ALLOWED"/>
    <s v="discount allowed"/>
    <s v="DISCOUNT ALLOWED"/>
    <s v="Discount Allowed"/>
    <s v="01/09/22"/>
  </r>
  <r>
    <s v="TXN_2500273"/>
    <s v="CUST_10"/>
    <x v="0"/>
    <x v="61"/>
    <x v="8"/>
    <x v="0"/>
    <n v="290"/>
    <x v="0"/>
    <x v="0"/>
    <x v="453"/>
    <x v="1"/>
    <s v="DISCOUNT ALLOWED"/>
    <s v="discount allowed"/>
    <s v="DISCOUNT ALLOWED"/>
    <s v="Discount Allowed"/>
    <s v="26/06/22"/>
  </r>
  <r>
    <s v="TXN_2504304"/>
    <s v="CUST_16"/>
    <x v="1"/>
    <x v="64"/>
    <x v="8"/>
    <x v="0"/>
    <n v="290"/>
    <x v="1"/>
    <x v="1"/>
    <x v="454"/>
    <x v="1"/>
    <s v="DISCOUNT ALLOWED"/>
    <s v="discount allowed"/>
    <s v="DISCOUNT ALLOWED"/>
    <s v="Discount Allowed"/>
    <s v="19/04/24"/>
  </r>
  <r>
    <s v="TXN_2681703"/>
    <s v="CUST_22"/>
    <x v="7"/>
    <x v="63"/>
    <x v="8"/>
    <x v="0"/>
    <n v="290"/>
    <x v="1"/>
    <x v="0"/>
    <x v="455"/>
    <x v="1"/>
    <s v="DISCOUNT ALLOWED"/>
    <s v="discount allowed"/>
    <s v="DISCOUNT ALLOWED"/>
    <s v="Discount Allowed"/>
    <s v="06/04/24"/>
  </r>
  <r>
    <s v="TXN_3194759"/>
    <s v="CUST_10"/>
    <x v="1"/>
    <x v="64"/>
    <x v="8"/>
    <x v="0"/>
    <n v="290"/>
    <x v="1"/>
    <x v="0"/>
    <x v="456"/>
    <x v="1"/>
    <s v="DISCOUNT ALLOWED"/>
    <s v="discount allowed"/>
    <s v="DISCOUNT ALLOWED"/>
    <s v="Discount Allowed"/>
    <s v="18/07/24"/>
  </r>
  <r>
    <s v="TXN_3373651"/>
    <s v="CUST_08"/>
    <x v="7"/>
    <x v="63"/>
    <x v="8"/>
    <x v="0"/>
    <n v="290"/>
    <x v="1"/>
    <x v="1"/>
    <x v="457"/>
    <x v="1"/>
    <s v="DISCOUNT ALLOWED"/>
    <s v="discount allowed"/>
    <s v="DISCOUNT ALLOWED"/>
    <s v="Discount Allowed"/>
    <s v="21/01/22"/>
  </r>
  <r>
    <s v="TXN_3593226"/>
    <s v="CUST_13"/>
    <x v="7"/>
    <x v="63"/>
    <x v="8"/>
    <x v="0"/>
    <n v="290"/>
    <x v="2"/>
    <x v="1"/>
    <x v="386"/>
    <x v="1"/>
    <s v="DISCOUNT ALLOWED"/>
    <s v="discount allowed"/>
    <s v="DISCOUNT ALLOWED"/>
    <s v="Discount Allowed"/>
    <s v="18/01/22"/>
  </r>
  <r>
    <s v="TXN_3854878"/>
    <s v="CUST_22"/>
    <x v="3"/>
    <x v="65"/>
    <x v="8"/>
    <x v="0"/>
    <n v="290"/>
    <x v="0"/>
    <x v="0"/>
    <x v="252"/>
    <x v="0"/>
    <s v="DISCOUNT NOT ALLOWED"/>
    <s v="discount not allowed"/>
    <s v="DISCOUNT NOT ALLOWED"/>
    <s v="Discount Not Allowed"/>
    <s v="14/04/23"/>
  </r>
  <r>
    <s v="TXN_4270618"/>
    <s v="CUST_02"/>
    <x v="4"/>
    <x v="66"/>
    <x v="8"/>
    <x v="0"/>
    <n v="290"/>
    <x v="0"/>
    <x v="0"/>
    <x v="458"/>
    <x v="1"/>
    <s v="DISCOUNT ALLOWED"/>
    <s v="discount allowed"/>
    <s v="DISCOUNT ALLOWED"/>
    <s v="Discount Allowed"/>
    <s v="18/05/24"/>
  </r>
  <r>
    <s v="TXN_4297569"/>
    <s v="CUST_07"/>
    <x v="1"/>
    <x v="64"/>
    <x v="8"/>
    <x v="0"/>
    <n v="290"/>
    <x v="1"/>
    <x v="0"/>
    <x v="284"/>
    <x v="0"/>
    <s v="DISCOUNT NOT ALLOWED"/>
    <s v="discount not allowed"/>
    <s v="DISCOUNT NOT ALLOWED"/>
    <s v="Discount Not Allowed"/>
    <s v="10/05/23"/>
  </r>
  <r>
    <s v="TXN_5200656"/>
    <s v="CUST_20"/>
    <x v="4"/>
    <x v="66"/>
    <x v="8"/>
    <x v="0"/>
    <n v="290"/>
    <x v="0"/>
    <x v="0"/>
    <x v="459"/>
    <x v="0"/>
    <s v="DISCOUNT NOT ALLOWED"/>
    <s v="discount not allowed"/>
    <s v="DISCOUNT NOT ALLOWED"/>
    <s v="Discount Not Allowed"/>
    <s v="08/01/23"/>
  </r>
  <r>
    <s v="TXN_5547887"/>
    <s v="CUST_01"/>
    <x v="7"/>
    <x v="63"/>
    <x v="8"/>
    <x v="0"/>
    <n v="290"/>
    <x v="0"/>
    <x v="0"/>
    <x v="326"/>
    <x v="1"/>
    <s v="DISCOUNT ALLOWED"/>
    <s v="discount allowed"/>
    <s v="DISCOUNT ALLOWED"/>
    <s v="Discount Allowed"/>
    <s v="10/09/24"/>
  </r>
  <r>
    <s v="TXN_5863441"/>
    <s v="CUST_14"/>
    <x v="7"/>
    <x v="63"/>
    <x v="8"/>
    <x v="0"/>
    <n v="290"/>
    <x v="1"/>
    <x v="1"/>
    <x v="460"/>
    <x v="0"/>
    <s v="DISCOUNT NOT ALLOWED"/>
    <s v="discount not allowed"/>
    <s v="DISCOUNT NOT ALLOWED"/>
    <s v="Discount Not Allowed"/>
    <s v="11/03/23"/>
  </r>
  <r>
    <s v="TXN_6111288"/>
    <s v="CUST_05"/>
    <x v="7"/>
    <x v="63"/>
    <x v="8"/>
    <x v="0"/>
    <n v="290"/>
    <x v="1"/>
    <x v="0"/>
    <x v="461"/>
    <x v="0"/>
    <s v="DISCOUNT NOT ALLOWED"/>
    <s v="discount not allowed"/>
    <s v="DISCOUNT NOT ALLOWED"/>
    <s v="Discount Not Allowed"/>
    <s v="01/11/23"/>
  </r>
  <r>
    <s v="TXN_6392993"/>
    <s v="CUST_25"/>
    <x v="1"/>
    <x v="64"/>
    <x v="8"/>
    <x v="0"/>
    <n v="290"/>
    <x v="1"/>
    <x v="0"/>
    <x v="326"/>
    <x v="0"/>
    <s v="DISCOUNT NOT ALLOWED"/>
    <s v="discount not allowed"/>
    <s v="DISCOUNT NOT ALLOWED"/>
    <s v="Discount Not Allowed"/>
    <s v="10/09/24"/>
  </r>
  <r>
    <s v="TXN_6609869"/>
    <s v="CUST_08"/>
    <x v="0"/>
    <x v="61"/>
    <x v="8"/>
    <x v="0"/>
    <n v="290"/>
    <x v="0"/>
    <x v="0"/>
    <x v="462"/>
    <x v="0"/>
    <s v="DISCOUNT NOT ALLOWED"/>
    <s v="discount not allowed"/>
    <s v="DISCOUNT NOT ALLOWED"/>
    <s v="Discount Not Allowed"/>
    <s v="02/11/24"/>
  </r>
  <r>
    <s v="TXN_7662986"/>
    <s v="CUST_12"/>
    <x v="5"/>
    <x v="67"/>
    <x v="8"/>
    <x v="0"/>
    <n v="290"/>
    <x v="0"/>
    <x v="1"/>
    <x v="459"/>
    <x v="1"/>
    <s v="DISCOUNT ALLOWED"/>
    <s v="discount allowed"/>
    <s v="DISCOUNT ALLOWED"/>
    <s v="Discount Allowed"/>
    <s v="08/01/23"/>
  </r>
  <r>
    <s v="TXN_8274832"/>
    <s v="CUST_10"/>
    <x v="6"/>
    <x v="62"/>
    <x v="8"/>
    <x v="0"/>
    <n v="290"/>
    <x v="0"/>
    <x v="0"/>
    <x v="463"/>
    <x v="1"/>
    <s v="DISCOUNT ALLOWED"/>
    <s v="discount allowed"/>
    <s v="DISCOUNT ALLOWED"/>
    <s v="Discount Allowed"/>
    <s v="22/02/22"/>
  </r>
  <r>
    <s v="TXN_9027424"/>
    <s v="CUST_14"/>
    <x v="2"/>
    <x v="68"/>
    <x v="8"/>
    <x v="0"/>
    <n v="290"/>
    <x v="0"/>
    <x v="0"/>
    <x v="464"/>
    <x v="1"/>
    <s v="DISCOUNT ALLOWED"/>
    <s v="discount allowed"/>
    <s v="DISCOUNT ALLOWED"/>
    <s v="Discount Allowed"/>
    <s v="13/01/22"/>
  </r>
  <r>
    <s v="TXN_9189148"/>
    <s v="CUST_15"/>
    <x v="3"/>
    <x v="65"/>
    <x v="8"/>
    <x v="0"/>
    <n v="290"/>
    <x v="0"/>
    <x v="0"/>
    <x v="318"/>
    <x v="0"/>
    <s v="DISCOUNT NOT ALLOWED"/>
    <s v="discount not allowed"/>
    <s v="DISCOUNT NOT ALLOWED"/>
    <s v="Discount Not Allowed"/>
    <s v="20/03/24"/>
  </r>
  <r>
    <s v="TXN_9650087"/>
    <s v="CUST_16"/>
    <x v="1"/>
    <x v="64"/>
    <x v="8"/>
    <x v="0"/>
    <n v="290"/>
    <x v="2"/>
    <x v="1"/>
    <x v="465"/>
    <x v="0"/>
    <s v="DISCOUNT NOT ALLOWED"/>
    <s v="discount not allowed"/>
    <s v="DISCOUNT NOT ALLOWED"/>
    <s v="Discount Not Allowed"/>
    <s v="22/08/22"/>
  </r>
  <r>
    <s v="TXN_9670800"/>
    <s v="CUST_19"/>
    <x v="1"/>
    <x v="64"/>
    <x v="8"/>
    <x v="0"/>
    <n v="290"/>
    <x v="0"/>
    <x v="1"/>
    <x v="466"/>
    <x v="1"/>
    <s v="DISCOUNT ALLOWED"/>
    <s v="discount allowed"/>
    <s v="DISCOUNT ALLOWED"/>
    <s v="Discount Allowed"/>
    <s v="28/06/24"/>
  </r>
  <r>
    <s v="TXN_1151406"/>
    <s v="CUST_04"/>
    <x v="3"/>
    <x v="46"/>
    <x v="6"/>
    <x v="1"/>
    <n v="288"/>
    <x v="0"/>
    <x v="0"/>
    <x v="467"/>
    <x v="1"/>
    <s v="DISCOUNT ALLOWED"/>
    <s v="discount allowed"/>
    <s v="DISCOUNT ALLOWED"/>
    <s v="Discount Allowed"/>
    <s v="18/05/22"/>
  </r>
  <r>
    <s v="TXN_2126258"/>
    <s v="CUST_06"/>
    <x v="0"/>
    <x v="47"/>
    <x v="6"/>
    <x v="1"/>
    <n v="288"/>
    <x v="2"/>
    <x v="1"/>
    <x v="173"/>
    <x v="1"/>
    <s v="DISCOUNT ALLOWED"/>
    <s v="discount allowed"/>
    <s v="DISCOUNT ALLOWED"/>
    <s v="Discount Allowed"/>
    <s v="17/11/23"/>
  </r>
  <r>
    <s v="TXN_3219067"/>
    <s v="CUST_14"/>
    <x v="0"/>
    <x v="47"/>
    <x v="6"/>
    <x v="1"/>
    <n v="288"/>
    <x v="1"/>
    <x v="1"/>
    <x v="90"/>
    <x v="0"/>
    <s v="DISCOUNT NOT ALLOWED"/>
    <s v="discount not allowed"/>
    <s v="DISCOUNT NOT ALLOWED"/>
    <s v="Discount Not Allowed"/>
    <s v="06/09/22"/>
  </r>
  <r>
    <s v="TXN_3601742"/>
    <s v="CUST_06"/>
    <x v="5"/>
    <x v="48"/>
    <x v="6"/>
    <x v="1"/>
    <n v="288"/>
    <x v="2"/>
    <x v="0"/>
    <x v="302"/>
    <x v="0"/>
    <s v="DISCOUNT NOT ALLOWED"/>
    <s v="discount not allowed"/>
    <s v="DISCOUNT NOT ALLOWED"/>
    <s v="Discount Not Allowed"/>
    <s v="05/11/22"/>
  </r>
  <r>
    <s v="TXN_3811380"/>
    <s v="CUST_23"/>
    <x v="0"/>
    <x v="47"/>
    <x v="6"/>
    <x v="1"/>
    <n v="288"/>
    <x v="0"/>
    <x v="0"/>
    <x v="46"/>
    <x v="1"/>
    <s v="DISCOUNT ALLOWED"/>
    <s v="discount allowed"/>
    <s v="DISCOUNT ALLOWED"/>
    <s v="Discount Allowed"/>
    <s v="24/04/24"/>
  </r>
  <r>
    <s v="TXN_4090288"/>
    <s v="CUST_01"/>
    <x v="0"/>
    <x v="47"/>
    <x v="6"/>
    <x v="1"/>
    <n v="288"/>
    <x v="1"/>
    <x v="1"/>
    <x v="375"/>
    <x v="1"/>
    <s v="DISCOUNT ALLOWED"/>
    <s v="discount allowed"/>
    <s v="DISCOUNT ALLOWED"/>
    <s v="Discount Allowed"/>
    <s v="02/07/22"/>
  </r>
  <r>
    <s v="TXN_4473345"/>
    <s v="CUST_22"/>
    <x v="0"/>
    <x v="47"/>
    <x v="6"/>
    <x v="1"/>
    <n v="288"/>
    <x v="2"/>
    <x v="0"/>
    <x v="283"/>
    <x v="0"/>
    <s v="DISCOUNT NOT ALLOWED"/>
    <s v="discount not allowed"/>
    <s v="DISCOUNT NOT ALLOWED"/>
    <s v="Discount Not Allowed"/>
    <s v="15/01/23"/>
  </r>
  <r>
    <s v="TXN_4637114"/>
    <s v="CUST_09"/>
    <x v="0"/>
    <x v="47"/>
    <x v="6"/>
    <x v="1"/>
    <n v="288"/>
    <x v="2"/>
    <x v="0"/>
    <x v="468"/>
    <x v="1"/>
    <s v="DISCOUNT ALLOWED"/>
    <s v="discount allowed"/>
    <s v="DISCOUNT ALLOWED"/>
    <s v="Discount Allowed"/>
    <s v="08/03/22"/>
  </r>
  <r>
    <s v="TXN_4824314"/>
    <s v="CUST_04"/>
    <x v="1"/>
    <x v="50"/>
    <x v="6"/>
    <x v="1"/>
    <n v="288"/>
    <x v="0"/>
    <x v="0"/>
    <x v="469"/>
    <x v="0"/>
    <s v="DISCOUNT NOT ALLOWED"/>
    <s v="discount not allowed"/>
    <s v="DISCOUNT NOT ALLOWED"/>
    <s v="Discount Not Allowed"/>
    <s v="29/11/23"/>
  </r>
  <r>
    <s v="TXN_5149243"/>
    <s v="CUST_07"/>
    <x v="0"/>
    <x v="47"/>
    <x v="6"/>
    <x v="1"/>
    <n v="288"/>
    <x v="1"/>
    <x v="0"/>
    <x v="470"/>
    <x v="0"/>
    <s v="DISCOUNT NOT ALLOWED"/>
    <s v="discount not allowed"/>
    <s v="DISCOUNT NOT ALLOWED"/>
    <s v="Discount Not Allowed"/>
    <s v="31/10/24"/>
  </r>
  <r>
    <s v="TXN_5472933"/>
    <s v="CUST_10"/>
    <x v="0"/>
    <x v="47"/>
    <x v="6"/>
    <x v="1"/>
    <n v="288"/>
    <x v="1"/>
    <x v="1"/>
    <x v="471"/>
    <x v="0"/>
    <s v="DISCOUNT NOT ALLOWED"/>
    <s v="discount not allowed"/>
    <s v="DISCOUNT NOT ALLOWED"/>
    <s v="Discount Not Allowed"/>
    <s v="12/05/22"/>
  </r>
  <r>
    <s v="TXN_5487046"/>
    <s v="CUST_22"/>
    <x v="6"/>
    <x v="49"/>
    <x v="6"/>
    <x v="1"/>
    <n v="288"/>
    <x v="1"/>
    <x v="0"/>
    <x v="346"/>
    <x v="0"/>
    <s v="DISCOUNT NOT ALLOWED"/>
    <s v="discount not allowed"/>
    <s v="DISCOUNT NOT ALLOWED"/>
    <s v="Discount Not Allowed"/>
    <s v="06/06/22"/>
  </r>
  <r>
    <s v="TXN_5600824"/>
    <s v="CUST_08"/>
    <x v="5"/>
    <x v="48"/>
    <x v="6"/>
    <x v="1"/>
    <n v="288"/>
    <x v="0"/>
    <x v="0"/>
    <x v="472"/>
    <x v="0"/>
    <s v="DISCOUNT NOT ALLOWED"/>
    <s v="discount not allowed"/>
    <s v="DISCOUNT NOT ALLOWED"/>
    <s v="Discount Not Allowed"/>
    <s v="29/10/23"/>
  </r>
  <r>
    <s v="TXN_6234282"/>
    <s v="CUST_20"/>
    <x v="0"/>
    <x v="47"/>
    <x v="6"/>
    <x v="1"/>
    <n v="288"/>
    <x v="0"/>
    <x v="0"/>
    <x v="394"/>
    <x v="0"/>
    <s v="DISCOUNT NOT ALLOWED"/>
    <s v="discount not allowed"/>
    <s v="DISCOUNT NOT ALLOWED"/>
    <s v="Discount Not Allowed"/>
    <s v="13/12/24"/>
  </r>
  <r>
    <s v="TXN_6634398"/>
    <s v="CUST_08"/>
    <x v="3"/>
    <x v="46"/>
    <x v="6"/>
    <x v="1"/>
    <n v="288"/>
    <x v="2"/>
    <x v="1"/>
    <x v="22"/>
    <x v="0"/>
    <s v="DISCOUNT NOT ALLOWED"/>
    <s v="discount not allowed"/>
    <s v="DISCOUNT NOT ALLOWED"/>
    <s v="Discount Not Allowed"/>
    <s v="24/01/24"/>
  </r>
  <r>
    <s v="TXN_6742452"/>
    <s v="CUST_23"/>
    <x v="3"/>
    <x v="46"/>
    <x v="6"/>
    <x v="1"/>
    <n v="288"/>
    <x v="2"/>
    <x v="1"/>
    <x v="348"/>
    <x v="0"/>
    <s v="DISCOUNT NOT ALLOWED"/>
    <s v="discount not allowed"/>
    <s v="DISCOUNT NOT ALLOWED"/>
    <s v="Discount Not Allowed"/>
    <s v="30/09/24"/>
  </r>
  <r>
    <s v="TXN_7390600"/>
    <s v="CUST_04"/>
    <x v="1"/>
    <x v="50"/>
    <x v="6"/>
    <x v="1"/>
    <n v="288"/>
    <x v="0"/>
    <x v="1"/>
    <x v="473"/>
    <x v="0"/>
    <s v="DISCOUNT NOT ALLOWED"/>
    <s v="discount not allowed"/>
    <s v="DISCOUNT NOT ALLOWED"/>
    <s v="Discount Not Allowed"/>
    <s v="02/12/24"/>
  </r>
  <r>
    <s v="TXN_7597485"/>
    <s v="CUST_14"/>
    <x v="0"/>
    <x v="47"/>
    <x v="6"/>
    <x v="1"/>
    <n v="288"/>
    <x v="2"/>
    <x v="0"/>
    <x v="474"/>
    <x v="1"/>
    <s v="DISCOUNT ALLOWED"/>
    <s v="discount allowed"/>
    <s v="DISCOUNT ALLOWED"/>
    <s v="Discount Allowed"/>
    <s v="24/02/23"/>
  </r>
  <r>
    <s v="TXN_7695164"/>
    <s v="CUST_04"/>
    <x v="6"/>
    <x v="49"/>
    <x v="6"/>
    <x v="1"/>
    <n v="288"/>
    <x v="2"/>
    <x v="0"/>
    <x v="475"/>
    <x v="1"/>
    <s v="DISCOUNT ALLOWED"/>
    <s v="discount allowed"/>
    <s v="DISCOUNT ALLOWED"/>
    <s v="Discount Allowed"/>
    <s v="03/09/24"/>
  </r>
  <r>
    <s v="TXN_7733378"/>
    <s v="CUST_10"/>
    <x v="6"/>
    <x v="49"/>
    <x v="6"/>
    <x v="1"/>
    <n v="288"/>
    <x v="2"/>
    <x v="1"/>
    <x v="476"/>
    <x v="0"/>
    <s v="DISCOUNT NOT ALLOWED"/>
    <s v="discount not allowed"/>
    <s v="DISCOUNT NOT ALLOWED"/>
    <s v="Discount Not Allowed"/>
    <s v="04/04/24"/>
  </r>
  <r>
    <s v="TXN_7887414"/>
    <s v="CUST_15"/>
    <x v="6"/>
    <x v="49"/>
    <x v="6"/>
    <x v="1"/>
    <n v="288"/>
    <x v="0"/>
    <x v="1"/>
    <x v="55"/>
    <x v="0"/>
    <s v="DISCOUNT NOT ALLOWED"/>
    <s v="discount not allowed"/>
    <s v="DISCOUNT NOT ALLOWED"/>
    <s v="Discount Not Allowed"/>
    <s v="26/05/23"/>
  </r>
  <r>
    <s v="TXN_8570954"/>
    <s v="CUST_16"/>
    <x v="5"/>
    <x v="48"/>
    <x v="6"/>
    <x v="1"/>
    <n v="288"/>
    <x v="1"/>
    <x v="1"/>
    <x v="330"/>
    <x v="1"/>
    <s v="DISCOUNT ALLOWED"/>
    <s v="discount allowed"/>
    <s v="DISCOUNT ALLOWED"/>
    <s v="Discount Allowed"/>
    <s v="23/04/24"/>
  </r>
  <r>
    <s v="TXN_8628627"/>
    <s v="CUST_16"/>
    <x v="5"/>
    <x v="48"/>
    <x v="6"/>
    <x v="1"/>
    <n v="288"/>
    <x v="2"/>
    <x v="0"/>
    <x v="61"/>
    <x v="0"/>
    <s v="DISCOUNT NOT ALLOWED"/>
    <s v="discount not allowed"/>
    <s v="DISCOUNT NOT ALLOWED"/>
    <s v="Discount Not Allowed"/>
    <s v="18/01/23"/>
  </r>
  <r>
    <s v="TXN_8775269"/>
    <s v="CUST_20"/>
    <x v="7"/>
    <x v="45"/>
    <x v="6"/>
    <x v="1"/>
    <n v="288"/>
    <x v="1"/>
    <x v="0"/>
    <x v="477"/>
    <x v="1"/>
    <s v="DISCOUNT ALLOWED"/>
    <s v="discount allowed"/>
    <s v="DISCOUNT ALLOWED"/>
    <s v="Discount Allowed"/>
    <s v="28/01/22"/>
  </r>
  <r>
    <s v="TXN_8782115"/>
    <s v="CUST_14"/>
    <x v="4"/>
    <x v="69"/>
    <x v="6"/>
    <x v="1"/>
    <n v="288"/>
    <x v="2"/>
    <x v="1"/>
    <x v="478"/>
    <x v="0"/>
    <s v="DISCOUNT NOT ALLOWED"/>
    <s v="discount not allowed"/>
    <s v="DISCOUNT NOT ALLOWED"/>
    <s v="Discount Not Allowed"/>
    <s v="28/11/23"/>
  </r>
  <r>
    <s v="TXN_1342283"/>
    <s v="CUST_06"/>
    <x v="4"/>
    <x v="4"/>
    <x v="0"/>
    <x v="3"/>
    <n v="287"/>
    <x v="1"/>
    <x v="0"/>
    <x v="479"/>
    <x v="0"/>
    <s v="DISCOUNT NOT ALLOWED"/>
    <s v="discount not allowed"/>
    <s v="DISCOUNT NOT ALLOWED"/>
    <s v="Discount Not Allowed"/>
    <s v="17/03/22"/>
  </r>
  <r>
    <s v="TXN_1767820"/>
    <s v="CUST_18"/>
    <x v="1"/>
    <x v="1"/>
    <x v="0"/>
    <x v="3"/>
    <n v="287"/>
    <x v="0"/>
    <x v="1"/>
    <x v="480"/>
    <x v="0"/>
    <s v="DISCOUNT NOT ALLOWED"/>
    <s v="discount not allowed"/>
    <s v="DISCOUNT NOT ALLOWED"/>
    <s v="Discount Not Allowed"/>
    <s v="17/01/25"/>
  </r>
  <r>
    <s v="TXN_1803828"/>
    <s v="CUST_03"/>
    <x v="4"/>
    <x v="4"/>
    <x v="0"/>
    <x v="3"/>
    <n v="287"/>
    <x v="0"/>
    <x v="0"/>
    <x v="481"/>
    <x v="1"/>
    <s v="DISCOUNT ALLOWED"/>
    <s v="discount allowed"/>
    <s v="DISCOUNT ALLOWED"/>
    <s v="Discount Allowed"/>
    <s v="20/11/22"/>
  </r>
  <r>
    <s v="TXN_2141766"/>
    <s v="CUST_07"/>
    <x v="5"/>
    <x v="5"/>
    <x v="0"/>
    <x v="3"/>
    <n v="287"/>
    <x v="1"/>
    <x v="1"/>
    <x v="482"/>
    <x v="1"/>
    <s v="DISCOUNT ALLOWED"/>
    <s v="discount allowed"/>
    <s v="DISCOUNT ALLOWED"/>
    <s v="Discount Allowed"/>
    <s v="03/03/23"/>
  </r>
  <r>
    <s v="TXN_2262639"/>
    <s v="CUST_23"/>
    <x v="2"/>
    <x v="2"/>
    <x v="0"/>
    <x v="3"/>
    <n v="287"/>
    <x v="1"/>
    <x v="1"/>
    <x v="483"/>
    <x v="1"/>
    <s v="DISCOUNT ALLOWED"/>
    <s v="discount allowed"/>
    <s v="DISCOUNT ALLOWED"/>
    <s v="Discount Allowed"/>
    <s v="13/12/23"/>
  </r>
  <r>
    <s v="TXN_2756377"/>
    <s v="CUST_15"/>
    <x v="4"/>
    <x v="4"/>
    <x v="0"/>
    <x v="3"/>
    <n v="287"/>
    <x v="1"/>
    <x v="1"/>
    <x v="484"/>
    <x v="0"/>
    <s v="DISCOUNT NOT ALLOWED"/>
    <s v="discount not allowed"/>
    <s v="DISCOUNT NOT ALLOWED"/>
    <s v="Discount Not Allowed"/>
    <s v="26/06/24"/>
  </r>
  <r>
    <s v="TXN_2766289"/>
    <s v="CUST_12"/>
    <x v="5"/>
    <x v="5"/>
    <x v="0"/>
    <x v="3"/>
    <n v="287"/>
    <x v="0"/>
    <x v="1"/>
    <x v="303"/>
    <x v="0"/>
    <s v="DISCOUNT NOT ALLOWED"/>
    <s v="discount not allowed"/>
    <s v="DISCOUNT NOT ALLOWED"/>
    <s v="Discount Not Allowed"/>
    <s v="22/12/24"/>
  </r>
  <r>
    <s v="TXN_2828079"/>
    <s v="CUST_24"/>
    <x v="4"/>
    <x v="4"/>
    <x v="0"/>
    <x v="3"/>
    <n v="287"/>
    <x v="1"/>
    <x v="1"/>
    <x v="485"/>
    <x v="1"/>
    <s v="DISCOUNT ALLOWED"/>
    <s v="discount allowed"/>
    <s v="DISCOUNT ALLOWED"/>
    <s v="Discount Allowed"/>
    <s v="05/01/23"/>
  </r>
  <r>
    <s v="TXN_2935001"/>
    <s v="CUST_25"/>
    <x v="5"/>
    <x v="5"/>
    <x v="0"/>
    <x v="3"/>
    <n v="287"/>
    <x v="1"/>
    <x v="1"/>
    <x v="384"/>
    <x v="1"/>
    <s v="DISCOUNT ALLOWED"/>
    <s v="discount allowed"/>
    <s v="DISCOUNT ALLOWED"/>
    <s v="Discount Allowed"/>
    <s v="12/11/24"/>
  </r>
  <r>
    <s v="TXN_3280390"/>
    <s v="CUST_02"/>
    <x v="5"/>
    <x v="5"/>
    <x v="0"/>
    <x v="3"/>
    <n v="287"/>
    <x v="1"/>
    <x v="1"/>
    <x v="486"/>
    <x v="0"/>
    <s v="DISCOUNT NOT ALLOWED"/>
    <s v="discount not allowed"/>
    <s v="DISCOUNT NOT ALLOWED"/>
    <s v="Discount Not Allowed"/>
    <s v="21/10/22"/>
  </r>
  <r>
    <s v="TXN_3457042"/>
    <s v="CUST_07"/>
    <x v="3"/>
    <x v="3"/>
    <x v="0"/>
    <x v="3"/>
    <n v="287"/>
    <x v="1"/>
    <x v="0"/>
    <x v="487"/>
    <x v="0"/>
    <s v="DISCOUNT NOT ALLOWED"/>
    <s v="discount not allowed"/>
    <s v="DISCOUNT NOT ALLOWED"/>
    <s v="Discount Not Allowed"/>
    <s v="06/02/22"/>
  </r>
  <r>
    <s v="TXN_3561701"/>
    <s v="CUST_02"/>
    <x v="4"/>
    <x v="4"/>
    <x v="0"/>
    <x v="3"/>
    <n v="287"/>
    <x v="2"/>
    <x v="1"/>
    <x v="488"/>
    <x v="0"/>
    <s v="DISCOUNT NOT ALLOWED"/>
    <s v="discount not allowed"/>
    <s v="DISCOUNT NOT ALLOWED"/>
    <s v="Discount Not Allowed"/>
    <s v="30/01/24"/>
  </r>
  <r>
    <s v="TXN_3614727"/>
    <s v="CUST_18"/>
    <x v="6"/>
    <x v="6"/>
    <x v="0"/>
    <x v="3"/>
    <n v="287"/>
    <x v="1"/>
    <x v="0"/>
    <x v="489"/>
    <x v="1"/>
    <s v="DISCOUNT ALLOWED"/>
    <s v="discount allowed"/>
    <s v="DISCOUNT ALLOWED"/>
    <s v="Discount Allowed"/>
    <s v="12/01/22"/>
  </r>
  <r>
    <s v="TXN_4111338"/>
    <s v="CUST_22"/>
    <x v="3"/>
    <x v="3"/>
    <x v="0"/>
    <x v="3"/>
    <n v="287"/>
    <x v="1"/>
    <x v="1"/>
    <x v="349"/>
    <x v="0"/>
    <s v="DISCOUNT NOT ALLOWED"/>
    <s v="discount not allowed"/>
    <s v="DISCOUNT NOT ALLOWED"/>
    <s v="Discount Not Allowed"/>
    <s v="04/09/24"/>
  </r>
  <r>
    <s v="TXN_4261151"/>
    <s v="CUST_04"/>
    <x v="1"/>
    <x v="1"/>
    <x v="0"/>
    <x v="3"/>
    <n v="287"/>
    <x v="2"/>
    <x v="0"/>
    <x v="74"/>
    <x v="1"/>
    <s v="DISCOUNT ALLOWED"/>
    <s v="discount allowed"/>
    <s v="DISCOUNT ALLOWED"/>
    <s v="Discount Allowed"/>
    <s v="27/11/22"/>
  </r>
  <r>
    <s v="TXN_4289411"/>
    <s v="CUST_10"/>
    <x v="3"/>
    <x v="3"/>
    <x v="0"/>
    <x v="3"/>
    <n v="287"/>
    <x v="2"/>
    <x v="1"/>
    <x v="490"/>
    <x v="1"/>
    <s v="DISCOUNT ALLOWED"/>
    <s v="discount allowed"/>
    <s v="DISCOUNT ALLOWED"/>
    <s v="Discount Allowed"/>
    <s v="13/11/24"/>
  </r>
  <r>
    <s v="TXN_6085136"/>
    <s v="CUST_12"/>
    <x v="4"/>
    <x v="4"/>
    <x v="0"/>
    <x v="3"/>
    <n v="287"/>
    <x v="2"/>
    <x v="0"/>
    <x v="491"/>
    <x v="1"/>
    <s v="DISCOUNT ALLOWED"/>
    <s v="discount allowed"/>
    <s v="DISCOUNT ALLOWED"/>
    <s v="Discount Allowed"/>
    <s v="01/01/23"/>
  </r>
  <r>
    <s v="TXN_6161762"/>
    <s v="CUST_03"/>
    <x v="5"/>
    <x v="5"/>
    <x v="0"/>
    <x v="3"/>
    <n v="287"/>
    <x v="0"/>
    <x v="1"/>
    <x v="123"/>
    <x v="1"/>
    <s v="DISCOUNT ALLOWED"/>
    <s v="discount allowed"/>
    <s v="DISCOUNT ALLOWED"/>
    <s v="Discount Allowed"/>
    <s v="14/01/23"/>
  </r>
  <r>
    <s v="TXN_6229496"/>
    <s v="CUST_15"/>
    <x v="7"/>
    <x v="7"/>
    <x v="0"/>
    <x v="3"/>
    <n v="287"/>
    <x v="0"/>
    <x v="1"/>
    <x v="492"/>
    <x v="0"/>
    <s v="DISCOUNT NOT ALLOWED"/>
    <s v="discount not allowed"/>
    <s v="DISCOUNT NOT ALLOWED"/>
    <s v="Discount Not Allowed"/>
    <s v="29/03/24"/>
  </r>
  <r>
    <s v="TXN_6398436"/>
    <s v="CUST_15"/>
    <x v="1"/>
    <x v="1"/>
    <x v="0"/>
    <x v="3"/>
    <n v="287"/>
    <x v="2"/>
    <x v="1"/>
    <x v="493"/>
    <x v="1"/>
    <s v="DISCOUNT ALLOWED"/>
    <s v="discount allowed"/>
    <s v="DISCOUNT ALLOWED"/>
    <s v="Discount Allowed"/>
    <s v="03/06/24"/>
  </r>
  <r>
    <s v="TXN_6486541"/>
    <s v="CUST_22"/>
    <x v="3"/>
    <x v="3"/>
    <x v="0"/>
    <x v="3"/>
    <n v="287"/>
    <x v="0"/>
    <x v="0"/>
    <x v="494"/>
    <x v="0"/>
    <s v="DISCOUNT NOT ALLOWED"/>
    <s v="discount not allowed"/>
    <s v="DISCOUNT NOT ALLOWED"/>
    <s v="Discount Not Allowed"/>
    <s v="29/09/23"/>
  </r>
  <r>
    <s v="TXN_6766893"/>
    <s v="CUST_02"/>
    <x v="2"/>
    <x v="2"/>
    <x v="0"/>
    <x v="3"/>
    <n v="287"/>
    <x v="1"/>
    <x v="1"/>
    <x v="378"/>
    <x v="0"/>
    <s v="DISCOUNT NOT ALLOWED"/>
    <s v="discount not allowed"/>
    <s v="DISCOUNT NOT ALLOWED"/>
    <s v="Discount Not Allowed"/>
    <s v="29/04/23"/>
  </r>
  <r>
    <s v="TXN_7446701"/>
    <s v="CUST_01"/>
    <x v="2"/>
    <x v="2"/>
    <x v="0"/>
    <x v="3"/>
    <n v="287"/>
    <x v="0"/>
    <x v="0"/>
    <x v="201"/>
    <x v="1"/>
    <s v="DISCOUNT ALLOWED"/>
    <s v="discount allowed"/>
    <s v="DISCOUNT ALLOWED"/>
    <s v="Discount Allowed"/>
    <s v="25/04/23"/>
  </r>
  <r>
    <s v="TXN_7856877"/>
    <s v="CUST_12"/>
    <x v="2"/>
    <x v="2"/>
    <x v="0"/>
    <x v="3"/>
    <n v="287"/>
    <x v="1"/>
    <x v="0"/>
    <x v="119"/>
    <x v="1"/>
    <s v="DISCOUNT ALLOWED"/>
    <s v="discount allowed"/>
    <s v="DISCOUNT ALLOWED"/>
    <s v="Discount Allowed"/>
    <s v="24/12/23"/>
  </r>
  <r>
    <s v="TXN_8335588"/>
    <s v="CUST_25"/>
    <x v="5"/>
    <x v="5"/>
    <x v="0"/>
    <x v="3"/>
    <n v="287"/>
    <x v="1"/>
    <x v="0"/>
    <x v="495"/>
    <x v="1"/>
    <s v="DISCOUNT ALLOWED"/>
    <s v="discount allowed"/>
    <s v="DISCOUNT ALLOWED"/>
    <s v="Discount Allowed"/>
    <s v="02/02/22"/>
  </r>
  <r>
    <s v="TXN_8445231"/>
    <s v="CUST_03"/>
    <x v="4"/>
    <x v="4"/>
    <x v="0"/>
    <x v="3"/>
    <n v="287"/>
    <x v="2"/>
    <x v="1"/>
    <x v="173"/>
    <x v="1"/>
    <s v="DISCOUNT ALLOWED"/>
    <s v="discount allowed"/>
    <s v="DISCOUNT ALLOWED"/>
    <s v="Discount Allowed"/>
    <s v="17/11/23"/>
  </r>
  <r>
    <s v="TXN_8517307"/>
    <s v="CUST_17"/>
    <x v="7"/>
    <x v="7"/>
    <x v="0"/>
    <x v="3"/>
    <n v="287"/>
    <x v="2"/>
    <x v="1"/>
    <x v="374"/>
    <x v="0"/>
    <s v="DISCOUNT NOT ALLOWED"/>
    <s v="discount not allowed"/>
    <s v="DISCOUNT NOT ALLOWED"/>
    <s v="Discount Not Allowed"/>
    <s v="04/10/24"/>
  </r>
  <r>
    <s v="TXN_8551130"/>
    <s v="CUST_19"/>
    <x v="2"/>
    <x v="2"/>
    <x v="0"/>
    <x v="3"/>
    <n v="287"/>
    <x v="1"/>
    <x v="0"/>
    <x v="496"/>
    <x v="1"/>
    <s v="DISCOUNT ALLOWED"/>
    <s v="discount allowed"/>
    <s v="DISCOUNT ALLOWED"/>
    <s v="Discount Allowed"/>
    <s v="23/03/22"/>
  </r>
  <r>
    <s v="TXN_9255329"/>
    <s v="CUST_01"/>
    <x v="2"/>
    <x v="2"/>
    <x v="0"/>
    <x v="3"/>
    <n v="287"/>
    <x v="0"/>
    <x v="1"/>
    <x v="329"/>
    <x v="0"/>
    <s v="DISCOUNT NOT ALLOWED"/>
    <s v="discount not allowed"/>
    <s v="DISCOUNT NOT ALLOWED"/>
    <s v="Discount Not Allowed"/>
    <s v="02/03/22"/>
  </r>
  <r>
    <s v="TXN_9870820"/>
    <s v="CUST_21"/>
    <x v="5"/>
    <x v="5"/>
    <x v="0"/>
    <x v="3"/>
    <n v="287"/>
    <x v="1"/>
    <x v="1"/>
    <x v="497"/>
    <x v="1"/>
    <s v="DISCOUNT ALLOWED"/>
    <s v="discount allowed"/>
    <s v="DISCOUNT ALLOWED"/>
    <s v="Discount Allowed"/>
    <s v="18/08/23"/>
  </r>
  <r>
    <s v="TXN_1264844"/>
    <s v="CUST_10"/>
    <x v="5"/>
    <x v="35"/>
    <x v="4"/>
    <x v="2"/>
    <n v="280"/>
    <x v="2"/>
    <x v="1"/>
    <x v="498"/>
    <x v="1"/>
    <s v="DISCOUNT ALLOWED"/>
    <s v="discount allowed"/>
    <s v="DISCOUNT ALLOWED"/>
    <s v="Discount Allowed"/>
    <s v="19/08/22"/>
  </r>
  <r>
    <s v="TXN_1291675"/>
    <s v="CUST_22"/>
    <x v="6"/>
    <x v="33"/>
    <x v="4"/>
    <x v="2"/>
    <n v="280"/>
    <x v="2"/>
    <x v="0"/>
    <x v="499"/>
    <x v="0"/>
    <s v="DISCOUNT NOT ALLOWED"/>
    <s v="discount not allowed"/>
    <s v="DISCOUNT NOT ALLOWED"/>
    <s v="Discount Not Allowed"/>
    <s v="12/04/22"/>
  </r>
  <r>
    <s v="TXN_1387779"/>
    <s v="CUST_16"/>
    <x v="4"/>
    <x v="36"/>
    <x v="4"/>
    <x v="2"/>
    <n v="280"/>
    <x v="1"/>
    <x v="0"/>
    <x v="176"/>
    <x v="1"/>
    <s v="DISCOUNT ALLOWED"/>
    <s v="discount allowed"/>
    <s v="DISCOUNT ALLOWED"/>
    <s v="Discount Allowed"/>
    <s v="01/02/24"/>
  </r>
  <r>
    <s v="TXN_1512299"/>
    <s v="CUST_21"/>
    <x v="2"/>
    <x v="32"/>
    <x v="4"/>
    <x v="2"/>
    <n v="280"/>
    <x v="2"/>
    <x v="1"/>
    <x v="500"/>
    <x v="1"/>
    <s v="DISCOUNT ALLOWED"/>
    <s v="discount allowed"/>
    <s v="DISCOUNT ALLOWED"/>
    <s v="Discount Allowed"/>
    <s v="16/06/23"/>
  </r>
  <r>
    <s v="TXN_1712389"/>
    <s v="CUST_16"/>
    <x v="1"/>
    <x v="34"/>
    <x v="4"/>
    <x v="2"/>
    <n v="280"/>
    <x v="2"/>
    <x v="0"/>
    <x v="501"/>
    <x v="1"/>
    <s v="DISCOUNT ALLOWED"/>
    <s v="discount allowed"/>
    <s v="DISCOUNT ALLOWED"/>
    <s v="Discount Allowed"/>
    <s v="27/10/22"/>
  </r>
  <r>
    <s v="TXN_1727861"/>
    <s v="CUST_08"/>
    <x v="4"/>
    <x v="36"/>
    <x v="4"/>
    <x v="2"/>
    <n v="280"/>
    <x v="2"/>
    <x v="1"/>
    <x v="88"/>
    <x v="1"/>
    <s v="DISCOUNT ALLOWED"/>
    <s v="discount allowed"/>
    <s v="DISCOUNT ALLOWED"/>
    <s v="Discount Allowed"/>
    <s v="31/12/22"/>
  </r>
  <r>
    <s v="TXN_1838690"/>
    <s v="CUST_20"/>
    <x v="2"/>
    <x v="32"/>
    <x v="4"/>
    <x v="2"/>
    <n v="280"/>
    <x v="1"/>
    <x v="0"/>
    <x v="502"/>
    <x v="1"/>
    <s v="DISCOUNT ALLOWED"/>
    <s v="discount allowed"/>
    <s v="DISCOUNT ALLOWED"/>
    <s v="Discount Allowed"/>
    <s v="20/09/24"/>
  </r>
  <r>
    <s v="TXN_2272691"/>
    <s v="CUST_05"/>
    <x v="4"/>
    <x v="36"/>
    <x v="4"/>
    <x v="2"/>
    <n v="280"/>
    <x v="2"/>
    <x v="0"/>
    <x v="503"/>
    <x v="1"/>
    <s v="DISCOUNT ALLOWED"/>
    <s v="discount allowed"/>
    <s v="DISCOUNT ALLOWED"/>
    <s v="Discount Allowed"/>
    <s v="16/08/22"/>
  </r>
  <r>
    <s v="TXN_2730739"/>
    <s v="CUST_22"/>
    <x v="2"/>
    <x v="32"/>
    <x v="4"/>
    <x v="2"/>
    <n v="280"/>
    <x v="0"/>
    <x v="1"/>
    <x v="504"/>
    <x v="1"/>
    <s v="DISCOUNT ALLOWED"/>
    <s v="discount allowed"/>
    <s v="DISCOUNT ALLOWED"/>
    <s v="Discount Allowed"/>
    <s v="12/02/22"/>
  </r>
  <r>
    <s v="TXN_2896400"/>
    <s v="CUST_12"/>
    <x v="1"/>
    <x v="34"/>
    <x v="4"/>
    <x v="2"/>
    <n v="280"/>
    <x v="2"/>
    <x v="0"/>
    <x v="505"/>
    <x v="1"/>
    <s v="DISCOUNT ALLOWED"/>
    <s v="discount allowed"/>
    <s v="DISCOUNT ALLOWED"/>
    <s v="Discount Allowed"/>
    <s v="13/04/24"/>
  </r>
  <r>
    <s v="TXN_2982700"/>
    <s v="CUST_03"/>
    <x v="6"/>
    <x v="33"/>
    <x v="4"/>
    <x v="2"/>
    <n v="280"/>
    <x v="0"/>
    <x v="1"/>
    <x v="506"/>
    <x v="0"/>
    <s v="DISCOUNT NOT ALLOWED"/>
    <s v="discount not allowed"/>
    <s v="DISCOUNT NOT ALLOWED"/>
    <s v="Discount Not Allowed"/>
    <s v="09/10/22"/>
  </r>
  <r>
    <s v="TXN_3054684"/>
    <s v="CUST_06"/>
    <x v="2"/>
    <x v="32"/>
    <x v="4"/>
    <x v="2"/>
    <n v="280"/>
    <x v="0"/>
    <x v="1"/>
    <x v="507"/>
    <x v="1"/>
    <s v="DISCOUNT ALLOWED"/>
    <s v="discount allowed"/>
    <s v="DISCOUNT ALLOWED"/>
    <s v="Discount Allowed"/>
    <s v="30/12/24"/>
  </r>
  <r>
    <s v="TXN_3290440"/>
    <s v="CUST_04"/>
    <x v="3"/>
    <x v="52"/>
    <x v="4"/>
    <x v="2"/>
    <n v="280"/>
    <x v="2"/>
    <x v="1"/>
    <x v="400"/>
    <x v="1"/>
    <s v="DISCOUNT ALLOWED"/>
    <s v="discount allowed"/>
    <s v="DISCOUNT ALLOWED"/>
    <s v="Discount Allowed"/>
    <s v="27/09/24"/>
  </r>
  <r>
    <s v="TXN_3681075"/>
    <s v="CUST_22"/>
    <x v="3"/>
    <x v="52"/>
    <x v="4"/>
    <x v="2"/>
    <n v="280"/>
    <x v="1"/>
    <x v="1"/>
    <x v="508"/>
    <x v="1"/>
    <s v="DISCOUNT ALLOWED"/>
    <s v="discount allowed"/>
    <s v="DISCOUNT ALLOWED"/>
    <s v="Discount Allowed"/>
    <s v="01/06/22"/>
  </r>
  <r>
    <s v="TXN_3794764"/>
    <s v="CUST_17"/>
    <x v="3"/>
    <x v="52"/>
    <x v="4"/>
    <x v="2"/>
    <n v="280"/>
    <x v="2"/>
    <x v="0"/>
    <x v="509"/>
    <x v="1"/>
    <s v="DISCOUNT ALLOWED"/>
    <s v="discount allowed"/>
    <s v="DISCOUNT ALLOWED"/>
    <s v="Discount Allowed"/>
    <s v="14/09/23"/>
  </r>
  <r>
    <s v="TXN_3903796"/>
    <s v="CUST_03"/>
    <x v="2"/>
    <x v="32"/>
    <x v="4"/>
    <x v="2"/>
    <n v="280"/>
    <x v="2"/>
    <x v="0"/>
    <x v="435"/>
    <x v="0"/>
    <s v="DISCOUNT NOT ALLOWED"/>
    <s v="discount not allowed"/>
    <s v="DISCOUNT NOT ALLOWED"/>
    <s v="Discount Not Allowed"/>
    <s v="26/10/23"/>
  </r>
  <r>
    <s v="TXN_3950585"/>
    <s v="CUST_18"/>
    <x v="1"/>
    <x v="34"/>
    <x v="4"/>
    <x v="2"/>
    <n v="280"/>
    <x v="2"/>
    <x v="0"/>
    <x v="510"/>
    <x v="1"/>
    <s v="DISCOUNT ALLOWED"/>
    <s v="discount allowed"/>
    <s v="DISCOUNT ALLOWED"/>
    <s v="Discount Allowed"/>
    <s v="14/02/23"/>
  </r>
  <r>
    <s v="TXN_3961169"/>
    <s v="CUST_13"/>
    <x v="2"/>
    <x v="32"/>
    <x v="4"/>
    <x v="2"/>
    <n v="280"/>
    <x v="1"/>
    <x v="1"/>
    <x v="511"/>
    <x v="1"/>
    <s v="DISCOUNT ALLOWED"/>
    <s v="discount allowed"/>
    <s v="DISCOUNT ALLOWED"/>
    <s v="Discount Allowed"/>
    <s v="16/11/22"/>
  </r>
  <r>
    <s v="TXN_4078421"/>
    <s v="CUST_04"/>
    <x v="6"/>
    <x v="33"/>
    <x v="4"/>
    <x v="2"/>
    <n v="280"/>
    <x v="2"/>
    <x v="0"/>
    <x v="512"/>
    <x v="0"/>
    <s v="DISCOUNT NOT ALLOWED"/>
    <s v="discount not allowed"/>
    <s v="DISCOUNT NOT ALLOWED"/>
    <s v="Discount Not Allowed"/>
    <s v="24/06/22"/>
  </r>
  <r>
    <s v="TXN_4108031"/>
    <s v="CUST_22"/>
    <x v="6"/>
    <x v="33"/>
    <x v="4"/>
    <x v="2"/>
    <n v="280"/>
    <x v="0"/>
    <x v="1"/>
    <x v="513"/>
    <x v="0"/>
    <s v="DISCOUNT NOT ALLOWED"/>
    <s v="discount not allowed"/>
    <s v="DISCOUNT NOT ALLOWED"/>
    <s v="Discount Not Allowed"/>
    <s v="01/07/24"/>
  </r>
  <r>
    <s v="TXN_4585670"/>
    <s v="CUST_03"/>
    <x v="4"/>
    <x v="36"/>
    <x v="4"/>
    <x v="2"/>
    <n v="280"/>
    <x v="0"/>
    <x v="0"/>
    <x v="514"/>
    <x v="1"/>
    <s v="DISCOUNT ALLOWED"/>
    <s v="discount allowed"/>
    <s v="DISCOUNT ALLOWED"/>
    <s v="Discount Allowed"/>
    <s v="28/05/22"/>
  </r>
  <r>
    <s v="TXN_4837535"/>
    <s v="CUST_16"/>
    <x v="3"/>
    <x v="52"/>
    <x v="4"/>
    <x v="2"/>
    <n v="280"/>
    <x v="1"/>
    <x v="0"/>
    <x v="515"/>
    <x v="1"/>
    <s v="DISCOUNT ALLOWED"/>
    <s v="discount allowed"/>
    <s v="DISCOUNT ALLOWED"/>
    <s v="Discount Allowed"/>
    <s v="16/01/25"/>
  </r>
  <r>
    <s v="TXN_5513008"/>
    <s v="CUST_11"/>
    <x v="6"/>
    <x v="33"/>
    <x v="4"/>
    <x v="2"/>
    <n v="280"/>
    <x v="2"/>
    <x v="1"/>
    <x v="402"/>
    <x v="0"/>
    <s v="DISCOUNT NOT ALLOWED"/>
    <s v="discount not allowed"/>
    <s v="DISCOUNT NOT ALLOWED"/>
    <s v="Discount Not Allowed"/>
    <s v="07/09/23"/>
  </r>
  <r>
    <s v="TXN_5604451"/>
    <s v="CUST_08"/>
    <x v="4"/>
    <x v="36"/>
    <x v="4"/>
    <x v="2"/>
    <n v="280"/>
    <x v="1"/>
    <x v="1"/>
    <x v="516"/>
    <x v="1"/>
    <s v="DISCOUNT ALLOWED"/>
    <s v="discount allowed"/>
    <s v="DISCOUNT ALLOWED"/>
    <s v="Discount Allowed"/>
    <s v="28/12/23"/>
  </r>
  <r>
    <s v="TXN_5700967"/>
    <s v="CUST_08"/>
    <x v="2"/>
    <x v="32"/>
    <x v="4"/>
    <x v="2"/>
    <n v="280"/>
    <x v="1"/>
    <x v="0"/>
    <x v="149"/>
    <x v="1"/>
    <s v="DISCOUNT ALLOWED"/>
    <s v="discount allowed"/>
    <s v="DISCOUNT ALLOWED"/>
    <s v="Discount Allowed"/>
    <s v="13/06/22"/>
  </r>
  <r>
    <s v="TXN_5923084"/>
    <s v="CUST_10"/>
    <x v="2"/>
    <x v="32"/>
    <x v="4"/>
    <x v="2"/>
    <n v="280"/>
    <x v="0"/>
    <x v="1"/>
    <x v="196"/>
    <x v="0"/>
    <s v="DISCOUNT NOT ALLOWED"/>
    <s v="discount not allowed"/>
    <s v="DISCOUNT NOT ALLOWED"/>
    <s v="Discount Not Allowed"/>
    <s v="11/12/22"/>
  </r>
  <r>
    <s v="TXN_6224018"/>
    <s v="CUST_09"/>
    <x v="4"/>
    <x v="36"/>
    <x v="4"/>
    <x v="2"/>
    <n v="280"/>
    <x v="2"/>
    <x v="0"/>
    <x v="401"/>
    <x v="1"/>
    <s v="DISCOUNT ALLOWED"/>
    <s v="discount allowed"/>
    <s v="DISCOUNT ALLOWED"/>
    <s v="Discount Allowed"/>
    <s v="25/08/23"/>
  </r>
  <r>
    <s v="TXN_6263624"/>
    <s v="CUST_21"/>
    <x v="5"/>
    <x v="35"/>
    <x v="4"/>
    <x v="2"/>
    <n v="280"/>
    <x v="0"/>
    <x v="0"/>
    <x v="469"/>
    <x v="0"/>
    <s v="DISCOUNT NOT ALLOWED"/>
    <s v="discount not allowed"/>
    <s v="DISCOUNT NOT ALLOWED"/>
    <s v="Discount Not Allowed"/>
    <s v="29/11/23"/>
  </r>
  <r>
    <s v="TXN_6288602"/>
    <s v="CUST_12"/>
    <x v="3"/>
    <x v="52"/>
    <x v="4"/>
    <x v="2"/>
    <n v="280"/>
    <x v="2"/>
    <x v="1"/>
    <x v="478"/>
    <x v="1"/>
    <s v="DISCOUNT ALLOWED"/>
    <s v="discount allowed"/>
    <s v="DISCOUNT ALLOWED"/>
    <s v="Discount Allowed"/>
    <s v="28/11/23"/>
  </r>
  <r>
    <s v="TXN_6501326"/>
    <s v="CUST_05"/>
    <x v="1"/>
    <x v="34"/>
    <x v="4"/>
    <x v="2"/>
    <n v="280"/>
    <x v="0"/>
    <x v="0"/>
    <x v="260"/>
    <x v="0"/>
    <s v="DISCOUNT NOT ALLOWED"/>
    <s v="discount not allowed"/>
    <s v="DISCOUNT NOT ALLOWED"/>
    <s v="Discount Not Allowed"/>
    <s v="04/07/23"/>
  </r>
  <r>
    <s v="TXN_6570351"/>
    <s v="CUST_15"/>
    <x v="2"/>
    <x v="32"/>
    <x v="4"/>
    <x v="2"/>
    <n v="280"/>
    <x v="2"/>
    <x v="0"/>
    <x v="517"/>
    <x v="1"/>
    <s v="DISCOUNT ALLOWED"/>
    <s v="discount allowed"/>
    <s v="DISCOUNT ALLOWED"/>
    <s v="Discount Allowed"/>
    <s v="25/06/23"/>
  </r>
  <r>
    <s v="TXN_7182787"/>
    <s v="CUST_03"/>
    <x v="3"/>
    <x v="52"/>
    <x v="4"/>
    <x v="2"/>
    <n v="280"/>
    <x v="1"/>
    <x v="1"/>
    <x v="518"/>
    <x v="1"/>
    <s v="DISCOUNT ALLOWED"/>
    <s v="discount allowed"/>
    <s v="DISCOUNT ALLOWED"/>
    <s v="Discount Allowed"/>
    <s v="04/09/23"/>
  </r>
  <r>
    <s v="TXN_7279836"/>
    <s v="CUST_04"/>
    <x v="4"/>
    <x v="36"/>
    <x v="4"/>
    <x v="2"/>
    <n v="280"/>
    <x v="1"/>
    <x v="0"/>
    <x v="519"/>
    <x v="1"/>
    <s v="DISCOUNT ALLOWED"/>
    <s v="discount allowed"/>
    <s v="DISCOUNT ALLOWED"/>
    <s v="Discount Allowed"/>
    <s v="08/03/23"/>
  </r>
  <r>
    <s v="TXN_7655704"/>
    <s v="CUST_11"/>
    <x v="6"/>
    <x v="33"/>
    <x v="4"/>
    <x v="2"/>
    <n v="280"/>
    <x v="0"/>
    <x v="0"/>
    <x v="520"/>
    <x v="1"/>
    <s v="DISCOUNT ALLOWED"/>
    <s v="discount allowed"/>
    <s v="DISCOUNT ALLOWED"/>
    <s v="Discount Allowed"/>
    <s v="08/08/22"/>
  </r>
  <r>
    <s v="TXN_8616546"/>
    <s v="CUST_09"/>
    <x v="1"/>
    <x v="34"/>
    <x v="4"/>
    <x v="2"/>
    <n v="280"/>
    <x v="2"/>
    <x v="0"/>
    <x v="1"/>
    <x v="1"/>
    <s v="DISCOUNT ALLOWED"/>
    <s v="discount allowed"/>
    <s v="DISCOUNT ALLOWED"/>
    <s v="Discount Allowed"/>
    <s v="01/04/23"/>
  </r>
  <r>
    <s v="TXN_8867982"/>
    <s v="CUST_18"/>
    <x v="4"/>
    <x v="36"/>
    <x v="4"/>
    <x v="2"/>
    <n v="280"/>
    <x v="2"/>
    <x v="0"/>
    <x v="521"/>
    <x v="0"/>
    <s v="DISCOUNT NOT ALLOWED"/>
    <s v="discount not allowed"/>
    <s v="DISCOUNT NOT ALLOWED"/>
    <s v="Discount Not Allowed"/>
    <s v="01/11/22"/>
  </r>
  <r>
    <s v="TXN_8918509"/>
    <s v="CUST_14"/>
    <x v="3"/>
    <x v="52"/>
    <x v="4"/>
    <x v="2"/>
    <n v="280"/>
    <x v="0"/>
    <x v="0"/>
    <x v="293"/>
    <x v="0"/>
    <s v="DISCOUNT NOT ALLOWED"/>
    <s v="discount not allowed"/>
    <s v="DISCOUNT NOT ALLOWED"/>
    <s v="Discount Not Allowed"/>
    <s v="16/08/24"/>
  </r>
  <r>
    <s v="TXN_9200603"/>
    <s v="CUST_08"/>
    <x v="1"/>
    <x v="34"/>
    <x v="4"/>
    <x v="2"/>
    <n v="280"/>
    <x v="0"/>
    <x v="1"/>
    <x v="196"/>
    <x v="1"/>
    <s v="DISCOUNT ALLOWED"/>
    <s v="discount allowed"/>
    <s v="DISCOUNT ALLOWED"/>
    <s v="Discount Allowed"/>
    <s v="11/12/22"/>
  </r>
  <r>
    <s v="TXN_9778912"/>
    <s v="CUST_14"/>
    <x v="5"/>
    <x v="35"/>
    <x v="4"/>
    <x v="2"/>
    <n v="280"/>
    <x v="2"/>
    <x v="0"/>
    <x v="522"/>
    <x v="0"/>
    <s v="DISCOUNT NOT ALLOWED"/>
    <s v="discount not allowed"/>
    <s v="DISCOUNT NOT ALLOWED"/>
    <s v="Discount Not Allowed"/>
    <s v="27/08/24"/>
  </r>
  <r>
    <s v="TXN_9867587"/>
    <s v="CUST_04"/>
    <x v="4"/>
    <x v="36"/>
    <x v="4"/>
    <x v="2"/>
    <n v="280"/>
    <x v="0"/>
    <x v="1"/>
    <x v="188"/>
    <x v="1"/>
    <s v="DISCOUNT ALLOWED"/>
    <s v="discount allowed"/>
    <s v="DISCOUNT ALLOWED"/>
    <s v="Discount Allowed"/>
    <s v="14/12/23"/>
  </r>
  <r>
    <s v="TXN_1417704"/>
    <s v="CUST_12"/>
    <x v="7"/>
    <x v="10"/>
    <x v="1"/>
    <x v="3"/>
    <n v="276.5"/>
    <x v="0"/>
    <x v="0"/>
    <x v="523"/>
    <x v="1"/>
    <s v="DISCOUNT ALLOWED"/>
    <s v="discount allowed"/>
    <s v="DISCOUNT ALLOWED"/>
    <s v="Discount Allowed"/>
    <s v="02/02/24"/>
  </r>
  <r>
    <s v="TXN_1919804"/>
    <s v="CUST_20"/>
    <x v="3"/>
    <x v="12"/>
    <x v="1"/>
    <x v="3"/>
    <n v="276.5"/>
    <x v="1"/>
    <x v="1"/>
    <x v="438"/>
    <x v="1"/>
    <s v="DISCOUNT ALLOWED"/>
    <s v="discount allowed"/>
    <s v="DISCOUNT ALLOWED"/>
    <s v="Discount Allowed"/>
    <s v="11/01/22"/>
  </r>
  <r>
    <s v="TXN_2080115"/>
    <s v="CUST_18"/>
    <x v="3"/>
    <x v="12"/>
    <x v="1"/>
    <x v="3"/>
    <n v="276.5"/>
    <x v="1"/>
    <x v="0"/>
    <x v="524"/>
    <x v="1"/>
    <s v="DISCOUNT ALLOWED"/>
    <s v="discount allowed"/>
    <s v="DISCOUNT ALLOWED"/>
    <s v="Discount Allowed"/>
    <s v="05/01/24"/>
  </r>
  <r>
    <s v="TXN_3046542"/>
    <s v="CUST_03"/>
    <x v="2"/>
    <x v="9"/>
    <x v="1"/>
    <x v="3"/>
    <n v="276.5"/>
    <x v="0"/>
    <x v="0"/>
    <x v="58"/>
    <x v="0"/>
    <s v="DISCOUNT NOT ALLOWED"/>
    <s v="discount not allowed"/>
    <s v="DISCOUNT NOT ALLOWED"/>
    <s v="Discount Not Allowed"/>
    <s v="09/04/24"/>
  </r>
  <r>
    <s v="TXN_3134220"/>
    <s v="CUST_04"/>
    <x v="1"/>
    <x v="8"/>
    <x v="1"/>
    <x v="3"/>
    <n v="276.5"/>
    <x v="1"/>
    <x v="1"/>
    <x v="514"/>
    <x v="1"/>
    <s v="DISCOUNT ALLOWED"/>
    <s v="discount allowed"/>
    <s v="DISCOUNT ALLOWED"/>
    <s v="Discount Allowed"/>
    <s v="28/05/22"/>
  </r>
  <r>
    <s v="TXN_3499166"/>
    <s v="CUST_05"/>
    <x v="1"/>
    <x v="8"/>
    <x v="1"/>
    <x v="3"/>
    <n v="276.5"/>
    <x v="0"/>
    <x v="1"/>
    <x v="457"/>
    <x v="0"/>
    <s v="DISCOUNT NOT ALLOWED"/>
    <s v="discount not allowed"/>
    <s v="DISCOUNT NOT ALLOWED"/>
    <s v="Discount Not Allowed"/>
    <s v="21/01/22"/>
  </r>
  <r>
    <s v="TXN_3775360"/>
    <s v="CUST_04"/>
    <x v="1"/>
    <x v="8"/>
    <x v="1"/>
    <x v="3"/>
    <n v="276.5"/>
    <x v="1"/>
    <x v="1"/>
    <x v="263"/>
    <x v="1"/>
    <s v="DISCOUNT ALLOWED"/>
    <s v="discount allowed"/>
    <s v="DISCOUNT ALLOWED"/>
    <s v="Discount Allowed"/>
    <s v="09/06/24"/>
  </r>
  <r>
    <s v="TXN_4215624"/>
    <s v="CUST_14"/>
    <x v="4"/>
    <x v="11"/>
    <x v="1"/>
    <x v="3"/>
    <n v="276.5"/>
    <x v="1"/>
    <x v="0"/>
    <x v="443"/>
    <x v="0"/>
    <s v="DISCOUNT NOT ALLOWED"/>
    <s v="discount not allowed"/>
    <s v="DISCOUNT NOT ALLOWED"/>
    <s v="Discount Not Allowed"/>
    <s v="28/02/24"/>
  </r>
  <r>
    <s v="TXN_4509243"/>
    <s v="CUST_20"/>
    <x v="2"/>
    <x v="9"/>
    <x v="1"/>
    <x v="3"/>
    <n v="276.5"/>
    <x v="1"/>
    <x v="1"/>
    <x v="325"/>
    <x v="1"/>
    <s v="DISCOUNT ALLOWED"/>
    <s v="discount allowed"/>
    <s v="DISCOUNT ALLOWED"/>
    <s v="Discount Allowed"/>
    <s v="17/02/22"/>
  </r>
  <r>
    <s v="TXN_4909656"/>
    <s v="CUST_23"/>
    <x v="0"/>
    <x v="14"/>
    <x v="1"/>
    <x v="3"/>
    <n v="276.5"/>
    <x v="2"/>
    <x v="1"/>
    <x v="357"/>
    <x v="1"/>
    <s v="DISCOUNT ALLOWED"/>
    <s v="discount allowed"/>
    <s v="DISCOUNT ALLOWED"/>
    <s v="Discount Allowed"/>
    <s v="09/07/23"/>
  </r>
  <r>
    <s v="TXN_5300736"/>
    <s v="CUST_02"/>
    <x v="2"/>
    <x v="9"/>
    <x v="1"/>
    <x v="3"/>
    <n v="276.5"/>
    <x v="1"/>
    <x v="1"/>
    <x v="525"/>
    <x v="1"/>
    <s v="DISCOUNT ALLOWED"/>
    <s v="discount allowed"/>
    <s v="DISCOUNT ALLOWED"/>
    <s v="Discount Allowed"/>
    <s v="17/07/22"/>
  </r>
  <r>
    <s v="TXN_5627047"/>
    <s v="CUST_16"/>
    <x v="3"/>
    <x v="12"/>
    <x v="1"/>
    <x v="3"/>
    <n v="276.5"/>
    <x v="1"/>
    <x v="0"/>
    <x v="487"/>
    <x v="1"/>
    <s v="DISCOUNT ALLOWED"/>
    <s v="discount allowed"/>
    <s v="DISCOUNT ALLOWED"/>
    <s v="Discount Allowed"/>
    <s v="06/02/22"/>
  </r>
  <r>
    <s v="TXN_5630572"/>
    <s v="CUST_04"/>
    <x v="7"/>
    <x v="10"/>
    <x v="1"/>
    <x v="3"/>
    <n v="276.5"/>
    <x v="0"/>
    <x v="0"/>
    <x v="369"/>
    <x v="1"/>
    <s v="DISCOUNT ALLOWED"/>
    <s v="discount allowed"/>
    <s v="DISCOUNT ALLOWED"/>
    <s v="Discount Allowed"/>
    <s v="05/10/23"/>
  </r>
  <r>
    <s v="TXN_6092283"/>
    <s v="CUST_02"/>
    <x v="1"/>
    <x v="8"/>
    <x v="1"/>
    <x v="3"/>
    <n v="276.5"/>
    <x v="2"/>
    <x v="1"/>
    <x v="526"/>
    <x v="0"/>
    <s v="DISCOUNT NOT ALLOWED"/>
    <s v="discount not allowed"/>
    <s v="DISCOUNT NOT ALLOWED"/>
    <s v="Discount Not Allowed"/>
    <s v="28/12/24"/>
  </r>
  <r>
    <s v="TXN_6141590"/>
    <s v="CUST_15"/>
    <x v="0"/>
    <x v="14"/>
    <x v="1"/>
    <x v="3"/>
    <n v="276.5"/>
    <x v="2"/>
    <x v="0"/>
    <x v="527"/>
    <x v="0"/>
    <s v="DISCOUNT NOT ALLOWED"/>
    <s v="discount not allowed"/>
    <s v="DISCOUNT NOT ALLOWED"/>
    <s v="Discount Not Allowed"/>
    <s v="20/08/23"/>
  </r>
  <r>
    <s v="TXN_6731052"/>
    <s v="CUST_11"/>
    <x v="0"/>
    <x v="14"/>
    <x v="1"/>
    <x v="3"/>
    <n v="276.5"/>
    <x v="0"/>
    <x v="1"/>
    <x v="528"/>
    <x v="1"/>
    <s v="DISCOUNT ALLOWED"/>
    <s v="discount allowed"/>
    <s v="DISCOUNT ALLOWED"/>
    <s v="Discount Allowed"/>
    <s v="11/09/24"/>
  </r>
  <r>
    <s v="TXN_7908840"/>
    <s v="CUST_15"/>
    <x v="7"/>
    <x v="10"/>
    <x v="1"/>
    <x v="3"/>
    <n v="276.5"/>
    <x v="0"/>
    <x v="0"/>
    <x v="529"/>
    <x v="1"/>
    <s v="DISCOUNT ALLOWED"/>
    <s v="discount allowed"/>
    <s v="DISCOUNT ALLOWED"/>
    <s v="Discount Allowed"/>
    <s v="28/04/23"/>
  </r>
  <r>
    <s v="TXN_8001268"/>
    <s v="CUST_24"/>
    <x v="4"/>
    <x v="11"/>
    <x v="1"/>
    <x v="3"/>
    <n v="276.5"/>
    <x v="0"/>
    <x v="0"/>
    <x v="530"/>
    <x v="0"/>
    <s v="DISCOUNT NOT ALLOWED"/>
    <s v="discount not allowed"/>
    <s v="DISCOUNT NOT ALLOWED"/>
    <s v="Discount Not Allowed"/>
    <s v="25/10/22"/>
  </r>
  <r>
    <s v="TXN_8148844"/>
    <s v="CUST_19"/>
    <x v="7"/>
    <x v="10"/>
    <x v="1"/>
    <x v="3"/>
    <n v="276.5"/>
    <x v="1"/>
    <x v="1"/>
    <x v="531"/>
    <x v="1"/>
    <s v="DISCOUNT ALLOWED"/>
    <s v="discount allowed"/>
    <s v="DISCOUNT ALLOWED"/>
    <s v="Discount Allowed"/>
    <s v="08/10/23"/>
  </r>
  <r>
    <s v="TXN_8426490"/>
    <s v="CUST_07"/>
    <x v="7"/>
    <x v="10"/>
    <x v="1"/>
    <x v="3"/>
    <n v="276.5"/>
    <x v="2"/>
    <x v="0"/>
    <x v="79"/>
    <x v="1"/>
    <s v="DISCOUNT ALLOWED"/>
    <s v="discount allowed"/>
    <s v="DISCOUNT ALLOWED"/>
    <s v="Discount Allowed"/>
    <s v="07/04/23"/>
  </r>
  <r>
    <s v="TXN_9097911"/>
    <s v="CUST_25"/>
    <x v="7"/>
    <x v="10"/>
    <x v="1"/>
    <x v="3"/>
    <n v="276.5"/>
    <x v="2"/>
    <x v="0"/>
    <x v="532"/>
    <x v="1"/>
    <s v="DISCOUNT ALLOWED"/>
    <s v="discount allowed"/>
    <s v="DISCOUNT ALLOWED"/>
    <s v="Discount Allowed"/>
    <s v="05/05/22"/>
  </r>
  <r>
    <s v="TXN_9259125"/>
    <s v="CUST_22"/>
    <x v="2"/>
    <x v="9"/>
    <x v="1"/>
    <x v="3"/>
    <n v="276.5"/>
    <x v="0"/>
    <x v="1"/>
    <x v="414"/>
    <x v="0"/>
    <s v="DISCOUNT NOT ALLOWED"/>
    <s v="discount not allowed"/>
    <s v="DISCOUNT NOT ALLOWED"/>
    <s v="Discount Not Allowed"/>
    <s v="01/02/22"/>
  </r>
  <r>
    <s v="TXN_9315060"/>
    <s v="CUST_07"/>
    <x v="2"/>
    <x v="9"/>
    <x v="1"/>
    <x v="3"/>
    <n v="276.5"/>
    <x v="1"/>
    <x v="0"/>
    <x v="533"/>
    <x v="0"/>
    <s v="DISCOUNT NOT ALLOWED"/>
    <s v="discount not allowed"/>
    <s v="DISCOUNT NOT ALLOWED"/>
    <s v="Discount Not Allowed"/>
    <s v="14/10/24"/>
  </r>
  <r>
    <s v="TXN_9550618"/>
    <s v="CUST_23"/>
    <x v="1"/>
    <x v="8"/>
    <x v="1"/>
    <x v="3"/>
    <n v="276.5"/>
    <x v="1"/>
    <x v="0"/>
    <x v="312"/>
    <x v="1"/>
    <s v="DISCOUNT ALLOWED"/>
    <s v="discount allowed"/>
    <s v="DISCOUNT ALLOWED"/>
    <s v="Discount Allowed"/>
    <s v="07/11/22"/>
  </r>
  <r>
    <s v="TXN_1587097"/>
    <s v="CUST_03"/>
    <x v="6"/>
    <x v="70"/>
    <x v="9"/>
    <x v="0"/>
    <n v="275"/>
    <x v="1"/>
    <x v="1"/>
    <x v="534"/>
    <x v="0"/>
    <s v="DISCOUNT NOT ALLOWED"/>
    <s v="discount not allowed"/>
    <s v="DISCOUNT NOT ALLOWED"/>
    <s v="Discount Not Allowed"/>
    <s v="25/02/24"/>
  </r>
  <r>
    <s v="TXN_1655146"/>
    <s v="CUST_09"/>
    <x v="1"/>
    <x v="71"/>
    <x v="9"/>
    <x v="0"/>
    <n v="275"/>
    <x v="0"/>
    <x v="1"/>
    <x v="535"/>
    <x v="0"/>
    <s v="DISCOUNT NOT ALLOWED"/>
    <s v="discount not allowed"/>
    <s v="DISCOUNT NOT ALLOWED"/>
    <s v="Discount Not Allowed"/>
    <s v="06/07/24"/>
  </r>
  <r>
    <s v="TXN_1676610"/>
    <s v="CUST_03"/>
    <x v="7"/>
    <x v="72"/>
    <x v="9"/>
    <x v="0"/>
    <n v="275"/>
    <x v="0"/>
    <x v="0"/>
    <x v="536"/>
    <x v="1"/>
    <s v="DISCOUNT ALLOWED"/>
    <s v="discount allowed"/>
    <s v="DISCOUNT ALLOWED"/>
    <s v="Discount Allowed"/>
    <s v="02/05/22"/>
  </r>
  <r>
    <s v="TXN_1762272"/>
    <s v="CUST_13"/>
    <x v="7"/>
    <x v="72"/>
    <x v="9"/>
    <x v="0"/>
    <n v="275"/>
    <x v="2"/>
    <x v="0"/>
    <x v="118"/>
    <x v="0"/>
    <s v="DISCOUNT NOT ALLOWED"/>
    <s v="discount not allowed"/>
    <s v="DISCOUNT NOT ALLOWED"/>
    <s v="Discount Not Allowed"/>
    <s v="27/04/22"/>
  </r>
  <r>
    <s v="TXN_1777543"/>
    <s v="CUST_15"/>
    <x v="1"/>
    <x v="71"/>
    <x v="9"/>
    <x v="0"/>
    <n v="275"/>
    <x v="1"/>
    <x v="1"/>
    <x v="537"/>
    <x v="1"/>
    <s v="DISCOUNT ALLOWED"/>
    <s v="discount allowed"/>
    <s v="DISCOUNT ALLOWED"/>
    <s v="Discount Allowed"/>
    <s v="27/09/22"/>
  </r>
  <r>
    <s v="TXN_2291678"/>
    <s v="CUST_21"/>
    <x v="0"/>
    <x v="73"/>
    <x v="9"/>
    <x v="0"/>
    <n v="275"/>
    <x v="2"/>
    <x v="1"/>
    <x v="303"/>
    <x v="1"/>
    <s v="DISCOUNT ALLOWED"/>
    <s v="discount allowed"/>
    <s v="DISCOUNT ALLOWED"/>
    <s v="Discount Allowed"/>
    <s v="22/12/24"/>
  </r>
  <r>
    <s v="TXN_2388264"/>
    <s v="CUST_17"/>
    <x v="0"/>
    <x v="73"/>
    <x v="9"/>
    <x v="0"/>
    <n v="275"/>
    <x v="2"/>
    <x v="1"/>
    <x v="511"/>
    <x v="0"/>
    <s v="DISCOUNT NOT ALLOWED"/>
    <s v="discount not allowed"/>
    <s v="DISCOUNT NOT ALLOWED"/>
    <s v="Discount Not Allowed"/>
    <s v="16/11/22"/>
  </r>
  <r>
    <s v="TXN_2573564"/>
    <s v="CUST_13"/>
    <x v="3"/>
    <x v="74"/>
    <x v="9"/>
    <x v="0"/>
    <n v="275"/>
    <x v="0"/>
    <x v="0"/>
    <x v="538"/>
    <x v="1"/>
    <s v="DISCOUNT ALLOWED"/>
    <s v="discount allowed"/>
    <s v="DISCOUNT ALLOWED"/>
    <s v="Discount Allowed"/>
    <s v="16/07/24"/>
  </r>
  <r>
    <s v="TXN_2620660"/>
    <s v="CUST_08"/>
    <x v="3"/>
    <x v="74"/>
    <x v="9"/>
    <x v="0"/>
    <n v="275"/>
    <x v="2"/>
    <x v="1"/>
    <x v="539"/>
    <x v="0"/>
    <s v="DISCOUNT NOT ALLOWED"/>
    <s v="discount not allowed"/>
    <s v="DISCOUNT NOT ALLOWED"/>
    <s v="Discount Not Allowed"/>
    <s v="13/02/23"/>
  </r>
  <r>
    <s v="TXN_2999995"/>
    <s v="CUST_19"/>
    <x v="0"/>
    <x v="73"/>
    <x v="9"/>
    <x v="0"/>
    <n v="275"/>
    <x v="1"/>
    <x v="1"/>
    <x v="70"/>
    <x v="1"/>
    <s v="DISCOUNT ALLOWED"/>
    <s v="discount allowed"/>
    <s v="DISCOUNT ALLOWED"/>
    <s v="Discount Allowed"/>
    <s v="18/06/24"/>
  </r>
  <r>
    <s v="TXN_3135312"/>
    <s v="CUST_11"/>
    <x v="5"/>
    <x v="75"/>
    <x v="9"/>
    <x v="0"/>
    <n v="275"/>
    <x v="1"/>
    <x v="0"/>
    <x v="537"/>
    <x v="1"/>
    <s v="DISCOUNT ALLOWED"/>
    <s v="discount allowed"/>
    <s v="DISCOUNT ALLOWED"/>
    <s v="Discount Allowed"/>
    <s v="27/09/22"/>
  </r>
  <r>
    <s v="TXN_3300791"/>
    <s v="CUST_04"/>
    <x v="3"/>
    <x v="74"/>
    <x v="9"/>
    <x v="0"/>
    <n v="275"/>
    <x v="1"/>
    <x v="0"/>
    <x v="540"/>
    <x v="1"/>
    <s v="DISCOUNT ALLOWED"/>
    <s v="discount allowed"/>
    <s v="DISCOUNT ALLOWED"/>
    <s v="Discount Allowed"/>
    <s v="17/05/22"/>
  </r>
  <r>
    <s v="TXN_3845165"/>
    <s v="CUST_10"/>
    <x v="6"/>
    <x v="70"/>
    <x v="9"/>
    <x v="0"/>
    <n v="275"/>
    <x v="1"/>
    <x v="0"/>
    <x v="541"/>
    <x v="1"/>
    <s v="DISCOUNT ALLOWED"/>
    <s v="discount allowed"/>
    <s v="DISCOUNT ALLOWED"/>
    <s v="Discount Allowed"/>
    <s v="21/11/22"/>
  </r>
  <r>
    <s v="TXN_3971462"/>
    <s v="CUST_20"/>
    <x v="3"/>
    <x v="74"/>
    <x v="9"/>
    <x v="0"/>
    <n v="275"/>
    <x v="1"/>
    <x v="0"/>
    <x v="4"/>
    <x v="1"/>
    <s v="DISCOUNT ALLOWED"/>
    <s v="discount allowed"/>
    <s v="DISCOUNT ALLOWED"/>
    <s v="Discount Allowed"/>
    <s v="23/03/24"/>
  </r>
  <r>
    <s v="TXN_4123570"/>
    <s v="CUST_09"/>
    <x v="0"/>
    <x v="73"/>
    <x v="9"/>
    <x v="0"/>
    <n v="275"/>
    <x v="2"/>
    <x v="0"/>
    <x v="542"/>
    <x v="0"/>
    <s v="DISCOUNT NOT ALLOWED"/>
    <s v="discount not allowed"/>
    <s v="DISCOUNT NOT ALLOWED"/>
    <s v="Discount Not Allowed"/>
    <s v="28/08/23"/>
  </r>
  <r>
    <s v="TXN_4131069"/>
    <s v="CUST_14"/>
    <x v="0"/>
    <x v="73"/>
    <x v="9"/>
    <x v="0"/>
    <n v="275"/>
    <x v="0"/>
    <x v="1"/>
    <x v="543"/>
    <x v="0"/>
    <s v="DISCOUNT NOT ALLOWED"/>
    <s v="discount not allowed"/>
    <s v="DISCOUNT NOT ALLOWED"/>
    <s v="Discount Not Allowed"/>
    <s v="17/11/22"/>
  </r>
  <r>
    <s v="TXN_4380075"/>
    <s v="CUST_25"/>
    <x v="2"/>
    <x v="76"/>
    <x v="9"/>
    <x v="0"/>
    <n v="275"/>
    <x v="1"/>
    <x v="0"/>
    <x v="544"/>
    <x v="1"/>
    <s v="DISCOUNT ALLOWED"/>
    <s v="discount allowed"/>
    <s v="DISCOUNT ALLOWED"/>
    <s v="Discount Allowed"/>
    <s v="17/07/23"/>
  </r>
  <r>
    <s v="TXN_4446737"/>
    <s v="CUST_11"/>
    <x v="1"/>
    <x v="71"/>
    <x v="9"/>
    <x v="0"/>
    <n v="275"/>
    <x v="1"/>
    <x v="1"/>
    <x v="545"/>
    <x v="0"/>
    <s v="DISCOUNT NOT ALLOWED"/>
    <s v="discount not allowed"/>
    <s v="DISCOUNT NOT ALLOWED"/>
    <s v="Discount Not Allowed"/>
    <s v="15/03/22"/>
  </r>
  <r>
    <s v="TXN_5149491"/>
    <s v="CUST_13"/>
    <x v="0"/>
    <x v="73"/>
    <x v="9"/>
    <x v="0"/>
    <n v="275"/>
    <x v="1"/>
    <x v="0"/>
    <x v="546"/>
    <x v="1"/>
    <s v="DISCOUNT ALLOWED"/>
    <s v="discount allowed"/>
    <s v="DISCOUNT ALLOWED"/>
    <s v="Discount Allowed"/>
    <s v="21/05/22"/>
  </r>
  <r>
    <s v="TXN_5169916"/>
    <s v="CUST_19"/>
    <x v="1"/>
    <x v="71"/>
    <x v="9"/>
    <x v="0"/>
    <n v="275"/>
    <x v="2"/>
    <x v="1"/>
    <x v="547"/>
    <x v="0"/>
    <s v="DISCOUNT NOT ALLOWED"/>
    <s v="discount not allowed"/>
    <s v="DISCOUNT NOT ALLOWED"/>
    <s v="Discount Not Allowed"/>
    <s v="14/10/23"/>
  </r>
  <r>
    <s v="TXN_5431135"/>
    <s v="CUST_14"/>
    <x v="0"/>
    <x v="73"/>
    <x v="9"/>
    <x v="0"/>
    <n v="275"/>
    <x v="2"/>
    <x v="1"/>
    <x v="375"/>
    <x v="0"/>
    <s v="DISCOUNT NOT ALLOWED"/>
    <s v="discount not allowed"/>
    <s v="DISCOUNT NOT ALLOWED"/>
    <s v="Discount Not Allowed"/>
    <s v="02/07/22"/>
  </r>
  <r>
    <s v="TXN_5568041"/>
    <s v="CUST_13"/>
    <x v="3"/>
    <x v="74"/>
    <x v="9"/>
    <x v="0"/>
    <n v="275"/>
    <x v="1"/>
    <x v="1"/>
    <x v="548"/>
    <x v="1"/>
    <s v="DISCOUNT ALLOWED"/>
    <s v="discount allowed"/>
    <s v="DISCOUNT ALLOWED"/>
    <s v="Discount Allowed"/>
    <s v="22/01/22"/>
  </r>
  <r>
    <s v="TXN_6007278"/>
    <s v="CUST_17"/>
    <x v="1"/>
    <x v="71"/>
    <x v="9"/>
    <x v="0"/>
    <n v="275"/>
    <x v="2"/>
    <x v="1"/>
    <x v="102"/>
    <x v="0"/>
    <s v="DISCOUNT NOT ALLOWED"/>
    <s v="discount not allowed"/>
    <s v="DISCOUNT NOT ALLOWED"/>
    <s v="Discount Not Allowed"/>
    <s v="31/03/23"/>
  </r>
  <r>
    <s v="TXN_6174168"/>
    <s v="CUST_13"/>
    <x v="1"/>
    <x v="71"/>
    <x v="9"/>
    <x v="0"/>
    <n v="275"/>
    <x v="1"/>
    <x v="1"/>
    <x v="549"/>
    <x v="0"/>
    <s v="DISCOUNT NOT ALLOWED"/>
    <s v="discount not allowed"/>
    <s v="DISCOUNT NOT ALLOWED"/>
    <s v="Discount Not Allowed"/>
    <s v="18/03/23"/>
  </r>
  <r>
    <s v="TXN_7119526"/>
    <s v="CUST_06"/>
    <x v="1"/>
    <x v="71"/>
    <x v="9"/>
    <x v="0"/>
    <n v="275"/>
    <x v="2"/>
    <x v="0"/>
    <x v="550"/>
    <x v="1"/>
    <s v="DISCOUNT ALLOWED"/>
    <s v="discount allowed"/>
    <s v="DISCOUNT ALLOWED"/>
    <s v="Discount Allowed"/>
    <s v="15/11/24"/>
  </r>
  <r>
    <s v="TXN_7196109"/>
    <s v="CUST_08"/>
    <x v="7"/>
    <x v="72"/>
    <x v="9"/>
    <x v="0"/>
    <n v="275"/>
    <x v="0"/>
    <x v="0"/>
    <x v="262"/>
    <x v="0"/>
    <s v="DISCOUNT NOT ALLOWED"/>
    <s v="discount not allowed"/>
    <s v="DISCOUNT NOT ALLOWED"/>
    <s v="Discount Not Allowed"/>
    <s v="20/12/24"/>
  </r>
  <r>
    <s v="TXN_7239667"/>
    <s v="CUST_19"/>
    <x v="7"/>
    <x v="72"/>
    <x v="9"/>
    <x v="0"/>
    <n v="275"/>
    <x v="1"/>
    <x v="1"/>
    <x v="459"/>
    <x v="0"/>
    <s v="DISCOUNT NOT ALLOWED"/>
    <s v="discount not allowed"/>
    <s v="DISCOUNT NOT ALLOWED"/>
    <s v="Discount Not Allowed"/>
    <s v="08/01/23"/>
  </r>
  <r>
    <s v="TXN_7569671"/>
    <s v="CUST_23"/>
    <x v="1"/>
    <x v="71"/>
    <x v="9"/>
    <x v="0"/>
    <n v="275"/>
    <x v="0"/>
    <x v="0"/>
    <x v="543"/>
    <x v="0"/>
    <s v="DISCOUNT NOT ALLOWED"/>
    <s v="discount not allowed"/>
    <s v="DISCOUNT NOT ALLOWED"/>
    <s v="Discount Not Allowed"/>
    <s v="17/11/22"/>
  </r>
  <r>
    <s v="TXN_7814324"/>
    <s v="CUST_23"/>
    <x v="6"/>
    <x v="70"/>
    <x v="9"/>
    <x v="0"/>
    <n v="275"/>
    <x v="2"/>
    <x v="1"/>
    <x v="551"/>
    <x v="1"/>
    <s v="DISCOUNT ALLOWED"/>
    <s v="discount allowed"/>
    <s v="DISCOUNT ALLOWED"/>
    <s v="Discount Allowed"/>
    <s v="01/12/24"/>
  </r>
  <r>
    <s v="TXN_7842054"/>
    <s v="CUST_03"/>
    <x v="0"/>
    <x v="73"/>
    <x v="9"/>
    <x v="0"/>
    <n v="275"/>
    <x v="1"/>
    <x v="1"/>
    <x v="213"/>
    <x v="1"/>
    <s v="DISCOUNT ALLOWED"/>
    <s v="discount allowed"/>
    <s v="DISCOUNT ALLOWED"/>
    <s v="Discount Allowed"/>
    <s v="14/07/23"/>
  </r>
  <r>
    <s v="TXN_8145370"/>
    <s v="CUST_12"/>
    <x v="3"/>
    <x v="74"/>
    <x v="9"/>
    <x v="0"/>
    <n v="275"/>
    <x v="1"/>
    <x v="1"/>
    <x v="222"/>
    <x v="1"/>
    <s v="DISCOUNT ALLOWED"/>
    <s v="discount allowed"/>
    <s v="DISCOUNT ALLOWED"/>
    <s v="Discount Allowed"/>
    <s v="13/12/22"/>
  </r>
  <r>
    <s v="TXN_9696371"/>
    <s v="CUST_14"/>
    <x v="1"/>
    <x v="71"/>
    <x v="9"/>
    <x v="0"/>
    <n v="275"/>
    <x v="0"/>
    <x v="0"/>
    <x v="552"/>
    <x v="0"/>
    <s v="DISCOUNT NOT ALLOWED"/>
    <s v="discount not allowed"/>
    <s v="DISCOUNT NOT ALLOWED"/>
    <s v="Discount Not Allowed"/>
    <s v="22/09/24"/>
  </r>
  <r>
    <s v="TXN_9749228"/>
    <s v="CUST_03"/>
    <x v="6"/>
    <x v="70"/>
    <x v="9"/>
    <x v="0"/>
    <n v="275"/>
    <x v="2"/>
    <x v="1"/>
    <x v="278"/>
    <x v="0"/>
    <s v="DISCOUNT NOT ALLOWED"/>
    <s v="discount not allowed"/>
    <s v="DISCOUNT NOT ALLOWED"/>
    <s v="Discount Not Allowed"/>
    <s v="26/12/24"/>
  </r>
  <r>
    <s v="TXN_9753366"/>
    <s v="CUST_20"/>
    <x v="3"/>
    <x v="74"/>
    <x v="9"/>
    <x v="0"/>
    <n v="275"/>
    <x v="1"/>
    <x v="1"/>
    <x v="42"/>
    <x v="1"/>
    <s v="DISCOUNT ALLOWED"/>
    <s v="discount allowed"/>
    <s v="DISCOUNT ALLOWED"/>
    <s v="Discount Allowed"/>
    <s v="02/09/22"/>
  </r>
  <r>
    <s v="TXN_9763067"/>
    <s v="CUST_18"/>
    <x v="2"/>
    <x v="76"/>
    <x v="9"/>
    <x v="0"/>
    <n v="275"/>
    <x v="1"/>
    <x v="1"/>
    <x v="553"/>
    <x v="0"/>
    <s v="DISCOUNT NOT ALLOWED"/>
    <s v="discount not allowed"/>
    <s v="DISCOUNT NOT ALLOWED"/>
    <s v="Discount Not Allowed"/>
    <s v="04/08/24"/>
  </r>
  <r>
    <s v="TXN_9915285"/>
    <s v="CUST_05"/>
    <x v="2"/>
    <x v="76"/>
    <x v="9"/>
    <x v="0"/>
    <n v="275"/>
    <x v="1"/>
    <x v="1"/>
    <x v="89"/>
    <x v="1"/>
    <s v="DISCOUNT ALLOWED"/>
    <s v="discount allowed"/>
    <s v="DISCOUNT ALLOWED"/>
    <s v="Discount Allowed"/>
    <s v="14/01/22"/>
  </r>
  <r>
    <s v="TXN_9988948"/>
    <s v="CUST_25"/>
    <x v="2"/>
    <x v="76"/>
    <x v="9"/>
    <x v="0"/>
    <n v="275"/>
    <x v="2"/>
    <x v="0"/>
    <x v="531"/>
    <x v="0"/>
    <s v="DISCOUNT NOT ALLOWED"/>
    <s v="discount not allowed"/>
    <s v="DISCOUNT NOT ALLOWED"/>
    <s v="Discount Not Allowed"/>
    <s v="08/10/23"/>
  </r>
  <r>
    <s v="TXN_1826446"/>
    <s v="CUST_21"/>
    <x v="3"/>
    <x v="55"/>
    <x v="7"/>
    <x v="1"/>
    <n v="274.5"/>
    <x v="2"/>
    <x v="1"/>
    <x v="149"/>
    <x v="0"/>
    <s v="DISCOUNT NOT ALLOWED"/>
    <s v="discount not allowed"/>
    <s v="DISCOUNT NOT ALLOWED"/>
    <s v="Discount Not Allowed"/>
    <s v="13/06/22"/>
  </r>
  <r>
    <s v="TXN_2207487"/>
    <s v="CUST_16"/>
    <x v="0"/>
    <x v="57"/>
    <x v="7"/>
    <x v="1"/>
    <n v="274.5"/>
    <x v="1"/>
    <x v="1"/>
    <x v="397"/>
    <x v="1"/>
    <s v="DISCOUNT ALLOWED"/>
    <s v="discount allowed"/>
    <s v="DISCOUNT ALLOWED"/>
    <s v="Discount Allowed"/>
    <s v="01/06/23"/>
  </r>
  <r>
    <s v="TXN_2222267"/>
    <s v="CUST_02"/>
    <x v="3"/>
    <x v="55"/>
    <x v="7"/>
    <x v="1"/>
    <n v="274.5"/>
    <x v="0"/>
    <x v="0"/>
    <x v="554"/>
    <x v="1"/>
    <s v="DISCOUNT ALLOWED"/>
    <s v="discount allowed"/>
    <s v="DISCOUNT ALLOWED"/>
    <s v="Discount Allowed"/>
    <s v="20/02/24"/>
  </r>
  <r>
    <s v="TXN_2545845"/>
    <s v="CUST_09"/>
    <x v="6"/>
    <x v="58"/>
    <x v="7"/>
    <x v="1"/>
    <n v="274.5"/>
    <x v="1"/>
    <x v="1"/>
    <x v="555"/>
    <x v="1"/>
    <s v="DISCOUNT ALLOWED"/>
    <s v="discount allowed"/>
    <s v="DISCOUNT ALLOWED"/>
    <s v="Discount Allowed"/>
    <s v="28/08/24"/>
  </r>
  <r>
    <s v="TXN_2844489"/>
    <s v="CUST_21"/>
    <x v="3"/>
    <x v="55"/>
    <x v="7"/>
    <x v="1"/>
    <n v="274.5"/>
    <x v="2"/>
    <x v="1"/>
    <x v="452"/>
    <x v="1"/>
    <s v="DISCOUNT ALLOWED"/>
    <s v="discount allowed"/>
    <s v="DISCOUNT ALLOWED"/>
    <s v="Discount Allowed"/>
    <s v="26/09/22"/>
  </r>
  <r>
    <s v="TXN_3231808"/>
    <s v="CUST_22"/>
    <x v="3"/>
    <x v="55"/>
    <x v="7"/>
    <x v="1"/>
    <n v="274.5"/>
    <x v="0"/>
    <x v="1"/>
    <x v="556"/>
    <x v="1"/>
    <s v="DISCOUNT ALLOWED"/>
    <s v="discount allowed"/>
    <s v="DISCOUNT ALLOWED"/>
    <s v="Discount Allowed"/>
    <s v="16/02/24"/>
  </r>
  <r>
    <s v="TXN_4554478"/>
    <s v="CUST_03"/>
    <x v="3"/>
    <x v="55"/>
    <x v="7"/>
    <x v="1"/>
    <n v="274.5"/>
    <x v="2"/>
    <x v="0"/>
    <x v="557"/>
    <x v="1"/>
    <s v="DISCOUNT ALLOWED"/>
    <s v="discount allowed"/>
    <s v="DISCOUNT ALLOWED"/>
    <s v="Discount Allowed"/>
    <s v="08/05/22"/>
  </r>
  <r>
    <s v="TXN_5251547"/>
    <s v="CUST_20"/>
    <x v="4"/>
    <x v="53"/>
    <x v="7"/>
    <x v="1"/>
    <n v="274.5"/>
    <x v="1"/>
    <x v="1"/>
    <x v="9"/>
    <x v="0"/>
    <s v="DISCOUNT NOT ALLOWED"/>
    <s v="discount not allowed"/>
    <s v="DISCOUNT NOT ALLOWED"/>
    <s v="Discount Not Allowed"/>
    <s v="19/06/22"/>
  </r>
  <r>
    <s v="TXN_6264210"/>
    <s v="CUST_02"/>
    <x v="7"/>
    <x v="60"/>
    <x v="7"/>
    <x v="1"/>
    <n v="274.5"/>
    <x v="2"/>
    <x v="1"/>
    <x v="558"/>
    <x v="1"/>
    <s v="DISCOUNT ALLOWED"/>
    <s v="discount allowed"/>
    <s v="DISCOUNT ALLOWED"/>
    <s v="Discount Allowed"/>
    <s v="17/04/24"/>
  </r>
  <r>
    <s v="TXN_6300521"/>
    <s v="CUST_21"/>
    <x v="1"/>
    <x v="59"/>
    <x v="7"/>
    <x v="1"/>
    <n v="274.5"/>
    <x v="2"/>
    <x v="1"/>
    <x v="541"/>
    <x v="1"/>
    <s v="DISCOUNT ALLOWED"/>
    <s v="discount allowed"/>
    <s v="DISCOUNT ALLOWED"/>
    <s v="Discount Allowed"/>
    <s v="21/11/22"/>
  </r>
  <r>
    <s v="TXN_6516663"/>
    <s v="CUST_15"/>
    <x v="3"/>
    <x v="55"/>
    <x v="7"/>
    <x v="1"/>
    <n v="274.5"/>
    <x v="2"/>
    <x v="0"/>
    <x v="17"/>
    <x v="0"/>
    <s v="DISCOUNT NOT ALLOWED"/>
    <s v="discount not allowed"/>
    <s v="DISCOUNT NOT ALLOWED"/>
    <s v="Discount Not Allowed"/>
    <s v="24/02/22"/>
  </r>
  <r>
    <s v="TXN_6648814"/>
    <s v="CUST_10"/>
    <x v="3"/>
    <x v="55"/>
    <x v="7"/>
    <x v="1"/>
    <n v="274.5"/>
    <x v="2"/>
    <x v="0"/>
    <x v="559"/>
    <x v="0"/>
    <s v="DISCOUNT NOT ALLOWED"/>
    <s v="discount not allowed"/>
    <s v="DISCOUNT NOT ALLOWED"/>
    <s v="Discount Not Allowed"/>
    <s v="14/10/22"/>
  </r>
  <r>
    <s v="TXN_7504883"/>
    <s v="CUST_03"/>
    <x v="0"/>
    <x v="57"/>
    <x v="7"/>
    <x v="1"/>
    <n v="274.5"/>
    <x v="2"/>
    <x v="0"/>
    <x v="560"/>
    <x v="0"/>
    <s v="DISCOUNT NOT ALLOWED"/>
    <s v="discount not allowed"/>
    <s v="DISCOUNT NOT ALLOWED"/>
    <s v="Discount Not Allowed"/>
    <s v="20/04/22"/>
  </r>
  <r>
    <s v="TXN_7840048"/>
    <s v="CUST_16"/>
    <x v="1"/>
    <x v="59"/>
    <x v="7"/>
    <x v="1"/>
    <n v="274.5"/>
    <x v="1"/>
    <x v="0"/>
    <x v="185"/>
    <x v="0"/>
    <s v="DISCOUNT NOT ALLOWED"/>
    <s v="discount not allowed"/>
    <s v="DISCOUNT NOT ALLOWED"/>
    <s v="Discount Not Allowed"/>
    <s v="08/08/24"/>
  </r>
  <r>
    <s v="TXN_8229936"/>
    <s v="CUST_17"/>
    <x v="2"/>
    <x v="56"/>
    <x v="7"/>
    <x v="1"/>
    <n v="274.5"/>
    <x v="1"/>
    <x v="0"/>
    <x v="561"/>
    <x v="0"/>
    <s v="DISCOUNT NOT ALLOWED"/>
    <s v="discount not allowed"/>
    <s v="DISCOUNT NOT ALLOWED"/>
    <s v="Discount Not Allowed"/>
    <s v="27/04/24"/>
  </r>
  <r>
    <s v="TXN_8694029"/>
    <s v="CUST_07"/>
    <x v="4"/>
    <x v="53"/>
    <x v="7"/>
    <x v="1"/>
    <n v="274.5"/>
    <x v="2"/>
    <x v="1"/>
    <x v="460"/>
    <x v="0"/>
    <s v="DISCOUNT NOT ALLOWED"/>
    <s v="discount not allowed"/>
    <s v="DISCOUNT NOT ALLOWED"/>
    <s v="Discount Not Allowed"/>
    <s v="11/03/23"/>
  </r>
  <r>
    <s v="TXN_9550516"/>
    <s v="CUST_09"/>
    <x v="3"/>
    <x v="55"/>
    <x v="7"/>
    <x v="1"/>
    <n v="274.5"/>
    <x v="0"/>
    <x v="1"/>
    <x v="562"/>
    <x v="0"/>
    <s v="DISCOUNT NOT ALLOWED"/>
    <s v="discount not allowed"/>
    <s v="DISCOUNT NOT ALLOWED"/>
    <s v="Discount Not Allowed"/>
    <s v="06/08/24"/>
  </r>
  <r>
    <s v="TXN_9901915"/>
    <s v="CUST_14"/>
    <x v="1"/>
    <x v="59"/>
    <x v="7"/>
    <x v="1"/>
    <n v="274.5"/>
    <x v="2"/>
    <x v="0"/>
    <x v="376"/>
    <x v="1"/>
    <s v="DISCOUNT ALLOWED"/>
    <s v="discount allowed"/>
    <s v="DISCOUNT ALLOWED"/>
    <s v="Discount Allowed"/>
    <s v="28/10/23"/>
  </r>
  <r>
    <s v="TXN_1079752"/>
    <s v="CUST_07"/>
    <x v="4"/>
    <x v="42"/>
    <x v="5"/>
    <x v="2"/>
    <n v="268"/>
    <x v="2"/>
    <x v="0"/>
    <x v="270"/>
    <x v="0"/>
    <s v="DISCOUNT NOT ALLOWED"/>
    <s v="discount not allowed"/>
    <s v="DISCOUNT NOT ALLOWED"/>
    <s v="Discount Not Allowed"/>
    <s v="08/11/23"/>
  </r>
  <r>
    <s v="TXN_1135450"/>
    <s v="CUST_03"/>
    <x v="4"/>
    <x v="42"/>
    <x v="5"/>
    <x v="2"/>
    <n v="268"/>
    <x v="2"/>
    <x v="0"/>
    <x v="563"/>
    <x v="0"/>
    <s v="DISCOUNT NOT ALLOWED"/>
    <s v="discount not allowed"/>
    <s v="DISCOUNT NOT ALLOWED"/>
    <s v="Discount Not Allowed"/>
    <s v="03/10/24"/>
  </r>
  <r>
    <s v="TXN_1190560"/>
    <s v="CUST_16"/>
    <x v="2"/>
    <x v="39"/>
    <x v="5"/>
    <x v="2"/>
    <n v="268"/>
    <x v="1"/>
    <x v="1"/>
    <x v="564"/>
    <x v="0"/>
    <s v="DISCOUNT NOT ALLOWED"/>
    <s v="discount not allowed"/>
    <s v="DISCOUNT NOT ALLOWED"/>
    <s v="Discount Not Allowed"/>
    <s v="31/01/23"/>
  </r>
  <r>
    <s v="TXN_1324362"/>
    <s v="CUST_19"/>
    <x v="3"/>
    <x v="41"/>
    <x v="5"/>
    <x v="2"/>
    <n v="268"/>
    <x v="2"/>
    <x v="0"/>
    <x v="565"/>
    <x v="0"/>
    <s v="DISCOUNT NOT ALLOWED"/>
    <s v="discount not allowed"/>
    <s v="DISCOUNT NOT ALLOWED"/>
    <s v="Discount Not Allowed"/>
    <s v="15/02/23"/>
  </r>
  <r>
    <s v="TXN_1360556"/>
    <s v="CUST_01"/>
    <x v="7"/>
    <x v="44"/>
    <x v="5"/>
    <x v="2"/>
    <n v="268"/>
    <x v="1"/>
    <x v="1"/>
    <x v="217"/>
    <x v="0"/>
    <s v="DISCOUNT NOT ALLOWED"/>
    <s v="discount not allowed"/>
    <s v="DISCOUNT NOT ALLOWED"/>
    <s v="Discount Not Allowed"/>
    <s v="12/01/24"/>
  </r>
  <r>
    <s v="TXN_1403662"/>
    <s v="CUST_13"/>
    <x v="4"/>
    <x v="42"/>
    <x v="5"/>
    <x v="2"/>
    <n v="268"/>
    <x v="1"/>
    <x v="1"/>
    <x v="566"/>
    <x v="0"/>
    <s v="DISCOUNT NOT ALLOWED"/>
    <s v="discount not allowed"/>
    <s v="DISCOUNT NOT ALLOWED"/>
    <s v="Discount Not Allowed"/>
    <s v="16/11/24"/>
  </r>
  <r>
    <s v="TXN_2094611"/>
    <s v="CUST_03"/>
    <x v="3"/>
    <x v="41"/>
    <x v="5"/>
    <x v="2"/>
    <n v="268"/>
    <x v="2"/>
    <x v="0"/>
    <x v="567"/>
    <x v="0"/>
    <s v="DISCOUNT NOT ALLOWED"/>
    <s v="discount not allowed"/>
    <s v="DISCOUNT NOT ALLOWED"/>
    <s v="Discount Not Allowed"/>
    <s v="01/03/22"/>
  </r>
  <r>
    <s v="TXN_2481480"/>
    <s v="CUST_11"/>
    <x v="5"/>
    <x v="38"/>
    <x v="5"/>
    <x v="2"/>
    <n v="268"/>
    <x v="0"/>
    <x v="0"/>
    <x v="391"/>
    <x v="0"/>
    <s v="DISCOUNT NOT ALLOWED"/>
    <s v="discount not allowed"/>
    <s v="DISCOUNT NOT ALLOWED"/>
    <s v="Discount Not Allowed"/>
    <s v="08/07/22"/>
  </r>
  <r>
    <s v="TXN_2830771"/>
    <s v="CUST_08"/>
    <x v="2"/>
    <x v="39"/>
    <x v="5"/>
    <x v="2"/>
    <n v="268"/>
    <x v="1"/>
    <x v="1"/>
    <x v="521"/>
    <x v="1"/>
    <s v="DISCOUNT ALLOWED"/>
    <s v="discount allowed"/>
    <s v="DISCOUNT ALLOWED"/>
    <s v="Discount Allowed"/>
    <s v="01/11/22"/>
  </r>
  <r>
    <s v="TXN_3228673"/>
    <s v="CUST_16"/>
    <x v="5"/>
    <x v="38"/>
    <x v="5"/>
    <x v="2"/>
    <n v="268"/>
    <x v="2"/>
    <x v="1"/>
    <x v="8"/>
    <x v="0"/>
    <s v="DISCOUNT NOT ALLOWED"/>
    <s v="discount not allowed"/>
    <s v="DISCOUNT NOT ALLOWED"/>
    <s v="Discount Not Allowed"/>
    <s v="04/01/25"/>
  </r>
  <r>
    <s v="TXN_3381866"/>
    <s v="CUST_16"/>
    <x v="1"/>
    <x v="37"/>
    <x v="5"/>
    <x v="2"/>
    <n v="268"/>
    <x v="0"/>
    <x v="0"/>
    <x v="568"/>
    <x v="0"/>
    <s v="DISCOUNT NOT ALLOWED"/>
    <s v="discount not allowed"/>
    <s v="DISCOUNT NOT ALLOWED"/>
    <s v="Discount Not Allowed"/>
    <s v="07/09/24"/>
  </r>
  <r>
    <s v="TXN_3675657"/>
    <s v="CUST_17"/>
    <x v="0"/>
    <x v="40"/>
    <x v="5"/>
    <x v="2"/>
    <n v="268"/>
    <x v="0"/>
    <x v="0"/>
    <x v="59"/>
    <x v="0"/>
    <s v="DISCOUNT NOT ALLOWED"/>
    <s v="discount not allowed"/>
    <s v="DISCOUNT NOT ALLOWED"/>
    <s v="Discount Not Allowed"/>
    <s v="24/11/22"/>
  </r>
  <r>
    <s v="TXN_3869362"/>
    <s v="CUST_14"/>
    <x v="7"/>
    <x v="44"/>
    <x v="5"/>
    <x v="2"/>
    <n v="268"/>
    <x v="1"/>
    <x v="1"/>
    <x v="477"/>
    <x v="1"/>
    <s v="DISCOUNT ALLOWED"/>
    <s v="discount allowed"/>
    <s v="DISCOUNT ALLOWED"/>
    <s v="Discount Allowed"/>
    <s v="28/01/22"/>
  </r>
  <r>
    <s v="TXN_4092805"/>
    <s v="CUST_08"/>
    <x v="4"/>
    <x v="42"/>
    <x v="5"/>
    <x v="2"/>
    <n v="268"/>
    <x v="0"/>
    <x v="0"/>
    <x v="552"/>
    <x v="1"/>
    <s v="DISCOUNT ALLOWED"/>
    <s v="discount allowed"/>
    <s v="DISCOUNT ALLOWED"/>
    <s v="Discount Allowed"/>
    <s v="22/09/24"/>
  </r>
  <r>
    <s v="TXN_4726526"/>
    <s v="CUST_24"/>
    <x v="4"/>
    <x v="42"/>
    <x v="5"/>
    <x v="2"/>
    <n v="268"/>
    <x v="2"/>
    <x v="0"/>
    <x v="569"/>
    <x v="0"/>
    <s v="DISCOUNT NOT ALLOWED"/>
    <s v="discount not allowed"/>
    <s v="DISCOUNT NOT ALLOWED"/>
    <s v="Discount Not Allowed"/>
    <s v="02/05/24"/>
  </r>
  <r>
    <s v="TXN_4811114"/>
    <s v="CUST_06"/>
    <x v="5"/>
    <x v="38"/>
    <x v="5"/>
    <x v="2"/>
    <n v="268"/>
    <x v="2"/>
    <x v="0"/>
    <x v="136"/>
    <x v="1"/>
    <s v="DISCOUNT ALLOWED"/>
    <s v="discount allowed"/>
    <s v="DISCOUNT ALLOWED"/>
    <s v="Discount Allowed"/>
    <s v="07/07/22"/>
  </r>
  <r>
    <s v="TXN_5436478"/>
    <s v="CUST_13"/>
    <x v="6"/>
    <x v="43"/>
    <x v="5"/>
    <x v="2"/>
    <n v="268"/>
    <x v="1"/>
    <x v="0"/>
    <x v="83"/>
    <x v="1"/>
    <s v="DISCOUNT ALLOWED"/>
    <s v="discount allowed"/>
    <s v="DISCOUNT ALLOWED"/>
    <s v="Discount Allowed"/>
    <s v="21/12/23"/>
  </r>
  <r>
    <s v="TXN_5562599"/>
    <s v="CUST_15"/>
    <x v="1"/>
    <x v="37"/>
    <x v="5"/>
    <x v="2"/>
    <n v="268"/>
    <x v="0"/>
    <x v="1"/>
    <x v="42"/>
    <x v="1"/>
    <s v="DISCOUNT ALLOWED"/>
    <s v="discount allowed"/>
    <s v="DISCOUNT ALLOWED"/>
    <s v="Discount Allowed"/>
    <s v="02/09/22"/>
  </r>
  <r>
    <s v="TXN_6192944"/>
    <s v="CUST_19"/>
    <x v="5"/>
    <x v="38"/>
    <x v="5"/>
    <x v="2"/>
    <n v="268"/>
    <x v="0"/>
    <x v="1"/>
    <x v="570"/>
    <x v="0"/>
    <s v="DISCOUNT NOT ALLOWED"/>
    <s v="discount not allowed"/>
    <s v="DISCOUNT NOT ALLOWED"/>
    <s v="Discount Not Allowed"/>
    <s v="03/01/25"/>
  </r>
  <r>
    <s v="TXN_6213892"/>
    <s v="CUST_12"/>
    <x v="4"/>
    <x v="42"/>
    <x v="5"/>
    <x v="2"/>
    <n v="268"/>
    <x v="1"/>
    <x v="1"/>
    <x v="186"/>
    <x v="1"/>
    <s v="DISCOUNT ALLOWED"/>
    <s v="discount allowed"/>
    <s v="DISCOUNT ALLOWED"/>
    <s v="Discount Allowed"/>
    <s v="15/09/22"/>
  </r>
  <r>
    <s v="TXN_6330492"/>
    <s v="CUST_13"/>
    <x v="1"/>
    <x v="37"/>
    <x v="5"/>
    <x v="2"/>
    <n v="268"/>
    <x v="1"/>
    <x v="1"/>
    <x v="55"/>
    <x v="0"/>
    <s v="DISCOUNT NOT ALLOWED"/>
    <s v="discount not allowed"/>
    <s v="DISCOUNT NOT ALLOWED"/>
    <s v="Discount Not Allowed"/>
    <s v="26/05/23"/>
  </r>
  <r>
    <s v="TXN_6500125"/>
    <s v="CUST_08"/>
    <x v="6"/>
    <x v="43"/>
    <x v="5"/>
    <x v="2"/>
    <n v="268"/>
    <x v="1"/>
    <x v="0"/>
    <x v="257"/>
    <x v="0"/>
    <s v="DISCOUNT NOT ALLOWED"/>
    <s v="discount not allowed"/>
    <s v="DISCOUNT NOT ALLOWED"/>
    <s v="Discount Not Allowed"/>
    <s v="09/11/24"/>
  </r>
  <r>
    <s v="TXN_6574877"/>
    <s v="CUST_12"/>
    <x v="7"/>
    <x v="44"/>
    <x v="5"/>
    <x v="2"/>
    <n v="268"/>
    <x v="0"/>
    <x v="1"/>
    <x v="33"/>
    <x v="1"/>
    <s v="DISCOUNT ALLOWED"/>
    <s v="discount allowed"/>
    <s v="DISCOUNT ALLOWED"/>
    <s v="Discount Allowed"/>
    <s v="10/10/23"/>
  </r>
  <r>
    <s v="TXN_6882208"/>
    <s v="CUST_10"/>
    <x v="1"/>
    <x v="37"/>
    <x v="5"/>
    <x v="2"/>
    <n v="268"/>
    <x v="2"/>
    <x v="1"/>
    <x v="431"/>
    <x v="0"/>
    <s v="DISCOUNT NOT ALLOWED"/>
    <s v="discount not allowed"/>
    <s v="DISCOUNT NOT ALLOWED"/>
    <s v="Discount Not Allowed"/>
    <s v="01/01/25"/>
  </r>
  <r>
    <s v="TXN_6998087"/>
    <s v="CUST_13"/>
    <x v="0"/>
    <x v="40"/>
    <x v="5"/>
    <x v="2"/>
    <n v="268"/>
    <x v="1"/>
    <x v="1"/>
    <x v="562"/>
    <x v="1"/>
    <s v="DISCOUNT ALLOWED"/>
    <s v="discount allowed"/>
    <s v="DISCOUNT ALLOWED"/>
    <s v="Discount Allowed"/>
    <s v="06/08/24"/>
  </r>
  <r>
    <s v="TXN_7148957"/>
    <s v="CUST_05"/>
    <x v="4"/>
    <x v="42"/>
    <x v="5"/>
    <x v="2"/>
    <n v="268"/>
    <x v="2"/>
    <x v="0"/>
    <x v="571"/>
    <x v="1"/>
    <s v="DISCOUNT ALLOWED"/>
    <s v="discount allowed"/>
    <s v="DISCOUNT ALLOWED"/>
    <s v="Discount Allowed"/>
    <s v="01/08/23"/>
  </r>
  <r>
    <s v="TXN_7189011"/>
    <s v="CUST_25"/>
    <x v="3"/>
    <x v="41"/>
    <x v="5"/>
    <x v="2"/>
    <n v="268"/>
    <x v="2"/>
    <x v="1"/>
    <x v="143"/>
    <x v="0"/>
    <s v="DISCOUNT NOT ALLOWED"/>
    <s v="discount not allowed"/>
    <s v="DISCOUNT NOT ALLOWED"/>
    <s v="Discount Not Allowed"/>
    <s v="23/08/23"/>
  </r>
  <r>
    <s v="TXN_7366633"/>
    <s v="CUST_18"/>
    <x v="1"/>
    <x v="37"/>
    <x v="5"/>
    <x v="2"/>
    <n v="268"/>
    <x v="0"/>
    <x v="0"/>
    <x v="12"/>
    <x v="0"/>
    <s v="DISCOUNT NOT ALLOWED"/>
    <s v="discount not allowed"/>
    <s v="DISCOUNT NOT ALLOWED"/>
    <s v="Discount Not Allowed"/>
    <s v="23/07/24"/>
  </r>
  <r>
    <s v="TXN_7641109"/>
    <s v="CUST_13"/>
    <x v="7"/>
    <x v="44"/>
    <x v="5"/>
    <x v="2"/>
    <n v="268"/>
    <x v="1"/>
    <x v="1"/>
    <x v="527"/>
    <x v="1"/>
    <s v="DISCOUNT ALLOWED"/>
    <s v="discount allowed"/>
    <s v="DISCOUNT ALLOWED"/>
    <s v="Discount Allowed"/>
    <s v="20/08/23"/>
  </r>
  <r>
    <s v="TXN_7718157"/>
    <s v="CUST_01"/>
    <x v="3"/>
    <x v="41"/>
    <x v="5"/>
    <x v="2"/>
    <n v="268"/>
    <x v="1"/>
    <x v="1"/>
    <x v="389"/>
    <x v="0"/>
    <s v="DISCOUNT NOT ALLOWED"/>
    <s v="discount not allowed"/>
    <s v="DISCOUNT NOT ALLOWED"/>
    <s v="Discount Not Allowed"/>
    <s v="12/07/23"/>
  </r>
  <r>
    <s v="TXN_8003213"/>
    <s v="CUST_17"/>
    <x v="3"/>
    <x v="41"/>
    <x v="5"/>
    <x v="2"/>
    <n v="268"/>
    <x v="2"/>
    <x v="1"/>
    <x v="198"/>
    <x v="1"/>
    <s v="DISCOUNT ALLOWED"/>
    <s v="discount allowed"/>
    <s v="DISCOUNT ALLOWED"/>
    <s v="Discount Allowed"/>
    <s v="04/11/23"/>
  </r>
  <r>
    <s v="TXN_8155856"/>
    <s v="CUST_02"/>
    <x v="2"/>
    <x v="39"/>
    <x v="5"/>
    <x v="2"/>
    <n v="268"/>
    <x v="1"/>
    <x v="0"/>
    <x v="221"/>
    <x v="0"/>
    <s v="DISCOUNT NOT ALLOWED"/>
    <s v="discount not allowed"/>
    <s v="DISCOUNT NOT ALLOWED"/>
    <s v="Discount Not Allowed"/>
    <s v="20/11/24"/>
  </r>
  <r>
    <s v="TXN_8285743"/>
    <s v="CUST_16"/>
    <x v="7"/>
    <x v="44"/>
    <x v="5"/>
    <x v="2"/>
    <n v="268"/>
    <x v="1"/>
    <x v="0"/>
    <x v="572"/>
    <x v="1"/>
    <s v="DISCOUNT ALLOWED"/>
    <s v="discount allowed"/>
    <s v="DISCOUNT ALLOWED"/>
    <s v="Discount Allowed"/>
    <s v="17/02/23"/>
  </r>
  <r>
    <s v="TXN_8799154"/>
    <s v="CUST_07"/>
    <x v="5"/>
    <x v="38"/>
    <x v="5"/>
    <x v="2"/>
    <n v="268"/>
    <x v="1"/>
    <x v="1"/>
    <x v="33"/>
    <x v="1"/>
    <s v="DISCOUNT ALLOWED"/>
    <s v="discount allowed"/>
    <s v="DISCOUNT ALLOWED"/>
    <s v="Discount Allowed"/>
    <s v="10/10/23"/>
  </r>
  <r>
    <s v="TXN_8941913"/>
    <s v="CUST_24"/>
    <x v="3"/>
    <x v="41"/>
    <x v="5"/>
    <x v="2"/>
    <n v="268"/>
    <x v="1"/>
    <x v="0"/>
    <x v="481"/>
    <x v="0"/>
    <s v="DISCOUNT NOT ALLOWED"/>
    <s v="discount not allowed"/>
    <s v="DISCOUNT NOT ALLOWED"/>
    <s v="Discount Not Allowed"/>
    <s v="20/11/22"/>
  </r>
  <r>
    <s v="TXN_9365217"/>
    <s v="CUST_23"/>
    <x v="3"/>
    <x v="41"/>
    <x v="5"/>
    <x v="2"/>
    <n v="268"/>
    <x v="1"/>
    <x v="1"/>
    <x v="573"/>
    <x v="0"/>
    <s v="DISCOUNT NOT ALLOWED"/>
    <s v="discount not allowed"/>
    <s v="DISCOUNT NOT ALLOWED"/>
    <s v="Discount Not Allowed"/>
    <s v="11/05/24"/>
  </r>
  <r>
    <s v="TXN_9395578"/>
    <s v="CUST_10"/>
    <x v="2"/>
    <x v="39"/>
    <x v="5"/>
    <x v="2"/>
    <n v="268"/>
    <x v="1"/>
    <x v="1"/>
    <x v="574"/>
    <x v="1"/>
    <s v="DISCOUNT ALLOWED"/>
    <s v="discount allowed"/>
    <s v="DISCOUNT ALLOWED"/>
    <s v="Discount Allowed"/>
    <s v="24/05/22"/>
  </r>
  <r>
    <s v="TXN_9499247"/>
    <s v="CUST_03"/>
    <x v="6"/>
    <x v="43"/>
    <x v="5"/>
    <x v="2"/>
    <n v="268"/>
    <x v="1"/>
    <x v="1"/>
    <x v="575"/>
    <x v="1"/>
    <s v="DISCOUNT ALLOWED"/>
    <s v="discount allowed"/>
    <s v="DISCOUNT ALLOWED"/>
    <s v="Discount Allowed"/>
    <s v="09/01/23"/>
  </r>
  <r>
    <s v="TXN_9631306"/>
    <s v="CUST_09"/>
    <x v="5"/>
    <x v="38"/>
    <x v="5"/>
    <x v="2"/>
    <n v="268"/>
    <x v="0"/>
    <x v="1"/>
    <x v="100"/>
    <x v="1"/>
    <s v="DISCOUNT ALLOWED"/>
    <s v="discount allowed"/>
    <s v="DISCOUNT ALLOWED"/>
    <s v="Discount Allowed"/>
    <s v="18/02/24"/>
  </r>
  <r>
    <s v="TXN_9643751"/>
    <s v="CUST_08"/>
    <x v="4"/>
    <x v="42"/>
    <x v="5"/>
    <x v="2"/>
    <n v="268"/>
    <x v="2"/>
    <x v="1"/>
    <x v="576"/>
    <x v="1"/>
    <s v="DISCOUNT ALLOWED"/>
    <s v="discount allowed"/>
    <s v="DISCOUNT ALLOWED"/>
    <s v="Discount Allowed"/>
    <s v="18/11/23"/>
  </r>
  <r>
    <s v="TXN_9872413"/>
    <s v="CUST_21"/>
    <x v="4"/>
    <x v="42"/>
    <x v="5"/>
    <x v="2"/>
    <n v="268"/>
    <x v="0"/>
    <x v="1"/>
    <x v="577"/>
    <x v="0"/>
    <s v="DISCOUNT NOT ALLOWED"/>
    <s v="discount not allowed"/>
    <s v="DISCOUNT NOT ALLOWED"/>
    <s v="Discount Not Allowed"/>
    <s v="22/06/24"/>
  </r>
  <r>
    <s v="TXN_9933625"/>
    <s v="CUST_25"/>
    <x v="7"/>
    <x v="44"/>
    <x v="5"/>
    <x v="2"/>
    <n v="268"/>
    <x v="1"/>
    <x v="0"/>
    <x v="578"/>
    <x v="1"/>
    <s v="DISCOUNT ALLOWED"/>
    <s v="discount allowed"/>
    <s v="DISCOUNT ALLOWED"/>
    <s v="Discount Allowed"/>
    <s v="02/11/22"/>
  </r>
  <r>
    <s v="TXN_1030654"/>
    <s v="CUST_20"/>
    <x v="0"/>
    <x v="17"/>
    <x v="2"/>
    <x v="3"/>
    <n v="266"/>
    <x v="0"/>
    <x v="0"/>
    <x v="579"/>
    <x v="1"/>
    <s v="DISCOUNT ALLOWED"/>
    <s v="discount allowed"/>
    <s v="DISCOUNT ALLOWED"/>
    <s v="Discount Allowed"/>
    <s v="26/08/22"/>
  </r>
  <r>
    <s v="TXN_1143957"/>
    <s v="CUST_06"/>
    <x v="0"/>
    <x v="17"/>
    <x v="2"/>
    <x v="3"/>
    <n v="266"/>
    <x v="1"/>
    <x v="0"/>
    <x v="561"/>
    <x v="0"/>
    <s v="DISCOUNT NOT ALLOWED"/>
    <s v="discount not allowed"/>
    <s v="DISCOUNT NOT ALLOWED"/>
    <s v="Discount Not Allowed"/>
    <s v="27/04/24"/>
  </r>
  <r>
    <s v="TXN_1421687"/>
    <s v="CUST_19"/>
    <x v="1"/>
    <x v="19"/>
    <x v="2"/>
    <x v="3"/>
    <n v="266"/>
    <x v="1"/>
    <x v="0"/>
    <x v="49"/>
    <x v="1"/>
    <s v="DISCOUNT ALLOWED"/>
    <s v="discount allowed"/>
    <s v="DISCOUNT ALLOWED"/>
    <s v="Discount Allowed"/>
    <s v="14/09/22"/>
  </r>
  <r>
    <s v="TXN_1729525"/>
    <s v="CUST_08"/>
    <x v="1"/>
    <x v="19"/>
    <x v="2"/>
    <x v="3"/>
    <n v="266"/>
    <x v="0"/>
    <x v="1"/>
    <x v="580"/>
    <x v="0"/>
    <s v="DISCOUNT NOT ALLOWED"/>
    <s v="discount not allowed"/>
    <s v="DISCOUNT NOT ALLOWED"/>
    <s v="Discount Not Allowed"/>
    <s v="10/11/22"/>
  </r>
  <r>
    <s v="TXN_2032102"/>
    <s v="CUST_03"/>
    <x v="7"/>
    <x v="21"/>
    <x v="2"/>
    <x v="3"/>
    <n v="266"/>
    <x v="1"/>
    <x v="0"/>
    <x v="328"/>
    <x v="0"/>
    <s v="DISCOUNT NOT ALLOWED"/>
    <s v="discount not allowed"/>
    <s v="DISCOUNT NOT ALLOWED"/>
    <s v="Discount Not Allowed"/>
    <s v="08/06/24"/>
  </r>
  <r>
    <s v="TXN_2092141"/>
    <s v="CUST_06"/>
    <x v="3"/>
    <x v="16"/>
    <x v="2"/>
    <x v="3"/>
    <n v="266"/>
    <x v="2"/>
    <x v="0"/>
    <x v="302"/>
    <x v="0"/>
    <s v="DISCOUNT NOT ALLOWED"/>
    <s v="discount not allowed"/>
    <s v="DISCOUNT NOT ALLOWED"/>
    <s v="Discount Not Allowed"/>
    <s v="05/11/22"/>
  </r>
  <r>
    <s v="TXN_2228877"/>
    <s v="CUST_20"/>
    <x v="7"/>
    <x v="21"/>
    <x v="2"/>
    <x v="3"/>
    <n v="266"/>
    <x v="1"/>
    <x v="0"/>
    <x v="581"/>
    <x v="0"/>
    <s v="DISCOUNT NOT ALLOWED"/>
    <s v="discount not allowed"/>
    <s v="DISCOUNT NOT ALLOWED"/>
    <s v="Discount Not Allowed"/>
    <s v="21/04/22"/>
  </r>
  <r>
    <s v="TXN_2733288"/>
    <s v="CUST_15"/>
    <x v="2"/>
    <x v="20"/>
    <x v="2"/>
    <x v="3"/>
    <n v="266"/>
    <x v="0"/>
    <x v="0"/>
    <x v="582"/>
    <x v="0"/>
    <s v="DISCOUNT NOT ALLOWED"/>
    <s v="discount not allowed"/>
    <s v="DISCOUNT NOT ALLOWED"/>
    <s v="Discount Not Allowed"/>
    <s v="15/10/23"/>
  </r>
  <r>
    <s v="TXN_2734881"/>
    <s v="CUST_04"/>
    <x v="5"/>
    <x v="15"/>
    <x v="2"/>
    <x v="3"/>
    <n v="266"/>
    <x v="2"/>
    <x v="0"/>
    <x v="129"/>
    <x v="0"/>
    <s v="DISCOUNT NOT ALLOWED"/>
    <s v="discount not allowed"/>
    <s v="DISCOUNT NOT ALLOWED"/>
    <s v="Discount Not Allowed"/>
    <s v="06/06/24"/>
  </r>
  <r>
    <s v="TXN_3067798"/>
    <s v="CUST_01"/>
    <x v="2"/>
    <x v="20"/>
    <x v="2"/>
    <x v="3"/>
    <n v="266"/>
    <x v="0"/>
    <x v="1"/>
    <x v="65"/>
    <x v="1"/>
    <s v="DISCOUNT ALLOWED"/>
    <s v="discount allowed"/>
    <s v="DISCOUNT ALLOWED"/>
    <s v="Discount Allowed"/>
    <s v="02/09/24"/>
  </r>
  <r>
    <s v="TXN_3135491"/>
    <s v="CUST_18"/>
    <x v="0"/>
    <x v="17"/>
    <x v="2"/>
    <x v="3"/>
    <n v="266"/>
    <x v="2"/>
    <x v="0"/>
    <x v="583"/>
    <x v="0"/>
    <s v="DISCOUNT NOT ALLOWED"/>
    <s v="discount not allowed"/>
    <s v="DISCOUNT NOT ALLOWED"/>
    <s v="Discount Not Allowed"/>
    <s v="16/03/22"/>
  </r>
  <r>
    <s v="TXN_3148275"/>
    <s v="CUST_10"/>
    <x v="4"/>
    <x v="22"/>
    <x v="2"/>
    <x v="3"/>
    <n v="266"/>
    <x v="0"/>
    <x v="1"/>
    <x v="212"/>
    <x v="0"/>
    <s v="DISCOUNT NOT ALLOWED"/>
    <s v="discount not allowed"/>
    <s v="DISCOUNT NOT ALLOWED"/>
    <s v="Discount Not Allowed"/>
    <s v="10/12/22"/>
  </r>
  <r>
    <s v="TXN_3452469"/>
    <s v="CUST_05"/>
    <x v="6"/>
    <x v="18"/>
    <x v="2"/>
    <x v="3"/>
    <n v="266"/>
    <x v="0"/>
    <x v="1"/>
    <x v="584"/>
    <x v="1"/>
    <s v="DISCOUNT ALLOWED"/>
    <s v="discount allowed"/>
    <s v="DISCOUNT ALLOWED"/>
    <s v="Discount Allowed"/>
    <s v="08/04/23"/>
  </r>
  <r>
    <s v="TXN_3576295"/>
    <s v="CUST_01"/>
    <x v="1"/>
    <x v="19"/>
    <x v="2"/>
    <x v="3"/>
    <n v="266"/>
    <x v="0"/>
    <x v="1"/>
    <x v="562"/>
    <x v="0"/>
    <s v="DISCOUNT NOT ALLOWED"/>
    <s v="discount not allowed"/>
    <s v="DISCOUNT NOT ALLOWED"/>
    <s v="Discount Not Allowed"/>
    <s v="06/08/24"/>
  </r>
  <r>
    <s v="TXN_3675138"/>
    <s v="CUST_10"/>
    <x v="0"/>
    <x v="17"/>
    <x v="2"/>
    <x v="3"/>
    <n v="266"/>
    <x v="0"/>
    <x v="0"/>
    <x v="585"/>
    <x v="0"/>
    <s v="DISCOUNT NOT ALLOWED"/>
    <s v="discount not allowed"/>
    <s v="DISCOUNT NOT ALLOWED"/>
    <s v="Discount Not Allowed"/>
    <s v="15/07/22"/>
  </r>
  <r>
    <s v="TXN_4813615"/>
    <s v="CUST_07"/>
    <x v="0"/>
    <x v="17"/>
    <x v="2"/>
    <x v="3"/>
    <n v="266"/>
    <x v="1"/>
    <x v="0"/>
    <x v="586"/>
    <x v="1"/>
    <s v="DISCOUNT ALLOWED"/>
    <s v="discount allowed"/>
    <s v="DISCOUNT ALLOWED"/>
    <s v="Discount Allowed"/>
    <s v="26/02/23"/>
  </r>
  <r>
    <s v="TXN_5761267"/>
    <s v="CUST_22"/>
    <x v="6"/>
    <x v="18"/>
    <x v="2"/>
    <x v="3"/>
    <n v="266"/>
    <x v="1"/>
    <x v="1"/>
    <x v="232"/>
    <x v="1"/>
    <s v="DISCOUNT ALLOWED"/>
    <s v="discount allowed"/>
    <s v="DISCOUNT ALLOWED"/>
    <s v="Discount Allowed"/>
    <s v="28/02/22"/>
  </r>
  <r>
    <s v="TXN_6137503"/>
    <s v="CUST_02"/>
    <x v="3"/>
    <x v="16"/>
    <x v="2"/>
    <x v="3"/>
    <n v="266"/>
    <x v="2"/>
    <x v="1"/>
    <x v="587"/>
    <x v="0"/>
    <s v="DISCOUNT NOT ALLOWED"/>
    <s v="discount not allowed"/>
    <s v="DISCOUNT NOT ALLOWED"/>
    <s v="Discount Not Allowed"/>
    <s v="05/04/22"/>
  </r>
  <r>
    <s v="TXN_7302888"/>
    <s v="CUST_25"/>
    <x v="7"/>
    <x v="21"/>
    <x v="2"/>
    <x v="3"/>
    <n v="266"/>
    <x v="2"/>
    <x v="1"/>
    <x v="26"/>
    <x v="0"/>
    <s v="DISCOUNT NOT ALLOWED"/>
    <s v="discount not allowed"/>
    <s v="DISCOUNT NOT ALLOWED"/>
    <s v="Discount Not Allowed"/>
    <s v="31/12/24"/>
  </r>
  <r>
    <s v="TXN_7574833"/>
    <s v="CUST_04"/>
    <x v="7"/>
    <x v="21"/>
    <x v="2"/>
    <x v="3"/>
    <n v="266"/>
    <x v="0"/>
    <x v="1"/>
    <x v="581"/>
    <x v="0"/>
    <s v="DISCOUNT NOT ALLOWED"/>
    <s v="discount not allowed"/>
    <s v="DISCOUNT NOT ALLOWED"/>
    <s v="Discount Not Allowed"/>
    <s v="21/04/22"/>
  </r>
  <r>
    <s v="TXN_8022463"/>
    <s v="CUST_18"/>
    <x v="2"/>
    <x v="20"/>
    <x v="2"/>
    <x v="3"/>
    <n v="266"/>
    <x v="2"/>
    <x v="1"/>
    <x v="588"/>
    <x v="1"/>
    <s v="DISCOUNT ALLOWED"/>
    <s v="discount allowed"/>
    <s v="DISCOUNT ALLOWED"/>
    <s v="Discount Allowed"/>
    <s v="10/01/22"/>
  </r>
  <r>
    <s v="TXN_8305422"/>
    <s v="CUST_07"/>
    <x v="0"/>
    <x v="17"/>
    <x v="2"/>
    <x v="3"/>
    <n v="266"/>
    <x v="1"/>
    <x v="1"/>
    <x v="589"/>
    <x v="1"/>
    <s v="DISCOUNT ALLOWED"/>
    <s v="discount allowed"/>
    <s v="DISCOUNT ALLOWED"/>
    <s v="Discount Allowed"/>
    <s v="25/02/22"/>
  </r>
  <r>
    <s v="TXN_8388538"/>
    <s v="CUST_06"/>
    <x v="3"/>
    <x v="16"/>
    <x v="2"/>
    <x v="3"/>
    <n v="266"/>
    <x v="0"/>
    <x v="0"/>
    <x v="107"/>
    <x v="0"/>
    <s v="DISCOUNT NOT ALLOWED"/>
    <s v="discount not allowed"/>
    <s v="DISCOUNT NOT ALLOWED"/>
    <s v="Discount Not Allowed"/>
    <s v="11/07/22"/>
  </r>
  <r>
    <s v="TXN_8605252"/>
    <s v="CUST_01"/>
    <x v="0"/>
    <x v="17"/>
    <x v="2"/>
    <x v="3"/>
    <n v="266"/>
    <x v="1"/>
    <x v="1"/>
    <x v="590"/>
    <x v="1"/>
    <s v="DISCOUNT ALLOWED"/>
    <s v="discount allowed"/>
    <s v="DISCOUNT ALLOWED"/>
    <s v="Discount Allowed"/>
    <s v="05/12/22"/>
  </r>
  <r>
    <s v="TXN_8943178"/>
    <s v="CUST_21"/>
    <x v="7"/>
    <x v="21"/>
    <x v="2"/>
    <x v="3"/>
    <n v="266"/>
    <x v="2"/>
    <x v="1"/>
    <x v="549"/>
    <x v="0"/>
    <s v="DISCOUNT NOT ALLOWED"/>
    <s v="discount not allowed"/>
    <s v="DISCOUNT NOT ALLOWED"/>
    <s v="Discount Not Allowed"/>
    <s v="18/03/23"/>
  </r>
  <r>
    <s v="TXN_9171042"/>
    <s v="CUST_16"/>
    <x v="1"/>
    <x v="19"/>
    <x v="2"/>
    <x v="3"/>
    <n v="266"/>
    <x v="0"/>
    <x v="1"/>
    <x v="170"/>
    <x v="1"/>
    <s v="DISCOUNT ALLOWED"/>
    <s v="discount allowed"/>
    <s v="DISCOUNT ALLOWED"/>
    <s v="Discount Allowed"/>
    <s v="10/05/24"/>
  </r>
  <r>
    <s v="TXN_9205907"/>
    <s v="CUST_23"/>
    <x v="0"/>
    <x v="17"/>
    <x v="2"/>
    <x v="3"/>
    <n v="266"/>
    <x v="2"/>
    <x v="1"/>
    <x v="591"/>
    <x v="1"/>
    <s v="DISCOUNT ALLOWED"/>
    <s v="discount allowed"/>
    <s v="DISCOUNT ALLOWED"/>
    <s v="Discount Allowed"/>
    <s v="11/11/22"/>
  </r>
  <r>
    <s v="TXN_9384430"/>
    <s v="CUST_21"/>
    <x v="0"/>
    <x v="17"/>
    <x v="2"/>
    <x v="3"/>
    <n v="266"/>
    <x v="0"/>
    <x v="1"/>
    <x v="118"/>
    <x v="0"/>
    <s v="DISCOUNT NOT ALLOWED"/>
    <s v="discount not allowed"/>
    <s v="DISCOUNT NOT ALLOWED"/>
    <s v="Discount Not Allowed"/>
    <s v="27/04/22"/>
  </r>
  <r>
    <s v="TXN_9397079"/>
    <s v="CUST_05"/>
    <x v="5"/>
    <x v="15"/>
    <x v="2"/>
    <x v="3"/>
    <n v="266"/>
    <x v="2"/>
    <x v="1"/>
    <x v="44"/>
    <x v="0"/>
    <s v="DISCOUNT NOT ALLOWED"/>
    <s v="discount not allowed"/>
    <s v="DISCOUNT NOT ALLOWED"/>
    <s v="Discount Not Allowed"/>
    <s v="02/10/22"/>
  </r>
  <r>
    <s v="TXN_9761735"/>
    <s v="CUST_02"/>
    <x v="5"/>
    <x v="15"/>
    <x v="2"/>
    <x v="3"/>
    <n v="266"/>
    <x v="0"/>
    <x v="1"/>
    <x v="432"/>
    <x v="0"/>
    <s v="DISCOUNT NOT ALLOWED"/>
    <s v="discount not allowed"/>
    <s v="DISCOUNT NOT ALLOWED"/>
    <s v="Discount Not Allowed"/>
    <s v="06/10/24"/>
  </r>
  <r>
    <s v="TXN_9847297"/>
    <s v="CUST_25"/>
    <x v="0"/>
    <x v="17"/>
    <x v="2"/>
    <x v="3"/>
    <n v="266"/>
    <x v="1"/>
    <x v="0"/>
    <x v="592"/>
    <x v="1"/>
    <s v="DISCOUNT ALLOWED"/>
    <s v="discount allowed"/>
    <s v="DISCOUNT ALLOWED"/>
    <s v="Discount Allowed"/>
    <s v="11/12/23"/>
  </r>
  <r>
    <s v="TXN_1085427"/>
    <s v="CUST_24"/>
    <x v="7"/>
    <x v="63"/>
    <x v="8"/>
    <x v="1"/>
    <n v="261"/>
    <x v="0"/>
    <x v="1"/>
    <x v="178"/>
    <x v="0"/>
    <s v="DISCOUNT NOT ALLOWED"/>
    <s v="discount not allowed"/>
    <s v="DISCOUNT NOT ALLOWED"/>
    <s v="Discount Not Allowed"/>
    <s v="21/10/24"/>
  </r>
  <r>
    <s v="TXN_1089350"/>
    <s v="CUST_06"/>
    <x v="6"/>
    <x v="62"/>
    <x v="8"/>
    <x v="1"/>
    <n v="261"/>
    <x v="0"/>
    <x v="1"/>
    <x v="570"/>
    <x v="1"/>
    <s v="DISCOUNT ALLOWED"/>
    <s v="discount allowed"/>
    <s v="DISCOUNT ALLOWED"/>
    <s v="Discount Allowed"/>
    <s v="03/01/25"/>
  </r>
  <r>
    <s v="TXN_1495409"/>
    <s v="CUST_04"/>
    <x v="4"/>
    <x v="66"/>
    <x v="8"/>
    <x v="1"/>
    <n v="261"/>
    <x v="1"/>
    <x v="1"/>
    <x v="93"/>
    <x v="0"/>
    <s v="DISCOUNT NOT ALLOWED"/>
    <s v="discount not allowed"/>
    <s v="DISCOUNT NOT ALLOWED"/>
    <s v="Discount Not Allowed"/>
    <s v="08/12/22"/>
  </r>
  <r>
    <s v="TXN_1661883"/>
    <s v="CUST_04"/>
    <x v="1"/>
    <x v="64"/>
    <x v="8"/>
    <x v="1"/>
    <n v="261"/>
    <x v="1"/>
    <x v="1"/>
    <x v="214"/>
    <x v="0"/>
    <s v="DISCOUNT NOT ALLOWED"/>
    <s v="discount not allowed"/>
    <s v="DISCOUNT NOT ALLOWED"/>
    <s v="Discount Not Allowed"/>
    <s v="18/01/25"/>
  </r>
  <r>
    <s v="TXN_1995025"/>
    <s v="CUST_18"/>
    <x v="1"/>
    <x v="64"/>
    <x v="8"/>
    <x v="1"/>
    <n v="261"/>
    <x v="1"/>
    <x v="0"/>
    <x v="593"/>
    <x v="1"/>
    <s v="DISCOUNT ALLOWED"/>
    <s v="discount allowed"/>
    <s v="DISCOUNT ALLOWED"/>
    <s v="Discount Allowed"/>
    <s v="10/07/22"/>
  </r>
  <r>
    <s v="TXN_2161304"/>
    <s v="CUST_25"/>
    <x v="1"/>
    <x v="64"/>
    <x v="8"/>
    <x v="1"/>
    <n v="261"/>
    <x v="2"/>
    <x v="0"/>
    <x v="594"/>
    <x v="0"/>
    <s v="DISCOUNT NOT ALLOWED"/>
    <s v="discount not allowed"/>
    <s v="DISCOUNT NOT ALLOWED"/>
    <s v="Discount Not Allowed"/>
    <s v="12/10/23"/>
  </r>
  <r>
    <s v="TXN_2168738"/>
    <s v="CUST_15"/>
    <x v="0"/>
    <x v="61"/>
    <x v="8"/>
    <x v="1"/>
    <n v="261"/>
    <x v="2"/>
    <x v="0"/>
    <x v="595"/>
    <x v="0"/>
    <s v="DISCOUNT NOT ALLOWED"/>
    <s v="discount not allowed"/>
    <s v="DISCOUNT NOT ALLOWED"/>
    <s v="Discount Not Allowed"/>
    <s v="17/10/23"/>
  </r>
  <r>
    <s v="TXN_2209308"/>
    <s v="CUST_15"/>
    <x v="5"/>
    <x v="67"/>
    <x v="8"/>
    <x v="1"/>
    <n v="261"/>
    <x v="1"/>
    <x v="0"/>
    <x v="219"/>
    <x v="1"/>
    <s v="DISCOUNT ALLOWED"/>
    <s v="discount allowed"/>
    <s v="DISCOUNT ALLOWED"/>
    <s v="Discount Allowed"/>
    <s v="23/05/23"/>
  </r>
  <r>
    <s v="TXN_2365702"/>
    <s v="CUST_14"/>
    <x v="6"/>
    <x v="62"/>
    <x v="8"/>
    <x v="1"/>
    <n v="261"/>
    <x v="1"/>
    <x v="1"/>
    <x v="232"/>
    <x v="1"/>
    <s v="DISCOUNT ALLOWED"/>
    <s v="discount allowed"/>
    <s v="DISCOUNT ALLOWED"/>
    <s v="Discount Allowed"/>
    <s v="28/02/22"/>
  </r>
  <r>
    <s v="TXN_2985819"/>
    <s v="CUST_13"/>
    <x v="1"/>
    <x v="64"/>
    <x v="8"/>
    <x v="1"/>
    <n v="261"/>
    <x v="0"/>
    <x v="0"/>
    <x v="402"/>
    <x v="0"/>
    <s v="DISCOUNT NOT ALLOWED"/>
    <s v="discount not allowed"/>
    <s v="DISCOUNT NOT ALLOWED"/>
    <s v="Discount Not Allowed"/>
    <s v="07/09/23"/>
  </r>
  <r>
    <s v="TXN_3056063"/>
    <s v="CUST_19"/>
    <x v="0"/>
    <x v="61"/>
    <x v="8"/>
    <x v="1"/>
    <n v="261"/>
    <x v="2"/>
    <x v="1"/>
    <x v="596"/>
    <x v="0"/>
    <s v="DISCOUNT NOT ALLOWED"/>
    <s v="discount not allowed"/>
    <s v="DISCOUNT NOT ALLOWED"/>
    <s v="Discount Not Allowed"/>
    <s v="06/12/23"/>
  </r>
  <r>
    <s v="TXN_3244604"/>
    <s v="CUST_09"/>
    <x v="5"/>
    <x v="67"/>
    <x v="8"/>
    <x v="1"/>
    <n v="261"/>
    <x v="2"/>
    <x v="1"/>
    <x v="597"/>
    <x v="1"/>
    <s v="DISCOUNT ALLOWED"/>
    <s v="discount allowed"/>
    <s v="DISCOUNT ALLOWED"/>
    <s v="Discount Allowed"/>
    <s v="10/09/22"/>
  </r>
  <r>
    <s v="TXN_3259882"/>
    <s v="CUST_03"/>
    <x v="0"/>
    <x v="61"/>
    <x v="8"/>
    <x v="1"/>
    <n v="261"/>
    <x v="0"/>
    <x v="1"/>
    <x v="61"/>
    <x v="0"/>
    <s v="DISCOUNT NOT ALLOWED"/>
    <s v="discount not allowed"/>
    <s v="DISCOUNT NOT ALLOWED"/>
    <s v="Discount Not Allowed"/>
    <s v="18/01/23"/>
  </r>
  <r>
    <s v="TXN_3380676"/>
    <s v="CUST_04"/>
    <x v="5"/>
    <x v="67"/>
    <x v="8"/>
    <x v="1"/>
    <n v="261"/>
    <x v="1"/>
    <x v="0"/>
    <x v="67"/>
    <x v="0"/>
    <s v="DISCOUNT NOT ALLOWED"/>
    <s v="discount not allowed"/>
    <s v="DISCOUNT NOT ALLOWED"/>
    <s v="Discount Not Allowed"/>
    <s v="18/08/22"/>
  </r>
  <r>
    <s v="TXN_3731986"/>
    <s v="CUST_22"/>
    <x v="0"/>
    <x v="61"/>
    <x v="8"/>
    <x v="1"/>
    <n v="261"/>
    <x v="0"/>
    <x v="0"/>
    <x v="87"/>
    <x v="1"/>
    <s v="DISCOUNT ALLOWED"/>
    <s v="discount allowed"/>
    <s v="DISCOUNT ALLOWED"/>
    <s v="Discount Allowed"/>
    <s v="23/07/23"/>
  </r>
  <r>
    <s v="TXN_3882897"/>
    <s v="CUST_14"/>
    <x v="3"/>
    <x v="65"/>
    <x v="8"/>
    <x v="1"/>
    <n v="261"/>
    <x v="0"/>
    <x v="0"/>
    <x v="249"/>
    <x v="0"/>
    <s v="DISCOUNT NOT ALLOWED"/>
    <s v="discount not allowed"/>
    <s v="DISCOUNT NOT ALLOWED"/>
    <s v="Discount Not Allowed"/>
    <s v="12/04/24"/>
  </r>
  <r>
    <s v="TXN_4076999"/>
    <s v="CUST_03"/>
    <x v="0"/>
    <x v="61"/>
    <x v="8"/>
    <x v="1"/>
    <n v="261"/>
    <x v="1"/>
    <x v="0"/>
    <x v="138"/>
    <x v="0"/>
    <s v="DISCOUNT NOT ALLOWED"/>
    <s v="discount not allowed"/>
    <s v="DISCOUNT NOT ALLOWED"/>
    <s v="Discount Not Allowed"/>
    <s v="10/02/24"/>
  </r>
  <r>
    <s v="TXN_4407458"/>
    <s v="CUST_14"/>
    <x v="5"/>
    <x v="67"/>
    <x v="8"/>
    <x v="1"/>
    <n v="261"/>
    <x v="1"/>
    <x v="0"/>
    <x v="225"/>
    <x v="0"/>
    <s v="DISCOUNT NOT ALLOWED"/>
    <s v="discount not allowed"/>
    <s v="DISCOUNT NOT ALLOWED"/>
    <s v="Discount Not Allowed"/>
    <s v="26/03/23"/>
  </r>
  <r>
    <s v="TXN_4425516"/>
    <s v="CUST_23"/>
    <x v="6"/>
    <x v="62"/>
    <x v="8"/>
    <x v="1"/>
    <n v="261"/>
    <x v="0"/>
    <x v="0"/>
    <x v="395"/>
    <x v="1"/>
    <s v="DISCOUNT ALLOWED"/>
    <s v="discount allowed"/>
    <s v="DISCOUNT ALLOWED"/>
    <s v="Discount Allowed"/>
    <s v="21/06/22"/>
  </r>
  <r>
    <s v="TXN_5106214"/>
    <s v="CUST_24"/>
    <x v="4"/>
    <x v="66"/>
    <x v="8"/>
    <x v="1"/>
    <n v="261"/>
    <x v="1"/>
    <x v="1"/>
    <x v="507"/>
    <x v="0"/>
    <s v="DISCOUNT NOT ALLOWED"/>
    <s v="discount not allowed"/>
    <s v="DISCOUNT NOT ALLOWED"/>
    <s v="Discount Not Allowed"/>
    <s v="30/12/24"/>
  </r>
  <r>
    <s v="TXN_5259443"/>
    <s v="CUST_15"/>
    <x v="0"/>
    <x v="61"/>
    <x v="8"/>
    <x v="1"/>
    <n v="261"/>
    <x v="0"/>
    <x v="1"/>
    <x v="598"/>
    <x v="0"/>
    <s v="DISCOUNT NOT ALLOWED"/>
    <s v="discount not allowed"/>
    <s v="DISCOUNT NOT ALLOWED"/>
    <s v="Discount Not Allowed"/>
    <s v="06/03/24"/>
  </r>
  <r>
    <s v="TXN_5872878"/>
    <s v="CUST_24"/>
    <x v="7"/>
    <x v="63"/>
    <x v="8"/>
    <x v="1"/>
    <n v="261"/>
    <x v="2"/>
    <x v="1"/>
    <x v="282"/>
    <x v="1"/>
    <s v="DISCOUNT ALLOWED"/>
    <s v="discount allowed"/>
    <s v="DISCOUNT ALLOWED"/>
    <s v="Discount Allowed"/>
    <s v="20/06/23"/>
  </r>
  <r>
    <s v="TXN_5889960"/>
    <s v="CUST_15"/>
    <x v="7"/>
    <x v="63"/>
    <x v="8"/>
    <x v="1"/>
    <n v="261"/>
    <x v="0"/>
    <x v="1"/>
    <x v="599"/>
    <x v="1"/>
    <s v="DISCOUNT ALLOWED"/>
    <s v="discount allowed"/>
    <s v="DISCOUNT ALLOWED"/>
    <s v="Discount Allowed"/>
    <s v="10/07/23"/>
  </r>
  <r>
    <s v="TXN_5890409"/>
    <s v="CUST_17"/>
    <x v="1"/>
    <x v="64"/>
    <x v="8"/>
    <x v="1"/>
    <n v="261"/>
    <x v="0"/>
    <x v="0"/>
    <x v="600"/>
    <x v="0"/>
    <s v="DISCOUNT NOT ALLOWED"/>
    <s v="discount not allowed"/>
    <s v="DISCOUNT NOT ALLOWED"/>
    <s v="Discount Not Allowed"/>
    <s v="26/10/22"/>
  </r>
  <r>
    <s v="TXN_6559162"/>
    <s v="CUST_14"/>
    <x v="4"/>
    <x v="66"/>
    <x v="8"/>
    <x v="1"/>
    <n v="261"/>
    <x v="1"/>
    <x v="0"/>
    <x v="601"/>
    <x v="1"/>
    <s v="DISCOUNT ALLOWED"/>
    <s v="discount allowed"/>
    <s v="DISCOUNT ALLOWED"/>
    <s v="Discount Allowed"/>
    <s v="26/01/24"/>
  </r>
  <r>
    <s v="TXN_6660687"/>
    <s v="CUST_02"/>
    <x v="2"/>
    <x v="68"/>
    <x v="8"/>
    <x v="1"/>
    <n v="261"/>
    <x v="0"/>
    <x v="0"/>
    <x v="199"/>
    <x v="0"/>
    <s v="DISCOUNT NOT ALLOWED"/>
    <s v="discount not allowed"/>
    <s v="DISCOUNT NOT ALLOWED"/>
    <s v="Discount Not Allowed"/>
    <s v="27/12/24"/>
  </r>
  <r>
    <s v="TXN_6679357"/>
    <s v="CUST_06"/>
    <x v="7"/>
    <x v="63"/>
    <x v="8"/>
    <x v="1"/>
    <n v="261"/>
    <x v="2"/>
    <x v="1"/>
    <x v="458"/>
    <x v="0"/>
    <s v="DISCOUNT NOT ALLOWED"/>
    <s v="discount not allowed"/>
    <s v="DISCOUNT NOT ALLOWED"/>
    <s v="Discount Not Allowed"/>
    <s v="18/05/24"/>
  </r>
  <r>
    <s v="TXN_6919349"/>
    <s v="CUST_16"/>
    <x v="6"/>
    <x v="62"/>
    <x v="8"/>
    <x v="1"/>
    <n v="261"/>
    <x v="2"/>
    <x v="1"/>
    <x v="602"/>
    <x v="0"/>
    <s v="DISCOUNT NOT ALLOWED"/>
    <s v="discount not allowed"/>
    <s v="DISCOUNT NOT ALLOWED"/>
    <s v="Discount Not Allowed"/>
    <s v="22/01/24"/>
  </r>
  <r>
    <s v="TXN_7036290"/>
    <s v="CUST_15"/>
    <x v="7"/>
    <x v="63"/>
    <x v="8"/>
    <x v="1"/>
    <n v="261"/>
    <x v="1"/>
    <x v="0"/>
    <x v="603"/>
    <x v="1"/>
    <s v="DISCOUNT ALLOWED"/>
    <s v="discount allowed"/>
    <s v="DISCOUNT ALLOWED"/>
    <s v="Discount Allowed"/>
    <s v="25/07/23"/>
  </r>
  <r>
    <s v="TXN_7344843"/>
    <s v="CUST_04"/>
    <x v="6"/>
    <x v="62"/>
    <x v="8"/>
    <x v="1"/>
    <n v="261"/>
    <x v="0"/>
    <x v="1"/>
    <x v="200"/>
    <x v="0"/>
    <s v="DISCOUNT NOT ALLOWED"/>
    <s v="discount not allowed"/>
    <s v="DISCOUNT NOT ALLOWED"/>
    <s v="Discount Not Allowed"/>
    <s v="29/01/22"/>
  </r>
  <r>
    <s v="TXN_7474047"/>
    <s v="CUST_14"/>
    <x v="7"/>
    <x v="63"/>
    <x v="8"/>
    <x v="1"/>
    <n v="261"/>
    <x v="0"/>
    <x v="0"/>
    <x v="152"/>
    <x v="1"/>
    <s v="DISCOUNT ALLOWED"/>
    <s v="discount allowed"/>
    <s v="DISCOUNT ALLOWED"/>
    <s v="Discount Allowed"/>
    <s v="10/02/22"/>
  </r>
  <r>
    <s v="TXN_7586947"/>
    <s v="CUST_24"/>
    <x v="4"/>
    <x v="66"/>
    <x v="8"/>
    <x v="1"/>
    <n v="261"/>
    <x v="2"/>
    <x v="0"/>
    <x v="604"/>
    <x v="0"/>
    <s v="DISCOUNT NOT ALLOWED"/>
    <s v="discount not allowed"/>
    <s v="DISCOUNT NOT ALLOWED"/>
    <s v="Discount Not Allowed"/>
    <s v="28/01/24"/>
  </r>
  <r>
    <s v="TXN_7663232"/>
    <s v="CUST_13"/>
    <x v="7"/>
    <x v="63"/>
    <x v="8"/>
    <x v="1"/>
    <n v="261"/>
    <x v="0"/>
    <x v="0"/>
    <x v="605"/>
    <x v="1"/>
    <s v="DISCOUNT ALLOWED"/>
    <s v="discount allowed"/>
    <s v="DISCOUNT ALLOWED"/>
    <s v="Discount Allowed"/>
    <s v="27/12/22"/>
  </r>
  <r>
    <s v="TXN_7663927"/>
    <s v="CUST_21"/>
    <x v="0"/>
    <x v="61"/>
    <x v="8"/>
    <x v="1"/>
    <n v="261"/>
    <x v="0"/>
    <x v="0"/>
    <x v="606"/>
    <x v="1"/>
    <s v="DISCOUNT ALLOWED"/>
    <s v="discount allowed"/>
    <s v="DISCOUNT ALLOWED"/>
    <s v="Discount Allowed"/>
    <s v="02/08/23"/>
  </r>
  <r>
    <s v="TXN_7915725"/>
    <s v="CUST_15"/>
    <x v="3"/>
    <x v="65"/>
    <x v="8"/>
    <x v="1"/>
    <n v="261"/>
    <x v="2"/>
    <x v="1"/>
    <x v="607"/>
    <x v="0"/>
    <s v="DISCOUNT NOT ALLOWED"/>
    <s v="discount not allowed"/>
    <s v="DISCOUNT NOT ALLOWED"/>
    <s v="Discount Not Allowed"/>
    <s v="25/08/22"/>
  </r>
  <r>
    <s v="TXN_7978024"/>
    <s v="CUST_15"/>
    <x v="5"/>
    <x v="67"/>
    <x v="8"/>
    <x v="1"/>
    <n v="261"/>
    <x v="0"/>
    <x v="0"/>
    <x v="228"/>
    <x v="0"/>
    <s v="DISCOUNT NOT ALLOWED"/>
    <s v="discount not allowed"/>
    <s v="DISCOUNT NOT ALLOWED"/>
    <s v="Discount Not Allowed"/>
    <s v="27/02/22"/>
  </r>
  <r>
    <s v="TXN_7979356"/>
    <s v="CUST_09"/>
    <x v="6"/>
    <x v="62"/>
    <x v="8"/>
    <x v="1"/>
    <n v="261"/>
    <x v="2"/>
    <x v="0"/>
    <x v="608"/>
    <x v="0"/>
    <s v="DISCOUNT NOT ALLOWED"/>
    <s v="discount not allowed"/>
    <s v="DISCOUNT NOT ALLOWED"/>
    <s v="Discount Not Allowed"/>
    <s v="19/11/22"/>
  </r>
  <r>
    <s v="TXN_8195314"/>
    <s v="CUST_18"/>
    <x v="5"/>
    <x v="67"/>
    <x v="8"/>
    <x v="1"/>
    <n v="261"/>
    <x v="1"/>
    <x v="0"/>
    <x v="609"/>
    <x v="1"/>
    <s v="DISCOUNT ALLOWED"/>
    <s v="discount allowed"/>
    <s v="DISCOUNT ALLOWED"/>
    <s v="Discount Allowed"/>
    <s v="14/02/24"/>
  </r>
  <r>
    <s v="TXN_8402616"/>
    <s v="CUST_11"/>
    <x v="7"/>
    <x v="63"/>
    <x v="8"/>
    <x v="1"/>
    <n v="261"/>
    <x v="2"/>
    <x v="0"/>
    <x v="610"/>
    <x v="1"/>
    <s v="DISCOUNT ALLOWED"/>
    <s v="discount allowed"/>
    <s v="DISCOUNT ALLOWED"/>
    <s v="Discount Allowed"/>
    <s v="15/08/24"/>
  </r>
  <r>
    <s v="TXN_8878406"/>
    <s v="CUST_12"/>
    <x v="7"/>
    <x v="63"/>
    <x v="8"/>
    <x v="1"/>
    <n v="261"/>
    <x v="0"/>
    <x v="0"/>
    <x v="611"/>
    <x v="1"/>
    <s v="DISCOUNT ALLOWED"/>
    <s v="discount allowed"/>
    <s v="DISCOUNT ALLOWED"/>
    <s v="Discount Allowed"/>
    <s v="18/12/22"/>
  </r>
  <r>
    <s v="TXN_8987762"/>
    <s v="CUST_22"/>
    <x v="6"/>
    <x v="62"/>
    <x v="8"/>
    <x v="1"/>
    <n v="261"/>
    <x v="2"/>
    <x v="1"/>
    <x v="612"/>
    <x v="0"/>
    <s v="DISCOUNT NOT ALLOWED"/>
    <s v="discount not allowed"/>
    <s v="DISCOUNT NOT ALLOWED"/>
    <s v="Discount Not Allowed"/>
    <s v="18/11/24"/>
  </r>
  <r>
    <s v="TXN_9483255"/>
    <s v="CUST_23"/>
    <x v="5"/>
    <x v="67"/>
    <x v="8"/>
    <x v="1"/>
    <n v="261"/>
    <x v="2"/>
    <x v="1"/>
    <x v="613"/>
    <x v="1"/>
    <s v="DISCOUNT ALLOWED"/>
    <s v="discount allowed"/>
    <s v="DISCOUNT ALLOWED"/>
    <s v="Discount Allowed"/>
    <s v="20/04/23"/>
  </r>
  <r>
    <s v="TXN_9882772"/>
    <s v="CUST_09"/>
    <x v="2"/>
    <x v="68"/>
    <x v="8"/>
    <x v="1"/>
    <n v="261"/>
    <x v="1"/>
    <x v="0"/>
    <x v="614"/>
    <x v="1"/>
    <s v="DISCOUNT ALLOWED"/>
    <s v="discount allowed"/>
    <s v="DISCOUNT ALLOWED"/>
    <s v="Discount Allowed"/>
    <s v="07/08/23"/>
  </r>
  <r>
    <s v="TXN_9930429"/>
    <s v="CUST_19"/>
    <x v="5"/>
    <x v="67"/>
    <x v="8"/>
    <x v="1"/>
    <n v="261"/>
    <x v="0"/>
    <x v="0"/>
    <x v="615"/>
    <x v="0"/>
    <s v="DISCOUNT NOT ALLOWED"/>
    <s v="discount not allowed"/>
    <s v="DISCOUNT NOT ALLOWED"/>
    <s v="Discount Not Allowed"/>
    <s v="02/12/23"/>
  </r>
  <r>
    <s v="TXN_1283354"/>
    <s v="CUST_06"/>
    <x v="2"/>
    <x v="77"/>
    <x v="10"/>
    <x v="0"/>
    <n v="260"/>
    <x v="0"/>
    <x v="1"/>
    <x v="616"/>
    <x v="0"/>
    <s v="DISCOUNT NOT ALLOWED"/>
    <s v="discount not allowed"/>
    <s v="DISCOUNT NOT ALLOWED"/>
    <s v="Discount Not Allowed"/>
    <s v="17/08/23"/>
  </r>
  <r>
    <s v="TXN_1358906"/>
    <s v="CUST_16"/>
    <x v="1"/>
    <x v="78"/>
    <x v="10"/>
    <x v="0"/>
    <n v="260"/>
    <x v="0"/>
    <x v="0"/>
    <x v="443"/>
    <x v="0"/>
    <s v="DISCOUNT NOT ALLOWED"/>
    <s v="discount not allowed"/>
    <s v="DISCOUNT NOT ALLOWED"/>
    <s v="Discount Not Allowed"/>
    <s v="28/02/24"/>
  </r>
  <r>
    <s v="TXN_1365343"/>
    <s v="CUST_16"/>
    <x v="4"/>
    <x v="79"/>
    <x v="10"/>
    <x v="0"/>
    <n v="260"/>
    <x v="0"/>
    <x v="0"/>
    <x v="617"/>
    <x v="1"/>
    <s v="DISCOUNT ALLOWED"/>
    <s v="discount allowed"/>
    <s v="DISCOUNT ALLOWED"/>
    <s v="Discount Allowed"/>
    <s v="28/11/24"/>
  </r>
  <r>
    <s v="TXN_1629752"/>
    <s v="CUST_17"/>
    <x v="3"/>
    <x v="80"/>
    <x v="10"/>
    <x v="0"/>
    <n v="260"/>
    <x v="1"/>
    <x v="0"/>
    <x v="47"/>
    <x v="1"/>
    <s v="DISCOUNT ALLOWED"/>
    <s v="discount allowed"/>
    <s v="DISCOUNT ALLOWED"/>
    <s v="Discount Allowed"/>
    <s v="01/01/24"/>
  </r>
  <r>
    <s v="TXN_1960454"/>
    <s v="CUST_10"/>
    <x v="5"/>
    <x v="81"/>
    <x v="10"/>
    <x v="0"/>
    <n v="260"/>
    <x v="1"/>
    <x v="0"/>
    <x v="344"/>
    <x v="1"/>
    <s v="DISCOUNT ALLOWED"/>
    <s v="discount allowed"/>
    <s v="DISCOUNT ALLOWED"/>
    <s v="Discount Allowed"/>
    <s v="01/04/22"/>
  </r>
  <r>
    <s v="TXN_2124123"/>
    <s v="CUST_12"/>
    <x v="5"/>
    <x v="81"/>
    <x v="10"/>
    <x v="0"/>
    <n v="260"/>
    <x v="0"/>
    <x v="0"/>
    <x v="618"/>
    <x v="0"/>
    <s v="DISCOUNT NOT ALLOWED"/>
    <s v="discount not allowed"/>
    <s v="DISCOUNT NOT ALLOWED"/>
    <s v="Discount Not Allowed"/>
    <s v="23/01/24"/>
  </r>
  <r>
    <s v="TXN_2430569"/>
    <s v="CUST_14"/>
    <x v="1"/>
    <x v="78"/>
    <x v="10"/>
    <x v="0"/>
    <n v="260"/>
    <x v="1"/>
    <x v="0"/>
    <x v="619"/>
    <x v="0"/>
    <s v="DISCOUNT NOT ALLOWED"/>
    <s v="discount not allowed"/>
    <s v="DISCOUNT NOT ALLOWED"/>
    <s v="Discount Not Allowed"/>
    <s v="15/09/24"/>
  </r>
  <r>
    <s v="TXN_2665313"/>
    <s v="CUST_21"/>
    <x v="5"/>
    <x v="81"/>
    <x v="10"/>
    <x v="0"/>
    <n v="260"/>
    <x v="2"/>
    <x v="0"/>
    <x v="620"/>
    <x v="1"/>
    <s v="DISCOUNT ALLOWED"/>
    <s v="discount allowed"/>
    <s v="DISCOUNT ALLOWED"/>
    <s v="Discount Allowed"/>
    <s v="19/09/23"/>
  </r>
  <r>
    <s v="TXN_2853011"/>
    <s v="CUST_05"/>
    <x v="2"/>
    <x v="77"/>
    <x v="10"/>
    <x v="0"/>
    <n v="260"/>
    <x v="2"/>
    <x v="0"/>
    <x v="621"/>
    <x v="1"/>
    <s v="DISCOUNT ALLOWED"/>
    <s v="discount allowed"/>
    <s v="DISCOUNT ALLOWED"/>
    <s v="Discount Allowed"/>
    <s v="03/06/23"/>
  </r>
  <r>
    <s v="TXN_2882366"/>
    <s v="CUST_25"/>
    <x v="4"/>
    <x v="79"/>
    <x v="10"/>
    <x v="0"/>
    <n v="260"/>
    <x v="0"/>
    <x v="0"/>
    <x v="388"/>
    <x v="1"/>
    <s v="DISCOUNT ALLOWED"/>
    <s v="discount allowed"/>
    <s v="DISCOUNT ALLOWED"/>
    <s v="Discount Allowed"/>
    <s v="23/01/23"/>
  </r>
  <r>
    <s v="TXN_3108791"/>
    <s v="CUST_06"/>
    <x v="2"/>
    <x v="77"/>
    <x v="10"/>
    <x v="0"/>
    <n v="260"/>
    <x v="1"/>
    <x v="1"/>
    <x v="254"/>
    <x v="0"/>
    <s v="DISCOUNT NOT ALLOWED"/>
    <s v="discount not allowed"/>
    <s v="DISCOUNT NOT ALLOWED"/>
    <s v="Discount Not Allowed"/>
    <s v="13/02/22"/>
  </r>
  <r>
    <s v="TXN_3220505"/>
    <s v="CUST_13"/>
    <x v="2"/>
    <x v="77"/>
    <x v="10"/>
    <x v="0"/>
    <n v="260"/>
    <x v="1"/>
    <x v="0"/>
    <x v="622"/>
    <x v="1"/>
    <s v="DISCOUNT ALLOWED"/>
    <s v="discount allowed"/>
    <s v="DISCOUNT ALLOWED"/>
    <s v="Discount Allowed"/>
    <s v="23/10/22"/>
  </r>
  <r>
    <s v="TXN_3499913"/>
    <s v="CUST_11"/>
    <x v="2"/>
    <x v="77"/>
    <x v="10"/>
    <x v="0"/>
    <n v="260"/>
    <x v="2"/>
    <x v="0"/>
    <x v="48"/>
    <x v="0"/>
    <s v="DISCOUNT NOT ALLOWED"/>
    <s v="discount not allowed"/>
    <s v="DISCOUNT NOT ALLOWED"/>
    <s v="Discount Not Allowed"/>
    <s v="03/12/22"/>
  </r>
  <r>
    <s v="TXN_3701082"/>
    <s v="CUST_14"/>
    <x v="5"/>
    <x v="81"/>
    <x v="10"/>
    <x v="0"/>
    <n v="260"/>
    <x v="0"/>
    <x v="1"/>
    <x v="623"/>
    <x v="0"/>
    <s v="DISCOUNT NOT ALLOWED"/>
    <s v="discount not allowed"/>
    <s v="DISCOUNT NOT ALLOWED"/>
    <s v="Discount Not Allowed"/>
    <s v="26/08/24"/>
  </r>
  <r>
    <s v="TXN_3762237"/>
    <s v="CUST_24"/>
    <x v="2"/>
    <x v="77"/>
    <x v="10"/>
    <x v="0"/>
    <n v="260"/>
    <x v="0"/>
    <x v="1"/>
    <x v="477"/>
    <x v="0"/>
    <s v="DISCOUNT NOT ALLOWED"/>
    <s v="discount not allowed"/>
    <s v="DISCOUNT NOT ALLOWED"/>
    <s v="Discount Not Allowed"/>
    <s v="28/01/22"/>
  </r>
  <r>
    <s v="TXN_4036266"/>
    <s v="CUST_05"/>
    <x v="3"/>
    <x v="80"/>
    <x v="10"/>
    <x v="0"/>
    <n v="260"/>
    <x v="2"/>
    <x v="1"/>
    <x v="343"/>
    <x v="0"/>
    <s v="DISCOUNT NOT ALLOWED"/>
    <s v="discount not allowed"/>
    <s v="DISCOUNT NOT ALLOWED"/>
    <s v="Discount Not Allowed"/>
    <s v="27/06/24"/>
  </r>
  <r>
    <s v="TXN_4187658"/>
    <s v="CUST_06"/>
    <x v="6"/>
    <x v="82"/>
    <x v="10"/>
    <x v="0"/>
    <n v="260"/>
    <x v="0"/>
    <x v="0"/>
    <x v="544"/>
    <x v="1"/>
    <s v="DISCOUNT ALLOWED"/>
    <s v="discount allowed"/>
    <s v="DISCOUNT ALLOWED"/>
    <s v="Discount Allowed"/>
    <s v="17/07/23"/>
  </r>
  <r>
    <s v="TXN_4599772"/>
    <s v="CUST_13"/>
    <x v="6"/>
    <x v="82"/>
    <x v="10"/>
    <x v="0"/>
    <n v="260"/>
    <x v="1"/>
    <x v="1"/>
    <x v="314"/>
    <x v="0"/>
    <s v="DISCOUNT NOT ALLOWED"/>
    <s v="discount not allowed"/>
    <s v="DISCOUNT NOT ALLOWED"/>
    <s v="Discount Not Allowed"/>
    <s v="04/05/22"/>
  </r>
  <r>
    <s v="TXN_4684340"/>
    <s v="CUST_04"/>
    <x v="3"/>
    <x v="80"/>
    <x v="10"/>
    <x v="0"/>
    <n v="260"/>
    <x v="2"/>
    <x v="0"/>
    <x v="624"/>
    <x v="0"/>
    <s v="DISCOUNT NOT ALLOWED"/>
    <s v="discount not allowed"/>
    <s v="DISCOUNT NOT ALLOWED"/>
    <s v="Discount Not Allowed"/>
    <s v="30/01/22"/>
  </r>
  <r>
    <s v="TXN_5259345"/>
    <s v="CUST_02"/>
    <x v="5"/>
    <x v="81"/>
    <x v="10"/>
    <x v="0"/>
    <n v="260"/>
    <x v="2"/>
    <x v="1"/>
    <x v="41"/>
    <x v="0"/>
    <s v="DISCOUNT NOT ALLOWED"/>
    <s v="discount not allowed"/>
    <s v="DISCOUNT NOT ALLOWED"/>
    <s v="Discount Not Allowed"/>
    <s v="15/05/24"/>
  </r>
  <r>
    <s v="TXN_5942806"/>
    <s v="CUST_16"/>
    <x v="7"/>
    <x v="83"/>
    <x v="10"/>
    <x v="0"/>
    <n v="260"/>
    <x v="1"/>
    <x v="1"/>
    <x v="625"/>
    <x v="0"/>
    <s v="DISCOUNT NOT ALLOWED"/>
    <s v="discount not allowed"/>
    <s v="DISCOUNT NOT ALLOWED"/>
    <s v="Discount Not Allowed"/>
    <s v="13/11/22"/>
  </r>
  <r>
    <s v="TXN_5984226"/>
    <s v="CUST_12"/>
    <x v="1"/>
    <x v="78"/>
    <x v="10"/>
    <x v="0"/>
    <n v="260"/>
    <x v="1"/>
    <x v="0"/>
    <x v="626"/>
    <x v="1"/>
    <s v="DISCOUNT ALLOWED"/>
    <s v="discount allowed"/>
    <s v="DISCOUNT ALLOWED"/>
    <s v="Discount Allowed"/>
    <s v="11/10/24"/>
  </r>
  <r>
    <s v="TXN_7012323"/>
    <s v="CUST_19"/>
    <x v="3"/>
    <x v="80"/>
    <x v="10"/>
    <x v="0"/>
    <n v="260"/>
    <x v="0"/>
    <x v="1"/>
    <x v="591"/>
    <x v="0"/>
    <s v="DISCOUNT NOT ALLOWED"/>
    <s v="discount not allowed"/>
    <s v="DISCOUNT NOT ALLOWED"/>
    <s v="Discount Not Allowed"/>
    <s v="11/11/22"/>
  </r>
  <r>
    <s v="TXN_7575240"/>
    <s v="CUST_22"/>
    <x v="3"/>
    <x v="80"/>
    <x v="10"/>
    <x v="0"/>
    <n v="260"/>
    <x v="0"/>
    <x v="1"/>
    <x v="627"/>
    <x v="0"/>
    <s v="DISCOUNT NOT ALLOWED"/>
    <s v="discount not allowed"/>
    <s v="DISCOUNT NOT ALLOWED"/>
    <s v="Discount Not Allowed"/>
    <s v="19/05/23"/>
  </r>
  <r>
    <s v="TXN_7705088"/>
    <s v="CUST_14"/>
    <x v="3"/>
    <x v="80"/>
    <x v="10"/>
    <x v="0"/>
    <n v="260"/>
    <x v="1"/>
    <x v="1"/>
    <x v="260"/>
    <x v="1"/>
    <s v="DISCOUNT ALLOWED"/>
    <s v="discount allowed"/>
    <s v="DISCOUNT ALLOWED"/>
    <s v="Discount Allowed"/>
    <s v="04/07/23"/>
  </r>
  <r>
    <s v="TXN_7893709"/>
    <s v="CUST_21"/>
    <x v="0"/>
    <x v="84"/>
    <x v="10"/>
    <x v="0"/>
    <n v="260"/>
    <x v="0"/>
    <x v="0"/>
    <x v="628"/>
    <x v="1"/>
    <s v="DISCOUNT ALLOWED"/>
    <s v="discount allowed"/>
    <s v="DISCOUNT ALLOWED"/>
    <s v="Discount Allowed"/>
    <s v="25/01/24"/>
  </r>
  <r>
    <s v="TXN_8143902"/>
    <s v="CUST_18"/>
    <x v="5"/>
    <x v="81"/>
    <x v="10"/>
    <x v="0"/>
    <n v="260"/>
    <x v="0"/>
    <x v="0"/>
    <x v="241"/>
    <x v="0"/>
    <s v="DISCOUNT NOT ALLOWED"/>
    <s v="discount not allowed"/>
    <s v="DISCOUNT NOT ALLOWED"/>
    <s v="Discount Not Allowed"/>
    <s v="07/02/24"/>
  </r>
  <r>
    <s v="TXN_8828780"/>
    <s v="CUST_08"/>
    <x v="2"/>
    <x v="77"/>
    <x v="10"/>
    <x v="0"/>
    <n v="260"/>
    <x v="1"/>
    <x v="1"/>
    <x v="629"/>
    <x v="1"/>
    <s v="DISCOUNT ALLOWED"/>
    <s v="discount allowed"/>
    <s v="DISCOUNT ALLOWED"/>
    <s v="Discount Allowed"/>
    <s v="16/12/24"/>
  </r>
  <r>
    <s v="TXN_9268865"/>
    <s v="CUST_10"/>
    <x v="3"/>
    <x v="80"/>
    <x v="10"/>
    <x v="0"/>
    <n v="260"/>
    <x v="0"/>
    <x v="1"/>
    <x v="95"/>
    <x v="0"/>
    <s v="DISCOUNT NOT ALLOWED"/>
    <s v="discount not allowed"/>
    <s v="DISCOUNT NOT ALLOWED"/>
    <s v="Discount Not Allowed"/>
    <s v="07/06/23"/>
  </r>
  <r>
    <s v="TXN_9454768"/>
    <s v="CUST_20"/>
    <x v="5"/>
    <x v="81"/>
    <x v="10"/>
    <x v="0"/>
    <n v="260"/>
    <x v="2"/>
    <x v="0"/>
    <x v="333"/>
    <x v="1"/>
    <s v="DISCOUNT ALLOWED"/>
    <s v="discount allowed"/>
    <s v="DISCOUNT ALLOWED"/>
    <s v="Discount Allowed"/>
    <s v="16/12/22"/>
  </r>
  <r>
    <s v="TXN_9537013"/>
    <s v="CUST_21"/>
    <x v="2"/>
    <x v="77"/>
    <x v="10"/>
    <x v="0"/>
    <n v="260"/>
    <x v="2"/>
    <x v="0"/>
    <x v="630"/>
    <x v="1"/>
    <s v="DISCOUNT ALLOWED"/>
    <s v="discount allowed"/>
    <s v="DISCOUNT ALLOWED"/>
    <s v="Discount Allowed"/>
    <s v="10/07/24"/>
  </r>
  <r>
    <s v="TXN_9627455"/>
    <s v="CUST_11"/>
    <x v="5"/>
    <x v="81"/>
    <x v="10"/>
    <x v="0"/>
    <n v="260"/>
    <x v="1"/>
    <x v="1"/>
    <x v="569"/>
    <x v="1"/>
    <s v="DISCOUNT ALLOWED"/>
    <s v="discount allowed"/>
    <s v="DISCOUNT ALLOWED"/>
    <s v="Discount Allowed"/>
    <s v="02/05/24"/>
  </r>
  <r>
    <s v="TXN_9807861"/>
    <s v="CUST_07"/>
    <x v="2"/>
    <x v="77"/>
    <x v="10"/>
    <x v="0"/>
    <n v="260"/>
    <x v="2"/>
    <x v="1"/>
    <x v="530"/>
    <x v="1"/>
    <s v="DISCOUNT ALLOWED"/>
    <s v="discount allowed"/>
    <s v="DISCOUNT ALLOWED"/>
    <s v="Discount Allowed"/>
    <s v="25/10/22"/>
  </r>
  <r>
    <s v="TXN_9882976"/>
    <s v="CUST_21"/>
    <x v="5"/>
    <x v="81"/>
    <x v="10"/>
    <x v="0"/>
    <n v="260"/>
    <x v="2"/>
    <x v="1"/>
    <x v="250"/>
    <x v="0"/>
    <s v="DISCOUNT NOT ALLOWED"/>
    <s v="discount not allowed"/>
    <s v="DISCOUNT NOT ALLOWED"/>
    <s v="Discount Not Allowed"/>
    <s v="21/05/24"/>
  </r>
  <r>
    <s v="TXN_9891054"/>
    <s v="CUST_20"/>
    <x v="6"/>
    <x v="82"/>
    <x v="10"/>
    <x v="0"/>
    <n v="260"/>
    <x v="1"/>
    <x v="0"/>
    <x v="299"/>
    <x v="0"/>
    <s v="DISCOUNT NOT ALLOWED"/>
    <s v="discount not allowed"/>
    <s v="DISCOUNT NOT ALLOWED"/>
    <s v="Discount Not Allowed"/>
    <s v="11/10/22"/>
  </r>
  <r>
    <s v="TXN_9912310"/>
    <s v="CUST_01"/>
    <x v="7"/>
    <x v="83"/>
    <x v="10"/>
    <x v="0"/>
    <n v="260"/>
    <x v="1"/>
    <x v="1"/>
    <x v="631"/>
    <x v="0"/>
    <s v="DISCOUNT NOT ALLOWED"/>
    <s v="discount not allowed"/>
    <s v="DISCOUNT NOT ALLOWED"/>
    <s v="Discount Not Allowed"/>
    <s v="05/09/24"/>
  </r>
  <r>
    <s v="TXN_9925103"/>
    <s v="CUST_15"/>
    <x v="6"/>
    <x v="82"/>
    <x v="10"/>
    <x v="0"/>
    <n v="260"/>
    <x v="0"/>
    <x v="1"/>
    <x v="523"/>
    <x v="1"/>
    <s v="DISCOUNT ALLOWED"/>
    <s v="discount allowed"/>
    <s v="DISCOUNT ALLOWED"/>
    <s v="Discount Allowed"/>
    <s v="02/02/24"/>
  </r>
  <r>
    <s v="TXN_1749831"/>
    <s v="CUST_12"/>
    <x v="1"/>
    <x v="50"/>
    <x v="6"/>
    <x v="2"/>
    <n v="256"/>
    <x v="0"/>
    <x v="1"/>
    <x v="632"/>
    <x v="1"/>
    <s v="DISCOUNT ALLOWED"/>
    <s v="discount allowed"/>
    <s v="DISCOUNT ALLOWED"/>
    <s v="Discount Allowed"/>
    <s v="06/09/23"/>
  </r>
  <r>
    <s v="TXN_1898388"/>
    <s v="CUST_17"/>
    <x v="0"/>
    <x v="47"/>
    <x v="6"/>
    <x v="2"/>
    <n v="256"/>
    <x v="2"/>
    <x v="1"/>
    <x v="189"/>
    <x v="0"/>
    <s v="DISCOUNT NOT ALLOWED"/>
    <s v="discount not allowed"/>
    <s v="DISCOUNT NOT ALLOWED"/>
    <s v="Discount Not Allowed"/>
    <s v="22/09/23"/>
  </r>
  <r>
    <s v="TXN_2010040"/>
    <s v="CUST_10"/>
    <x v="1"/>
    <x v="50"/>
    <x v="6"/>
    <x v="2"/>
    <n v="256"/>
    <x v="1"/>
    <x v="0"/>
    <x v="176"/>
    <x v="0"/>
    <s v="DISCOUNT NOT ALLOWED"/>
    <s v="discount not allowed"/>
    <s v="DISCOUNT NOT ALLOWED"/>
    <s v="Discount Not Allowed"/>
    <s v="01/02/24"/>
  </r>
  <r>
    <s v="TXN_2630534"/>
    <s v="CUST_14"/>
    <x v="0"/>
    <x v="47"/>
    <x v="6"/>
    <x v="2"/>
    <n v="256"/>
    <x v="2"/>
    <x v="0"/>
    <x v="190"/>
    <x v="1"/>
    <s v="DISCOUNT ALLOWED"/>
    <s v="discount allowed"/>
    <s v="DISCOUNT ALLOWED"/>
    <s v="Discount Allowed"/>
    <s v="07/02/22"/>
  </r>
  <r>
    <s v="TXN_2647272"/>
    <s v="CUST_01"/>
    <x v="2"/>
    <x v="85"/>
    <x v="6"/>
    <x v="2"/>
    <n v="256"/>
    <x v="2"/>
    <x v="1"/>
    <x v="492"/>
    <x v="1"/>
    <s v="DISCOUNT ALLOWED"/>
    <s v="discount allowed"/>
    <s v="DISCOUNT ALLOWED"/>
    <s v="Discount Allowed"/>
    <s v="29/03/24"/>
  </r>
  <r>
    <s v="TXN_2746895"/>
    <s v="CUST_04"/>
    <x v="6"/>
    <x v="49"/>
    <x v="6"/>
    <x v="2"/>
    <n v="256"/>
    <x v="0"/>
    <x v="1"/>
    <x v="498"/>
    <x v="0"/>
    <s v="DISCOUNT NOT ALLOWED"/>
    <s v="discount not allowed"/>
    <s v="DISCOUNT NOT ALLOWED"/>
    <s v="Discount Not Allowed"/>
    <s v="19/08/22"/>
  </r>
  <r>
    <s v="TXN_3031477"/>
    <s v="CUST_18"/>
    <x v="3"/>
    <x v="46"/>
    <x v="6"/>
    <x v="2"/>
    <n v="256"/>
    <x v="0"/>
    <x v="0"/>
    <x v="570"/>
    <x v="0"/>
    <s v="DISCOUNT NOT ALLOWED"/>
    <s v="discount not allowed"/>
    <s v="DISCOUNT NOT ALLOWED"/>
    <s v="Discount Not Allowed"/>
    <s v="03/01/25"/>
  </r>
  <r>
    <s v="TXN_3546752"/>
    <s v="CUST_20"/>
    <x v="2"/>
    <x v="85"/>
    <x v="6"/>
    <x v="2"/>
    <n v="256"/>
    <x v="0"/>
    <x v="1"/>
    <x v="295"/>
    <x v="0"/>
    <s v="DISCOUNT NOT ALLOWED"/>
    <s v="discount not allowed"/>
    <s v="DISCOUNT NOT ALLOWED"/>
    <s v="Discount Not Allowed"/>
    <s v="31/03/22"/>
  </r>
  <r>
    <s v="TXN_3992566"/>
    <s v="CUST_03"/>
    <x v="1"/>
    <x v="50"/>
    <x v="6"/>
    <x v="2"/>
    <n v="256"/>
    <x v="1"/>
    <x v="1"/>
    <x v="261"/>
    <x v="0"/>
    <s v="DISCOUNT NOT ALLOWED"/>
    <s v="discount not allowed"/>
    <s v="DISCOUNT NOT ALLOWED"/>
    <s v="Discount Not Allowed"/>
    <s v="14/05/24"/>
  </r>
  <r>
    <s v="TXN_4139468"/>
    <s v="CUST_21"/>
    <x v="6"/>
    <x v="49"/>
    <x v="6"/>
    <x v="2"/>
    <n v="256"/>
    <x v="2"/>
    <x v="0"/>
    <x v="633"/>
    <x v="1"/>
    <s v="DISCOUNT ALLOWED"/>
    <s v="discount allowed"/>
    <s v="DISCOUNT ALLOWED"/>
    <s v="Discount Allowed"/>
    <s v="03/08/24"/>
  </r>
  <r>
    <s v="TXN_5138320"/>
    <s v="CUST_21"/>
    <x v="3"/>
    <x v="46"/>
    <x v="6"/>
    <x v="2"/>
    <n v="256"/>
    <x v="2"/>
    <x v="1"/>
    <x v="634"/>
    <x v="0"/>
    <s v="DISCOUNT NOT ALLOWED"/>
    <s v="discount not allowed"/>
    <s v="DISCOUNT NOT ALLOWED"/>
    <s v="Discount Not Allowed"/>
    <s v="19/08/24"/>
  </r>
  <r>
    <s v="TXN_5292313"/>
    <s v="CUST_16"/>
    <x v="3"/>
    <x v="46"/>
    <x v="6"/>
    <x v="2"/>
    <n v="256"/>
    <x v="1"/>
    <x v="0"/>
    <x v="635"/>
    <x v="1"/>
    <s v="DISCOUNT ALLOWED"/>
    <s v="discount allowed"/>
    <s v="DISCOUNT ALLOWED"/>
    <s v="Discount Allowed"/>
    <s v="26/11/23"/>
  </r>
  <r>
    <s v="TXN_5384743"/>
    <s v="CUST_19"/>
    <x v="5"/>
    <x v="48"/>
    <x v="6"/>
    <x v="2"/>
    <n v="256"/>
    <x v="2"/>
    <x v="0"/>
    <x v="419"/>
    <x v="0"/>
    <s v="DISCOUNT NOT ALLOWED"/>
    <s v="discount not allowed"/>
    <s v="DISCOUNT NOT ALLOWED"/>
    <s v="Discount Not Allowed"/>
    <s v="08/04/24"/>
  </r>
  <r>
    <s v="TXN_5483650"/>
    <s v="CUST_04"/>
    <x v="6"/>
    <x v="49"/>
    <x v="6"/>
    <x v="2"/>
    <n v="256"/>
    <x v="2"/>
    <x v="0"/>
    <x v="636"/>
    <x v="0"/>
    <s v="DISCOUNT NOT ALLOWED"/>
    <s v="discount not allowed"/>
    <s v="DISCOUNT NOT ALLOWED"/>
    <s v="Discount Not Allowed"/>
    <s v="21/09/22"/>
  </r>
  <r>
    <s v="TXN_5539624"/>
    <s v="CUST_16"/>
    <x v="0"/>
    <x v="47"/>
    <x v="6"/>
    <x v="2"/>
    <n v="256"/>
    <x v="0"/>
    <x v="0"/>
    <x v="579"/>
    <x v="0"/>
    <s v="DISCOUNT NOT ALLOWED"/>
    <s v="discount not allowed"/>
    <s v="DISCOUNT NOT ALLOWED"/>
    <s v="Discount Not Allowed"/>
    <s v="26/08/22"/>
  </r>
  <r>
    <s v="TXN_5872134"/>
    <s v="CUST_13"/>
    <x v="7"/>
    <x v="45"/>
    <x v="6"/>
    <x v="2"/>
    <n v="256"/>
    <x v="2"/>
    <x v="0"/>
    <x v="637"/>
    <x v="0"/>
    <s v="DISCOUNT NOT ALLOWED"/>
    <s v="discount not allowed"/>
    <s v="DISCOUNT NOT ALLOWED"/>
    <s v="Discount Not Allowed"/>
    <s v="29/05/23"/>
  </r>
  <r>
    <s v="TXN_5936341"/>
    <s v="CUST_23"/>
    <x v="7"/>
    <x v="45"/>
    <x v="6"/>
    <x v="2"/>
    <n v="256"/>
    <x v="0"/>
    <x v="0"/>
    <x v="638"/>
    <x v="1"/>
    <s v="DISCOUNT ALLOWED"/>
    <s v="discount allowed"/>
    <s v="DISCOUNT ALLOWED"/>
    <s v="Discount Allowed"/>
    <s v="13/07/22"/>
  </r>
  <r>
    <s v="TXN_5969269"/>
    <s v="CUST_04"/>
    <x v="1"/>
    <x v="50"/>
    <x v="6"/>
    <x v="2"/>
    <n v="256"/>
    <x v="1"/>
    <x v="1"/>
    <x v="639"/>
    <x v="1"/>
    <s v="DISCOUNT ALLOWED"/>
    <s v="discount allowed"/>
    <s v="DISCOUNT ALLOWED"/>
    <s v="Discount Allowed"/>
    <s v="29/07/24"/>
  </r>
  <r>
    <s v="TXN_6404565"/>
    <s v="CUST_01"/>
    <x v="6"/>
    <x v="49"/>
    <x v="6"/>
    <x v="2"/>
    <n v="256"/>
    <x v="0"/>
    <x v="0"/>
    <x v="305"/>
    <x v="0"/>
    <s v="DISCOUNT NOT ALLOWED"/>
    <s v="discount not allowed"/>
    <s v="DISCOUNT NOT ALLOWED"/>
    <s v="Discount Not Allowed"/>
    <s v="21/05/23"/>
  </r>
  <r>
    <s v="TXN_6781800"/>
    <s v="CUST_24"/>
    <x v="2"/>
    <x v="85"/>
    <x v="6"/>
    <x v="2"/>
    <n v="256"/>
    <x v="1"/>
    <x v="0"/>
    <x v="640"/>
    <x v="1"/>
    <s v="DISCOUNT ALLOWED"/>
    <s v="discount allowed"/>
    <s v="DISCOUNT ALLOWED"/>
    <s v="Discount Allowed"/>
    <s v="26/09/24"/>
  </r>
  <r>
    <s v="TXN_6944260"/>
    <s v="CUST_25"/>
    <x v="6"/>
    <x v="49"/>
    <x v="6"/>
    <x v="2"/>
    <n v="256"/>
    <x v="1"/>
    <x v="0"/>
    <x v="245"/>
    <x v="1"/>
    <s v="DISCOUNT ALLOWED"/>
    <s v="discount allowed"/>
    <s v="DISCOUNT ALLOWED"/>
    <s v="Discount Allowed"/>
    <s v="03/02/23"/>
  </r>
  <r>
    <s v="TXN_6991067"/>
    <s v="CUST_16"/>
    <x v="5"/>
    <x v="48"/>
    <x v="6"/>
    <x v="2"/>
    <n v="256"/>
    <x v="1"/>
    <x v="1"/>
    <x v="388"/>
    <x v="0"/>
    <s v="DISCOUNT NOT ALLOWED"/>
    <s v="discount not allowed"/>
    <s v="DISCOUNT NOT ALLOWED"/>
    <s v="Discount Not Allowed"/>
    <s v="23/01/23"/>
  </r>
  <r>
    <s v="TXN_7090174"/>
    <s v="CUST_06"/>
    <x v="6"/>
    <x v="49"/>
    <x v="6"/>
    <x v="2"/>
    <n v="256"/>
    <x v="0"/>
    <x v="0"/>
    <x v="199"/>
    <x v="0"/>
    <s v="DISCOUNT NOT ALLOWED"/>
    <s v="discount not allowed"/>
    <s v="DISCOUNT NOT ALLOWED"/>
    <s v="Discount Not Allowed"/>
    <s v="27/12/24"/>
  </r>
  <r>
    <s v="TXN_7295453"/>
    <s v="CUST_05"/>
    <x v="0"/>
    <x v="47"/>
    <x v="6"/>
    <x v="2"/>
    <n v="256"/>
    <x v="2"/>
    <x v="0"/>
    <x v="641"/>
    <x v="1"/>
    <s v="DISCOUNT ALLOWED"/>
    <s v="discount allowed"/>
    <s v="DISCOUNT ALLOWED"/>
    <s v="Discount Allowed"/>
    <s v="09/01/22"/>
  </r>
  <r>
    <s v="TXN_7352619"/>
    <s v="CUST_18"/>
    <x v="5"/>
    <x v="48"/>
    <x v="6"/>
    <x v="2"/>
    <n v="256"/>
    <x v="1"/>
    <x v="0"/>
    <x v="642"/>
    <x v="0"/>
    <s v="DISCOUNT NOT ALLOWED"/>
    <s v="discount not allowed"/>
    <s v="DISCOUNT NOT ALLOWED"/>
    <s v="Discount Not Allowed"/>
    <s v="22/06/22"/>
  </r>
  <r>
    <s v="TXN_7580724"/>
    <s v="CUST_20"/>
    <x v="7"/>
    <x v="45"/>
    <x v="6"/>
    <x v="2"/>
    <n v="256"/>
    <x v="1"/>
    <x v="0"/>
    <x v="65"/>
    <x v="1"/>
    <s v="DISCOUNT ALLOWED"/>
    <s v="discount allowed"/>
    <s v="DISCOUNT ALLOWED"/>
    <s v="Discount Allowed"/>
    <s v="02/09/24"/>
  </r>
  <r>
    <s v="TXN_7855690"/>
    <s v="CUST_10"/>
    <x v="2"/>
    <x v="85"/>
    <x v="6"/>
    <x v="2"/>
    <n v="256"/>
    <x v="1"/>
    <x v="0"/>
    <x v="346"/>
    <x v="1"/>
    <s v="DISCOUNT ALLOWED"/>
    <s v="discount allowed"/>
    <s v="DISCOUNT ALLOWED"/>
    <s v="Discount Allowed"/>
    <s v="06/06/22"/>
  </r>
  <r>
    <s v="TXN_8106612"/>
    <s v="CUST_07"/>
    <x v="0"/>
    <x v="47"/>
    <x v="6"/>
    <x v="2"/>
    <n v="256"/>
    <x v="0"/>
    <x v="0"/>
    <x v="279"/>
    <x v="1"/>
    <s v="DISCOUNT ALLOWED"/>
    <s v="discount allowed"/>
    <s v="DISCOUNT ALLOWED"/>
    <s v="Discount Allowed"/>
    <s v="06/01/23"/>
  </r>
  <r>
    <s v="TXN_8293749"/>
    <s v="CUST_13"/>
    <x v="6"/>
    <x v="49"/>
    <x v="6"/>
    <x v="2"/>
    <n v="256"/>
    <x v="1"/>
    <x v="0"/>
    <x v="338"/>
    <x v="0"/>
    <s v="DISCOUNT NOT ALLOWED"/>
    <s v="discount not allowed"/>
    <s v="DISCOUNT NOT ALLOWED"/>
    <s v="Discount Not Allowed"/>
    <s v="03/12/24"/>
  </r>
  <r>
    <s v="TXN_8423167"/>
    <s v="CUST_11"/>
    <x v="0"/>
    <x v="47"/>
    <x v="6"/>
    <x v="2"/>
    <n v="256"/>
    <x v="2"/>
    <x v="1"/>
    <x v="450"/>
    <x v="0"/>
    <s v="DISCOUNT NOT ALLOWED"/>
    <s v="discount not allowed"/>
    <s v="DISCOUNT NOT ALLOWED"/>
    <s v="Discount Not Allowed"/>
    <s v="21/03/23"/>
  </r>
  <r>
    <s v="TXN_8463040"/>
    <s v="CUST_16"/>
    <x v="0"/>
    <x v="47"/>
    <x v="6"/>
    <x v="2"/>
    <n v="256"/>
    <x v="0"/>
    <x v="1"/>
    <x v="196"/>
    <x v="1"/>
    <s v="DISCOUNT ALLOWED"/>
    <s v="discount allowed"/>
    <s v="DISCOUNT ALLOWED"/>
    <s v="Discount Allowed"/>
    <s v="11/12/22"/>
  </r>
  <r>
    <s v="TXN_8771271"/>
    <s v="CUST_15"/>
    <x v="6"/>
    <x v="49"/>
    <x v="6"/>
    <x v="2"/>
    <n v="256"/>
    <x v="2"/>
    <x v="0"/>
    <x v="643"/>
    <x v="0"/>
    <s v="DISCOUNT NOT ALLOWED"/>
    <s v="discount not allowed"/>
    <s v="DISCOUNT NOT ALLOWED"/>
    <s v="Discount Not Allowed"/>
    <s v="26/01/23"/>
  </r>
  <r>
    <s v="TXN_9159149"/>
    <s v="CUST_20"/>
    <x v="1"/>
    <x v="50"/>
    <x v="6"/>
    <x v="2"/>
    <n v="256"/>
    <x v="0"/>
    <x v="1"/>
    <x v="250"/>
    <x v="1"/>
    <s v="DISCOUNT ALLOWED"/>
    <s v="discount allowed"/>
    <s v="DISCOUNT ALLOWED"/>
    <s v="Discount Allowed"/>
    <s v="21/05/24"/>
  </r>
  <r>
    <s v="TXN_9240994"/>
    <s v="CUST_16"/>
    <x v="2"/>
    <x v="85"/>
    <x v="6"/>
    <x v="2"/>
    <n v="256"/>
    <x v="0"/>
    <x v="0"/>
    <x v="644"/>
    <x v="0"/>
    <s v="DISCOUNT NOT ALLOWED"/>
    <s v="discount not allowed"/>
    <s v="DISCOUNT NOT ALLOWED"/>
    <s v="Discount Not Allowed"/>
    <s v="25/06/24"/>
  </r>
  <r>
    <s v="TXN_1164547"/>
    <s v="CUST_10"/>
    <x v="6"/>
    <x v="26"/>
    <x v="3"/>
    <x v="3"/>
    <n v="255.5"/>
    <x v="1"/>
    <x v="0"/>
    <x v="91"/>
    <x v="0"/>
    <s v="DISCOUNT NOT ALLOWED"/>
    <s v="discount not allowed"/>
    <s v="DISCOUNT NOT ALLOWED"/>
    <s v="Discount Not Allowed"/>
    <s v="09/12/23"/>
  </r>
  <r>
    <s v="TXN_1383402"/>
    <s v="CUST_04"/>
    <x v="3"/>
    <x v="24"/>
    <x v="3"/>
    <x v="3"/>
    <n v="255.5"/>
    <x v="2"/>
    <x v="0"/>
    <x v="555"/>
    <x v="0"/>
    <s v="DISCOUNT NOT ALLOWED"/>
    <s v="discount not allowed"/>
    <s v="DISCOUNT NOT ALLOWED"/>
    <s v="Discount Not Allowed"/>
    <s v="28/08/24"/>
  </r>
  <r>
    <s v="TXN_1514611"/>
    <s v="CUST_07"/>
    <x v="4"/>
    <x v="27"/>
    <x v="3"/>
    <x v="3"/>
    <n v="255.5"/>
    <x v="0"/>
    <x v="0"/>
    <x v="645"/>
    <x v="0"/>
    <s v="DISCOUNT NOT ALLOWED"/>
    <s v="discount not allowed"/>
    <s v="DISCOUNT NOT ALLOWED"/>
    <s v="Discount Not Allowed"/>
    <s v="24/07/23"/>
  </r>
  <r>
    <s v="TXN_1613779"/>
    <s v="CUST_25"/>
    <x v="4"/>
    <x v="27"/>
    <x v="3"/>
    <x v="3"/>
    <n v="255.5"/>
    <x v="2"/>
    <x v="0"/>
    <x v="646"/>
    <x v="0"/>
    <s v="DISCOUNT NOT ALLOWED"/>
    <s v="discount not allowed"/>
    <s v="DISCOUNT NOT ALLOWED"/>
    <s v="Discount Not Allowed"/>
    <s v="27/07/22"/>
  </r>
  <r>
    <s v="TXN_2225065"/>
    <s v="CUST_16"/>
    <x v="4"/>
    <x v="27"/>
    <x v="3"/>
    <x v="3"/>
    <n v="255.5"/>
    <x v="0"/>
    <x v="1"/>
    <x v="647"/>
    <x v="1"/>
    <s v="DISCOUNT ALLOWED"/>
    <s v="discount allowed"/>
    <s v="DISCOUNT ALLOWED"/>
    <s v="Discount Allowed"/>
    <s v="16/01/24"/>
  </r>
  <r>
    <s v="TXN_2563981"/>
    <s v="CUST_10"/>
    <x v="3"/>
    <x v="24"/>
    <x v="3"/>
    <x v="3"/>
    <n v="255.5"/>
    <x v="2"/>
    <x v="1"/>
    <x v="327"/>
    <x v="0"/>
    <s v="DISCOUNT NOT ALLOWED"/>
    <s v="discount not allowed"/>
    <s v="DISCOUNT NOT ALLOWED"/>
    <s v="Discount Not Allowed"/>
    <s v="19/05/24"/>
  </r>
  <r>
    <s v="TXN_2694884"/>
    <s v="CUST_01"/>
    <x v="7"/>
    <x v="30"/>
    <x v="3"/>
    <x v="3"/>
    <n v="255.5"/>
    <x v="1"/>
    <x v="0"/>
    <x v="394"/>
    <x v="1"/>
    <s v="DISCOUNT ALLOWED"/>
    <s v="discount allowed"/>
    <s v="DISCOUNT ALLOWED"/>
    <s v="Discount Allowed"/>
    <s v="13/12/24"/>
  </r>
  <r>
    <s v="TXN_2886160"/>
    <s v="CUST_19"/>
    <x v="3"/>
    <x v="24"/>
    <x v="3"/>
    <x v="3"/>
    <n v="255.5"/>
    <x v="0"/>
    <x v="1"/>
    <x v="404"/>
    <x v="0"/>
    <s v="DISCOUNT NOT ALLOWED"/>
    <s v="discount not allowed"/>
    <s v="DISCOUNT NOT ALLOWED"/>
    <s v="Discount Not Allowed"/>
    <s v="23/11/22"/>
  </r>
  <r>
    <s v="TXN_2898737"/>
    <s v="CUST_11"/>
    <x v="6"/>
    <x v="26"/>
    <x v="3"/>
    <x v="3"/>
    <n v="255.5"/>
    <x v="0"/>
    <x v="0"/>
    <x v="328"/>
    <x v="1"/>
    <s v="DISCOUNT ALLOWED"/>
    <s v="discount allowed"/>
    <s v="DISCOUNT ALLOWED"/>
    <s v="Discount Allowed"/>
    <s v="08/06/24"/>
  </r>
  <r>
    <s v="TXN_2975097"/>
    <s v="CUST_02"/>
    <x v="3"/>
    <x v="24"/>
    <x v="3"/>
    <x v="3"/>
    <n v="255.5"/>
    <x v="1"/>
    <x v="1"/>
    <x v="51"/>
    <x v="1"/>
    <s v="DISCOUNT ALLOWED"/>
    <s v="discount allowed"/>
    <s v="DISCOUNT ALLOWED"/>
    <s v="Discount Allowed"/>
    <s v="12/03/23"/>
  </r>
  <r>
    <s v="TXN_3175190"/>
    <s v="CUST_06"/>
    <x v="0"/>
    <x v="25"/>
    <x v="3"/>
    <x v="3"/>
    <n v="255.5"/>
    <x v="1"/>
    <x v="1"/>
    <x v="583"/>
    <x v="1"/>
    <s v="DISCOUNT ALLOWED"/>
    <s v="discount allowed"/>
    <s v="DISCOUNT ALLOWED"/>
    <s v="Discount Allowed"/>
    <s v="16/03/22"/>
  </r>
  <r>
    <s v="TXN_3437398"/>
    <s v="CUST_18"/>
    <x v="3"/>
    <x v="24"/>
    <x v="3"/>
    <x v="3"/>
    <n v="255.5"/>
    <x v="1"/>
    <x v="1"/>
    <x v="648"/>
    <x v="1"/>
    <s v="DISCOUNT ALLOWED"/>
    <s v="discount allowed"/>
    <s v="DISCOUNT ALLOWED"/>
    <s v="Discount Allowed"/>
    <s v="22/03/23"/>
  </r>
  <r>
    <s v="TXN_3465412"/>
    <s v="CUST_16"/>
    <x v="7"/>
    <x v="30"/>
    <x v="3"/>
    <x v="3"/>
    <n v="255.5"/>
    <x v="1"/>
    <x v="0"/>
    <x v="649"/>
    <x v="0"/>
    <s v="DISCOUNT NOT ALLOWED"/>
    <s v="discount not allowed"/>
    <s v="DISCOUNT NOT ALLOWED"/>
    <s v="Discount Not Allowed"/>
    <s v="11/06/23"/>
  </r>
  <r>
    <s v="TXN_3496091"/>
    <s v="CUST_17"/>
    <x v="0"/>
    <x v="25"/>
    <x v="3"/>
    <x v="3"/>
    <n v="255.5"/>
    <x v="1"/>
    <x v="1"/>
    <x v="650"/>
    <x v="1"/>
    <s v="DISCOUNT ALLOWED"/>
    <s v="discount allowed"/>
    <s v="DISCOUNT ALLOWED"/>
    <s v="Discount Allowed"/>
    <s v="03/01/23"/>
  </r>
  <r>
    <s v="TXN_3604177"/>
    <s v="CUST_13"/>
    <x v="4"/>
    <x v="27"/>
    <x v="3"/>
    <x v="3"/>
    <n v="255.5"/>
    <x v="1"/>
    <x v="0"/>
    <x v="651"/>
    <x v="0"/>
    <s v="DISCOUNT NOT ALLOWED"/>
    <s v="discount not allowed"/>
    <s v="DISCOUNT NOT ALLOWED"/>
    <s v="Discount Not Allowed"/>
    <s v="01/05/22"/>
  </r>
  <r>
    <s v="TXN_4071268"/>
    <s v="CUST_23"/>
    <x v="6"/>
    <x v="26"/>
    <x v="3"/>
    <x v="3"/>
    <n v="255.5"/>
    <x v="1"/>
    <x v="1"/>
    <x v="337"/>
    <x v="0"/>
    <s v="DISCOUNT NOT ALLOWED"/>
    <s v="discount not allowed"/>
    <s v="DISCOUNT NOT ALLOWED"/>
    <s v="Discount Not Allowed"/>
    <s v="20/08/24"/>
  </r>
  <r>
    <s v="TXN_4173894"/>
    <s v="CUST_02"/>
    <x v="5"/>
    <x v="28"/>
    <x v="3"/>
    <x v="3"/>
    <n v="255.5"/>
    <x v="1"/>
    <x v="1"/>
    <x v="652"/>
    <x v="1"/>
    <s v="DISCOUNT ALLOWED"/>
    <s v="discount allowed"/>
    <s v="DISCOUNT ALLOWED"/>
    <s v="Discount Allowed"/>
    <s v="12/11/23"/>
  </r>
  <r>
    <s v="TXN_4223250"/>
    <s v="CUST_16"/>
    <x v="1"/>
    <x v="29"/>
    <x v="3"/>
    <x v="3"/>
    <n v="255.5"/>
    <x v="1"/>
    <x v="0"/>
    <x v="653"/>
    <x v="1"/>
    <s v="DISCOUNT ALLOWED"/>
    <s v="discount allowed"/>
    <s v="DISCOUNT ALLOWED"/>
    <s v="Discount Allowed"/>
    <s v="31/05/23"/>
  </r>
  <r>
    <s v="TXN_4289142"/>
    <s v="CUST_13"/>
    <x v="3"/>
    <x v="24"/>
    <x v="3"/>
    <x v="3"/>
    <n v="255.5"/>
    <x v="1"/>
    <x v="0"/>
    <x v="83"/>
    <x v="0"/>
    <s v="DISCOUNT NOT ALLOWED"/>
    <s v="discount not allowed"/>
    <s v="DISCOUNT NOT ALLOWED"/>
    <s v="Discount Not Allowed"/>
    <s v="21/12/23"/>
  </r>
  <r>
    <s v="TXN_4347270"/>
    <s v="CUST_24"/>
    <x v="5"/>
    <x v="28"/>
    <x v="3"/>
    <x v="3"/>
    <n v="255.5"/>
    <x v="1"/>
    <x v="0"/>
    <x v="654"/>
    <x v="1"/>
    <s v="DISCOUNT ALLOWED"/>
    <s v="discount allowed"/>
    <s v="DISCOUNT ALLOWED"/>
    <s v="Discount Allowed"/>
    <s v="10/06/22"/>
  </r>
  <r>
    <s v="TXN_4378791"/>
    <s v="CUST_02"/>
    <x v="3"/>
    <x v="24"/>
    <x v="3"/>
    <x v="3"/>
    <n v="255.5"/>
    <x v="2"/>
    <x v="0"/>
    <x v="655"/>
    <x v="1"/>
    <s v="DISCOUNT ALLOWED"/>
    <s v="discount allowed"/>
    <s v="DISCOUNT ALLOWED"/>
    <s v="Discount Allowed"/>
    <s v="11/05/22"/>
  </r>
  <r>
    <s v="TXN_4656191"/>
    <s v="CUST_22"/>
    <x v="4"/>
    <x v="27"/>
    <x v="3"/>
    <x v="3"/>
    <n v="255.5"/>
    <x v="1"/>
    <x v="0"/>
    <x v="656"/>
    <x v="0"/>
    <s v="DISCOUNT NOT ALLOWED"/>
    <s v="discount not allowed"/>
    <s v="DISCOUNT NOT ALLOWED"/>
    <s v="Discount Not Allowed"/>
    <s v="06/01/25"/>
  </r>
  <r>
    <s v="TXN_5418871"/>
    <s v="CUST_04"/>
    <x v="6"/>
    <x v="26"/>
    <x v="3"/>
    <x v="3"/>
    <n v="255.5"/>
    <x v="1"/>
    <x v="1"/>
    <x v="583"/>
    <x v="0"/>
    <s v="DISCOUNT NOT ALLOWED"/>
    <s v="discount not allowed"/>
    <s v="DISCOUNT NOT ALLOWED"/>
    <s v="Discount Not Allowed"/>
    <s v="16/03/22"/>
  </r>
  <r>
    <s v="TXN_5720404"/>
    <s v="CUST_22"/>
    <x v="1"/>
    <x v="29"/>
    <x v="3"/>
    <x v="3"/>
    <n v="255.5"/>
    <x v="1"/>
    <x v="1"/>
    <x v="657"/>
    <x v="1"/>
    <s v="DISCOUNT ALLOWED"/>
    <s v="discount allowed"/>
    <s v="DISCOUNT ALLOWED"/>
    <s v="Discount Allowed"/>
    <s v="22/03/22"/>
  </r>
  <r>
    <s v="TXN_6494793"/>
    <s v="CUST_01"/>
    <x v="6"/>
    <x v="26"/>
    <x v="3"/>
    <x v="3"/>
    <n v="255.5"/>
    <x v="0"/>
    <x v="0"/>
    <x v="57"/>
    <x v="0"/>
    <s v="DISCOUNT NOT ALLOWED"/>
    <s v="discount not allowed"/>
    <s v="DISCOUNT NOT ALLOWED"/>
    <s v="Discount Not Allowed"/>
    <s v="16/07/23"/>
  </r>
  <r>
    <s v="TXN_6569366"/>
    <s v="CUST_24"/>
    <x v="5"/>
    <x v="28"/>
    <x v="3"/>
    <x v="3"/>
    <n v="255.5"/>
    <x v="0"/>
    <x v="0"/>
    <x v="455"/>
    <x v="1"/>
    <s v="DISCOUNT ALLOWED"/>
    <s v="discount allowed"/>
    <s v="DISCOUNT ALLOWED"/>
    <s v="Discount Allowed"/>
    <s v="06/04/24"/>
  </r>
  <r>
    <s v="TXN_6833313"/>
    <s v="CUST_15"/>
    <x v="3"/>
    <x v="24"/>
    <x v="3"/>
    <x v="3"/>
    <n v="255.5"/>
    <x v="0"/>
    <x v="1"/>
    <x v="294"/>
    <x v="1"/>
    <s v="DISCOUNT ALLOWED"/>
    <s v="discount allowed"/>
    <s v="DISCOUNT ALLOWED"/>
    <s v="Discount Allowed"/>
    <s v="09/07/22"/>
  </r>
  <r>
    <s v="TXN_7035534"/>
    <s v="CUST_01"/>
    <x v="2"/>
    <x v="23"/>
    <x v="3"/>
    <x v="3"/>
    <n v="255.5"/>
    <x v="1"/>
    <x v="0"/>
    <x v="658"/>
    <x v="1"/>
    <s v="DISCOUNT ALLOWED"/>
    <s v="discount allowed"/>
    <s v="DISCOUNT ALLOWED"/>
    <s v="Discount Allowed"/>
    <s v="29/09/22"/>
  </r>
  <r>
    <s v="TXN_7246599"/>
    <s v="CUST_17"/>
    <x v="1"/>
    <x v="29"/>
    <x v="3"/>
    <x v="3"/>
    <n v="255.5"/>
    <x v="1"/>
    <x v="1"/>
    <x v="120"/>
    <x v="0"/>
    <s v="DISCOUNT NOT ALLOWED"/>
    <s v="discount not allowed"/>
    <s v="DISCOUNT NOT ALLOWED"/>
    <s v="Discount Not Allowed"/>
    <s v="10/05/22"/>
  </r>
  <r>
    <s v="TXN_7325981"/>
    <s v="CUST_06"/>
    <x v="3"/>
    <x v="24"/>
    <x v="3"/>
    <x v="3"/>
    <n v="255.5"/>
    <x v="0"/>
    <x v="1"/>
    <x v="659"/>
    <x v="0"/>
    <s v="DISCOUNT NOT ALLOWED"/>
    <s v="discount not allowed"/>
    <s v="DISCOUNT NOT ALLOWED"/>
    <s v="Discount Not Allowed"/>
    <s v="10/08/22"/>
  </r>
  <r>
    <s v="TXN_7510339"/>
    <s v="CUST_07"/>
    <x v="6"/>
    <x v="26"/>
    <x v="3"/>
    <x v="3"/>
    <n v="255.5"/>
    <x v="1"/>
    <x v="0"/>
    <x v="238"/>
    <x v="0"/>
    <s v="DISCOUNT NOT ALLOWED"/>
    <s v="discount not allowed"/>
    <s v="DISCOUNT NOT ALLOWED"/>
    <s v="Discount Not Allowed"/>
    <s v="09/08/23"/>
  </r>
  <r>
    <s v="TXN_7988578"/>
    <s v="CUST_23"/>
    <x v="3"/>
    <x v="24"/>
    <x v="3"/>
    <x v="3"/>
    <n v="255.5"/>
    <x v="2"/>
    <x v="1"/>
    <x v="61"/>
    <x v="1"/>
    <s v="DISCOUNT ALLOWED"/>
    <s v="discount allowed"/>
    <s v="DISCOUNT ALLOWED"/>
    <s v="Discount Allowed"/>
    <s v="18/01/23"/>
  </r>
  <r>
    <s v="TXN_8048817"/>
    <s v="CUST_23"/>
    <x v="7"/>
    <x v="30"/>
    <x v="3"/>
    <x v="3"/>
    <n v="255.5"/>
    <x v="1"/>
    <x v="1"/>
    <x v="446"/>
    <x v="1"/>
    <s v="DISCOUNT ALLOWED"/>
    <s v="discount allowed"/>
    <s v="DISCOUNT ALLOWED"/>
    <s v="Discount Allowed"/>
    <s v="12/09/24"/>
  </r>
  <r>
    <s v="TXN_8540247"/>
    <s v="CUST_21"/>
    <x v="3"/>
    <x v="24"/>
    <x v="3"/>
    <x v="3"/>
    <n v="255.5"/>
    <x v="0"/>
    <x v="1"/>
    <x v="187"/>
    <x v="1"/>
    <s v="DISCOUNT ALLOWED"/>
    <s v="discount allowed"/>
    <s v="DISCOUNT ALLOWED"/>
    <s v="Discount Allowed"/>
    <s v="18/02/23"/>
  </r>
  <r>
    <s v="TXN_8802679"/>
    <s v="CUST_25"/>
    <x v="5"/>
    <x v="28"/>
    <x v="3"/>
    <x v="3"/>
    <n v="255.5"/>
    <x v="0"/>
    <x v="1"/>
    <x v="660"/>
    <x v="1"/>
    <s v="DISCOUNT ALLOWED"/>
    <s v="discount allowed"/>
    <s v="DISCOUNT ALLOWED"/>
    <s v="Discount Allowed"/>
    <s v="25/04/22"/>
  </r>
  <r>
    <s v="TXN_8944875"/>
    <s v="CUST_15"/>
    <x v="7"/>
    <x v="30"/>
    <x v="3"/>
    <x v="3"/>
    <n v="255.5"/>
    <x v="0"/>
    <x v="1"/>
    <x v="661"/>
    <x v="1"/>
    <s v="DISCOUNT ALLOWED"/>
    <s v="discount allowed"/>
    <s v="DISCOUNT ALLOWED"/>
    <s v="Discount Allowed"/>
    <s v="12/06/23"/>
  </r>
  <r>
    <s v="TXN_1521156"/>
    <s v="CUST_08"/>
    <x v="6"/>
    <x v="70"/>
    <x v="9"/>
    <x v="1"/>
    <n v="247.5"/>
    <x v="1"/>
    <x v="0"/>
    <x v="626"/>
    <x v="1"/>
    <s v="DISCOUNT ALLOWED"/>
    <s v="discount allowed"/>
    <s v="DISCOUNT ALLOWED"/>
    <s v="Discount Allowed"/>
    <s v="11/10/24"/>
  </r>
  <r>
    <s v="TXN_2052834"/>
    <s v="CUST_17"/>
    <x v="3"/>
    <x v="74"/>
    <x v="9"/>
    <x v="1"/>
    <n v="247.5"/>
    <x v="1"/>
    <x v="1"/>
    <x v="443"/>
    <x v="1"/>
    <s v="DISCOUNT ALLOWED"/>
    <s v="discount allowed"/>
    <s v="DISCOUNT ALLOWED"/>
    <s v="Discount Allowed"/>
    <s v="28/02/24"/>
  </r>
  <r>
    <s v="TXN_2263002"/>
    <s v="CUST_09"/>
    <x v="7"/>
    <x v="72"/>
    <x v="9"/>
    <x v="1"/>
    <n v="247.5"/>
    <x v="0"/>
    <x v="0"/>
    <x v="654"/>
    <x v="0"/>
    <s v="DISCOUNT NOT ALLOWED"/>
    <s v="discount not allowed"/>
    <s v="DISCOUNT NOT ALLOWED"/>
    <s v="Discount Not Allowed"/>
    <s v="10/06/22"/>
  </r>
  <r>
    <s v="TXN_2724532"/>
    <s v="CUST_24"/>
    <x v="7"/>
    <x v="72"/>
    <x v="9"/>
    <x v="1"/>
    <n v="247.5"/>
    <x v="0"/>
    <x v="1"/>
    <x v="29"/>
    <x v="0"/>
    <s v="DISCOUNT NOT ALLOWED"/>
    <s v="discount not allowed"/>
    <s v="DISCOUNT NOT ALLOWED"/>
    <s v="Discount Not Allowed"/>
    <s v="20/04/24"/>
  </r>
  <r>
    <s v="TXN_2929525"/>
    <s v="CUST_09"/>
    <x v="6"/>
    <x v="70"/>
    <x v="9"/>
    <x v="1"/>
    <n v="247.5"/>
    <x v="1"/>
    <x v="1"/>
    <x v="500"/>
    <x v="1"/>
    <s v="DISCOUNT ALLOWED"/>
    <s v="discount allowed"/>
    <s v="DISCOUNT ALLOWED"/>
    <s v="Discount Allowed"/>
    <s v="16/06/23"/>
  </r>
  <r>
    <s v="TXN_3445828"/>
    <s v="CUST_23"/>
    <x v="0"/>
    <x v="73"/>
    <x v="9"/>
    <x v="1"/>
    <n v="247.5"/>
    <x v="2"/>
    <x v="1"/>
    <x v="662"/>
    <x v="0"/>
    <s v="DISCOUNT NOT ALLOWED"/>
    <s v="discount not allowed"/>
    <s v="DISCOUNT NOT ALLOWED"/>
    <s v="Discount Not Allowed"/>
    <s v="17/12/24"/>
  </r>
  <r>
    <s v="TXN_3478292"/>
    <s v="CUST_14"/>
    <x v="0"/>
    <x v="73"/>
    <x v="9"/>
    <x v="1"/>
    <n v="247.5"/>
    <x v="0"/>
    <x v="0"/>
    <x v="663"/>
    <x v="0"/>
    <s v="DISCOUNT NOT ALLOWED"/>
    <s v="discount not allowed"/>
    <s v="DISCOUNT NOT ALLOWED"/>
    <s v="Discount Not Allowed"/>
    <s v="05/04/23"/>
  </r>
  <r>
    <s v="TXN_3521280"/>
    <s v="CUST_17"/>
    <x v="1"/>
    <x v="71"/>
    <x v="9"/>
    <x v="1"/>
    <n v="247.5"/>
    <x v="0"/>
    <x v="0"/>
    <x v="548"/>
    <x v="1"/>
    <s v="DISCOUNT ALLOWED"/>
    <s v="discount allowed"/>
    <s v="DISCOUNT ALLOWED"/>
    <s v="Discount Allowed"/>
    <s v="22/01/22"/>
  </r>
  <r>
    <s v="TXN_3530165"/>
    <s v="CUST_23"/>
    <x v="6"/>
    <x v="70"/>
    <x v="9"/>
    <x v="1"/>
    <n v="247.5"/>
    <x v="1"/>
    <x v="1"/>
    <x v="47"/>
    <x v="0"/>
    <s v="DISCOUNT NOT ALLOWED"/>
    <s v="discount not allowed"/>
    <s v="DISCOUNT NOT ALLOWED"/>
    <s v="Discount Not Allowed"/>
    <s v="01/01/24"/>
  </r>
  <r>
    <s v="TXN_3572301"/>
    <s v="CUST_20"/>
    <x v="6"/>
    <x v="70"/>
    <x v="9"/>
    <x v="1"/>
    <n v="247.5"/>
    <x v="0"/>
    <x v="0"/>
    <x v="664"/>
    <x v="1"/>
    <s v="DISCOUNT ALLOWED"/>
    <s v="discount allowed"/>
    <s v="DISCOUNT ALLOWED"/>
    <s v="Discount Allowed"/>
    <s v="03/11/23"/>
  </r>
  <r>
    <s v="TXN_3624582"/>
    <s v="CUST_15"/>
    <x v="0"/>
    <x v="73"/>
    <x v="9"/>
    <x v="1"/>
    <n v="247.5"/>
    <x v="2"/>
    <x v="1"/>
    <x v="665"/>
    <x v="0"/>
    <s v="DISCOUNT NOT ALLOWED"/>
    <s v="discount not allowed"/>
    <s v="DISCOUNT NOT ALLOWED"/>
    <s v="Discount Not Allowed"/>
    <s v="04/02/22"/>
  </r>
  <r>
    <s v="TXN_3759701"/>
    <s v="CUST_06"/>
    <x v="0"/>
    <x v="73"/>
    <x v="9"/>
    <x v="1"/>
    <n v="247.5"/>
    <x v="1"/>
    <x v="1"/>
    <x v="453"/>
    <x v="1"/>
    <s v="DISCOUNT ALLOWED"/>
    <s v="discount allowed"/>
    <s v="DISCOUNT ALLOWED"/>
    <s v="Discount Allowed"/>
    <s v="26/06/22"/>
  </r>
  <r>
    <s v="TXN_3824826"/>
    <s v="CUST_25"/>
    <x v="0"/>
    <x v="73"/>
    <x v="9"/>
    <x v="1"/>
    <n v="247.5"/>
    <x v="0"/>
    <x v="0"/>
    <x v="103"/>
    <x v="1"/>
    <s v="DISCOUNT ALLOWED"/>
    <s v="discount allowed"/>
    <s v="DISCOUNT ALLOWED"/>
    <s v="Discount Allowed"/>
    <s v="30/05/22"/>
  </r>
  <r>
    <s v="TXN_4020246"/>
    <s v="CUST_18"/>
    <x v="7"/>
    <x v="72"/>
    <x v="9"/>
    <x v="1"/>
    <n v="247.5"/>
    <x v="0"/>
    <x v="1"/>
    <x v="35"/>
    <x v="1"/>
    <s v="DISCOUNT ALLOWED"/>
    <s v="discount allowed"/>
    <s v="DISCOUNT ALLOWED"/>
    <s v="Discount Allowed"/>
    <s v="22/03/24"/>
  </r>
  <r>
    <s v="TXN_4049162"/>
    <s v="CUST_05"/>
    <x v="6"/>
    <x v="70"/>
    <x v="9"/>
    <x v="1"/>
    <n v="247.5"/>
    <x v="1"/>
    <x v="1"/>
    <x v="666"/>
    <x v="1"/>
    <s v="DISCOUNT ALLOWED"/>
    <s v="discount allowed"/>
    <s v="DISCOUNT ALLOWED"/>
    <s v="Discount Allowed"/>
    <s v="19/12/23"/>
  </r>
  <r>
    <s v="TXN_5091544"/>
    <s v="CUST_17"/>
    <x v="0"/>
    <x v="73"/>
    <x v="9"/>
    <x v="1"/>
    <n v="247.5"/>
    <x v="0"/>
    <x v="0"/>
    <x v="281"/>
    <x v="0"/>
    <s v="DISCOUNT NOT ALLOWED"/>
    <s v="discount not allowed"/>
    <s v="DISCOUNT NOT ALLOWED"/>
    <s v="Discount Not Allowed"/>
    <s v="06/02/23"/>
  </r>
  <r>
    <s v="TXN_5308530"/>
    <s v="CUST_07"/>
    <x v="0"/>
    <x v="73"/>
    <x v="9"/>
    <x v="1"/>
    <n v="247.5"/>
    <x v="0"/>
    <x v="1"/>
    <x v="667"/>
    <x v="0"/>
    <s v="DISCOUNT NOT ALLOWED"/>
    <s v="discount not allowed"/>
    <s v="DISCOUNT NOT ALLOWED"/>
    <s v="Discount Not Allowed"/>
    <s v="18/12/23"/>
  </r>
  <r>
    <s v="TXN_5396734"/>
    <s v="CUST_03"/>
    <x v="3"/>
    <x v="74"/>
    <x v="9"/>
    <x v="1"/>
    <n v="247.5"/>
    <x v="0"/>
    <x v="0"/>
    <x v="668"/>
    <x v="0"/>
    <s v="DISCOUNT NOT ALLOWED"/>
    <s v="discount not allowed"/>
    <s v="DISCOUNT NOT ALLOWED"/>
    <s v="Discount Not Allowed"/>
    <s v="24/06/24"/>
  </r>
  <r>
    <s v="TXN_5500210"/>
    <s v="CUST_14"/>
    <x v="5"/>
    <x v="75"/>
    <x v="9"/>
    <x v="1"/>
    <n v="247.5"/>
    <x v="2"/>
    <x v="0"/>
    <x v="669"/>
    <x v="0"/>
    <s v="DISCOUNT NOT ALLOWED"/>
    <s v="discount not allowed"/>
    <s v="DISCOUNT NOT ALLOWED"/>
    <s v="Discount Not Allowed"/>
    <s v="23/01/22"/>
  </r>
  <r>
    <s v="TXN_5588584"/>
    <s v="CUST_21"/>
    <x v="0"/>
    <x v="73"/>
    <x v="9"/>
    <x v="1"/>
    <n v="247.5"/>
    <x v="1"/>
    <x v="1"/>
    <x v="422"/>
    <x v="0"/>
    <s v="DISCOUNT NOT ALLOWED"/>
    <s v="discount not allowed"/>
    <s v="DISCOUNT NOT ALLOWED"/>
    <s v="Discount Not Allowed"/>
    <s v="05/02/23"/>
  </r>
  <r>
    <s v="TXN_5613119"/>
    <s v="CUST_24"/>
    <x v="7"/>
    <x v="72"/>
    <x v="9"/>
    <x v="1"/>
    <n v="247.5"/>
    <x v="2"/>
    <x v="1"/>
    <x v="241"/>
    <x v="1"/>
    <s v="DISCOUNT ALLOWED"/>
    <s v="discount allowed"/>
    <s v="DISCOUNT ALLOWED"/>
    <s v="Discount Allowed"/>
    <s v="07/02/24"/>
  </r>
  <r>
    <s v="TXN_5821224"/>
    <s v="CUST_11"/>
    <x v="0"/>
    <x v="73"/>
    <x v="9"/>
    <x v="1"/>
    <n v="247.5"/>
    <x v="2"/>
    <x v="1"/>
    <x v="546"/>
    <x v="1"/>
    <s v="DISCOUNT ALLOWED"/>
    <s v="discount allowed"/>
    <s v="DISCOUNT ALLOWED"/>
    <s v="Discount Allowed"/>
    <s v="21/05/22"/>
  </r>
  <r>
    <s v="TXN_6166231"/>
    <s v="CUST_06"/>
    <x v="2"/>
    <x v="76"/>
    <x v="9"/>
    <x v="1"/>
    <n v="247.5"/>
    <x v="2"/>
    <x v="0"/>
    <x v="558"/>
    <x v="1"/>
    <s v="DISCOUNT ALLOWED"/>
    <s v="discount allowed"/>
    <s v="DISCOUNT ALLOWED"/>
    <s v="Discount Allowed"/>
    <s v="17/04/24"/>
  </r>
  <r>
    <s v="TXN_6454963"/>
    <s v="CUST_06"/>
    <x v="0"/>
    <x v="73"/>
    <x v="9"/>
    <x v="1"/>
    <n v="247.5"/>
    <x v="1"/>
    <x v="0"/>
    <x v="124"/>
    <x v="0"/>
    <s v="DISCOUNT NOT ALLOWED"/>
    <s v="discount not allowed"/>
    <s v="DISCOUNT NOT ALLOWED"/>
    <s v="Discount Not Allowed"/>
    <s v="19/04/22"/>
  </r>
  <r>
    <s v="TXN_6837444"/>
    <s v="CUST_19"/>
    <x v="6"/>
    <x v="70"/>
    <x v="9"/>
    <x v="1"/>
    <n v="247.5"/>
    <x v="1"/>
    <x v="0"/>
    <x v="392"/>
    <x v="0"/>
    <s v="DISCOUNT NOT ALLOWED"/>
    <s v="discount not allowed"/>
    <s v="DISCOUNT NOT ALLOWED"/>
    <s v="Discount Not Allowed"/>
    <s v="13/01/23"/>
  </r>
  <r>
    <s v="TXN_7196079"/>
    <s v="CUST_01"/>
    <x v="3"/>
    <x v="74"/>
    <x v="9"/>
    <x v="1"/>
    <n v="247.5"/>
    <x v="0"/>
    <x v="1"/>
    <x v="158"/>
    <x v="1"/>
    <s v="DISCOUNT ALLOWED"/>
    <s v="discount allowed"/>
    <s v="DISCOUNT ALLOWED"/>
    <s v="Discount Allowed"/>
    <s v="30/07/22"/>
  </r>
  <r>
    <s v="TXN_7238273"/>
    <s v="CUST_02"/>
    <x v="0"/>
    <x v="73"/>
    <x v="9"/>
    <x v="1"/>
    <n v="247.5"/>
    <x v="1"/>
    <x v="0"/>
    <x v="670"/>
    <x v="1"/>
    <s v="DISCOUNT ALLOWED"/>
    <s v="discount allowed"/>
    <s v="DISCOUNT ALLOWED"/>
    <s v="Discount Allowed"/>
    <s v="22/10/23"/>
  </r>
  <r>
    <s v="TXN_7442640"/>
    <s v="CUST_20"/>
    <x v="0"/>
    <x v="73"/>
    <x v="9"/>
    <x v="1"/>
    <n v="247.5"/>
    <x v="2"/>
    <x v="0"/>
    <x v="136"/>
    <x v="1"/>
    <s v="DISCOUNT ALLOWED"/>
    <s v="discount allowed"/>
    <s v="DISCOUNT ALLOWED"/>
    <s v="Discount Allowed"/>
    <s v="07/07/22"/>
  </r>
  <r>
    <s v="TXN_8846213"/>
    <s v="CUST_24"/>
    <x v="0"/>
    <x v="73"/>
    <x v="9"/>
    <x v="1"/>
    <n v="247.5"/>
    <x v="0"/>
    <x v="1"/>
    <x v="671"/>
    <x v="0"/>
    <s v="DISCOUNT NOT ALLOWED"/>
    <s v="discount not allowed"/>
    <s v="DISCOUNT NOT ALLOWED"/>
    <s v="Discount Not Allowed"/>
    <s v="09/08/24"/>
  </r>
  <r>
    <s v="TXN_8956524"/>
    <s v="CUST_05"/>
    <x v="1"/>
    <x v="71"/>
    <x v="9"/>
    <x v="1"/>
    <n v="247.5"/>
    <x v="2"/>
    <x v="0"/>
    <x v="212"/>
    <x v="1"/>
    <s v="DISCOUNT ALLOWED"/>
    <s v="discount allowed"/>
    <s v="DISCOUNT ALLOWED"/>
    <s v="Discount Allowed"/>
    <s v="10/12/22"/>
  </r>
  <r>
    <s v="TXN_1317296"/>
    <s v="CUST_24"/>
    <x v="2"/>
    <x v="2"/>
    <x v="0"/>
    <x v="4"/>
    <n v="246"/>
    <x v="1"/>
    <x v="0"/>
    <x v="326"/>
    <x v="1"/>
    <s v="DISCOUNT ALLOWED"/>
    <s v="discount allowed"/>
    <s v="DISCOUNT ALLOWED"/>
    <s v="Discount Allowed"/>
    <s v="10/09/24"/>
  </r>
  <r>
    <s v="TXN_1466235"/>
    <s v="CUST_18"/>
    <x v="7"/>
    <x v="7"/>
    <x v="0"/>
    <x v="4"/>
    <n v="246"/>
    <x v="1"/>
    <x v="1"/>
    <x v="194"/>
    <x v="1"/>
    <s v="DISCOUNT ALLOWED"/>
    <s v="discount allowed"/>
    <s v="DISCOUNT ALLOWED"/>
    <s v="Discount Allowed"/>
    <s v="25/12/22"/>
  </r>
  <r>
    <s v="TXN_1581970"/>
    <s v="CUST_08"/>
    <x v="4"/>
    <x v="4"/>
    <x v="0"/>
    <x v="4"/>
    <n v="246"/>
    <x v="2"/>
    <x v="0"/>
    <x v="58"/>
    <x v="0"/>
    <s v="DISCOUNT NOT ALLOWED"/>
    <s v="discount not allowed"/>
    <s v="DISCOUNT NOT ALLOWED"/>
    <s v="Discount Not Allowed"/>
    <s v="09/04/24"/>
  </r>
  <r>
    <s v="TXN_1992937"/>
    <s v="CUST_20"/>
    <x v="3"/>
    <x v="3"/>
    <x v="0"/>
    <x v="4"/>
    <n v="246"/>
    <x v="0"/>
    <x v="0"/>
    <x v="81"/>
    <x v="0"/>
    <s v="DISCOUNT NOT ALLOWED"/>
    <s v="discount not allowed"/>
    <s v="DISCOUNT NOT ALLOWED"/>
    <s v="Discount Not Allowed"/>
    <s v="08/01/25"/>
  </r>
  <r>
    <s v="TXN_2007985"/>
    <s v="CUST_13"/>
    <x v="7"/>
    <x v="7"/>
    <x v="0"/>
    <x v="4"/>
    <n v="246"/>
    <x v="0"/>
    <x v="1"/>
    <x v="672"/>
    <x v="0"/>
    <s v="DISCOUNT NOT ALLOWED"/>
    <s v="discount not allowed"/>
    <s v="DISCOUNT NOT ALLOWED"/>
    <s v="Discount Not Allowed"/>
    <s v="20/09/23"/>
  </r>
  <r>
    <s v="TXN_2041111"/>
    <s v="CUST_17"/>
    <x v="2"/>
    <x v="2"/>
    <x v="0"/>
    <x v="4"/>
    <n v="246"/>
    <x v="1"/>
    <x v="0"/>
    <x v="673"/>
    <x v="1"/>
    <s v="DISCOUNT ALLOWED"/>
    <s v="discount allowed"/>
    <s v="DISCOUNT ALLOWED"/>
    <s v="Discount Allowed"/>
    <s v="12/02/23"/>
  </r>
  <r>
    <s v="TXN_2095657"/>
    <s v="CUST_16"/>
    <x v="2"/>
    <x v="2"/>
    <x v="0"/>
    <x v="4"/>
    <n v="246"/>
    <x v="2"/>
    <x v="0"/>
    <x v="674"/>
    <x v="1"/>
    <s v="DISCOUNT ALLOWED"/>
    <s v="discount allowed"/>
    <s v="DISCOUNT ALLOWED"/>
    <s v="Discount Allowed"/>
    <s v="26/09/23"/>
  </r>
  <r>
    <s v="TXN_2232426"/>
    <s v="CUST_22"/>
    <x v="7"/>
    <x v="7"/>
    <x v="0"/>
    <x v="4"/>
    <n v="246"/>
    <x v="1"/>
    <x v="1"/>
    <x v="471"/>
    <x v="1"/>
    <s v="DISCOUNT ALLOWED"/>
    <s v="discount allowed"/>
    <s v="DISCOUNT ALLOWED"/>
    <s v="Discount Allowed"/>
    <s v="12/05/22"/>
  </r>
  <r>
    <s v="TXN_2902480"/>
    <s v="CUST_18"/>
    <x v="4"/>
    <x v="4"/>
    <x v="0"/>
    <x v="4"/>
    <n v="246"/>
    <x v="0"/>
    <x v="1"/>
    <x v="675"/>
    <x v="1"/>
    <s v="DISCOUNT ALLOWED"/>
    <s v="discount allowed"/>
    <s v="DISCOUNT ALLOWED"/>
    <s v="Discount Allowed"/>
    <s v="02/01/23"/>
  </r>
  <r>
    <s v="TXN_3282291"/>
    <s v="CUST_09"/>
    <x v="6"/>
    <x v="6"/>
    <x v="0"/>
    <x v="4"/>
    <n v="246"/>
    <x v="2"/>
    <x v="1"/>
    <x v="335"/>
    <x v="0"/>
    <s v="DISCOUNT NOT ALLOWED"/>
    <s v="discount not allowed"/>
    <s v="DISCOUNT NOT ALLOWED"/>
    <s v="Discount Not Allowed"/>
    <s v="02/01/25"/>
  </r>
  <r>
    <s v="TXN_3303658"/>
    <s v="CUST_13"/>
    <x v="7"/>
    <x v="7"/>
    <x v="0"/>
    <x v="4"/>
    <n v="246"/>
    <x v="1"/>
    <x v="0"/>
    <x v="559"/>
    <x v="0"/>
    <s v="DISCOUNT NOT ALLOWED"/>
    <s v="discount not allowed"/>
    <s v="DISCOUNT NOT ALLOWED"/>
    <s v="Discount Not Allowed"/>
    <s v="14/10/22"/>
  </r>
  <r>
    <s v="TXN_3572849"/>
    <s v="CUST_05"/>
    <x v="4"/>
    <x v="4"/>
    <x v="0"/>
    <x v="4"/>
    <n v="246"/>
    <x v="2"/>
    <x v="0"/>
    <x v="676"/>
    <x v="1"/>
    <s v="DISCOUNT ALLOWED"/>
    <s v="discount allowed"/>
    <s v="DISCOUNT ALLOWED"/>
    <s v="Discount Allowed"/>
    <s v="08/05/23"/>
  </r>
  <r>
    <s v="TXN_3758932"/>
    <s v="CUST_25"/>
    <x v="7"/>
    <x v="7"/>
    <x v="0"/>
    <x v="4"/>
    <n v="246"/>
    <x v="2"/>
    <x v="0"/>
    <x v="677"/>
    <x v="1"/>
    <s v="DISCOUNT ALLOWED"/>
    <s v="discount allowed"/>
    <s v="DISCOUNT ALLOWED"/>
    <s v="Discount Allowed"/>
    <s v="23/06/23"/>
  </r>
  <r>
    <s v="TXN_3789480"/>
    <s v="CUST_10"/>
    <x v="4"/>
    <x v="4"/>
    <x v="0"/>
    <x v="4"/>
    <n v="246"/>
    <x v="1"/>
    <x v="0"/>
    <x v="407"/>
    <x v="0"/>
    <s v="DISCOUNT NOT ALLOWED"/>
    <s v="discount not allowed"/>
    <s v="DISCOUNT NOT ALLOWED"/>
    <s v="Discount Not Allowed"/>
    <s v="10/10/22"/>
  </r>
  <r>
    <s v="TXN_4114361"/>
    <s v="CUST_15"/>
    <x v="4"/>
    <x v="4"/>
    <x v="0"/>
    <x v="4"/>
    <n v="246"/>
    <x v="1"/>
    <x v="0"/>
    <x v="678"/>
    <x v="1"/>
    <s v="DISCOUNT ALLOWED"/>
    <s v="discount allowed"/>
    <s v="DISCOUNT ALLOWED"/>
    <s v="Discount Allowed"/>
    <s v="09/03/23"/>
  </r>
  <r>
    <s v="TXN_4955324"/>
    <s v="CUST_17"/>
    <x v="3"/>
    <x v="3"/>
    <x v="0"/>
    <x v="4"/>
    <n v="246"/>
    <x v="0"/>
    <x v="1"/>
    <x v="588"/>
    <x v="1"/>
    <s v="DISCOUNT ALLOWED"/>
    <s v="discount allowed"/>
    <s v="DISCOUNT ALLOWED"/>
    <s v="Discount Allowed"/>
    <s v="10/01/22"/>
  </r>
  <r>
    <s v="TXN_5392536"/>
    <s v="CUST_11"/>
    <x v="3"/>
    <x v="3"/>
    <x v="0"/>
    <x v="4"/>
    <n v="246"/>
    <x v="0"/>
    <x v="0"/>
    <x v="322"/>
    <x v="1"/>
    <s v="DISCOUNT ALLOWED"/>
    <s v="discount allowed"/>
    <s v="DISCOUNT ALLOWED"/>
    <s v="Discount Allowed"/>
    <s v="22/06/23"/>
  </r>
  <r>
    <s v="TXN_6166688"/>
    <s v="CUST_08"/>
    <x v="7"/>
    <x v="7"/>
    <x v="0"/>
    <x v="4"/>
    <n v="246"/>
    <x v="2"/>
    <x v="0"/>
    <x v="494"/>
    <x v="1"/>
    <s v="DISCOUNT ALLOWED"/>
    <s v="discount allowed"/>
    <s v="DISCOUNT ALLOWED"/>
    <s v="Discount Allowed"/>
    <s v="29/09/23"/>
  </r>
  <r>
    <s v="TXN_6784148"/>
    <s v="CUST_07"/>
    <x v="6"/>
    <x v="6"/>
    <x v="0"/>
    <x v="4"/>
    <n v="246"/>
    <x v="1"/>
    <x v="0"/>
    <x v="679"/>
    <x v="0"/>
    <s v="DISCOUNT NOT ALLOWED"/>
    <s v="discount not allowed"/>
    <s v="DISCOUNT NOT ALLOWED"/>
    <s v="Discount Not Allowed"/>
    <s v="12/05/23"/>
  </r>
  <r>
    <s v="TXN_7304233"/>
    <s v="CUST_22"/>
    <x v="4"/>
    <x v="4"/>
    <x v="0"/>
    <x v="4"/>
    <n v="246"/>
    <x v="0"/>
    <x v="1"/>
    <x v="680"/>
    <x v="0"/>
    <s v="DISCOUNT NOT ALLOWED"/>
    <s v="discount not allowed"/>
    <s v="DISCOUNT NOT ALLOWED"/>
    <s v="Discount Not Allowed"/>
    <s v="02/03/23"/>
  </r>
  <r>
    <s v="TXN_7361391"/>
    <s v="CUST_08"/>
    <x v="2"/>
    <x v="2"/>
    <x v="0"/>
    <x v="4"/>
    <n v="246"/>
    <x v="1"/>
    <x v="1"/>
    <x v="217"/>
    <x v="1"/>
    <s v="DISCOUNT ALLOWED"/>
    <s v="discount allowed"/>
    <s v="DISCOUNT ALLOWED"/>
    <s v="Discount Allowed"/>
    <s v="12/01/24"/>
  </r>
  <r>
    <s v="TXN_7417646"/>
    <s v="CUST_13"/>
    <x v="2"/>
    <x v="2"/>
    <x v="0"/>
    <x v="4"/>
    <n v="246"/>
    <x v="2"/>
    <x v="0"/>
    <x v="598"/>
    <x v="0"/>
    <s v="DISCOUNT NOT ALLOWED"/>
    <s v="discount not allowed"/>
    <s v="DISCOUNT NOT ALLOWED"/>
    <s v="Discount Not Allowed"/>
    <s v="06/03/24"/>
  </r>
  <r>
    <s v="TXN_7904645"/>
    <s v="CUST_19"/>
    <x v="7"/>
    <x v="7"/>
    <x v="0"/>
    <x v="4"/>
    <n v="246"/>
    <x v="1"/>
    <x v="1"/>
    <x v="681"/>
    <x v="1"/>
    <s v="DISCOUNT ALLOWED"/>
    <s v="discount allowed"/>
    <s v="DISCOUNT ALLOWED"/>
    <s v="Discount Allowed"/>
    <s v="14/12/22"/>
  </r>
  <r>
    <s v="TXN_7926031"/>
    <s v="CUST_22"/>
    <x v="5"/>
    <x v="5"/>
    <x v="0"/>
    <x v="4"/>
    <n v="246"/>
    <x v="2"/>
    <x v="0"/>
    <x v="538"/>
    <x v="1"/>
    <s v="DISCOUNT ALLOWED"/>
    <s v="discount allowed"/>
    <s v="DISCOUNT ALLOWED"/>
    <s v="Discount Allowed"/>
    <s v="16/07/24"/>
  </r>
  <r>
    <s v="TXN_8254168"/>
    <s v="CUST_18"/>
    <x v="5"/>
    <x v="5"/>
    <x v="0"/>
    <x v="4"/>
    <n v="246"/>
    <x v="1"/>
    <x v="1"/>
    <x v="100"/>
    <x v="0"/>
    <s v="DISCOUNT NOT ALLOWED"/>
    <s v="discount not allowed"/>
    <s v="DISCOUNT NOT ALLOWED"/>
    <s v="Discount Not Allowed"/>
    <s v="18/02/24"/>
  </r>
  <r>
    <s v="TXN_8522671"/>
    <s v="CUST_03"/>
    <x v="5"/>
    <x v="5"/>
    <x v="0"/>
    <x v="4"/>
    <n v="246"/>
    <x v="2"/>
    <x v="1"/>
    <x v="682"/>
    <x v="1"/>
    <s v="DISCOUNT ALLOWED"/>
    <s v="discount allowed"/>
    <s v="DISCOUNT ALLOWED"/>
    <s v="Discount Allowed"/>
    <s v="01/12/22"/>
  </r>
  <r>
    <s v="TXN_8552795"/>
    <s v="CUST_06"/>
    <x v="1"/>
    <x v="1"/>
    <x v="0"/>
    <x v="4"/>
    <n v="246"/>
    <x v="0"/>
    <x v="0"/>
    <x v="683"/>
    <x v="1"/>
    <s v="DISCOUNT ALLOWED"/>
    <s v="discount allowed"/>
    <s v="DISCOUNT ALLOWED"/>
    <s v="Discount Allowed"/>
    <s v="21/02/22"/>
  </r>
  <r>
    <s v="TXN_8641832"/>
    <s v="CUST_03"/>
    <x v="2"/>
    <x v="2"/>
    <x v="0"/>
    <x v="4"/>
    <n v="246"/>
    <x v="1"/>
    <x v="1"/>
    <x v="128"/>
    <x v="1"/>
    <s v="DISCOUNT ALLOWED"/>
    <s v="discount allowed"/>
    <s v="DISCOUNT ALLOWED"/>
    <s v="Discount Allowed"/>
    <s v="18/08/24"/>
  </r>
  <r>
    <s v="TXN_8751570"/>
    <s v="CUST_02"/>
    <x v="1"/>
    <x v="1"/>
    <x v="0"/>
    <x v="4"/>
    <n v="246"/>
    <x v="0"/>
    <x v="1"/>
    <x v="684"/>
    <x v="1"/>
    <s v="DISCOUNT ALLOWED"/>
    <s v="discount allowed"/>
    <s v="DISCOUNT ALLOWED"/>
    <s v="Discount Allowed"/>
    <s v="13/03/24"/>
  </r>
  <r>
    <s v="TXN_8784908"/>
    <s v="CUST_17"/>
    <x v="5"/>
    <x v="5"/>
    <x v="0"/>
    <x v="4"/>
    <n v="246"/>
    <x v="1"/>
    <x v="1"/>
    <x v="685"/>
    <x v="0"/>
    <s v="DISCOUNT NOT ALLOWED"/>
    <s v="discount not allowed"/>
    <s v="DISCOUNT NOT ALLOWED"/>
    <s v="Discount Not Allowed"/>
    <s v="20/07/23"/>
  </r>
  <r>
    <s v="TXN_8984050"/>
    <s v="CUST_10"/>
    <x v="5"/>
    <x v="5"/>
    <x v="0"/>
    <x v="4"/>
    <n v="246"/>
    <x v="0"/>
    <x v="0"/>
    <x v="686"/>
    <x v="1"/>
    <s v="DISCOUNT ALLOWED"/>
    <s v="discount allowed"/>
    <s v="DISCOUNT ALLOWED"/>
    <s v="Discount Allowed"/>
    <s v="21/07/23"/>
  </r>
  <r>
    <s v="TXN_9190979"/>
    <s v="CUST_24"/>
    <x v="5"/>
    <x v="5"/>
    <x v="0"/>
    <x v="4"/>
    <n v="246"/>
    <x v="1"/>
    <x v="1"/>
    <x v="687"/>
    <x v="0"/>
    <s v="DISCOUNT NOT ALLOWED"/>
    <s v="discount not allowed"/>
    <s v="DISCOUNT NOT ALLOWED"/>
    <s v="Discount Not Allowed"/>
    <s v="08/10/22"/>
  </r>
  <r>
    <s v="TXN_9230065"/>
    <s v="CUST_10"/>
    <x v="3"/>
    <x v="3"/>
    <x v="0"/>
    <x v="4"/>
    <n v="246"/>
    <x v="0"/>
    <x v="1"/>
    <x v="596"/>
    <x v="0"/>
    <s v="DISCOUNT NOT ALLOWED"/>
    <s v="discount not allowed"/>
    <s v="DISCOUNT NOT ALLOWED"/>
    <s v="Discount Not Allowed"/>
    <s v="06/12/23"/>
  </r>
  <r>
    <s v="TXN_9313276"/>
    <s v="CUST_22"/>
    <x v="5"/>
    <x v="5"/>
    <x v="0"/>
    <x v="4"/>
    <n v="246"/>
    <x v="0"/>
    <x v="1"/>
    <x v="277"/>
    <x v="1"/>
    <s v="DISCOUNT ALLOWED"/>
    <s v="discount allowed"/>
    <s v="DISCOUNT ALLOWED"/>
    <s v="Discount Allowed"/>
    <s v="02/02/23"/>
  </r>
  <r>
    <s v="TXN_9377257"/>
    <s v="CUST_06"/>
    <x v="4"/>
    <x v="4"/>
    <x v="0"/>
    <x v="4"/>
    <n v="246"/>
    <x v="0"/>
    <x v="0"/>
    <x v="688"/>
    <x v="0"/>
    <s v="DISCOUNT NOT ALLOWED"/>
    <s v="discount not allowed"/>
    <s v="DISCOUNT NOT ALLOWED"/>
    <s v="Discount Not Allowed"/>
    <s v="04/03/24"/>
  </r>
  <r>
    <s v="TXN_9847074"/>
    <s v="CUST_05"/>
    <x v="4"/>
    <x v="4"/>
    <x v="0"/>
    <x v="4"/>
    <n v="246"/>
    <x v="0"/>
    <x v="0"/>
    <x v="364"/>
    <x v="0"/>
    <s v="DISCOUNT NOT ALLOWED"/>
    <s v="discount not allowed"/>
    <s v="DISCOUNT NOT ALLOWED"/>
    <s v="Discount Not Allowed"/>
    <s v="14/11/24"/>
  </r>
  <r>
    <s v="TXN_9946792"/>
    <s v="CUST_23"/>
    <x v="2"/>
    <x v="2"/>
    <x v="0"/>
    <x v="4"/>
    <n v="246"/>
    <x v="2"/>
    <x v="0"/>
    <x v="689"/>
    <x v="1"/>
    <s v="DISCOUNT ALLOWED"/>
    <s v="discount allowed"/>
    <s v="DISCOUNT ALLOWED"/>
    <s v="Discount Allowed"/>
    <s v="07/09/22"/>
  </r>
  <r>
    <s v="TXN_1102901"/>
    <s v="CUST_16"/>
    <x v="7"/>
    <x v="86"/>
    <x v="11"/>
    <x v="0"/>
    <n v="245"/>
    <x v="1"/>
    <x v="0"/>
    <x v="479"/>
    <x v="1"/>
    <s v="DISCOUNT ALLOWED"/>
    <s v="discount allowed"/>
    <s v="DISCOUNT ALLOWED"/>
    <s v="Discount Allowed"/>
    <s v="17/03/22"/>
  </r>
  <r>
    <s v="TXN_1285698"/>
    <s v="CUST_12"/>
    <x v="2"/>
    <x v="32"/>
    <x v="4"/>
    <x v="3"/>
    <n v="245"/>
    <x v="1"/>
    <x v="0"/>
    <x v="393"/>
    <x v="1"/>
    <s v="DISCOUNT ALLOWED"/>
    <s v="discount allowed"/>
    <s v="DISCOUNT ALLOWED"/>
    <s v="Discount Allowed"/>
    <s v="18/10/22"/>
  </r>
  <r>
    <s v="TXN_1598860"/>
    <s v="CUST_08"/>
    <x v="4"/>
    <x v="87"/>
    <x v="11"/>
    <x v="0"/>
    <n v="245"/>
    <x v="1"/>
    <x v="1"/>
    <x v="622"/>
    <x v="1"/>
    <s v="DISCOUNT ALLOWED"/>
    <s v="discount allowed"/>
    <s v="DISCOUNT ALLOWED"/>
    <s v="Discount Allowed"/>
    <s v="23/10/22"/>
  </r>
  <r>
    <s v="TXN_1648427"/>
    <s v="CUST_04"/>
    <x v="3"/>
    <x v="52"/>
    <x v="4"/>
    <x v="3"/>
    <n v="245"/>
    <x v="0"/>
    <x v="1"/>
    <x v="690"/>
    <x v="0"/>
    <s v="DISCOUNT NOT ALLOWED"/>
    <s v="discount not allowed"/>
    <s v="DISCOUNT NOT ALLOWED"/>
    <s v="Discount Not Allowed"/>
    <s v="12/12/24"/>
  </r>
  <r>
    <s v="TXN_1722933"/>
    <s v="CUST_20"/>
    <x v="6"/>
    <x v="33"/>
    <x v="4"/>
    <x v="3"/>
    <n v="245"/>
    <x v="1"/>
    <x v="0"/>
    <x v="273"/>
    <x v="0"/>
    <s v="DISCOUNT NOT ALLOWED"/>
    <s v="discount not allowed"/>
    <s v="DISCOUNT NOT ALLOWED"/>
    <s v="Discount Not Allowed"/>
    <s v="12/08/23"/>
  </r>
  <r>
    <s v="TXN_1880682"/>
    <s v="CUST_22"/>
    <x v="6"/>
    <x v="88"/>
    <x v="11"/>
    <x v="0"/>
    <n v="245"/>
    <x v="1"/>
    <x v="1"/>
    <x v="691"/>
    <x v="0"/>
    <s v="DISCOUNT NOT ALLOWED"/>
    <s v="discount not allowed"/>
    <s v="DISCOUNT NOT ALLOWED"/>
    <s v="Discount Not Allowed"/>
    <s v="28/05/24"/>
  </r>
  <r>
    <s v="TXN_2054145"/>
    <s v="CUST_06"/>
    <x v="5"/>
    <x v="35"/>
    <x v="4"/>
    <x v="3"/>
    <n v="245"/>
    <x v="1"/>
    <x v="1"/>
    <x v="153"/>
    <x v="0"/>
    <s v="DISCOUNT NOT ALLOWED"/>
    <s v="discount not allowed"/>
    <s v="DISCOUNT NOT ALLOWED"/>
    <s v="Discount Not Allowed"/>
    <s v="28/05/23"/>
  </r>
  <r>
    <s v="TXN_2100495"/>
    <s v="CUST_19"/>
    <x v="6"/>
    <x v="33"/>
    <x v="4"/>
    <x v="3"/>
    <n v="245"/>
    <x v="1"/>
    <x v="1"/>
    <x v="692"/>
    <x v="1"/>
    <s v="DISCOUNT ALLOWED"/>
    <s v="discount allowed"/>
    <s v="DISCOUNT ALLOWED"/>
    <s v="Discount Allowed"/>
    <s v="23/06/22"/>
  </r>
  <r>
    <s v="TXN_2254132"/>
    <s v="CUST_25"/>
    <x v="2"/>
    <x v="32"/>
    <x v="4"/>
    <x v="3"/>
    <n v="245"/>
    <x v="0"/>
    <x v="0"/>
    <x v="693"/>
    <x v="0"/>
    <s v="DISCOUNT NOT ALLOWED"/>
    <s v="discount not allowed"/>
    <s v="DISCOUNT NOT ALLOWED"/>
    <s v="Discount Not Allowed"/>
    <s v="07/05/24"/>
  </r>
  <r>
    <s v="TXN_2411176"/>
    <s v="CUST_20"/>
    <x v="1"/>
    <x v="89"/>
    <x v="11"/>
    <x v="0"/>
    <n v="245"/>
    <x v="0"/>
    <x v="0"/>
    <x v="694"/>
    <x v="1"/>
    <s v="DISCOUNT ALLOWED"/>
    <s v="discount allowed"/>
    <s v="DISCOUNT ALLOWED"/>
    <s v="Discount Allowed"/>
    <s v="28/01/23"/>
  </r>
  <r>
    <s v="TXN_2855409"/>
    <s v="CUST_04"/>
    <x v="1"/>
    <x v="89"/>
    <x v="11"/>
    <x v="0"/>
    <n v="245"/>
    <x v="2"/>
    <x v="0"/>
    <x v="695"/>
    <x v="1"/>
    <s v="DISCOUNT ALLOWED"/>
    <s v="discount allowed"/>
    <s v="DISCOUNT ALLOWED"/>
    <s v="Discount Allowed"/>
    <s v="19/08/23"/>
  </r>
  <r>
    <s v="TXN_3051299"/>
    <s v="CUST_20"/>
    <x v="4"/>
    <x v="87"/>
    <x v="11"/>
    <x v="0"/>
    <n v="245"/>
    <x v="0"/>
    <x v="0"/>
    <x v="235"/>
    <x v="0"/>
    <s v="DISCOUNT NOT ALLOWED"/>
    <s v="discount not allowed"/>
    <s v="DISCOUNT NOT ALLOWED"/>
    <s v="Discount Not Allowed"/>
    <s v="11/01/25"/>
  </r>
  <r>
    <s v="TXN_3054311"/>
    <s v="CUST_03"/>
    <x v="4"/>
    <x v="36"/>
    <x v="4"/>
    <x v="3"/>
    <n v="245"/>
    <x v="0"/>
    <x v="0"/>
    <x v="283"/>
    <x v="0"/>
    <s v="DISCOUNT NOT ALLOWED"/>
    <s v="discount not allowed"/>
    <s v="DISCOUNT NOT ALLOWED"/>
    <s v="Discount Not Allowed"/>
    <s v="15/01/23"/>
  </r>
  <r>
    <s v="TXN_3319640"/>
    <s v="CUST_05"/>
    <x v="2"/>
    <x v="90"/>
    <x v="11"/>
    <x v="0"/>
    <n v="245"/>
    <x v="1"/>
    <x v="1"/>
    <x v="690"/>
    <x v="0"/>
    <s v="DISCOUNT NOT ALLOWED"/>
    <s v="discount not allowed"/>
    <s v="DISCOUNT NOT ALLOWED"/>
    <s v="Discount Not Allowed"/>
    <s v="12/12/24"/>
  </r>
  <r>
    <s v="TXN_3455359"/>
    <s v="CUST_06"/>
    <x v="7"/>
    <x v="86"/>
    <x v="11"/>
    <x v="0"/>
    <n v="245"/>
    <x v="1"/>
    <x v="0"/>
    <x v="696"/>
    <x v="0"/>
    <s v="DISCOUNT NOT ALLOWED"/>
    <s v="discount not allowed"/>
    <s v="DISCOUNT NOT ALLOWED"/>
    <s v="Discount Not Allowed"/>
    <s v="01/10/23"/>
  </r>
  <r>
    <s v="TXN_3461490"/>
    <s v="CUST_10"/>
    <x v="1"/>
    <x v="89"/>
    <x v="11"/>
    <x v="0"/>
    <n v="245"/>
    <x v="1"/>
    <x v="0"/>
    <x v="697"/>
    <x v="0"/>
    <s v="DISCOUNT NOT ALLOWED"/>
    <s v="discount not allowed"/>
    <s v="DISCOUNT NOT ALLOWED"/>
    <s v="Discount Not Allowed"/>
    <s v="14/08/22"/>
  </r>
  <r>
    <s v="TXN_3614090"/>
    <s v="CUST_23"/>
    <x v="1"/>
    <x v="34"/>
    <x v="4"/>
    <x v="3"/>
    <n v="245"/>
    <x v="2"/>
    <x v="1"/>
    <x v="551"/>
    <x v="0"/>
    <s v="DISCOUNT NOT ALLOWED"/>
    <s v="discount not allowed"/>
    <s v="DISCOUNT NOT ALLOWED"/>
    <s v="Discount Not Allowed"/>
    <s v="01/12/24"/>
  </r>
  <r>
    <s v="TXN_4029684"/>
    <s v="CUST_16"/>
    <x v="2"/>
    <x v="32"/>
    <x v="4"/>
    <x v="3"/>
    <n v="245"/>
    <x v="0"/>
    <x v="1"/>
    <x v="454"/>
    <x v="1"/>
    <s v="DISCOUNT ALLOWED"/>
    <s v="discount allowed"/>
    <s v="DISCOUNT ALLOWED"/>
    <s v="Discount Allowed"/>
    <s v="19/04/24"/>
  </r>
  <r>
    <s v="TXN_4586181"/>
    <s v="CUST_12"/>
    <x v="4"/>
    <x v="87"/>
    <x v="11"/>
    <x v="0"/>
    <n v="245"/>
    <x v="2"/>
    <x v="1"/>
    <x v="698"/>
    <x v="0"/>
    <s v="DISCOUNT NOT ALLOWED"/>
    <s v="discount not allowed"/>
    <s v="DISCOUNT NOT ALLOWED"/>
    <s v="Discount Not Allowed"/>
    <s v="30/01/23"/>
  </r>
  <r>
    <s v="TXN_4602333"/>
    <s v="CUST_19"/>
    <x v="0"/>
    <x v="91"/>
    <x v="11"/>
    <x v="0"/>
    <n v="245"/>
    <x v="2"/>
    <x v="0"/>
    <x v="507"/>
    <x v="1"/>
    <s v="DISCOUNT ALLOWED"/>
    <s v="discount allowed"/>
    <s v="DISCOUNT ALLOWED"/>
    <s v="Discount Allowed"/>
    <s v="30/12/24"/>
  </r>
  <r>
    <s v="TXN_4715095"/>
    <s v="CUST_14"/>
    <x v="1"/>
    <x v="89"/>
    <x v="11"/>
    <x v="0"/>
    <n v="245"/>
    <x v="1"/>
    <x v="0"/>
    <x v="248"/>
    <x v="1"/>
    <s v="DISCOUNT ALLOWED"/>
    <s v="discount allowed"/>
    <s v="DISCOUNT ALLOWED"/>
    <s v="Discount Allowed"/>
    <s v="31/01/22"/>
  </r>
  <r>
    <s v="TXN_4836949"/>
    <s v="CUST_07"/>
    <x v="6"/>
    <x v="88"/>
    <x v="11"/>
    <x v="0"/>
    <n v="245"/>
    <x v="2"/>
    <x v="1"/>
    <x v="495"/>
    <x v="1"/>
    <s v="DISCOUNT ALLOWED"/>
    <s v="discount allowed"/>
    <s v="DISCOUNT ALLOWED"/>
    <s v="Discount Allowed"/>
    <s v="02/02/22"/>
  </r>
  <r>
    <s v="TXN_5276201"/>
    <s v="CUST_08"/>
    <x v="6"/>
    <x v="33"/>
    <x v="4"/>
    <x v="3"/>
    <n v="245"/>
    <x v="0"/>
    <x v="1"/>
    <x v="699"/>
    <x v="1"/>
    <s v="DISCOUNT ALLOWED"/>
    <s v="discount allowed"/>
    <s v="DISCOUNT ALLOWED"/>
    <s v="Discount Allowed"/>
    <s v="24/03/23"/>
  </r>
  <r>
    <s v="TXN_5400932"/>
    <s v="CUST_15"/>
    <x v="4"/>
    <x v="87"/>
    <x v="11"/>
    <x v="0"/>
    <n v="245"/>
    <x v="2"/>
    <x v="0"/>
    <x v="700"/>
    <x v="0"/>
    <s v="DISCOUNT NOT ALLOWED"/>
    <s v="discount not allowed"/>
    <s v="DISCOUNT NOT ALLOWED"/>
    <s v="Discount Not Allowed"/>
    <s v="01/03/23"/>
  </r>
  <r>
    <s v="TXN_5486919"/>
    <s v="CUST_12"/>
    <x v="4"/>
    <x v="87"/>
    <x v="11"/>
    <x v="0"/>
    <n v="245"/>
    <x v="1"/>
    <x v="0"/>
    <x v="646"/>
    <x v="0"/>
    <s v="DISCOUNT NOT ALLOWED"/>
    <s v="discount not allowed"/>
    <s v="DISCOUNT NOT ALLOWED"/>
    <s v="Discount Not Allowed"/>
    <s v="27/07/22"/>
  </r>
  <r>
    <s v="TXN_5511793"/>
    <s v="CUST_14"/>
    <x v="6"/>
    <x v="88"/>
    <x v="11"/>
    <x v="0"/>
    <n v="245"/>
    <x v="0"/>
    <x v="1"/>
    <x v="701"/>
    <x v="0"/>
    <s v="DISCOUNT NOT ALLOWED"/>
    <s v="discount not allowed"/>
    <s v="DISCOUNT NOT ALLOWED"/>
    <s v="Discount Not Allowed"/>
    <s v="16/04/23"/>
  </r>
  <r>
    <s v="TXN_5645530"/>
    <s v="CUST_14"/>
    <x v="1"/>
    <x v="89"/>
    <x v="11"/>
    <x v="0"/>
    <n v="245"/>
    <x v="0"/>
    <x v="0"/>
    <x v="129"/>
    <x v="0"/>
    <s v="DISCOUNT NOT ALLOWED"/>
    <s v="discount not allowed"/>
    <s v="DISCOUNT NOT ALLOWED"/>
    <s v="Discount Not Allowed"/>
    <s v="06/06/24"/>
  </r>
  <r>
    <s v="TXN_5885894"/>
    <s v="CUST_01"/>
    <x v="7"/>
    <x v="86"/>
    <x v="11"/>
    <x v="0"/>
    <n v="245"/>
    <x v="2"/>
    <x v="1"/>
    <x v="702"/>
    <x v="0"/>
    <s v="DISCOUNT NOT ALLOWED"/>
    <s v="discount not allowed"/>
    <s v="DISCOUNT NOT ALLOWED"/>
    <s v="Discount Not Allowed"/>
    <s v="09/02/22"/>
  </r>
  <r>
    <s v="TXN_5913765"/>
    <s v="CUST_25"/>
    <x v="2"/>
    <x v="32"/>
    <x v="4"/>
    <x v="3"/>
    <n v="245"/>
    <x v="1"/>
    <x v="1"/>
    <x v="604"/>
    <x v="1"/>
    <s v="DISCOUNT ALLOWED"/>
    <s v="discount allowed"/>
    <s v="DISCOUNT ALLOWED"/>
    <s v="Discount Allowed"/>
    <s v="28/01/24"/>
  </r>
  <r>
    <s v="TXN_6039236"/>
    <s v="CUST_13"/>
    <x v="4"/>
    <x v="87"/>
    <x v="11"/>
    <x v="0"/>
    <n v="245"/>
    <x v="2"/>
    <x v="1"/>
    <x v="703"/>
    <x v="1"/>
    <s v="DISCOUNT ALLOWED"/>
    <s v="discount allowed"/>
    <s v="DISCOUNT ALLOWED"/>
    <s v="Discount Allowed"/>
    <s v="31/01/24"/>
  </r>
  <r>
    <s v="TXN_6103550"/>
    <s v="CUST_04"/>
    <x v="6"/>
    <x v="88"/>
    <x v="11"/>
    <x v="0"/>
    <n v="245"/>
    <x v="1"/>
    <x v="0"/>
    <x v="625"/>
    <x v="0"/>
    <s v="DISCOUNT NOT ALLOWED"/>
    <s v="discount not allowed"/>
    <s v="DISCOUNT NOT ALLOWED"/>
    <s v="Discount Not Allowed"/>
    <s v="13/11/22"/>
  </r>
  <r>
    <s v="TXN_6192129"/>
    <s v="CUST_10"/>
    <x v="7"/>
    <x v="86"/>
    <x v="11"/>
    <x v="0"/>
    <n v="245"/>
    <x v="1"/>
    <x v="0"/>
    <x v="704"/>
    <x v="1"/>
    <s v="DISCOUNT ALLOWED"/>
    <s v="discount allowed"/>
    <s v="DISCOUNT ALLOWED"/>
    <s v="Discount Allowed"/>
    <s v="02/03/24"/>
  </r>
  <r>
    <s v="TXN_6305251"/>
    <s v="CUST_01"/>
    <x v="6"/>
    <x v="88"/>
    <x v="11"/>
    <x v="0"/>
    <n v="245"/>
    <x v="2"/>
    <x v="1"/>
    <x v="705"/>
    <x v="1"/>
    <s v="DISCOUNT ALLOWED"/>
    <s v="discount allowed"/>
    <s v="DISCOUNT ALLOWED"/>
    <s v="Discount Allowed"/>
    <s v="27/10/24"/>
  </r>
  <r>
    <s v="TXN_6470632"/>
    <s v="CUST_10"/>
    <x v="4"/>
    <x v="87"/>
    <x v="11"/>
    <x v="0"/>
    <n v="245"/>
    <x v="0"/>
    <x v="1"/>
    <x v="584"/>
    <x v="1"/>
    <s v="DISCOUNT ALLOWED"/>
    <s v="discount allowed"/>
    <s v="DISCOUNT ALLOWED"/>
    <s v="Discount Allowed"/>
    <s v="08/04/23"/>
  </r>
  <r>
    <s v="TXN_6686319"/>
    <s v="CUST_04"/>
    <x v="3"/>
    <x v="52"/>
    <x v="4"/>
    <x v="3"/>
    <n v="245"/>
    <x v="0"/>
    <x v="0"/>
    <x v="615"/>
    <x v="0"/>
    <s v="DISCOUNT NOT ALLOWED"/>
    <s v="discount not allowed"/>
    <s v="DISCOUNT NOT ALLOWED"/>
    <s v="Discount Not Allowed"/>
    <s v="02/12/23"/>
  </r>
  <r>
    <s v="TXN_6787087"/>
    <s v="CUST_22"/>
    <x v="1"/>
    <x v="89"/>
    <x v="11"/>
    <x v="0"/>
    <n v="245"/>
    <x v="2"/>
    <x v="0"/>
    <x v="218"/>
    <x v="0"/>
    <s v="DISCOUNT NOT ALLOWED"/>
    <s v="discount not allowed"/>
    <s v="DISCOUNT NOT ALLOWED"/>
    <s v="Discount Not Allowed"/>
    <s v="06/10/22"/>
  </r>
  <r>
    <s v="TXN_6897096"/>
    <s v="CUST_06"/>
    <x v="2"/>
    <x v="90"/>
    <x v="11"/>
    <x v="0"/>
    <n v="245"/>
    <x v="2"/>
    <x v="1"/>
    <x v="706"/>
    <x v="1"/>
    <s v="DISCOUNT ALLOWED"/>
    <s v="discount allowed"/>
    <s v="DISCOUNT ALLOWED"/>
    <s v="Discount Allowed"/>
    <s v="25/06/22"/>
  </r>
  <r>
    <s v="TXN_6950644"/>
    <s v="CUST_13"/>
    <x v="0"/>
    <x v="31"/>
    <x v="4"/>
    <x v="3"/>
    <n v="245"/>
    <x v="2"/>
    <x v="0"/>
    <x v="221"/>
    <x v="1"/>
    <s v="DISCOUNT ALLOWED"/>
    <s v="discount allowed"/>
    <s v="DISCOUNT ALLOWED"/>
    <s v="Discount Allowed"/>
    <s v="20/11/24"/>
  </r>
  <r>
    <s v="TXN_7254114"/>
    <s v="CUST_13"/>
    <x v="1"/>
    <x v="89"/>
    <x v="11"/>
    <x v="0"/>
    <n v="245"/>
    <x v="1"/>
    <x v="1"/>
    <x v="707"/>
    <x v="0"/>
    <s v="DISCOUNT NOT ALLOWED"/>
    <s v="discount not allowed"/>
    <s v="DISCOUNT NOT ALLOWED"/>
    <s v="Discount Not Allowed"/>
    <s v="08/06/23"/>
  </r>
  <r>
    <s v="TXN_7338102"/>
    <s v="CUST_14"/>
    <x v="4"/>
    <x v="87"/>
    <x v="11"/>
    <x v="0"/>
    <n v="245"/>
    <x v="0"/>
    <x v="1"/>
    <x v="708"/>
    <x v="0"/>
    <s v="DISCOUNT NOT ALLOWED"/>
    <s v="discount not allowed"/>
    <s v="DISCOUNT NOT ALLOWED"/>
    <s v="Discount Not Allowed"/>
    <s v="30/04/24"/>
  </r>
  <r>
    <s v="TXN_7359436"/>
    <s v="CUST_16"/>
    <x v="4"/>
    <x v="87"/>
    <x v="11"/>
    <x v="0"/>
    <n v="245"/>
    <x v="1"/>
    <x v="1"/>
    <x v="709"/>
    <x v="1"/>
    <s v="DISCOUNT ALLOWED"/>
    <s v="discount allowed"/>
    <s v="DISCOUNT ALLOWED"/>
    <s v="Discount Allowed"/>
    <s v="02/01/24"/>
  </r>
  <r>
    <s v="TXN_7564934"/>
    <s v="CUST_09"/>
    <x v="1"/>
    <x v="89"/>
    <x v="11"/>
    <x v="0"/>
    <n v="245"/>
    <x v="2"/>
    <x v="1"/>
    <x v="87"/>
    <x v="0"/>
    <s v="DISCOUNT NOT ALLOWED"/>
    <s v="discount not allowed"/>
    <s v="DISCOUNT NOT ALLOWED"/>
    <s v="Discount Not Allowed"/>
    <s v="23/07/23"/>
  </r>
  <r>
    <s v="TXN_7740400"/>
    <s v="CUST_02"/>
    <x v="4"/>
    <x v="36"/>
    <x v="4"/>
    <x v="3"/>
    <n v="245"/>
    <x v="2"/>
    <x v="1"/>
    <x v="130"/>
    <x v="1"/>
    <s v="DISCOUNT ALLOWED"/>
    <s v="discount allowed"/>
    <s v="DISCOUNT ALLOWED"/>
    <s v="Discount Allowed"/>
    <s v="21/09/23"/>
  </r>
  <r>
    <s v="TXN_7839304"/>
    <s v="CUST_21"/>
    <x v="0"/>
    <x v="91"/>
    <x v="11"/>
    <x v="0"/>
    <n v="245"/>
    <x v="0"/>
    <x v="1"/>
    <x v="609"/>
    <x v="1"/>
    <s v="DISCOUNT ALLOWED"/>
    <s v="discount allowed"/>
    <s v="DISCOUNT ALLOWED"/>
    <s v="Discount Allowed"/>
    <s v="14/02/24"/>
  </r>
  <r>
    <s v="TXN_7847697"/>
    <s v="CUST_19"/>
    <x v="3"/>
    <x v="52"/>
    <x v="4"/>
    <x v="3"/>
    <n v="245"/>
    <x v="1"/>
    <x v="1"/>
    <x v="710"/>
    <x v="0"/>
    <s v="DISCOUNT NOT ALLOWED"/>
    <s v="discount not allowed"/>
    <s v="DISCOUNT NOT ALLOWED"/>
    <s v="Discount Not Allowed"/>
    <s v="05/08/24"/>
  </r>
  <r>
    <s v="TXN_7919038"/>
    <s v="CUST_24"/>
    <x v="2"/>
    <x v="90"/>
    <x v="11"/>
    <x v="0"/>
    <n v="245"/>
    <x v="1"/>
    <x v="1"/>
    <x v="711"/>
    <x v="0"/>
    <s v="DISCOUNT NOT ALLOWED"/>
    <s v="discount not allowed"/>
    <s v="DISCOUNT NOT ALLOWED"/>
    <s v="Discount Not Allowed"/>
    <s v="04/04/22"/>
  </r>
  <r>
    <s v="TXN_8203879"/>
    <s v="CUST_18"/>
    <x v="3"/>
    <x v="52"/>
    <x v="4"/>
    <x v="3"/>
    <n v="245"/>
    <x v="0"/>
    <x v="1"/>
    <x v="551"/>
    <x v="0"/>
    <s v="DISCOUNT NOT ALLOWED"/>
    <s v="discount not allowed"/>
    <s v="DISCOUNT NOT ALLOWED"/>
    <s v="Discount Not Allowed"/>
    <s v="01/12/24"/>
  </r>
  <r>
    <s v="TXN_8643512"/>
    <s v="CUST_09"/>
    <x v="2"/>
    <x v="90"/>
    <x v="11"/>
    <x v="0"/>
    <n v="245"/>
    <x v="1"/>
    <x v="1"/>
    <x v="38"/>
    <x v="0"/>
    <s v="DISCOUNT NOT ALLOWED"/>
    <s v="discount not allowed"/>
    <s v="DISCOUNT NOT ALLOWED"/>
    <s v="Discount Not Allowed"/>
    <s v="18/02/22"/>
  </r>
  <r>
    <s v="TXN_8704721"/>
    <s v="CUST_09"/>
    <x v="1"/>
    <x v="89"/>
    <x v="11"/>
    <x v="0"/>
    <n v="245"/>
    <x v="1"/>
    <x v="0"/>
    <x v="18"/>
    <x v="1"/>
    <s v="DISCOUNT ALLOWED"/>
    <s v="discount allowed"/>
    <s v="DISCOUNT ALLOWED"/>
    <s v="Discount Allowed"/>
    <s v="16/02/23"/>
  </r>
  <r>
    <s v="TXN_8818340"/>
    <s v="CUST_04"/>
    <x v="5"/>
    <x v="35"/>
    <x v="4"/>
    <x v="3"/>
    <n v="245"/>
    <x v="0"/>
    <x v="1"/>
    <x v="712"/>
    <x v="1"/>
    <s v="DISCOUNT ALLOWED"/>
    <s v="discount allowed"/>
    <s v="DISCOUNT ALLOWED"/>
    <s v="Discount Allowed"/>
    <s v="30/04/22"/>
  </r>
  <r>
    <s v="TXN_8830893"/>
    <s v="CUST_02"/>
    <x v="4"/>
    <x v="36"/>
    <x v="4"/>
    <x v="3"/>
    <n v="245"/>
    <x v="1"/>
    <x v="0"/>
    <x v="265"/>
    <x v="1"/>
    <s v="DISCOUNT ALLOWED"/>
    <s v="discount allowed"/>
    <s v="DISCOUNT ALLOWED"/>
    <s v="Discount Allowed"/>
    <s v="30/06/24"/>
  </r>
  <r>
    <s v="TXN_8866842"/>
    <s v="CUST_11"/>
    <x v="6"/>
    <x v="88"/>
    <x v="11"/>
    <x v="0"/>
    <n v="245"/>
    <x v="1"/>
    <x v="1"/>
    <x v="1"/>
    <x v="1"/>
    <s v="DISCOUNT ALLOWED"/>
    <s v="discount allowed"/>
    <s v="DISCOUNT ALLOWED"/>
    <s v="Discount Allowed"/>
    <s v="01/04/23"/>
  </r>
  <r>
    <s v="TXN_9014477"/>
    <s v="CUST_08"/>
    <x v="4"/>
    <x v="36"/>
    <x v="4"/>
    <x v="3"/>
    <n v="245"/>
    <x v="2"/>
    <x v="1"/>
    <x v="713"/>
    <x v="1"/>
    <s v="DISCOUNT ALLOWED"/>
    <s v="discount allowed"/>
    <s v="DISCOUNT ALLOWED"/>
    <s v="Discount Allowed"/>
    <s v="29/07/22"/>
  </r>
  <r>
    <s v="TXN_9173957"/>
    <s v="CUST_09"/>
    <x v="2"/>
    <x v="32"/>
    <x v="4"/>
    <x v="3"/>
    <n v="245"/>
    <x v="0"/>
    <x v="0"/>
    <x v="714"/>
    <x v="1"/>
    <s v="DISCOUNT ALLOWED"/>
    <s v="discount allowed"/>
    <s v="DISCOUNT ALLOWED"/>
    <s v="Discount Allowed"/>
    <s v="23/04/23"/>
  </r>
  <r>
    <s v="TXN_9387439"/>
    <s v="CUST_03"/>
    <x v="7"/>
    <x v="86"/>
    <x v="11"/>
    <x v="0"/>
    <n v="245"/>
    <x v="0"/>
    <x v="1"/>
    <x v="705"/>
    <x v="1"/>
    <s v="DISCOUNT ALLOWED"/>
    <s v="discount allowed"/>
    <s v="DISCOUNT ALLOWED"/>
    <s v="Discount Allowed"/>
    <s v="27/10/24"/>
  </r>
  <r>
    <s v="TXN_9435490"/>
    <s v="CUST_10"/>
    <x v="3"/>
    <x v="92"/>
    <x v="11"/>
    <x v="0"/>
    <n v="245"/>
    <x v="0"/>
    <x v="1"/>
    <x v="2"/>
    <x v="0"/>
    <s v="DISCOUNT NOT ALLOWED"/>
    <s v="discount not allowed"/>
    <s v="DISCOUNT NOT ALLOWED"/>
    <s v="Discount Not Allowed"/>
    <s v="04/11/22"/>
  </r>
  <r>
    <s v="TXN_9944884"/>
    <s v="CUST_25"/>
    <x v="3"/>
    <x v="52"/>
    <x v="4"/>
    <x v="3"/>
    <n v="245"/>
    <x v="2"/>
    <x v="0"/>
    <x v="182"/>
    <x v="1"/>
    <s v="DISCOUNT ALLOWED"/>
    <s v="discount allowed"/>
    <s v="DISCOUNT ALLOWED"/>
    <s v="Discount Allowed"/>
    <s v="28/04/24"/>
  </r>
  <r>
    <s v="TXN_9988833"/>
    <s v="CUST_22"/>
    <x v="2"/>
    <x v="90"/>
    <x v="11"/>
    <x v="0"/>
    <n v="245"/>
    <x v="1"/>
    <x v="1"/>
    <x v="715"/>
    <x v="1"/>
    <s v="DISCOUNT ALLOWED"/>
    <s v="discount allowed"/>
    <s v="DISCOUNT ALLOWED"/>
    <s v="Discount Allowed"/>
    <s v="12/12/22"/>
  </r>
  <r>
    <s v="TXN_1354704"/>
    <s v="CUST_07"/>
    <x v="3"/>
    <x v="55"/>
    <x v="7"/>
    <x v="2"/>
    <n v="244"/>
    <x v="1"/>
    <x v="0"/>
    <x v="48"/>
    <x v="0"/>
    <s v="DISCOUNT NOT ALLOWED"/>
    <s v="discount not allowed"/>
    <s v="DISCOUNT NOT ALLOWED"/>
    <s v="Discount Not Allowed"/>
    <s v="03/12/22"/>
  </r>
  <r>
    <s v="TXN_1744774"/>
    <s v="CUST_22"/>
    <x v="0"/>
    <x v="57"/>
    <x v="7"/>
    <x v="2"/>
    <n v="244"/>
    <x v="0"/>
    <x v="0"/>
    <x v="716"/>
    <x v="1"/>
    <s v="DISCOUNT ALLOWED"/>
    <s v="discount allowed"/>
    <s v="DISCOUNT ALLOWED"/>
    <s v="Discount Allowed"/>
    <s v="19/05/22"/>
  </r>
  <r>
    <s v="TXN_1851007"/>
    <s v="CUST_10"/>
    <x v="6"/>
    <x v="58"/>
    <x v="7"/>
    <x v="2"/>
    <n v="244"/>
    <x v="1"/>
    <x v="0"/>
    <x v="481"/>
    <x v="1"/>
    <s v="DISCOUNT ALLOWED"/>
    <s v="discount allowed"/>
    <s v="DISCOUNT ALLOWED"/>
    <s v="Discount Allowed"/>
    <s v="20/11/22"/>
  </r>
  <r>
    <s v="TXN_1980146"/>
    <s v="CUST_18"/>
    <x v="2"/>
    <x v="56"/>
    <x v="7"/>
    <x v="2"/>
    <n v="244"/>
    <x v="1"/>
    <x v="0"/>
    <x v="717"/>
    <x v="1"/>
    <s v="DISCOUNT ALLOWED"/>
    <s v="discount allowed"/>
    <s v="DISCOUNT ALLOWED"/>
    <s v="Discount Allowed"/>
    <s v="15/05/22"/>
  </r>
  <r>
    <s v="TXN_2260801"/>
    <s v="CUST_03"/>
    <x v="4"/>
    <x v="53"/>
    <x v="7"/>
    <x v="2"/>
    <n v="244"/>
    <x v="2"/>
    <x v="1"/>
    <x v="155"/>
    <x v="0"/>
    <s v="DISCOUNT NOT ALLOWED"/>
    <s v="discount not allowed"/>
    <s v="DISCOUNT NOT ALLOWED"/>
    <s v="Discount Not Allowed"/>
    <s v="19/02/22"/>
  </r>
  <r>
    <s v="TXN_2379337"/>
    <s v="CUST_15"/>
    <x v="0"/>
    <x v="57"/>
    <x v="7"/>
    <x v="2"/>
    <n v="244"/>
    <x v="0"/>
    <x v="1"/>
    <x v="718"/>
    <x v="1"/>
    <s v="DISCOUNT ALLOWED"/>
    <s v="discount allowed"/>
    <s v="DISCOUNT ALLOWED"/>
    <s v="Discount Allowed"/>
    <s v="21/11/23"/>
  </r>
  <r>
    <s v="TXN_2725350"/>
    <s v="CUST_13"/>
    <x v="5"/>
    <x v="54"/>
    <x v="7"/>
    <x v="2"/>
    <n v="244"/>
    <x v="2"/>
    <x v="0"/>
    <x v="719"/>
    <x v="1"/>
    <s v="DISCOUNT ALLOWED"/>
    <s v="discount allowed"/>
    <s v="DISCOUNT ALLOWED"/>
    <s v="Discount Allowed"/>
    <s v="28/11/22"/>
  </r>
  <r>
    <s v="TXN_2764427"/>
    <s v="CUST_03"/>
    <x v="0"/>
    <x v="57"/>
    <x v="7"/>
    <x v="2"/>
    <n v="244"/>
    <x v="1"/>
    <x v="1"/>
    <x v="538"/>
    <x v="0"/>
    <s v="DISCOUNT NOT ALLOWED"/>
    <s v="discount not allowed"/>
    <s v="DISCOUNT NOT ALLOWED"/>
    <s v="Discount Not Allowed"/>
    <s v="16/07/24"/>
  </r>
  <r>
    <s v="TXN_2839564"/>
    <s v="CUST_11"/>
    <x v="7"/>
    <x v="60"/>
    <x v="7"/>
    <x v="2"/>
    <n v="244"/>
    <x v="1"/>
    <x v="0"/>
    <x v="705"/>
    <x v="1"/>
    <s v="DISCOUNT ALLOWED"/>
    <s v="discount allowed"/>
    <s v="DISCOUNT ALLOWED"/>
    <s v="Discount Allowed"/>
    <s v="27/10/24"/>
  </r>
  <r>
    <s v="TXN_3275375"/>
    <s v="CUST_02"/>
    <x v="3"/>
    <x v="55"/>
    <x v="7"/>
    <x v="2"/>
    <n v="244"/>
    <x v="2"/>
    <x v="0"/>
    <x v="720"/>
    <x v="1"/>
    <s v="DISCOUNT ALLOWED"/>
    <s v="discount allowed"/>
    <s v="DISCOUNT ALLOWED"/>
    <s v="Discount Allowed"/>
    <s v="19/07/24"/>
  </r>
  <r>
    <s v="TXN_3842430"/>
    <s v="CUST_19"/>
    <x v="4"/>
    <x v="53"/>
    <x v="7"/>
    <x v="2"/>
    <n v="244"/>
    <x v="2"/>
    <x v="1"/>
    <x v="99"/>
    <x v="1"/>
    <s v="DISCOUNT ALLOWED"/>
    <s v="discount allowed"/>
    <s v="DISCOUNT ALLOWED"/>
    <s v="Discount Allowed"/>
    <s v="04/03/23"/>
  </r>
  <r>
    <s v="TXN_4023955"/>
    <s v="CUST_07"/>
    <x v="6"/>
    <x v="58"/>
    <x v="7"/>
    <x v="2"/>
    <n v="244"/>
    <x v="1"/>
    <x v="0"/>
    <x v="721"/>
    <x v="0"/>
    <s v="DISCOUNT NOT ALLOWED"/>
    <s v="discount not allowed"/>
    <s v="DISCOUNT NOT ALLOWED"/>
    <s v="Discount Not Allowed"/>
    <s v="03/07/24"/>
  </r>
  <r>
    <s v="TXN_4058390"/>
    <s v="CUST_10"/>
    <x v="6"/>
    <x v="58"/>
    <x v="7"/>
    <x v="2"/>
    <n v="244"/>
    <x v="0"/>
    <x v="0"/>
    <x v="106"/>
    <x v="0"/>
    <s v="DISCOUNT NOT ALLOWED"/>
    <s v="discount not allowed"/>
    <s v="DISCOUNT NOT ALLOWED"/>
    <s v="Discount Not Allowed"/>
    <s v="01/09/24"/>
  </r>
  <r>
    <s v="TXN_4235666"/>
    <s v="CUST_05"/>
    <x v="2"/>
    <x v="56"/>
    <x v="7"/>
    <x v="2"/>
    <n v="244"/>
    <x v="2"/>
    <x v="0"/>
    <x v="716"/>
    <x v="0"/>
    <s v="DISCOUNT NOT ALLOWED"/>
    <s v="discount not allowed"/>
    <s v="DISCOUNT NOT ALLOWED"/>
    <s v="Discount Not Allowed"/>
    <s v="19/05/22"/>
  </r>
  <r>
    <s v="TXN_4832015"/>
    <s v="CUST_12"/>
    <x v="1"/>
    <x v="59"/>
    <x v="7"/>
    <x v="2"/>
    <n v="244"/>
    <x v="2"/>
    <x v="1"/>
    <x v="321"/>
    <x v="1"/>
    <s v="DISCOUNT ALLOWED"/>
    <s v="discount allowed"/>
    <s v="DISCOUNT ALLOWED"/>
    <s v="Discount Allowed"/>
    <s v="28/03/24"/>
  </r>
  <r>
    <s v="TXN_4985546"/>
    <s v="CUST_04"/>
    <x v="2"/>
    <x v="56"/>
    <x v="7"/>
    <x v="2"/>
    <n v="244"/>
    <x v="2"/>
    <x v="0"/>
    <x v="722"/>
    <x v="1"/>
    <s v="DISCOUNT ALLOWED"/>
    <s v="discount allowed"/>
    <s v="DISCOUNT ALLOWED"/>
    <s v="Discount Allowed"/>
    <s v="03/09/23"/>
  </r>
  <r>
    <s v="TXN_5929470"/>
    <s v="CUST_07"/>
    <x v="1"/>
    <x v="59"/>
    <x v="7"/>
    <x v="2"/>
    <n v="244"/>
    <x v="1"/>
    <x v="0"/>
    <x v="243"/>
    <x v="1"/>
    <s v="DISCOUNT ALLOWED"/>
    <s v="discount allowed"/>
    <s v="DISCOUNT ALLOWED"/>
    <s v="Discount Allowed"/>
    <s v="21/07/24"/>
  </r>
  <r>
    <s v="TXN_5978214"/>
    <s v="CUST_19"/>
    <x v="1"/>
    <x v="59"/>
    <x v="7"/>
    <x v="2"/>
    <n v="244"/>
    <x v="1"/>
    <x v="1"/>
    <x v="129"/>
    <x v="0"/>
    <s v="DISCOUNT NOT ALLOWED"/>
    <s v="discount not allowed"/>
    <s v="DISCOUNT NOT ALLOWED"/>
    <s v="Discount Not Allowed"/>
    <s v="06/06/24"/>
  </r>
  <r>
    <s v="TXN_6123799"/>
    <s v="CUST_05"/>
    <x v="4"/>
    <x v="53"/>
    <x v="7"/>
    <x v="2"/>
    <n v="244"/>
    <x v="2"/>
    <x v="0"/>
    <x v="723"/>
    <x v="1"/>
    <s v="DISCOUNT ALLOWED"/>
    <s v="discount allowed"/>
    <s v="DISCOUNT ALLOWED"/>
    <s v="Discount Allowed"/>
    <s v="05/05/24"/>
  </r>
  <r>
    <s v="TXN_6400478"/>
    <s v="CUST_12"/>
    <x v="7"/>
    <x v="60"/>
    <x v="7"/>
    <x v="2"/>
    <n v="244"/>
    <x v="2"/>
    <x v="0"/>
    <x v="339"/>
    <x v="1"/>
    <s v="DISCOUNT ALLOWED"/>
    <s v="discount allowed"/>
    <s v="DISCOUNT ALLOWED"/>
    <s v="Discount Allowed"/>
    <s v="03/09/22"/>
  </r>
  <r>
    <s v="TXN_6485374"/>
    <s v="CUST_18"/>
    <x v="7"/>
    <x v="60"/>
    <x v="7"/>
    <x v="2"/>
    <n v="244"/>
    <x v="2"/>
    <x v="1"/>
    <x v="317"/>
    <x v="0"/>
    <s v="DISCOUNT NOT ALLOWED"/>
    <s v="discount not allowed"/>
    <s v="DISCOUNT NOT ALLOWED"/>
    <s v="Discount Not Allowed"/>
    <s v="20/05/24"/>
  </r>
  <r>
    <s v="TXN_6573349"/>
    <s v="CUST_20"/>
    <x v="1"/>
    <x v="59"/>
    <x v="7"/>
    <x v="2"/>
    <n v="244"/>
    <x v="1"/>
    <x v="1"/>
    <x v="720"/>
    <x v="1"/>
    <s v="DISCOUNT ALLOWED"/>
    <s v="discount allowed"/>
    <s v="DISCOUNT ALLOWED"/>
    <s v="Discount Allowed"/>
    <s v="19/07/24"/>
  </r>
  <r>
    <s v="TXN_7112844"/>
    <s v="CUST_15"/>
    <x v="4"/>
    <x v="53"/>
    <x v="7"/>
    <x v="2"/>
    <n v="244"/>
    <x v="1"/>
    <x v="0"/>
    <x v="15"/>
    <x v="1"/>
    <s v="DISCOUNT ALLOWED"/>
    <s v="discount allowed"/>
    <s v="DISCOUNT ALLOWED"/>
    <s v="Discount Allowed"/>
    <s v="28/07/22"/>
  </r>
  <r>
    <s v="TXN_7180080"/>
    <s v="CUST_18"/>
    <x v="3"/>
    <x v="55"/>
    <x v="7"/>
    <x v="2"/>
    <n v="244"/>
    <x v="1"/>
    <x v="1"/>
    <x v="394"/>
    <x v="0"/>
    <s v="DISCOUNT NOT ALLOWED"/>
    <s v="discount not allowed"/>
    <s v="DISCOUNT NOT ALLOWED"/>
    <s v="Discount Not Allowed"/>
    <s v="13/12/24"/>
  </r>
  <r>
    <s v="TXN_8507665"/>
    <s v="CUST_13"/>
    <x v="3"/>
    <x v="55"/>
    <x v="7"/>
    <x v="2"/>
    <n v="244"/>
    <x v="0"/>
    <x v="0"/>
    <x v="584"/>
    <x v="0"/>
    <s v="DISCOUNT NOT ALLOWED"/>
    <s v="discount not allowed"/>
    <s v="DISCOUNT NOT ALLOWED"/>
    <s v="Discount Not Allowed"/>
    <s v="08/04/23"/>
  </r>
  <r>
    <s v="TXN_9364068"/>
    <s v="CUST_16"/>
    <x v="3"/>
    <x v="55"/>
    <x v="7"/>
    <x v="2"/>
    <n v="244"/>
    <x v="1"/>
    <x v="0"/>
    <x v="724"/>
    <x v="0"/>
    <s v="DISCOUNT NOT ALLOWED"/>
    <s v="discount not allowed"/>
    <s v="DISCOUNT NOT ALLOWED"/>
    <s v="Discount Not Allowed"/>
    <s v="08/10/24"/>
  </r>
  <r>
    <s v="TXN_1785816"/>
    <s v="CUST_01"/>
    <x v="0"/>
    <x v="14"/>
    <x v="1"/>
    <x v="4"/>
    <n v="237"/>
    <x v="2"/>
    <x v="1"/>
    <x v="647"/>
    <x v="1"/>
    <s v="DISCOUNT ALLOWED"/>
    <s v="discount allowed"/>
    <s v="DISCOUNT ALLOWED"/>
    <s v="Discount Allowed"/>
    <s v="16/01/24"/>
  </r>
  <r>
    <s v="TXN_1828172"/>
    <s v="CUST_06"/>
    <x v="6"/>
    <x v="51"/>
    <x v="1"/>
    <x v="4"/>
    <n v="237"/>
    <x v="2"/>
    <x v="1"/>
    <x v="364"/>
    <x v="1"/>
    <s v="DISCOUNT ALLOWED"/>
    <s v="discount allowed"/>
    <s v="DISCOUNT ALLOWED"/>
    <s v="Discount Allowed"/>
    <s v="14/11/24"/>
  </r>
  <r>
    <s v="TXN_2242368"/>
    <s v="CUST_06"/>
    <x v="4"/>
    <x v="11"/>
    <x v="1"/>
    <x v="4"/>
    <n v="237"/>
    <x v="1"/>
    <x v="0"/>
    <x v="267"/>
    <x v="1"/>
    <s v="DISCOUNT ALLOWED"/>
    <s v="discount allowed"/>
    <s v="DISCOUNT ALLOWED"/>
    <s v="Discount Allowed"/>
    <s v="18/09/24"/>
  </r>
  <r>
    <s v="TXN_2251815"/>
    <s v="CUST_08"/>
    <x v="4"/>
    <x v="11"/>
    <x v="1"/>
    <x v="4"/>
    <n v="237"/>
    <x v="0"/>
    <x v="1"/>
    <x v="670"/>
    <x v="1"/>
    <s v="DISCOUNT ALLOWED"/>
    <s v="discount allowed"/>
    <s v="DISCOUNT ALLOWED"/>
    <s v="Discount Allowed"/>
    <s v="22/10/23"/>
  </r>
  <r>
    <s v="TXN_2614296"/>
    <s v="CUST_22"/>
    <x v="1"/>
    <x v="8"/>
    <x v="1"/>
    <x v="4"/>
    <n v="237"/>
    <x v="1"/>
    <x v="1"/>
    <x v="352"/>
    <x v="1"/>
    <s v="DISCOUNT ALLOWED"/>
    <s v="discount allowed"/>
    <s v="DISCOUNT ALLOWED"/>
    <s v="Discount Allowed"/>
    <s v="11/03/24"/>
  </r>
  <r>
    <s v="TXN_2831531"/>
    <s v="CUST_10"/>
    <x v="7"/>
    <x v="10"/>
    <x v="1"/>
    <x v="4"/>
    <n v="237"/>
    <x v="1"/>
    <x v="0"/>
    <x v="37"/>
    <x v="1"/>
    <s v="DISCOUNT ALLOWED"/>
    <s v="discount allowed"/>
    <s v="DISCOUNT ALLOWED"/>
    <s v="Discount Allowed"/>
    <s v="19/06/23"/>
  </r>
  <r>
    <s v="TXN_3122819"/>
    <s v="CUST_05"/>
    <x v="5"/>
    <x v="13"/>
    <x v="1"/>
    <x v="4"/>
    <n v="237"/>
    <x v="0"/>
    <x v="0"/>
    <x v="430"/>
    <x v="0"/>
    <s v="DISCOUNT NOT ALLOWED"/>
    <s v="discount not allowed"/>
    <s v="DISCOUNT NOT ALLOWED"/>
    <s v="Discount Not Allowed"/>
    <s v="04/05/23"/>
  </r>
  <r>
    <s v="TXN_3905417"/>
    <s v="CUST_12"/>
    <x v="2"/>
    <x v="9"/>
    <x v="1"/>
    <x v="4"/>
    <n v="237"/>
    <x v="2"/>
    <x v="0"/>
    <x v="725"/>
    <x v="0"/>
    <s v="DISCOUNT NOT ALLOWED"/>
    <s v="discount not allowed"/>
    <s v="DISCOUNT NOT ALLOWED"/>
    <s v="Discount Not Allowed"/>
    <s v="14/04/24"/>
  </r>
  <r>
    <s v="TXN_3925778"/>
    <s v="CUST_09"/>
    <x v="2"/>
    <x v="9"/>
    <x v="1"/>
    <x v="4"/>
    <n v="237"/>
    <x v="0"/>
    <x v="0"/>
    <x v="653"/>
    <x v="1"/>
    <s v="DISCOUNT ALLOWED"/>
    <s v="discount allowed"/>
    <s v="DISCOUNT ALLOWED"/>
    <s v="Discount Allowed"/>
    <s v="31/05/23"/>
  </r>
  <r>
    <s v="TXN_4283900"/>
    <s v="CUST_04"/>
    <x v="1"/>
    <x v="8"/>
    <x v="1"/>
    <x v="4"/>
    <n v="237"/>
    <x v="2"/>
    <x v="0"/>
    <x v="692"/>
    <x v="0"/>
    <s v="DISCOUNT NOT ALLOWED"/>
    <s v="discount not allowed"/>
    <s v="DISCOUNT NOT ALLOWED"/>
    <s v="Discount Not Allowed"/>
    <s v="23/06/22"/>
  </r>
  <r>
    <s v="TXN_4299562"/>
    <s v="CUST_06"/>
    <x v="0"/>
    <x v="14"/>
    <x v="1"/>
    <x v="4"/>
    <n v="237"/>
    <x v="0"/>
    <x v="0"/>
    <x v="255"/>
    <x v="0"/>
    <s v="DISCOUNT NOT ALLOWED"/>
    <s v="discount not allowed"/>
    <s v="DISCOUNT NOT ALLOWED"/>
    <s v="Discount Not Allowed"/>
    <s v="22/05/23"/>
  </r>
  <r>
    <s v="TXN_4413070"/>
    <s v="CUST_14"/>
    <x v="7"/>
    <x v="10"/>
    <x v="1"/>
    <x v="4"/>
    <n v="237"/>
    <x v="0"/>
    <x v="1"/>
    <x v="726"/>
    <x v="0"/>
    <s v="DISCOUNT NOT ALLOWED"/>
    <s v="discount not allowed"/>
    <s v="DISCOUNT NOT ALLOWED"/>
    <s v="Discount Not Allowed"/>
    <s v="20/05/22"/>
  </r>
  <r>
    <s v="TXN_5115781"/>
    <s v="CUST_02"/>
    <x v="3"/>
    <x v="12"/>
    <x v="1"/>
    <x v="4"/>
    <n v="237"/>
    <x v="0"/>
    <x v="0"/>
    <x v="195"/>
    <x v="0"/>
    <s v="DISCOUNT NOT ALLOWED"/>
    <s v="discount not allowed"/>
    <s v="DISCOUNT NOT ALLOWED"/>
    <s v="Discount Not Allowed"/>
    <s v="01/07/22"/>
  </r>
  <r>
    <s v="TXN_5130448"/>
    <s v="CUST_21"/>
    <x v="2"/>
    <x v="9"/>
    <x v="1"/>
    <x v="4"/>
    <n v="237"/>
    <x v="1"/>
    <x v="0"/>
    <x v="691"/>
    <x v="1"/>
    <s v="DISCOUNT ALLOWED"/>
    <s v="discount allowed"/>
    <s v="DISCOUNT ALLOWED"/>
    <s v="Discount Allowed"/>
    <s v="28/05/24"/>
  </r>
  <r>
    <s v="TXN_5233832"/>
    <s v="CUST_23"/>
    <x v="3"/>
    <x v="12"/>
    <x v="1"/>
    <x v="4"/>
    <n v="237"/>
    <x v="1"/>
    <x v="0"/>
    <x v="324"/>
    <x v="0"/>
    <s v="DISCOUNT NOT ALLOWED"/>
    <s v="discount not allowed"/>
    <s v="DISCOUNT NOT ALLOWED"/>
    <s v="Discount Not Allowed"/>
    <s v="25/03/23"/>
  </r>
  <r>
    <s v="TXN_5577761"/>
    <s v="CUST_03"/>
    <x v="1"/>
    <x v="8"/>
    <x v="1"/>
    <x v="4"/>
    <n v="237"/>
    <x v="1"/>
    <x v="0"/>
    <x v="727"/>
    <x v="0"/>
    <s v="DISCOUNT NOT ALLOWED"/>
    <s v="discount not allowed"/>
    <s v="DISCOUNT NOT ALLOWED"/>
    <s v="Discount Not Allowed"/>
    <s v="06/10/23"/>
  </r>
  <r>
    <s v="TXN_5771647"/>
    <s v="CUST_24"/>
    <x v="7"/>
    <x v="10"/>
    <x v="1"/>
    <x v="4"/>
    <n v="237"/>
    <x v="0"/>
    <x v="0"/>
    <x v="728"/>
    <x v="0"/>
    <s v="DISCOUNT NOT ALLOWED"/>
    <s v="discount not allowed"/>
    <s v="DISCOUNT NOT ALLOWED"/>
    <s v="Discount Not Allowed"/>
    <s v="14/06/22"/>
  </r>
  <r>
    <s v="TXN_5984900"/>
    <s v="CUST_14"/>
    <x v="4"/>
    <x v="11"/>
    <x v="1"/>
    <x v="4"/>
    <n v="237"/>
    <x v="1"/>
    <x v="0"/>
    <x v="425"/>
    <x v="0"/>
    <s v="DISCOUNT NOT ALLOWED"/>
    <s v="discount not allowed"/>
    <s v="DISCOUNT NOT ALLOWED"/>
    <s v="Discount Not Allowed"/>
    <s v="12/08/22"/>
  </r>
  <r>
    <s v="TXN_5986313"/>
    <s v="CUST_05"/>
    <x v="1"/>
    <x v="8"/>
    <x v="1"/>
    <x v="4"/>
    <n v="237"/>
    <x v="2"/>
    <x v="1"/>
    <x v="650"/>
    <x v="1"/>
    <s v="DISCOUNT ALLOWED"/>
    <s v="discount allowed"/>
    <s v="DISCOUNT ALLOWED"/>
    <s v="Discount Allowed"/>
    <s v="03/01/23"/>
  </r>
  <r>
    <s v="TXN_6007030"/>
    <s v="CUST_10"/>
    <x v="4"/>
    <x v="11"/>
    <x v="1"/>
    <x v="4"/>
    <n v="237"/>
    <x v="2"/>
    <x v="0"/>
    <x v="376"/>
    <x v="0"/>
    <s v="DISCOUNT NOT ALLOWED"/>
    <s v="discount not allowed"/>
    <s v="DISCOUNT NOT ALLOWED"/>
    <s v="Discount Not Allowed"/>
    <s v="28/10/23"/>
  </r>
  <r>
    <s v="TXN_6359024"/>
    <s v="CUST_15"/>
    <x v="3"/>
    <x v="12"/>
    <x v="1"/>
    <x v="4"/>
    <n v="237"/>
    <x v="2"/>
    <x v="0"/>
    <x v="379"/>
    <x v="0"/>
    <s v="DISCOUNT NOT ALLOWED"/>
    <s v="discount not allowed"/>
    <s v="DISCOUNT NOT ALLOWED"/>
    <s v="Discount Not Allowed"/>
    <s v="15/03/24"/>
  </r>
  <r>
    <s v="TXN_7010436"/>
    <s v="CUST_12"/>
    <x v="0"/>
    <x v="14"/>
    <x v="1"/>
    <x v="4"/>
    <n v="237"/>
    <x v="1"/>
    <x v="1"/>
    <x v="236"/>
    <x v="1"/>
    <s v="DISCOUNT ALLOWED"/>
    <s v="discount allowed"/>
    <s v="DISCOUNT ALLOWED"/>
    <s v="Discount Allowed"/>
    <s v="07/11/24"/>
  </r>
  <r>
    <s v="TXN_7019841"/>
    <s v="CUST_11"/>
    <x v="1"/>
    <x v="8"/>
    <x v="1"/>
    <x v="4"/>
    <n v="237"/>
    <x v="0"/>
    <x v="1"/>
    <x v="349"/>
    <x v="1"/>
    <s v="DISCOUNT ALLOWED"/>
    <s v="discount allowed"/>
    <s v="DISCOUNT ALLOWED"/>
    <s v="Discount Allowed"/>
    <s v="04/09/24"/>
  </r>
  <r>
    <s v="TXN_7219724"/>
    <s v="CUST_24"/>
    <x v="0"/>
    <x v="14"/>
    <x v="1"/>
    <x v="4"/>
    <n v="237"/>
    <x v="0"/>
    <x v="0"/>
    <x v="729"/>
    <x v="0"/>
    <s v="DISCOUNT NOT ALLOWED"/>
    <s v="discount not allowed"/>
    <s v="DISCOUNT NOT ALLOWED"/>
    <s v="Discount Not Allowed"/>
    <s v="07/12/24"/>
  </r>
  <r>
    <s v="TXN_7384325"/>
    <s v="CUST_20"/>
    <x v="3"/>
    <x v="12"/>
    <x v="1"/>
    <x v="4"/>
    <n v="237"/>
    <x v="1"/>
    <x v="0"/>
    <x v="305"/>
    <x v="0"/>
    <s v="DISCOUNT NOT ALLOWED"/>
    <s v="discount not allowed"/>
    <s v="DISCOUNT NOT ALLOWED"/>
    <s v="Discount Not Allowed"/>
    <s v="21/05/23"/>
  </r>
  <r>
    <s v="TXN_7480229"/>
    <s v="CUST_06"/>
    <x v="2"/>
    <x v="9"/>
    <x v="1"/>
    <x v="4"/>
    <n v="237"/>
    <x v="2"/>
    <x v="1"/>
    <x v="548"/>
    <x v="1"/>
    <s v="DISCOUNT ALLOWED"/>
    <s v="discount allowed"/>
    <s v="DISCOUNT ALLOWED"/>
    <s v="Discount Allowed"/>
    <s v="22/01/22"/>
  </r>
  <r>
    <s v="TXN_7867899"/>
    <s v="CUST_05"/>
    <x v="3"/>
    <x v="12"/>
    <x v="1"/>
    <x v="4"/>
    <n v="237"/>
    <x v="2"/>
    <x v="0"/>
    <x v="730"/>
    <x v="0"/>
    <s v="DISCOUNT NOT ALLOWED"/>
    <s v="discount not allowed"/>
    <s v="DISCOUNT NOT ALLOWED"/>
    <s v="Discount Not Allowed"/>
    <s v="11/08/22"/>
  </r>
  <r>
    <s v="TXN_8244589"/>
    <s v="CUST_02"/>
    <x v="3"/>
    <x v="12"/>
    <x v="1"/>
    <x v="4"/>
    <n v="237"/>
    <x v="0"/>
    <x v="1"/>
    <x v="711"/>
    <x v="1"/>
    <s v="DISCOUNT ALLOWED"/>
    <s v="discount allowed"/>
    <s v="DISCOUNT ALLOWED"/>
    <s v="Discount Allowed"/>
    <s v="04/04/22"/>
  </r>
  <r>
    <s v="TXN_8358524"/>
    <s v="CUST_19"/>
    <x v="5"/>
    <x v="13"/>
    <x v="1"/>
    <x v="4"/>
    <n v="237"/>
    <x v="1"/>
    <x v="0"/>
    <x v="731"/>
    <x v="0"/>
    <s v="DISCOUNT NOT ALLOWED"/>
    <s v="discount not allowed"/>
    <s v="DISCOUNT NOT ALLOWED"/>
    <s v="Discount Not Allowed"/>
    <s v="09/07/24"/>
  </r>
  <r>
    <s v="TXN_8529373"/>
    <s v="CUST_24"/>
    <x v="3"/>
    <x v="12"/>
    <x v="1"/>
    <x v="4"/>
    <n v="237"/>
    <x v="2"/>
    <x v="1"/>
    <x v="184"/>
    <x v="1"/>
    <s v="DISCOUNT ALLOWED"/>
    <s v="discount allowed"/>
    <s v="DISCOUNT ALLOWED"/>
    <s v="Discount Allowed"/>
    <s v="01/01/22"/>
  </r>
  <r>
    <s v="TXN_8655955"/>
    <s v="CUST_09"/>
    <x v="1"/>
    <x v="8"/>
    <x v="1"/>
    <x v="4"/>
    <n v="237"/>
    <x v="2"/>
    <x v="0"/>
    <x v="378"/>
    <x v="0"/>
    <s v="DISCOUNT NOT ALLOWED"/>
    <s v="discount not allowed"/>
    <s v="DISCOUNT NOT ALLOWED"/>
    <s v="Discount Not Allowed"/>
    <s v="29/04/23"/>
  </r>
  <r>
    <s v="TXN_8954012"/>
    <s v="CUST_13"/>
    <x v="7"/>
    <x v="10"/>
    <x v="1"/>
    <x v="4"/>
    <n v="237"/>
    <x v="0"/>
    <x v="1"/>
    <x v="8"/>
    <x v="1"/>
    <s v="DISCOUNT ALLOWED"/>
    <s v="discount allowed"/>
    <s v="DISCOUNT ALLOWED"/>
    <s v="Discount Allowed"/>
    <s v="04/01/25"/>
  </r>
  <r>
    <s v="TXN_9261462"/>
    <s v="CUST_16"/>
    <x v="7"/>
    <x v="10"/>
    <x v="1"/>
    <x v="4"/>
    <n v="237"/>
    <x v="2"/>
    <x v="1"/>
    <x v="414"/>
    <x v="0"/>
    <s v="DISCOUNT NOT ALLOWED"/>
    <s v="discount not allowed"/>
    <s v="DISCOUNT NOT ALLOWED"/>
    <s v="Discount Not Allowed"/>
    <s v="01/02/22"/>
  </r>
  <r>
    <s v="TXN_1422045"/>
    <s v="CUST_09"/>
    <x v="1"/>
    <x v="37"/>
    <x v="5"/>
    <x v="3"/>
    <n v="234.5"/>
    <x v="0"/>
    <x v="0"/>
    <x v="732"/>
    <x v="0"/>
    <s v="DISCOUNT NOT ALLOWED"/>
    <s v="discount not allowed"/>
    <s v="DISCOUNT NOT ALLOWED"/>
    <s v="Discount Not Allowed"/>
    <s v="17/08/24"/>
  </r>
  <r>
    <s v="TXN_1424166"/>
    <s v="CUST_22"/>
    <x v="4"/>
    <x v="42"/>
    <x v="5"/>
    <x v="3"/>
    <n v="234.5"/>
    <x v="2"/>
    <x v="1"/>
    <x v="733"/>
    <x v="1"/>
    <s v="DISCOUNT ALLOWED"/>
    <s v="discount allowed"/>
    <s v="DISCOUNT ALLOWED"/>
    <s v="Discount Allowed"/>
    <s v="16/05/22"/>
  </r>
  <r>
    <s v="TXN_1446414"/>
    <s v="CUST_10"/>
    <x v="2"/>
    <x v="39"/>
    <x v="5"/>
    <x v="3"/>
    <n v="234.5"/>
    <x v="2"/>
    <x v="1"/>
    <x v="122"/>
    <x v="1"/>
    <s v="DISCOUNT ALLOWED"/>
    <s v="discount allowed"/>
    <s v="DISCOUNT ALLOWED"/>
    <s v="Discount Allowed"/>
    <s v="09/04/22"/>
  </r>
  <r>
    <s v="TXN_1601678"/>
    <s v="CUST_13"/>
    <x v="2"/>
    <x v="39"/>
    <x v="5"/>
    <x v="3"/>
    <n v="234.5"/>
    <x v="2"/>
    <x v="0"/>
    <x v="594"/>
    <x v="1"/>
    <s v="DISCOUNT ALLOWED"/>
    <s v="discount allowed"/>
    <s v="DISCOUNT ALLOWED"/>
    <s v="Discount Allowed"/>
    <s v="12/10/23"/>
  </r>
  <r>
    <s v="TXN_1738321"/>
    <s v="CUST_07"/>
    <x v="5"/>
    <x v="38"/>
    <x v="5"/>
    <x v="3"/>
    <n v="234.5"/>
    <x v="2"/>
    <x v="0"/>
    <x v="553"/>
    <x v="1"/>
    <s v="DISCOUNT ALLOWED"/>
    <s v="discount allowed"/>
    <s v="DISCOUNT ALLOWED"/>
    <s v="Discount Allowed"/>
    <s v="04/08/24"/>
  </r>
  <r>
    <s v="TXN_1882040"/>
    <s v="CUST_21"/>
    <x v="4"/>
    <x v="42"/>
    <x v="5"/>
    <x v="3"/>
    <n v="234.5"/>
    <x v="1"/>
    <x v="0"/>
    <x v="13"/>
    <x v="0"/>
    <s v="DISCOUNT NOT ALLOWED"/>
    <s v="discount not allowed"/>
    <s v="DISCOUNT NOT ALLOWED"/>
    <s v="Discount Not Allowed"/>
    <s v="08/09/22"/>
  </r>
  <r>
    <s v="TXN_2031274"/>
    <s v="CUST_05"/>
    <x v="5"/>
    <x v="38"/>
    <x v="5"/>
    <x v="3"/>
    <n v="234.5"/>
    <x v="0"/>
    <x v="1"/>
    <x v="389"/>
    <x v="1"/>
    <s v="DISCOUNT ALLOWED"/>
    <s v="discount allowed"/>
    <s v="DISCOUNT ALLOWED"/>
    <s v="Discount Allowed"/>
    <s v="12/07/23"/>
  </r>
  <r>
    <s v="TXN_2489260"/>
    <s v="CUST_17"/>
    <x v="3"/>
    <x v="41"/>
    <x v="5"/>
    <x v="3"/>
    <n v="234.5"/>
    <x v="0"/>
    <x v="1"/>
    <x v="184"/>
    <x v="1"/>
    <s v="DISCOUNT ALLOWED"/>
    <s v="discount allowed"/>
    <s v="DISCOUNT ALLOWED"/>
    <s v="Discount Allowed"/>
    <s v="01/01/22"/>
  </r>
  <r>
    <s v="TXN_3275079"/>
    <s v="CUST_05"/>
    <x v="1"/>
    <x v="37"/>
    <x v="5"/>
    <x v="3"/>
    <n v="234.5"/>
    <x v="2"/>
    <x v="1"/>
    <x v="683"/>
    <x v="1"/>
    <s v="DISCOUNT ALLOWED"/>
    <s v="discount allowed"/>
    <s v="DISCOUNT ALLOWED"/>
    <s v="Discount Allowed"/>
    <s v="21/02/22"/>
  </r>
  <r>
    <s v="TXN_3645379"/>
    <s v="CUST_05"/>
    <x v="7"/>
    <x v="44"/>
    <x v="5"/>
    <x v="3"/>
    <n v="234.5"/>
    <x v="0"/>
    <x v="1"/>
    <x v="118"/>
    <x v="0"/>
    <s v="DISCOUNT NOT ALLOWED"/>
    <s v="discount not allowed"/>
    <s v="DISCOUNT NOT ALLOWED"/>
    <s v="Discount Not Allowed"/>
    <s v="27/04/22"/>
  </r>
  <r>
    <s v="TXN_3876549"/>
    <s v="CUST_03"/>
    <x v="6"/>
    <x v="43"/>
    <x v="5"/>
    <x v="3"/>
    <n v="234.5"/>
    <x v="0"/>
    <x v="0"/>
    <x v="163"/>
    <x v="1"/>
    <s v="DISCOUNT ALLOWED"/>
    <s v="discount allowed"/>
    <s v="DISCOUNT ALLOWED"/>
    <s v="Discount Allowed"/>
    <s v="21/07/22"/>
  </r>
  <r>
    <s v="TXN_3881126"/>
    <s v="CUST_23"/>
    <x v="4"/>
    <x v="42"/>
    <x v="5"/>
    <x v="3"/>
    <n v="234.5"/>
    <x v="2"/>
    <x v="0"/>
    <x v="697"/>
    <x v="0"/>
    <s v="DISCOUNT NOT ALLOWED"/>
    <s v="discount not allowed"/>
    <s v="DISCOUNT NOT ALLOWED"/>
    <s v="Discount Not Allowed"/>
    <s v="14/08/22"/>
  </r>
  <r>
    <s v="TXN_4771635"/>
    <s v="CUST_22"/>
    <x v="0"/>
    <x v="40"/>
    <x v="5"/>
    <x v="3"/>
    <n v="234.5"/>
    <x v="2"/>
    <x v="0"/>
    <x v="291"/>
    <x v="1"/>
    <s v="DISCOUNT ALLOWED"/>
    <s v="discount allowed"/>
    <s v="DISCOUNT ALLOWED"/>
    <s v="Discount Allowed"/>
    <s v="22/02/24"/>
  </r>
  <r>
    <s v="TXN_4775495"/>
    <s v="CUST_02"/>
    <x v="5"/>
    <x v="38"/>
    <x v="5"/>
    <x v="3"/>
    <n v="234.5"/>
    <x v="0"/>
    <x v="1"/>
    <x v="734"/>
    <x v="0"/>
    <s v="DISCOUNT NOT ALLOWED"/>
    <s v="discount not allowed"/>
    <s v="DISCOUNT NOT ALLOWED"/>
    <s v="Discount Not Allowed"/>
    <s v="11/08/23"/>
  </r>
  <r>
    <s v="TXN_4961176"/>
    <s v="CUST_13"/>
    <x v="5"/>
    <x v="38"/>
    <x v="5"/>
    <x v="3"/>
    <n v="234.5"/>
    <x v="2"/>
    <x v="1"/>
    <x v="78"/>
    <x v="1"/>
    <s v="DISCOUNT ALLOWED"/>
    <s v="discount allowed"/>
    <s v="DISCOUNT ALLOWED"/>
    <s v="Discount Allowed"/>
    <s v="04/07/24"/>
  </r>
  <r>
    <s v="TXN_5009902"/>
    <s v="CUST_23"/>
    <x v="6"/>
    <x v="43"/>
    <x v="5"/>
    <x v="3"/>
    <n v="234.5"/>
    <x v="2"/>
    <x v="1"/>
    <x v="735"/>
    <x v="0"/>
    <s v="DISCOUNT NOT ALLOWED"/>
    <s v="discount not allowed"/>
    <s v="DISCOUNT NOT ALLOWED"/>
    <s v="Discount Not Allowed"/>
    <s v="16/08/23"/>
  </r>
  <r>
    <s v="TXN_5042193"/>
    <s v="CUST_19"/>
    <x v="1"/>
    <x v="37"/>
    <x v="5"/>
    <x v="3"/>
    <n v="234.5"/>
    <x v="2"/>
    <x v="0"/>
    <x v="736"/>
    <x v="0"/>
    <s v="DISCOUNT NOT ALLOWED"/>
    <s v="discount not allowed"/>
    <s v="DISCOUNT NOT ALLOWED"/>
    <s v="Discount Not Allowed"/>
    <s v="13/05/24"/>
  </r>
  <r>
    <s v="TXN_5158663"/>
    <s v="CUST_06"/>
    <x v="5"/>
    <x v="38"/>
    <x v="5"/>
    <x v="3"/>
    <n v="234.5"/>
    <x v="0"/>
    <x v="0"/>
    <x v="176"/>
    <x v="0"/>
    <s v="DISCOUNT NOT ALLOWED"/>
    <s v="discount not allowed"/>
    <s v="DISCOUNT NOT ALLOWED"/>
    <s v="Discount Not Allowed"/>
    <s v="01/02/24"/>
  </r>
  <r>
    <s v="TXN_5374685"/>
    <s v="CUST_05"/>
    <x v="1"/>
    <x v="37"/>
    <x v="5"/>
    <x v="3"/>
    <n v="234.5"/>
    <x v="2"/>
    <x v="0"/>
    <x v="737"/>
    <x v="0"/>
    <s v="DISCOUNT NOT ALLOWED"/>
    <s v="discount not allowed"/>
    <s v="DISCOUNT NOT ALLOWED"/>
    <s v="Discount Not Allowed"/>
    <s v="21/11/24"/>
  </r>
  <r>
    <s v="TXN_5500378"/>
    <s v="CUST_04"/>
    <x v="5"/>
    <x v="38"/>
    <x v="5"/>
    <x v="3"/>
    <n v="234.5"/>
    <x v="0"/>
    <x v="1"/>
    <x v="463"/>
    <x v="0"/>
    <s v="DISCOUNT NOT ALLOWED"/>
    <s v="discount not allowed"/>
    <s v="DISCOUNT NOT ALLOWED"/>
    <s v="Discount Not Allowed"/>
    <s v="22/02/22"/>
  </r>
  <r>
    <s v="TXN_5985157"/>
    <s v="CUST_25"/>
    <x v="3"/>
    <x v="41"/>
    <x v="5"/>
    <x v="3"/>
    <n v="234.5"/>
    <x v="0"/>
    <x v="0"/>
    <x v="638"/>
    <x v="0"/>
    <s v="DISCOUNT NOT ALLOWED"/>
    <s v="discount not allowed"/>
    <s v="DISCOUNT NOT ALLOWED"/>
    <s v="Discount Not Allowed"/>
    <s v="13/07/22"/>
  </r>
  <r>
    <s v="TXN_6292835"/>
    <s v="CUST_07"/>
    <x v="6"/>
    <x v="43"/>
    <x v="5"/>
    <x v="3"/>
    <n v="234.5"/>
    <x v="2"/>
    <x v="0"/>
    <x v="660"/>
    <x v="0"/>
    <s v="DISCOUNT NOT ALLOWED"/>
    <s v="discount not allowed"/>
    <s v="DISCOUNT NOT ALLOWED"/>
    <s v="Discount Not Allowed"/>
    <s v="25/04/22"/>
  </r>
  <r>
    <s v="TXN_6354290"/>
    <s v="CUST_17"/>
    <x v="3"/>
    <x v="41"/>
    <x v="5"/>
    <x v="3"/>
    <n v="234.5"/>
    <x v="0"/>
    <x v="0"/>
    <x v="723"/>
    <x v="1"/>
    <s v="DISCOUNT ALLOWED"/>
    <s v="discount allowed"/>
    <s v="DISCOUNT ALLOWED"/>
    <s v="Discount Allowed"/>
    <s v="05/05/24"/>
  </r>
  <r>
    <s v="TXN_6357043"/>
    <s v="CUST_02"/>
    <x v="5"/>
    <x v="38"/>
    <x v="5"/>
    <x v="3"/>
    <n v="234.5"/>
    <x v="2"/>
    <x v="1"/>
    <x v="738"/>
    <x v="0"/>
    <s v="DISCOUNT NOT ALLOWED"/>
    <s v="discount not allowed"/>
    <s v="DISCOUNT NOT ALLOWED"/>
    <s v="Discount Not Allowed"/>
    <s v="09/02/24"/>
  </r>
  <r>
    <s v="TXN_6801032"/>
    <s v="CUST_01"/>
    <x v="6"/>
    <x v="43"/>
    <x v="5"/>
    <x v="3"/>
    <n v="234.5"/>
    <x v="0"/>
    <x v="1"/>
    <x v="739"/>
    <x v="0"/>
    <s v="DISCOUNT NOT ALLOWED"/>
    <s v="discount not allowed"/>
    <s v="DISCOUNT NOT ALLOWED"/>
    <s v="Discount Not Allowed"/>
    <s v="23/05/22"/>
  </r>
  <r>
    <s v="TXN_6968520"/>
    <s v="CUST_21"/>
    <x v="5"/>
    <x v="38"/>
    <x v="5"/>
    <x v="3"/>
    <n v="234.5"/>
    <x v="2"/>
    <x v="0"/>
    <x v="34"/>
    <x v="1"/>
    <s v="DISCOUNT ALLOWED"/>
    <s v="discount allowed"/>
    <s v="DISCOUNT ALLOWED"/>
    <s v="Discount Allowed"/>
    <s v="27/01/24"/>
  </r>
  <r>
    <s v="TXN_7101979"/>
    <s v="CUST_15"/>
    <x v="6"/>
    <x v="43"/>
    <x v="5"/>
    <x v="3"/>
    <n v="234.5"/>
    <x v="2"/>
    <x v="1"/>
    <x v="252"/>
    <x v="1"/>
    <s v="DISCOUNT ALLOWED"/>
    <s v="discount allowed"/>
    <s v="DISCOUNT ALLOWED"/>
    <s v="Discount Allowed"/>
    <s v="14/04/23"/>
  </r>
  <r>
    <s v="TXN_7110396"/>
    <s v="CUST_18"/>
    <x v="3"/>
    <x v="41"/>
    <x v="5"/>
    <x v="3"/>
    <n v="234.5"/>
    <x v="1"/>
    <x v="0"/>
    <x v="740"/>
    <x v="0"/>
    <s v="DISCOUNT NOT ALLOWED"/>
    <s v="discount not allowed"/>
    <s v="DISCOUNT NOT ALLOWED"/>
    <s v="Discount Not Allowed"/>
    <s v="04/09/22"/>
  </r>
  <r>
    <s v="TXN_7405636"/>
    <s v="CUST_18"/>
    <x v="4"/>
    <x v="42"/>
    <x v="5"/>
    <x v="3"/>
    <n v="234.5"/>
    <x v="1"/>
    <x v="1"/>
    <x v="132"/>
    <x v="0"/>
    <s v="DISCOUNT NOT ALLOWED"/>
    <s v="discount not allowed"/>
    <s v="DISCOUNT NOT ALLOWED"/>
    <s v="Discount Not Allowed"/>
    <s v="12/09/23"/>
  </r>
  <r>
    <s v="TXN_7426702"/>
    <s v="CUST_04"/>
    <x v="7"/>
    <x v="44"/>
    <x v="5"/>
    <x v="3"/>
    <n v="234.5"/>
    <x v="1"/>
    <x v="1"/>
    <x v="173"/>
    <x v="1"/>
    <s v="DISCOUNT ALLOWED"/>
    <s v="discount allowed"/>
    <s v="DISCOUNT ALLOWED"/>
    <s v="Discount Allowed"/>
    <s v="17/11/23"/>
  </r>
  <r>
    <s v="TXN_7859035"/>
    <s v="CUST_17"/>
    <x v="1"/>
    <x v="37"/>
    <x v="5"/>
    <x v="3"/>
    <n v="234.5"/>
    <x v="2"/>
    <x v="0"/>
    <x v="741"/>
    <x v="0"/>
    <s v="DISCOUNT NOT ALLOWED"/>
    <s v="discount not allowed"/>
    <s v="DISCOUNT NOT ALLOWED"/>
    <s v="Discount Not Allowed"/>
    <s v="22/11/22"/>
  </r>
  <r>
    <s v="TXN_8048422"/>
    <s v="CUST_17"/>
    <x v="6"/>
    <x v="43"/>
    <x v="5"/>
    <x v="3"/>
    <n v="234.5"/>
    <x v="0"/>
    <x v="0"/>
    <x v="742"/>
    <x v="0"/>
    <s v="DISCOUNT NOT ALLOWED"/>
    <s v="discount not allowed"/>
    <s v="DISCOUNT NOT ALLOWED"/>
    <s v="Discount Not Allowed"/>
    <s v="13/05/23"/>
  </r>
  <r>
    <s v="TXN_8073779"/>
    <s v="CUST_25"/>
    <x v="7"/>
    <x v="44"/>
    <x v="5"/>
    <x v="3"/>
    <n v="234.5"/>
    <x v="2"/>
    <x v="1"/>
    <x v="743"/>
    <x v="0"/>
    <s v="DISCOUNT NOT ALLOWED"/>
    <s v="discount not allowed"/>
    <s v="DISCOUNT NOT ALLOWED"/>
    <s v="Discount Not Allowed"/>
    <s v="03/07/22"/>
  </r>
  <r>
    <s v="TXN_8184279"/>
    <s v="CUST_22"/>
    <x v="4"/>
    <x v="42"/>
    <x v="5"/>
    <x v="3"/>
    <n v="234.5"/>
    <x v="2"/>
    <x v="1"/>
    <x v="44"/>
    <x v="0"/>
    <s v="DISCOUNT NOT ALLOWED"/>
    <s v="discount not allowed"/>
    <s v="DISCOUNT NOT ALLOWED"/>
    <s v="Discount Not Allowed"/>
    <s v="02/10/22"/>
  </r>
  <r>
    <s v="TXN_8333599"/>
    <s v="CUST_09"/>
    <x v="2"/>
    <x v="39"/>
    <x v="5"/>
    <x v="3"/>
    <n v="234.5"/>
    <x v="1"/>
    <x v="0"/>
    <x v="744"/>
    <x v="1"/>
    <s v="DISCOUNT ALLOWED"/>
    <s v="discount allowed"/>
    <s v="DISCOUNT ALLOWED"/>
    <s v="Discount Allowed"/>
    <s v="15/06/24"/>
  </r>
  <r>
    <s v="TXN_8434417"/>
    <s v="CUST_03"/>
    <x v="4"/>
    <x v="42"/>
    <x v="5"/>
    <x v="3"/>
    <n v="234.5"/>
    <x v="2"/>
    <x v="0"/>
    <x v="481"/>
    <x v="0"/>
    <s v="DISCOUNT NOT ALLOWED"/>
    <s v="discount not allowed"/>
    <s v="DISCOUNT NOT ALLOWED"/>
    <s v="Discount Not Allowed"/>
    <s v="20/11/22"/>
  </r>
  <r>
    <s v="TXN_8543967"/>
    <s v="CUST_06"/>
    <x v="4"/>
    <x v="42"/>
    <x v="5"/>
    <x v="3"/>
    <n v="234.5"/>
    <x v="1"/>
    <x v="0"/>
    <x v="745"/>
    <x v="0"/>
    <s v="DISCOUNT NOT ALLOWED"/>
    <s v="discount not allowed"/>
    <s v="DISCOUNT NOT ALLOWED"/>
    <s v="Discount Not Allowed"/>
    <s v="16/05/24"/>
  </r>
  <r>
    <s v="TXN_8700100"/>
    <s v="CUST_12"/>
    <x v="7"/>
    <x v="44"/>
    <x v="5"/>
    <x v="3"/>
    <n v="234.5"/>
    <x v="2"/>
    <x v="1"/>
    <x v="746"/>
    <x v="1"/>
    <s v="DISCOUNT ALLOWED"/>
    <s v="discount allowed"/>
    <s v="DISCOUNT ALLOWED"/>
    <s v="Discount Allowed"/>
    <s v="20/01/24"/>
  </r>
  <r>
    <s v="TXN_8959752"/>
    <s v="CUST_11"/>
    <x v="7"/>
    <x v="44"/>
    <x v="5"/>
    <x v="3"/>
    <n v="234.5"/>
    <x v="0"/>
    <x v="1"/>
    <x v="518"/>
    <x v="1"/>
    <s v="DISCOUNT ALLOWED"/>
    <s v="discount allowed"/>
    <s v="DISCOUNT ALLOWED"/>
    <s v="Discount Allowed"/>
    <s v="04/09/23"/>
  </r>
  <r>
    <s v="TXN_9239185"/>
    <s v="CUST_13"/>
    <x v="0"/>
    <x v="40"/>
    <x v="5"/>
    <x v="3"/>
    <n v="234.5"/>
    <x v="1"/>
    <x v="0"/>
    <x v="747"/>
    <x v="1"/>
    <s v="DISCOUNT ALLOWED"/>
    <s v="discount allowed"/>
    <s v="DISCOUNT ALLOWED"/>
    <s v="Discount Allowed"/>
    <s v="10/04/23"/>
  </r>
  <r>
    <s v="TXN_9429383"/>
    <s v="CUST_22"/>
    <x v="2"/>
    <x v="39"/>
    <x v="5"/>
    <x v="3"/>
    <n v="234.5"/>
    <x v="0"/>
    <x v="1"/>
    <x v="265"/>
    <x v="0"/>
    <s v="DISCOUNT NOT ALLOWED"/>
    <s v="discount not allowed"/>
    <s v="DISCOUNT NOT ALLOWED"/>
    <s v="Discount Not Allowed"/>
    <s v="30/06/24"/>
  </r>
  <r>
    <s v="TXN_9460532"/>
    <s v="CUST_12"/>
    <x v="6"/>
    <x v="43"/>
    <x v="5"/>
    <x v="3"/>
    <n v="234.5"/>
    <x v="0"/>
    <x v="1"/>
    <x v="157"/>
    <x v="1"/>
    <s v="DISCOUNT ALLOWED"/>
    <s v="discount allowed"/>
    <s v="DISCOUNT ALLOWED"/>
    <s v="Discount Allowed"/>
    <s v="08/06/22"/>
  </r>
  <r>
    <s v="TXN_9567750"/>
    <s v="CUST_19"/>
    <x v="5"/>
    <x v="38"/>
    <x v="5"/>
    <x v="3"/>
    <n v="234.5"/>
    <x v="0"/>
    <x v="0"/>
    <x v="748"/>
    <x v="1"/>
    <s v="DISCOUNT ALLOWED"/>
    <s v="discount allowed"/>
    <s v="DISCOUNT ALLOWED"/>
    <s v="Discount Allowed"/>
    <s v="21/06/23"/>
  </r>
  <r>
    <s v="TXN_1854833"/>
    <s v="CUST_05"/>
    <x v="6"/>
    <x v="82"/>
    <x v="10"/>
    <x v="1"/>
    <n v="234"/>
    <x v="2"/>
    <x v="1"/>
    <x v="749"/>
    <x v="0"/>
    <s v="DISCOUNT NOT ALLOWED"/>
    <s v="discount not allowed"/>
    <s v="DISCOUNT NOT ALLOWED"/>
    <s v="Discount Not Allowed"/>
    <s v="24/04/23"/>
  </r>
  <r>
    <s v="TXN_2308456"/>
    <s v="CUST_02"/>
    <x v="2"/>
    <x v="77"/>
    <x v="10"/>
    <x v="1"/>
    <n v="234"/>
    <x v="1"/>
    <x v="1"/>
    <x v="19"/>
    <x v="0"/>
    <s v="DISCOUNT NOT ALLOWED"/>
    <s v="discount not allowed"/>
    <s v="DISCOUNT NOT ALLOWED"/>
    <s v="Discount Not Allowed"/>
    <s v="13/08/23"/>
  </r>
  <r>
    <s v="TXN_2331907"/>
    <s v="CUST_17"/>
    <x v="5"/>
    <x v="81"/>
    <x v="10"/>
    <x v="1"/>
    <n v="234"/>
    <x v="0"/>
    <x v="0"/>
    <x v="144"/>
    <x v="1"/>
    <s v="DISCOUNT ALLOWED"/>
    <s v="discount allowed"/>
    <s v="DISCOUNT ALLOWED"/>
    <s v="Discount Allowed"/>
    <s v="08/11/24"/>
  </r>
  <r>
    <s v="TXN_2883529"/>
    <s v="CUST_08"/>
    <x v="2"/>
    <x v="77"/>
    <x v="10"/>
    <x v="1"/>
    <n v="234"/>
    <x v="2"/>
    <x v="0"/>
    <x v="302"/>
    <x v="0"/>
    <s v="DISCOUNT NOT ALLOWED"/>
    <s v="discount not allowed"/>
    <s v="DISCOUNT NOT ALLOWED"/>
    <s v="Discount Not Allowed"/>
    <s v="05/11/22"/>
  </r>
  <r>
    <s v="TXN_3191741"/>
    <s v="CUST_01"/>
    <x v="7"/>
    <x v="83"/>
    <x v="10"/>
    <x v="1"/>
    <n v="234"/>
    <x v="0"/>
    <x v="1"/>
    <x v="750"/>
    <x v="0"/>
    <s v="DISCOUNT NOT ALLOWED"/>
    <s v="discount not allowed"/>
    <s v="DISCOUNT NOT ALLOWED"/>
    <s v="Discount Not Allowed"/>
    <s v="17/11/24"/>
  </r>
  <r>
    <s v="TXN_3206331"/>
    <s v="CUST_22"/>
    <x v="1"/>
    <x v="78"/>
    <x v="10"/>
    <x v="1"/>
    <n v="234"/>
    <x v="0"/>
    <x v="1"/>
    <x v="751"/>
    <x v="1"/>
    <s v="DISCOUNT ALLOWED"/>
    <s v="discount allowed"/>
    <s v="DISCOUNT ALLOWED"/>
    <s v="Discount Allowed"/>
    <s v="04/01/23"/>
  </r>
  <r>
    <s v="TXN_3969448"/>
    <s v="CUST_23"/>
    <x v="6"/>
    <x v="82"/>
    <x v="10"/>
    <x v="1"/>
    <n v="234"/>
    <x v="0"/>
    <x v="1"/>
    <x v="117"/>
    <x v="0"/>
    <s v="DISCOUNT NOT ALLOWED"/>
    <s v="discount not allowed"/>
    <s v="DISCOUNT NOT ALLOWED"/>
    <s v="Discount Not Allowed"/>
    <s v="30/07/23"/>
  </r>
  <r>
    <s v="TXN_4436938"/>
    <s v="CUST_12"/>
    <x v="2"/>
    <x v="77"/>
    <x v="10"/>
    <x v="1"/>
    <n v="234"/>
    <x v="1"/>
    <x v="1"/>
    <x v="752"/>
    <x v="0"/>
    <s v="DISCOUNT NOT ALLOWED"/>
    <s v="discount not allowed"/>
    <s v="DISCOUNT NOT ALLOWED"/>
    <s v="Discount Not Allowed"/>
    <s v="18/05/23"/>
  </r>
  <r>
    <s v="TXN_4662762"/>
    <s v="CUST_12"/>
    <x v="5"/>
    <x v="81"/>
    <x v="10"/>
    <x v="1"/>
    <n v="234"/>
    <x v="2"/>
    <x v="1"/>
    <x v="753"/>
    <x v="0"/>
    <s v="DISCOUNT NOT ALLOWED"/>
    <s v="discount not allowed"/>
    <s v="DISCOUNT NOT ALLOWED"/>
    <s v="Discount Not Allowed"/>
    <s v="12/01/25"/>
  </r>
  <r>
    <s v="TXN_4683473"/>
    <s v="CUST_10"/>
    <x v="7"/>
    <x v="83"/>
    <x v="10"/>
    <x v="1"/>
    <n v="234"/>
    <x v="2"/>
    <x v="0"/>
    <x v="584"/>
    <x v="0"/>
    <s v="DISCOUNT NOT ALLOWED"/>
    <s v="discount not allowed"/>
    <s v="DISCOUNT NOT ALLOWED"/>
    <s v="Discount Not Allowed"/>
    <s v="08/04/23"/>
  </r>
  <r>
    <s v="TXN_4689214"/>
    <s v="CUST_15"/>
    <x v="5"/>
    <x v="81"/>
    <x v="10"/>
    <x v="1"/>
    <n v="234"/>
    <x v="1"/>
    <x v="1"/>
    <x v="119"/>
    <x v="0"/>
    <s v="DISCOUNT NOT ALLOWED"/>
    <s v="discount not allowed"/>
    <s v="DISCOUNT NOT ALLOWED"/>
    <s v="Discount Not Allowed"/>
    <s v="24/12/23"/>
  </r>
  <r>
    <s v="TXN_4747660"/>
    <s v="CUST_16"/>
    <x v="4"/>
    <x v="79"/>
    <x v="10"/>
    <x v="1"/>
    <n v="234"/>
    <x v="2"/>
    <x v="1"/>
    <x v="136"/>
    <x v="1"/>
    <s v="DISCOUNT ALLOWED"/>
    <s v="discount allowed"/>
    <s v="DISCOUNT ALLOWED"/>
    <s v="Discount Allowed"/>
    <s v="07/07/22"/>
  </r>
  <r>
    <s v="TXN_4871817"/>
    <s v="CUST_25"/>
    <x v="7"/>
    <x v="83"/>
    <x v="10"/>
    <x v="1"/>
    <n v="234"/>
    <x v="1"/>
    <x v="1"/>
    <x v="358"/>
    <x v="0"/>
    <s v="DISCOUNT NOT ALLOWED"/>
    <s v="discount not allowed"/>
    <s v="DISCOUNT NOT ALLOWED"/>
    <s v="Discount Not Allowed"/>
    <s v="01/10/22"/>
  </r>
  <r>
    <s v="TXN_4879594"/>
    <s v="CUST_14"/>
    <x v="2"/>
    <x v="77"/>
    <x v="10"/>
    <x v="1"/>
    <n v="234"/>
    <x v="0"/>
    <x v="0"/>
    <x v="754"/>
    <x v="0"/>
    <s v="DISCOUNT NOT ALLOWED"/>
    <s v="discount not allowed"/>
    <s v="DISCOUNT NOT ALLOWED"/>
    <s v="Discount Not Allowed"/>
    <s v="26/12/23"/>
  </r>
  <r>
    <s v="TXN_5046007"/>
    <s v="CUST_07"/>
    <x v="6"/>
    <x v="82"/>
    <x v="10"/>
    <x v="1"/>
    <n v="234"/>
    <x v="1"/>
    <x v="0"/>
    <x v="755"/>
    <x v="1"/>
    <s v="DISCOUNT ALLOWED"/>
    <s v="discount allowed"/>
    <s v="DISCOUNT ALLOWED"/>
    <s v="Discount Allowed"/>
    <s v="22/07/24"/>
  </r>
  <r>
    <s v="TXN_5383084"/>
    <s v="CUST_18"/>
    <x v="7"/>
    <x v="83"/>
    <x v="10"/>
    <x v="1"/>
    <n v="234"/>
    <x v="0"/>
    <x v="1"/>
    <x v="679"/>
    <x v="0"/>
    <s v="DISCOUNT NOT ALLOWED"/>
    <s v="discount not allowed"/>
    <s v="DISCOUNT NOT ALLOWED"/>
    <s v="Discount Not Allowed"/>
    <s v="12/05/23"/>
  </r>
  <r>
    <s v="TXN_5481124"/>
    <s v="CUST_03"/>
    <x v="2"/>
    <x v="77"/>
    <x v="10"/>
    <x v="1"/>
    <n v="234"/>
    <x v="1"/>
    <x v="1"/>
    <x v="89"/>
    <x v="0"/>
    <s v="DISCOUNT NOT ALLOWED"/>
    <s v="discount not allowed"/>
    <s v="DISCOUNT NOT ALLOWED"/>
    <s v="Discount Not Allowed"/>
    <s v="14/01/22"/>
  </r>
  <r>
    <s v="TXN_5746977"/>
    <s v="CUST_13"/>
    <x v="3"/>
    <x v="80"/>
    <x v="10"/>
    <x v="1"/>
    <n v="234"/>
    <x v="1"/>
    <x v="0"/>
    <x v="756"/>
    <x v="0"/>
    <s v="DISCOUNT NOT ALLOWED"/>
    <s v="discount not allowed"/>
    <s v="DISCOUNT NOT ALLOWED"/>
    <s v="Discount Not Allowed"/>
    <s v="15/06/23"/>
  </r>
  <r>
    <s v="TXN_6018998"/>
    <s v="CUST_18"/>
    <x v="2"/>
    <x v="77"/>
    <x v="10"/>
    <x v="1"/>
    <n v="234"/>
    <x v="1"/>
    <x v="0"/>
    <x v="757"/>
    <x v="1"/>
    <s v="DISCOUNT ALLOWED"/>
    <s v="discount allowed"/>
    <s v="DISCOUNT ALLOWED"/>
    <s v="Discount Allowed"/>
    <s v="08/09/24"/>
  </r>
  <r>
    <s v="TXN_6122892"/>
    <s v="CUST_12"/>
    <x v="7"/>
    <x v="83"/>
    <x v="10"/>
    <x v="1"/>
    <n v="234"/>
    <x v="2"/>
    <x v="1"/>
    <x v="217"/>
    <x v="1"/>
    <s v="DISCOUNT ALLOWED"/>
    <s v="discount allowed"/>
    <s v="DISCOUNT ALLOWED"/>
    <s v="Discount Allowed"/>
    <s v="12/01/24"/>
  </r>
  <r>
    <s v="TXN_6208291"/>
    <s v="CUST_12"/>
    <x v="2"/>
    <x v="77"/>
    <x v="10"/>
    <x v="1"/>
    <n v="234"/>
    <x v="2"/>
    <x v="0"/>
    <x v="362"/>
    <x v="0"/>
    <s v="DISCOUNT NOT ALLOWED"/>
    <s v="discount not allowed"/>
    <s v="DISCOUNT NOT ALLOWED"/>
    <s v="Discount Not Allowed"/>
    <s v="10/03/23"/>
  </r>
  <r>
    <s v="TXN_6315393"/>
    <s v="CUST_04"/>
    <x v="2"/>
    <x v="77"/>
    <x v="10"/>
    <x v="1"/>
    <n v="234"/>
    <x v="2"/>
    <x v="1"/>
    <x v="659"/>
    <x v="0"/>
    <s v="DISCOUNT NOT ALLOWED"/>
    <s v="discount not allowed"/>
    <s v="DISCOUNT NOT ALLOWED"/>
    <s v="Discount Not Allowed"/>
    <s v="10/08/22"/>
  </r>
  <r>
    <s v="TXN_6551677"/>
    <s v="CUST_23"/>
    <x v="6"/>
    <x v="82"/>
    <x v="10"/>
    <x v="1"/>
    <n v="234"/>
    <x v="0"/>
    <x v="0"/>
    <x v="758"/>
    <x v="1"/>
    <s v="DISCOUNT ALLOWED"/>
    <s v="discount allowed"/>
    <s v="DISCOUNT ALLOWED"/>
    <s v="Discount Allowed"/>
    <s v="10/11/24"/>
  </r>
  <r>
    <s v="TXN_6564035"/>
    <s v="CUST_10"/>
    <x v="5"/>
    <x v="81"/>
    <x v="10"/>
    <x v="1"/>
    <n v="234"/>
    <x v="2"/>
    <x v="0"/>
    <x v="568"/>
    <x v="0"/>
    <s v="DISCOUNT NOT ALLOWED"/>
    <s v="discount not allowed"/>
    <s v="DISCOUNT NOT ALLOWED"/>
    <s v="Discount Not Allowed"/>
    <s v="07/09/24"/>
  </r>
  <r>
    <s v="TXN_6967638"/>
    <s v="CUST_02"/>
    <x v="7"/>
    <x v="83"/>
    <x v="10"/>
    <x v="1"/>
    <n v="234"/>
    <x v="2"/>
    <x v="1"/>
    <x v="10"/>
    <x v="1"/>
    <s v="DISCOUNT ALLOWED"/>
    <s v="discount allowed"/>
    <s v="DISCOUNT ALLOWED"/>
    <s v="Discount Allowed"/>
    <s v="29/08/22"/>
  </r>
  <r>
    <s v="TXN_7042991"/>
    <s v="CUST_14"/>
    <x v="5"/>
    <x v="81"/>
    <x v="10"/>
    <x v="1"/>
    <n v="234"/>
    <x v="0"/>
    <x v="0"/>
    <x v="77"/>
    <x v="1"/>
    <s v="DISCOUNT ALLOWED"/>
    <s v="discount allowed"/>
    <s v="DISCOUNT ALLOWED"/>
    <s v="Discount Allowed"/>
    <s v="29/01/24"/>
  </r>
  <r>
    <s v="TXN_7218006"/>
    <s v="CUST_05"/>
    <x v="0"/>
    <x v="84"/>
    <x v="10"/>
    <x v="1"/>
    <n v="234"/>
    <x v="0"/>
    <x v="0"/>
    <x v="303"/>
    <x v="0"/>
    <s v="DISCOUNT NOT ALLOWED"/>
    <s v="discount not allowed"/>
    <s v="DISCOUNT NOT ALLOWED"/>
    <s v="Discount Not Allowed"/>
    <s v="22/12/24"/>
  </r>
  <r>
    <s v="TXN_7782524"/>
    <s v="CUST_02"/>
    <x v="5"/>
    <x v="81"/>
    <x v="10"/>
    <x v="1"/>
    <n v="234"/>
    <x v="0"/>
    <x v="0"/>
    <x v="368"/>
    <x v="0"/>
    <s v="DISCOUNT NOT ALLOWED"/>
    <s v="discount not allowed"/>
    <s v="DISCOUNT NOT ALLOWED"/>
    <s v="Discount Not Allowed"/>
    <s v="12/06/22"/>
  </r>
  <r>
    <s v="TXN_7836121"/>
    <s v="CUST_19"/>
    <x v="3"/>
    <x v="80"/>
    <x v="10"/>
    <x v="1"/>
    <n v="234"/>
    <x v="2"/>
    <x v="1"/>
    <x v="168"/>
    <x v="1"/>
    <s v="DISCOUNT ALLOWED"/>
    <s v="discount allowed"/>
    <s v="DISCOUNT ALLOWED"/>
    <s v="Discount Allowed"/>
    <s v="29/06/22"/>
  </r>
  <r>
    <s v="TXN_8238998"/>
    <s v="CUST_03"/>
    <x v="5"/>
    <x v="81"/>
    <x v="10"/>
    <x v="1"/>
    <n v="234"/>
    <x v="2"/>
    <x v="1"/>
    <x v="103"/>
    <x v="0"/>
    <s v="DISCOUNT NOT ALLOWED"/>
    <s v="discount not allowed"/>
    <s v="DISCOUNT NOT ALLOWED"/>
    <s v="Discount Not Allowed"/>
    <s v="30/05/22"/>
  </r>
  <r>
    <s v="TXN_9284796"/>
    <s v="CUST_11"/>
    <x v="5"/>
    <x v="81"/>
    <x v="10"/>
    <x v="1"/>
    <n v="234"/>
    <x v="1"/>
    <x v="1"/>
    <x v="759"/>
    <x v="0"/>
    <s v="DISCOUNT NOT ALLOWED"/>
    <s v="discount not allowed"/>
    <s v="DISCOUNT NOT ALLOWED"/>
    <s v="Discount Not Allowed"/>
    <s v="08/05/24"/>
  </r>
  <r>
    <s v="TXN_9370181"/>
    <s v="CUST_20"/>
    <x v="3"/>
    <x v="80"/>
    <x v="10"/>
    <x v="1"/>
    <n v="234"/>
    <x v="1"/>
    <x v="0"/>
    <x v="760"/>
    <x v="0"/>
    <s v="DISCOUNT NOT ALLOWED"/>
    <s v="discount not allowed"/>
    <s v="DISCOUNT NOT ALLOWED"/>
    <s v="Discount Not Allowed"/>
    <s v="30/11/22"/>
  </r>
  <r>
    <s v="TXN_9610510"/>
    <s v="CUST_11"/>
    <x v="3"/>
    <x v="80"/>
    <x v="10"/>
    <x v="1"/>
    <n v="234"/>
    <x v="2"/>
    <x v="1"/>
    <x v="164"/>
    <x v="1"/>
    <s v="DISCOUNT ALLOWED"/>
    <s v="discount allowed"/>
    <s v="DISCOUNT ALLOWED"/>
    <s v="Discount Allowed"/>
    <s v="26/01/22"/>
  </r>
  <r>
    <s v="TXN_9632054"/>
    <s v="CUST_16"/>
    <x v="7"/>
    <x v="83"/>
    <x v="10"/>
    <x v="1"/>
    <n v="234"/>
    <x v="0"/>
    <x v="0"/>
    <x v="188"/>
    <x v="0"/>
    <s v="DISCOUNT NOT ALLOWED"/>
    <s v="discount not allowed"/>
    <s v="DISCOUNT NOT ALLOWED"/>
    <s v="Discount Not Allowed"/>
    <s v="14/12/23"/>
  </r>
  <r>
    <s v="TXN_9856856"/>
    <s v="CUST_17"/>
    <x v="2"/>
    <x v="77"/>
    <x v="10"/>
    <x v="1"/>
    <n v="234"/>
    <x v="0"/>
    <x v="1"/>
    <x v="72"/>
    <x v="1"/>
    <s v="DISCOUNT ALLOWED"/>
    <s v="discount allowed"/>
    <s v="DISCOUNT ALLOWED"/>
    <s v="Discount Allowed"/>
    <s v="25/04/24"/>
  </r>
  <r>
    <s v="TXN_1338572"/>
    <s v="CUST_18"/>
    <x v="5"/>
    <x v="67"/>
    <x v="8"/>
    <x v="2"/>
    <n v="232"/>
    <x v="0"/>
    <x v="0"/>
    <x v="586"/>
    <x v="1"/>
    <s v="DISCOUNT ALLOWED"/>
    <s v="discount allowed"/>
    <s v="DISCOUNT ALLOWED"/>
    <s v="Discount Allowed"/>
    <s v="26/02/23"/>
  </r>
  <r>
    <s v="TXN_1476715"/>
    <s v="CUST_11"/>
    <x v="1"/>
    <x v="64"/>
    <x v="8"/>
    <x v="2"/>
    <n v="232"/>
    <x v="2"/>
    <x v="1"/>
    <x v="206"/>
    <x v="0"/>
    <s v="DISCOUNT NOT ALLOWED"/>
    <s v="discount not allowed"/>
    <s v="DISCOUNT NOT ALLOWED"/>
    <s v="Discount Not Allowed"/>
    <s v="08/02/22"/>
  </r>
  <r>
    <s v="TXN_1630509"/>
    <s v="CUST_22"/>
    <x v="1"/>
    <x v="64"/>
    <x v="8"/>
    <x v="2"/>
    <n v="232"/>
    <x v="2"/>
    <x v="1"/>
    <x v="761"/>
    <x v="1"/>
    <s v="DISCOUNT ALLOWED"/>
    <s v="discount allowed"/>
    <s v="DISCOUNT ALLOWED"/>
    <s v="Discount Allowed"/>
    <s v="08/07/23"/>
  </r>
  <r>
    <s v="TXN_2014914"/>
    <s v="CUST_07"/>
    <x v="7"/>
    <x v="63"/>
    <x v="8"/>
    <x v="2"/>
    <n v="232"/>
    <x v="1"/>
    <x v="1"/>
    <x v="509"/>
    <x v="0"/>
    <s v="DISCOUNT NOT ALLOWED"/>
    <s v="discount not allowed"/>
    <s v="DISCOUNT NOT ALLOWED"/>
    <s v="Discount Not Allowed"/>
    <s v="14/09/23"/>
  </r>
  <r>
    <s v="TXN_2357618"/>
    <s v="CUST_04"/>
    <x v="0"/>
    <x v="61"/>
    <x v="8"/>
    <x v="2"/>
    <n v="232"/>
    <x v="1"/>
    <x v="1"/>
    <x v="650"/>
    <x v="1"/>
    <s v="DISCOUNT ALLOWED"/>
    <s v="discount allowed"/>
    <s v="DISCOUNT ALLOWED"/>
    <s v="Discount Allowed"/>
    <s v="03/01/23"/>
  </r>
  <r>
    <s v="TXN_2602423"/>
    <s v="CUST_09"/>
    <x v="1"/>
    <x v="64"/>
    <x v="8"/>
    <x v="2"/>
    <n v="232"/>
    <x v="0"/>
    <x v="0"/>
    <x v="409"/>
    <x v="1"/>
    <s v="DISCOUNT ALLOWED"/>
    <s v="discount allowed"/>
    <s v="DISCOUNT ALLOWED"/>
    <s v="Discount Allowed"/>
    <s v="13/07/23"/>
  </r>
  <r>
    <s v="TXN_2824933"/>
    <s v="CUST_21"/>
    <x v="0"/>
    <x v="61"/>
    <x v="8"/>
    <x v="2"/>
    <n v="232"/>
    <x v="0"/>
    <x v="1"/>
    <x v="762"/>
    <x v="0"/>
    <s v="DISCOUNT NOT ALLOWED"/>
    <s v="discount not allowed"/>
    <s v="DISCOUNT NOT ALLOWED"/>
    <s v="Discount Not Allowed"/>
    <s v="04/05/24"/>
  </r>
  <r>
    <s v="TXN_2984585"/>
    <s v="CUST_03"/>
    <x v="0"/>
    <x v="61"/>
    <x v="8"/>
    <x v="2"/>
    <n v="232"/>
    <x v="2"/>
    <x v="1"/>
    <x v="672"/>
    <x v="1"/>
    <s v="DISCOUNT ALLOWED"/>
    <s v="discount allowed"/>
    <s v="DISCOUNT ALLOWED"/>
    <s v="Discount Allowed"/>
    <s v="20/09/23"/>
  </r>
  <r>
    <s v="TXN_3286135"/>
    <s v="CUST_05"/>
    <x v="1"/>
    <x v="64"/>
    <x v="8"/>
    <x v="2"/>
    <n v="232"/>
    <x v="1"/>
    <x v="0"/>
    <x v="763"/>
    <x v="1"/>
    <s v="DISCOUNT ALLOWED"/>
    <s v="discount allowed"/>
    <s v="DISCOUNT ALLOWED"/>
    <s v="Discount Allowed"/>
    <s v="21/09/24"/>
  </r>
  <r>
    <s v="TXN_3809198"/>
    <s v="CUST_06"/>
    <x v="1"/>
    <x v="64"/>
    <x v="8"/>
    <x v="2"/>
    <n v="232"/>
    <x v="0"/>
    <x v="0"/>
    <x v="277"/>
    <x v="0"/>
    <s v="DISCOUNT NOT ALLOWED"/>
    <s v="discount not allowed"/>
    <s v="DISCOUNT NOT ALLOWED"/>
    <s v="Discount Not Allowed"/>
    <s v="02/02/23"/>
  </r>
  <r>
    <s v="TXN_3918997"/>
    <s v="CUST_04"/>
    <x v="0"/>
    <x v="61"/>
    <x v="8"/>
    <x v="2"/>
    <n v="232"/>
    <x v="2"/>
    <x v="1"/>
    <x v="378"/>
    <x v="0"/>
    <s v="DISCOUNT NOT ALLOWED"/>
    <s v="discount not allowed"/>
    <s v="DISCOUNT NOT ALLOWED"/>
    <s v="Discount Not Allowed"/>
    <s v="29/04/23"/>
  </r>
  <r>
    <s v="TXN_3994914"/>
    <s v="CUST_13"/>
    <x v="2"/>
    <x v="68"/>
    <x v="8"/>
    <x v="2"/>
    <n v="232"/>
    <x v="1"/>
    <x v="1"/>
    <x v="764"/>
    <x v="1"/>
    <s v="DISCOUNT ALLOWED"/>
    <s v="discount allowed"/>
    <s v="DISCOUNT ALLOWED"/>
    <s v="Discount Allowed"/>
    <s v="03/05/22"/>
  </r>
  <r>
    <s v="TXN_4651759"/>
    <s v="CUST_06"/>
    <x v="4"/>
    <x v="66"/>
    <x v="8"/>
    <x v="2"/>
    <n v="232"/>
    <x v="2"/>
    <x v="1"/>
    <x v="765"/>
    <x v="0"/>
    <s v="DISCOUNT NOT ALLOWED"/>
    <s v="discount not allowed"/>
    <s v="DISCOUNT NOT ALLOWED"/>
    <s v="Discount Not Allowed"/>
    <s v="19/12/24"/>
  </r>
  <r>
    <s v="TXN_4859416"/>
    <s v="CUST_13"/>
    <x v="0"/>
    <x v="61"/>
    <x v="8"/>
    <x v="2"/>
    <n v="232"/>
    <x v="0"/>
    <x v="1"/>
    <x v="618"/>
    <x v="1"/>
    <s v="DISCOUNT ALLOWED"/>
    <s v="discount allowed"/>
    <s v="DISCOUNT ALLOWED"/>
    <s v="Discount Allowed"/>
    <s v="23/01/24"/>
  </r>
  <r>
    <s v="TXN_5241822"/>
    <s v="CUST_17"/>
    <x v="5"/>
    <x v="67"/>
    <x v="8"/>
    <x v="2"/>
    <n v="232"/>
    <x v="0"/>
    <x v="0"/>
    <x v="766"/>
    <x v="1"/>
    <s v="DISCOUNT ALLOWED"/>
    <s v="discount allowed"/>
    <s v="DISCOUNT ALLOWED"/>
    <s v="Discount Allowed"/>
    <s v="09/12/22"/>
  </r>
  <r>
    <s v="TXN_5275517"/>
    <s v="CUST_10"/>
    <x v="4"/>
    <x v="66"/>
    <x v="8"/>
    <x v="2"/>
    <n v="232"/>
    <x v="1"/>
    <x v="0"/>
    <x v="366"/>
    <x v="1"/>
    <s v="DISCOUNT ALLOWED"/>
    <s v="discount allowed"/>
    <s v="DISCOUNT ALLOWED"/>
    <s v="Discount Allowed"/>
    <s v="29/11/24"/>
  </r>
  <r>
    <s v="TXN_5373878"/>
    <s v="CUST_04"/>
    <x v="3"/>
    <x v="65"/>
    <x v="8"/>
    <x v="2"/>
    <n v="232"/>
    <x v="1"/>
    <x v="0"/>
    <x v="379"/>
    <x v="1"/>
    <s v="DISCOUNT ALLOWED"/>
    <s v="discount allowed"/>
    <s v="DISCOUNT ALLOWED"/>
    <s v="Discount Allowed"/>
    <s v="15/03/24"/>
  </r>
  <r>
    <s v="TXN_5530234"/>
    <s v="CUST_10"/>
    <x v="5"/>
    <x v="67"/>
    <x v="8"/>
    <x v="2"/>
    <n v="232"/>
    <x v="1"/>
    <x v="0"/>
    <x v="410"/>
    <x v="1"/>
    <s v="DISCOUNT ALLOWED"/>
    <s v="discount allowed"/>
    <s v="DISCOUNT ALLOWED"/>
    <s v="Discount Allowed"/>
    <s v="30/06/23"/>
  </r>
  <r>
    <s v="TXN_5645945"/>
    <s v="CUST_01"/>
    <x v="0"/>
    <x v="61"/>
    <x v="8"/>
    <x v="2"/>
    <n v="232"/>
    <x v="2"/>
    <x v="0"/>
    <x v="22"/>
    <x v="0"/>
    <s v="DISCOUNT NOT ALLOWED"/>
    <s v="discount not allowed"/>
    <s v="DISCOUNT NOT ALLOWED"/>
    <s v="Discount Not Allowed"/>
    <s v="24/01/24"/>
  </r>
  <r>
    <s v="TXN_5680991"/>
    <s v="CUST_19"/>
    <x v="7"/>
    <x v="63"/>
    <x v="8"/>
    <x v="2"/>
    <n v="232"/>
    <x v="0"/>
    <x v="1"/>
    <x v="32"/>
    <x v="1"/>
    <s v="DISCOUNT ALLOWED"/>
    <s v="discount allowed"/>
    <s v="DISCOUNT ALLOWED"/>
    <s v="Discount Allowed"/>
    <s v="24/08/23"/>
  </r>
  <r>
    <s v="TXN_5811160"/>
    <s v="CUST_09"/>
    <x v="2"/>
    <x v="68"/>
    <x v="8"/>
    <x v="2"/>
    <n v="232"/>
    <x v="2"/>
    <x v="0"/>
    <x v="698"/>
    <x v="1"/>
    <s v="DISCOUNT ALLOWED"/>
    <s v="discount allowed"/>
    <s v="DISCOUNT ALLOWED"/>
    <s v="Discount Allowed"/>
    <s v="30/01/23"/>
  </r>
  <r>
    <s v="TXN_6040995"/>
    <s v="CUST_09"/>
    <x v="6"/>
    <x v="62"/>
    <x v="8"/>
    <x v="2"/>
    <n v="232"/>
    <x v="0"/>
    <x v="0"/>
    <x v="767"/>
    <x v="0"/>
    <s v="DISCOUNT NOT ALLOWED"/>
    <s v="discount not allowed"/>
    <s v="DISCOUNT NOT ALLOWED"/>
    <s v="Discount Not Allowed"/>
    <s v="24/07/22"/>
  </r>
  <r>
    <s v="TXN_6181011"/>
    <s v="CUST_24"/>
    <x v="0"/>
    <x v="61"/>
    <x v="8"/>
    <x v="2"/>
    <n v="232"/>
    <x v="0"/>
    <x v="0"/>
    <x v="537"/>
    <x v="0"/>
    <s v="DISCOUNT NOT ALLOWED"/>
    <s v="discount not allowed"/>
    <s v="DISCOUNT NOT ALLOWED"/>
    <s v="Discount Not Allowed"/>
    <s v="27/09/22"/>
  </r>
  <r>
    <s v="TXN_6215670"/>
    <s v="CUST_19"/>
    <x v="7"/>
    <x v="63"/>
    <x v="8"/>
    <x v="2"/>
    <n v="232"/>
    <x v="0"/>
    <x v="0"/>
    <x v="768"/>
    <x v="1"/>
    <s v="DISCOUNT ALLOWED"/>
    <s v="discount allowed"/>
    <s v="DISCOUNT ALLOWED"/>
    <s v="Discount Allowed"/>
    <s v="04/12/23"/>
  </r>
  <r>
    <s v="TXN_6360517"/>
    <s v="CUST_16"/>
    <x v="2"/>
    <x v="68"/>
    <x v="8"/>
    <x v="2"/>
    <n v="232"/>
    <x v="2"/>
    <x v="0"/>
    <x v="734"/>
    <x v="1"/>
    <s v="DISCOUNT ALLOWED"/>
    <s v="discount allowed"/>
    <s v="DISCOUNT ALLOWED"/>
    <s v="Discount Allowed"/>
    <s v="11/08/23"/>
  </r>
  <r>
    <s v="TXN_6887406"/>
    <s v="CUST_04"/>
    <x v="0"/>
    <x v="61"/>
    <x v="8"/>
    <x v="2"/>
    <n v="232"/>
    <x v="0"/>
    <x v="0"/>
    <x v="496"/>
    <x v="0"/>
    <s v="DISCOUNT NOT ALLOWED"/>
    <s v="discount not allowed"/>
    <s v="DISCOUNT NOT ALLOWED"/>
    <s v="Discount Not Allowed"/>
    <s v="23/03/22"/>
  </r>
  <r>
    <s v="TXN_7054732"/>
    <s v="CUST_18"/>
    <x v="7"/>
    <x v="63"/>
    <x v="8"/>
    <x v="2"/>
    <n v="232"/>
    <x v="2"/>
    <x v="1"/>
    <x v="22"/>
    <x v="1"/>
    <s v="DISCOUNT ALLOWED"/>
    <s v="discount allowed"/>
    <s v="DISCOUNT ALLOWED"/>
    <s v="Discount Allowed"/>
    <s v="24/01/24"/>
  </r>
  <r>
    <s v="TXN_7563311"/>
    <s v="CUST_23"/>
    <x v="7"/>
    <x v="63"/>
    <x v="8"/>
    <x v="2"/>
    <n v="232"/>
    <x v="1"/>
    <x v="0"/>
    <x v="566"/>
    <x v="1"/>
    <s v="DISCOUNT ALLOWED"/>
    <s v="discount allowed"/>
    <s v="DISCOUNT ALLOWED"/>
    <s v="Discount Allowed"/>
    <s v="16/11/24"/>
  </r>
  <r>
    <s v="TXN_7748483"/>
    <s v="CUST_14"/>
    <x v="0"/>
    <x v="61"/>
    <x v="8"/>
    <x v="2"/>
    <n v="232"/>
    <x v="1"/>
    <x v="1"/>
    <x v="769"/>
    <x v="0"/>
    <s v="DISCOUNT NOT ALLOWED"/>
    <s v="discount not allowed"/>
    <s v="DISCOUNT NOT ALLOWED"/>
    <s v="Discount Not Allowed"/>
    <s v="02/12/22"/>
  </r>
  <r>
    <s v="TXN_7865105"/>
    <s v="CUST_01"/>
    <x v="2"/>
    <x v="68"/>
    <x v="8"/>
    <x v="2"/>
    <n v="232"/>
    <x v="1"/>
    <x v="1"/>
    <x v="770"/>
    <x v="1"/>
    <s v="DISCOUNT ALLOWED"/>
    <s v="discount allowed"/>
    <s v="DISCOUNT ALLOWED"/>
    <s v="Discount Allowed"/>
    <s v="03/02/24"/>
  </r>
  <r>
    <s v="TXN_8011504"/>
    <s v="CUST_20"/>
    <x v="7"/>
    <x v="63"/>
    <x v="8"/>
    <x v="2"/>
    <n v="232"/>
    <x v="1"/>
    <x v="1"/>
    <x v="771"/>
    <x v="0"/>
    <s v="DISCOUNT NOT ALLOWED"/>
    <s v="discount not allowed"/>
    <s v="DISCOUNT NOT ALLOWED"/>
    <s v="Discount Not Allowed"/>
    <s v="24/07/24"/>
  </r>
  <r>
    <s v="TXN_8043465"/>
    <s v="CUST_21"/>
    <x v="5"/>
    <x v="67"/>
    <x v="8"/>
    <x v="2"/>
    <n v="232"/>
    <x v="0"/>
    <x v="1"/>
    <x v="114"/>
    <x v="0"/>
    <s v="DISCOUNT NOT ALLOWED"/>
    <s v="discount not allowed"/>
    <s v="DISCOUNT NOT ALLOWED"/>
    <s v="Discount Not Allowed"/>
    <s v="13/04/22"/>
  </r>
  <r>
    <s v="TXN_8691499"/>
    <s v="CUST_05"/>
    <x v="0"/>
    <x v="61"/>
    <x v="8"/>
    <x v="2"/>
    <n v="232"/>
    <x v="1"/>
    <x v="1"/>
    <x v="772"/>
    <x v="0"/>
    <s v="DISCOUNT NOT ALLOWED"/>
    <s v="discount not allowed"/>
    <s v="DISCOUNT NOT ALLOWED"/>
    <s v="Discount Not Allowed"/>
    <s v="19/07/22"/>
  </r>
  <r>
    <s v="TXN_8917842"/>
    <s v="CUST_05"/>
    <x v="7"/>
    <x v="63"/>
    <x v="8"/>
    <x v="2"/>
    <n v="232"/>
    <x v="1"/>
    <x v="0"/>
    <x v="94"/>
    <x v="1"/>
    <s v="DISCOUNT ALLOWED"/>
    <s v="discount allowed"/>
    <s v="DISCOUNT ALLOWED"/>
    <s v="Discount Allowed"/>
    <s v="19/03/24"/>
  </r>
  <r>
    <s v="TXN_8941388"/>
    <s v="CUST_19"/>
    <x v="1"/>
    <x v="64"/>
    <x v="8"/>
    <x v="2"/>
    <n v="232"/>
    <x v="0"/>
    <x v="1"/>
    <x v="441"/>
    <x v="1"/>
    <s v="DISCOUNT ALLOWED"/>
    <s v="discount allowed"/>
    <s v="DISCOUNT ALLOWED"/>
    <s v="Discount Allowed"/>
    <s v="09/05/22"/>
  </r>
  <r>
    <s v="TXN_9237182"/>
    <s v="CUST_12"/>
    <x v="0"/>
    <x v="61"/>
    <x v="8"/>
    <x v="2"/>
    <n v="232"/>
    <x v="0"/>
    <x v="0"/>
    <x v="773"/>
    <x v="0"/>
    <s v="DISCOUNT NOT ALLOWED"/>
    <s v="discount not allowed"/>
    <s v="DISCOUNT NOT ALLOWED"/>
    <s v="Discount Not Allowed"/>
    <s v="16/09/23"/>
  </r>
  <r>
    <s v="TXN_9496210"/>
    <s v="CUST_07"/>
    <x v="6"/>
    <x v="62"/>
    <x v="8"/>
    <x v="2"/>
    <n v="232"/>
    <x v="1"/>
    <x v="0"/>
    <x v="202"/>
    <x v="0"/>
    <s v="DISCOUNT NOT ALLOWED"/>
    <s v="discount not allowed"/>
    <s v="DISCOUNT NOT ALLOWED"/>
    <s v="Discount Not Allowed"/>
    <s v="10/04/24"/>
  </r>
  <r>
    <s v="TXN_9559442"/>
    <s v="CUST_20"/>
    <x v="4"/>
    <x v="66"/>
    <x v="8"/>
    <x v="2"/>
    <n v="232"/>
    <x v="2"/>
    <x v="0"/>
    <x v="425"/>
    <x v="1"/>
    <s v="DISCOUNT ALLOWED"/>
    <s v="discount allowed"/>
    <s v="DISCOUNT ALLOWED"/>
    <s v="Discount Allowed"/>
    <s v="12/08/22"/>
  </r>
  <r>
    <s v="TXN_1102033"/>
    <s v="CUST_01"/>
    <x v="6"/>
    <x v="93"/>
    <x v="12"/>
    <x v="0"/>
    <n v="230"/>
    <x v="0"/>
    <x v="1"/>
    <x v="774"/>
    <x v="0"/>
    <s v="DISCOUNT NOT ALLOWED"/>
    <s v="discount not allowed"/>
    <s v="DISCOUNT NOT ALLOWED"/>
    <s v="Discount Not Allowed"/>
    <s v="17/04/22"/>
  </r>
  <r>
    <s v="TXN_1810288"/>
    <s v="CUST_01"/>
    <x v="4"/>
    <x v="94"/>
    <x v="12"/>
    <x v="0"/>
    <n v="230"/>
    <x v="1"/>
    <x v="0"/>
    <x v="729"/>
    <x v="1"/>
    <s v="DISCOUNT ALLOWED"/>
    <s v="discount allowed"/>
    <s v="DISCOUNT ALLOWED"/>
    <s v="Discount Allowed"/>
    <s v="07/12/24"/>
  </r>
  <r>
    <s v="TXN_2663819"/>
    <s v="CUST_08"/>
    <x v="4"/>
    <x v="94"/>
    <x v="12"/>
    <x v="0"/>
    <n v="230"/>
    <x v="2"/>
    <x v="1"/>
    <x v="775"/>
    <x v="1"/>
    <s v="DISCOUNT ALLOWED"/>
    <s v="discount allowed"/>
    <s v="DISCOUNT ALLOWED"/>
    <s v="Discount Allowed"/>
    <s v="31/03/24"/>
  </r>
  <r>
    <s v="TXN_2879758"/>
    <s v="CUST_25"/>
    <x v="6"/>
    <x v="93"/>
    <x v="12"/>
    <x v="0"/>
    <n v="230"/>
    <x v="1"/>
    <x v="1"/>
    <x v="628"/>
    <x v="1"/>
    <s v="DISCOUNT ALLOWED"/>
    <s v="discount allowed"/>
    <s v="DISCOUNT ALLOWED"/>
    <s v="Discount Allowed"/>
    <s v="25/01/24"/>
  </r>
  <r>
    <s v="TXN_3243042"/>
    <s v="CUST_15"/>
    <x v="3"/>
    <x v="95"/>
    <x v="12"/>
    <x v="0"/>
    <n v="230"/>
    <x v="1"/>
    <x v="0"/>
    <x v="776"/>
    <x v="0"/>
    <s v="DISCOUNT NOT ALLOWED"/>
    <s v="discount not allowed"/>
    <s v="DISCOUNT NOT ALLOWED"/>
    <s v="Discount Not Allowed"/>
    <s v="15/12/24"/>
  </r>
  <r>
    <s v="TXN_3336876"/>
    <s v="CUST_10"/>
    <x v="7"/>
    <x v="96"/>
    <x v="12"/>
    <x v="0"/>
    <n v="230"/>
    <x v="2"/>
    <x v="1"/>
    <x v="777"/>
    <x v="0"/>
    <s v="DISCOUNT NOT ALLOWED"/>
    <s v="discount not allowed"/>
    <s v="DISCOUNT NOT ALLOWED"/>
    <s v="Discount Not Allowed"/>
    <s v="25/07/24"/>
  </r>
  <r>
    <s v="TXN_3414846"/>
    <s v="CUST_23"/>
    <x v="5"/>
    <x v="97"/>
    <x v="12"/>
    <x v="0"/>
    <n v="230"/>
    <x v="1"/>
    <x v="1"/>
    <x v="59"/>
    <x v="0"/>
    <s v="DISCOUNT NOT ALLOWED"/>
    <s v="discount not allowed"/>
    <s v="DISCOUNT NOT ALLOWED"/>
    <s v="Discount Not Allowed"/>
    <s v="24/11/22"/>
  </r>
  <r>
    <s v="TXN_3630133"/>
    <s v="CUST_24"/>
    <x v="4"/>
    <x v="94"/>
    <x v="12"/>
    <x v="0"/>
    <n v="230"/>
    <x v="1"/>
    <x v="0"/>
    <x v="778"/>
    <x v="0"/>
    <s v="DISCOUNT NOT ALLOWED"/>
    <s v="discount not allowed"/>
    <s v="DISCOUNT NOT ALLOWED"/>
    <s v="Discount Not Allowed"/>
    <s v="26/07/23"/>
  </r>
  <r>
    <s v="TXN_3632878"/>
    <s v="CUST_13"/>
    <x v="0"/>
    <x v="98"/>
    <x v="12"/>
    <x v="0"/>
    <n v="230"/>
    <x v="1"/>
    <x v="0"/>
    <x v="481"/>
    <x v="1"/>
    <s v="DISCOUNT ALLOWED"/>
    <s v="discount allowed"/>
    <s v="DISCOUNT ALLOWED"/>
    <s v="Discount Allowed"/>
    <s v="20/11/22"/>
  </r>
  <r>
    <s v="TXN_4002627"/>
    <s v="CUST_01"/>
    <x v="5"/>
    <x v="97"/>
    <x v="12"/>
    <x v="0"/>
    <n v="230"/>
    <x v="2"/>
    <x v="1"/>
    <x v="394"/>
    <x v="1"/>
    <s v="DISCOUNT ALLOWED"/>
    <s v="discount allowed"/>
    <s v="DISCOUNT ALLOWED"/>
    <s v="Discount Allowed"/>
    <s v="13/12/24"/>
  </r>
  <r>
    <s v="TXN_4408493"/>
    <s v="CUST_20"/>
    <x v="3"/>
    <x v="95"/>
    <x v="12"/>
    <x v="0"/>
    <n v="230"/>
    <x v="0"/>
    <x v="1"/>
    <x v="779"/>
    <x v="1"/>
    <s v="DISCOUNT ALLOWED"/>
    <s v="discount allowed"/>
    <s v="DISCOUNT ALLOWED"/>
    <s v="Discount Allowed"/>
    <s v="10/01/23"/>
  </r>
  <r>
    <s v="TXN_4765007"/>
    <s v="CUST_14"/>
    <x v="5"/>
    <x v="97"/>
    <x v="12"/>
    <x v="0"/>
    <n v="230"/>
    <x v="1"/>
    <x v="0"/>
    <x v="780"/>
    <x v="0"/>
    <s v="DISCOUNT NOT ALLOWED"/>
    <s v="discount not allowed"/>
    <s v="DISCOUNT NOT ALLOWED"/>
    <s v="Discount Not Allowed"/>
    <s v="22/04/24"/>
  </r>
  <r>
    <s v="TXN_4862103"/>
    <s v="CUST_10"/>
    <x v="3"/>
    <x v="95"/>
    <x v="12"/>
    <x v="0"/>
    <n v="230"/>
    <x v="2"/>
    <x v="0"/>
    <x v="530"/>
    <x v="1"/>
    <s v="DISCOUNT ALLOWED"/>
    <s v="discount allowed"/>
    <s v="DISCOUNT ALLOWED"/>
    <s v="Discount Allowed"/>
    <s v="25/10/22"/>
  </r>
  <r>
    <s v="TXN_5100596"/>
    <s v="CUST_04"/>
    <x v="3"/>
    <x v="95"/>
    <x v="12"/>
    <x v="0"/>
    <n v="230"/>
    <x v="2"/>
    <x v="0"/>
    <x v="728"/>
    <x v="1"/>
    <s v="DISCOUNT ALLOWED"/>
    <s v="discount allowed"/>
    <s v="DISCOUNT ALLOWED"/>
    <s v="Discount Allowed"/>
    <s v="14/06/22"/>
  </r>
  <r>
    <s v="TXN_5153387"/>
    <s v="CUST_14"/>
    <x v="5"/>
    <x v="97"/>
    <x v="12"/>
    <x v="0"/>
    <n v="230"/>
    <x v="2"/>
    <x v="0"/>
    <x v="781"/>
    <x v="0"/>
    <s v="DISCOUNT NOT ALLOWED"/>
    <s v="discount not allowed"/>
    <s v="DISCOUNT NOT ALLOWED"/>
    <s v="Discount Not Allowed"/>
    <s v="14/07/22"/>
  </r>
  <r>
    <s v="TXN_5311558"/>
    <s v="CUST_16"/>
    <x v="5"/>
    <x v="97"/>
    <x v="12"/>
    <x v="0"/>
    <n v="230"/>
    <x v="1"/>
    <x v="1"/>
    <x v="146"/>
    <x v="0"/>
    <s v="DISCOUNT NOT ALLOWED"/>
    <s v="discount not allowed"/>
    <s v="DISCOUNT NOT ALLOWED"/>
    <s v="Discount Not Allowed"/>
    <s v="06/12/24"/>
  </r>
  <r>
    <s v="TXN_5358578"/>
    <s v="CUST_16"/>
    <x v="0"/>
    <x v="98"/>
    <x v="12"/>
    <x v="0"/>
    <n v="230"/>
    <x v="2"/>
    <x v="1"/>
    <x v="18"/>
    <x v="0"/>
    <s v="DISCOUNT NOT ALLOWED"/>
    <s v="discount not allowed"/>
    <s v="DISCOUNT NOT ALLOWED"/>
    <s v="Discount Not Allowed"/>
    <s v="16/02/23"/>
  </r>
  <r>
    <s v="TXN_5364503"/>
    <s v="CUST_15"/>
    <x v="6"/>
    <x v="93"/>
    <x v="12"/>
    <x v="0"/>
    <n v="230"/>
    <x v="0"/>
    <x v="1"/>
    <x v="782"/>
    <x v="1"/>
    <s v="DISCOUNT ALLOWED"/>
    <s v="discount allowed"/>
    <s v="DISCOUNT ALLOWED"/>
    <s v="Discount Allowed"/>
    <s v="13/09/23"/>
  </r>
  <r>
    <s v="TXN_5557970"/>
    <s v="CUST_11"/>
    <x v="4"/>
    <x v="94"/>
    <x v="12"/>
    <x v="0"/>
    <n v="230"/>
    <x v="1"/>
    <x v="0"/>
    <x v="293"/>
    <x v="0"/>
    <s v="DISCOUNT NOT ALLOWED"/>
    <s v="discount not allowed"/>
    <s v="DISCOUNT NOT ALLOWED"/>
    <s v="Discount Not Allowed"/>
    <s v="16/08/24"/>
  </r>
  <r>
    <s v="TXN_5748429"/>
    <s v="CUST_24"/>
    <x v="0"/>
    <x v="98"/>
    <x v="12"/>
    <x v="0"/>
    <n v="230"/>
    <x v="0"/>
    <x v="0"/>
    <x v="38"/>
    <x v="1"/>
    <s v="DISCOUNT ALLOWED"/>
    <s v="discount allowed"/>
    <s v="DISCOUNT ALLOWED"/>
    <s v="Discount Allowed"/>
    <s v="18/02/22"/>
  </r>
  <r>
    <s v="TXN_5928216"/>
    <s v="CUST_13"/>
    <x v="3"/>
    <x v="95"/>
    <x v="12"/>
    <x v="0"/>
    <n v="230"/>
    <x v="2"/>
    <x v="1"/>
    <x v="458"/>
    <x v="0"/>
    <s v="DISCOUNT NOT ALLOWED"/>
    <s v="discount not allowed"/>
    <s v="DISCOUNT NOT ALLOWED"/>
    <s v="Discount Not Allowed"/>
    <s v="18/05/24"/>
  </r>
  <r>
    <s v="TXN_6107048"/>
    <s v="CUST_14"/>
    <x v="0"/>
    <x v="98"/>
    <x v="12"/>
    <x v="0"/>
    <n v="230"/>
    <x v="0"/>
    <x v="1"/>
    <x v="666"/>
    <x v="0"/>
    <s v="DISCOUNT NOT ALLOWED"/>
    <s v="discount not allowed"/>
    <s v="DISCOUNT NOT ALLOWED"/>
    <s v="Discount Not Allowed"/>
    <s v="19/12/23"/>
  </r>
  <r>
    <s v="TXN_6162781"/>
    <s v="CUST_09"/>
    <x v="3"/>
    <x v="95"/>
    <x v="12"/>
    <x v="0"/>
    <n v="230"/>
    <x v="2"/>
    <x v="0"/>
    <x v="228"/>
    <x v="0"/>
    <s v="DISCOUNT NOT ALLOWED"/>
    <s v="discount not allowed"/>
    <s v="DISCOUNT NOT ALLOWED"/>
    <s v="Discount Not Allowed"/>
    <s v="27/02/22"/>
  </r>
  <r>
    <s v="TXN_6323263"/>
    <s v="CUST_22"/>
    <x v="0"/>
    <x v="98"/>
    <x v="12"/>
    <x v="0"/>
    <n v="230"/>
    <x v="1"/>
    <x v="1"/>
    <x v="106"/>
    <x v="0"/>
    <s v="DISCOUNT NOT ALLOWED"/>
    <s v="discount not allowed"/>
    <s v="DISCOUNT NOT ALLOWED"/>
    <s v="Discount Not Allowed"/>
    <s v="01/09/24"/>
  </r>
  <r>
    <s v="TXN_6617830"/>
    <s v="CUST_23"/>
    <x v="7"/>
    <x v="96"/>
    <x v="12"/>
    <x v="0"/>
    <n v="230"/>
    <x v="1"/>
    <x v="1"/>
    <x v="443"/>
    <x v="0"/>
    <s v="DISCOUNT NOT ALLOWED"/>
    <s v="discount not allowed"/>
    <s v="DISCOUNT NOT ALLOWED"/>
    <s v="Discount Not Allowed"/>
    <s v="28/02/24"/>
  </r>
  <r>
    <s v="TXN_6697034"/>
    <s v="CUST_02"/>
    <x v="5"/>
    <x v="97"/>
    <x v="12"/>
    <x v="0"/>
    <n v="230"/>
    <x v="2"/>
    <x v="1"/>
    <x v="385"/>
    <x v="0"/>
    <s v="DISCOUNT NOT ALLOWED"/>
    <s v="discount not allowed"/>
    <s v="DISCOUNT NOT ALLOWED"/>
    <s v="Discount Not Allowed"/>
    <s v="28/06/22"/>
  </r>
  <r>
    <s v="TXN_7030551"/>
    <s v="CUST_18"/>
    <x v="7"/>
    <x v="96"/>
    <x v="12"/>
    <x v="0"/>
    <n v="230"/>
    <x v="1"/>
    <x v="1"/>
    <x v="393"/>
    <x v="0"/>
    <s v="DISCOUNT NOT ALLOWED"/>
    <s v="discount not allowed"/>
    <s v="DISCOUNT NOT ALLOWED"/>
    <s v="Discount Not Allowed"/>
    <s v="18/10/22"/>
  </r>
  <r>
    <s v="TXN_7764138"/>
    <s v="CUST_13"/>
    <x v="3"/>
    <x v="95"/>
    <x v="12"/>
    <x v="0"/>
    <n v="230"/>
    <x v="2"/>
    <x v="0"/>
    <x v="783"/>
    <x v="1"/>
    <s v="DISCOUNT ALLOWED"/>
    <s v="discount allowed"/>
    <s v="DISCOUNT ALLOWED"/>
    <s v="Discount Allowed"/>
    <s v="04/02/23"/>
  </r>
  <r>
    <s v="TXN_8086025"/>
    <s v="CUST_20"/>
    <x v="0"/>
    <x v="98"/>
    <x v="12"/>
    <x v="0"/>
    <n v="230"/>
    <x v="0"/>
    <x v="1"/>
    <x v="120"/>
    <x v="1"/>
    <s v="DISCOUNT ALLOWED"/>
    <s v="discount allowed"/>
    <s v="DISCOUNT ALLOWED"/>
    <s v="Discount Allowed"/>
    <s v="10/05/22"/>
  </r>
  <r>
    <s v="TXN_8151553"/>
    <s v="CUST_12"/>
    <x v="6"/>
    <x v="93"/>
    <x v="12"/>
    <x v="0"/>
    <n v="230"/>
    <x v="0"/>
    <x v="1"/>
    <x v="784"/>
    <x v="0"/>
    <s v="DISCOUNT NOT ALLOWED"/>
    <s v="discount not allowed"/>
    <s v="DISCOUNT NOT ALLOWED"/>
    <s v="Discount Not Allowed"/>
    <s v="17/06/23"/>
  </r>
  <r>
    <s v="TXN_8636007"/>
    <s v="CUST_06"/>
    <x v="1"/>
    <x v="99"/>
    <x v="12"/>
    <x v="0"/>
    <n v="230"/>
    <x v="1"/>
    <x v="0"/>
    <x v="740"/>
    <x v="0"/>
    <s v="DISCOUNT NOT ALLOWED"/>
    <s v="discount not allowed"/>
    <s v="DISCOUNT NOT ALLOWED"/>
    <s v="Discount Not Allowed"/>
    <s v="04/09/22"/>
  </r>
  <r>
    <s v="TXN_8732641"/>
    <s v="CUST_03"/>
    <x v="5"/>
    <x v="97"/>
    <x v="12"/>
    <x v="0"/>
    <n v="230"/>
    <x v="1"/>
    <x v="0"/>
    <x v="290"/>
    <x v="1"/>
    <s v="DISCOUNT ALLOWED"/>
    <s v="discount allowed"/>
    <s v="DISCOUNT ALLOWED"/>
    <s v="Discount Allowed"/>
    <s v="30/09/23"/>
  </r>
  <r>
    <s v="TXN_8851575"/>
    <s v="CUST_02"/>
    <x v="0"/>
    <x v="98"/>
    <x v="12"/>
    <x v="0"/>
    <n v="230"/>
    <x v="1"/>
    <x v="1"/>
    <x v="708"/>
    <x v="0"/>
    <s v="DISCOUNT NOT ALLOWED"/>
    <s v="discount not allowed"/>
    <s v="DISCOUNT NOT ALLOWED"/>
    <s v="Discount Not Allowed"/>
    <s v="30/04/24"/>
  </r>
  <r>
    <s v="TXN_8976767"/>
    <s v="CUST_13"/>
    <x v="3"/>
    <x v="95"/>
    <x v="12"/>
    <x v="0"/>
    <n v="230"/>
    <x v="1"/>
    <x v="0"/>
    <x v="405"/>
    <x v="0"/>
    <s v="DISCOUNT NOT ALLOWED"/>
    <s v="discount not allowed"/>
    <s v="DISCOUNT NOT ALLOWED"/>
    <s v="Discount Not Allowed"/>
    <s v="28/10/22"/>
  </r>
  <r>
    <s v="TXN_9140667"/>
    <s v="CUST_15"/>
    <x v="6"/>
    <x v="93"/>
    <x v="12"/>
    <x v="0"/>
    <n v="230"/>
    <x v="2"/>
    <x v="1"/>
    <x v="62"/>
    <x v="1"/>
    <s v="DISCOUNT ALLOWED"/>
    <s v="discount allowed"/>
    <s v="DISCOUNT ALLOWED"/>
    <s v="Discount Allowed"/>
    <s v="26/06/23"/>
  </r>
  <r>
    <s v="TXN_9152328"/>
    <s v="CUST_06"/>
    <x v="4"/>
    <x v="94"/>
    <x v="12"/>
    <x v="0"/>
    <n v="230"/>
    <x v="0"/>
    <x v="1"/>
    <x v="785"/>
    <x v="0"/>
    <s v="DISCOUNT NOT ALLOWED"/>
    <s v="discount not allowed"/>
    <s v="DISCOUNT NOT ALLOWED"/>
    <s v="Discount Not Allowed"/>
    <s v="30/03/22"/>
  </r>
  <r>
    <s v="TXN_9572486"/>
    <s v="CUST_16"/>
    <x v="4"/>
    <x v="94"/>
    <x v="12"/>
    <x v="0"/>
    <n v="230"/>
    <x v="1"/>
    <x v="1"/>
    <x v="593"/>
    <x v="0"/>
    <s v="DISCOUNT NOT ALLOWED"/>
    <s v="discount not allowed"/>
    <s v="DISCOUNT NOT ALLOWED"/>
    <s v="Discount Not Allowed"/>
    <s v="10/07/22"/>
  </r>
  <r>
    <s v="TXN_1021697"/>
    <s v="CUST_18"/>
    <x v="7"/>
    <x v="21"/>
    <x v="2"/>
    <x v="4"/>
    <n v="228"/>
    <x v="1"/>
    <x v="0"/>
    <x v="67"/>
    <x v="1"/>
    <s v="DISCOUNT ALLOWED"/>
    <s v="discount allowed"/>
    <s v="DISCOUNT ALLOWED"/>
    <s v="Discount Allowed"/>
    <s v="18/08/22"/>
  </r>
  <r>
    <s v="TXN_1078382"/>
    <s v="CUST_15"/>
    <x v="3"/>
    <x v="16"/>
    <x v="2"/>
    <x v="4"/>
    <n v="228"/>
    <x v="2"/>
    <x v="0"/>
    <x v="391"/>
    <x v="0"/>
    <s v="DISCOUNT NOT ALLOWED"/>
    <s v="discount not allowed"/>
    <s v="DISCOUNT NOT ALLOWED"/>
    <s v="Discount Not Allowed"/>
    <s v="08/07/22"/>
  </r>
  <r>
    <s v="TXN_1796772"/>
    <s v="CUST_09"/>
    <x v="0"/>
    <x v="17"/>
    <x v="2"/>
    <x v="4"/>
    <n v="228"/>
    <x v="0"/>
    <x v="1"/>
    <x v="409"/>
    <x v="1"/>
    <s v="DISCOUNT ALLOWED"/>
    <s v="discount allowed"/>
    <s v="DISCOUNT ALLOWED"/>
    <s v="Discount Allowed"/>
    <s v="13/07/23"/>
  </r>
  <r>
    <s v="TXN_2081389"/>
    <s v="CUST_05"/>
    <x v="0"/>
    <x v="17"/>
    <x v="2"/>
    <x v="4"/>
    <n v="228"/>
    <x v="0"/>
    <x v="1"/>
    <x v="429"/>
    <x v="0"/>
    <s v="DISCOUNT NOT ALLOWED"/>
    <s v="discount not allowed"/>
    <s v="DISCOUNT NOT ALLOWED"/>
    <s v="Discount Not Allowed"/>
    <s v="18/03/24"/>
  </r>
  <r>
    <s v="TXN_2163627"/>
    <s v="CUST_18"/>
    <x v="0"/>
    <x v="17"/>
    <x v="2"/>
    <x v="4"/>
    <n v="228"/>
    <x v="1"/>
    <x v="0"/>
    <x v="786"/>
    <x v="1"/>
    <s v="DISCOUNT ALLOWED"/>
    <s v="discount allowed"/>
    <s v="DISCOUNT ALLOWED"/>
    <s v="Discount Allowed"/>
    <s v="07/08/22"/>
  </r>
  <r>
    <s v="TXN_2231888"/>
    <s v="CUST_24"/>
    <x v="7"/>
    <x v="21"/>
    <x v="2"/>
    <x v="4"/>
    <n v="228"/>
    <x v="1"/>
    <x v="1"/>
    <x v="82"/>
    <x v="0"/>
    <s v="DISCOUNT NOT ALLOWED"/>
    <s v="discount not allowed"/>
    <s v="DISCOUNT NOT ALLOWED"/>
    <s v="Discount Not Allowed"/>
    <s v="07/10/24"/>
  </r>
  <r>
    <s v="TXN_2558768"/>
    <s v="CUST_04"/>
    <x v="5"/>
    <x v="15"/>
    <x v="2"/>
    <x v="4"/>
    <n v="228"/>
    <x v="2"/>
    <x v="1"/>
    <x v="319"/>
    <x v="1"/>
    <s v="DISCOUNT ALLOWED"/>
    <s v="discount allowed"/>
    <s v="DISCOUNT ALLOWED"/>
    <s v="Discount Allowed"/>
    <s v="22/12/23"/>
  </r>
  <r>
    <s v="TXN_3115030"/>
    <s v="CUST_20"/>
    <x v="2"/>
    <x v="20"/>
    <x v="2"/>
    <x v="4"/>
    <n v="228"/>
    <x v="2"/>
    <x v="0"/>
    <x v="787"/>
    <x v="0"/>
    <s v="DISCOUNT NOT ALLOWED"/>
    <s v="discount not allowed"/>
    <s v="DISCOUNT NOT ALLOWED"/>
    <s v="Discount Not Allowed"/>
    <s v="11/06/24"/>
  </r>
  <r>
    <s v="TXN_3692324"/>
    <s v="CUST_25"/>
    <x v="7"/>
    <x v="21"/>
    <x v="2"/>
    <x v="4"/>
    <n v="228"/>
    <x v="1"/>
    <x v="0"/>
    <x v="22"/>
    <x v="1"/>
    <s v="DISCOUNT ALLOWED"/>
    <s v="discount allowed"/>
    <s v="DISCOUNT ALLOWED"/>
    <s v="Discount Allowed"/>
    <s v="24/01/24"/>
  </r>
  <r>
    <s v="TXN_4178874"/>
    <s v="CUST_10"/>
    <x v="3"/>
    <x v="16"/>
    <x v="2"/>
    <x v="4"/>
    <n v="228"/>
    <x v="0"/>
    <x v="1"/>
    <x v="772"/>
    <x v="1"/>
    <s v="DISCOUNT ALLOWED"/>
    <s v="discount allowed"/>
    <s v="DISCOUNT ALLOWED"/>
    <s v="Discount Allowed"/>
    <s v="19/07/22"/>
  </r>
  <r>
    <s v="TXN_4422759"/>
    <s v="CUST_21"/>
    <x v="5"/>
    <x v="15"/>
    <x v="2"/>
    <x v="4"/>
    <n v="228"/>
    <x v="1"/>
    <x v="1"/>
    <x v="656"/>
    <x v="0"/>
    <s v="DISCOUNT NOT ALLOWED"/>
    <s v="discount not allowed"/>
    <s v="DISCOUNT NOT ALLOWED"/>
    <s v="Discount Not Allowed"/>
    <s v="06/01/25"/>
  </r>
  <r>
    <s v="TXN_4558801"/>
    <s v="CUST_08"/>
    <x v="5"/>
    <x v="15"/>
    <x v="2"/>
    <x v="4"/>
    <n v="228"/>
    <x v="1"/>
    <x v="1"/>
    <x v="345"/>
    <x v="0"/>
    <s v="DISCOUNT NOT ALLOWED"/>
    <s v="discount not allowed"/>
    <s v="DISCOUNT NOT ALLOWED"/>
    <s v="Discount Not Allowed"/>
    <s v="12/05/24"/>
  </r>
  <r>
    <s v="TXN_5746841"/>
    <s v="CUST_16"/>
    <x v="3"/>
    <x v="16"/>
    <x v="2"/>
    <x v="4"/>
    <n v="228"/>
    <x v="2"/>
    <x v="1"/>
    <x v="563"/>
    <x v="1"/>
    <s v="DISCOUNT ALLOWED"/>
    <s v="discount allowed"/>
    <s v="DISCOUNT ALLOWED"/>
    <s v="Discount Allowed"/>
    <s v="03/10/24"/>
  </r>
  <r>
    <s v="TXN_5990910"/>
    <s v="CUST_05"/>
    <x v="4"/>
    <x v="22"/>
    <x v="2"/>
    <x v="4"/>
    <n v="228"/>
    <x v="1"/>
    <x v="0"/>
    <x v="142"/>
    <x v="1"/>
    <s v="DISCOUNT ALLOWED"/>
    <s v="discount allowed"/>
    <s v="DISCOUNT ALLOWED"/>
    <s v="Discount Allowed"/>
    <s v="02/08/24"/>
  </r>
  <r>
    <s v="TXN_6334198"/>
    <s v="CUST_04"/>
    <x v="0"/>
    <x v="17"/>
    <x v="2"/>
    <x v="4"/>
    <n v="228"/>
    <x v="2"/>
    <x v="1"/>
    <x v="680"/>
    <x v="0"/>
    <s v="DISCOUNT NOT ALLOWED"/>
    <s v="discount not allowed"/>
    <s v="DISCOUNT NOT ALLOWED"/>
    <s v="Discount Not Allowed"/>
    <s v="02/03/23"/>
  </r>
  <r>
    <s v="TXN_6615966"/>
    <s v="CUST_17"/>
    <x v="0"/>
    <x v="17"/>
    <x v="2"/>
    <x v="4"/>
    <n v="228"/>
    <x v="1"/>
    <x v="0"/>
    <x v="788"/>
    <x v="1"/>
    <s v="DISCOUNT ALLOWED"/>
    <s v="discount allowed"/>
    <s v="DISCOUNT ALLOWED"/>
    <s v="Discount Allowed"/>
    <s v="05/09/23"/>
  </r>
  <r>
    <s v="TXN_6871081"/>
    <s v="CUST_18"/>
    <x v="1"/>
    <x v="19"/>
    <x v="2"/>
    <x v="4"/>
    <n v="228"/>
    <x v="1"/>
    <x v="0"/>
    <x v="789"/>
    <x v="1"/>
    <s v="DISCOUNT ALLOWED"/>
    <s v="discount allowed"/>
    <s v="DISCOUNT ALLOWED"/>
    <s v="Discount Allowed"/>
    <s v="24/09/23"/>
  </r>
  <r>
    <s v="TXN_7141723"/>
    <s v="CUST_01"/>
    <x v="3"/>
    <x v="16"/>
    <x v="2"/>
    <x v="4"/>
    <n v="228"/>
    <x v="1"/>
    <x v="0"/>
    <x v="790"/>
    <x v="0"/>
    <s v="DISCOUNT NOT ALLOWED"/>
    <s v="discount not allowed"/>
    <s v="DISCOUNT NOT ALLOWED"/>
    <s v="Discount Not Allowed"/>
    <s v="31/10/22"/>
  </r>
  <r>
    <s v="TXN_7220136"/>
    <s v="CUST_12"/>
    <x v="3"/>
    <x v="16"/>
    <x v="2"/>
    <x v="4"/>
    <n v="228"/>
    <x v="1"/>
    <x v="1"/>
    <x v="608"/>
    <x v="0"/>
    <s v="DISCOUNT NOT ALLOWED"/>
    <s v="discount not allowed"/>
    <s v="DISCOUNT NOT ALLOWED"/>
    <s v="Discount Not Allowed"/>
    <s v="19/11/22"/>
  </r>
  <r>
    <s v="TXN_7691551"/>
    <s v="CUST_22"/>
    <x v="3"/>
    <x v="16"/>
    <x v="2"/>
    <x v="4"/>
    <n v="228"/>
    <x v="1"/>
    <x v="0"/>
    <x v="791"/>
    <x v="1"/>
    <s v="DISCOUNT ALLOWED"/>
    <s v="discount allowed"/>
    <s v="DISCOUNT ALLOWED"/>
    <s v="Discount Allowed"/>
    <s v="25/11/23"/>
  </r>
  <r>
    <s v="TXN_7722346"/>
    <s v="CUST_02"/>
    <x v="2"/>
    <x v="20"/>
    <x v="2"/>
    <x v="4"/>
    <n v="228"/>
    <x v="2"/>
    <x v="1"/>
    <x v="792"/>
    <x v="0"/>
    <s v="DISCOUNT NOT ALLOWED"/>
    <s v="discount not allowed"/>
    <s v="DISCOUNT NOT ALLOWED"/>
    <s v="Discount Not Allowed"/>
    <s v="10/11/23"/>
  </r>
  <r>
    <s v="TXN_7876532"/>
    <s v="CUST_12"/>
    <x v="7"/>
    <x v="21"/>
    <x v="2"/>
    <x v="4"/>
    <n v="228"/>
    <x v="2"/>
    <x v="0"/>
    <x v="551"/>
    <x v="0"/>
    <s v="DISCOUNT NOT ALLOWED"/>
    <s v="discount not allowed"/>
    <s v="DISCOUNT NOT ALLOWED"/>
    <s v="Discount Not Allowed"/>
    <s v="01/12/24"/>
  </r>
  <r>
    <s v="TXN_8127659"/>
    <s v="CUST_15"/>
    <x v="1"/>
    <x v="19"/>
    <x v="2"/>
    <x v="4"/>
    <n v="228"/>
    <x v="0"/>
    <x v="0"/>
    <x v="301"/>
    <x v="1"/>
    <s v="DISCOUNT ALLOWED"/>
    <s v="discount allowed"/>
    <s v="DISCOUNT ALLOWED"/>
    <s v="Discount Allowed"/>
    <s v="15/04/22"/>
  </r>
  <r>
    <s v="TXN_8148435"/>
    <s v="CUST_24"/>
    <x v="5"/>
    <x v="15"/>
    <x v="2"/>
    <x v="4"/>
    <n v="228"/>
    <x v="2"/>
    <x v="0"/>
    <x v="746"/>
    <x v="1"/>
    <s v="DISCOUNT ALLOWED"/>
    <s v="discount allowed"/>
    <s v="DISCOUNT ALLOWED"/>
    <s v="Discount Allowed"/>
    <s v="20/01/24"/>
  </r>
  <r>
    <s v="TXN_8192888"/>
    <s v="CUST_21"/>
    <x v="2"/>
    <x v="20"/>
    <x v="2"/>
    <x v="4"/>
    <n v="228"/>
    <x v="2"/>
    <x v="1"/>
    <x v="793"/>
    <x v="0"/>
    <s v="DISCOUNT NOT ALLOWED"/>
    <s v="discount not allowed"/>
    <s v="DISCOUNT NOT ALLOWED"/>
    <s v="Discount Not Allowed"/>
    <s v="01/03/24"/>
  </r>
  <r>
    <s v="TXN_8283332"/>
    <s v="CUST_16"/>
    <x v="1"/>
    <x v="19"/>
    <x v="2"/>
    <x v="4"/>
    <n v="228"/>
    <x v="1"/>
    <x v="0"/>
    <x v="448"/>
    <x v="0"/>
    <s v="DISCOUNT NOT ALLOWED"/>
    <s v="discount not allowed"/>
    <s v="DISCOUNT NOT ALLOWED"/>
    <s v="Discount Not Allowed"/>
    <s v="13/11/23"/>
  </r>
  <r>
    <s v="TXN_8377069"/>
    <s v="CUST_20"/>
    <x v="0"/>
    <x v="17"/>
    <x v="2"/>
    <x v="4"/>
    <n v="228"/>
    <x v="0"/>
    <x v="0"/>
    <x v="635"/>
    <x v="0"/>
    <s v="DISCOUNT NOT ALLOWED"/>
    <s v="discount not allowed"/>
    <s v="DISCOUNT NOT ALLOWED"/>
    <s v="Discount Not Allowed"/>
    <s v="26/11/23"/>
  </r>
  <r>
    <s v="TXN_8796421"/>
    <s v="CUST_20"/>
    <x v="6"/>
    <x v="18"/>
    <x v="2"/>
    <x v="4"/>
    <n v="228"/>
    <x v="1"/>
    <x v="0"/>
    <x v="584"/>
    <x v="0"/>
    <s v="DISCOUNT NOT ALLOWED"/>
    <s v="discount not allowed"/>
    <s v="DISCOUNT NOT ALLOWED"/>
    <s v="Discount Not Allowed"/>
    <s v="08/04/23"/>
  </r>
  <r>
    <s v="TXN_9538673"/>
    <s v="CUST_15"/>
    <x v="3"/>
    <x v="16"/>
    <x v="2"/>
    <x v="4"/>
    <n v="228"/>
    <x v="1"/>
    <x v="0"/>
    <x v="457"/>
    <x v="1"/>
    <s v="DISCOUNT ALLOWED"/>
    <s v="discount allowed"/>
    <s v="DISCOUNT ALLOWED"/>
    <s v="Discount Allowed"/>
    <s v="21/01/22"/>
  </r>
  <r>
    <s v="TXN_9657809"/>
    <s v="CUST_17"/>
    <x v="1"/>
    <x v="19"/>
    <x v="2"/>
    <x v="4"/>
    <n v="228"/>
    <x v="0"/>
    <x v="1"/>
    <x v="660"/>
    <x v="1"/>
    <s v="DISCOUNT ALLOWED"/>
    <s v="discount allowed"/>
    <s v="DISCOUNT ALLOWED"/>
    <s v="Discount Allowed"/>
    <s v="25/04/22"/>
  </r>
  <r>
    <s v="TXN_9709127"/>
    <s v="CUST_06"/>
    <x v="4"/>
    <x v="22"/>
    <x v="2"/>
    <x v="4"/>
    <n v="228"/>
    <x v="1"/>
    <x v="1"/>
    <x v="794"/>
    <x v="1"/>
    <s v="DISCOUNT ALLOWED"/>
    <s v="discount allowed"/>
    <s v="DISCOUNT ALLOWED"/>
    <s v="Discount Allowed"/>
    <s v="19/02/24"/>
  </r>
  <r>
    <s v="TXN_1188804"/>
    <s v="CUST_02"/>
    <x v="6"/>
    <x v="49"/>
    <x v="6"/>
    <x v="3"/>
    <n v="224"/>
    <x v="0"/>
    <x v="0"/>
    <x v="34"/>
    <x v="1"/>
    <s v="DISCOUNT ALLOWED"/>
    <s v="discount allowed"/>
    <s v="DISCOUNT ALLOWED"/>
    <s v="Discount Allowed"/>
    <s v="27/01/24"/>
  </r>
  <r>
    <s v="TXN_1716938"/>
    <s v="CUST_15"/>
    <x v="0"/>
    <x v="47"/>
    <x v="6"/>
    <x v="3"/>
    <n v="224"/>
    <x v="0"/>
    <x v="0"/>
    <x v="119"/>
    <x v="0"/>
    <s v="DISCOUNT NOT ALLOWED"/>
    <s v="discount not allowed"/>
    <s v="DISCOUNT NOT ALLOWED"/>
    <s v="Discount Not Allowed"/>
    <s v="24/12/23"/>
  </r>
  <r>
    <s v="TXN_1763880"/>
    <s v="CUST_25"/>
    <x v="1"/>
    <x v="50"/>
    <x v="6"/>
    <x v="3"/>
    <n v="224"/>
    <x v="0"/>
    <x v="0"/>
    <x v="185"/>
    <x v="0"/>
    <s v="DISCOUNT NOT ALLOWED"/>
    <s v="discount not allowed"/>
    <s v="DISCOUNT NOT ALLOWED"/>
    <s v="Discount Not Allowed"/>
    <s v="08/08/24"/>
  </r>
  <r>
    <s v="TXN_1896794"/>
    <s v="CUST_18"/>
    <x v="2"/>
    <x v="85"/>
    <x v="6"/>
    <x v="3"/>
    <n v="224"/>
    <x v="2"/>
    <x v="0"/>
    <x v="795"/>
    <x v="1"/>
    <s v="DISCOUNT ALLOWED"/>
    <s v="discount allowed"/>
    <s v="DISCOUNT ALLOWED"/>
    <s v="Discount Allowed"/>
    <s v="23/10/23"/>
  </r>
  <r>
    <s v="TXN_2907353"/>
    <s v="CUST_09"/>
    <x v="3"/>
    <x v="46"/>
    <x v="6"/>
    <x v="3"/>
    <n v="224"/>
    <x v="0"/>
    <x v="1"/>
    <x v="796"/>
    <x v="0"/>
    <s v="DISCOUNT NOT ALLOWED"/>
    <s v="discount not allowed"/>
    <s v="DISCOUNT NOT ALLOWED"/>
    <s v="Discount Not Allowed"/>
    <s v="14/03/23"/>
  </r>
  <r>
    <s v="TXN_3788122"/>
    <s v="CUST_24"/>
    <x v="0"/>
    <x v="47"/>
    <x v="6"/>
    <x v="3"/>
    <n v="224"/>
    <x v="1"/>
    <x v="0"/>
    <x v="20"/>
    <x v="0"/>
    <s v="DISCOUNT NOT ALLOWED"/>
    <s v="discount not allowed"/>
    <s v="DISCOUNT NOT ALLOWED"/>
    <s v="Discount Not Allowed"/>
    <s v="24/12/24"/>
  </r>
  <r>
    <s v="TXN_4237426"/>
    <s v="CUST_13"/>
    <x v="6"/>
    <x v="49"/>
    <x v="6"/>
    <x v="3"/>
    <n v="224"/>
    <x v="0"/>
    <x v="0"/>
    <x v="797"/>
    <x v="1"/>
    <s v="DISCOUNT ALLOWED"/>
    <s v="discount allowed"/>
    <s v="DISCOUNT ALLOWED"/>
    <s v="Discount Allowed"/>
    <s v="24/01/22"/>
  </r>
  <r>
    <s v="TXN_4274237"/>
    <s v="CUST_05"/>
    <x v="2"/>
    <x v="85"/>
    <x v="6"/>
    <x v="3"/>
    <n v="224"/>
    <x v="1"/>
    <x v="1"/>
    <x v="635"/>
    <x v="1"/>
    <s v="DISCOUNT ALLOWED"/>
    <s v="discount allowed"/>
    <s v="DISCOUNT ALLOWED"/>
    <s v="Discount Allowed"/>
    <s v="26/11/23"/>
  </r>
  <r>
    <s v="TXN_4425254"/>
    <s v="CUST_19"/>
    <x v="0"/>
    <x v="47"/>
    <x v="6"/>
    <x v="3"/>
    <n v="224"/>
    <x v="1"/>
    <x v="0"/>
    <x v="798"/>
    <x v="1"/>
    <s v="DISCOUNT ALLOWED"/>
    <s v="discount allowed"/>
    <s v="DISCOUNT ALLOWED"/>
    <s v="Discount Allowed"/>
    <s v="09/01/24"/>
  </r>
  <r>
    <s v="TXN_4620709"/>
    <s v="CUST_22"/>
    <x v="0"/>
    <x v="47"/>
    <x v="6"/>
    <x v="3"/>
    <n v="224"/>
    <x v="1"/>
    <x v="1"/>
    <x v="499"/>
    <x v="1"/>
    <s v="DISCOUNT ALLOWED"/>
    <s v="discount allowed"/>
    <s v="DISCOUNT ALLOWED"/>
    <s v="Discount Allowed"/>
    <s v="12/04/22"/>
  </r>
  <r>
    <s v="TXN_5217730"/>
    <s v="CUST_16"/>
    <x v="6"/>
    <x v="49"/>
    <x v="6"/>
    <x v="3"/>
    <n v="224"/>
    <x v="2"/>
    <x v="0"/>
    <x v="799"/>
    <x v="0"/>
    <s v="DISCOUNT NOT ALLOWED"/>
    <s v="discount not allowed"/>
    <s v="DISCOUNT NOT ALLOWED"/>
    <s v="Discount Not Allowed"/>
    <s v="30/10/24"/>
  </r>
  <r>
    <s v="TXN_5343433"/>
    <s v="CUST_20"/>
    <x v="6"/>
    <x v="49"/>
    <x v="6"/>
    <x v="3"/>
    <n v="224"/>
    <x v="2"/>
    <x v="0"/>
    <x v="196"/>
    <x v="1"/>
    <s v="DISCOUNT ALLOWED"/>
    <s v="discount allowed"/>
    <s v="DISCOUNT ALLOWED"/>
    <s v="Discount Allowed"/>
    <s v="11/12/22"/>
  </r>
  <r>
    <s v="TXN_5486882"/>
    <s v="CUST_01"/>
    <x v="0"/>
    <x v="47"/>
    <x v="6"/>
    <x v="3"/>
    <n v="224"/>
    <x v="1"/>
    <x v="1"/>
    <x v="800"/>
    <x v="0"/>
    <s v="DISCOUNT NOT ALLOWED"/>
    <s v="discount not allowed"/>
    <s v="DISCOUNT NOT ALLOWED"/>
    <s v="Discount Not Allowed"/>
    <s v="06/05/22"/>
  </r>
  <r>
    <s v="TXN_5678403"/>
    <s v="CUST_04"/>
    <x v="6"/>
    <x v="49"/>
    <x v="6"/>
    <x v="3"/>
    <n v="224"/>
    <x v="1"/>
    <x v="1"/>
    <x v="620"/>
    <x v="0"/>
    <s v="DISCOUNT NOT ALLOWED"/>
    <s v="discount not allowed"/>
    <s v="DISCOUNT NOT ALLOWED"/>
    <s v="Discount Not Allowed"/>
    <s v="19/09/23"/>
  </r>
  <r>
    <s v="TXN_6342314"/>
    <s v="CUST_25"/>
    <x v="7"/>
    <x v="45"/>
    <x v="6"/>
    <x v="3"/>
    <n v="224"/>
    <x v="0"/>
    <x v="0"/>
    <x v="377"/>
    <x v="1"/>
    <s v="DISCOUNT ALLOWED"/>
    <s v="discount allowed"/>
    <s v="DISCOUNT ALLOWED"/>
    <s v="Discount Allowed"/>
    <s v="27/05/23"/>
  </r>
  <r>
    <s v="TXN_6494987"/>
    <s v="CUST_21"/>
    <x v="1"/>
    <x v="50"/>
    <x v="6"/>
    <x v="3"/>
    <n v="224"/>
    <x v="2"/>
    <x v="0"/>
    <x v="314"/>
    <x v="1"/>
    <s v="DISCOUNT ALLOWED"/>
    <s v="discount allowed"/>
    <s v="DISCOUNT ALLOWED"/>
    <s v="Discount Allowed"/>
    <s v="04/05/22"/>
  </r>
  <r>
    <s v="TXN_6522171"/>
    <s v="CUST_24"/>
    <x v="1"/>
    <x v="50"/>
    <x v="6"/>
    <x v="3"/>
    <n v="224"/>
    <x v="0"/>
    <x v="1"/>
    <x v="703"/>
    <x v="0"/>
    <s v="DISCOUNT NOT ALLOWED"/>
    <s v="discount not allowed"/>
    <s v="DISCOUNT NOT ALLOWED"/>
    <s v="Discount Not Allowed"/>
    <s v="31/01/24"/>
  </r>
  <r>
    <s v="TXN_6651159"/>
    <s v="CUST_15"/>
    <x v="6"/>
    <x v="49"/>
    <x v="6"/>
    <x v="3"/>
    <n v="224"/>
    <x v="2"/>
    <x v="0"/>
    <x v="801"/>
    <x v="0"/>
    <s v="DISCOUNT NOT ALLOWED"/>
    <s v="discount not allowed"/>
    <s v="DISCOUNT NOT ALLOWED"/>
    <s v="Discount Not Allowed"/>
    <s v="22/12/22"/>
  </r>
  <r>
    <s v="TXN_6980255"/>
    <s v="CUST_01"/>
    <x v="6"/>
    <x v="49"/>
    <x v="6"/>
    <x v="3"/>
    <n v="224"/>
    <x v="0"/>
    <x v="0"/>
    <x v="482"/>
    <x v="1"/>
    <s v="DISCOUNT ALLOWED"/>
    <s v="discount allowed"/>
    <s v="DISCOUNT ALLOWED"/>
    <s v="Discount Allowed"/>
    <s v="03/03/23"/>
  </r>
  <r>
    <s v="TXN_7797790"/>
    <s v="CUST_24"/>
    <x v="1"/>
    <x v="50"/>
    <x v="6"/>
    <x v="3"/>
    <n v="224"/>
    <x v="0"/>
    <x v="0"/>
    <x v="506"/>
    <x v="1"/>
    <s v="DISCOUNT ALLOWED"/>
    <s v="discount allowed"/>
    <s v="DISCOUNT ALLOWED"/>
    <s v="Discount Allowed"/>
    <s v="09/10/22"/>
  </r>
  <r>
    <s v="TXN_8211512"/>
    <s v="CUST_09"/>
    <x v="5"/>
    <x v="48"/>
    <x v="6"/>
    <x v="3"/>
    <n v="224"/>
    <x v="0"/>
    <x v="0"/>
    <x v="802"/>
    <x v="1"/>
    <s v="DISCOUNT ALLOWED"/>
    <s v="discount allowed"/>
    <s v="DISCOUNT ALLOWED"/>
    <s v="Discount Allowed"/>
    <s v="05/10/24"/>
  </r>
  <r>
    <s v="TXN_8322513"/>
    <s v="CUST_12"/>
    <x v="5"/>
    <x v="48"/>
    <x v="6"/>
    <x v="3"/>
    <n v="224"/>
    <x v="1"/>
    <x v="0"/>
    <x v="630"/>
    <x v="0"/>
    <s v="DISCOUNT NOT ALLOWED"/>
    <s v="discount not allowed"/>
    <s v="DISCOUNT NOT ALLOWED"/>
    <s v="Discount Not Allowed"/>
    <s v="10/07/24"/>
  </r>
  <r>
    <s v="TXN_8678788"/>
    <s v="CUST_24"/>
    <x v="6"/>
    <x v="49"/>
    <x v="6"/>
    <x v="3"/>
    <n v="224"/>
    <x v="0"/>
    <x v="0"/>
    <x v="401"/>
    <x v="0"/>
    <s v="DISCOUNT NOT ALLOWED"/>
    <s v="discount not allowed"/>
    <s v="DISCOUNT NOT ALLOWED"/>
    <s v="Discount Not Allowed"/>
    <s v="25/08/23"/>
  </r>
  <r>
    <s v="TXN_8845175"/>
    <s v="CUST_06"/>
    <x v="4"/>
    <x v="69"/>
    <x v="6"/>
    <x v="3"/>
    <n v="224"/>
    <x v="0"/>
    <x v="1"/>
    <x v="369"/>
    <x v="0"/>
    <s v="DISCOUNT NOT ALLOWED"/>
    <s v="discount not allowed"/>
    <s v="DISCOUNT NOT ALLOWED"/>
    <s v="Discount Not Allowed"/>
    <s v="05/10/23"/>
  </r>
  <r>
    <s v="TXN_9025455"/>
    <s v="CUST_01"/>
    <x v="3"/>
    <x v="46"/>
    <x v="6"/>
    <x v="3"/>
    <n v="224"/>
    <x v="1"/>
    <x v="0"/>
    <x v="215"/>
    <x v="1"/>
    <s v="DISCOUNT ALLOWED"/>
    <s v="discount allowed"/>
    <s v="DISCOUNT ALLOWED"/>
    <s v="Discount Allowed"/>
    <s v="13/05/22"/>
  </r>
  <r>
    <s v="TXN_9401576"/>
    <s v="CUST_18"/>
    <x v="2"/>
    <x v="85"/>
    <x v="6"/>
    <x v="3"/>
    <n v="224"/>
    <x v="2"/>
    <x v="1"/>
    <x v="491"/>
    <x v="1"/>
    <s v="DISCOUNT ALLOWED"/>
    <s v="discount allowed"/>
    <s v="DISCOUNT ALLOWED"/>
    <s v="Discount Allowed"/>
    <s v="01/01/23"/>
  </r>
  <r>
    <s v="TXN_1014253"/>
    <s v="CUST_01"/>
    <x v="2"/>
    <x v="90"/>
    <x v="11"/>
    <x v="1"/>
    <n v="220.5"/>
    <x v="2"/>
    <x v="1"/>
    <x v="283"/>
    <x v="1"/>
    <s v="DISCOUNT ALLOWED"/>
    <s v="discount allowed"/>
    <s v="DISCOUNT ALLOWED"/>
    <s v="Discount Allowed"/>
    <s v="15/01/23"/>
  </r>
  <r>
    <s v="TXN_1778326"/>
    <s v="CUST_20"/>
    <x v="6"/>
    <x v="88"/>
    <x v="11"/>
    <x v="1"/>
    <n v="220.5"/>
    <x v="2"/>
    <x v="1"/>
    <x v="73"/>
    <x v="0"/>
    <s v="DISCOUNT NOT ALLOWED"/>
    <s v="discount not allowed"/>
    <s v="DISCOUNT NOT ALLOWED"/>
    <s v="Discount Not Allowed"/>
    <s v="01/09/23"/>
  </r>
  <r>
    <s v="TXN_2102550"/>
    <s v="CUST_03"/>
    <x v="1"/>
    <x v="89"/>
    <x v="11"/>
    <x v="1"/>
    <n v="220.5"/>
    <x v="2"/>
    <x v="1"/>
    <x v="395"/>
    <x v="0"/>
    <s v="DISCOUNT NOT ALLOWED"/>
    <s v="discount not allowed"/>
    <s v="DISCOUNT NOT ALLOWED"/>
    <s v="Discount Not Allowed"/>
    <s v="21/06/22"/>
  </r>
  <r>
    <s v="TXN_2680015"/>
    <s v="CUST_02"/>
    <x v="3"/>
    <x v="92"/>
    <x v="11"/>
    <x v="1"/>
    <n v="220.5"/>
    <x v="2"/>
    <x v="0"/>
    <x v="803"/>
    <x v="0"/>
    <s v="DISCOUNT NOT ALLOWED"/>
    <s v="discount not allowed"/>
    <s v="DISCOUNT NOT ALLOWED"/>
    <s v="Discount Not Allowed"/>
    <s v="24/04/22"/>
  </r>
  <r>
    <s v="TXN_2973718"/>
    <s v="CUST_16"/>
    <x v="6"/>
    <x v="88"/>
    <x v="11"/>
    <x v="1"/>
    <n v="220.5"/>
    <x v="2"/>
    <x v="1"/>
    <x v="153"/>
    <x v="1"/>
    <s v="DISCOUNT ALLOWED"/>
    <s v="discount allowed"/>
    <s v="DISCOUNT ALLOWED"/>
    <s v="Discount Allowed"/>
    <s v="28/05/23"/>
  </r>
  <r>
    <s v="TXN_3147712"/>
    <s v="CUST_23"/>
    <x v="7"/>
    <x v="86"/>
    <x v="11"/>
    <x v="1"/>
    <n v="220.5"/>
    <x v="0"/>
    <x v="0"/>
    <x v="514"/>
    <x v="0"/>
    <s v="DISCOUNT NOT ALLOWED"/>
    <s v="discount not allowed"/>
    <s v="DISCOUNT NOT ALLOWED"/>
    <s v="Discount Not Allowed"/>
    <s v="28/05/22"/>
  </r>
  <r>
    <s v="TXN_3892960"/>
    <s v="CUST_17"/>
    <x v="1"/>
    <x v="89"/>
    <x v="11"/>
    <x v="1"/>
    <n v="220.5"/>
    <x v="1"/>
    <x v="1"/>
    <x v="804"/>
    <x v="0"/>
    <s v="DISCOUNT NOT ALLOWED"/>
    <s v="discount not allowed"/>
    <s v="DISCOUNT NOT ALLOWED"/>
    <s v="Discount Not Allowed"/>
    <s v="17/09/24"/>
  </r>
  <r>
    <s v="TXN_4129849"/>
    <s v="CUST_16"/>
    <x v="1"/>
    <x v="89"/>
    <x v="11"/>
    <x v="1"/>
    <n v="220.5"/>
    <x v="1"/>
    <x v="0"/>
    <x v="665"/>
    <x v="0"/>
    <s v="DISCOUNT NOT ALLOWED"/>
    <s v="discount not allowed"/>
    <s v="DISCOUNT NOT ALLOWED"/>
    <s v="Discount Not Allowed"/>
    <s v="04/02/22"/>
  </r>
  <r>
    <s v="TXN_4286060"/>
    <s v="CUST_09"/>
    <x v="3"/>
    <x v="92"/>
    <x v="11"/>
    <x v="1"/>
    <n v="220.5"/>
    <x v="0"/>
    <x v="0"/>
    <x v="724"/>
    <x v="0"/>
    <s v="DISCOUNT NOT ALLOWED"/>
    <s v="discount not allowed"/>
    <s v="DISCOUNT NOT ALLOWED"/>
    <s v="Discount Not Allowed"/>
    <s v="08/10/24"/>
  </r>
  <r>
    <s v="TXN_4412872"/>
    <s v="CUST_19"/>
    <x v="7"/>
    <x v="86"/>
    <x v="11"/>
    <x v="1"/>
    <n v="220.5"/>
    <x v="1"/>
    <x v="0"/>
    <x v="240"/>
    <x v="1"/>
    <s v="DISCOUNT ALLOWED"/>
    <s v="discount allowed"/>
    <s v="DISCOUNT ALLOWED"/>
    <s v="Discount Allowed"/>
    <s v="08/07/24"/>
  </r>
  <r>
    <s v="TXN_4581067"/>
    <s v="CUST_17"/>
    <x v="0"/>
    <x v="91"/>
    <x v="11"/>
    <x v="1"/>
    <n v="220.5"/>
    <x v="2"/>
    <x v="1"/>
    <x v="805"/>
    <x v="1"/>
    <s v="DISCOUNT ALLOWED"/>
    <s v="discount allowed"/>
    <s v="DISCOUNT ALLOWED"/>
    <s v="Discount Allowed"/>
    <s v="04/06/22"/>
  </r>
  <r>
    <s v="TXN_4781587"/>
    <s v="CUST_20"/>
    <x v="2"/>
    <x v="90"/>
    <x v="11"/>
    <x v="1"/>
    <n v="220.5"/>
    <x v="2"/>
    <x v="1"/>
    <x v="576"/>
    <x v="0"/>
    <s v="DISCOUNT NOT ALLOWED"/>
    <s v="discount not allowed"/>
    <s v="DISCOUNT NOT ALLOWED"/>
    <s v="Discount Not Allowed"/>
    <s v="18/11/23"/>
  </r>
  <r>
    <s v="TXN_5478774"/>
    <s v="CUST_17"/>
    <x v="7"/>
    <x v="86"/>
    <x v="11"/>
    <x v="1"/>
    <n v="220.5"/>
    <x v="2"/>
    <x v="0"/>
    <x v="806"/>
    <x v="1"/>
    <s v="DISCOUNT ALLOWED"/>
    <s v="discount allowed"/>
    <s v="DISCOUNT ALLOWED"/>
    <s v="Discount Allowed"/>
    <s v="27/06/22"/>
  </r>
  <r>
    <s v="TXN_5989344"/>
    <s v="CUST_16"/>
    <x v="7"/>
    <x v="86"/>
    <x v="11"/>
    <x v="1"/>
    <n v="220.5"/>
    <x v="0"/>
    <x v="1"/>
    <x v="139"/>
    <x v="1"/>
    <s v="DISCOUNT ALLOWED"/>
    <s v="discount allowed"/>
    <s v="DISCOUNT ALLOWED"/>
    <s v="Discount Allowed"/>
    <s v="13/06/24"/>
  </r>
  <r>
    <s v="TXN_6379138"/>
    <s v="CUST_17"/>
    <x v="4"/>
    <x v="87"/>
    <x v="11"/>
    <x v="1"/>
    <n v="220.5"/>
    <x v="2"/>
    <x v="1"/>
    <x v="188"/>
    <x v="0"/>
    <s v="DISCOUNT NOT ALLOWED"/>
    <s v="discount not allowed"/>
    <s v="DISCOUNT NOT ALLOWED"/>
    <s v="Discount Not Allowed"/>
    <s v="14/12/23"/>
  </r>
  <r>
    <s v="TXN_6528640"/>
    <s v="CUST_08"/>
    <x v="2"/>
    <x v="90"/>
    <x v="11"/>
    <x v="1"/>
    <n v="220.5"/>
    <x v="0"/>
    <x v="0"/>
    <x v="38"/>
    <x v="0"/>
    <s v="DISCOUNT NOT ALLOWED"/>
    <s v="discount not allowed"/>
    <s v="DISCOUNT NOT ALLOWED"/>
    <s v="Discount Not Allowed"/>
    <s v="18/02/22"/>
  </r>
  <r>
    <s v="TXN_6816540"/>
    <s v="CUST_23"/>
    <x v="4"/>
    <x v="87"/>
    <x v="11"/>
    <x v="1"/>
    <n v="220.5"/>
    <x v="0"/>
    <x v="0"/>
    <x v="577"/>
    <x v="1"/>
    <s v="DISCOUNT ALLOWED"/>
    <s v="discount allowed"/>
    <s v="DISCOUNT ALLOWED"/>
    <s v="Discount Allowed"/>
    <s v="22/06/24"/>
  </r>
  <r>
    <s v="TXN_7054509"/>
    <s v="CUST_02"/>
    <x v="6"/>
    <x v="88"/>
    <x v="11"/>
    <x v="1"/>
    <n v="220.5"/>
    <x v="2"/>
    <x v="0"/>
    <x v="164"/>
    <x v="0"/>
    <s v="DISCOUNT NOT ALLOWED"/>
    <s v="discount not allowed"/>
    <s v="DISCOUNT NOT ALLOWED"/>
    <s v="Discount Not Allowed"/>
    <s v="26/01/22"/>
  </r>
  <r>
    <s v="TXN_8626137"/>
    <s v="CUST_08"/>
    <x v="2"/>
    <x v="90"/>
    <x v="11"/>
    <x v="1"/>
    <n v="220.5"/>
    <x v="1"/>
    <x v="1"/>
    <x v="380"/>
    <x v="1"/>
    <s v="DISCOUNT ALLOWED"/>
    <s v="discount allowed"/>
    <s v="DISCOUNT ALLOWED"/>
    <s v="Discount Allowed"/>
    <s v="20/07/24"/>
  </r>
  <r>
    <s v="TXN_8721418"/>
    <s v="CUST_01"/>
    <x v="1"/>
    <x v="89"/>
    <x v="11"/>
    <x v="1"/>
    <n v="220.5"/>
    <x v="2"/>
    <x v="0"/>
    <x v="427"/>
    <x v="0"/>
    <s v="DISCOUNT NOT ALLOWED"/>
    <s v="discount not allowed"/>
    <s v="DISCOUNT NOT ALLOWED"/>
    <s v="Discount Not Allowed"/>
    <s v="20/02/22"/>
  </r>
  <r>
    <s v="TXN_9241557"/>
    <s v="CUST_17"/>
    <x v="7"/>
    <x v="86"/>
    <x v="11"/>
    <x v="1"/>
    <n v="220.5"/>
    <x v="1"/>
    <x v="1"/>
    <x v="49"/>
    <x v="1"/>
    <s v="DISCOUNT ALLOWED"/>
    <s v="discount allowed"/>
    <s v="DISCOUNT ALLOWED"/>
    <s v="Discount Allowed"/>
    <s v="14/09/22"/>
  </r>
  <r>
    <s v="TXN_9473262"/>
    <s v="CUST_24"/>
    <x v="5"/>
    <x v="100"/>
    <x v="11"/>
    <x v="1"/>
    <n v="220.5"/>
    <x v="2"/>
    <x v="0"/>
    <x v="807"/>
    <x v="1"/>
    <s v="DISCOUNT ALLOWED"/>
    <s v="discount allowed"/>
    <s v="DISCOUNT ALLOWED"/>
    <s v="Discount Allowed"/>
    <s v="19/10/23"/>
  </r>
  <r>
    <s v="TXN_1027353"/>
    <s v="CUST_06"/>
    <x v="1"/>
    <x v="71"/>
    <x v="9"/>
    <x v="2"/>
    <n v="220"/>
    <x v="2"/>
    <x v="1"/>
    <x v="762"/>
    <x v="1"/>
    <s v="DISCOUNT ALLOWED"/>
    <s v="discount allowed"/>
    <s v="DISCOUNT ALLOWED"/>
    <s v="Discount Allowed"/>
    <s v="04/05/24"/>
  </r>
  <r>
    <s v="TXN_2039959"/>
    <s v="CUST_05"/>
    <x v="6"/>
    <x v="70"/>
    <x v="9"/>
    <x v="2"/>
    <n v="220"/>
    <x v="2"/>
    <x v="0"/>
    <x v="808"/>
    <x v="0"/>
    <s v="DISCOUNT NOT ALLOWED"/>
    <s v="discount not allowed"/>
    <s v="DISCOUNT NOT ALLOWED"/>
    <s v="Discount Not Allowed"/>
    <s v="07/03/23"/>
  </r>
  <r>
    <s v="TXN_2963897"/>
    <s v="CUST_24"/>
    <x v="2"/>
    <x v="76"/>
    <x v="9"/>
    <x v="2"/>
    <n v="220"/>
    <x v="2"/>
    <x v="0"/>
    <x v="661"/>
    <x v="0"/>
    <s v="DISCOUNT NOT ALLOWED"/>
    <s v="discount not allowed"/>
    <s v="DISCOUNT NOT ALLOWED"/>
    <s v="Discount Not Allowed"/>
    <s v="12/06/23"/>
  </r>
  <r>
    <s v="TXN_3331644"/>
    <s v="CUST_20"/>
    <x v="0"/>
    <x v="73"/>
    <x v="9"/>
    <x v="2"/>
    <n v="220"/>
    <x v="0"/>
    <x v="0"/>
    <x v="561"/>
    <x v="1"/>
    <s v="DISCOUNT ALLOWED"/>
    <s v="discount allowed"/>
    <s v="DISCOUNT ALLOWED"/>
    <s v="Discount Allowed"/>
    <s v="27/04/24"/>
  </r>
  <r>
    <s v="TXN_3780086"/>
    <s v="CUST_01"/>
    <x v="5"/>
    <x v="75"/>
    <x v="9"/>
    <x v="2"/>
    <n v="220"/>
    <x v="2"/>
    <x v="0"/>
    <x v="809"/>
    <x v="0"/>
    <s v="DISCOUNT NOT ALLOWED"/>
    <s v="discount not allowed"/>
    <s v="DISCOUNT NOT ALLOWED"/>
    <s v="Discount Not Allowed"/>
    <s v="31/08/22"/>
  </r>
  <r>
    <s v="TXN_4092798"/>
    <s v="CUST_20"/>
    <x v="7"/>
    <x v="72"/>
    <x v="9"/>
    <x v="2"/>
    <n v="220"/>
    <x v="1"/>
    <x v="0"/>
    <x v="195"/>
    <x v="0"/>
    <s v="DISCOUNT NOT ALLOWED"/>
    <s v="discount not allowed"/>
    <s v="DISCOUNT NOT ALLOWED"/>
    <s v="Discount Not Allowed"/>
    <s v="01/07/22"/>
  </r>
  <r>
    <s v="TXN_4321114"/>
    <s v="CUST_01"/>
    <x v="0"/>
    <x v="73"/>
    <x v="9"/>
    <x v="2"/>
    <n v="220"/>
    <x v="2"/>
    <x v="1"/>
    <x v="810"/>
    <x v="0"/>
    <s v="DISCOUNT NOT ALLOWED"/>
    <s v="discount not allowed"/>
    <s v="DISCOUNT NOT ALLOWED"/>
    <s v="Discount Not Allowed"/>
    <s v="16/11/23"/>
  </r>
  <r>
    <s v="TXN_4461705"/>
    <s v="CUST_20"/>
    <x v="0"/>
    <x v="73"/>
    <x v="9"/>
    <x v="2"/>
    <n v="220"/>
    <x v="1"/>
    <x v="1"/>
    <x v="409"/>
    <x v="0"/>
    <s v="DISCOUNT NOT ALLOWED"/>
    <s v="discount not allowed"/>
    <s v="DISCOUNT NOT ALLOWED"/>
    <s v="Discount Not Allowed"/>
    <s v="13/07/23"/>
  </r>
  <r>
    <s v="TXN_4501948"/>
    <s v="CUST_24"/>
    <x v="5"/>
    <x v="75"/>
    <x v="9"/>
    <x v="2"/>
    <n v="220"/>
    <x v="0"/>
    <x v="1"/>
    <x v="811"/>
    <x v="0"/>
    <s v="DISCOUNT NOT ALLOWED"/>
    <s v="discount not allowed"/>
    <s v="DISCOUNT NOT ALLOWED"/>
    <s v="Discount Not Allowed"/>
    <s v="28/07/23"/>
  </r>
  <r>
    <s v="TXN_4520102"/>
    <s v="CUST_12"/>
    <x v="0"/>
    <x v="73"/>
    <x v="9"/>
    <x v="2"/>
    <n v="220"/>
    <x v="0"/>
    <x v="1"/>
    <x v="750"/>
    <x v="0"/>
    <s v="DISCOUNT NOT ALLOWED"/>
    <s v="discount not allowed"/>
    <s v="DISCOUNT NOT ALLOWED"/>
    <s v="Discount Not Allowed"/>
    <s v="17/11/24"/>
  </r>
  <r>
    <s v="TXN_4772232"/>
    <s v="CUST_02"/>
    <x v="1"/>
    <x v="71"/>
    <x v="9"/>
    <x v="2"/>
    <n v="220"/>
    <x v="0"/>
    <x v="0"/>
    <x v="104"/>
    <x v="1"/>
    <s v="DISCOUNT ALLOWED"/>
    <s v="discount allowed"/>
    <s v="DISCOUNT ALLOWED"/>
    <s v="Discount Allowed"/>
    <s v="10/09/23"/>
  </r>
  <r>
    <s v="TXN_5292453"/>
    <s v="CUST_09"/>
    <x v="2"/>
    <x v="76"/>
    <x v="9"/>
    <x v="2"/>
    <n v="220"/>
    <x v="1"/>
    <x v="0"/>
    <x v="287"/>
    <x v="0"/>
    <s v="DISCOUNT NOT ALLOWED"/>
    <s v="discount not allowed"/>
    <s v="DISCOUNT NOT ALLOWED"/>
    <s v="Discount Not Allowed"/>
    <s v="22/04/23"/>
  </r>
  <r>
    <s v="TXN_5602800"/>
    <s v="CUST_13"/>
    <x v="3"/>
    <x v="74"/>
    <x v="9"/>
    <x v="2"/>
    <n v="220"/>
    <x v="2"/>
    <x v="0"/>
    <x v="812"/>
    <x v="0"/>
    <s v="DISCOUNT NOT ALLOWED"/>
    <s v="discount not allowed"/>
    <s v="DISCOUNT NOT ALLOWED"/>
    <s v="Discount Not Allowed"/>
    <s v="21/04/24"/>
  </r>
  <r>
    <s v="TXN_5748431"/>
    <s v="CUST_05"/>
    <x v="3"/>
    <x v="74"/>
    <x v="9"/>
    <x v="2"/>
    <n v="220"/>
    <x v="1"/>
    <x v="0"/>
    <x v="327"/>
    <x v="1"/>
    <s v="DISCOUNT ALLOWED"/>
    <s v="discount allowed"/>
    <s v="DISCOUNT ALLOWED"/>
    <s v="Discount Allowed"/>
    <s v="19/05/24"/>
  </r>
  <r>
    <s v="TXN_5851222"/>
    <s v="CUST_07"/>
    <x v="3"/>
    <x v="74"/>
    <x v="9"/>
    <x v="2"/>
    <n v="220"/>
    <x v="0"/>
    <x v="0"/>
    <x v="57"/>
    <x v="1"/>
    <s v="DISCOUNT ALLOWED"/>
    <s v="discount allowed"/>
    <s v="DISCOUNT ALLOWED"/>
    <s v="Discount Allowed"/>
    <s v="16/07/23"/>
  </r>
  <r>
    <s v="TXN_6013565"/>
    <s v="CUST_06"/>
    <x v="3"/>
    <x v="74"/>
    <x v="9"/>
    <x v="2"/>
    <n v="220"/>
    <x v="2"/>
    <x v="1"/>
    <x v="813"/>
    <x v="0"/>
    <s v="DISCOUNT NOT ALLOWED"/>
    <s v="discount not allowed"/>
    <s v="DISCOUNT NOT ALLOWED"/>
    <s v="Discount Not Allowed"/>
    <s v="22/07/23"/>
  </r>
  <r>
    <s v="TXN_6117321"/>
    <s v="CUST_13"/>
    <x v="0"/>
    <x v="73"/>
    <x v="9"/>
    <x v="2"/>
    <n v="220"/>
    <x v="2"/>
    <x v="0"/>
    <x v="696"/>
    <x v="0"/>
    <s v="DISCOUNT NOT ALLOWED"/>
    <s v="discount not allowed"/>
    <s v="DISCOUNT NOT ALLOWED"/>
    <s v="Discount Not Allowed"/>
    <s v="01/10/23"/>
  </r>
  <r>
    <s v="TXN_6621029"/>
    <s v="CUST_17"/>
    <x v="0"/>
    <x v="73"/>
    <x v="9"/>
    <x v="2"/>
    <n v="220"/>
    <x v="1"/>
    <x v="0"/>
    <x v="814"/>
    <x v="1"/>
    <s v="DISCOUNT ALLOWED"/>
    <s v="discount allowed"/>
    <s v="DISCOUNT ALLOWED"/>
    <s v="Discount Allowed"/>
    <s v="27/01/23"/>
  </r>
  <r>
    <s v="TXN_7198988"/>
    <s v="CUST_04"/>
    <x v="7"/>
    <x v="72"/>
    <x v="9"/>
    <x v="2"/>
    <n v="220"/>
    <x v="0"/>
    <x v="1"/>
    <x v="419"/>
    <x v="1"/>
    <s v="DISCOUNT ALLOWED"/>
    <s v="discount allowed"/>
    <s v="DISCOUNT ALLOWED"/>
    <s v="Discount Allowed"/>
    <s v="08/04/24"/>
  </r>
  <r>
    <s v="TXN_7382906"/>
    <s v="CUST_16"/>
    <x v="1"/>
    <x v="71"/>
    <x v="9"/>
    <x v="2"/>
    <n v="220"/>
    <x v="1"/>
    <x v="1"/>
    <x v="729"/>
    <x v="0"/>
    <s v="DISCOUNT NOT ALLOWED"/>
    <s v="discount not allowed"/>
    <s v="DISCOUNT NOT ALLOWED"/>
    <s v="Discount Not Allowed"/>
    <s v="07/12/24"/>
  </r>
  <r>
    <s v="TXN_8005657"/>
    <s v="CUST_19"/>
    <x v="1"/>
    <x v="71"/>
    <x v="9"/>
    <x v="2"/>
    <n v="220"/>
    <x v="0"/>
    <x v="1"/>
    <x v="74"/>
    <x v="1"/>
    <s v="DISCOUNT ALLOWED"/>
    <s v="discount allowed"/>
    <s v="DISCOUNT ALLOWED"/>
    <s v="Discount Allowed"/>
    <s v="27/11/22"/>
  </r>
  <r>
    <s v="TXN_8879706"/>
    <s v="CUST_15"/>
    <x v="7"/>
    <x v="72"/>
    <x v="9"/>
    <x v="2"/>
    <n v="220"/>
    <x v="2"/>
    <x v="1"/>
    <x v="278"/>
    <x v="1"/>
    <s v="DISCOUNT ALLOWED"/>
    <s v="discount allowed"/>
    <s v="DISCOUNT ALLOWED"/>
    <s v="Discount Allowed"/>
    <s v="26/12/24"/>
  </r>
  <r>
    <s v="TXN_8996070"/>
    <s v="CUST_20"/>
    <x v="3"/>
    <x v="74"/>
    <x v="9"/>
    <x v="2"/>
    <n v="220"/>
    <x v="1"/>
    <x v="1"/>
    <x v="219"/>
    <x v="0"/>
    <s v="DISCOUNT NOT ALLOWED"/>
    <s v="discount not allowed"/>
    <s v="DISCOUNT NOT ALLOWED"/>
    <s v="Discount Not Allowed"/>
    <s v="23/05/23"/>
  </r>
  <r>
    <s v="TXN_9045946"/>
    <s v="CUST_15"/>
    <x v="4"/>
    <x v="101"/>
    <x v="9"/>
    <x v="2"/>
    <n v="220"/>
    <x v="2"/>
    <x v="1"/>
    <x v="524"/>
    <x v="1"/>
    <s v="DISCOUNT ALLOWED"/>
    <s v="discount allowed"/>
    <s v="DISCOUNT ALLOWED"/>
    <s v="Discount Allowed"/>
    <s v="05/01/24"/>
  </r>
  <r>
    <s v="TXN_9392209"/>
    <s v="CUST_07"/>
    <x v="7"/>
    <x v="72"/>
    <x v="9"/>
    <x v="2"/>
    <n v="220"/>
    <x v="0"/>
    <x v="0"/>
    <x v="815"/>
    <x v="0"/>
    <s v="DISCOUNT NOT ALLOWED"/>
    <s v="discount not allowed"/>
    <s v="DISCOUNT NOT ALLOWED"/>
    <s v="Discount Not Allowed"/>
    <s v="28/02/23"/>
  </r>
  <r>
    <s v="TXN_9490479"/>
    <s v="CUST_07"/>
    <x v="3"/>
    <x v="74"/>
    <x v="9"/>
    <x v="2"/>
    <n v="220"/>
    <x v="0"/>
    <x v="1"/>
    <x v="139"/>
    <x v="1"/>
    <s v="DISCOUNT ALLOWED"/>
    <s v="discount allowed"/>
    <s v="DISCOUNT ALLOWED"/>
    <s v="Discount Allowed"/>
    <s v="13/06/24"/>
  </r>
  <r>
    <s v="TXN_9653552"/>
    <s v="CUST_12"/>
    <x v="3"/>
    <x v="74"/>
    <x v="9"/>
    <x v="2"/>
    <n v="220"/>
    <x v="1"/>
    <x v="1"/>
    <x v="816"/>
    <x v="0"/>
    <s v="DISCOUNT NOT ALLOWED"/>
    <s v="discount not allowed"/>
    <s v="DISCOUNT NOT ALLOWED"/>
    <s v="Discount Not Allowed"/>
    <s v="27/08/23"/>
  </r>
  <r>
    <s v="TXN_1142481"/>
    <s v="CUST_02"/>
    <x v="1"/>
    <x v="29"/>
    <x v="3"/>
    <x v="4"/>
    <n v="219"/>
    <x v="1"/>
    <x v="1"/>
    <x v="817"/>
    <x v="1"/>
    <s v="DISCOUNT ALLOWED"/>
    <s v="discount allowed"/>
    <s v="DISCOUNT ALLOWED"/>
    <s v="Discount Allowed"/>
    <s v="07/02/23"/>
  </r>
  <r>
    <s v="TXN_1166621"/>
    <s v="CUST_23"/>
    <x v="1"/>
    <x v="29"/>
    <x v="3"/>
    <x v="4"/>
    <n v="219"/>
    <x v="0"/>
    <x v="0"/>
    <x v="712"/>
    <x v="0"/>
    <s v="DISCOUNT NOT ALLOWED"/>
    <s v="discount not allowed"/>
    <s v="DISCOUNT NOT ALLOWED"/>
    <s v="Discount Not Allowed"/>
    <s v="30/04/22"/>
  </r>
  <r>
    <s v="TXN_1373649"/>
    <s v="CUST_09"/>
    <x v="5"/>
    <x v="28"/>
    <x v="3"/>
    <x v="4"/>
    <n v="219"/>
    <x v="1"/>
    <x v="1"/>
    <x v="403"/>
    <x v="0"/>
    <s v="DISCOUNT NOT ALLOWED"/>
    <s v="discount not allowed"/>
    <s v="DISCOUNT NOT ALLOWED"/>
    <s v="Discount Not Allowed"/>
    <s v="07/05/23"/>
  </r>
  <r>
    <s v="TXN_1670050"/>
    <s v="CUST_05"/>
    <x v="4"/>
    <x v="27"/>
    <x v="3"/>
    <x v="4"/>
    <n v="219"/>
    <x v="1"/>
    <x v="0"/>
    <x v="818"/>
    <x v="0"/>
    <s v="DISCOUNT NOT ALLOWED"/>
    <s v="discount not allowed"/>
    <s v="DISCOUNT NOT ALLOWED"/>
    <s v="Discount Not Allowed"/>
    <s v="30/10/22"/>
  </r>
  <r>
    <s v="TXN_2578245"/>
    <s v="CUST_22"/>
    <x v="5"/>
    <x v="28"/>
    <x v="3"/>
    <x v="4"/>
    <n v="219"/>
    <x v="1"/>
    <x v="1"/>
    <x v="179"/>
    <x v="1"/>
    <s v="DISCOUNT ALLOWED"/>
    <s v="discount allowed"/>
    <s v="DISCOUNT ALLOWED"/>
    <s v="Discount Allowed"/>
    <s v="05/09/22"/>
  </r>
  <r>
    <s v="TXN_2695742"/>
    <s v="CUST_04"/>
    <x v="3"/>
    <x v="24"/>
    <x v="3"/>
    <x v="4"/>
    <n v="219"/>
    <x v="2"/>
    <x v="1"/>
    <x v="479"/>
    <x v="0"/>
    <s v="DISCOUNT NOT ALLOWED"/>
    <s v="discount not allowed"/>
    <s v="DISCOUNT NOT ALLOWED"/>
    <s v="Discount Not Allowed"/>
    <s v="17/03/22"/>
  </r>
  <r>
    <s v="TXN_3097234"/>
    <s v="CUST_16"/>
    <x v="6"/>
    <x v="26"/>
    <x v="3"/>
    <x v="4"/>
    <n v="219"/>
    <x v="2"/>
    <x v="0"/>
    <x v="123"/>
    <x v="1"/>
    <s v="DISCOUNT ALLOWED"/>
    <s v="discount allowed"/>
    <s v="DISCOUNT ALLOWED"/>
    <s v="Discount Allowed"/>
    <s v="14/01/23"/>
  </r>
  <r>
    <s v="TXN_3471235"/>
    <s v="CUST_07"/>
    <x v="4"/>
    <x v="27"/>
    <x v="3"/>
    <x v="4"/>
    <n v="219"/>
    <x v="1"/>
    <x v="1"/>
    <x v="643"/>
    <x v="0"/>
    <s v="DISCOUNT NOT ALLOWED"/>
    <s v="discount not allowed"/>
    <s v="DISCOUNT NOT ALLOWED"/>
    <s v="Discount Not Allowed"/>
    <s v="26/01/23"/>
  </r>
  <r>
    <s v="TXN_3513460"/>
    <s v="CUST_02"/>
    <x v="0"/>
    <x v="25"/>
    <x v="3"/>
    <x v="4"/>
    <n v="219"/>
    <x v="0"/>
    <x v="1"/>
    <x v="819"/>
    <x v="0"/>
    <s v="DISCOUNT NOT ALLOWED"/>
    <s v="discount not allowed"/>
    <s v="DISCOUNT NOT ALLOWED"/>
    <s v="Discount Not Allowed"/>
    <s v="11/07/23"/>
  </r>
  <r>
    <s v="TXN_3834203"/>
    <s v="CUST_22"/>
    <x v="6"/>
    <x v="26"/>
    <x v="3"/>
    <x v="4"/>
    <n v="219"/>
    <x v="0"/>
    <x v="0"/>
    <x v="322"/>
    <x v="0"/>
    <s v="DISCOUNT NOT ALLOWED"/>
    <s v="discount not allowed"/>
    <s v="DISCOUNT NOT ALLOWED"/>
    <s v="Discount Not Allowed"/>
    <s v="22/06/23"/>
  </r>
  <r>
    <s v="TXN_4062280"/>
    <s v="CUST_01"/>
    <x v="6"/>
    <x v="26"/>
    <x v="3"/>
    <x v="4"/>
    <n v="219"/>
    <x v="0"/>
    <x v="1"/>
    <x v="500"/>
    <x v="1"/>
    <s v="DISCOUNT ALLOWED"/>
    <s v="discount allowed"/>
    <s v="DISCOUNT ALLOWED"/>
    <s v="Discount Allowed"/>
    <s v="16/06/23"/>
  </r>
  <r>
    <s v="TXN_5046818"/>
    <s v="CUST_02"/>
    <x v="3"/>
    <x v="24"/>
    <x v="3"/>
    <x v="4"/>
    <n v="219"/>
    <x v="0"/>
    <x v="1"/>
    <x v="721"/>
    <x v="0"/>
    <s v="DISCOUNT NOT ALLOWED"/>
    <s v="discount not allowed"/>
    <s v="DISCOUNT NOT ALLOWED"/>
    <s v="Discount Not Allowed"/>
    <s v="03/07/24"/>
  </r>
  <r>
    <s v="TXN_5405178"/>
    <s v="CUST_24"/>
    <x v="3"/>
    <x v="24"/>
    <x v="3"/>
    <x v="4"/>
    <n v="219"/>
    <x v="2"/>
    <x v="0"/>
    <x v="820"/>
    <x v="0"/>
    <s v="DISCOUNT NOT ALLOWED"/>
    <s v="discount not allowed"/>
    <s v="DISCOUNT NOT ALLOWED"/>
    <s v="Discount Not Allowed"/>
    <s v="07/10/23"/>
  </r>
  <r>
    <s v="TXN_5741074"/>
    <s v="CUST_11"/>
    <x v="5"/>
    <x v="28"/>
    <x v="3"/>
    <x v="4"/>
    <n v="219"/>
    <x v="1"/>
    <x v="1"/>
    <x v="564"/>
    <x v="1"/>
    <s v="DISCOUNT ALLOWED"/>
    <s v="discount allowed"/>
    <s v="DISCOUNT ALLOWED"/>
    <s v="Discount Allowed"/>
    <s v="31/01/23"/>
  </r>
  <r>
    <s v="TXN_6591705"/>
    <s v="CUST_08"/>
    <x v="3"/>
    <x v="24"/>
    <x v="3"/>
    <x v="4"/>
    <n v="219"/>
    <x v="0"/>
    <x v="0"/>
    <x v="1"/>
    <x v="0"/>
    <s v="DISCOUNT NOT ALLOWED"/>
    <s v="discount not allowed"/>
    <s v="DISCOUNT NOT ALLOWED"/>
    <s v="Discount Not Allowed"/>
    <s v="01/04/23"/>
  </r>
  <r>
    <s v="TXN_7666691"/>
    <s v="CUST_11"/>
    <x v="3"/>
    <x v="24"/>
    <x v="3"/>
    <x v="4"/>
    <n v="219"/>
    <x v="2"/>
    <x v="1"/>
    <x v="225"/>
    <x v="0"/>
    <s v="DISCOUNT NOT ALLOWED"/>
    <s v="discount not allowed"/>
    <s v="DISCOUNT NOT ALLOWED"/>
    <s v="Discount Not Allowed"/>
    <s v="26/03/23"/>
  </r>
  <r>
    <s v="TXN_7797020"/>
    <s v="CUST_22"/>
    <x v="0"/>
    <x v="25"/>
    <x v="3"/>
    <x v="4"/>
    <n v="219"/>
    <x v="1"/>
    <x v="0"/>
    <x v="475"/>
    <x v="1"/>
    <s v="DISCOUNT ALLOWED"/>
    <s v="discount allowed"/>
    <s v="DISCOUNT ALLOWED"/>
    <s v="Discount Allowed"/>
    <s v="03/09/24"/>
  </r>
  <r>
    <s v="TXN_7969117"/>
    <s v="CUST_16"/>
    <x v="1"/>
    <x v="29"/>
    <x v="3"/>
    <x v="4"/>
    <n v="219"/>
    <x v="2"/>
    <x v="1"/>
    <x v="369"/>
    <x v="0"/>
    <s v="DISCOUNT NOT ALLOWED"/>
    <s v="discount not allowed"/>
    <s v="DISCOUNT NOT ALLOWED"/>
    <s v="Discount Not Allowed"/>
    <s v="05/10/23"/>
  </r>
  <r>
    <s v="TXN_8091223"/>
    <s v="CUST_19"/>
    <x v="3"/>
    <x v="24"/>
    <x v="3"/>
    <x v="4"/>
    <n v="219"/>
    <x v="1"/>
    <x v="1"/>
    <x v="492"/>
    <x v="1"/>
    <s v="DISCOUNT ALLOWED"/>
    <s v="discount allowed"/>
    <s v="DISCOUNT ALLOWED"/>
    <s v="Discount Allowed"/>
    <s v="29/03/24"/>
  </r>
  <r>
    <s v="TXN_8705609"/>
    <s v="CUST_24"/>
    <x v="5"/>
    <x v="28"/>
    <x v="3"/>
    <x v="4"/>
    <n v="219"/>
    <x v="0"/>
    <x v="1"/>
    <x v="193"/>
    <x v="0"/>
    <s v="DISCOUNT NOT ALLOWED"/>
    <s v="discount not allowed"/>
    <s v="DISCOUNT NOT ALLOWED"/>
    <s v="Discount Not Allowed"/>
    <s v="08/01/22"/>
  </r>
  <r>
    <s v="TXN_9110626"/>
    <s v="CUST_25"/>
    <x v="5"/>
    <x v="28"/>
    <x v="3"/>
    <x v="4"/>
    <n v="219"/>
    <x v="1"/>
    <x v="0"/>
    <x v="552"/>
    <x v="1"/>
    <s v="DISCOUNT ALLOWED"/>
    <s v="discount allowed"/>
    <s v="DISCOUNT ALLOWED"/>
    <s v="Discount Allowed"/>
    <s v="22/09/24"/>
  </r>
  <r>
    <s v="TXN_9479679"/>
    <s v="CUST_22"/>
    <x v="0"/>
    <x v="25"/>
    <x v="3"/>
    <x v="4"/>
    <n v="219"/>
    <x v="1"/>
    <x v="0"/>
    <x v="88"/>
    <x v="0"/>
    <s v="DISCOUNT NOT ALLOWED"/>
    <s v="discount not allowed"/>
    <s v="DISCOUNT NOT ALLOWED"/>
    <s v="Discount Not Allowed"/>
    <s v="31/12/22"/>
  </r>
  <r>
    <s v="TXN_1140136"/>
    <s v="CUST_01"/>
    <x v="5"/>
    <x v="102"/>
    <x v="13"/>
    <x v="0"/>
    <n v="215"/>
    <x v="2"/>
    <x v="1"/>
    <x v="805"/>
    <x v="1"/>
    <s v="DISCOUNT ALLOWED"/>
    <s v="discount allowed"/>
    <s v="DISCOUNT ALLOWED"/>
    <s v="Discount Allowed"/>
    <s v="04/06/22"/>
  </r>
  <r>
    <s v="TXN_1162568"/>
    <s v="CUST_15"/>
    <x v="5"/>
    <x v="102"/>
    <x v="13"/>
    <x v="0"/>
    <n v="215"/>
    <x v="1"/>
    <x v="0"/>
    <x v="821"/>
    <x v="1"/>
    <s v="DISCOUNT ALLOWED"/>
    <s v="discount allowed"/>
    <s v="DISCOUNT ALLOWED"/>
    <s v="Discount Allowed"/>
    <s v="14/05/22"/>
  </r>
  <r>
    <s v="TXN_1190991"/>
    <s v="CUST_06"/>
    <x v="3"/>
    <x v="103"/>
    <x v="13"/>
    <x v="0"/>
    <n v="215"/>
    <x v="0"/>
    <x v="0"/>
    <x v="486"/>
    <x v="1"/>
    <s v="DISCOUNT ALLOWED"/>
    <s v="discount allowed"/>
    <s v="DISCOUNT ALLOWED"/>
    <s v="Discount Allowed"/>
    <s v="21/10/22"/>
  </r>
  <r>
    <s v="TXN_1694461"/>
    <s v="CUST_17"/>
    <x v="3"/>
    <x v="103"/>
    <x v="13"/>
    <x v="0"/>
    <n v="215"/>
    <x v="1"/>
    <x v="0"/>
    <x v="638"/>
    <x v="1"/>
    <s v="DISCOUNT ALLOWED"/>
    <s v="discount allowed"/>
    <s v="DISCOUNT ALLOWED"/>
    <s v="Discount Allowed"/>
    <s v="13/07/22"/>
  </r>
  <r>
    <s v="TXN_1753755"/>
    <s v="CUST_04"/>
    <x v="5"/>
    <x v="102"/>
    <x v="13"/>
    <x v="0"/>
    <n v="215"/>
    <x v="1"/>
    <x v="1"/>
    <x v="741"/>
    <x v="0"/>
    <s v="DISCOUNT NOT ALLOWED"/>
    <s v="discount not allowed"/>
    <s v="DISCOUNT NOT ALLOWED"/>
    <s v="Discount Not Allowed"/>
    <s v="22/11/22"/>
  </r>
  <r>
    <s v="TXN_2256249"/>
    <s v="CUST_22"/>
    <x v="6"/>
    <x v="104"/>
    <x v="13"/>
    <x v="0"/>
    <n v="215"/>
    <x v="2"/>
    <x v="1"/>
    <x v="749"/>
    <x v="0"/>
    <s v="DISCOUNT NOT ALLOWED"/>
    <s v="discount not allowed"/>
    <s v="DISCOUNT NOT ALLOWED"/>
    <s v="Discount Not Allowed"/>
    <s v="24/04/23"/>
  </r>
  <r>
    <s v="TXN_2294115"/>
    <s v="CUST_05"/>
    <x v="1"/>
    <x v="105"/>
    <x v="13"/>
    <x v="0"/>
    <n v="215"/>
    <x v="2"/>
    <x v="1"/>
    <x v="822"/>
    <x v="1"/>
    <s v="DISCOUNT ALLOWED"/>
    <s v="discount allowed"/>
    <s v="DISCOUNT ALLOWED"/>
    <s v="Discount Allowed"/>
    <s v="07/01/24"/>
  </r>
  <r>
    <s v="TXN_2344077"/>
    <s v="CUST_25"/>
    <x v="5"/>
    <x v="102"/>
    <x v="13"/>
    <x v="0"/>
    <n v="215"/>
    <x v="2"/>
    <x v="0"/>
    <x v="775"/>
    <x v="1"/>
    <s v="DISCOUNT ALLOWED"/>
    <s v="discount allowed"/>
    <s v="DISCOUNT ALLOWED"/>
    <s v="Discount Allowed"/>
    <s v="31/03/24"/>
  </r>
  <r>
    <s v="TXN_2396087"/>
    <s v="CUST_16"/>
    <x v="6"/>
    <x v="104"/>
    <x v="13"/>
    <x v="0"/>
    <n v="215"/>
    <x v="2"/>
    <x v="0"/>
    <x v="285"/>
    <x v="0"/>
    <s v="DISCOUNT NOT ALLOWED"/>
    <s v="discount not allowed"/>
    <s v="DISCOUNT NOT ALLOWED"/>
    <s v="Discount Not Allowed"/>
    <s v="12/03/22"/>
  </r>
  <r>
    <s v="TXN_2419940"/>
    <s v="CUST_03"/>
    <x v="7"/>
    <x v="106"/>
    <x v="13"/>
    <x v="0"/>
    <n v="215"/>
    <x v="0"/>
    <x v="1"/>
    <x v="425"/>
    <x v="0"/>
    <s v="DISCOUNT NOT ALLOWED"/>
    <s v="discount not allowed"/>
    <s v="DISCOUNT NOT ALLOWED"/>
    <s v="Discount Not Allowed"/>
    <s v="12/08/22"/>
  </r>
  <r>
    <s v="TXN_2879367"/>
    <s v="CUST_10"/>
    <x v="6"/>
    <x v="104"/>
    <x v="13"/>
    <x v="0"/>
    <n v="215"/>
    <x v="2"/>
    <x v="1"/>
    <x v="101"/>
    <x v="1"/>
    <s v="DISCOUNT ALLOWED"/>
    <s v="discount allowed"/>
    <s v="DISCOUNT ALLOWED"/>
    <s v="Discount Allowed"/>
    <s v="10/08/24"/>
  </r>
  <r>
    <s v="TXN_3372645"/>
    <s v="CUST_02"/>
    <x v="1"/>
    <x v="105"/>
    <x v="13"/>
    <x v="0"/>
    <n v="215"/>
    <x v="1"/>
    <x v="1"/>
    <x v="651"/>
    <x v="1"/>
    <s v="DISCOUNT ALLOWED"/>
    <s v="discount allowed"/>
    <s v="DISCOUNT ALLOWED"/>
    <s v="Discount Allowed"/>
    <s v="01/05/22"/>
  </r>
  <r>
    <s v="TXN_3703564"/>
    <s v="CUST_22"/>
    <x v="7"/>
    <x v="106"/>
    <x v="13"/>
    <x v="0"/>
    <n v="215"/>
    <x v="2"/>
    <x v="1"/>
    <x v="38"/>
    <x v="0"/>
    <s v="DISCOUNT NOT ALLOWED"/>
    <s v="discount not allowed"/>
    <s v="DISCOUNT NOT ALLOWED"/>
    <s v="Discount Not Allowed"/>
    <s v="18/02/22"/>
  </r>
  <r>
    <s v="TXN_3847123"/>
    <s v="CUST_22"/>
    <x v="3"/>
    <x v="103"/>
    <x v="13"/>
    <x v="0"/>
    <n v="215"/>
    <x v="2"/>
    <x v="0"/>
    <x v="191"/>
    <x v="0"/>
    <s v="DISCOUNT NOT ALLOWED"/>
    <s v="discount not allowed"/>
    <s v="DISCOUNT NOT ALLOWED"/>
    <s v="Discount Not Allowed"/>
    <s v="21/06/24"/>
  </r>
  <r>
    <s v="TXN_3856988"/>
    <s v="CUST_01"/>
    <x v="6"/>
    <x v="104"/>
    <x v="13"/>
    <x v="0"/>
    <n v="215"/>
    <x v="2"/>
    <x v="1"/>
    <x v="823"/>
    <x v="1"/>
    <s v="DISCOUNT ALLOWED"/>
    <s v="discount allowed"/>
    <s v="DISCOUNT ALLOWED"/>
    <s v="Discount Allowed"/>
    <s v="17/09/22"/>
  </r>
  <r>
    <s v="TXN_4274817"/>
    <s v="CUST_16"/>
    <x v="1"/>
    <x v="105"/>
    <x v="13"/>
    <x v="0"/>
    <n v="215"/>
    <x v="1"/>
    <x v="0"/>
    <x v="610"/>
    <x v="1"/>
    <s v="DISCOUNT ALLOWED"/>
    <s v="discount allowed"/>
    <s v="DISCOUNT ALLOWED"/>
    <s v="Discount Allowed"/>
    <s v="15/08/24"/>
  </r>
  <r>
    <s v="TXN_4380514"/>
    <s v="CUST_24"/>
    <x v="1"/>
    <x v="105"/>
    <x v="13"/>
    <x v="0"/>
    <n v="215"/>
    <x v="2"/>
    <x v="0"/>
    <x v="379"/>
    <x v="1"/>
    <s v="DISCOUNT ALLOWED"/>
    <s v="discount allowed"/>
    <s v="DISCOUNT ALLOWED"/>
    <s v="Discount Allowed"/>
    <s v="15/03/24"/>
  </r>
  <r>
    <s v="TXN_4436192"/>
    <s v="CUST_18"/>
    <x v="1"/>
    <x v="105"/>
    <x v="13"/>
    <x v="0"/>
    <n v="215"/>
    <x v="2"/>
    <x v="1"/>
    <x v="378"/>
    <x v="0"/>
    <s v="DISCOUNT NOT ALLOWED"/>
    <s v="discount not allowed"/>
    <s v="DISCOUNT NOT ALLOWED"/>
    <s v="Discount Not Allowed"/>
    <s v="29/04/23"/>
  </r>
  <r>
    <s v="TXN_4485519"/>
    <s v="CUST_24"/>
    <x v="4"/>
    <x v="107"/>
    <x v="13"/>
    <x v="0"/>
    <n v="215"/>
    <x v="0"/>
    <x v="1"/>
    <x v="473"/>
    <x v="0"/>
    <s v="DISCOUNT NOT ALLOWED"/>
    <s v="discount not allowed"/>
    <s v="DISCOUNT NOT ALLOWED"/>
    <s v="Discount Not Allowed"/>
    <s v="02/12/24"/>
  </r>
  <r>
    <s v="TXN_4836321"/>
    <s v="CUST_21"/>
    <x v="4"/>
    <x v="107"/>
    <x v="13"/>
    <x v="0"/>
    <n v="215"/>
    <x v="0"/>
    <x v="1"/>
    <x v="123"/>
    <x v="0"/>
    <s v="DISCOUNT NOT ALLOWED"/>
    <s v="discount not allowed"/>
    <s v="DISCOUNT NOT ALLOWED"/>
    <s v="Discount Not Allowed"/>
    <s v="14/01/23"/>
  </r>
  <r>
    <s v="TXN_4979615"/>
    <s v="CUST_19"/>
    <x v="4"/>
    <x v="107"/>
    <x v="13"/>
    <x v="0"/>
    <n v="215"/>
    <x v="1"/>
    <x v="1"/>
    <x v="170"/>
    <x v="0"/>
    <s v="DISCOUNT NOT ALLOWED"/>
    <s v="discount not allowed"/>
    <s v="DISCOUNT NOT ALLOWED"/>
    <s v="Discount Not Allowed"/>
    <s v="10/05/24"/>
  </r>
  <r>
    <s v="TXN_5119908"/>
    <s v="CUST_24"/>
    <x v="3"/>
    <x v="103"/>
    <x v="13"/>
    <x v="0"/>
    <n v="215"/>
    <x v="1"/>
    <x v="1"/>
    <x v="261"/>
    <x v="1"/>
    <s v="DISCOUNT ALLOWED"/>
    <s v="discount allowed"/>
    <s v="DISCOUNT ALLOWED"/>
    <s v="Discount Allowed"/>
    <s v="14/05/24"/>
  </r>
  <r>
    <s v="TXN_5227674"/>
    <s v="CUST_23"/>
    <x v="1"/>
    <x v="105"/>
    <x v="13"/>
    <x v="0"/>
    <n v="215"/>
    <x v="2"/>
    <x v="1"/>
    <x v="646"/>
    <x v="0"/>
    <s v="DISCOUNT NOT ALLOWED"/>
    <s v="discount not allowed"/>
    <s v="DISCOUNT NOT ALLOWED"/>
    <s v="Discount Not Allowed"/>
    <s v="27/07/22"/>
  </r>
  <r>
    <s v="TXN_5308350"/>
    <s v="CUST_19"/>
    <x v="4"/>
    <x v="107"/>
    <x v="13"/>
    <x v="0"/>
    <n v="215"/>
    <x v="1"/>
    <x v="1"/>
    <x v="386"/>
    <x v="0"/>
    <s v="DISCOUNT NOT ALLOWED"/>
    <s v="discount not allowed"/>
    <s v="DISCOUNT NOT ALLOWED"/>
    <s v="Discount Not Allowed"/>
    <s v="18/01/22"/>
  </r>
  <r>
    <s v="TXN_5761932"/>
    <s v="CUST_09"/>
    <x v="3"/>
    <x v="103"/>
    <x v="13"/>
    <x v="0"/>
    <n v="215"/>
    <x v="1"/>
    <x v="0"/>
    <x v="85"/>
    <x v="0"/>
    <s v="DISCOUNT NOT ALLOWED"/>
    <s v="discount not allowed"/>
    <s v="DISCOUNT NOT ALLOWED"/>
    <s v="Discount Not Allowed"/>
    <s v="18/10/24"/>
  </r>
  <r>
    <s v="TXN_6415917"/>
    <s v="CUST_24"/>
    <x v="3"/>
    <x v="103"/>
    <x v="13"/>
    <x v="0"/>
    <n v="215"/>
    <x v="1"/>
    <x v="1"/>
    <x v="362"/>
    <x v="1"/>
    <s v="DISCOUNT ALLOWED"/>
    <s v="discount allowed"/>
    <s v="DISCOUNT ALLOWED"/>
    <s v="Discount Allowed"/>
    <s v="10/03/23"/>
  </r>
  <r>
    <s v="TXN_6619000"/>
    <s v="CUST_16"/>
    <x v="2"/>
    <x v="108"/>
    <x v="13"/>
    <x v="0"/>
    <n v="215"/>
    <x v="1"/>
    <x v="0"/>
    <x v="569"/>
    <x v="1"/>
    <s v="DISCOUNT ALLOWED"/>
    <s v="discount allowed"/>
    <s v="DISCOUNT ALLOWED"/>
    <s v="Discount Allowed"/>
    <s v="02/05/24"/>
  </r>
  <r>
    <s v="TXN_7027530"/>
    <s v="CUST_17"/>
    <x v="3"/>
    <x v="103"/>
    <x v="13"/>
    <x v="0"/>
    <n v="215"/>
    <x v="2"/>
    <x v="0"/>
    <x v="824"/>
    <x v="1"/>
    <s v="DISCOUNT ALLOWED"/>
    <s v="discount allowed"/>
    <s v="DISCOUNT ALLOWED"/>
    <s v="Discount Allowed"/>
    <s v="14/07/24"/>
  </r>
  <r>
    <s v="TXN_7115676"/>
    <s v="CUST_18"/>
    <x v="4"/>
    <x v="107"/>
    <x v="13"/>
    <x v="0"/>
    <n v="215"/>
    <x v="0"/>
    <x v="1"/>
    <x v="564"/>
    <x v="0"/>
    <s v="DISCOUNT NOT ALLOWED"/>
    <s v="discount not allowed"/>
    <s v="DISCOUNT NOT ALLOWED"/>
    <s v="Discount Not Allowed"/>
    <s v="31/01/23"/>
  </r>
  <r>
    <s v="TXN_7340795"/>
    <s v="CUST_01"/>
    <x v="5"/>
    <x v="102"/>
    <x v="13"/>
    <x v="0"/>
    <n v="215"/>
    <x v="1"/>
    <x v="0"/>
    <x v="621"/>
    <x v="0"/>
    <s v="DISCOUNT NOT ALLOWED"/>
    <s v="discount not allowed"/>
    <s v="DISCOUNT NOT ALLOWED"/>
    <s v="Discount Not Allowed"/>
    <s v="03/06/23"/>
  </r>
  <r>
    <s v="TXN_7358459"/>
    <s v="CUST_01"/>
    <x v="6"/>
    <x v="104"/>
    <x v="13"/>
    <x v="0"/>
    <n v="215"/>
    <x v="0"/>
    <x v="1"/>
    <x v="825"/>
    <x v="1"/>
    <s v="DISCOUNT ALLOWED"/>
    <s v="discount allowed"/>
    <s v="DISCOUNT ALLOWED"/>
    <s v="Discount Allowed"/>
    <s v="26/08/23"/>
  </r>
  <r>
    <s v="TXN_7796666"/>
    <s v="CUST_13"/>
    <x v="4"/>
    <x v="107"/>
    <x v="13"/>
    <x v="0"/>
    <n v="215"/>
    <x v="1"/>
    <x v="0"/>
    <x v="757"/>
    <x v="0"/>
    <s v="DISCOUNT NOT ALLOWED"/>
    <s v="discount not allowed"/>
    <s v="DISCOUNT NOT ALLOWED"/>
    <s v="Discount Not Allowed"/>
    <s v="08/09/24"/>
  </r>
  <r>
    <s v="TXN_7975440"/>
    <s v="CUST_15"/>
    <x v="3"/>
    <x v="103"/>
    <x v="13"/>
    <x v="0"/>
    <n v="215"/>
    <x v="1"/>
    <x v="0"/>
    <x v="243"/>
    <x v="0"/>
    <s v="DISCOUNT NOT ALLOWED"/>
    <s v="discount not allowed"/>
    <s v="DISCOUNT NOT ALLOWED"/>
    <s v="Discount Not Allowed"/>
    <s v="21/07/24"/>
  </r>
  <r>
    <s v="TXN_8223363"/>
    <s v="CUST_03"/>
    <x v="2"/>
    <x v="108"/>
    <x v="13"/>
    <x v="0"/>
    <n v="215"/>
    <x v="1"/>
    <x v="1"/>
    <x v="332"/>
    <x v="0"/>
    <s v="DISCOUNT NOT ALLOWED"/>
    <s v="discount not allowed"/>
    <s v="DISCOUNT NOT ALLOWED"/>
    <s v="Discount Not Allowed"/>
    <s v="01/08/22"/>
  </r>
  <r>
    <s v="TXN_8421665"/>
    <s v="CUST_15"/>
    <x v="6"/>
    <x v="104"/>
    <x v="13"/>
    <x v="0"/>
    <n v="215"/>
    <x v="2"/>
    <x v="1"/>
    <x v="826"/>
    <x v="1"/>
    <s v="DISCOUNT ALLOWED"/>
    <s v="discount allowed"/>
    <s v="DISCOUNT ALLOWED"/>
    <s v="Discount Allowed"/>
    <s v="03/08/22"/>
  </r>
  <r>
    <s v="TXN_8602784"/>
    <s v="CUST_06"/>
    <x v="5"/>
    <x v="102"/>
    <x v="13"/>
    <x v="0"/>
    <n v="215"/>
    <x v="2"/>
    <x v="0"/>
    <x v="527"/>
    <x v="0"/>
    <s v="DISCOUNT NOT ALLOWED"/>
    <s v="discount not allowed"/>
    <s v="DISCOUNT NOT ALLOWED"/>
    <s v="Discount Not Allowed"/>
    <s v="20/08/23"/>
  </r>
  <r>
    <s v="TXN_8796772"/>
    <s v="CUST_22"/>
    <x v="6"/>
    <x v="104"/>
    <x v="13"/>
    <x v="0"/>
    <n v="215"/>
    <x v="1"/>
    <x v="1"/>
    <x v="177"/>
    <x v="0"/>
    <s v="DISCOUNT NOT ALLOWED"/>
    <s v="discount not allowed"/>
    <s v="DISCOUNT NOT ALLOWED"/>
    <s v="Discount Not Allowed"/>
    <s v="14/06/24"/>
  </r>
  <r>
    <s v="TXN_8932922"/>
    <s v="CUST_23"/>
    <x v="7"/>
    <x v="106"/>
    <x v="13"/>
    <x v="0"/>
    <n v="215"/>
    <x v="0"/>
    <x v="0"/>
    <x v="42"/>
    <x v="0"/>
    <s v="DISCOUNT NOT ALLOWED"/>
    <s v="discount not allowed"/>
    <s v="DISCOUNT NOT ALLOWED"/>
    <s v="Discount Not Allowed"/>
    <s v="02/09/22"/>
  </r>
  <r>
    <s v="TXN_9184251"/>
    <s v="CUST_04"/>
    <x v="6"/>
    <x v="104"/>
    <x v="13"/>
    <x v="0"/>
    <n v="215"/>
    <x v="0"/>
    <x v="0"/>
    <x v="147"/>
    <x v="0"/>
    <s v="DISCOUNT NOT ALLOWED"/>
    <s v="discount not allowed"/>
    <s v="DISCOUNT NOT ALLOWED"/>
    <s v="Discount Not Allowed"/>
    <s v="15/07/23"/>
  </r>
  <r>
    <s v="TXN_9284320"/>
    <s v="CUST_09"/>
    <x v="5"/>
    <x v="102"/>
    <x v="13"/>
    <x v="0"/>
    <n v="215"/>
    <x v="2"/>
    <x v="1"/>
    <x v="827"/>
    <x v="1"/>
    <s v="DISCOUNT ALLOWED"/>
    <s v="discount allowed"/>
    <s v="DISCOUNT ALLOWED"/>
    <s v="Discount Allowed"/>
    <s v="05/03/23"/>
  </r>
  <r>
    <s v="TXN_9328530"/>
    <s v="CUST_19"/>
    <x v="2"/>
    <x v="108"/>
    <x v="13"/>
    <x v="0"/>
    <n v="215"/>
    <x v="2"/>
    <x v="0"/>
    <x v="280"/>
    <x v="1"/>
    <s v="DISCOUNT ALLOWED"/>
    <s v="discount allowed"/>
    <s v="DISCOUNT ALLOWED"/>
    <s v="Discount Allowed"/>
    <s v="28/06/23"/>
  </r>
  <r>
    <s v="TXN_9749270"/>
    <s v="CUST_05"/>
    <x v="7"/>
    <x v="106"/>
    <x v="13"/>
    <x v="0"/>
    <n v="215"/>
    <x v="1"/>
    <x v="0"/>
    <x v="479"/>
    <x v="1"/>
    <s v="DISCOUNT ALLOWED"/>
    <s v="discount allowed"/>
    <s v="DISCOUNT ALLOWED"/>
    <s v="Discount Allowed"/>
    <s v="17/03/22"/>
  </r>
  <r>
    <s v="TXN_9892104"/>
    <s v="CUST_22"/>
    <x v="3"/>
    <x v="103"/>
    <x v="13"/>
    <x v="0"/>
    <n v="215"/>
    <x v="2"/>
    <x v="0"/>
    <x v="486"/>
    <x v="1"/>
    <s v="DISCOUNT ALLOWED"/>
    <s v="discount allowed"/>
    <s v="DISCOUNT ALLOWED"/>
    <s v="Discount Allowed"/>
    <s v="21/10/22"/>
  </r>
  <r>
    <s v="TXN_9928533"/>
    <s v="CUST_19"/>
    <x v="1"/>
    <x v="105"/>
    <x v="13"/>
    <x v="0"/>
    <n v="215"/>
    <x v="2"/>
    <x v="0"/>
    <x v="682"/>
    <x v="1"/>
    <s v="DISCOUNT ALLOWED"/>
    <s v="discount allowed"/>
    <s v="DISCOUNT ALLOWED"/>
    <s v="Discount Allowed"/>
    <s v="01/12/22"/>
  </r>
  <r>
    <s v="TXN_1310355"/>
    <s v="CUST_06"/>
    <x v="2"/>
    <x v="56"/>
    <x v="7"/>
    <x v="3"/>
    <n v="213.5"/>
    <x v="1"/>
    <x v="0"/>
    <x v="828"/>
    <x v="0"/>
    <s v="DISCOUNT NOT ALLOWED"/>
    <s v="discount not allowed"/>
    <s v="DISCOUNT NOT ALLOWED"/>
    <s v="Discount Not Allowed"/>
    <s v="16/01/23"/>
  </r>
  <r>
    <s v="TXN_1384378"/>
    <s v="CUST_05"/>
    <x v="6"/>
    <x v="58"/>
    <x v="7"/>
    <x v="3"/>
    <n v="213.5"/>
    <x v="2"/>
    <x v="1"/>
    <x v="789"/>
    <x v="1"/>
    <s v="DISCOUNT ALLOWED"/>
    <s v="discount allowed"/>
    <s v="DISCOUNT ALLOWED"/>
    <s v="Discount Allowed"/>
    <s v="24/09/23"/>
  </r>
  <r>
    <s v="TXN_1570444"/>
    <s v="CUST_11"/>
    <x v="3"/>
    <x v="55"/>
    <x v="7"/>
    <x v="3"/>
    <n v="213.5"/>
    <x v="2"/>
    <x v="1"/>
    <x v="829"/>
    <x v="0"/>
    <s v="DISCOUNT NOT ALLOWED"/>
    <s v="discount not allowed"/>
    <s v="DISCOUNT NOT ALLOWED"/>
    <s v="Discount Not Allowed"/>
    <s v="29/06/23"/>
  </r>
  <r>
    <s v="TXN_2099825"/>
    <s v="CUST_05"/>
    <x v="7"/>
    <x v="60"/>
    <x v="7"/>
    <x v="3"/>
    <n v="213.5"/>
    <x v="2"/>
    <x v="0"/>
    <x v="347"/>
    <x v="0"/>
    <s v="DISCOUNT NOT ALLOWED"/>
    <s v="discount not allowed"/>
    <s v="DISCOUNT NOT ALLOWED"/>
    <s v="Discount Not Allowed"/>
    <s v="11/12/24"/>
  </r>
  <r>
    <s v="TXN_2229400"/>
    <s v="CUST_08"/>
    <x v="4"/>
    <x v="53"/>
    <x v="7"/>
    <x v="3"/>
    <n v="213.5"/>
    <x v="1"/>
    <x v="0"/>
    <x v="830"/>
    <x v="1"/>
    <s v="DISCOUNT ALLOWED"/>
    <s v="discount allowed"/>
    <s v="DISCOUNT ALLOWED"/>
    <s v="Discount Allowed"/>
    <s v="29/12/23"/>
  </r>
  <r>
    <s v="TXN_3619820"/>
    <s v="CUST_12"/>
    <x v="4"/>
    <x v="53"/>
    <x v="7"/>
    <x v="3"/>
    <n v="213.5"/>
    <x v="0"/>
    <x v="0"/>
    <x v="831"/>
    <x v="0"/>
    <s v="DISCOUNT NOT ALLOWED"/>
    <s v="discount not allowed"/>
    <s v="DISCOUNT NOT ALLOWED"/>
    <s v="Discount Not Allowed"/>
    <s v="23/12/23"/>
  </r>
  <r>
    <s v="TXN_3646423"/>
    <s v="CUST_24"/>
    <x v="6"/>
    <x v="58"/>
    <x v="7"/>
    <x v="3"/>
    <n v="213.5"/>
    <x v="2"/>
    <x v="0"/>
    <x v="164"/>
    <x v="1"/>
    <s v="DISCOUNT ALLOWED"/>
    <s v="discount allowed"/>
    <s v="DISCOUNT ALLOWED"/>
    <s v="Discount Allowed"/>
    <s v="26/01/22"/>
  </r>
  <r>
    <s v="TXN_4093697"/>
    <s v="CUST_12"/>
    <x v="1"/>
    <x v="59"/>
    <x v="7"/>
    <x v="3"/>
    <n v="213.5"/>
    <x v="2"/>
    <x v="0"/>
    <x v="487"/>
    <x v="1"/>
    <s v="DISCOUNT ALLOWED"/>
    <s v="discount allowed"/>
    <s v="DISCOUNT ALLOWED"/>
    <s v="Discount Allowed"/>
    <s v="06/02/22"/>
  </r>
  <r>
    <s v="TXN_4219882"/>
    <s v="CUST_04"/>
    <x v="6"/>
    <x v="58"/>
    <x v="7"/>
    <x v="3"/>
    <n v="213.5"/>
    <x v="0"/>
    <x v="0"/>
    <x v="599"/>
    <x v="1"/>
    <s v="DISCOUNT ALLOWED"/>
    <s v="discount allowed"/>
    <s v="DISCOUNT ALLOWED"/>
    <s v="Discount Allowed"/>
    <s v="10/07/23"/>
  </r>
  <r>
    <s v="TXN_5109989"/>
    <s v="CUST_10"/>
    <x v="1"/>
    <x v="59"/>
    <x v="7"/>
    <x v="3"/>
    <n v="213.5"/>
    <x v="0"/>
    <x v="0"/>
    <x v="246"/>
    <x v="1"/>
    <s v="DISCOUNT ALLOWED"/>
    <s v="discount allowed"/>
    <s v="DISCOUNT ALLOWED"/>
    <s v="Discount Allowed"/>
    <s v="13/08/22"/>
  </r>
  <r>
    <s v="TXN_5353247"/>
    <s v="CUST_02"/>
    <x v="4"/>
    <x v="53"/>
    <x v="7"/>
    <x v="3"/>
    <n v="213.5"/>
    <x v="2"/>
    <x v="0"/>
    <x v="684"/>
    <x v="1"/>
    <s v="DISCOUNT ALLOWED"/>
    <s v="discount allowed"/>
    <s v="DISCOUNT ALLOWED"/>
    <s v="Discount Allowed"/>
    <s v="13/03/24"/>
  </r>
  <r>
    <s v="TXN_5770406"/>
    <s v="CUST_04"/>
    <x v="0"/>
    <x v="57"/>
    <x v="7"/>
    <x v="3"/>
    <n v="213.5"/>
    <x v="0"/>
    <x v="1"/>
    <x v="832"/>
    <x v="0"/>
    <s v="DISCOUNT NOT ALLOWED"/>
    <s v="discount not allowed"/>
    <s v="DISCOUNT NOT ALLOWED"/>
    <s v="Discount Not Allowed"/>
    <s v="27/08/22"/>
  </r>
  <r>
    <s v="TXN_6157602"/>
    <s v="CUST_21"/>
    <x v="4"/>
    <x v="53"/>
    <x v="7"/>
    <x v="3"/>
    <n v="213.5"/>
    <x v="0"/>
    <x v="0"/>
    <x v="670"/>
    <x v="0"/>
    <s v="DISCOUNT NOT ALLOWED"/>
    <s v="discount not allowed"/>
    <s v="DISCOUNT NOT ALLOWED"/>
    <s v="Discount Not Allowed"/>
    <s v="22/10/23"/>
  </r>
  <r>
    <s v="TXN_6363608"/>
    <s v="CUST_15"/>
    <x v="7"/>
    <x v="60"/>
    <x v="7"/>
    <x v="3"/>
    <n v="213.5"/>
    <x v="2"/>
    <x v="0"/>
    <x v="25"/>
    <x v="1"/>
    <s v="DISCOUNT ALLOWED"/>
    <s v="discount allowed"/>
    <s v="DISCOUNT ALLOWED"/>
    <s v="Discount Allowed"/>
    <s v="24/09/22"/>
  </r>
  <r>
    <s v="TXN_6499936"/>
    <s v="CUST_12"/>
    <x v="4"/>
    <x v="53"/>
    <x v="7"/>
    <x v="3"/>
    <n v="213.5"/>
    <x v="2"/>
    <x v="1"/>
    <x v="18"/>
    <x v="0"/>
    <s v="DISCOUNT NOT ALLOWED"/>
    <s v="discount not allowed"/>
    <s v="DISCOUNT NOT ALLOWED"/>
    <s v="Discount Not Allowed"/>
    <s v="16/02/23"/>
  </r>
  <r>
    <s v="TXN_7224309"/>
    <s v="CUST_22"/>
    <x v="5"/>
    <x v="54"/>
    <x v="7"/>
    <x v="3"/>
    <n v="213.5"/>
    <x v="0"/>
    <x v="0"/>
    <x v="833"/>
    <x v="1"/>
    <s v="DISCOUNT ALLOWED"/>
    <s v="discount allowed"/>
    <s v="DISCOUNT ALLOWED"/>
    <s v="Discount Allowed"/>
    <s v="22/05/24"/>
  </r>
  <r>
    <s v="TXN_8229653"/>
    <s v="CUST_03"/>
    <x v="3"/>
    <x v="55"/>
    <x v="7"/>
    <x v="3"/>
    <n v="213.5"/>
    <x v="0"/>
    <x v="0"/>
    <x v="773"/>
    <x v="1"/>
    <s v="DISCOUNT ALLOWED"/>
    <s v="discount allowed"/>
    <s v="DISCOUNT ALLOWED"/>
    <s v="Discount Allowed"/>
    <s v="16/09/23"/>
  </r>
  <r>
    <s v="TXN_8480994"/>
    <s v="CUST_18"/>
    <x v="3"/>
    <x v="55"/>
    <x v="7"/>
    <x v="3"/>
    <n v="213.5"/>
    <x v="1"/>
    <x v="0"/>
    <x v="834"/>
    <x v="0"/>
    <s v="DISCOUNT NOT ALLOWED"/>
    <s v="discount not allowed"/>
    <s v="DISCOUNT NOT ALLOWED"/>
    <s v="Discount Not Allowed"/>
    <s v="21/02/24"/>
  </r>
  <r>
    <s v="TXN_8489843"/>
    <s v="CUST_06"/>
    <x v="4"/>
    <x v="53"/>
    <x v="7"/>
    <x v="3"/>
    <n v="213.5"/>
    <x v="1"/>
    <x v="1"/>
    <x v="835"/>
    <x v="0"/>
    <s v="DISCOUNT NOT ALLOWED"/>
    <s v="discount not allowed"/>
    <s v="DISCOUNT NOT ALLOWED"/>
    <s v="Discount Not Allowed"/>
    <s v="20/03/22"/>
  </r>
  <r>
    <s v="TXN_8768180"/>
    <s v="CUST_17"/>
    <x v="0"/>
    <x v="57"/>
    <x v="7"/>
    <x v="3"/>
    <n v="213.5"/>
    <x v="0"/>
    <x v="0"/>
    <x v="836"/>
    <x v="1"/>
    <s v="DISCOUNT ALLOWED"/>
    <s v="discount allowed"/>
    <s v="DISCOUNT ALLOWED"/>
    <s v="Discount Allowed"/>
    <s v="22/05/22"/>
  </r>
  <r>
    <s v="TXN_9263121"/>
    <s v="CUST_20"/>
    <x v="4"/>
    <x v="53"/>
    <x v="7"/>
    <x v="3"/>
    <n v="213.5"/>
    <x v="2"/>
    <x v="1"/>
    <x v="82"/>
    <x v="0"/>
    <s v="DISCOUNT NOT ALLOWED"/>
    <s v="discount not allowed"/>
    <s v="DISCOUNT NOT ALLOWED"/>
    <s v="Discount Not Allowed"/>
    <s v="07/10/24"/>
  </r>
  <r>
    <s v="TXN_9793935"/>
    <s v="CUST_18"/>
    <x v="0"/>
    <x v="57"/>
    <x v="7"/>
    <x v="3"/>
    <n v="213.5"/>
    <x v="2"/>
    <x v="1"/>
    <x v="837"/>
    <x v="1"/>
    <s v="DISCOUNT ALLOWED"/>
    <s v="discount allowed"/>
    <s v="DISCOUNT ALLOWED"/>
    <s v="Discount Allowed"/>
    <s v="04/10/23"/>
  </r>
  <r>
    <s v="TXN_9863754"/>
    <s v="CUST_09"/>
    <x v="3"/>
    <x v="55"/>
    <x v="7"/>
    <x v="3"/>
    <n v="213.5"/>
    <x v="0"/>
    <x v="1"/>
    <x v="838"/>
    <x v="1"/>
    <s v="DISCOUNT ALLOWED"/>
    <s v="discount allowed"/>
    <s v="DISCOUNT ALLOWED"/>
    <s v="Discount Allowed"/>
    <s v="24/10/22"/>
  </r>
  <r>
    <s v="TXN_9965946"/>
    <s v="CUST_02"/>
    <x v="1"/>
    <x v="59"/>
    <x v="7"/>
    <x v="3"/>
    <n v="213.5"/>
    <x v="0"/>
    <x v="1"/>
    <x v="224"/>
    <x v="0"/>
    <s v="DISCOUNT NOT ALLOWED"/>
    <s v="discount not allowed"/>
    <s v="DISCOUNT NOT ALLOWED"/>
    <s v="Discount Not Allowed"/>
    <s v="10/06/23"/>
  </r>
  <r>
    <s v="TXN_1294354"/>
    <s v="CUST_10"/>
    <x v="5"/>
    <x v="35"/>
    <x v="4"/>
    <x v="4"/>
    <n v="210"/>
    <x v="0"/>
    <x v="1"/>
    <x v="535"/>
    <x v="1"/>
    <s v="DISCOUNT ALLOWED"/>
    <s v="discount allowed"/>
    <s v="DISCOUNT ALLOWED"/>
    <s v="Discount Allowed"/>
    <s v="06/07/24"/>
  </r>
  <r>
    <s v="TXN_1476186"/>
    <s v="CUST_21"/>
    <x v="5"/>
    <x v="35"/>
    <x v="4"/>
    <x v="4"/>
    <n v="210"/>
    <x v="0"/>
    <x v="1"/>
    <x v="839"/>
    <x v="0"/>
    <s v="DISCOUNT NOT ALLOWED"/>
    <s v="discount not allowed"/>
    <s v="DISCOUNT NOT ALLOWED"/>
    <s v="Discount Not Allowed"/>
    <s v="18/11/22"/>
  </r>
  <r>
    <s v="TXN_1510369"/>
    <s v="CUST_14"/>
    <x v="1"/>
    <x v="34"/>
    <x v="4"/>
    <x v="4"/>
    <n v="210"/>
    <x v="2"/>
    <x v="1"/>
    <x v="22"/>
    <x v="1"/>
    <s v="DISCOUNT ALLOWED"/>
    <s v="discount allowed"/>
    <s v="DISCOUNT ALLOWED"/>
    <s v="Discount Allowed"/>
    <s v="24/01/24"/>
  </r>
  <r>
    <s v="TXN_1890352"/>
    <s v="CUST_25"/>
    <x v="6"/>
    <x v="33"/>
    <x v="4"/>
    <x v="4"/>
    <n v="210"/>
    <x v="0"/>
    <x v="0"/>
    <x v="840"/>
    <x v="0"/>
    <s v="DISCOUNT NOT ALLOWED"/>
    <s v="discount not allowed"/>
    <s v="DISCOUNT NOT ALLOWED"/>
    <s v="Discount Not Allowed"/>
    <s v="07/03/22"/>
  </r>
  <r>
    <s v="TXN_2163566"/>
    <s v="CUST_24"/>
    <x v="3"/>
    <x v="52"/>
    <x v="4"/>
    <x v="4"/>
    <n v="210"/>
    <x v="2"/>
    <x v="1"/>
    <x v="702"/>
    <x v="0"/>
    <s v="DISCOUNT NOT ALLOWED"/>
    <s v="discount not allowed"/>
    <s v="DISCOUNT NOT ALLOWED"/>
    <s v="Discount Not Allowed"/>
    <s v="09/02/22"/>
  </r>
  <r>
    <s v="TXN_2175503"/>
    <s v="CUST_20"/>
    <x v="5"/>
    <x v="35"/>
    <x v="4"/>
    <x v="4"/>
    <n v="210"/>
    <x v="1"/>
    <x v="1"/>
    <x v="709"/>
    <x v="0"/>
    <s v="DISCOUNT NOT ALLOWED"/>
    <s v="discount not allowed"/>
    <s v="DISCOUNT NOT ALLOWED"/>
    <s v="Discount Not Allowed"/>
    <s v="02/01/24"/>
  </r>
  <r>
    <s v="TXN_2640121"/>
    <s v="CUST_06"/>
    <x v="2"/>
    <x v="32"/>
    <x v="4"/>
    <x v="4"/>
    <n v="210"/>
    <x v="0"/>
    <x v="0"/>
    <x v="212"/>
    <x v="0"/>
    <s v="DISCOUNT NOT ALLOWED"/>
    <s v="discount not allowed"/>
    <s v="DISCOUNT NOT ALLOWED"/>
    <s v="Discount Not Allowed"/>
    <s v="10/12/22"/>
  </r>
  <r>
    <s v="TXN_3152795"/>
    <s v="CUST_10"/>
    <x v="0"/>
    <x v="31"/>
    <x v="4"/>
    <x v="4"/>
    <n v="210"/>
    <x v="0"/>
    <x v="0"/>
    <x v="181"/>
    <x v="1"/>
    <s v="DISCOUNT ALLOWED"/>
    <s v="discount allowed"/>
    <s v="DISCOUNT ALLOWED"/>
    <s v="Discount Allowed"/>
    <s v="14/08/23"/>
  </r>
  <r>
    <s v="TXN_3602634"/>
    <s v="CUST_21"/>
    <x v="4"/>
    <x v="36"/>
    <x v="4"/>
    <x v="4"/>
    <n v="210"/>
    <x v="2"/>
    <x v="1"/>
    <x v="841"/>
    <x v="1"/>
    <s v="DISCOUNT ALLOWED"/>
    <s v="discount allowed"/>
    <s v="DISCOUNT ALLOWED"/>
    <s v="Discount Allowed"/>
    <s v="14/06/23"/>
  </r>
  <r>
    <s v="TXN_4259268"/>
    <s v="CUST_10"/>
    <x v="5"/>
    <x v="35"/>
    <x v="4"/>
    <x v="4"/>
    <n v="210"/>
    <x v="0"/>
    <x v="1"/>
    <x v="178"/>
    <x v="0"/>
    <s v="DISCOUNT NOT ALLOWED"/>
    <s v="discount not allowed"/>
    <s v="DISCOUNT NOT ALLOWED"/>
    <s v="Discount Not Allowed"/>
    <s v="21/10/24"/>
  </r>
  <r>
    <s v="TXN_5269978"/>
    <s v="CUST_17"/>
    <x v="4"/>
    <x v="36"/>
    <x v="4"/>
    <x v="4"/>
    <n v="210"/>
    <x v="0"/>
    <x v="0"/>
    <x v="842"/>
    <x v="1"/>
    <s v="DISCOUNT ALLOWED"/>
    <s v="discount allowed"/>
    <s v="DISCOUNT ALLOWED"/>
    <s v="Discount Allowed"/>
    <s v="30/03/24"/>
  </r>
  <r>
    <s v="TXN_5498882"/>
    <s v="CUST_15"/>
    <x v="4"/>
    <x v="36"/>
    <x v="4"/>
    <x v="4"/>
    <n v="210"/>
    <x v="2"/>
    <x v="0"/>
    <x v="458"/>
    <x v="1"/>
    <s v="DISCOUNT ALLOWED"/>
    <s v="discount allowed"/>
    <s v="DISCOUNT ALLOWED"/>
    <s v="Discount Allowed"/>
    <s v="18/05/24"/>
  </r>
  <r>
    <s v="TXN_5629281"/>
    <s v="CUST_20"/>
    <x v="6"/>
    <x v="33"/>
    <x v="4"/>
    <x v="4"/>
    <n v="210"/>
    <x v="1"/>
    <x v="0"/>
    <x v="249"/>
    <x v="0"/>
    <s v="DISCOUNT NOT ALLOWED"/>
    <s v="discount not allowed"/>
    <s v="DISCOUNT NOT ALLOWED"/>
    <s v="Discount Not Allowed"/>
    <s v="12/04/24"/>
  </r>
  <r>
    <s v="TXN_6405900"/>
    <s v="CUST_16"/>
    <x v="3"/>
    <x v="52"/>
    <x v="4"/>
    <x v="4"/>
    <n v="210"/>
    <x v="2"/>
    <x v="0"/>
    <x v="326"/>
    <x v="1"/>
    <s v="DISCOUNT ALLOWED"/>
    <s v="discount allowed"/>
    <s v="DISCOUNT ALLOWED"/>
    <s v="Discount Allowed"/>
    <s v="10/09/24"/>
  </r>
  <r>
    <s v="TXN_6434833"/>
    <s v="CUST_20"/>
    <x v="4"/>
    <x v="36"/>
    <x v="4"/>
    <x v="4"/>
    <n v="210"/>
    <x v="1"/>
    <x v="0"/>
    <x v="186"/>
    <x v="1"/>
    <s v="DISCOUNT ALLOWED"/>
    <s v="discount allowed"/>
    <s v="DISCOUNT ALLOWED"/>
    <s v="Discount Allowed"/>
    <s v="15/09/22"/>
  </r>
  <r>
    <s v="TXN_6460857"/>
    <s v="CUST_06"/>
    <x v="6"/>
    <x v="33"/>
    <x v="4"/>
    <x v="4"/>
    <n v="210"/>
    <x v="2"/>
    <x v="1"/>
    <x v="7"/>
    <x v="0"/>
    <s v="DISCOUNT NOT ALLOWED"/>
    <s v="discount not allowed"/>
    <s v="DISCOUNT NOT ALLOWED"/>
    <s v="Discount Not Allowed"/>
    <s v="23/02/22"/>
  </r>
  <r>
    <s v="TXN_6656161"/>
    <s v="CUST_09"/>
    <x v="3"/>
    <x v="52"/>
    <x v="4"/>
    <x v="4"/>
    <n v="210"/>
    <x v="0"/>
    <x v="1"/>
    <x v="831"/>
    <x v="1"/>
    <s v="DISCOUNT ALLOWED"/>
    <s v="discount allowed"/>
    <s v="DISCOUNT ALLOWED"/>
    <s v="Discount Allowed"/>
    <s v="23/12/23"/>
  </r>
  <r>
    <s v="TXN_7218983"/>
    <s v="CUST_09"/>
    <x v="0"/>
    <x v="31"/>
    <x v="4"/>
    <x v="4"/>
    <n v="210"/>
    <x v="0"/>
    <x v="1"/>
    <x v="42"/>
    <x v="1"/>
    <s v="DISCOUNT ALLOWED"/>
    <s v="discount allowed"/>
    <s v="DISCOUNT ALLOWED"/>
    <s v="Discount Allowed"/>
    <s v="02/09/22"/>
  </r>
  <r>
    <s v="TXN_8196352"/>
    <s v="CUST_10"/>
    <x v="5"/>
    <x v="35"/>
    <x v="4"/>
    <x v="4"/>
    <n v="210"/>
    <x v="1"/>
    <x v="1"/>
    <x v="843"/>
    <x v="1"/>
    <s v="DISCOUNT ALLOWED"/>
    <s v="discount allowed"/>
    <s v="DISCOUNT ALLOWED"/>
    <s v="Discount Allowed"/>
    <s v="07/08/24"/>
  </r>
  <r>
    <s v="TXN_9635473"/>
    <s v="CUST_01"/>
    <x v="4"/>
    <x v="36"/>
    <x v="4"/>
    <x v="4"/>
    <n v="210"/>
    <x v="2"/>
    <x v="1"/>
    <x v="707"/>
    <x v="0"/>
    <s v="DISCOUNT NOT ALLOWED"/>
    <s v="discount not allowed"/>
    <s v="DISCOUNT NOT ALLOWED"/>
    <s v="Discount Not Allowed"/>
    <s v="08/06/23"/>
  </r>
  <r>
    <s v="TXN_9768625"/>
    <s v="CUST_15"/>
    <x v="6"/>
    <x v="33"/>
    <x v="4"/>
    <x v="4"/>
    <n v="210"/>
    <x v="2"/>
    <x v="0"/>
    <x v="844"/>
    <x v="0"/>
    <s v="DISCOUNT NOT ALLOWED"/>
    <s v="discount not allowed"/>
    <s v="DISCOUNT NOT ALLOWED"/>
    <s v="Discount Not Allowed"/>
    <s v="15/12/23"/>
  </r>
  <r>
    <s v="TXN_9821519"/>
    <s v="CUST_10"/>
    <x v="5"/>
    <x v="35"/>
    <x v="4"/>
    <x v="4"/>
    <n v="210"/>
    <x v="0"/>
    <x v="1"/>
    <x v="14"/>
    <x v="1"/>
    <s v="DISCOUNT ALLOWED"/>
    <s v="discount allowed"/>
    <s v="DISCOUNT ALLOWED"/>
    <s v="Discount Allowed"/>
    <s v="07/06/22"/>
  </r>
  <r>
    <s v="TXN_1021914"/>
    <s v="CUST_25"/>
    <x v="5"/>
    <x v="81"/>
    <x v="10"/>
    <x v="2"/>
    <n v="208"/>
    <x v="2"/>
    <x v="1"/>
    <x v="358"/>
    <x v="0"/>
    <s v="DISCOUNT NOT ALLOWED"/>
    <s v="discount not allowed"/>
    <s v="DISCOUNT NOT ALLOWED"/>
    <s v="Discount Not Allowed"/>
    <s v="01/10/22"/>
  </r>
  <r>
    <s v="TXN_1198866"/>
    <s v="CUST_11"/>
    <x v="7"/>
    <x v="83"/>
    <x v="10"/>
    <x v="2"/>
    <n v="208"/>
    <x v="2"/>
    <x v="0"/>
    <x v="489"/>
    <x v="0"/>
    <s v="DISCOUNT NOT ALLOWED"/>
    <s v="discount not allowed"/>
    <s v="DISCOUNT NOT ALLOWED"/>
    <s v="Discount Not Allowed"/>
    <s v="12/01/22"/>
  </r>
  <r>
    <s v="TXN_1385443"/>
    <s v="CUST_08"/>
    <x v="2"/>
    <x v="77"/>
    <x v="10"/>
    <x v="2"/>
    <n v="208"/>
    <x v="1"/>
    <x v="0"/>
    <x v="18"/>
    <x v="0"/>
    <s v="DISCOUNT NOT ALLOWED"/>
    <s v="discount not allowed"/>
    <s v="DISCOUNT NOT ALLOWED"/>
    <s v="Discount Not Allowed"/>
    <s v="16/02/23"/>
  </r>
  <r>
    <s v="TXN_1673915"/>
    <s v="CUST_16"/>
    <x v="2"/>
    <x v="77"/>
    <x v="10"/>
    <x v="2"/>
    <n v="208"/>
    <x v="0"/>
    <x v="0"/>
    <x v="565"/>
    <x v="0"/>
    <s v="DISCOUNT NOT ALLOWED"/>
    <s v="discount not allowed"/>
    <s v="DISCOUNT NOT ALLOWED"/>
    <s v="Discount Not Allowed"/>
    <s v="15/02/23"/>
  </r>
  <r>
    <s v="TXN_1788104"/>
    <s v="CUST_22"/>
    <x v="2"/>
    <x v="77"/>
    <x v="10"/>
    <x v="2"/>
    <n v="208"/>
    <x v="0"/>
    <x v="0"/>
    <x v="612"/>
    <x v="0"/>
    <s v="DISCOUNT NOT ALLOWED"/>
    <s v="discount not allowed"/>
    <s v="DISCOUNT NOT ALLOWED"/>
    <s v="Discount Not Allowed"/>
    <s v="18/11/24"/>
  </r>
  <r>
    <s v="TXN_1806496"/>
    <s v="CUST_23"/>
    <x v="2"/>
    <x v="77"/>
    <x v="10"/>
    <x v="2"/>
    <n v="208"/>
    <x v="0"/>
    <x v="0"/>
    <x v="845"/>
    <x v="0"/>
    <s v="DISCOUNT NOT ALLOWED"/>
    <s v="discount not allowed"/>
    <s v="DISCOUNT NOT ALLOWED"/>
    <s v="Discount Not Allowed"/>
    <s v="09/05/24"/>
  </r>
  <r>
    <s v="TXN_1869739"/>
    <s v="CUST_21"/>
    <x v="6"/>
    <x v="82"/>
    <x v="10"/>
    <x v="2"/>
    <n v="208"/>
    <x v="0"/>
    <x v="1"/>
    <x v="629"/>
    <x v="0"/>
    <s v="DISCOUNT NOT ALLOWED"/>
    <s v="discount not allowed"/>
    <s v="DISCOUNT NOT ALLOWED"/>
    <s v="Discount Not Allowed"/>
    <s v="16/12/24"/>
  </r>
  <r>
    <s v="TXN_1899145"/>
    <s v="CUST_11"/>
    <x v="3"/>
    <x v="80"/>
    <x v="10"/>
    <x v="2"/>
    <n v="208"/>
    <x v="1"/>
    <x v="0"/>
    <x v="438"/>
    <x v="1"/>
    <s v="DISCOUNT ALLOWED"/>
    <s v="discount allowed"/>
    <s v="DISCOUNT ALLOWED"/>
    <s v="Discount Allowed"/>
    <s v="11/01/22"/>
  </r>
  <r>
    <s v="TXN_2075432"/>
    <s v="CUST_03"/>
    <x v="2"/>
    <x v="77"/>
    <x v="10"/>
    <x v="2"/>
    <n v="208"/>
    <x v="1"/>
    <x v="0"/>
    <x v="846"/>
    <x v="0"/>
    <s v="DISCOUNT NOT ALLOWED"/>
    <s v="discount not allowed"/>
    <s v="DISCOUNT NOT ALLOWED"/>
    <s v="Discount Not Allowed"/>
    <s v="29/03/23"/>
  </r>
  <r>
    <s v="TXN_2174591"/>
    <s v="CUST_11"/>
    <x v="5"/>
    <x v="81"/>
    <x v="10"/>
    <x v="2"/>
    <n v="208"/>
    <x v="0"/>
    <x v="0"/>
    <x v="211"/>
    <x v="1"/>
    <s v="DISCOUNT ALLOWED"/>
    <s v="discount allowed"/>
    <s v="DISCOUNT ALLOWED"/>
    <s v="Discount Allowed"/>
    <s v="12/09/22"/>
  </r>
  <r>
    <s v="TXN_2554615"/>
    <s v="CUST_21"/>
    <x v="6"/>
    <x v="82"/>
    <x v="10"/>
    <x v="2"/>
    <n v="208"/>
    <x v="0"/>
    <x v="0"/>
    <x v="847"/>
    <x v="0"/>
    <s v="DISCOUNT NOT ALLOWED"/>
    <s v="discount not allowed"/>
    <s v="DISCOUNT NOT ALLOWED"/>
    <s v="Discount Not Allowed"/>
    <s v="04/11/24"/>
  </r>
  <r>
    <s v="TXN_3100291"/>
    <s v="CUST_10"/>
    <x v="6"/>
    <x v="82"/>
    <x v="10"/>
    <x v="2"/>
    <n v="208"/>
    <x v="1"/>
    <x v="0"/>
    <x v="500"/>
    <x v="0"/>
    <s v="DISCOUNT NOT ALLOWED"/>
    <s v="discount not allowed"/>
    <s v="DISCOUNT NOT ALLOWED"/>
    <s v="Discount Not Allowed"/>
    <s v="16/06/23"/>
  </r>
  <r>
    <s v="TXN_3628073"/>
    <s v="CUST_08"/>
    <x v="3"/>
    <x v="80"/>
    <x v="10"/>
    <x v="2"/>
    <n v="208"/>
    <x v="1"/>
    <x v="1"/>
    <x v="164"/>
    <x v="1"/>
    <s v="DISCOUNT ALLOWED"/>
    <s v="discount allowed"/>
    <s v="DISCOUNT ALLOWED"/>
    <s v="Discount Allowed"/>
    <s v="26/01/22"/>
  </r>
  <r>
    <s v="TXN_3766991"/>
    <s v="CUST_21"/>
    <x v="5"/>
    <x v="81"/>
    <x v="10"/>
    <x v="2"/>
    <n v="208"/>
    <x v="1"/>
    <x v="0"/>
    <x v="789"/>
    <x v="1"/>
    <s v="DISCOUNT ALLOWED"/>
    <s v="discount allowed"/>
    <s v="DISCOUNT ALLOWED"/>
    <s v="Discount Allowed"/>
    <s v="24/09/23"/>
  </r>
  <r>
    <s v="TXN_4408619"/>
    <s v="CUST_14"/>
    <x v="5"/>
    <x v="81"/>
    <x v="10"/>
    <x v="2"/>
    <n v="208"/>
    <x v="0"/>
    <x v="0"/>
    <x v="848"/>
    <x v="1"/>
    <s v="DISCOUNT ALLOWED"/>
    <s v="discount allowed"/>
    <s v="DISCOUNT ALLOWED"/>
    <s v="Discount Allowed"/>
    <s v="22/10/22"/>
  </r>
  <r>
    <s v="TXN_4495427"/>
    <s v="CUST_06"/>
    <x v="0"/>
    <x v="84"/>
    <x v="10"/>
    <x v="2"/>
    <n v="208"/>
    <x v="1"/>
    <x v="0"/>
    <x v="476"/>
    <x v="0"/>
    <s v="DISCOUNT NOT ALLOWED"/>
    <s v="discount not allowed"/>
    <s v="DISCOUNT NOT ALLOWED"/>
    <s v="Discount Not Allowed"/>
    <s v="04/04/24"/>
  </r>
  <r>
    <s v="TXN_4795710"/>
    <s v="CUST_02"/>
    <x v="4"/>
    <x v="79"/>
    <x v="10"/>
    <x v="2"/>
    <n v="208"/>
    <x v="2"/>
    <x v="1"/>
    <x v="849"/>
    <x v="0"/>
    <s v="DISCOUNT NOT ALLOWED"/>
    <s v="discount not allowed"/>
    <s v="DISCOUNT NOT ALLOWED"/>
    <s v="Discount Not Allowed"/>
    <s v="01/02/23"/>
  </r>
  <r>
    <s v="TXN_4827125"/>
    <s v="CUST_03"/>
    <x v="0"/>
    <x v="84"/>
    <x v="10"/>
    <x v="2"/>
    <n v="208"/>
    <x v="2"/>
    <x v="1"/>
    <x v="850"/>
    <x v="0"/>
    <s v="DISCOUNT NOT ALLOWED"/>
    <s v="discount not allowed"/>
    <s v="DISCOUNT NOT ALLOWED"/>
    <s v="Discount Not Allowed"/>
    <s v="27/10/23"/>
  </r>
  <r>
    <s v="TXN_4940851"/>
    <s v="CUST_07"/>
    <x v="3"/>
    <x v="80"/>
    <x v="10"/>
    <x v="2"/>
    <n v="208"/>
    <x v="1"/>
    <x v="0"/>
    <x v="441"/>
    <x v="1"/>
    <s v="DISCOUNT ALLOWED"/>
    <s v="discount allowed"/>
    <s v="DISCOUNT ALLOWED"/>
    <s v="Discount Allowed"/>
    <s v="09/05/22"/>
  </r>
  <r>
    <s v="TXN_5119763"/>
    <s v="CUST_22"/>
    <x v="5"/>
    <x v="81"/>
    <x v="10"/>
    <x v="2"/>
    <n v="208"/>
    <x v="0"/>
    <x v="0"/>
    <x v="851"/>
    <x v="0"/>
    <s v="DISCOUNT NOT ALLOWED"/>
    <s v="discount not allowed"/>
    <s v="DISCOUNT NOT ALLOWED"/>
    <s v="Discount Not Allowed"/>
    <s v="28/03/22"/>
  </r>
  <r>
    <s v="TXN_5238211"/>
    <s v="CUST_09"/>
    <x v="2"/>
    <x v="77"/>
    <x v="10"/>
    <x v="2"/>
    <n v="208"/>
    <x v="1"/>
    <x v="1"/>
    <x v="844"/>
    <x v="1"/>
    <s v="DISCOUNT ALLOWED"/>
    <s v="discount allowed"/>
    <s v="DISCOUNT ALLOWED"/>
    <s v="Discount Allowed"/>
    <s v="15/12/23"/>
  </r>
  <r>
    <s v="TXN_5288559"/>
    <s v="CUST_25"/>
    <x v="1"/>
    <x v="78"/>
    <x v="10"/>
    <x v="2"/>
    <n v="208"/>
    <x v="0"/>
    <x v="0"/>
    <x v="280"/>
    <x v="1"/>
    <s v="DISCOUNT ALLOWED"/>
    <s v="discount allowed"/>
    <s v="DISCOUNT ALLOWED"/>
    <s v="Discount Allowed"/>
    <s v="28/06/23"/>
  </r>
  <r>
    <s v="TXN_5630495"/>
    <s v="CUST_12"/>
    <x v="7"/>
    <x v="83"/>
    <x v="10"/>
    <x v="2"/>
    <n v="208"/>
    <x v="2"/>
    <x v="0"/>
    <x v="575"/>
    <x v="1"/>
    <s v="DISCOUNT ALLOWED"/>
    <s v="discount allowed"/>
    <s v="DISCOUNT ALLOWED"/>
    <s v="Discount Allowed"/>
    <s v="09/01/23"/>
  </r>
  <r>
    <s v="TXN_5681367"/>
    <s v="CUST_25"/>
    <x v="7"/>
    <x v="83"/>
    <x v="10"/>
    <x v="2"/>
    <n v="208"/>
    <x v="2"/>
    <x v="0"/>
    <x v="84"/>
    <x v="0"/>
    <s v="DISCOUNT NOT ALLOWED"/>
    <s v="discount not allowed"/>
    <s v="DISCOUNT NOT ALLOWED"/>
    <s v="Discount Not Allowed"/>
    <s v="26/04/22"/>
  </r>
  <r>
    <s v="TXN_8023602"/>
    <s v="CUST_21"/>
    <x v="1"/>
    <x v="78"/>
    <x v="10"/>
    <x v="2"/>
    <n v="208"/>
    <x v="0"/>
    <x v="1"/>
    <x v="127"/>
    <x v="1"/>
    <s v="DISCOUNT ALLOWED"/>
    <s v="discount allowed"/>
    <s v="DISCOUNT ALLOWED"/>
    <s v="Discount Allowed"/>
    <s v="23/05/24"/>
  </r>
  <r>
    <s v="TXN_8070639"/>
    <s v="CUST_03"/>
    <x v="6"/>
    <x v="82"/>
    <x v="10"/>
    <x v="2"/>
    <n v="208"/>
    <x v="0"/>
    <x v="0"/>
    <x v="341"/>
    <x v="1"/>
    <s v="DISCOUNT ALLOWED"/>
    <s v="discount allowed"/>
    <s v="DISCOUNT ALLOWED"/>
    <s v="Discount Allowed"/>
    <s v="12/07/24"/>
  </r>
  <r>
    <s v="TXN_8393896"/>
    <s v="CUST_06"/>
    <x v="6"/>
    <x v="82"/>
    <x v="10"/>
    <x v="2"/>
    <n v="208"/>
    <x v="1"/>
    <x v="1"/>
    <x v="852"/>
    <x v="0"/>
    <s v="DISCOUNT NOT ALLOWED"/>
    <s v="discount not allowed"/>
    <s v="DISCOUNT NOT ALLOWED"/>
    <s v="Discount Not Allowed"/>
    <s v="26/05/22"/>
  </r>
  <r>
    <s v="TXN_9036403"/>
    <s v="CUST_25"/>
    <x v="2"/>
    <x v="77"/>
    <x v="10"/>
    <x v="2"/>
    <n v="208"/>
    <x v="1"/>
    <x v="1"/>
    <x v="610"/>
    <x v="1"/>
    <s v="DISCOUNT ALLOWED"/>
    <s v="discount allowed"/>
    <s v="DISCOUNT ALLOWED"/>
    <s v="Discount Allowed"/>
    <s v="15/08/24"/>
  </r>
  <r>
    <s v="TXN_9315342"/>
    <s v="CUST_23"/>
    <x v="6"/>
    <x v="82"/>
    <x v="10"/>
    <x v="2"/>
    <n v="208"/>
    <x v="0"/>
    <x v="0"/>
    <x v="456"/>
    <x v="0"/>
    <s v="DISCOUNT NOT ALLOWED"/>
    <s v="discount not allowed"/>
    <s v="DISCOUNT NOT ALLOWED"/>
    <s v="Discount Not Allowed"/>
    <s v="18/07/24"/>
  </r>
  <r>
    <s v="TXN_2032621"/>
    <s v="CUST_05"/>
    <x v="5"/>
    <x v="97"/>
    <x v="12"/>
    <x v="1"/>
    <n v="207"/>
    <x v="2"/>
    <x v="0"/>
    <x v="853"/>
    <x v="0"/>
    <s v="DISCOUNT NOT ALLOWED"/>
    <s v="discount not allowed"/>
    <s v="DISCOUNT NOT ALLOWED"/>
    <s v="Discount Not Allowed"/>
    <s v="12/08/24"/>
  </r>
  <r>
    <s v="TXN_2169323"/>
    <s v="CUST_25"/>
    <x v="0"/>
    <x v="98"/>
    <x v="12"/>
    <x v="1"/>
    <n v="207"/>
    <x v="1"/>
    <x v="0"/>
    <x v="833"/>
    <x v="1"/>
    <s v="DISCOUNT ALLOWED"/>
    <s v="discount allowed"/>
    <s v="DISCOUNT ALLOWED"/>
    <s v="Discount Allowed"/>
    <s v="22/05/24"/>
  </r>
  <r>
    <s v="TXN_2327962"/>
    <s v="CUST_12"/>
    <x v="5"/>
    <x v="97"/>
    <x v="12"/>
    <x v="1"/>
    <n v="207"/>
    <x v="2"/>
    <x v="0"/>
    <x v="854"/>
    <x v="1"/>
    <s v="DISCOUNT ALLOWED"/>
    <s v="discount allowed"/>
    <s v="DISCOUNT ALLOWED"/>
    <s v="Discount Allowed"/>
    <s v="19/02/23"/>
  </r>
  <r>
    <s v="TXN_2566784"/>
    <s v="CUST_10"/>
    <x v="5"/>
    <x v="97"/>
    <x v="12"/>
    <x v="1"/>
    <n v="207"/>
    <x v="0"/>
    <x v="0"/>
    <x v="237"/>
    <x v="1"/>
    <s v="DISCOUNT ALLOWED"/>
    <s v="discount allowed"/>
    <s v="DISCOUNT ALLOWED"/>
    <s v="Discount Allowed"/>
    <s v="23/07/22"/>
  </r>
  <r>
    <s v="TXN_2747605"/>
    <s v="CUST_19"/>
    <x v="0"/>
    <x v="98"/>
    <x v="12"/>
    <x v="1"/>
    <n v="207"/>
    <x v="0"/>
    <x v="0"/>
    <x v="829"/>
    <x v="1"/>
    <s v="DISCOUNT ALLOWED"/>
    <s v="discount allowed"/>
    <s v="DISCOUNT ALLOWED"/>
    <s v="Discount Allowed"/>
    <s v="29/06/23"/>
  </r>
  <r>
    <s v="TXN_2873708"/>
    <s v="CUST_10"/>
    <x v="4"/>
    <x v="94"/>
    <x v="12"/>
    <x v="1"/>
    <n v="207"/>
    <x v="0"/>
    <x v="0"/>
    <x v="445"/>
    <x v="1"/>
    <s v="DISCOUNT ALLOWED"/>
    <s v="discount allowed"/>
    <s v="DISCOUNT ALLOWED"/>
    <s v="Discount Allowed"/>
    <s v="02/10/23"/>
  </r>
  <r>
    <s v="TXN_2897744"/>
    <s v="CUST_07"/>
    <x v="3"/>
    <x v="95"/>
    <x v="12"/>
    <x v="1"/>
    <n v="207"/>
    <x v="2"/>
    <x v="1"/>
    <x v="387"/>
    <x v="1"/>
    <s v="DISCOUNT ALLOWED"/>
    <s v="discount allowed"/>
    <s v="DISCOUNT ALLOWED"/>
    <s v="Discount Allowed"/>
    <s v="30/12/22"/>
  </r>
  <r>
    <s v="TXN_4186609"/>
    <s v="CUST_22"/>
    <x v="0"/>
    <x v="98"/>
    <x v="12"/>
    <x v="1"/>
    <n v="207"/>
    <x v="0"/>
    <x v="1"/>
    <x v="855"/>
    <x v="0"/>
    <s v="DISCOUNT NOT ALLOWED"/>
    <s v="discount not allowed"/>
    <s v="DISCOUNT NOT ALLOWED"/>
    <s v="Discount Not Allowed"/>
    <s v="09/09/23"/>
  </r>
  <r>
    <s v="TXN_4327164"/>
    <s v="CUST_23"/>
    <x v="6"/>
    <x v="93"/>
    <x v="12"/>
    <x v="1"/>
    <n v="207"/>
    <x v="1"/>
    <x v="1"/>
    <x v="349"/>
    <x v="1"/>
    <s v="DISCOUNT ALLOWED"/>
    <s v="discount allowed"/>
    <s v="DISCOUNT ALLOWED"/>
    <s v="Discount Allowed"/>
    <s v="04/09/24"/>
  </r>
  <r>
    <s v="TXN_4337439"/>
    <s v="CUST_19"/>
    <x v="7"/>
    <x v="96"/>
    <x v="12"/>
    <x v="1"/>
    <n v="207"/>
    <x v="1"/>
    <x v="0"/>
    <x v="131"/>
    <x v="1"/>
    <s v="DISCOUNT ALLOWED"/>
    <s v="discount allowed"/>
    <s v="DISCOUNT ALLOWED"/>
    <s v="Discount Allowed"/>
    <s v="15/05/23"/>
  </r>
  <r>
    <s v="TXN_4565865"/>
    <s v="CUST_24"/>
    <x v="3"/>
    <x v="95"/>
    <x v="12"/>
    <x v="1"/>
    <n v="207"/>
    <x v="1"/>
    <x v="0"/>
    <x v="712"/>
    <x v="1"/>
    <s v="DISCOUNT ALLOWED"/>
    <s v="discount allowed"/>
    <s v="DISCOUNT ALLOWED"/>
    <s v="Discount Allowed"/>
    <s v="30/04/22"/>
  </r>
  <r>
    <s v="TXN_4684679"/>
    <s v="CUST_20"/>
    <x v="4"/>
    <x v="94"/>
    <x v="12"/>
    <x v="1"/>
    <n v="207"/>
    <x v="2"/>
    <x v="0"/>
    <x v="856"/>
    <x v="0"/>
    <s v="DISCOUNT NOT ALLOWED"/>
    <s v="discount not allowed"/>
    <s v="DISCOUNT NOT ALLOWED"/>
    <s v="Discount Not Allowed"/>
    <s v="23/12/22"/>
  </r>
  <r>
    <s v="TXN_4703372"/>
    <s v="CUST_23"/>
    <x v="7"/>
    <x v="96"/>
    <x v="12"/>
    <x v="1"/>
    <n v="207"/>
    <x v="0"/>
    <x v="0"/>
    <x v="857"/>
    <x v="0"/>
    <s v="DISCOUNT NOT ALLOWED"/>
    <s v="discount not allowed"/>
    <s v="DISCOUNT NOT ALLOWED"/>
    <s v="Discount Not Allowed"/>
    <s v="29/08/23"/>
  </r>
  <r>
    <s v="TXN_5426061"/>
    <s v="CUST_12"/>
    <x v="7"/>
    <x v="96"/>
    <x v="12"/>
    <x v="1"/>
    <n v="207"/>
    <x v="1"/>
    <x v="0"/>
    <x v="858"/>
    <x v="0"/>
    <s v="DISCOUNT NOT ALLOWED"/>
    <s v="discount not allowed"/>
    <s v="DISCOUNT NOT ALLOWED"/>
    <s v="Discount Not Allowed"/>
    <s v="23/06/24"/>
  </r>
  <r>
    <s v="TXN_5726935"/>
    <s v="CUST_09"/>
    <x v="0"/>
    <x v="98"/>
    <x v="12"/>
    <x v="1"/>
    <n v="207"/>
    <x v="2"/>
    <x v="0"/>
    <x v="7"/>
    <x v="1"/>
    <s v="DISCOUNT ALLOWED"/>
    <s v="discount allowed"/>
    <s v="DISCOUNT ALLOWED"/>
    <s v="Discount Allowed"/>
    <s v="23/02/22"/>
  </r>
  <r>
    <s v="TXN_6426118"/>
    <s v="CUST_10"/>
    <x v="3"/>
    <x v="95"/>
    <x v="12"/>
    <x v="1"/>
    <n v="207"/>
    <x v="1"/>
    <x v="1"/>
    <x v="359"/>
    <x v="1"/>
    <s v="DISCOUNT ALLOWED"/>
    <s v="discount allowed"/>
    <s v="DISCOUNT ALLOWED"/>
    <s v="Discount Allowed"/>
    <s v="09/08/22"/>
  </r>
  <r>
    <s v="TXN_6553826"/>
    <s v="CUST_14"/>
    <x v="4"/>
    <x v="94"/>
    <x v="12"/>
    <x v="1"/>
    <n v="207"/>
    <x v="2"/>
    <x v="1"/>
    <x v="859"/>
    <x v="1"/>
    <s v="DISCOUNT ALLOWED"/>
    <s v="discount allowed"/>
    <s v="DISCOUNT ALLOWED"/>
    <s v="Discount Allowed"/>
    <s v="21/01/23"/>
  </r>
  <r>
    <s v="TXN_6582130"/>
    <s v="CUST_03"/>
    <x v="5"/>
    <x v="97"/>
    <x v="12"/>
    <x v="1"/>
    <n v="207"/>
    <x v="0"/>
    <x v="0"/>
    <x v="175"/>
    <x v="0"/>
    <s v="DISCOUNT NOT ALLOWED"/>
    <s v="discount not allowed"/>
    <s v="DISCOUNT NOT ALLOWED"/>
    <s v="Discount Not Allowed"/>
    <s v="25/12/24"/>
  </r>
  <r>
    <s v="TXN_6742481"/>
    <s v="CUST_05"/>
    <x v="4"/>
    <x v="94"/>
    <x v="12"/>
    <x v="1"/>
    <n v="207"/>
    <x v="1"/>
    <x v="0"/>
    <x v="277"/>
    <x v="1"/>
    <s v="DISCOUNT ALLOWED"/>
    <s v="discount allowed"/>
    <s v="DISCOUNT ALLOWED"/>
    <s v="Discount Allowed"/>
    <s v="02/02/23"/>
  </r>
  <r>
    <s v="TXN_7633119"/>
    <s v="CUST_05"/>
    <x v="5"/>
    <x v="97"/>
    <x v="12"/>
    <x v="1"/>
    <n v="207"/>
    <x v="1"/>
    <x v="0"/>
    <x v="567"/>
    <x v="1"/>
    <s v="DISCOUNT ALLOWED"/>
    <s v="discount allowed"/>
    <s v="DISCOUNT ALLOWED"/>
    <s v="Discount Allowed"/>
    <s v="01/03/22"/>
  </r>
  <r>
    <s v="TXN_7783487"/>
    <s v="CUST_13"/>
    <x v="4"/>
    <x v="94"/>
    <x v="12"/>
    <x v="1"/>
    <n v="207"/>
    <x v="2"/>
    <x v="0"/>
    <x v="794"/>
    <x v="0"/>
    <s v="DISCOUNT NOT ALLOWED"/>
    <s v="discount not allowed"/>
    <s v="DISCOUNT NOT ALLOWED"/>
    <s v="Discount Not Allowed"/>
    <s v="19/02/24"/>
  </r>
  <r>
    <s v="TXN_8155428"/>
    <s v="CUST_21"/>
    <x v="5"/>
    <x v="97"/>
    <x v="12"/>
    <x v="1"/>
    <n v="207"/>
    <x v="0"/>
    <x v="1"/>
    <x v="860"/>
    <x v="1"/>
    <s v="DISCOUNT ALLOWED"/>
    <s v="discount allowed"/>
    <s v="DISCOUNT ALLOWED"/>
    <s v="Discount Allowed"/>
    <s v="23/09/23"/>
  </r>
  <r>
    <s v="TXN_8237202"/>
    <s v="CUST_09"/>
    <x v="0"/>
    <x v="98"/>
    <x v="12"/>
    <x v="1"/>
    <n v="207"/>
    <x v="1"/>
    <x v="1"/>
    <x v="424"/>
    <x v="1"/>
    <s v="DISCOUNT ALLOWED"/>
    <s v="discount allowed"/>
    <s v="DISCOUNT ALLOWED"/>
    <s v="Discount Allowed"/>
    <s v="25/08/24"/>
  </r>
  <r>
    <s v="TXN_8463034"/>
    <s v="CUST_02"/>
    <x v="5"/>
    <x v="97"/>
    <x v="12"/>
    <x v="1"/>
    <n v="207"/>
    <x v="2"/>
    <x v="0"/>
    <x v="290"/>
    <x v="0"/>
    <s v="DISCOUNT NOT ALLOWED"/>
    <s v="discount not allowed"/>
    <s v="DISCOUNT NOT ALLOWED"/>
    <s v="Discount Not Allowed"/>
    <s v="30/09/23"/>
  </r>
  <r>
    <s v="TXN_8500549"/>
    <s v="CUST_17"/>
    <x v="3"/>
    <x v="95"/>
    <x v="12"/>
    <x v="1"/>
    <n v="207"/>
    <x v="1"/>
    <x v="0"/>
    <x v="91"/>
    <x v="0"/>
    <s v="DISCOUNT NOT ALLOWED"/>
    <s v="discount not allowed"/>
    <s v="DISCOUNT NOT ALLOWED"/>
    <s v="Discount Not Allowed"/>
    <s v="09/12/23"/>
  </r>
  <r>
    <s v="TXN_8591611"/>
    <s v="CUST_21"/>
    <x v="5"/>
    <x v="97"/>
    <x v="12"/>
    <x v="1"/>
    <n v="207"/>
    <x v="0"/>
    <x v="0"/>
    <x v="861"/>
    <x v="1"/>
    <s v="DISCOUNT ALLOWED"/>
    <s v="discount allowed"/>
    <s v="DISCOUNT ALLOWED"/>
    <s v="Discount Allowed"/>
    <s v="14/08/24"/>
  </r>
  <r>
    <s v="TXN_8755760"/>
    <s v="CUST_10"/>
    <x v="0"/>
    <x v="98"/>
    <x v="12"/>
    <x v="1"/>
    <n v="207"/>
    <x v="0"/>
    <x v="1"/>
    <x v="862"/>
    <x v="1"/>
    <s v="DISCOUNT ALLOWED"/>
    <s v="discount allowed"/>
    <s v="DISCOUNT ALLOWED"/>
    <s v="Discount Allowed"/>
    <s v="22/10/24"/>
  </r>
  <r>
    <s v="TXN_9212341"/>
    <s v="CUST_02"/>
    <x v="3"/>
    <x v="95"/>
    <x v="12"/>
    <x v="1"/>
    <n v="207"/>
    <x v="2"/>
    <x v="1"/>
    <x v="143"/>
    <x v="0"/>
    <s v="DISCOUNT NOT ALLOWED"/>
    <s v="discount not allowed"/>
    <s v="DISCOUNT NOT ALLOWED"/>
    <s v="Discount Not Allowed"/>
    <s v="23/08/23"/>
  </r>
  <r>
    <s v="TXN_9279531"/>
    <s v="CUST_04"/>
    <x v="7"/>
    <x v="96"/>
    <x v="12"/>
    <x v="1"/>
    <n v="207"/>
    <x v="1"/>
    <x v="0"/>
    <x v="203"/>
    <x v="1"/>
    <s v="DISCOUNT ALLOWED"/>
    <s v="discount allowed"/>
    <s v="DISCOUNT ALLOWED"/>
    <s v="Discount Allowed"/>
    <s v="23/09/22"/>
  </r>
  <r>
    <s v="TXN_9574817"/>
    <s v="CUST_11"/>
    <x v="4"/>
    <x v="94"/>
    <x v="12"/>
    <x v="1"/>
    <n v="207"/>
    <x v="1"/>
    <x v="1"/>
    <x v="580"/>
    <x v="1"/>
    <s v="DISCOUNT ALLOWED"/>
    <s v="discount allowed"/>
    <s v="DISCOUNT ALLOWED"/>
    <s v="Discount Allowed"/>
    <s v="10/11/22"/>
  </r>
  <r>
    <s v="TXN_9605931"/>
    <s v="CUST_16"/>
    <x v="5"/>
    <x v="97"/>
    <x v="12"/>
    <x v="1"/>
    <n v="207"/>
    <x v="2"/>
    <x v="0"/>
    <x v="863"/>
    <x v="0"/>
    <s v="DISCOUNT NOT ALLOWED"/>
    <s v="discount not allowed"/>
    <s v="DISCOUNT NOT ALLOWED"/>
    <s v="Discount Not Allowed"/>
    <s v="26/12/22"/>
  </r>
  <r>
    <s v="TXN_1157208"/>
    <s v="CUST_04"/>
    <x v="3"/>
    <x v="3"/>
    <x v="0"/>
    <x v="5"/>
    <n v="205"/>
    <x v="1"/>
    <x v="0"/>
    <x v="136"/>
    <x v="0"/>
    <s v="DISCOUNT NOT ALLOWED"/>
    <s v="discount not allowed"/>
    <s v="DISCOUNT NOT ALLOWED"/>
    <s v="Discount Not Allowed"/>
    <s v="07/07/22"/>
  </r>
  <r>
    <s v="TXN_1202644"/>
    <s v="CUST_01"/>
    <x v="4"/>
    <x v="4"/>
    <x v="0"/>
    <x v="5"/>
    <n v="205"/>
    <x v="2"/>
    <x v="1"/>
    <x v="233"/>
    <x v="0"/>
    <s v="DISCOUNT NOT ALLOWED"/>
    <s v="discount not allowed"/>
    <s v="DISCOUNT NOT ALLOWED"/>
    <s v="Discount Not Allowed"/>
    <s v="02/04/23"/>
  </r>
  <r>
    <s v="TXN_1735701"/>
    <s v="CUST_24"/>
    <x v="5"/>
    <x v="5"/>
    <x v="0"/>
    <x v="5"/>
    <n v="205"/>
    <x v="0"/>
    <x v="1"/>
    <x v="686"/>
    <x v="0"/>
    <s v="DISCOUNT NOT ALLOWED"/>
    <s v="discount not allowed"/>
    <s v="DISCOUNT NOT ALLOWED"/>
    <s v="Discount Not Allowed"/>
    <s v="21/07/23"/>
  </r>
  <r>
    <s v="TXN_1744579"/>
    <s v="CUST_17"/>
    <x v="1"/>
    <x v="1"/>
    <x v="0"/>
    <x v="5"/>
    <n v="205"/>
    <x v="2"/>
    <x v="0"/>
    <x v="629"/>
    <x v="1"/>
    <s v="DISCOUNT ALLOWED"/>
    <s v="discount allowed"/>
    <s v="DISCOUNT ALLOWED"/>
    <s v="Discount Allowed"/>
    <s v="16/12/24"/>
  </r>
  <r>
    <s v="TXN_2107105"/>
    <s v="CUST_03"/>
    <x v="4"/>
    <x v="4"/>
    <x v="0"/>
    <x v="5"/>
    <n v="205"/>
    <x v="0"/>
    <x v="1"/>
    <x v="864"/>
    <x v="1"/>
    <s v="DISCOUNT ALLOWED"/>
    <s v="discount allowed"/>
    <s v="DISCOUNT ALLOWED"/>
    <s v="Discount Allowed"/>
    <s v="08/08/23"/>
  </r>
  <r>
    <s v="TXN_3053530"/>
    <s v="CUST_12"/>
    <x v="5"/>
    <x v="5"/>
    <x v="0"/>
    <x v="5"/>
    <n v="205"/>
    <x v="0"/>
    <x v="0"/>
    <x v="302"/>
    <x v="0"/>
    <s v="DISCOUNT NOT ALLOWED"/>
    <s v="discount not allowed"/>
    <s v="DISCOUNT NOT ALLOWED"/>
    <s v="Discount Not Allowed"/>
    <s v="05/11/22"/>
  </r>
  <r>
    <s v="TXN_3119913"/>
    <s v="CUST_16"/>
    <x v="3"/>
    <x v="3"/>
    <x v="0"/>
    <x v="5"/>
    <n v="205"/>
    <x v="0"/>
    <x v="0"/>
    <x v="293"/>
    <x v="1"/>
    <s v="DISCOUNT ALLOWED"/>
    <s v="discount allowed"/>
    <s v="DISCOUNT ALLOWED"/>
    <s v="Discount Allowed"/>
    <s v="16/08/24"/>
  </r>
  <r>
    <s v="TXN_3406391"/>
    <s v="CUST_08"/>
    <x v="7"/>
    <x v="7"/>
    <x v="0"/>
    <x v="5"/>
    <n v="205"/>
    <x v="2"/>
    <x v="1"/>
    <x v="783"/>
    <x v="0"/>
    <s v="DISCOUNT NOT ALLOWED"/>
    <s v="discount not allowed"/>
    <s v="DISCOUNT NOT ALLOWED"/>
    <s v="Discount Not Allowed"/>
    <s v="04/02/23"/>
  </r>
  <r>
    <s v="TXN_3425468"/>
    <s v="CUST_15"/>
    <x v="4"/>
    <x v="4"/>
    <x v="0"/>
    <x v="5"/>
    <n v="205"/>
    <x v="0"/>
    <x v="0"/>
    <x v="51"/>
    <x v="1"/>
    <s v="DISCOUNT ALLOWED"/>
    <s v="discount allowed"/>
    <s v="DISCOUNT ALLOWED"/>
    <s v="Discount Allowed"/>
    <s v="12/03/23"/>
  </r>
  <r>
    <s v="TXN_3892749"/>
    <s v="CUST_19"/>
    <x v="3"/>
    <x v="3"/>
    <x v="0"/>
    <x v="5"/>
    <n v="205"/>
    <x v="2"/>
    <x v="0"/>
    <x v="150"/>
    <x v="0"/>
    <s v="DISCOUNT NOT ALLOWED"/>
    <s v="discount not allowed"/>
    <s v="DISCOUNT NOT ALLOWED"/>
    <s v="Discount Not Allowed"/>
    <s v="21/01/24"/>
  </r>
  <r>
    <s v="TXN_3900554"/>
    <s v="CUST_24"/>
    <x v="1"/>
    <x v="1"/>
    <x v="0"/>
    <x v="5"/>
    <n v="205"/>
    <x v="1"/>
    <x v="1"/>
    <x v="137"/>
    <x v="0"/>
    <s v="DISCOUNT NOT ALLOWED"/>
    <s v="discount not allowed"/>
    <s v="DISCOUNT NOT ALLOWED"/>
    <s v="Discount Not Allowed"/>
    <s v="24/11/23"/>
  </r>
  <r>
    <s v="TXN_4063797"/>
    <s v="CUST_03"/>
    <x v="1"/>
    <x v="1"/>
    <x v="0"/>
    <x v="5"/>
    <n v="205"/>
    <x v="2"/>
    <x v="0"/>
    <x v="865"/>
    <x v="1"/>
    <s v="DISCOUNT ALLOWED"/>
    <s v="discount allowed"/>
    <s v="DISCOUNT ALLOWED"/>
    <s v="Discount Allowed"/>
    <s v="03/04/23"/>
  </r>
  <r>
    <s v="TXN_4242577"/>
    <s v="CUST_12"/>
    <x v="3"/>
    <x v="3"/>
    <x v="0"/>
    <x v="5"/>
    <n v="205"/>
    <x v="1"/>
    <x v="0"/>
    <x v="239"/>
    <x v="1"/>
    <s v="DISCOUNT ALLOWED"/>
    <s v="discount allowed"/>
    <s v="DISCOUNT ALLOWED"/>
    <s v="Discount Allowed"/>
    <s v="21/02/23"/>
  </r>
  <r>
    <s v="TXN_4874732"/>
    <s v="CUST_24"/>
    <x v="3"/>
    <x v="3"/>
    <x v="0"/>
    <x v="5"/>
    <n v="205"/>
    <x v="1"/>
    <x v="0"/>
    <x v="866"/>
    <x v="1"/>
    <s v="DISCOUNT ALLOWED"/>
    <s v="discount allowed"/>
    <s v="DISCOUNT ALLOWED"/>
    <s v="Discount Allowed"/>
    <s v="04/10/22"/>
  </r>
  <r>
    <s v="TXN_4882057"/>
    <s v="CUST_09"/>
    <x v="3"/>
    <x v="3"/>
    <x v="0"/>
    <x v="5"/>
    <n v="205"/>
    <x v="1"/>
    <x v="1"/>
    <x v="817"/>
    <x v="1"/>
    <s v="DISCOUNT ALLOWED"/>
    <s v="discount allowed"/>
    <s v="DISCOUNT ALLOWED"/>
    <s v="Discount Allowed"/>
    <s v="07/02/23"/>
  </r>
  <r>
    <s v="TXN_4918465"/>
    <s v="CUST_13"/>
    <x v="3"/>
    <x v="3"/>
    <x v="0"/>
    <x v="5"/>
    <n v="205"/>
    <x v="2"/>
    <x v="1"/>
    <x v="34"/>
    <x v="1"/>
    <s v="DISCOUNT ALLOWED"/>
    <s v="discount allowed"/>
    <s v="DISCOUNT ALLOWED"/>
    <s v="Discount Allowed"/>
    <s v="27/01/24"/>
  </r>
  <r>
    <s v="TXN_5308548"/>
    <s v="CUST_12"/>
    <x v="3"/>
    <x v="3"/>
    <x v="0"/>
    <x v="5"/>
    <n v="205"/>
    <x v="2"/>
    <x v="0"/>
    <x v="696"/>
    <x v="1"/>
    <s v="DISCOUNT ALLOWED"/>
    <s v="discount allowed"/>
    <s v="DISCOUNT ALLOWED"/>
    <s v="Discount Allowed"/>
    <s v="01/10/23"/>
  </r>
  <r>
    <s v="TXN_5419806"/>
    <s v="CUST_19"/>
    <x v="4"/>
    <x v="4"/>
    <x v="0"/>
    <x v="5"/>
    <n v="205"/>
    <x v="2"/>
    <x v="1"/>
    <x v="867"/>
    <x v="1"/>
    <s v="DISCOUNT ALLOWED"/>
    <s v="discount allowed"/>
    <s v="DISCOUNT ALLOWED"/>
    <s v="Discount Allowed"/>
    <s v="09/09/22"/>
  </r>
  <r>
    <s v="TXN_5778866"/>
    <s v="CUST_21"/>
    <x v="6"/>
    <x v="6"/>
    <x v="0"/>
    <x v="5"/>
    <n v="205"/>
    <x v="1"/>
    <x v="0"/>
    <x v="868"/>
    <x v="0"/>
    <s v="DISCOUNT NOT ALLOWED"/>
    <s v="discount not allowed"/>
    <s v="DISCOUNT NOT ALLOWED"/>
    <s v="Discount Not Allowed"/>
    <s v="22/08/24"/>
  </r>
  <r>
    <s v="TXN_5830623"/>
    <s v="CUST_03"/>
    <x v="6"/>
    <x v="6"/>
    <x v="0"/>
    <x v="5"/>
    <n v="205"/>
    <x v="0"/>
    <x v="0"/>
    <x v="418"/>
    <x v="0"/>
    <s v="DISCOUNT NOT ALLOWED"/>
    <s v="discount not allowed"/>
    <s v="DISCOUNT NOT ALLOWED"/>
    <s v="Discount Not Allowed"/>
    <s v="29/09/24"/>
  </r>
  <r>
    <s v="TXN_6375821"/>
    <s v="CUST_19"/>
    <x v="3"/>
    <x v="3"/>
    <x v="0"/>
    <x v="5"/>
    <n v="205"/>
    <x v="2"/>
    <x v="0"/>
    <x v="494"/>
    <x v="0"/>
    <s v="DISCOUNT NOT ALLOWED"/>
    <s v="discount not allowed"/>
    <s v="DISCOUNT NOT ALLOWED"/>
    <s v="Discount Not Allowed"/>
    <s v="29/09/23"/>
  </r>
  <r>
    <s v="TXN_6774418"/>
    <s v="CUST_17"/>
    <x v="2"/>
    <x v="2"/>
    <x v="0"/>
    <x v="5"/>
    <n v="205"/>
    <x v="0"/>
    <x v="1"/>
    <x v="79"/>
    <x v="1"/>
    <s v="DISCOUNT ALLOWED"/>
    <s v="discount allowed"/>
    <s v="DISCOUNT ALLOWED"/>
    <s v="Discount Allowed"/>
    <s v="07/04/23"/>
  </r>
  <r>
    <s v="TXN_6960283"/>
    <s v="CUST_11"/>
    <x v="1"/>
    <x v="1"/>
    <x v="0"/>
    <x v="5"/>
    <n v="205"/>
    <x v="2"/>
    <x v="0"/>
    <x v="360"/>
    <x v="0"/>
    <s v="DISCOUNT NOT ALLOWED"/>
    <s v="discount not allowed"/>
    <s v="DISCOUNT NOT ALLOWED"/>
    <s v="Discount Not Allowed"/>
    <s v="20/06/22"/>
  </r>
  <r>
    <s v="TXN_7348487"/>
    <s v="CUST_10"/>
    <x v="6"/>
    <x v="6"/>
    <x v="0"/>
    <x v="5"/>
    <n v="205"/>
    <x v="1"/>
    <x v="0"/>
    <x v="869"/>
    <x v="0"/>
    <s v="DISCOUNT NOT ALLOWED"/>
    <s v="discount not allowed"/>
    <s v="DISCOUNT NOT ALLOWED"/>
    <s v="Discount Not Allowed"/>
    <s v="16/07/22"/>
  </r>
  <r>
    <s v="TXN_7504022"/>
    <s v="CUST_16"/>
    <x v="4"/>
    <x v="4"/>
    <x v="0"/>
    <x v="5"/>
    <n v="205"/>
    <x v="1"/>
    <x v="1"/>
    <x v="79"/>
    <x v="1"/>
    <s v="DISCOUNT ALLOWED"/>
    <s v="discount allowed"/>
    <s v="DISCOUNT ALLOWED"/>
    <s v="Discount Allowed"/>
    <s v="07/04/23"/>
  </r>
  <r>
    <s v="TXN_7767926"/>
    <s v="CUST_19"/>
    <x v="6"/>
    <x v="6"/>
    <x v="0"/>
    <x v="5"/>
    <n v="205"/>
    <x v="0"/>
    <x v="0"/>
    <x v="836"/>
    <x v="1"/>
    <s v="DISCOUNT ALLOWED"/>
    <s v="discount allowed"/>
    <s v="DISCOUNT ALLOWED"/>
    <s v="Discount Allowed"/>
    <s v="22/05/22"/>
  </r>
  <r>
    <s v="TXN_7836176"/>
    <s v="CUST_22"/>
    <x v="2"/>
    <x v="2"/>
    <x v="0"/>
    <x v="5"/>
    <n v="205"/>
    <x v="0"/>
    <x v="1"/>
    <x v="130"/>
    <x v="1"/>
    <s v="DISCOUNT ALLOWED"/>
    <s v="discount allowed"/>
    <s v="DISCOUNT ALLOWED"/>
    <s v="Discount Allowed"/>
    <s v="21/09/23"/>
  </r>
  <r>
    <s v="TXN_8188147"/>
    <s v="CUST_19"/>
    <x v="3"/>
    <x v="3"/>
    <x v="0"/>
    <x v="5"/>
    <n v="205"/>
    <x v="0"/>
    <x v="0"/>
    <x v="649"/>
    <x v="1"/>
    <s v="DISCOUNT ALLOWED"/>
    <s v="discount allowed"/>
    <s v="DISCOUNT ALLOWED"/>
    <s v="Discount Allowed"/>
    <s v="11/06/23"/>
  </r>
  <r>
    <s v="TXN_8417758"/>
    <s v="CUST_14"/>
    <x v="6"/>
    <x v="6"/>
    <x v="0"/>
    <x v="5"/>
    <n v="205"/>
    <x v="0"/>
    <x v="1"/>
    <x v="433"/>
    <x v="1"/>
    <s v="DISCOUNT ALLOWED"/>
    <s v="discount allowed"/>
    <s v="DISCOUNT ALLOWED"/>
    <s v="Discount Allowed"/>
    <s v="28/04/22"/>
  </r>
  <r>
    <s v="TXN_8948810"/>
    <s v="CUST_05"/>
    <x v="2"/>
    <x v="2"/>
    <x v="0"/>
    <x v="5"/>
    <n v="205"/>
    <x v="0"/>
    <x v="1"/>
    <x v="658"/>
    <x v="1"/>
    <s v="DISCOUNT ALLOWED"/>
    <s v="discount allowed"/>
    <s v="DISCOUNT ALLOWED"/>
    <s v="Discount Allowed"/>
    <s v="29/09/22"/>
  </r>
  <r>
    <s v="TXN_9044784"/>
    <s v="CUST_21"/>
    <x v="5"/>
    <x v="5"/>
    <x v="0"/>
    <x v="5"/>
    <n v="205"/>
    <x v="0"/>
    <x v="0"/>
    <x v="35"/>
    <x v="1"/>
    <s v="DISCOUNT ALLOWED"/>
    <s v="discount allowed"/>
    <s v="DISCOUNT ALLOWED"/>
    <s v="Discount Allowed"/>
    <s v="22/03/24"/>
  </r>
  <r>
    <s v="TXN_9196494"/>
    <s v="CUST_25"/>
    <x v="5"/>
    <x v="5"/>
    <x v="0"/>
    <x v="5"/>
    <n v="205"/>
    <x v="2"/>
    <x v="1"/>
    <x v="526"/>
    <x v="1"/>
    <s v="DISCOUNT ALLOWED"/>
    <s v="discount allowed"/>
    <s v="DISCOUNT ALLOWED"/>
    <s v="Discount Allowed"/>
    <s v="28/12/24"/>
  </r>
  <r>
    <s v="TXN_9219085"/>
    <s v="CUST_21"/>
    <x v="3"/>
    <x v="3"/>
    <x v="0"/>
    <x v="5"/>
    <n v="205"/>
    <x v="1"/>
    <x v="1"/>
    <x v="199"/>
    <x v="1"/>
    <s v="DISCOUNT ALLOWED"/>
    <s v="discount allowed"/>
    <s v="DISCOUNT ALLOWED"/>
    <s v="Discount Allowed"/>
    <s v="27/12/24"/>
  </r>
  <r>
    <s v="TXN_9701250"/>
    <s v="CUST_22"/>
    <x v="3"/>
    <x v="3"/>
    <x v="0"/>
    <x v="5"/>
    <n v="205"/>
    <x v="2"/>
    <x v="0"/>
    <x v="272"/>
    <x v="0"/>
    <s v="DISCOUNT NOT ALLOWED"/>
    <s v="discount not allowed"/>
    <s v="DISCOUNT NOT ALLOWED"/>
    <s v="Discount Not Allowed"/>
    <s v="08/04/22"/>
  </r>
  <r>
    <s v="TXN_1139198"/>
    <s v="CUST_01"/>
    <x v="2"/>
    <x v="68"/>
    <x v="8"/>
    <x v="3"/>
    <n v="203"/>
    <x v="0"/>
    <x v="1"/>
    <x v="2"/>
    <x v="1"/>
    <s v="DISCOUNT ALLOWED"/>
    <s v="discount allowed"/>
    <s v="DISCOUNT ALLOWED"/>
    <s v="Discount Allowed"/>
    <s v="04/11/22"/>
  </r>
  <r>
    <s v="TXN_1400422"/>
    <s v="CUST_25"/>
    <x v="1"/>
    <x v="64"/>
    <x v="8"/>
    <x v="3"/>
    <n v="203"/>
    <x v="0"/>
    <x v="1"/>
    <x v="333"/>
    <x v="1"/>
    <s v="DISCOUNT ALLOWED"/>
    <s v="discount allowed"/>
    <s v="DISCOUNT ALLOWED"/>
    <s v="Discount Allowed"/>
    <s v="16/12/22"/>
  </r>
  <r>
    <s v="TXN_1523076"/>
    <s v="CUST_14"/>
    <x v="0"/>
    <x v="61"/>
    <x v="8"/>
    <x v="3"/>
    <n v="203"/>
    <x v="0"/>
    <x v="0"/>
    <x v="870"/>
    <x v="1"/>
    <s v="DISCOUNT ALLOWED"/>
    <s v="discount allowed"/>
    <s v="DISCOUNT ALLOWED"/>
    <s v="Discount Allowed"/>
    <s v="18/09/22"/>
  </r>
  <r>
    <s v="TXN_1992177"/>
    <s v="CUST_23"/>
    <x v="7"/>
    <x v="63"/>
    <x v="8"/>
    <x v="3"/>
    <n v="203"/>
    <x v="2"/>
    <x v="1"/>
    <x v="512"/>
    <x v="1"/>
    <s v="DISCOUNT ALLOWED"/>
    <s v="discount allowed"/>
    <s v="DISCOUNT ALLOWED"/>
    <s v="Discount Allowed"/>
    <s v="24/06/22"/>
  </r>
  <r>
    <s v="TXN_2017094"/>
    <s v="CUST_11"/>
    <x v="7"/>
    <x v="63"/>
    <x v="8"/>
    <x v="3"/>
    <n v="203"/>
    <x v="1"/>
    <x v="1"/>
    <x v="427"/>
    <x v="0"/>
    <s v="DISCOUNT NOT ALLOWED"/>
    <s v="discount not allowed"/>
    <s v="DISCOUNT NOT ALLOWED"/>
    <s v="Discount Not Allowed"/>
    <s v="20/02/22"/>
  </r>
  <r>
    <s v="TXN_2037577"/>
    <s v="CUST_24"/>
    <x v="4"/>
    <x v="66"/>
    <x v="8"/>
    <x v="3"/>
    <n v="203"/>
    <x v="0"/>
    <x v="0"/>
    <x v="160"/>
    <x v="0"/>
    <s v="DISCOUNT NOT ALLOWED"/>
    <s v="discount not allowed"/>
    <s v="DISCOUNT NOT ALLOWED"/>
    <s v="Discount Not Allowed"/>
    <s v="20/02/23"/>
  </r>
  <r>
    <s v="TXN_2442220"/>
    <s v="CUST_11"/>
    <x v="7"/>
    <x v="63"/>
    <x v="8"/>
    <x v="3"/>
    <n v="203"/>
    <x v="0"/>
    <x v="0"/>
    <x v="334"/>
    <x v="1"/>
    <s v="DISCOUNT ALLOWED"/>
    <s v="discount allowed"/>
    <s v="DISCOUNT ALLOWED"/>
    <s v="Discount Allowed"/>
    <s v="29/03/22"/>
  </r>
  <r>
    <s v="TXN_2855329"/>
    <s v="CUST_13"/>
    <x v="0"/>
    <x v="61"/>
    <x v="8"/>
    <x v="3"/>
    <n v="203"/>
    <x v="0"/>
    <x v="0"/>
    <x v="38"/>
    <x v="1"/>
    <s v="DISCOUNT ALLOWED"/>
    <s v="discount allowed"/>
    <s v="DISCOUNT ALLOWED"/>
    <s v="Discount Allowed"/>
    <s v="18/02/22"/>
  </r>
  <r>
    <s v="TXN_2992467"/>
    <s v="CUST_22"/>
    <x v="5"/>
    <x v="67"/>
    <x v="8"/>
    <x v="3"/>
    <n v="203"/>
    <x v="2"/>
    <x v="0"/>
    <x v="199"/>
    <x v="0"/>
    <s v="DISCOUNT NOT ALLOWED"/>
    <s v="discount not allowed"/>
    <s v="DISCOUNT NOT ALLOWED"/>
    <s v="Discount Not Allowed"/>
    <s v="27/12/24"/>
  </r>
  <r>
    <s v="TXN_3092030"/>
    <s v="CUST_05"/>
    <x v="4"/>
    <x v="66"/>
    <x v="8"/>
    <x v="3"/>
    <n v="203"/>
    <x v="1"/>
    <x v="1"/>
    <x v="456"/>
    <x v="1"/>
    <s v="DISCOUNT ALLOWED"/>
    <s v="discount allowed"/>
    <s v="DISCOUNT ALLOWED"/>
    <s v="Discount Allowed"/>
    <s v="18/07/24"/>
  </r>
  <r>
    <s v="TXN_3206472"/>
    <s v="CUST_23"/>
    <x v="0"/>
    <x v="61"/>
    <x v="8"/>
    <x v="3"/>
    <n v="203"/>
    <x v="0"/>
    <x v="1"/>
    <x v="579"/>
    <x v="0"/>
    <s v="DISCOUNT NOT ALLOWED"/>
    <s v="discount not allowed"/>
    <s v="DISCOUNT NOT ALLOWED"/>
    <s v="Discount Not Allowed"/>
    <s v="26/08/22"/>
  </r>
  <r>
    <s v="TXN_4063830"/>
    <s v="CUST_12"/>
    <x v="5"/>
    <x v="67"/>
    <x v="8"/>
    <x v="3"/>
    <n v="203"/>
    <x v="1"/>
    <x v="1"/>
    <x v="611"/>
    <x v="1"/>
    <s v="DISCOUNT ALLOWED"/>
    <s v="discount allowed"/>
    <s v="DISCOUNT ALLOWED"/>
    <s v="Discount Allowed"/>
    <s v="18/12/22"/>
  </r>
  <r>
    <s v="TXN_4563536"/>
    <s v="CUST_25"/>
    <x v="4"/>
    <x v="66"/>
    <x v="8"/>
    <x v="3"/>
    <n v="203"/>
    <x v="1"/>
    <x v="1"/>
    <x v="871"/>
    <x v="1"/>
    <s v="DISCOUNT ALLOWED"/>
    <s v="discount allowed"/>
    <s v="DISCOUNT ALLOWED"/>
    <s v="Discount Allowed"/>
    <s v="17/03/24"/>
  </r>
  <r>
    <s v="TXN_4975288"/>
    <s v="CUST_13"/>
    <x v="7"/>
    <x v="63"/>
    <x v="8"/>
    <x v="3"/>
    <n v="203"/>
    <x v="0"/>
    <x v="1"/>
    <x v="872"/>
    <x v="0"/>
    <s v="DISCOUNT NOT ALLOWED"/>
    <s v="discount not allowed"/>
    <s v="DISCOUNT NOT ALLOWED"/>
    <s v="Discount Not Allowed"/>
    <s v="07/06/24"/>
  </r>
  <r>
    <s v="TXN_5182350"/>
    <s v="CUST_07"/>
    <x v="4"/>
    <x v="66"/>
    <x v="8"/>
    <x v="3"/>
    <n v="203"/>
    <x v="2"/>
    <x v="0"/>
    <x v="799"/>
    <x v="1"/>
    <s v="DISCOUNT ALLOWED"/>
    <s v="discount allowed"/>
    <s v="DISCOUNT ALLOWED"/>
    <s v="Discount Allowed"/>
    <s v="30/10/24"/>
  </r>
  <r>
    <s v="TXN_5866259"/>
    <s v="CUST_09"/>
    <x v="4"/>
    <x v="66"/>
    <x v="8"/>
    <x v="3"/>
    <n v="203"/>
    <x v="1"/>
    <x v="0"/>
    <x v="216"/>
    <x v="1"/>
    <s v="DISCOUNT ALLOWED"/>
    <s v="discount allowed"/>
    <s v="DISCOUNT ALLOWED"/>
    <s v="Discount Allowed"/>
    <s v="19/04/23"/>
  </r>
  <r>
    <s v="TXN_6135005"/>
    <s v="CUST_02"/>
    <x v="1"/>
    <x v="64"/>
    <x v="8"/>
    <x v="3"/>
    <n v="203"/>
    <x v="1"/>
    <x v="0"/>
    <x v="873"/>
    <x v="0"/>
    <s v="DISCOUNT NOT ALLOWED"/>
    <s v="discount not allowed"/>
    <s v="DISCOUNT NOT ALLOWED"/>
    <s v="Discount Not Allowed"/>
    <s v="12/02/24"/>
  </r>
  <r>
    <s v="TXN_6152928"/>
    <s v="CUST_24"/>
    <x v="7"/>
    <x v="63"/>
    <x v="8"/>
    <x v="3"/>
    <n v="203"/>
    <x v="2"/>
    <x v="1"/>
    <x v="251"/>
    <x v="0"/>
    <s v="DISCOUNT NOT ALLOWED"/>
    <s v="discount not allowed"/>
    <s v="DISCOUNT NOT ALLOWED"/>
    <s v="Discount Not Allowed"/>
    <s v="24/03/22"/>
  </r>
  <r>
    <s v="TXN_6311622"/>
    <s v="CUST_17"/>
    <x v="2"/>
    <x v="68"/>
    <x v="8"/>
    <x v="3"/>
    <n v="203"/>
    <x v="2"/>
    <x v="1"/>
    <x v="331"/>
    <x v="1"/>
    <s v="DISCOUNT ALLOWED"/>
    <s v="discount allowed"/>
    <s v="DISCOUNT ALLOWED"/>
    <s v="Discount Allowed"/>
    <s v="30/11/23"/>
  </r>
  <r>
    <s v="TXN_6447825"/>
    <s v="CUST_19"/>
    <x v="4"/>
    <x v="66"/>
    <x v="8"/>
    <x v="3"/>
    <n v="203"/>
    <x v="1"/>
    <x v="1"/>
    <x v="513"/>
    <x v="0"/>
    <s v="DISCOUNT NOT ALLOWED"/>
    <s v="discount not allowed"/>
    <s v="DISCOUNT NOT ALLOWED"/>
    <s v="Discount Not Allowed"/>
    <s v="01/07/24"/>
  </r>
  <r>
    <s v="TXN_6917797"/>
    <s v="CUST_17"/>
    <x v="1"/>
    <x v="64"/>
    <x v="8"/>
    <x v="3"/>
    <n v="203"/>
    <x v="0"/>
    <x v="0"/>
    <x v="841"/>
    <x v="1"/>
    <s v="DISCOUNT ALLOWED"/>
    <s v="discount allowed"/>
    <s v="DISCOUNT ALLOWED"/>
    <s v="Discount Allowed"/>
    <s v="14/06/23"/>
  </r>
  <r>
    <s v="TXN_7267517"/>
    <s v="CUST_17"/>
    <x v="1"/>
    <x v="64"/>
    <x v="8"/>
    <x v="3"/>
    <n v="203"/>
    <x v="2"/>
    <x v="0"/>
    <x v="550"/>
    <x v="1"/>
    <s v="DISCOUNT ALLOWED"/>
    <s v="discount allowed"/>
    <s v="DISCOUNT ALLOWED"/>
    <s v="Discount Allowed"/>
    <s v="15/11/24"/>
  </r>
  <r>
    <s v="TXN_7509489"/>
    <s v="CUST_23"/>
    <x v="6"/>
    <x v="62"/>
    <x v="8"/>
    <x v="3"/>
    <n v="203"/>
    <x v="2"/>
    <x v="0"/>
    <x v="833"/>
    <x v="0"/>
    <s v="DISCOUNT NOT ALLOWED"/>
    <s v="discount not allowed"/>
    <s v="DISCOUNT NOT ALLOWED"/>
    <s v="Discount Not Allowed"/>
    <s v="22/05/24"/>
  </r>
  <r>
    <s v="TXN_7697657"/>
    <s v="CUST_11"/>
    <x v="5"/>
    <x v="67"/>
    <x v="8"/>
    <x v="3"/>
    <n v="203"/>
    <x v="2"/>
    <x v="1"/>
    <x v="799"/>
    <x v="1"/>
    <s v="DISCOUNT ALLOWED"/>
    <s v="discount allowed"/>
    <s v="DISCOUNT ALLOWED"/>
    <s v="Discount Allowed"/>
    <s v="30/10/24"/>
  </r>
  <r>
    <s v="TXN_7876398"/>
    <s v="CUST_11"/>
    <x v="0"/>
    <x v="61"/>
    <x v="8"/>
    <x v="3"/>
    <n v="203"/>
    <x v="0"/>
    <x v="0"/>
    <x v="367"/>
    <x v="1"/>
    <s v="DISCOUNT ALLOWED"/>
    <s v="discount allowed"/>
    <s v="DISCOUNT ALLOWED"/>
    <s v="Discount Allowed"/>
    <s v="13/10/23"/>
  </r>
  <r>
    <s v="TXN_8331386"/>
    <s v="CUST_24"/>
    <x v="2"/>
    <x v="68"/>
    <x v="8"/>
    <x v="3"/>
    <n v="203"/>
    <x v="0"/>
    <x v="0"/>
    <x v="867"/>
    <x v="1"/>
    <s v="DISCOUNT ALLOWED"/>
    <s v="discount allowed"/>
    <s v="DISCOUNT ALLOWED"/>
    <s v="Discount Allowed"/>
    <s v="09/09/22"/>
  </r>
  <r>
    <s v="TXN_8405907"/>
    <s v="CUST_04"/>
    <x v="4"/>
    <x v="66"/>
    <x v="8"/>
    <x v="3"/>
    <n v="203"/>
    <x v="1"/>
    <x v="1"/>
    <x v="506"/>
    <x v="0"/>
    <s v="DISCOUNT NOT ALLOWED"/>
    <s v="discount not allowed"/>
    <s v="DISCOUNT NOT ALLOWED"/>
    <s v="Discount Not Allowed"/>
    <s v="09/10/22"/>
  </r>
  <r>
    <s v="TXN_8477564"/>
    <s v="CUST_23"/>
    <x v="5"/>
    <x v="67"/>
    <x v="8"/>
    <x v="3"/>
    <n v="203"/>
    <x v="1"/>
    <x v="0"/>
    <x v="456"/>
    <x v="0"/>
    <s v="DISCOUNT NOT ALLOWED"/>
    <s v="discount not allowed"/>
    <s v="DISCOUNT NOT ALLOWED"/>
    <s v="Discount Not Allowed"/>
    <s v="18/07/24"/>
  </r>
  <r>
    <s v="TXN_8562646"/>
    <s v="CUST_05"/>
    <x v="1"/>
    <x v="64"/>
    <x v="8"/>
    <x v="3"/>
    <n v="203"/>
    <x v="0"/>
    <x v="1"/>
    <x v="874"/>
    <x v="0"/>
    <s v="DISCOUNT NOT ALLOWED"/>
    <s v="discount not allowed"/>
    <s v="DISCOUNT NOT ALLOWED"/>
    <s v="Discount Not Allowed"/>
    <s v="06/09/24"/>
  </r>
  <r>
    <s v="TXN_9448652"/>
    <s v="CUST_15"/>
    <x v="6"/>
    <x v="62"/>
    <x v="8"/>
    <x v="3"/>
    <n v="203"/>
    <x v="0"/>
    <x v="1"/>
    <x v="176"/>
    <x v="1"/>
    <s v="DISCOUNT ALLOWED"/>
    <s v="discount allowed"/>
    <s v="DISCOUNT ALLOWED"/>
    <s v="Discount Allowed"/>
    <s v="01/02/24"/>
  </r>
  <r>
    <s v="TXN_9451256"/>
    <s v="CUST_04"/>
    <x v="7"/>
    <x v="63"/>
    <x v="8"/>
    <x v="3"/>
    <n v="203"/>
    <x v="2"/>
    <x v="1"/>
    <x v="153"/>
    <x v="1"/>
    <s v="DISCOUNT ALLOWED"/>
    <s v="discount allowed"/>
    <s v="DISCOUNT ALLOWED"/>
    <s v="Discount Allowed"/>
    <s v="28/05/23"/>
  </r>
  <r>
    <s v="TXN_9518180"/>
    <s v="CUST_02"/>
    <x v="1"/>
    <x v="64"/>
    <x v="8"/>
    <x v="3"/>
    <n v="203"/>
    <x v="0"/>
    <x v="1"/>
    <x v="875"/>
    <x v="1"/>
    <s v="DISCOUNT ALLOWED"/>
    <s v="discount allowed"/>
    <s v="DISCOUNT ALLOWED"/>
    <s v="Discount Allowed"/>
    <s v="08/09/23"/>
  </r>
  <r>
    <s v="TXN_1175007"/>
    <s v="CUST_01"/>
    <x v="6"/>
    <x v="43"/>
    <x v="5"/>
    <x v="4"/>
    <n v="201"/>
    <x v="1"/>
    <x v="0"/>
    <x v="630"/>
    <x v="0"/>
    <s v="DISCOUNT NOT ALLOWED"/>
    <s v="discount not allowed"/>
    <s v="DISCOUNT NOT ALLOWED"/>
    <s v="Discount Not Allowed"/>
    <s v="10/07/24"/>
  </r>
  <r>
    <s v="TXN_1177301"/>
    <s v="CUST_09"/>
    <x v="7"/>
    <x v="44"/>
    <x v="5"/>
    <x v="4"/>
    <n v="201"/>
    <x v="1"/>
    <x v="0"/>
    <x v="272"/>
    <x v="1"/>
    <s v="DISCOUNT ALLOWED"/>
    <s v="discount allowed"/>
    <s v="DISCOUNT ALLOWED"/>
    <s v="Discount Allowed"/>
    <s v="08/04/22"/>
  </r>
  <r>
    <s v="TXN_1346220"/>
    <s v="CUST_05"/>
    <x v="4"/>
    <x v="42"/>
    <x v="5"/>
    <x v="4"/>
    <n v="201"/>
    <x v="2"/>
    <x v="0"/>
    <x v="876"/>
    <x v="0"/>
    <s v="DISCOUNT NOT ALLOWED"/>
    <s v="discount not allowed"/>
    <s v="DISCOUNT NOT ALLOWED"/>
    <s v="Discount Not Allowed"/>
    <s v="17/02/24"/>
  </r>
  <r>
    <s v="TXN_1440274"/>
    <s v="CUST_01"/>
    <x v="2"/>
    <x v="39"/>
    <x v="5"/>
    <x v="4"/>
    <n v="201"/>
    <x v="0"/>
    <x v="1"/>
    <x v="137"/>
    <x v="0"/>
    <s v="DISCOUNT NOT ALLOWED"/>
    <s v="discount not allowed"/>
    <s v="DISCOUNT NOT ALLOWED"/>
    <s v="Discount Not Allowed"/>
    <s v="24/11/23"/>
  </r>
  <r>
    <s v="TXN_1558197"/>
    <s v="CUST_01"/>
    <x v="4"/>
    <x v="42"/>
    <x v="5"/>
    <x v="4"/>
    <n v="201"/>
    <x v="0"/>
    <x v="0"/>
    <x v="330"/>
    <x v="1"/>
    <s v="DISCOUNT ALLOWED"/>
    <s v="discount allowed"/>
    <s v="DISCOUNT ALLOWED"/>
    <s v="Discount Allowed"/>
    <s v="23/04/24"/>
  </r>
  <r>
    <s v="TXN_1793827"/>
    <s v="CUST_01"/>
    <x v="5"/>
    <x v="38"/>
    <x v="5"/>
    <x v="4"/>
    <n v="201"/>
    <x v="1"/>
    <x v="0"/>
    <x v="877"/>
    <x v="1"/>
    <s v="DISCOUNT ALLOWED"/>
    <s v="discount allowed"/>
    <s v="DISCOUNT ALLOWED"/>
    <s v="Discount Allowed"/>
    <s v="15/02/22"/>
  </r>
  <r>
    <s v="TXN_1846815"/>
    <s v="CUST_14"/>
    <x v="3"/>
    <x v="41"/>
    <x v="5"/>
    <x v="4"/>
    <n v="201"/>
    <x v="1"/>
    <x v="1"/>
    <x v="319"/>
    <x v="0"/>
    <s v="DISCOUNT NOT ALLOWED"/>
    <s v="discount not allowed"/>
    <s v="DISCOUNT NOT ALLOWED"/>
    <s v="Discount Not Allowed"/>
    <s v="22/12/23"/>
  </r>
  <r>
    <s v="TXN_2181378"/>
    <s v="CUST_04"/>
    <x v="5"/>
    <x v="38"/>
    <x v="5"/>
    <x v="4"/>
    <n v="201"/>
    <x v="2"/>
    <x v="1"/>
    <x v="878"/>
    <x v="1"/>
    <s v="DISCOUNT ALLOWED"/>
    <s v="discount allowed"/>
    <s v="DISCOUNT ALLOWED"/>
    <s v="Discount Allowed"/>
    <s v="13/10/22"/>
  </r>
  <r>
    <s v="TXN_2502580"/>
    <s v="CUST_17"/>
    <x v="6"/>
    <x v="43"/>
    <x v="5"/>
    <x v="4"/>
    <n v="201"/>
    <x v="1"/>
    <x v="0"/>
    <x v="239"/>
    <x v="1"/>
    <s v="DISCOUNT ALLOWED"/>
    <s v="discount allowed"/>
    <s v="DISCOUNT ALLOWED"/>
    <s v="Discount Allowed"/>
    <s v="21/02/23"/>
  </r>
  <r>
    <s v="TXN_2572509"/>
    <s v="CUST_13"/>
    <x v="4"/>
    <x v="42"/>
    <x v="5"/>
    <x v="4"/>
    <n v="201"/>
    <x v="2"/>
    <x v="0"/>
    <x v="857"/>
    <x v="0"/>
    <s v="DISCOUNT NOT ALLOWED"/>
    <s v="discount not allowed"/>
    <s v="DISCOUNT NOT ALLOWED"/>
    <s v="Discount Not Allowed"/>
    <s v="29/08/23"/>
  </r>
  <r>
    <s v="TXN_2786014"/>
    <s v="CUST_02"/>
    <x v="1"/>
    <x v="37"/>
    <x v="5"/>
    <x v="4"/>
    <n v="201"/>
    <x v="2"/>
    <x v="1"/>
    <x v="879"/>
    <x v="0"/>
    <s v="DISCOUNT NOT ALLOWED"/>
    <s v="discount not allowed"/>
    <s v="DISCOUNT NOT ALLOWED"/>
    <s v="Discount Not Allowed"/>
    <s v="12/07/22"/>
  </r>
  <r>
    <s v="TXN_3036586"/>
    <s v="CUST_19"/>
    <x v="3"/>
    <x v="41"/>
    <x v="5"/>
    <x v="4"/>
    <n v="201"/>
    <x v="2"/>
    <x v="0"/>
    <x v="486"/>
    <x v="1"/>
    <s v="DISCOUNT ALLOWED"/>
    <s v="discount allowed"/>
    <s v="DISCOUNT ALLOWED"/>
    <s v="Discount Allowed"/>
    <s v="21/10/22"/>
  </r>
  <r>
    <s v="TXN_3085712"/>
    <s v="CUST_05"/>
    <x v="2"/>
    <x v="39"/>
    <x v="5"/>
    <x v="4"/>
    <n v="201"/>
    <x v="0"/>
    <x v="1"/>
    <x v="880"/>
    <x v="1"/>
    <s v="DISCOUNT ALLOWED"/>
    <s v="discount allowed"/>
    <s v="DISCOUNT ALLOWED"/>
    <s v="Discount Allowed"/>
    <s v="21/04/23"/>
  </r>
  <r>
    <s v="TXN_3345761"/>
    <s v="CUST_17"/>
    <x v="2"/>
    <x v="39"/>
    <x v="5"/>
    <x v="4"/>
    <n v="201"/>
    <x v="2"/>
    <x v="0"/>
    <x v="267"/>
    <x v="0"/>
    <s v="DISCOUNT NOT ALLOWED"/>
    <s v="discount not allowed"/>
    <s v="DISCOUNT NOT ALLOWED"/>
    <s v="Discount Not Allowed"/>
    <s v="18/09/24"/>
  </r>
  <r>
    <s v="TXN_3438683"/>
    <s v="CUST_01"/>
    <x v="2"/>
    <x v="39"/>
    <x v="5"/>
    <x v="4"/>
    <n v="201"/>
    <x v="2"/>
    <x v="0"/>
    <x v="881"/>
    <x v="0"/>
    <s v="DISCOUNT NOT ALLOWED"/>
    <s v="discount not allowed"/>
    <s v="DISCOUNT NOT ALLOWED"/>
    <s v="Discount Not Allowed"/>
    <s v="14/12/24"/>
  </r>
  <r>
    <s v="TXN_3456696"/>
    <s v="CUST_12"/>
    <x v="7"/>
    <x v="44"/>
    <x v="5"/>
    <x v="4"/>
    <n v="201"/>
    <x v="0"/>
    <x v="0"/>
    <x v="882"/>
    <x v="1"/>
    <s v="DISCOUNT ALLOWED"/>
    <s v="discount allowed"/>
    <s v="DISCOUNT ALLOWED"/>
    <s v="Discount Allowed"/>
    <s v="27/07/23"/>
  </r>
  <r>
    <s v="TXN_3951413"/>
    <s v="CUST_04"/>
    <x v="0"/>
    <x v="40"/>
    <x v="5"/>
    <x v="4"/>
    <n v="201"/>
    <x v="0"/>
    <x v="1"/>
    <x v="883"/>
    <x v="1"/>
    <s v="DISCOUNT ALLOWED"/>
    <s v="discount allowed"/>
    <s v="DISCOUNT ALLOWED"/>
    <s v="Discount Allowed"/>
    <s v="20/10/24"/>
  </r>
  <r>
    <s v="TXN_4071358"/>
    <s v="CUST_10"/>
    <x v="2"/>
    <x v="39"/>
    <x v="5"/>
    <x v="4"/>
    <n v="201"/>
    <x v="2"/>
    <x v="0"/>
    <x v="884"/>
    <x v="0"/>
    <s v="DISCOUNT NOT ALLOWED"/>
    <s v="discount not allowed"/>
    <s v="DISCOUNT NOT ALLOWED"/>
    <s v="Discount Not Allowed"/>
    <s v="13/01/24"/>
  </r>
  <r>
    <s v="TXN_4324046"/>
    <s v="CUST_17"/>
    <x v="1"/>
    <x v="37"/>
    <x v="5"/>
    <x v="4"/>
    <n v="201"/>
    <x v="0"/>
    <x v="1"/>
    <x v="769"/>
    <x v="1"/>
    <s v="DISCOUNT ALLOWED"/>
    <s v="discount allowed"/>
    <s v="DISCOUNT ALLOWED"/>
    <s v="Discount Allowed"/>
    <s v="02/12/22"/>
  </r>
  <r>
    <s v="TXN_4371906"/>
    <s v="CUST_07"/>
    <x v="5"/>
    <x v="38"/>
    <x v="5"/>
    <x v="4"/>
    <n v="201"/>
    <x v="2"/>
    <x v="1"/>
    <x v="885"/>
    <x v="1"/>
    <s v="DISCOUNT ALLOWED"/>
    <s v="discount allowed"/>
    <s v="DISCOUNT ALLOWED"/>
    <s v="Discount Allowed"/>
    <s v="02/06/22"/>
  </r>
  <r>
    <s v="TXN_4407240"/>
    <s v="CUST_17"/>
    <x v="3"/>
    <x v="41"/>
    <x v="5"/>
    <x v="4"/>
    <n v="201"/>
    <x v="0"/>
    <x v="1"/>
    <x v="399"/>
    <x v="0"/>
    <s v="DISCOUNT NOT ALLOWED"/>
    <s v="discount not allowed"/>
    <s v="DISCOUNT NOT ALLOWED"/>
    <s v="Discount Not Allowed"/>
    <s v="12/12/23"/>
  </r>
  <r>
    <s v="TXN_4955403"/>
    <s v="CUST_21"/>
    <x v="5"/>
    <x v="38"/>
    <x v="5"/>
    <x v="4"/>
    <n v="201"/>
    <x v="1"/>
    <x v="1"/>
    <x v="485"/>
    <x v="0"/>
    <s v="DISCOUNT NOT ALLOWED"/>
    <s v="discount not allowed"/>
    <s v="DISCOUNT NOT ALLOWED"/>
    <s v="Discount Not Allowed"/>
    <s v="05/01/23"/>
  </r>
  <r>
    <s v="TXN_5140543"/>
    <s v="CUST_20"/>
    <x v="4"/>
    <x v="42"/>
    <x v="5"/>
    <x v="4"/>
    <n v="201"/>
    <x v="0"/>
    <x v="0"/>
    <x v="863"/>
    <x v="0"/>
    <s v="DISCOUNT NOT ALLOWED"/>
    <s v="discount not allowed"/>
    <s v="DISCOUNT NOT ALLOWED"/>
    <s v="Discount Not Allowed"/>
    <s v="26/12/22"/>
  </r>
  <r>
    <s v="TXN_5156844"/>
    <s v="CUST_09"/>
    <x v="7"/>
    <x v="44"/>
    <x v="5"/>
    <x v="4"/>
    <n v="201"/>
    <x v="1"/>
    <x v="0"/>
    <x v="54"/>
    <x v="1"/>
    <s v="DISCOUNT ALLOWED"/>
    <s v="discount allowed"/>
    <s v="DISCOUNT ALLOWED"/>
    <s v="Discount Allowed"/>
    <s v="23/02/23"/>
  </r>
  <r>
    <s v="TXN_5448250"/>
    <s v="CUST_03"/>
    <x v="6"/>
    <x v="43"/>
    <x v="5"/>
    <x v="4"/>
    <n v="201"/>
    <x v="1"/>
    <x v="0"/>
    <x v="886"/>
    <x v="1"/>
    <s v="DISCOUNT ALLOWED"/>
    <s v="discount allowed"/>
    <s v="DISCOUNT ALLOWED"/>
    <s v="Discount Allowed"/>
    <s v="21/03/24"/>
  </r>
  <r>
    <s v="TXN_5523804"/>
    <s v="CUST_09"/>
    <x v="5"/>
    <x v="38"/>
    <x v="5"/>
    <x v="4"/>
    <n v="201"/>
    <x v="1"/>
    <x v="1"/>
    <x v="403"/>
    <x v="1"/>
    <s v="DISCOUNT ALLOWED"/>
    <s v="discount allowed"/>
    <s v="DISCOUNT ALLOWED"/>
    <s v="Discount Allowed"/>
    <s v="07/05/23"/>
  </r>
  <r>
    <s v="TXN_5799921"/>
    <s v="CUST_13"/>
    <x v="6"/>
    <x v="43"/>
    <x v="5"/>
    <x v="4"/>
    <n v="201"/>
    <x v="0"/>
    <x v="0"/>
    <x v="338"/>
    <x v="1"/>
    <s v="DISCOUNT ALLOWED"/>
    <s v="discount allowed"/>
    <s v="DISCOUNT ALLOWED"/>
    <s v="Discount Allowed"/>
    <s v="03/12/24"/>
  </r>
  <r>
    <s v="TXN_5913491"/>
    <s v="CUST_07"/>
    <x v="4"/>
    <x v="42"/>
    <x v="5"/>
    <x v="4"/>
    <n v="201"/>
    <x v="0"/>
    <x v="0"/>
    <x v="732"/>
    <x v="1"/>
    <s v="DISCOUNT ALLOWED"/>
    <s v="discount allowed"/>
    <s v="DISCOUNT ALLOWED"/>
    <s v="Discount Allowed"/>
    <s v="17/08/24"/>
  </r>
  <r>
    <s v="TXN_6077372"/>
    <s v="CUST_12"/>
    <x v="4"/>
    <x v="42"/>
    <x v="5"/>
    <x v="4"/>
    <n v="201"/>
    <x v="0"/>
    <x v="0"/>
    <x v="256"/>
    <x v="1"/>
    <s v="DISCOUNT ALLOWED"/>
    <s v="discount allowed"/>
    <s v="DISCOUNT ALLOWED"/>
    <s v="Discount Allowed"/>
    <s v="20/10/23"/>
  </r>
  <r>
    <s v="TXN_6402109"/>
    <s v="CUST_23"/>
    <x v="1"/>
    <x v="37"/>
    <x v="5"/>
    <x v="4"/>
    <n v="201"/>
    <x v="1"/>
    <x v="1"/>
    <x v="887"/>
    <x v="0"/>
    <s v="DISCOUNT NOT ALLOWED"/>
    <s v="discount not allowed"/>
    <s v="DISCOUNT NOT ALLOWED"/>
    <s v="Discount Not Allowed"/>
    <s v="03/04/22"/>
  </r>
  <r>
    <s v="TXN_6636511"/>
    <s v="CUST_06"/>
    <x v="6"/>
    <x v="43"/>
    <x v="5"/>
    <x v="4"/>
    <n v="201"/>
    <x v="1"/>
    <x v="1"/>
    <x v="330"/>
    <x v="1"/>
    <s v="DISCOUNT ALLOWED"/>
    <s v="discount allowed"/>
    <s v="DISCOUNT ALLOWED"/>
    <s v="Discount Allowed"/>
    <s v="23/04/24"/>
  </r>
  <r>
    <s v="TXN_6789123"/>
    <s v="CUST_10"/>
    <x v="6"/>
    <x v="43"/>
    <x v="5"/>
    <x v="4"/>
    <n v="201"/>
    <x v="1"/>
    <x v="0"/>
    <x v="888"/>
    <x v="1"/>
    <s v="DISCOUNT ALLOWED"/>
    <s v="discount allowed"/>
    <s v="DISCOUNT ALLOWED"/>
    <s v="Discount Allowed"/>
    <s v="10/08/23"/>
  </r>
  <r>
    <s v="TXN_6835888"/>
    <s v="CUST_05"/>
    <x v="2"/>
    <x v="39"/>
    <x v="5"/>
    <x v="4"/>
    <n v="201"/>
    <x v="0"/>
    <x v="0"/>
    <x v="866"/>
    <x v="1"/>
    <s v="DISCOUNT ALLOWED"/>
    <s v="discount allowed"/>
    <s v="DISCOUNT ALLOWED"/>
    <s v="Discount Allowed"/>
    <s v="04/10/22"/>
  </r>
  <r>
    <s v="TXN_6912966"/>
    <s v="CUST_19"/>
    <x v="3"/>
    <x v="41"/>
    <x v="5"/>
    <x v="4"/>
    <n v="201"/>
    <x v="0"/>
    <x v="1"/>
    <x v="889"/>
    <x v="0"/>
    <s v="DISCOUNT NOT ALLOWED"/>
    <s v="discount not allowed"/>
    <s v="DISCOUNT NOT ALLOWED"/>
    <s v="Discount Not Allowed"/>
    <s v="10/10/24"/>
  </r>
  <r>
    <s v="TXN_6931270"/>
    <s v="CUST_01"/>
    <x v="4"/>
    <x v="42"/>
    <x v="5"/>
    <x v="4"/>
    <n v="201"/>
    <x v="0"/>
    <x v="0"/>
    <x v="890"/>
    <x v="1"/>
    <s v="DISCOUNT ALLOWED"/>
    <s v="discount allowed"/>
    <s v="DISCOUNT ALLOWED"/>
    <s v="Discount Allowed"/>
    <s v="16/09/24"/>
  </r>
  <r>
    <s v="TXN_7440627"/>
    <s v="CUST_13"/>
    <x v="7"/>
    <x v="44"/>
    <x v="5"/>
    <x v="4"/>
    <n v="201"/>
    <x v="2"/>
    <x v="0"/>
    <x v="58"/>
    <x v="0"/>
    <s v="DISCOUNT NOT ALLOWED"/>
    <s v="discount not allowed"/>
    <s v="DISCOUNT NOT ALLOWED"/>
    <s v="Discount Not Allowed"/>
    <s v="09/04/24"/>
  </r>
  <r>
    <s v="TXN_7781876"/>
    <s v="CUST_02"/>
    <x v="5"/>
    <x v="38"/>
    <x v="5"/>
    <x v="4"/>
    <n v="201"/>
    <x v="0"/>
    <x v="0"/>
    <x v="610"/>
    <x v="0"/>
    <s v="DISCOUNT NOT ALLOWED"/>
    <s v="discount not allowed"/>
    <s v="DISCOUNT NOT ALLOWED"/>
    <s v="Discount Not Allowed"/>
    <s v="15/08/24"/>
  </r>
  <r>
    <s v="TXN_8155707"/>
    <s v="CUST_25"/>
    <x v="5"/>
    <x v="38"/>
    <x v="5"/>
    <x v="4"/>
    <n v="201"/>
    <x v="1"/>
    <x v="0"/>
    <x v="612"/>
    <x v="1"/>
    <s v="DISCOUNT ALLOWED"/>
    <s v="discount allowed"/>
    <s v="DISCOUNT ALLOWED"/>
    <s v="Discount Allowed"/>
    <s v="18/11/24"/>
  </r>
  <r>
    <s v="TXN_8231762"/>
    <s v="CUST_11"/>
    <x v="1"/>
    <x v="37"/>
    <x v="5"/>
    <x v="4"/>
    <n v="201"/>
    <x v="2"/>
    <x v="0"/>
    <x v="50"/>
    <x v="0"/>
    <s v="DISCOUNT NOT ALLOWED"/>
    <s v="discount not allowed"/>
    <s v="DISCOUNT NOT ALLOWED"/>
    <s v="Discount Not Allowed"/>
    <s v="17/01/22"/>
  </r>
  <r>
    <s v="TXN_8303713"/>
    <s v="CUST_14"/>
    <x v="7"/>
    <x v="44"/>
    <x v="5"/>
    <x v="4"/>
    <n v="201"/>
    <x v="1"/>
    <x v="1"/>
    <x v="506"/>
    <x v="1"/>
    <s v="DISCOUNT ALLOWED"/>
    <s v="discount allowed"/>
    <s v="DISCOUNT ALLOWED"/>
    <s v="Discount Allowed"/>
    <s v="09/10/22"/>
  </r>
  <r>
    <s v="TXN_8362951"/>
    <s v="CUST_21"/>
    <x v="2"/>
    <x v="39"/>
    <x v="5"/>
    <x v="4"/>
    <n v="201"/>
    <x v="2"/>
    <x v="0"/>
    <x v="891"/>
    <x v="1"/>
    <s v="DISCOUNT ALLOWED"/>
    <s v="discount allowed"/>
    <s v="DISCOUNT ALLOWED"/>
    <s v="Discount Allowed"/>
    <s v="07/04/22"/>
  </r>
  <r>
    <s v="TXN_8375614"/>
    <s v="CUST_25"/>
    <x v="6"/>
    <x v="43"/>
    <x v="5"/>
    <x v="4"/>
    <n v="201"/>
    <x v="0"/>
    <x v="0"/>
    <x v="892"/>
    <x v="0"/>
    <s v="DISCOUNT NOT ALLOWED"/>
    <s v="discount not allowed"/>
    <s v="DISCOUNT NOT ALLOWED"/>
    <s v="Discount Not Allowed"/>
    <s v="07/01/22"/>
  </r>
  <r>
    <s v="TXN_8731910"/>
    <s v="CUST_01"/>
    <x v="1"/>
    <x v="37"/>
    <x v="5"/>
    <x v="4"/>
    <n v="201"/>
    <x v="2"/>
    <x v="1"/>
    <x v="158"/>
    <x v="1"/>
    <s v="DISCOUNT ALLOWED"/>
    <s v="discount allowed"/>
    <s v="DISCOUNT ALLOWED"/>
    <s v="Discount Allowed"/>
    <s v="30/07/22"/>
  </r>
  <r>
    <s v="TXN_8961982"/>
    <s v="CUST_25"/>
    <x v="3"/>
    <x v="41"/>
    <x v="5"/>
    <x v="4"/>
    <n v="201"/>
    <x v="2"/>
    <x v="1"/>
    <x v="578"/>
    <x v="0"/>
    <s v="DISCOUNT NOT ALLOWED"/>
    <s v="discount not allowed"/>
    <s v="DISCOUNT NOT ALLOWED"/>
    <s v="Discount Not Allowed"/>
    <s v="02/11/22"/>
  </r>
  <r>
    <s v="TXN_9365954"/>
    <s v="CUST_24"/>
    <x v="2"/>
    <x v="39"/>
    <x v="5"/>
    <x v="4"/>
    <n v="201"/>
    <x v="0"/>
    <x v="1"/>
    <x v="492"/>
    <x v="0"/>
    <s v="DISCOUNT NOT ALLOWED"/>
    <s v="discount not allowed"/>
    <s v="DISCOUNT NOT ALLOWED"/>
    <s v="Discount Not Allowed"/>
    <s v="29/03/24"/>
  </r>
  <r>
    <s v="TXN_9469827"/>
    <s v="CUST_21"/>
    <x v="3"/>
    <x v="41"/>
    <x v="5"/>
    <x v="4"/>
    <n v="201"/>
    <x v="0"/>
    <x v="1"/>
    <x v="893"/>
    <x v="1"/>
    <s v="DISCOUNT ALLOWED"/>
    <s v="discount allowed"/>
    <s v="DISCOUNT ALLOWED"/>
    <s v="Discount Allowed"/>
    <s v="29/10/22"/>
  </r>
  <r>
    <s v="TXN_9508915"/>
    <s v="CUST_16"/>
    <x v="6"/>
    <x v="43"/>
    <x v="5"/>
    <x v="4"/>
    <n v="201"/>
    <x v="2"/>
    <x v="1"/>
    <x v="14"/>
    <x v="1"/>
    <s v="DISCOUNT ALLOWED"/>
    <s v="discount allowed"/>
    <s v="DISCOUNT ALLOWED"/>
    <s v="Discount Allowed"/>
    <s v="07/06/22"/>
  </r>
  <r>
    <s v="TXN_9754923"/>
    <s v="CUST_14"/>
    <x v="4"/>
    <x v="42"/>
    <x v="5"/>
    <x v="4"/>
    <n v="201"/>
    <x v="1"/>
    <x v="0"/>
    <x v="510"/>
    <x v="1"/>
    <s v="DISCOUNT ALLOWED"/>
    <s v="discount allowed"/>
    <s v="DISCOUNT ALLOWED"/>
    <s v="Discount Allowed"/>
    <s v="14/02/23"/>
  </r>
  <r>
    <s v="TXN_1067274"/>
    <s v="CUST_02"/>
    <x v="4"/>
    <x v="109"/>
    <x v="14"/>
    <x v="0"/>
    <n v="200"/>
    <x v="0"/>
    <x v="1"/>
    <x v="546"/>
    <x v="1"/>
    <s v="DISCOUNT ALLOWED"/>
    <s v="discount allowed"/>
    <s v="DISCOUNT ALLOWED"/>
    <s v="Discount Allowed"/>
    <s v="21/05/22"/>
  </r>
  <r>
    <s v="TXN_1372787"/>
    <s v="CUST_24"/>
    <x v="7"/>
    <x v="110"/>
    <x v="14"/>
    <x v="0"/>
    <n v="200"/>
    <x v="1"/>
    <x v="0"/>
    <x v="885"/>
    <x v="0"/>
    <s v="DISCOUNT NOT ALLOWED"/>
    <s v="discount not allowed"/>
    <s v="DISCOUNT NOT ALLOWED"/>
    <s v="Discount Not Allowed"/>
    <s v="02/06/22"/>
  </r>
  <r>
    <s v="TXN_1392572"/>
    <s v="CUST_23"/>
    <x v="4"/>
    <x v="109"/>
    <x v="14"/>
    <x v="0"/>
    <n v="200"/>
    <x v="0"/>
    <x v="1"/>
    <x v="307"/>
    <x v="1"/>
    <s v="DISCOUNT ALLOWED"/>
    <s v="discount allowed"/>
    <s v="DISCOUNT ALLOWED"/>
    <s v="Discount Allowed"/>
    <s v="10/12/24"/>
  </r>
  <r>
    <s v="TXN_1688684"/>
    <s v="CUST_20"/>
    <x v="4"/>
    <x v="109"/>
    <x v="14"/>
    <x v="0"/>
    <n v="200"/>
    <x v="2"/>
    <x v="1"/>
    <x v="894"/>
    <x v="1"/>
    <s v="DISCOUNT ALLOWED"/>
    <s v="discount allowed"/>
    <s v="DISCOUNT ALLOWED"/>
    <s v="Discount Allowed"/>
    <s v="30/08/22"/>
  </r>
  <r>
    <s v="TXN_1705335"/>
    <s v="CUST_23"/>
    <x v="5"/>
    <x v="111"/>
    <x v="14"/>
    <x v="0"/>
    <n v="200"/>
    <x v="1"/>
    <x v="1"/>
    <x v="693"/>
    <x v="0"/>
    <s v="DISCOUNT NOT ALLOWED"/>
    <s v="discount not allowed"/>
    <s v="DISCOUNT NOT ALLOWED"/>
    <s v="Discount Not Allowed"/>
    <s v="07/05/24"/>
  </r>
  <r>
    <s v="TXN_1781066"/>
    <s v="CUST_15"/>
    <x v="6"/>
    <x v="112"/>
    <x v="14"/>
    <x v="0"/>
    <n v="200"/>
    <x v="0"/>
    <x v="1"/>
    <x v="895"/>
    <x v="1"/>
    <s v="DISCOUNT ALLOWED"/>
    <s v="discount allowed"/>
    <s v="DISCOUNT ALLOWED"/>
    <s v="Discount Allowed"/>
    <s v="17/04/23"/>
  </r>
  <r>
    <s v="TXN_2300485"/>
    <s v="CUST_01"/>
    <x v="2"/>
    <x v="113"/>
    <x v="14"/>
    <x v="0"/>
    <n v="200"/>
    <x v="0"/>
    <x v="0"/>
    <x v="355"/>
    <x v="0"/>
    <s v="DISCOUNT NOT ALLOWED"/>
    <s v="discount not allowed"/>
    <s v="DISCOUNT NOT ALLOWED"/>
    <s v="Discount Not Allowed"/>
    <s v="23/12/24"/>
  </r>
  <r>
    <s v="TXN_2328288"/>
    <s v="CUST_14"/>
    <x v="1"/>
    <x v="114"/>
    <x v="14"/>
    <x v="0"/>
    <n v="200"/>
    <x v="2"/>
    <x v="1"/>
    <x v="413"/>
    <x v="0"/>
    <s v="DISCOUNT NOT ALLOWED"/>
    <s v="discount not allowed"/>
    <s v="DISCOUNT NOT ALLOWED"/>
    <s v="Discount Not Allowed"/>
    <s v="06/04/23"/>
  </r>
  <r>
    <s v="TXN_2556108"/>
    <s v="CUST_10"/>
    <x v="2"/>
    <x v="113"/>
    <x v="14"/>
    <x v="0"/>
    <n v="200"/>
    <x v="0"/>
    <x v="1"/>
    <x v="594"/>
    <x v="0"/>
    <s v="DISCOUNT NOT ALLOWED"/>
    <s v="discount not allowed"/>
    <s v="DISCOUNT NOT ALLOWED"/>
    <s v="Discount Not Allowed"/>
    <s v="12/10/23"/>
  </r>
  <r>
    <s v="TXN_2690530"/>
    <s v="CUST_05"/>
    <x v="1"/>
    <x v="114"/>
    <x v="14"/>
    <x v="0"/>
    <n v="200"/>
    <x v="0"/>
    <x v="1"/>
    <x v="896"/>
    <x v="1"/>
    <s v="DISCOUNT ALLOWED"/>
    <s v="discount allowed"/>
    <s v="DISCOUNT ALLOWED"/>
    <s v="Discount Allowed"/>
    <s v="14/02/22"/>
  </r>
  <r>
    <s v="TXN_3066141"/>
    <s v="CUST_21"/>
    <x v="2"/>
    <x v="113"/>
    <x v="14"/>
    <x v="0"/>
    <n v="200"/>
    <x v="0"/>
    <x v="1"/>
    <x v="746"/>
    <x v="1"/>
    <s v="DISCOUNT ALLOWED"/>
    <s v="discount allowed"/>
    <s v="DISCOUNT ALLOWED"/>
    <s v="Discount Allowed"/>
    <s v="20/01/24"/>
  </r>
  <r>
    <s v="TXN_3757243"/>
    <s v="CUST_09"/>
    <x v="7"/>
    <x v="110"/>
    <x v="14"/>
    <x v="0"/>
    <n v="200"/>
    <x v="1"/>
    <x v="1"/>
    <x v="415"/>
    <x v="0"/>
    <s v="DISCOUNT NOT ALLOWED"/>
    <s v="discount not allowed"/>
    <s v="DISCOUNT NOT ALLOWED"/>
    <s v="Discount Not Allowed"/>
    <s v="09/12/24"/>
  </r>
  <r>
    <s v="TXN_3987547"/>
    <s v="CUST_07"/>
    <x v="0"/>
    <x v="115"/>
    <x v="14"/>
    <x v="0"/>
    <n v="200"/>
    <x v="1"/>
    <x v="1"/>
    <x v="897"/>
    <x v="0"/>
    <s v="DISCOUNT NOT ALLOWED"/>
    <s v="discount not allowed"/>
    <s v="DISCOUNT NOT ALLOWED"/>
    <s v="Discount Not Allowed"/>
    <s v="03/10/22"/>
  </r>
  <r>
    <s v="TXN_4219923"/>
    <s v="CUST_14"/>
    <x v="6"/>
    <x v="112"/>
    <x v="14"/>
    <x v="0"/>
    <n v="200"/>
    <x v="2"/>
    <x v="0"/>
    <x v="379"/>
    <x v="1"/>
    <s v="DISCOUNT ALLOWED"/>
    <s v="discount allowed"/>
    <s v="DISCOUNT ALLOWED"/>
    <s v="Discount Allowed"/>
    <s v="15/03/24"/>
  </r>
  <r>
    <s v="TXN_4411069"/>
    <s v="CUST_08"/>
    <x v="4"/>
    <x v="109"/>
    <x v="14"/>
    <x v="0"/>
    <n v="200"/>
    <x v="0"/>
    <x v="1"/>
    <x v="800"/>
    <x v="0"/>
    <s v="DISCOUNT NOT ALLOWED"/>
    <s v="discount not allowed"/>
    <s v="DISCOUNT NOT ALLOWED"/>
    <s v="Discount Not Allowed"/>
    <s v="06/05/22"/>
  </r>
  <r>
    <s v="TXN_5152166"/>
    <s v="CUST_06"/>
    <x v="0"/>
    <x v="115"/>
    <x v="14"/>
    <x v="0"/>
    <n v="200"/>
    <x v="1"/>
    <x v="1"/>
    <x v="898"/>
    <x v="1"/>
    <s v="DISCOUNT ALLOWED"/>
    <s v="discount allowed"/>
    <s v="DISCOUNT ALLOWED"/>
    <s v="Discount Allowed"/>
    <s v="10/02/23"/>
  </r>
  <r>
    <s v="TXN_5444504"/>
    <s v="CUST_05"/>
    <x v="4"/>
    <x v="109"/>
    <x v="14"/>
    <x v="0"/>
    <n v="200"/>
    <x v="0"/>
    <x v="0"/>
    <x v="84"/>
    <x v="0"/>
    <s v="DISCOUNT NOT ALLOWED"/>
    <s v="discount not allowed"/>
    <s v="DISCOUNT NOT ALLOWED"/>
    <s v="Discount Not Allowed"/>
    <s v="26/04/22"/>
  </r>
  <r>
    <s v="TXN_5505701"/>
    <s v="CUST_04"/>
    <x v="0"/>
    <x v="115"/>
    <x v="14"/>
    <x v="0"/>
    <n v="200"/>
    <x v="0"/>
    <x v="1"/>
    <x v="240"/>
    <x v="0"/>
    <s v="DISCOUNT NOT ALLOWED"/>
    <s v="discount not allowed"/>
    <s v="DISCOUNT NOT ALLOWED"/>
    <s v="Discount Not Allowed"/>
    <s v="08/07/24"/>
  </r>
  <r>
    <s v="TXN_5547862"/>
    <s v="CUST_24"/>
    <x v="4"/>
    <x v="109"/>
    <x v="14"/>
    <x v="0"/>
    <n v="200"/>
    <x v="0"/>
    <x v="1"/>
    <x v="869"/>
    <x v="0"/>
    <s v="DISCOUNT NOT ALLOWED"/>
    <s v="discount not allowed"/>
    <s v="DISCOUNT NOT ALLOWED"/>
    <s v="Discount Not Allowed"/>
    <s v="16/07/22"/>
  </r>
  <r>
    <s v="TXN_5655357"/>
    <s v="CUST_06"/>
    <x v="7"/>
    <x v="110"/>
    <x v="14"/>
    <x v="0"/>
    <n v="200"/>
    <x v="0"/>
    <x v="0"/>
    <x v="420"/>
    <x v="0"/>
    <s v="DISCOUNT NOT ALLOWED"/>
    <s v="discount not allowed"/>
    <s v="DISCOUNT NOT ALLOWED"/>
    <s v="Discount Not Allowed"/>
    <s v="28/09/24"/>
  </r>
  <r>
    <s v="TXN_5715479"/>
    <s v="CUST_01"/>
    <x v="1"/>
    <x v="114"/>
    <x v="14"/>
    <x v="0"/>
    <n v="200"/>
    <x v="2"/>
    <x v="0"/>
    <x v="564"/>
    <x v="1"/>
    <s v="DISCOUNT ALLOWED"/>
    <s v="discount allowed"/>
    <s v="DISCOUNT ALLOWED"/>
    <s v="Discount Allowed"/>
    <s v="31/01/23"/>
  </r>
  <r>
    <s v="TXN_5845226"/>
    <s v="CUST_08"/>
    <x v="7"/>
    <x v="110"/>
    <x v="14"/>
    <x v="0"/>
    <n v="200"/>
    <x v="2"/>
    <x v="1"/>
    <x v="645"/>
    <x v="1"/>
    <s v="DISCOUNT ALLOWED"/>
    <s v="discount allowed"/>
    <s v="DISCOUNT ALLOWED"/>
    <s v="Discount Allowed"/>
    <s v="24/07/23"/>
  </r>
  <r>
    <s v="TXN_5912657"/>
    <s v="CUST_10"/>
    <x v="7"/>
    <x v="110"/>
    <x v="14"/>
    <x v="0"/>
    <n v="200"/>
    <x v="1"/>
    <x v="0"/>
    <x v="23"/>
    <x v="1"/>
    <s v="DISCOUNT ALLOWED"/>
    <s v="discount allowed"/>
    <s v="DISCOUNT ALLOWED"/>
    <s v="Discount Allowed"/>
    <s v="31/08/24"/>
  </r>
  <r>
    <s v="TXN_6053875"/>
    <s v="CUST_07"/>
    <x v="6"/>
    <x v="112"/>
    <x v="14"/>
    <x v="0"/>
    <n v="200"/>
    <x v="1"/>
    <x v="0"/>
    <x v="890"/>
    <x v="0"/>
    <s v="DISCOUNT NOT ALLOWED"/>
    <s v="discount not allowed"/>
    <s v="DISCOUNT NOT ALLOWED"/>
    <s v="Discount Not Allowed"/>
    <s v="16/09/24"/>
  </r>
  <r>
    <s v="TXN_6263189"/>
    <s v="CUST_08"/>
    <x v="0"/>
    <x v="115"/>
    <x v="14"/>
    <x v="0"/>
    <n v="200"/>
    <x v="2"/>
    <x v="1"/>
    <x v="641"/>
    <x v="1"/>
    <s v="DISCOUNT ALLOWED"/>
    <s v="discount allowed"/>
    <s v="DISCOUNT ALLOWED"/>
    <s v="Discount Allowed"/>
    <s v="09/01/22"/>
  </r>
  <r>
    <s v="TXN_6308905"/>
    <s v="CUST_22"/>
    <x v="2"/>
    <x v="113"/>
    <x v="14"/>
    <x v="0"/>
    <n v="200"/>
    <x v="1"/>
    <x v="0"/>
    <x v="812"/>
    <x v="1"/>
    <s v="DISCOUNT ALLOWED"/>
    <s v="discount allowed"/>
    <s v="DISCOUNT ALLOWED"/>
    <s v="Discount Allowed"/>
    <s v="21/04/24"/>
  </r>
  <r>
    <s v="TXN_6375978"/>
    <s v="CUST_23"/>
    <x v="0"/>
    <x v="115"/>
    <x v="14"/>
    <x v="0"/>
    <n v="200"/>
    <x v="0"/>
    <x v="1"/>
    <x v="891"/>
    <x v="0"/>
    <s v="DISCOUNT NOT ALLOWED"/>
    <s v="discount not allowed"/>
    <s v="DISCOUNT NOT ALLOWED"/>
    <s v="Discount Not Allowed"/>
    <s v="07/04/22"/>
  </r>
  <r>
    <s v="TXN_6510355"/>
    <s v="CUST_13"/>
    <x v="4"/>
    <x v="109"/>
    <x v="14"/>
    <x v="0"/>
    <n v="200"/>
    <x v="2"/>
    <x v="1"/>
    <x v="756"/>
    <x v="1"/>
    <s v="DISCOUNT ALLOWED"/>
    <s v="discount allowed"/>
    <s v="DISCOUNT ALLOWED"/>
    <s v="Discount Allowed"/>
    <s v="15/06/23"/>
  </r>
  <r>
    <s v="TXN_6544317"/>
    <s v="CUST_22"/>
    <x v="0"/>
    <x v="115"/>
    <x v="14"/>
    <x v="0"/>
    <n v="200"/>
    <x v="1"/>
    <x v="0"/>
    <x v="899"/>
    <x v="0"/>
    <s v="DISCOUNT NOT ALLOWED"/>
    <s v="discount not allowed"/>
    <s v="DISCOUNT NOT ALLOWED"/>
    <s v="Discount Not Allowed"/>
    <s v="20/07/22"/>
  </r>
  <r>
    <s v="TXN_7356854"/>
    <s v="CUST_06"/>
    <x v="7"/>
    <x v="110"/>
    <x v="14"/>
    <x v="0"/>
    <n v="200"/>
    <x v="2"/>
    <x v="0"/>
    <x v="799"/>
    <x v="1"/>
    <s v="DISCOUNT ALLOWED"/>
    <s v="discount allowed"/>
    <s v="DISCOUNT ALLOWED"/>
    <s v="Discount Allowed"/>
    <s v="30/10/24"/>
  </r>
  <r>
    <s v="TXN_7421983"/>
    <s v="CUST_05"/>
    <x v="7"/>
    <x v="110"/>
    <x v="14"/>
    <x v="0"/>
    <n v="200"/>
    <x v="2"/>
    <x v="0"/>
    <x v="823"/>
    <x v="1"/>
    <s v="DISCOUNT ALLOWED"/>
    <s v="discount allowed"/>
    <s v="DISCOUNT ALLOWED"/>
    <s v="Discount Allowed"/>
    <s v="17/09/22"/>
  </r>
  <r>
    <s v="TXN_7654213"/>
    <s v="CUST_23"/>
    <x v="7"/>
    <x v="110"/>
    <x v="14"/>
    <x v="0"/>
    <n v="200"/>
    <x v="0"/>
    <x v="0"/>
    <x v="30"/>
    <x v="1"/>
    <s v="DISCOUNT ALLOWED"/>
    <s v="discount allowed"/>
    <s v="DISCOUNT ALLOWED"/>
    <s v="Discount Allowed"/>
    <s v="29/05/24"/>
  </r>
  <r>
    <s v="TXN_7673761"/>
    <s v="CUST_25"/>
    <x v="4"/>
    <x v="109"/>
    <x v="14"/>
    <x v="0"/>
    <n v="200"/>
    <x v="0"/>
    <x v="0"/>
    <x v="620"/>
    <x v="0"/>
    <s v="DISCOUNT NOT ALLOWED"/>
    <s v="discount not allowed"/>
    <s v="DISCOUNT NOT ALLOWED"/>
    <s v="Discount Not Allowed"/>
    <s v="19/09/23"/>
  </r>
  <r>
    <s v="TXN_7858668"/>
    <s v="CUST_24"/>
    <x v="7"/>
    <x v="110"/>
    <x v="14"/>
    <x v="0"/>
    <n v="200"/>
    <x v="1"/>
    <x v="0"/>
    <x v="49"/>
    <x v="0"/>
    <s v="DISCOUNT NOT ALLOWED"/>
    <s v="discount not allowed"/>
    <s v="DISCOUNT NOT ALLOWED"/>
    <s v="Discount Not Allowed"/>
    <s v="14/09/22"/>
  </r>
  <r>
    <s v="TXN_7928803"/>
    <s v="CUST_22"/>
    <x v="7"/>
    <x v="110"/>
    <x v="14"/>
    <x v="0"/>
    <n v="200"/>
    <x v="1"/>
    <x v="1"/>
    <x v="618"/>
    <x v="0"/>
    <s v="DISCOUNT NOT ALLOWED"/>
    <s v="discount not allowed"/>
    <s v="DISCOUNT NOT ALLOWED"/>
    <s v="Discount Not Allowed"/>
    <s v="23/01/24"/>
  </r>
  <r>
    <s v="TXN_8296076"/>
    <s v="CUST_09"/>
    <x v="7"/>
    <x v="110"/>
    <x v="14"/>
    <x v="0"/>
    <n v="200"/>
    <x v="0"/>
    <x v="0"/>
    <x v="434"/>
    <x v="0"/>
    <s v="DISCOUNT NOT ALLOWED"/>
    <s v="discount not allowed"/>
    <s v="DISCOUNT NOT ALLOWED"/>
    <s v="Discount Not Allowed"/>
    <s v="18/04/24"/>
  </r>
  <r>
    <s v="TXN_8639287"/>
    <s v="CUST_03"/>
    <x v="6"/>
    <x v="112"/>
    <x v="14"/>
    <x v="0"/>
    <n v="200"/>
    <x v="1"/>
    <x v="1"/>
    <x v="684"/>
    <x v="1"/>
    <s v="DISCOUNT ALLOWED"/>
    <s v="discount allowed"/>
    <s v="DISCOUNT ALLOWED"/>
    <s v="Discount Allowed"/>
    <s v="13/03/24"/>
  </r>
  <r>
    <s v="TXN_8744758"/>
    <s v="CUST_19"/>
    <x v="6"/>
    <x v="112"/>
    <x v="14"/>
    <x v="0"/>
    <n v="200"/>
    <x v="0"/>
    <x v="1"/>
    <x v="137"/>
    <x v="0"/>
    <s v="DISCOUNT NOT ALLOWED"/>
    <s v="discount not allowed"/>
    <s v="DISCOUNT NOT ALLOWED"/>
    <s v="Discount Not Allowed"/>
    <s v="24/11/23"/>
  </r>
  <r>
    <s v="TXN_8948224"/>
    <s v="CUST_12"/>
    <x v="4"/>
    <x v="109"/>
    <x v="14"/>
    <x v="0"/>
    <n v="200"/>
    <x v="2"/>
    <x v="0"/>
    <x v="796"/>
    <x v="0"/>
    <s v="DISCOUNT NOT ALLOWED"/>
    <s v="discount not allowed"/>
    <s v="DISCOUNT NOT ALLOWED"/>
    <s v="Discount Not Allowed"/>
    <s v="14/03/23"/>
  </r>
  <r>
    <s v="TXN_8949747"/>
    <s v="CUST_21"/>
    <x v="0"/>
    <x v="115"/>
    <x v="14"/>
    <x v="0"/>
    <n v="200"/>
    <x v="0"/>
    <x v="0"/>
    <x v="200"/>
    <x v="0"/>
    <s v="DISCOUNT NOT ALLOWED"/>
    <s v="discount not allowed"/>
    <s v="DISCOUNT NOT ALLOWED"/>
    <s v="Discount Not Allowed"/>
    <s v="29/01/22"/>
  </r>
  <r>
    <s v="TXN_9065545"/>
    <s v="CUST_08"/>
    <x v="0"/>
    <x v="115"/>
    <x v="14"/>
    <x v="0"/>
    <n v="200"/>
    <x v="2"/>
    <x v="1"/>
    <x v="900"/>
    <x v="1"/>
    <s v="DISCOUNT ALLOWED"/>
    <s v="discount allowed"/>
    <s v="DISCOUNT ALLOWED"/>
    <s v="Discount Allowed"/>
    <s v="06/11/23"/>
  </r>
  <r>
    <s v="TXN_9885565"/>
    <s v="CUST_21"/>
    <x v="0"/>
    <x v="115"/>
    <x v="14"/>
    <x v="0"/>
    <n v="200"/>
    <x v="1"/>
    <x v="1"/>
    <x v="351"/>
    <x v="0"/>
    <s v="DISCOUNT NOT ALLOWED"/>
    <s v="discount not allowed"/>
    <s v="DISCOUNT NOT ALLOWED"/>
    <s v="Discount Not Allowed"/>
    <s v="24/01/23"/>
  </r>
  <r>
    <s v="TXN_1278400"/>
    <s v="CUST_15"/>
    <x v="7"/>
    <x v="10"/>
    <x v="1"/>
    <x v="5"/>
    <n v="197.5"/>
    <x v="0"/>
    <x v="1"/>
    <x v="419"/>
    <x v="1"/>
    <s v="DISCOUNT ALLOWED"/>
    <s v="discount allowed"/>
    <s v="DISCOUNT ALLOWED"/>
    <s v="Discount Allowed"/>
    <s v="08/04/24"/>
  </r>
  <r>
    <s v="TXN_1833446"/>
    <s v="CUST_13"/>
    <x v="1"/>
    <x v="8"/>
    <x v="1"/>
    <x v="5"/>
    <n v="197.5"/>
    <x v="2"/>
    <x v="1"/>
    <x v="592"/>
    <x v="1"/>
    <s v="DISCOUNT ALLOWED"/>
    <s v="discount allowed"/>
    <s v="DISCOUNT ALLOWED"/>
    <s v="Discount Allowed"/>
    <s v="11/12/23"/>
  </r>
  <r>
    <s v="TXN_2241242"/>
    <s v="CUST_25"/>
    <x v="2"/>
    <x v="9"/>
    <x v="1"/>
    <x v="5"/>
    <n v="197.5"/>
    <x v="0"/>
    <x v="1"/>
    <x v="229"/>
    <x v="0"/>
    <s v="DISCOUNT NOT ALLOWED"/>
    <s v="discount not allowed"/>
    <s v="DISCOUNT NOT ALLOWED"/>
    <s v="Discount Not Allowed"/>
    <s v="16/03/24"/>
  </r>
  <r>
    <s v="TXN_2464906"/>
    <s v="CUST_11"/>
    <x v="0"/>
    <x v="14"/>
    <x v="1"/>
    <x v="5"/>
    <n v="197.5"/>
    <x v="2"/>
    <x v="1"/>
    <x v="199"/>
    <x v="1"/>
    <s v="DISCOUNT ALLOWED"/>
    <s v="discount allowed"/>
    <s v="DISCOUNT ALLOWED"/>
    <s v="Discount Allowed"/>
    <s v="27/12/24"/>
  </r>
  <r>
    <s v="TXN_2521668"/>
    <s v="CUST_06"/>
    <x v="2"/>
    <x v="9"/>
    <x v="1"/>
    <x v="5"/>
    <n v="197.5"/>
    <x v="1"/>
    <x v="1"/>
    <x v="23"/>
    <x v="1"/>
    <s v="DISCOUNT ALLOWED"/>
    <s v="discount allowed"/>
    <s v="DISCOUNT ALLOWED"/>
    <s v="Discount Allowed"/>
    <s v="31/08/24"/>
  </r>
  <r>
    <s v="TXN_2663829"/>
    <s v="CUST_05"/>
    <x v="2"/>
    <x v="9"/>
    <x v="1"/>
    <x v="5"/>
    <n v="197.5"/>
    <x v="2"/>
    <x v="1"/>
    <x v="719"/>
    <x v="0"/>
    <s v="DISCOUNT NOT ALLOWED"/>
    <s v="discount not allowed"/>
    <s v="DISCOUNT NOT ALLOWED"/>
    <s v="Discount Not Allowed"/>
    <s v="28/11/22"/>
  </r>
  <r>
    <s v="TXN_2752080"/>
    <s v="CUST_20"/>
    <x v="0"/>
    <x v="14"/>
    <x v="1"/>
    <x v="5"/>
    <n v="197.5"/>
    <x v="0"/>
    <x v="1"/>
    <x v="187"/>
    <x v="1"/>
    <s v="DISCOUNT ALLOWED"/>
    <s v="discount allowed"/>
    <s v="DISCOUNT ALLOWED"/>
    <s v="Discount Allowed"/>
    <s v="18/02/23"/>
  </r>
  <r>
    <s v="TXN_3040201"/>
    <s v="CUST_21"/>
    <x v="1"/>
    <x v="8"/>
    <x v="1"/>
    <x v="5"/>
    <n v="197.5"/>
    <x v="2"/>
    <x v="1"/>
    <x v="901"/>
    <x v="1"/>
    <s v="DISCOUNT ALLOWED"/>
    <s v="discount allowed"/>
    <s v="DISCOUNT ALLOWED"/>
    <s v="Discount Allowed"/>
    <s v="28/07/24"/>
  </r>
  <r>
    <s v="TXN_3188922"/>
    <s v="CUST_08"/>
    <x v="0"/>
    <x v="14"/>
    <x v="1"/>
    <x v="5"/>
    <n v="197.5"/>
    <x v="2"/>
    <x v="0"/>
    <x v="653"/>
    <x v="0"/>
    <s v="DISCOUNT NOT ALLOWED"/>
    <s v="discount not allowed"/>
    <s v="DISCOUNT NOT ALLOWED"/>
    <s v="Discount Not Allowed"/>
    <s v="31/05/23"/>
  </r>
  <r>
    <s v="TXN_3746744"/>
    <s v="CUST_16"/>
    <x v="4"/>
    <x v="11"/>
    <x v="1"/>
    <x v="5"/>
    <n v="197.5"/>
    <x v="0"/>
    <x v="1"/>
    <x v="445"/>
    <x v="0"/>
    <s v="DISCOUNT NOT ALLOWED"/>
    <s v="discount not allowed"/>
    <s v="DISCOUNT NOT ALLOWED"/>
    <s v="Discount Not Allowed"/>
    <s v="02/10/23"/>
  </r>
  <r>
    <s v="TXN_4205977"/>
    <s v="CUST_04"/>
    <x v="4"/>
    <x v="11"/>
    <x v="1"/>
    <x v="5"/>
    <n v="197.5"/>
    <x v="0"/>
    <x v="1"/>
    <x v="133"/>
    <x v="0"/>
    <s v="DISCOUNT NOT ALLOWED"/>
    <s v="discount not allowed"/>
    <s v="DISCOUNT NOT ALLOWED"/>
    <s v="Discount Not Allowed"/>
    <s v="17/01/24"/>
  </r>
  <r>
    <s v="TXN_4286798"/>
    <s v="CUST_25"/>
    <x v="2"/>
    <x v="9"/>
    <x v="1"/>
    <x v="5"/>
    <n v="197.5"/>
    <x v="0"/>
    <x v="0"/>
    <x v="836"/>
    <x v="0"/>
    <s v="DISCOUNT NOT ALLOWED"/>
    <s v="discount not allowed"/>
    <s v="DISCOUNT NOT ALLOWED"/>
    <s v="Discount Not Allowed"/>
    <s v="22/05/22"/>
  </r>
  <r>
    <s v="TXN_5613029"/>
    <s v="CUST_03"/>
    <x v="5"/>
    <x v="13"/>
    <x v="1"/>
    <x v="5"/>
    <n v="197.5"/>
    <x v="2"/>
    <x v="0"/>
    <x v="236"/>
    <x v="1"/>
    <s v="DISCOUNT ALLOWED"/>
    <s v="discount allowed"/>
    <s v="DISCOUNT ALLOWED"/>
    <s v="Discount Allowed"/>
    <s v="07/11/24"/>
  </r>
  <r>
    <s v="TXN_5747284"/>
    <s v="CUST_07"/>
    <x v="7"/>
    <x v="10"/>
    <x v="1"/>
    <x v="5"/>
    <n v="197.5"/>
    <x v="0"/>
    <x v="0"/>
    <x v="11"/>
    <x v="1"/>
    <s v="DISCOUNT ALLOWED"/>
    <s v="discount allowed"/>
    <s v="DISCOUNT ALLOWED"/>
    <s v="Discount Allowed"/>
    <s v="03/10/23"/>
  </r>
  <r>
    <s v="TXN_6257905"/>
    <s v="CUST_19"/>
    <x v="2"/>
    <x v="9"/>
    <x v="1"/>
    <x v="5"/>
    <n v="197.5"/>
    <x v="1"/>
    <x v="1"/>
    <x v="902"/>
    <x v="0"/>
    <s v="DISCOUNT NOT ALLOWED"/>
    <s v="discount not allowed"/>
    <s v="DISCOUNT NOT ALLOWED"/>
    <s v="Discount Not Allowed"/>
    <s v="29/08/24"/>
  </r>
  <r>
    <s v="TXN_6392061"/>
    <s v="CUST_16"/>
    <x v="1"/>
    <x v="8"/>
    <x v="1"/>
    <x v="5"/>
    <n v="197.5"/>
    <x v="0"/>
    <x v="0"/>
    <x v="698"/>
    <x v="1"/>
    <s v="DISCOUNT ALLOWED"/>
    <s v="discount allowed"/>
    <s v="DISCOUNT ALLOWED"/>
    <s v="Discount Allowed"/>
    <s v="30/01/23"/>
  </r>
  <r>
    <s v="TXN_6850087"/>
    <s v="CUST_11"/>
    <x v="6"/>
    <x v="51"/>
    <x v="1"/>
    <x v="5"/>
    <n v="197.5"/>
    <x v="0"/>
    <x v="0"/>
    <x v="472"/>
    <x v="0"/>
    <s v="DISCOUNT NOT ALLOWED"/>
    <s v="discount not allowed"/>
    <s v="DISCOUNT NOT ALLOWED"/>
    <s v="Discount Not Allowed"/>
    <s v="29/10/23"/>
  </r>
  <r>
    <s v="TXN_7108299"/>
    <s v="CUST_22"/>
    <x v="2"/>
    <x v="9"/>
    <x v="1"/>
    <x v="5"/>
    <n v="197.5"/>
    <x v="2"/>
    <x v="1"/>
    <x v="823"/>
    <x v="1"/>
    <s v="DISCOUNT ALLOWED"/>
    <s v="discount allowed"/>
    <s v="DISCOUNT ALLOWED"/>
    <s v="Discount Allowed"/>
    <s v="17/09/22"/>
  </r>
  <r>
    <s v="TXN_7112380"/>
    <s v="CUST_03"/>
    <x v="1"/>
    <x v="8"/>
    <x v="1"/>
    <x v="5"/>
    <n v="197.5"/>
    <x v="2"/>
    <x v="1"/>
    <x v="237"/>
    <x v="1"/>
    <s v="DISCOUNT ALLOWED"/>
    <s v="discount allowed"/>
    <s v="DISCOUNT ALLOWED"/>
    <s v="Discount Allowed"/>
    <s v="23/07/22"/>
  </r>
  <r>
    <s v="TXN_7243315"/>
    <s v="CUST_07"/>
    <x v="0"/>
    <x v="14"/>
    <x v="1"/>
    <x v="5"/>
    <n v="197.5"/>
    <x v="2"/>
    <x v="0"/>
    <x v="164"/>
    <x v="1"/>
    <s v="DISCOUNT ALLOWED"/>
    <s v="discount allowed"/>
    <s v="DISCOUNT ALLOWED"/>
    <s v="Discount Allowed"/>
    <s v="26/01/22"/>
  </r>
  <r>
    <s v="TXN_8218353"/>
    <s v="CUST_18"/>
    <x v="2"/>
    <x v="9"/>
    <x v="1"/>
    <x v="5"/>
    <n v="197.5"/>
    <x v="2"/>
    <x v="1"/>
    <x v="903"/>
    <x v="1"/>
    <s v="DISCOUNT ALLOWED"/>
    <s v="discount allowed"/>
    <s v="DISCOUNT ALLOWED"/>
    <s v="Discount Allowed"/>
    <s v="18/01/24"/>
  </r>
  <r>
    <s v="TXN_8262460"/>
    <s v="CUST_18"/>
    <x v="7"/>
    <x v="10"/>
    <x v="1"/>
    <x v="5"/>
    <n v="197.5"/>
    <x v="0"/>
    <x v="1"/>
    <x v="767"/>
    <x v="0"/>
    <s v="DISCOUNT NOT ALLOWED"/>
    <s v="discount not allowed"/>
    <s v="DISCOUNT NOT ALLOWED"/>
    <s v="Discount Not Allowed"/>
    <s v="24/07/22"/>
  </r>
  <r>
    <s v="TXN_8487509"/>
    <s v="CUST_03"/>
    <x v="1"/>
    <x v="8"/>
    <x v="1"/>
    <x v="5"/>
    <n v="197.5"/>
    <x v="2"/>
    <x v="0"/>
    <x v="314"/>
    <x v="0"/>
    <s v="DISCOUNT NOT ALLOWED"/>
    <s v="discount not allowed"/>
    <s v="DISCOUNT NOT ALLOWED"/>
    <s v="Discount Not Allowed"/>
    <s v="04/05/22"/>
  </r>
  <r>
    <s v="TXN_8836671"/>
    <s v="CUST_15"/>
    <x v="0"/>
    <x v="14"/>
    <x v="1"/>
    <x v="5"/>
    <n v="197.5"/>
    <x v="2"/>
    <x v="0"/>
    <x v="297"/>
    <x v="1"/>
    <s v="DISCOUNT ALLOWED"/>
    <s v="discount allowed"/>
    <s v="DISCOUNT ALLOWED"/>
    <s v="Discount Allowed"/>
    <s v="11/11/24"/>
  </r>
  <r>
    <s v="TXN_8896457"/>
    <s v="CUST_20"/>
    <x v="1"/>
    <x v="8"/>
    <x v="1"/>
    <x v="5"/>
    <n v="197.5"/>
    <x v="0"/>
    <x v="1"/>
    <x v="112"/>
    <x v="1"/>
    <s v="DISCOUNT ALLOWED"/>
    <s v="discount allowed"/>
    <s v="DISCOUNT ALLOWED"/>
    <s v="Discount Allowed"/>
    <s v="29/06/24"/>
  </r>
  <r>
    <s v="TXN_8996671"/>
    <s v="CUST_20"/>
    <x v="3"/>
    <x v="12"/>
    <x v="1"/>
    <x v="5"/>
    <n v="197.5"/>
    <x v="1"/>
    <x v="1"/>
    <x v="748"/>
    <x v="0"/>
    <s v="DISCOUNT NOT ALLOWED"/>
    <s v="discount not allowed"/>
    <s v="DISCOUNT NOT ALLOWED"/>
    <s v="Discount Not Allowed"/>
    <s v="21/06/23"/>
  </r>
  <r>
    <s v="TXN_9003520"/>
    <s v="CUST_21"/>
    <x v="2"/>
    <x v="9"/>
    <x v="1"/>
    <x v="5"/>
    <n v="197.5"/>
    <x v="0"/>
    <x v="1"/>
    <x v="367"/>
    <x v="1"/>
    <s v="DISCOUNT ALLOWED"/>
    <s v="discount allowed"/>
    <s v="DISCOUNT ALLOWED"/>
    <s v="Discount Allowed"/>
    <s v="13/10/23"/>
  </r>
  <r>
    <s v="TXN_9600643"/>
    <s v="CUST_19"/>
    <x v="7"/>
    <x v="10"/>
    <x v="1"/>
    <x v="5"/>
    <n v="197.5"/>
    <x v="0"/>
    <x v="1"/>
    <x v="867"/>
    <x v="1"/>
    <s v="DISCOUNT ALLOWED"/>
    <s v="discount allowed"/>
    <s v="DISCOUNT ALLOWED"/>
    <s v="Discount Allowed"/>
    <s v="09/09/22"/>
  </r>
  <r>
    <s v="TXN_1058677"/>
    <s v="CUST_22"/>
    <x v="6"/>
    <x v="88"/>
    <x v="11"/>
    <x v="2"/>
    <n v="196"/>
    <x v="1"/>
    <x v="0"/>
    <x v="46"/>
    <x v="1"/>
    <s v="DISCOUNT ALLOWED"/>
    <s v="discount allowed"/>
    <s v="DISCOUNT ALLOWED"/>
    <s v="Discount Allowed"/>
    <s v="24/04/24"/>
  </r>
  <r>
    <s v="TXN_1138768"/>
    <s v="CUST_12"/>
    <x v="6"/>
    <x v="88"/>
    <x v="11"/>
    <x v="2"/>
    <n v="196"/>
    <x v="1"/>
    <x v="0"/>
    <x v="904"/>
    <x v="0"/>
    <s v="DISCOUNT NOT ALLOWED"/>
    <s v="discount not allowed"/>
    <s v="DISCOUNT NOT ALLOWED"/>
    <s v="Discount Not Allowed"/>
    <s v="09/03/22"/>
  </r>
  <r>
    <s v="TXN_1204007"/>
    <s v="CUST_11"/>
    <x v="2"/>
    <x v="90"/>
    <x v="11"/>
    <x v="2"/>
    <n v="196"/>
    <x v="1"/>
    <x v="1"/>
    <x v="299"/>
    <x v="1"/>
    <s v="DISCOUNT ALLOWED"/>
    <s v="discount allowed"/>
    <s v="DISCOUNT ALLOWED"/>
    <s v="Discount Allowed"/>
    <s v="11/10/22"/>
  </r>
  <r>
    <s v="TXN_1217844"/>
    <s v="CUST_03"/>
    <x v="6"/>
    <x v="88"/>
    <x v="11"/>
    <x v="2"/>
    <n v="196"/>
    <x v="2"/>
    <x v="1"/>
    <x v="712"/>
    <x v="0"/>
    <s v="DISCOUNT NOT ALLOWED"/>
    <s v="discount not allowed"/>
    <s v="DISCOUNT NOT ALLOWED"/>
    <s v="Discount Not Allowed"/>
    <s v="30/04/22"/>
  </r>
  <r>
    <s v="TXN_1497345"/>
    <s v="CUST_15"/>
    <x v="2"/>
    <x v="90"/>
    <x v="11"/>
    <x v="2"/>
    <n v="196"/>
    <x v="1"/>
    <x v="0"/>
    <x v="320"/>
    <x v="1"/>
    <s v="DISCOUNT ALLOWED"/>
    <s v="discount allowed"/>
    <s v="DISCOUNT ALLOWED"/>
    <s v="Discount Allowed"/>
    <s v="05/01/22"/>
  </r>
  <r>
    <s v="TXN_1860632"/>
    <s v="CUST_18"/>
    <x v="6"/>
    <x v="88"/>
    <x v="11"/>
    <x v="2"/>
    <n v="196"/>
    <x v="1"/>
    <x v="1"/>
    <x v="760"/>
    <x v="1"/>
    <s v="DISCOUNT ALLOWED"/>
    <s v="discount allowed"/>
    <s v="DISCOUNT ALLOWED"/>
    <s v="Discount Allowed"/>
    <s v="30/11/22"/>
  </r>
  <r>
    <s v="TXN_2122383"/>
    <s v="CUST_23"/>
    <x v="7"/>
    <x v="86"/>
    <x v="11"/>
    <x v="2"/>
    <n v="196"/>
    <x v="0"/>
    <x v="1"/>
    <x v="820"/>
    <x v="0"/>
    <s v="DISCOUNT NOT ALLOWED"/>
    <s v="discount not allowed"/>
    <s v="DISCOUNT NOT ALLOWED"/>
    <s v="Discount Not Allowed"/>
    <s v="07/10/23"/>
  </r>
  <r>
    <s v="TXN_2635940"/>
    <s v="CUST_05"/>
    <x v="1"/>
    <x v="89"/>
    <x v="11"/>
    <x v="2"/>
    <n v="196"/>
    <x v="1"/>
    <x v="1"/>
    <x v="505"/>
    <x v="0"/>
    <s v="DISCOUNT NOT ALLOWED"/>
    <s v="discount not allowed"/>
    <s v="DISCOUNT NOT ALLOWED"/>
    <s v="Discount Not Allowed"/>
    <s v="13/04/24"/>
  </r>
  <r>
    <s v="TXN_3048452"/>
    <s v="CUST_12"/>
    <x v="4"/>
    <x v="87"/>
    <x v="11"/>
    <x v="2"/>
    <n v="196"/>
    <x v="1"/>
    <x v="0"/>
    <x v="390"/>
    <x v="0"/>
    <s v="DISCOUNT NOT ALLOWED"/>
    <s v="discount not allowed"/>
    <s v="DISCOUNT NOT ALLOWED"/>
    <s v="Discount Not Allowed"/>
    <s v="22/11/24"/>
  </r>
  <r>
    <s v="TXN_3462357"/>
    <s v="CUST_16"/>
    <x v="4"/>
    <x v="87"/>
    <x v="11"/>
    <x v="2"/>
    <n v="196"/>
    <x v="1"/>
    <x v="1"/>
    <x v="816"/>
    <x v="1"/>
    <s v="DISCOUNT ALLOWED"/>
    <s v="discount allowed"/>
    <s v="DISCOUNT ALLOWED"/>
    <s v="Discount Allowed"/>
    <s v="27/08/23"/>
  </r>
  <r>
    <s v="TXN_3583888"/>
    <s v="CUST_06"/>
    <x v="4"/>
    <x v="87"/>
    <x v="11"/>
    <x v="2"/>
    <n v="196"/>
    <x v="1"/>
    <x v="0"/>
    <x v="795"/>
    <x v="0"/>
    <s v="DISCOUNT NOT ALLOWED"/>
    <s v="discount not allowed"/>
    <s v="DISCOUNT NOT ALLOWED"/>
    <s v="Discount Not Allowed"/>
    <s v="23/10/23"/>
  </r>
  <r>
    <s v="TXN_3636688"/>
    <s v="CUST_23"/>
    <x v="7"/>
    <x v="86"/>
    <x v="11"/>
    <x v="2"/>
    <n v="196"/>
    <x v="2"/>
    <x v="0"/>
    <x v="905"/>
    <x v="0"/>
    <s v="DISCOUNT NOT ALLOWED"/>
    <s v="discount not allowed"/>
    <s v="DISCOUNT NOT ALLOWED"/>
    <s v="Discount Not Allowed"/>
    <s v="05/01/25"/>
  </r>
  <r>
    <s v="TXN_3928788"/>
    <s v="CUST_23"/>
    <x v="4"/>
    <x v="87"/>
    <x v="11"/>
    <x v="2"/>
    <n v="196"/>
    <x v="2"/>
    <x v="0"/>
    <x v="421"/>
    <x v="0"/>
    <s v="DISCOUNT NOT ALLOWED"/>
    <s v="discount not allowed"/>
    <s v="DISCOUNT NOT ALLOWED"/>
    <s v="Discount Not Allowed"/>
    <s v="29/04/24"/>
  </r>
  <r>
    <s v="TXN_4376840"/>
    <s v="CUST_21"/>
    <x v="6"/>
    <x v="88"/>
    <x v="11"/>
    <x v="2"/>
    <n v="196"/>
    <x v="0"/>
    <x v="0"/>
    <x v="744"/>
    <x v="0"/>
    <s v="DISCOUNT NOT ALLOWED"/>
    <s v="discount not allowed"/>
    <s v="DISCOUNT NOT ALLOWED"/>
    <s v="Discount Not Allowed"/>
    <s v="15/06/24"/>
  </r>
  <r>
    <s v="TXN_4748533"/>
    <s v="CUST_10"/>
    <x v="1"/>
    <x v="89"/>
    <x v="11"/>
    <x v="2"/>
    <n v="196"/>
    <x v="1"/>
    <x v="1"/>
    <x v="135"/>
    <x v="0"/>
    <s v="DISCOUNT NOT ALLOWED"/>
    <s v="discount not allowed"/>
    <s v="DISCOUNT NOT ALLOWED"/>
    <s v="Discount Not Allowed"/>
    <s v="03/04/24"/>
  </r>
  <r>
    <s v="TXN_4830417"/>
    <s v="CUST_18"/>
    <x v="4"/>
    <x v="87"/>
    <x v="11"/>
    <x v="2"/>
    <n v="196"/>
    <x v="0"/>
    <x v="1"/>
    <x v="418"/>
    <x v="0"/>
    <s v="DISCOUNT NOT ALLOWED"/>
    <s v="discount not allowed"/>
    <s v="DISCOUNT NOT ALLOWED"/>
    <s v="Discount Not Allowed"/>
    <s v="29/09/24"/>
  </r>
  <r>
    <s v="TXN_4886619"/>
    <s v="CUST_16"/>
    <x v="7"/>
    <x v="86"/>
    <x v="11"/>
    <x v="2"/>
    <n v="196"/>
    <x v="2"/>
    <x v="1"/>
    <x v="219"/>
    <x v="1"/>
    <s v="DISCOUNT ALLOWED"/>
    <s v="discount allowed"/>
    <s v="DISCOUNT ALLOWED"/>
    <s v="Discount Allowed"/>
    <s v="23/05/23"/>
  </r>
  <r>
    <s v="TXN_5577538"/>
    <s v="CUST_08"/>
    <x v="4"/>
    <x v="87"/>
    <x v="11"/>
    <x v="2"/>
    <n v="196"/>
    <x v="2"/>
    <x v="0"/>
    <x v="694"/>
    <x v="1"/>
    <s v="DISCOUNT ALLOWED"/>
    <s v="discount allowed"/>
    <s v="DISCOUNT ALLOWED"/>
    <s v="Discount Allowed"/>
    <s v="28/01/23"/>
  </r>
  <r>
    <s v="TXN_5874122"/>
    <s v="CUST_20"/>
    <x v="2"/>
    <x v="90"/>
    <x v="11"/>
    <x v="2"/>
    <n v="196"/>
    <x v="2"/>
    <x v="0"/>
    <x v="111"/>
    <x v="1"/>
    <s v="DISCOUNT ALLOWED"/>
    <s v="discount allowed"/>
    <s v="DISCOUNT ALLOWED"/>
    <s v="Discount Allowed"/>
    <s v="03/11/24"/>
  </r>
  <r>
    <s v="TXN_6604135"/>
    <s v="CUST_22"/>
    <x v="5"/>
    <x v="100"/>
    <x v="11"/>
    <x v="2"/>
    <n v="196"/>
    <x v="2"/>
    <x v="0"/>
    <x v="283"/>
    <x v="1"/>
    <s v="DISCOUNT ALLOWED"/>
    <s v="discount allowed"/>
    <s v="DISCOUNT ALLOWED"/>
    <s v="Discount Allowed"/>
    <s v="15/01/23"/>
  </r>
  <r>
    <s v="TXN_6625191"/>
    <s v="CUST_22"/>
    <x v="1"/>
    <x v="89"/>
    <x v="11"/>
    <x v="2"/>
    <n v="196"/>
    <x v="0"/>
    <x v="0"/>
    <x v="739"/>
    <x v="0"/>
    <s v="DISCOUNT NOT ALLOWED"/>
    <s v="discount not allowed"/>
    <s v="DISCOUNT NOT ALLOWED"/>
    <s v="Discount Not Allowed"/>
    <s v="23/05/22"/>
  </r>
  <r>
    <s v="TXN_7172046"/>
    <s v="CUST_07"/>
    <x v="1"/>
    <x v="89"/>
    <x v="11"/>
    <x v="2"/>
    <n v="196"/>
    <x v="1"/>
    <x v="1"/>
    <x v="311"/>
    <x v="0"/>
    <s v="DISCOUNT NOT ALLOWED"/>
    <s v="discount not allowed"/>
    <s v="DISCOUNT NOT ALLOWED"/>
    <s v="Discount Not Allowed"/>
    <s v="27/03/23"/>
  </r>
  <r>
    <s v="TXN_7602284"/>
    <s v="CUST_17"/>
    <x v="7"/>
    <x v="86"/>
    <x v="11"/>
    <x v="2"/>
    <n v="196"/>
    <x v="1"/>
    <x v="1"/>
    <x v="871"/>
    <x v="0"/>
    <s v="DISCOUNT NOT ALLOWED"/>
    <s v="discount not allowed"/>
    <s v="DISCOUNT NOT ALLOWED"/>
    <s v="Discount Not Allowed"/>
    <s v="17/03/24"/>
  </r>
  <r>
    <s v="TXN_7614413"/>
    <s v="CUST_12"/>
    <x v="6"/>
    <x v="88"/>
    <x v="11"/>
    <x v="2"/>
    <n v="196"/>
    <x v="2"/>
    <x v="1"/>
    <x v="540"/>
    <x v="0"/>
    <s v="DISCOUNT NOT ALLOWED"/>
    <s v="discount not allowed"/>
    <s v="DISCOUNT NOT ALLOWED"/>
    <s v="Discount Not Allowed"/>
    <s v="17/05/22"/>
  </r>
  <r>
    <s v="TXN_8562933"/>
    <s v="CUST_22"/>
    <x v="1"/>
    <x v="89"/>
    <x v="11"/>
    <x v="2"/>
    <n v="196"/>
    <x v="1"/>
    <x v="0"/>
    <x v="858"/>
    <x v="1"/>
    <s v="DISCOUNT ALLOWED"/>
    <s v="discount allowed"/>
    <s v="DISCOUNT ALLOWED"/>
    <s v="Discount Allowed"/>
    <s v="23/06/24"/>
  </r>
  <r>
    <s v="TXN_8711676"/>
    <s v="CUST_19"/>
    <x v="2"/>
    <x v="90"/>
    <x v="11"/>
    <x v="2"/>
    <n v="196"/>
    <x v="0"/>
    <x v="0"/>
    <x v="641"/>
    <x v="1"/>
    <s v="DISCOUNT ALLOWED"/>
    <s v="discount allowed"/>
    <s v="DISCOUNT ALLOWED"/>
    <s v="Discount Allowed"/>
    <s v="09/01/22"/>
  </r>
  <r>
    <s v="TXN_9210943"/>
    <s v="CUST_02"/>
    <x v="2"/>
    <x v="90"/>
    <x v="11"/>
    <x v="2"/>
    <n v="196"/>
    <x v="2"/>
    <x v="0"/>
    <x v="836"/>
    <x v="1"/>
    <s v="DISCOUNT ALLOWED"/>
    <s v="discount allowed"/>
    <s v="DISCOUNT ALLOWED"/>
    <s v="Discount Allowed"/>
    <s v="22/05/22"/>
  </r>
  <r>
    <s v="TXN_9312667"/>
    <s v="CUST_14"/>
    <x v="0"/>
    <x v="91"/>
    <x v="11"/>
    <x v="2"/>
    <n v="196"/>
    <x v="1"/>
    <x v="1"/>
    <x v="906"/>
    <x v="1"/>
    <s v="DISCOUNT ALLOWED"/>
    <s v="discount allowed"/>
    <s v="DISCOUNT ALLOWED"/>
    <s v="Discount Allowed"/>
    <s v="27/01/22"/>
  </r>
  <r>
    <s v="TXN_9538128"/>
    <s v="CUST_23"/>
    <x v="6"/>
    <x v="88"/>
    <x v="11"/>
    <x v="2"/>
    <n v="196"/>
    <x v="0"/>
    <x v="0"/>
    <x v="291"/>
    <x v="1"/>
    <s v="DISCOUNT ALLOWED"/>
    <s v="discount allowed"/>
    <s v="DISCOUNT ALLOWED"/>
    <s v="Discount Allowed"/>
    <s v="22/02/24"/>
  </r>
  <r>
    <s v="TXN_9704111"/>
    <s v="CUST_07"/>
    <x v="1"/>
    <x v="89"/>
    <x v="11"/>
    <x v="2"/>
    <n v="196"/>
    <x v="2"/>
    <x v="1"/>
    <x v="585"/>
    <x v="1"/>
    <s v="DISCOUNT ALLOWED"/>
    <s v="discount allowed"/>
    <s v="DISCOUNT ALLOWED"/>
    <s v="Discount Allowed"/>
    <s v="15/07/22"/>
  </r>
  <r>
    <s v="TXN_1688534"/>
    <s v="CUST_22"/>
    <x v="1"/>
    <x v="105"/>
    <x v="13"/>
    <x v="1"/>
    <n v="193.5"/>
    <x v="0"/>
    <x v="0"/>
    <x v="835"/>
    <x v="0"/>
    <s v="DISCOUNT NOT ALLOWED"/>
    <s v="discount not allowed"/>
    <s v="DISCOUNT NOT ALLOWED"/>
    <s v="Discount Not Allowed"/>
    <s v="20/03/22"/>
  </r>
  <r>
    <s v="TXN_1917119"/>
    <s v="CUST_23"/>
    <x v="6"/>
    <x v="104"/>
    <x v="13"/>
    <x v="1"/>
    <n v="193.5"/>
    <x v="0"/>
    <x v="1"/>
    <x v="661"/>
    <x v="1"/>
    <s v="DISCOUNT ALLOWED"/>
    <s v="discount allowed"/>
    <s v="DISCOUNT ALLOWED"/>
    <s v="Discount Allowed"/>
    <s v="12/06/23"/>
  </r>
  <r>
    <s v="TXN_2279408"/>
    <s v="CUST_22"/>
    <x v="6"/>
    <x v="104"/>
    <x v="13"/>
    <x v="1"/>
    <n v="193.5"/>
    <x v="2"/>
    <x v="0"/>
    <x v="424"/>
    <x v="0"/>
    <s v="DISCOUNT NOT ALLOWED"/>
    <s v="discount not allowed"/>
    <s v="DISCOUNT NOT ALLOWED"/>
    <s v="Discount Not Allowed"/>
    <s v="25/08/24"/>
  </r>
  <r>
    <s v="TXN_2558370"/>
    <s v="CUST_02"/>
    <x v="3"/>
    <x v="103"/>
    <x v="13"/>
    <x v="1"/>
    <n v="193.5"/>
    <x v="2"/>
    <x v="1"/>
    <x v="907"/>
    <x v="1"/>
    <s v="DISCOUNT ALLOWED"/>
    <s v="discount allowed"/>
    <s v="DISCOUNT ALLOWED"/>
    <s v="Discount Allowed"/>
    <s v="09/04/23"/>
  </r>
  <r>
    <s v="TXN_2755690"/>
    <s v="CUST_08"/>
    <x v="6"/>
    <x v="104"/>
    <x v="13"/>
    <x v="1"/>
    <n v="193.5"/>
    <x v="1"/>
    <x v="0"/>
    <x v="847"/>
    <x v="0"/>
    <s v="DISCOUNT NOT ALLOWED"/>
    <s v="discount not allowed"/>
    <s v="DISCOUNT NOT ALLOWED"/>
    <s v="Discount Not Allowed"/>
    <s v="04/11/24"/>
  </r>
  <r>
    <s v="TXN_3171599"/>
    <s v="CUST_06"/>
    <x v="7"/>
    <x v="106"/>
    <x v="13"/>
    <x v="1"/>
    <n v="193.5"/>
    <x v="2"/>
    <x v="1"/>
    <x v="208"/>
    <x v="1"/>
    <s v="DISCOUNT ALLOWED"/>
    <s v="discount allowed"/>
    <s v="DISCOUNT ALLOWED"/>
    <s v="Discount Allowed"/>
    <s v="02/06/23"/>
  </r>
  <r>
    <s v="TXN_3219474"/>
    <s v="CUST_10"/>
    <x v="1"/>
    <x v="105"/>
    <x v="13"/>
    <x v="1"/>
    <n v="193.5"/>
    <x v="2"/>
    <x v="1"/>
    <x v="526"/>
    <x v="1"/>
    <s v="DISCOUNT ALLOWED"/>
    <s v="discount allowed"/>
    <s v="DISCOUNT ALLOWED"/>
    <s v="Discount Allowed"/>
    <s v="28/12/24"/>
  </r>
  <r>
    <s v="TXN_3396169"/>
    <s v="CUST_25"/>
    <x v="7"/>
    <x v="106"/>
    <x v="13"/>
    <x v="1"/>
    <n v="193.5"/>
    <x v="1"/>
    <x v="1"/>
    <x v="602"/>
    <x v="0"/>
    <s v="DISCOUNT NOT ALLOWED"/>
    <s v="discount not allowed"/>
    <s v="DISCOUNT NOT ALLOWED"/>
    <s v="Discount Not Allowed"/>
    <s v="22/01/24"/>
  </r>
  <r>
    <s v="TXN_3450219"/>
    <s v="CUST_12"/>
    <x v="1"/>
    <x v="105"/>
    <x v="13"/>
    <x v="1"/>
    <n v="193.5"/>
    <x v="0"/>
    <x v="1"/>
    <x v="828"/>
    <x v="1"/>
    <s v="DISCOUNT ALLOWED"/>
    <s v="discount allowed"/>
    <s v="DISCOUNT ALLOWED"/>
    <s v="Discount Allowed"/>
    <s v="16/01/23"/>
  </r>
  <r>
    <s v="TXN_3890213"/>
    <s v="CUST_21"/>
    <x v="4"/>
    <x v="107"/>
    <x v="13"/>
    <x v="1"/>
    <n v="193.5"/>
    <x v="1"/>
    <x v="1"/>
    <x v="908"/>
    <x v="1"/>
    <s v="DISCOUNT ALLOWED"/>
    <s v="discount allowed"/>
    <s v="DISCOUNT ALLOWED"/>
    <s v="Discount Allowed"/>
    <s v="26/04/23"/>
  </r>
  <r>
    <s v="TXN_4032210"/>
    <s v="CUST_14"/>
    <x v="7"/>
    <x v="106"/>
    <x v="13"/>
    <x v="1"/>
    <n v="193.5"/>
    <x v="2"/>
    <x v="1"/>
    <x v="728"/>
    <x v="1"/>
    <s v="DISCOUNT ALLOWED"/>
    <s v="discount allowed"/>
    <s v="DISCOUNT ALLOWED"/>
    <s v="Discount Allowed"/>
    <s v="14/06/22"/>
  </r>
  <r>
    <s v="TXN_4132764"/>
    <s v="CUST_19"/>
    <x v="6"/>
    <x v="104"/>
    <x v="13"/>
    <x v="1"/>
    <n v="193.5"/>
    <x v="0"/>
    <x v="1"/>
    <x v="716"/>
    <x v="1"/>
    <s v="DISCOUNT ALLOWED"/>
    <s v="discount allowed"/>
    <s v="DISCOUNT ALLOWED"/>
    <s v="Discount Allowed"/>
    <s v="19/05/22"/>
  </r>
  <r>
    <s v="TXN_4195293"/>
    <s v="CUST_20"/>
    <x v="0"/>
    <x v="116"/>
    <x v="13"/>
    <x v="1"/>
    <n v="193.5"/>
    <x v="1"/>
    <x v="1"/>
    <x v="675"/>
    <x v="0"/>
    <s v="DISCOUNT NOT ALLOWED"/>
    <s v="discount not allowed"/>
    <s v="DISCOUNT NOT ALLOWED"/>
    <s v="Discount Not Allowed"/>
    <s v="02/01/23"/>
  </r>
  <r>
    <s v="TXN_4672987"/>
    <s v="CUST_19"/>
    <x v="1"/>
    <x v="105"/>
    <x v="13"/>
    <x v="1"/>
    <n v="193.5"/>
    <x v="0"/>
    <x v="0"/>
    <x v="180"/>
    <x v="0"/>
    <s v="DISCOUNT NOT ALLOWED"/>
    <s v="discount not allowed"/>
    <s v="DISCOUNT NOT ALLOWED"/>
    <s v="Discount Not Allowed"/>
    <s v="05/12/23"/>
  </r>
  <r>
    <s v="TXN_4689236"/>
    <s v="CUST_20"/>
    <x v="5"/>
    <x v="102"/>
    <x v="13"/>
    <x v="1"/>
    <n v="193.5"/>
    <x v="2"/>
    <x v="1"/>
    <x v="183"/>
    <x v="0"/>
    <s v="DISCOUNT NOT ALLOWED"/>
    <s v="discount not allowed"/>
    <s v="DISCOUNT NOT ALLOWED"/>
    <s v="Discount Not Allowed"/>
    <s v="31/12/23"/>
  </r>
  <r>
    <s v="TXN_5192766"/>
    <s v="CUST_15"/>
    <x v="4"/>
    <x v="107"/>
    <x v="13"/>
    <x v="1"/>
    <n v="193.5"/>
    <x v="0"/>
    <x v="0"/>
    <x v="909"/>
    <x v="0"/>
    <s v="DISCOUNT NOT ALLOWED"/>
    <s v="discount not allowed"/>
    <s v="DISCOUNT NOT ALLOWED"/>
    <s v="Discount Not Allowed"/>
    <s v="07/03/24"/>
  </r>
  <r>
    <s v="TXN_5274178"/>
    <s v="CUST_11"/>
    <x v="6"/>
    <x v="104"/>
    <x v="13"/>
    <x v="1"/>
    <n v="193.5"/>
    <x v="2"/>
    <x v="0"/>
    <x v="31"/>
    <x v="0"/>
    <s v="DISCOUNT NOT ALLOWED"/>
    <s v="discount not allowed"/>
    <s v="DISCOUNT NOT ALLOWED"/>
    <s v="Discount Not Allowed"/>
    <s v="05/07/22"/>
  </r>
  <r>
    <s v="TXN_5413491"/>
    <s v="CUST_01"/>
    <x v="7"/>
    <x v="106"/>
    <x v="13"/>
    <x v="1"/>
    <n v="193.5"/>
    <x v="1"/>
    <x v="1"/>
    <x v="652"/>
    <x v="1"/>
    <s v="DISCOUNT ALLOWED"/>
    <s v="discount allowed"/>
    <s v="DISCOUNT ALLOWED"/>
    <s v="Discount Allowed"/>
    <s v="12/11/23"/>
  </r>
  <r>
    <s v="TXN_5671217"/>
    <s v="CUST_17"/>
    <x v="6"/>
    <x v="104"/>
    <x v="13"/>
    <x v="1"/>
    <n v="193.5"/>
    <x v="0"/>
    <x v="0"/>
    <x v="279"/>
    <x v="1"/>
    <s v="DISCOUNT ALLOWED"/>
    <s v="discount allowed"/>
    <s v="DISCOUNT ALLOWED"/>
    <s v="Discount Allowed"/>
    <s v="06/01/23"/>
  </r>
  <r>
    <s v="TXN_6330122"/>
    <s v="CUST_10"/>
    <x v="3"/>
    <x v="103"/>
    <x v="13"/>
    <x v="1"/>
    <n v="193.5"/>
    <x v="1"/>
    <x v="0"/>
    <x v="910"/>
    <x v="0"/>
    <s v="DISCOUNT NOT ALLOWED"/>
    <s v="discount not allowed"/>
    <s v="DISCOUNT NOT ALLOWED"/>
    <s v="Discount Not Allowed"/>
    <s v="20/01/22"/>
  </r>
  <r>
    <s v="TXN_6408271"/>
    <s v="CUST_14"/>
    <x v="5"/>
    <x v="102"/>
    <x v="13"/>
    <x v="1"/>
    <n v="193.5"/>
    <x v="2"/>
    <x v="0"/>
    <x v="911"/>
    <x v="0"/>
    <s v="DISCOUNT NOT ALLOWED"/>
    <s v="discount not allowed"/>
    <s v="DISCOUNT NOT ALLOWED"/>
    <s v="Discount Not Allowed"/>
    <s v="08/11/22"/>
  </r>
  <r>
    <s v="TXN_6453492"/>
    <s v="CUST_15"/>
    <x v="4"/>
    <x v="107"/>
    <x v="13"/>
    <x v="1"/>
    <n v="193.5"/>
    <x v="2"/>
    <x v="1"/>
    <x v="368"/>
    <x v="1"/>
    <s v="DISCOUNT ALLOWED"/>
    <s v="discount allowed"/>
    <s v="DISCOUNT ALLOWED"/>
    <s v="Discount Allowed"/>
    <s v="12/06/22"/>
  </r>
  <r>
    <s v="TXN_6958368"/>
    <s v="CUST_13"/>
    <x v="4"/>
    <x v="107"/>
    <x v="13"/>
    <x v="1"/>
    <n v="193.5"/>
    <x v="1"/>
    <x v="1"/>
    <x v="623"/>
    <x v="1"/>
    <s v="DISCOUNT ALLOWED"/>
    <s v="discount allowed"/>
    <s v="DISCOUNT ALLOWED"/>
    <s v="Discount Allowed"/>
    <s v="26/08/24"/>
  </r>
  <r>
    <s v="TXN_7044302"/>
    <s v="CUST_16"/>
    <x v="7"/>
    <x v="106"/>
    <x v="13"/>
    <x v="1"/>
    <n v="193.5"/>
    <x v="1"/>
    <x v="0"/>
    <x v="222"/>
    <x v="1"/>
    <s v="DISCOUNT ALLOWED"/>
    <s v="discount allowed"/>
    <s v="DISCOUNT ALLOWED"/>
    <s v="Discount Allowed"/>
    <s v="13/12/22"/>
  </r>
  <r>
    <s v="TXN_7069237"/>
    <s v="CUST_08"/>
    <x v="1"/>
    <x v="105"/>
    <x v="13"/>
    <x v="1"/>
    <n v="193.5"/>
    <x v="2"/>
    <x v="1"/>
    <x v="478"/>
    <x v="0"/>
    <s v="DISCOUNT NOT ALLOWED"/>
    <s v="discount not allowed"/>
    <s v="DISCOUNT NOT ALLOWED"/>
    <s v="Discount Not Allowed"/>
    <s v="28/11/23"/>
  </r>
  <r>
    <s v="TXN_7102763"/>
    <s v="CUST_12"/>
    <x v="3"/>
    <x v="103"/>
    <x v="13"/>
    <x v="1"/>
    <n v="193.5"/>
    <x v="2"/>
    <x v="0"/>
    <x v="356"/>
    <x v="1"/>
    <s v="DISCOUNT ALLOWED"/>
    <s v="discount allowed"/>
    <s v="DISCOUNT ALLOWED"/>
    <s v="Discount Allowed"/>
    <s v="23/02/24"/>
  </r>
  <r>
    <s v="TXN_7107517"/>
    <s v="CUST_16"/>
    <x v="3"/>
    <x v="103"/>
    <x v="13"/>
    <x v="1"/>
    <n v="193.5"/>
    <x v="0"/>
    <x v="0"/>
    <x v="912"/>
    <x v="1"/>
    <s v="DISCOUNT ALLOWED"/>
    <s v="discount allowed"/>
    <s v="DISCOUNT ALLOWED"/>
    <s v="Discount Allowed"/>
    <s v="19/01/24"/>
  </r>
  <r>
    <s v="TXN_7157580"/>
    <s v="CUST_14"/>
    <x v="4"/>
    <x v="107"/>
    <x v="13"/>
    <x v="1"/>
    <n v="193.5"/>
    <x v="0"/>
    <x v="0"/>
    <x v="302"/>
    <x v="0"/>
    <s v="DISCOUNT NOT ALLOWED"/>
    <s v="discount not allowed"/>
    <s v="DISCOUNT NOT ALLOWED"/>
    <s v="Discount Not Allowed"/>
    <s v="05/11/22"/>
  </r>
  <r>
    <s v="TXN_7236125"/>
    <s v="CUST_12"/>
    <x v="5"/>
    <x v="102"/>
    <x v="13"/>
    <x v="1"/>
    <n v="193.5"/>
    <x v="1"/>
    <x v="1"/>
    <x v="248"/>
    <x v="0"/>
    <s v="DISCOUNT NOT ALLOWED"/>
    <s v="discount not allowed"/>
    <s v="DISCOUNT NOT ALLOWED"/>
    <s v="Discount Not Allowed"/>
    <s v="31/01/22"/>
  </r>
  <r>
    <s v="TXN_7898890"/>
    <s v="CUST_09"/>
    <x v="6"/>
    <x v="104"/>
    <x v="13"/>
    <x v="1"/>
    <n v="193.5"/>
    <x v="1"/>
    <x v="1"/>
    <x v="110"/>
    <x v="1"/>
    <s v="DISCOUNT ALLOWED"/>
    <s v="discount allowed"/>
    <s v="DISCOUNT ALLOWED"/>
    <s v="Discount Allowed"/>
    <s v="27/07/24"/>
  </r>
  <r>
    <s v="TXN_7989495"/>
    <s v="CUST_15"/>
    <x v="6"/>
    <x v="104"/>
    <x v="13"/>
    <x v="1"/>
    <n v="193.5"/>
    <x v="2"/>
    <x v="0"/>
    <x v="913"/>
    <x v="0"/>
    <s v="DISCOUNT NOT ALLOWED"/>
    <s v="discount not allowed"/>
    <s v="DISCOUNT NOT ALLOWED"/>
    <s v="Discount Not Allowed"/>
    <s v="12/01/23"/>
  </r>
  <r>
    <s v="TXN_8378613"/>
    <s v="CUST_01"/>
    <x v="7"/>
    <x v="106"/>
    <x v="13"/>
    <x v="1"/>
    <n v="193.5"/>
    <x v="0"/>
    <x v="1"/>
    <x v="700"/>
    <x v="0"/>
    <s v="DISCOUNT NOT ALLOWED"/>
    <s v="discount not allowed"/>
    <s v="DISCOUNT NOT ALLOWED"/>
    <s v="Discount Not Allowed"/>
    <s v="01/03/23"/>
  </r>
  <r>
    <s v="TXN_8386061"/>
    <s v="CUST_06"/>
    <x v="4"/>
    <x v="107"/>
    <x v="13"/>
    <x v="1"/>
    <n v="193.5"/>
    <x v="2"/>
    <x v="0"/>
    <x v="914"/>
    <x v="1"/>
    <s v="DISCOUNT ALLOWED"/>
    <s v="discount allowed"/>
    <s v="DISCOUNT ALLOWED"/>
    <s v="Discount Allowed"/>
    <s v="16/12/23"/>
  </r>
  <r>
    <s v="TXN_8414071"/>
    <s v="CUST_20"/>
    <x v="7"/>
    <x v="106"/>
    <x v="13"/>
    <x v="1"/>
    <n v="193.5"/>
    <x v="1"/>
    <x v="1"/>
    <x v="354"/>
    <x v="1"/>
    <s v="DISCOUNT ALLOWED"/>
    <s v="discount allowed"/>
    <s v="DISCOUNT ALLOWED"/>
    <s v="Discount Allowed"/>
    <s v="02/05/23"/>
  </r>
  <r>
    <s v="TXN_8593945"/>
    <s v="CUST_11"/>
    <x v="6"/>
    <x v="104"/>
    <x v="13"/>
    <x v="1"/>
    <n v="193.5"/>
    <x v="2"/>
    <x v="0"/>
    <x v="65"/>
    <x v="0"/>
    <s v="DISCOUNT NOT ALLOWED"/>
    <s v="discount not allowed"/>
    <s v="DISCOUNT NOT ALLOWED"/>
    <s v="Discount Not Allowed"/>
    <s v="02/09/24"/>
  </r>
  <r>
    <s v="TXN_8804764"/>
    <s v="CUST_02"/>
    <x v="1"/>
    <x v="105"/>
    <x v="13"/>
    <x v="1"/>
    <n v="193.5"/>
    <x v="2"/>
    <x v="0"/>
    <x v="515"/>
    <x v="1"/>
    <s v="DISCOUNT ALLOWED"/>
    <s v="discount allowed"/>
    <s v="DISCOUNT ALLOWED"/>
    <s v="Discount Allowed"/>
    <s v="16/01/25"/>
  </r>
  <r>
    <s v="TXN_9169456"/>
    <s v="CUST_17"/>
    <x v="4"/>
    <x v="107"/>
    <x v="13"/>
    <x v="1"/>
    <n v="193.5"/>
    <x v="0"/>
    <x v="1"/>
    <x v="187"/>
    <x v="1"/>
    <s v="DISCOUNT ALLOWED"/>
    <s v="discount allowed"/>
    <s v="DISCOUNT ALLOWED"/>
    <s v="Discount Allowed"/>
    <s v="18/02/23"/>
  </r>
  <r>
    <s v="TXN_9480196"/>
    <s v="CUST_06"/>
    <x v="3"/>
    <x v="103"/>
    <x v="13"/>
    <x v="1"/>
    <n v="193.5"/>
    <x v="1"/>
    <x v="1"/>
    <x v="320"/>
    <x v="0"/>
    <s v="DISCOUNT NOT ALLOWED"/>
    <s v="discount not allowed"/>
    <s v="DISCOUNT NOT ALLOWED"/>
    <s v="Discount Not Allowed"/>
    <s v="05/01/22"/>
  </r>
  <r>
    <s v="TXN_9701245"/>
    <s v="CUST_03"/>
    <x v="7"/>
    <x v="106"/>
    <x v="13"/>
    <x v="1"/>
    <n v="193.5"/>
    <x v="2"/>
    <x v="1"/>
    <x v="674"/>
    <x v="0"/>
    <s v="DISCOUNT NOT ALLOWED"/>
    <s v="discount not allowed"/>
    <s v="DISCOUNT NOT ALLOWED"/>
    <s v="Discount Not Allowed"/>
    <s v="26/09/23"/>
  </r>
  <r>
    <s v="TXN_9702562"/>
    <s v="CUST_06"/>
    <x v="1"/>
    <x v="105"/>
    <x v="13"/>
    <x v="1"/>
    <n v="193.5"/>
    <x v="1"/>
    <x v="0"/>
    <x v="316"/>
    <x v="1"/>
    <s v="DISCOUNT ALLOWED"/>
    <s v="discount allowed"/>
    <s v="DISCOUNT ALLOWED"/>
    <s v="Discount Allowed"/>
    <s v="27/05/22"/>
  </r>
  <r>
    <s v="TXN_9713065"/>
    <s v="CUST_25"/>
    <x v="3"/>
    <x v="103"/>
    <x v="13"/>
    <x v="1"/>
    <n v="193.5"/>
    <x v="0"/>
    <x v="1"/>
    <x v="915"/>
    <x v="1"/>
    <s v="DISCOUNT ALLOWED"/>
    <s v="discount allowed"/>
    <s v="DISCOUNT ALLOWED"/>
    <s v="Discount Allowed"/>
    <s v="11/08/24"/>
  </r>
  <r>
    <s v="TXN_1153259"/>
    <s v="CUST_21"/>
    <x v="0"/>
    <x v="73"/>
    <x v="9"/>
    <x v="3"/>
    <n v="192.5"/>
    <x v="1"/>
    <x v="0"/>
    <x v="916"/>
    <x v="1"/>
    <s v="DISCOUNT ALLOWED"/>
    <s v="discount allowed"/>
    <s v="DISCOUNT ALLOWED"/>
    <s v="Discount Allowed"/>
    <s v="13/10/24"/>
  </r>
  <r>
    <s v="TXN_1392412"/>
    <s v="CUST_23"/>
    <x v="3"/>
    <x v="74"/>
    <x v="9"/>
    <x v="3"/>
    <n v="192.5"/>
    <x v="2"/>
    <x v="1"/>
    <x v="149"/>
    <x v="1"/>
    <s v="DISCOUNT ALLOWED"/>
    <s v="discount allowed"/>
    <s v="DISCOUNT ALLOWED"/>
    <s v="Discount Allowed"/>
    <s v="13/06/22"/>
  </r>
  <r>
    <s v="TXN_2119388"/>
    <s v="CUST_17"/>
    <x v="3"/>
    <x v="74"/>
    <x v="9"/>
    <x v="3"/>
    <n v="192.5"/>
    <x v="0"/>
    <x v="0"/>
    <x v="917"/>
    <x v="1"/>
    <s v="DISCOUNT ALLOWED"/>
    <s v="discount allowed"/>
    <s v="DISCOUNT ALLOWED"/>
    <s v="Discount Allowed"/>
    <s v="13/09/22"/>
  </r>
  <r>
    <s v="TXN_2168513"/>
    <s v="CUST_07"/>
    <x v="2"/>
    <x v="76"/>
    <x v="9"/>
    <x v="3"/>
    <n v="192.5"/>
    <x v="0"/>
    <x v="1"/>
    <x v="8"/>
    <x v="0"/>
    <s v="DISCOUNT NOT ALLOWED"/>
    <s v="discount not allowed"/>
    <s v="DISCOUNT NOT ALLOWED"/>
    <s v="Discount Not Allowed"/>
    <s v="04/01/25"/>
  </r>
  <r>
    <s v="TXN_2172498"/>
    <s v="CUST_08"/>
    <x v="6"/>
    <x v="70"/>
    <x v="9"/>
    <x v="3"/>
    <n v="192.5"/>
    <x v="0"/>
    <x v="0"/>
    <x v="367"/>
    <x v="0"/>
    <s v="DISCOUNT NOT ALLOWED"/>
    <s v="discount not allowed"/>
    <s v="DISCOUNT NOT ALLOWED"/>
    <s v="Discount Not Allowed"/>
    <s v="13/10/23"/>
  </r>
  <r>
    <s v="TXN_2284344"/>
    <s v="CUST_20"/>
    <x v="3"/>
    <x v="74"/>
    <x v="9"/>
    <x v="3"/>
    <n v="192.5"/>
    <x v="1"/>
    <x v="1"/>
    <x v="457"/>
    <x v="0"/>
    <s v="DISCOUNT NOT ALLOWED"/>
    <s v="discount not allowed"/>
    <s v="DISCOUNT NOT ALLOWED"/>
    <s v="Discount Not Allowed"/>
    <s v="21/01/22"/>
  </r>
  <r>
    <s v="TXN_2598563"/>
    <s v="CUST_01"/>
    <x v="0"/>
    <x v="73"/>
    <x v="9"/>
    <x v="3"/>
    <n v="192.5"/>
    <x v="2"/>
    <x v="1"/>
    <x v="918"/>
    <x v="1"/>
    <s v="DISCOUNT ALLOWED"/>
    <s v="discount allowed"/>
    <s v="DISCOUNT ALLOWED"/>
    <s v="Discount Allowed"/>
    <s v="17/09/23"/>
  </r>
  <r>
    <s v="TXN_2603033"/>
    <s v="CUST_18"/>
    <x v="0"/>
    <x v="73"/>
    <x v="9"/>
    <x v="3"/>
    <n v="192.5"/>
    <x v="2"/>
    <x v="0"/>
    <x v="521"/>
    <x v="0"/>
    <s v="DISCOUNT NOT ALLOWED"/>
    <s v="discount not allowed"/>
    <s v="DISCOUNT NOT ALLOWED"/>
    <s v="Discount Not Allowed"/>
    <s v="01/11/22"/>
  </r>
  <r>
    <s v="TXN_3312414"/>
    <s v="CUST_17"/>
    <x v="3"/>
    <x v="74"/>
    <x v="9"/>
    <x v="3"/>
    <n v="192.5"/>
    <x v="2"/>
    <x v="1"/>
    <x v="919"/>
    <x v="0"/>
    <s v="DISCOUNT NOT ALLOWED"/>
    <s v="discount not allowed"/>
    <s v="DISCOUNT NOT ALLOWED"/>
    <s v="Discount Not Allowed"/>
    <s v="11/04/22"/>
  </r>
  <r>
    <s v="TXN_3615748"/>
    <s v="CUST_01"/>
    <x v="6"/>
    <x v="70"/>
    <x v="9"/>
    <x v="3"/>
    <n v="192.5"/>
    <x v="2"/>
    <x v="0"/>
    <x v="146"/>
    <x v="0"/>
    <s v="DISCOUNT NOT ALLOWED"/>
    <s v="discount not allowed"/>
    <s v="DISCOUNT NOT ALLOWED"/>
    <s v="Discount Not Allowed"/>
    <s v="06/12/24"/>
  </r>
  <r>
    <s v="TXN_4313655"/>
    <s v="CUST_25"/>
    <x v="3"/>
    <x v="74"/>
    <x v="9"/>
    <x v="3"/>
    <n v="192.5"/>
    <x v="1"/>
    <x v="0"/>
    <x v="38"/>
    <x v="1"/>
    <s v="DISCOUNT ALLOWED"/>
    <s v="discount allowed"/>
    <s v="DISCOUNT ALLOWED"/>
    <s v="Discount Allowed"/>
    <s v="18/02/22"/>
  </r>
  <r>
    <s v="TXN_4620886"/>
    <s v="CUST_19"/>
    <x v="6"/>
    <x v="70"/>
    <x v="9"/>
    <x v="3"/>
    <n v="192.5"/>
    <x v="1"/>
    <x v="0"/>
    <x v="920"/>
    <x v="0"/>
    <s v="DISCOUNT NOT ALLOWED"/>
    <s v="discount not allowed"/>
    <s v="DISCOUNT NOT ALLOWED"/>
    <s v="Discount Not Allowed"/>
    <s v="03/07/23"/>
  </r>
  <r>
    <s v="TXN_4960977"/>
    <s v="CUST_08"/>
    <x v="7"/>
    <x v="72"/>
    <x v="9"/>
    <x v="3"/>
    <n v="192.5"/>
    <x v="0"/>
    <x v="0"/>
    <x v="310"/>
    <x v="1"/>
    <s v="DISCOUNT ALLOWED"/>
    <s v="discount allowed"/>
    <s v="DISCOUNT ALLOWED"/>
    <s v="Discount Allowed"/>
    <s v="01/11/24"/>
  </r>
  <r>
    <s v="TXN_5488509"/>
    <s v="CUST_21"/>
    <x v="3"/>
    <x v="74"/>
    <x v="9"/>
    <x v="3"/>
    <n v="192.5"/>
    <x v="0"/>
    <x v="0"/>
    <x v="504"/>
    <x v="0"/>
    <s v="DISCOUNT NOT ALLOWED"/>
    <s v="discount not allowed"/>
    <s v="DISCOUNT NOT ALLOWED"/>
    <s v="Discount Not Allowed"/>
    <s v="12/02/22"/>
  </r>
  <r>
    <s v="TXN_5778640"/>
    <s v="CUST_17"/>
    <x v="5"/>
    <x v="75"/>
    <x v="9"/>
    <x v="3"/>
    <n v="192.5"/>
    <x v="0"/>
    <x v="0"/>
    <x v="183"/>
    <x v="0"/>
    <s v="DISCOUNT NOT ALLOWED"/>
    <s v="discount not allowed"/>
    <s v="DISCOUNT NOT ALLOWED"/>
    <s v="Discount Not Allowed"/>
    <s v="31/12/23"/>
  </r>
  <r>
    <s v="TXN_5951378"/>
    <s v="CUST_13"/>
    <x v="2"/>
    <x v="76"/>
    <x v="9"/>
    <x v="3"/>
    <n v="192.5"/>
    <x v="2"/>
    <x v="1"/>
    <x v="437"/>
    <x v="0"/>
    <s v="DISCOUNT NOT ALLOWED"/>
    <s v="discount not allowed"/>
    <s v="DISCOUNT NOT ALLOWED"/>
    <s v="Discount Not Allowed"/>
    <s v="23/08/24"/>
  </r>
  <r>
    <s v="TXN_5990311"/>
    <s v="CUST_14"/>
    <x v="0"/>
    <x v="73"/>
    <x v="9"/>
    <x v="3"/>
    <n v="192.5"/>
    <x v="0"/>
    <x v="0"/>
    <x v="663"/>
    <x v="1"/>
    <s v="DISCOUNT ALLOWED"/>
    <s v="discount allowed"/>
    <s v="DISCOUNT ALLOWED"/>
    <s v="Discount Allowed"/>
    <s v="05/04/23"/>
  </r>
  <r>
    <s v="TXN_6110164"/>
    <s v="CUST_05"/>
    <x v="6"/>
    <x v="70"/>
    <x v="9"/>
    <x v="3"/>
    <n v="192.5"/>
    <x v="2"/>
    <x v="1"/>
    <x v="594"/>
    <x v="0"/>
    <s v="DISCOUNT NOT ALLOWED"/>
    <s v="discount not allowed"/>
    <s v="DISCOUNT NOT ALLOWED"/>
    <s v="Discount Not Allowed"/>
    <s v="12/10/23"/>
  </r>
  <r>
    <s v="TXN_6587636"/>
    <s v="CUST_13"/>
    <x v="7"/>
    <x v="72"/>
    <x v="9"/>
    <x v="3"/>
    <n v="192.5"/>
    <x v="1"/>
    <x v="0"/>
    <x v="712"/>
    <x v="1"/>
    <s v="DISCOUNT ALLOWED"/>
    <s v="discount allowed"/>
    <s v="DISCOUNT ALLOWED"/>
    <s v="Discount Allowed"/>
    <s v="30/04/22"/>
  </r>
  <r>
    <s v="TXN_6689339"/>
    <s v="CUST_23"/>
    <x v="5"/>
    <x v="75"/>
    <x v="9"/>
    <x v="3"/>
    <n v="192.5"/>
    <x v="1"/>
    <x v="1"/>
    <x v="260"/>
    <x v="1"/>
    <s v="DISCOUNT ALLOWED"/>
    <s v="discount allowed"/>
    <s v="DISCOUNT ALLOWED"/>
    <s v="Discount Allowed"/>
    <s v="04/07/23"/>
  </r>
  <r>
    <s v="TXN_6834757"/>
    <s v="CUST_08"/>
    <x v="0"/>
    <x v="73"/>
    <x v="9"/>
    <x v="3"/>
    <n v="192.5"/>
    <x v="2"/>
    <x v="1"/>
    <x v="883"/>
    <x v="0"/>
    <s v="DISCOUNT NOT ALLOWED"/>
    <s v="discount not allowed"/>
    <s v="DISCOUNT NOT ALLOWED"/>
    <s v="Discount Not Allowed"/>
    <s v="20/10/24"/>
  </r>
  <r>
    <s v="TXN_6900977"/>
    <s v="CUST_13"/>
    <x v="1"/>
    <x v="71"/>
    <x v="9"/>
    <x v="3"/>
    <n v="192.5"/>
    <x v="1"/>
    <x v="0"/>
    <x v="164"/>
    <x v="0"/>
    <s v="DISCOUNT NOT ALLOWED"/>
    <s v="discount not allowed"/>
    <s v="DISCOUNT NOT ALLOWED"/>
    <s v="Discount Not Allowed"/>
    <s v="26/01/22"/>
  </r>
  <r>
    <s v="TXN_7135060"/>
    <s v="CUST_14"/>
    <x v="3"/>
    <x v="74"/>
    <x v="9"/>
    <x v="3"/>
    <n v="192.5"/>
    <x v="0"/>
    <x v="1"/>
    <x v="110"/>
    <x v="1"/>
    <s v="DISCOUNT ALLOWED"/>
    <s v="discount allowed"/>
    <s v="DISCOUNT ALLOWED"/>
    <s v="Discount Allowed"/>
    <s v="27/07/24"/>
  </r>
  <r>
    <s v="TXN_7539151"/>
    <s v="CUST_20"/>
    <x v="0"/>
    <x v="73"/>
    <x v="9"/>
    <x v="3"/>
    <n v="192.5"/>
    <x v="1"/>
    <x v="1"/>
    <x v="163"/>
    <x v="0"/>
    <s v="DISCOUNT NOT ALLOWED"/>
    <s v="discount not allowed"/>
    <s v="DISCOUNT NOT ALLOWED"/>
    <s v="Discount Not Allowed"/>
    <s v="21/07/22"/>
  </r>
  <r>
    <s v="TXN_8136588"/>
    <s v="CUST_07"/>
    <x v="0"/>
    <x v="73"/>
    <x v="9"/>
    <x v="3"/>
    <n v="192.5"/>
    <x v="0"/>
    <x v="1"/>
    <x v="838"/>
    <x v="0"/>
    <s v="DISCOUNT NOT ALLOWED"/>
    <s v="discount not allowed"/>
    <s v="DISCOUNT NOT ALLOWED"/>
    <s v="Discount Not Allowed"/>
    <s v="24/10/22"/>
  </r>
  <r>
    <s v="TXN_8545700"/>
    <s v="CUST_11"/>
    <x v="7"/>
    <x v="72"/>
    <x v="9"/>
    <x v="3"/>
    <n v="192.5"/>
    <x v="2"/>
    <x v="0"/>
    <x v="215"/>
    <x v="0"/>
    <s v="DISCOUNT NOT ALLOWED"/>
    <s v="discount not allowed"/>
    <s v="DISCOUNT NOT ALLOWED"/>
    <s v="Discount Not Allowed"/>
    <s v="13/05/22"/>
  </r>
  <r>
    <s v="TXN_8737201"/>
    <s v="CUST_24"/>
    <x v="2"/>
    <x v="76"/>
    <x v="9"/>
    <x v="3"/>
    <n v="192.5"/>
    <x v="0"/>
    <x v="1"/>
    <x v="921"/>
    <x v="0"/>
    <s v="DISCOUNT NOT ALLOWED"/>
    <s v="discount not allowed"/>
    <s v="DISCOUNT NOT ALLOWED"/>
    <s v="Discount Not Allowed"/>
    <s v="11/09/23"/>
  </r>
  <r>
    <s v="TXN_8801583"/>
    <s v="CUST_24"/>
    <x v="3"/>
    <x v="74"/>
    <x v="9"/>
    <x v="3"/>
    <n v="192.5"/>
    <x v="2"/>
    <x v="1"/>
    <x v="870"/>
    <x v="1"/>
    <s v="DISCOUNT ALLOWED"/>
    <s v="discount allowed"/>
    <s v="DISCOUNT ALLOWED"/>
    <s v="Discount Allowed"/>
    <s v="18/09/22"/>
  </r>
  <r>
    <s v="TXN_8834253"/>
    <s v="CUST_01"/>
    <x v="7"/>
    <x v="72"/>
    <x v="9"/>
    <x v="3"/>
    <n v="192.5"/>
    <x v="0"/>
    <x v="1"/>
    <x v="922"/>
    <x v="0"/>
    <s v="DISCOUNT NOT ALLOWED"/>
    <s v="discount not allowed"/>
    <s v="DISCOUNT NOT ALLOWED"/>
    <s v="Discount Not Allowed"/>
    <s v="06/02/24"/>
  </r>
  <r>
    <s v="TXN_9699376"/>
    <s v="CUST_06"/>
    <x v="6"/>
    <x v="70"/>
    <x v="9"/>
    <x v="3"/>
    <n v="192.5"/>
    <x v="0"/>
    <x v="0"/>
    <x v="797"/>
    <x v="1"/>
    <s v="DISCOUNT ALLOWED"/>
    <s v="discount allowed"/>
    <s v="DISCOUNT ALLOWED"/>
    <s v="Discount Allowed"/>
    <s v="24/01/22"/>
  </r>
  <r>
    <s v="TXN_9766485"/>
    <s v="CUST_15"/>
    <x v="3"/>
    <x v="74"/>
    <x v="9"/>
    <x v="3"/>
    <n v="192.5"/>
    <x v="1"/>
    <x v="1"/>
    <x v="923"/>
    <x v="1"/>
    <s v="DISCOUNT ALLOWED"/>
    <s v="discount allowed"/>
    <s v="DISCOUNT ALLOWED"/>
    <s v="Discount Allowed"/>
    <s v="01/12/23"/>
  </r>
  <r>
    <s v="TXN_9864806"/>
    <s v="CUST_24"/>
    <x v="0"/>
    <x v="73"/>
    <x v="9"/>
    <x v="3"/>
    <n v="192.5"/>
    <x v="1"/>
    <x v="0"/>
    <x v="154"/>
    <x v="0"/>
    <s v="DISCOUNT NOT ALLOWED"/>
    <s v="discount not allowed"/>
    <s v="DISCOUNT NOT ALLOWED"/>
    <s v="Discount Not Allowed"/>
    <s v="04/06/23"/>
  </r>
  <r>
    <s v="TXN_9898312"/>
    <s v="CUST_18"/>
    <x v="5"/>
    <x v="75"/>
    <x v="9"/>
    <x v="3"/>
    <n v="192.5"/>
    <x v="2"/>
    <x v="0"/>
    <x v="598"/>
    <x v="1"/>
    <s v="DISCOUNT ALLOWED"/>
    <s v="discount allowed"/>
    <s v="DISCOUNT ALLOWED"/>
    <s v="Discount Allowed"/>
    <s v="06/03/24"/>
  </r>
  <r>
    <s v="TXN_9945795"/>
    <s v="CUST_04"/>
    <x v="1"/>
    <x v="71"/>
    <x v="9"/>
    <x v="3"/>
    <n v="192.5"/>
    <x v="1"/>
    <x v="0"/>
    <x v="836"/>
    <x v="0"/>
    <s v="DISCOUNT NOT ALLOWED"/>
    <s v="discount not allowed"/>
    <s v="DISCOUNT NOT ALLOWED"/>
    <s v="Discount Not Allowed"/>
    <s v="22/05/22"/>
  </r>
  <r>
    <s v="TXN_1487869"/>
    <s v="CUST_12"/>
    <x v="3"/>
    <x v="46"/>
    <x v="6"/>
    <x v="4"/>
    <n v="192"/>
    <x v="2"/>
    <x v="0"/>
    <x v="624"/>
    <x v="1"/>
    <s v="DISCOUNT ALLOWED"/>
    <s v="discount allowed"/>
    <s v="DISCOUNT ALLOWED"/>
    <s v="Discount Allowed"/>
    <s v="30/01/22"/>
  </r>
  <r>
    <s v="TXN_2137243"/>
    <s v="CUST_07"/>
    <x v="1"/>
    <x v="50"/>
    <x v="6"/>
    <x v="4"/>
    <n v="192"/>
    <x v="0"/>
    <x v="1"/>
    <x v="19"/>
    <x v="0"/>
    <s v="DISCOUNT NOT ALLOWED"/>
    <s v="discount not allowed"/>
    <s v="DISCOUNT NOT ALLOWED"/>
    <s v="Discount Not Allowed"/>
    <s v="13/08/23"/>
  </r>
  <r>
    <s v="TXN_2542482"/>
    <s v="CUST_16"/>
    <x v="1"/>
    <x v="50"/>
    <x v="6"/>
    <x v="4"/>
    <n v="192"/>
    <x v="2"/>
    <x v="1"/>
    <x v="2"/>
    <x v="0"/>
    <s v="DISCOUNT NOT ALLOWED"/>
    <s v="discount not allowed"/>
    <s v="DISCOUNT NOT ALLOWED"/>
    <s v="Discount Not Allowed"/>
    <s v="04/11/22"/>
  </r>
  <r>
    <s v="TXN_3013542"/>
    <s v="CUST_06"/>
    <x v="6"/>
    <x v="49"/>
    <x v="6"/>
    <x v="4"/>
    <n v="192"/>
    <x v="2"/>
    <x v="0"/>
    <x v="212"/>
    <x v="1"/>
    <s v="DISCOUNT ALLOWED"/>
    <s v="discount allowed"/>
    <s v="DISCOUNT ALLOWED"/>
    <s v="Discount Allowed"/>
    <s v="10/12/22"/>
  </r>
  <r>
    <s v="TXN_3197907"/>
    <s v="CUST_25"/>
    <x v="7"/>
    <x v="45"/>
    <x v="6"/>
    <x v="4"/>
    <n v="192"/>
    <x v="1"/>
    <x v="1"/>
    <x v="738"/>
    <x v="0"/>
    <s v="DISCOUNT NOT ALLOWED"/>
    <s v="discount not allowed"/>
    <s v="DISCOUNT NOT ALLOWED"/>
    <s v="Discount Not Allowed"/>
    <s v="09/02/24"/>
  </r>
  <r>
    <s v="TXN_3245632"/>
    <s v="CUST_10"/>
    <x v="7"/>
    <x v="45"/>
    <x v="6"/>
    <x v="4"/>
    <n v="192"/>
    <x v="0"/>
    <x v="0"/>
    <x v="702"/>
    <x v="1"/>
    <s v="DISCOUNT ALLOWED"/>
    <s v="discount allowed"/>
    <s v="DISCOUNT ALLOWED"/>
    <s v="Discount Allowed"/>
    <s v="09/02/22"/>
  </r>
  <r>
    <s v="TXN_3603564"/>
    <s v="CUST_21"/>
    <x v="5"/>
    <x v="48"/>
    <x v="6"/>
    <x v="4"/>
    <n v="192"/>
    <x v="2"/>
    <x v="1"/>
    <x v="798"/>
    <x v="1"/>
    <s v="DISCOUNT ALLOWED"/>
    <s v="discount allowed"/>
    <s v="DISCOUNT ALLOWED"/>
    <s v="Discount Allowed"/>
    <s v="09/01/24"/>
  </r>
  <r>
    <s v="TXN_3875506"/>
    <s v="CUST_07"/>
    <x v="1"/>
    <x v="50"/>
    <x v="6"/>
    <x v="4"/>
    <n v="192"/>
    <x v="1"/>
    <x v="1"/>
    <x v="284"/>
    <x v="1"/>
    <s v="DISCOUNT ALLOWED"/>
    <s v="discount allowed"/>
    <s v="DISCOUNT ALLOWED"/>
    <s v="Discount Allowed"/>
    <s v="10/05/23"/>
  </r>
  <r>
    <s v="TXN_4062533"/>
    <s v="CUST_22"/>
    <x v="6"/>
    <x v="49"/>
    <x v="6"/>
    <x v="4"/>
    <n v="192"/>
    <x v="2"/>
    <x v="1"/>
    <x v="24"/>
    <x v="1"/>
    <s v="DISCOUNT ALLOWED"/>
    <s v="discount allowed"/>
    <s v="DISCOUNT ALLOWED"/>
    <s v="Discount Allowed"/>
    <s v="01/05/24"/>
  </r>
  <r>
    <s v="TXN_4483784"/>
    <s v="CUST_14"/>
    <x v="2"/>
    <x v="85"/>
    <x v="6"/>
    <x v="4"/>
    <n v="192"/>
    <x v="2"/>
    <x v="0"/>
    <x v="2"/>
    <x v="1"/>
    <s v="DISCOUNT ALLOWED"/>
    <s v="discount allowed"/>
    <s v="DISCOUNT ALLOWED"/>
    <s v="Discount Allowed"/>
    <s v="04/11/22"/>
  </r>
  <r>
    <s v="TXN_5111334"/>
    <s v="CUST_12"/>
    <x v="0"/>
    <x v="47"/>
    <x v="6"/>
    <x v="4"/>
    <n v="192"/>
    <x v="1"/>
    <x v="1"/>
    <x v="509"/>
    <x v="1"/>
    <s v="DISCOUNT ALLOWED"/>
    <s v="discount allowed"/>
    <s v="DISCOUNT ALLOWED"/>
    <s v="Discount Allowed"/>
    <s v="14/09/23"/>
  </r>
  <r>
    <s v="TXN_5380293"/>
    <s v="CUST_05"/>
    <x v="6"/>
    <x v="49"/>
    <x v="6"/>
    <x v="4"/>
    <n v="192"/>
    <x v="1"/>
    <x v="1"/>
    <x v="724"/>
    <x v="0"/>
    <s v="DISCOUNT NOT ALLOWED"/>
    <s v="discount not allowed"/>
    <s v="DISCOUNT NOT ALLOWED"/>
    <s v="Discount Not Allowed"/>
    <s v="08/10/24"/>
  </r>
  <r>
    <s v="TXN_5503303"/>
    <s v="CUST_19"/>
    <x v="1"/>
    <x v="50"/>
    <x v="6"/>
    <x v="4"/>
    <n v="192"/>
    <x v="1"/>
    <x v="0"/>
    <x v="175"/>
    <x v="0"/>
    <s v="DISCOUNT NOT ALLOWED"/>
    <s v="discount not allowed"/>
    <s v="DISCOUNT NOT ALLOWED"/>
    <s v="Discount Not Allowed"/>
    <s v="25/12/24"/>
  </r>
  <r>
    <s v="TXN_5518578"/>
    <s v="CUST_06"/>
    <x v="5"/>
    <x v="48"/>
    <x v="6"/>
    <x v="4"/>
    <n v="192"/>
    <x v="1"/>
    <x v="1"/>
    <x v="186"/>
    <x v="0"/>
    <s v="DISCOUNT NOT ALLOWED"/>
    <s v="discount not allowed"/>
    <s v="DISCOUNT NOT ALLOWED"/>
    <s v="Discount Not Allowed"/>
    <s v="15/09/22"/>
  </r>
  <r>
    <s v="TXN_5798656"/>
    <s v="CUST_19"/>
    <x v="0"/>
    <x v="47"/>
    <x v="6"/>
    <x v="4"/>
    <n v="192"/>
    <x v="2"/>
    <x v="0"/>
    <x v="695"/>
    <x v="0"/>
    <s v="DISCOUNT NOT ALLOWED"/>
    <s v="discount not allowed"/>
    <s v="DISCOUNT NOT ALLOWED"/>
    <s v="Discount Not Allowed"/>
    <s v="19/08/23"/>
  </r>
  <r>
    <s v="TXN_5862349"/>
    <s v="CUST_19"/>
    <x v="0"/>
    <x v="47"/>
    <x v="6"/>
    <x v="4"/>
    <n v="192"/>
    <x v="2"/>
    <x v="1"/>
    <x v="81"/>
    <x v="0"/>
    <s v="DISCOUNT NOT ALLOWED"/>
    <s v="discount not allowed"/>
    <s v="DISCOUNT NOT ALLOWED"/>
    <s v="Discount Not Allowed"/>
    <s v="08/01/25"/>
  </r>
  <r>
    <s v="TXN_5951718"/>
    <s v="CUST_06"/>
    <x v="2"/>
    <x v="85"/>
    <x v="6"/>
    <x v="4"/>
    <n v="192"/>
    <x v="2"/>
    <x v="1"/>
    <x v="780"/>
    <x v="0"/>
    <s v="DISCOUNT NOT ALLOWED"/>
    <s v="discount not allowed"/>
    <s v="DISCOUNT NOT ALLOWED"/>
    <s v="Discount Not Allowed"/>
    <s v="22/04/24"/>
  </r>
  <r>
    <s v="TXN_6633776"/>
    <s v="CUST_12"/>
    <x v="1"/>
    <x v="50"/>
    <x v="6"/>
    <x v="4"/>
    <n v="192"/>
    <x v="2"/>
    <x v="1"/>
    <x v="924"/>
    <x v="0"/>
    <s v="DISCOUNT NOT ALLOWED"/>
    <s v="discount not allowed"/>
    <s v="DISCOUNT NOT ALLOWED"/>
    <s v="Discount Not Allowed"/>
    <s v="06/07/23"/>
  </r>
  <r>
    <s v="TXN_7018266"/>
    <s v="CUST_13"/>
    <x v="0"/>
    <x v="47"/>
    <x v="6"/>
    <x v="4"/>
    <n v="192"/>
    <x v="1"/>
    <x v="1"/>
    <x v="545"/>
    <x v="1"/>
    <s v="DISCOUNT ALLOWED"/>
    <s v="discount allowed"/>
    <s v="DISCOUNT ALLOWED"/>
    <s v="Discount Allowed"/>
    <s v="15/03/22"/>
  </r>
  <r>
    <s v="TXN_7049983"/>
    <s v="CUST_15"/>
    <x v="1"/>
    <x v="50"/>
    <x v="6"/>
    <x v="4"/>
    <n v="192"/>
    <x v="0"/>
    <x v="0"/>
    <x v="190"/>
    <x v="1"/>
    <s v="DISCOUNT ALLOWED"/>
    <s v="discount allowed"/>
    <s v="DISCOUNT ALLOWED"/>
    <s v="Discount Allowed"/>
    <s v="07/02/22"/>
  </r>
  <r>
    <s v="TXN_7124851"/>
    <s v="CUST_19"/>
    <x v="7"/>
    <x v="45"/>
    <x v="6"/>
    <x v="4"/>
    <n v="192"/>
    <x v="2"/>
    <x v="0"/>
    <x v="641"/>
    <x v="1"/>
    <s v="DISCOUNT ALLOWED"/>
    <s v="discount allowed"/>
    <s v="DISCOUNT ALLOWED"/>
    <s v="Discount Allowed"/>
    <s v="09/01/22"/>
  </r>
  <r>
    <s v="TXN_7160397"/>
    <s v="CUST_21"/>
    <x v="7"/>
    <x v="45"/>
    <x v="6"/>
    <x v="4"/>
    <n v="192"/>
    <x v="1"/>
    <x v="1"/>
    <x v="618"/>
    <x v="1"/>
    <s v="DISCOUNT ALLOWED"/>
    <s v="discount allowed"/>
    <s v="DISCOUNT ALLOWED"/>
    <s v="Discount Allowed"/>
    <s v="23/01/24"/>
  </r>
  <r>
    <s v="TXN_7285632"/>
    <s v="CUST_04"/>
    <x v="2"/>
    <x v="85"/>
    <x v="6"/>
    <x v="4"/>
    <n v="192"/>
    <x v="1"/>
    <x v="1"/>
    <x v="12"/>
    <x v="0"/>
    <s v="DISCOUNT NOT ALLOWED"/>
    <s v="discount not allowed"/>
    <s v="DISCOUNT NOT ALLOWED"/>
    <s v="Discount Not Allowed"/>
    <s v="23/07/24"/>
  </r>
  <r>
    <s v="TXN_7449467"/>
    <s v="CUST_22"/>
    <x v="6"/>
    <x v="49"/>
    <x v="6"/>
    <x v="4"/>
    <n v="192"/>
    <x v="2"/>
    <x v="1"/>
    <x v="808"/>
    <x v="0"/>
    <s v="DISCOUNT NOT ALLOWED"/>
    <s v="discount not allowed"/>
    <s v="DISCOUNT NOT ALLOWED"/>
    <s v="Discount Not Allowed"/>
    <s v="07/03/23"/>
  </r>
  <r>
    <s v="TXN_7474583"/>
    <s v="CUST_10"/>
    <x v="6"/>
    <x v="49"/>
    <x v="6"/>
    <x v="4"/>
    <n v="192"/>
    <x v="1"/>
    <x v="1"/>
    <x v="419"/>
    <x v="1"/>
    <s v="DISCOUNT ALLOWED"/>
    <s v="discount allowed"/>
    <s v="DISCOUNT ALLOWED"/>
    <s v="Discount Allowed"/>
    <s v="08/04/24"/>
  </r>
  <r>
    <s v="TXN_7730094"/>
    <s v="CUST_24"/>
    <x v="1"/>
    <x v="50"/>
    <x v="6"/>
    <x v="4"/>
    <n v="192"/>
    <x v="1"/>
    <x v="0"/>
    <x v="925"/>
    <x v="1"/>
    <s v="DISCOUNT ALLOWED"/>
    <s v="discount allowed"/>
    <s v="DISCOUNT ALLOWED"/>
    <s v="Discount Allowed"/>
    <s v="15/12/22"/>
  </r>
  <r>
    <s v="TXN_7833172"/>
    <s v="CUST_05"/>
    <x v="0"/>
    <x v="47"/>
    <x v="6"/>
    <x v="4"/>
    <n v="192"/>
    <x v="0"/>
    <x v="0"/>
    <x v="926"/>
    <x v="0"/>
    <s v="DISCOUNT NOT ALLOWED"/>
    <s v="discount not allowed"/>
    <s v="DISCOUNT NOT ALLOWED"/>
    <s v="Discount Not Allowed"/>
    <s v="22/11/23"/>
  </r>
  <r>
    <s v="TXN_7953083"/>
    <s v="CUST_12"/>
    <x v="5"/>
    <x v="48"/>
    <x v="6"/>
    <x v="4"/>
    <n v="192"/>
    <x v="1"/>
    <x v="1"/>
    <x v="253"/>
    <x v="0"/>
    <s v="DISCOUNT NOT ALLOWED"/>
    <s v="discount not allowed"/>
    <s v="DISCOUNT NOT ALLOWED"/>
    <s v="Discount Not Allowed"/>
    <s v="31/07/24"/>
  </r>
  <r>
    <s v="TXN_8802743"/>
    <s v="CUST_23"/>
    <x v="0"/>
    <x v="47"/>
    <x v="6"/>
    <x v="4"/>
    <n v="192"/>
    <x v="2"/>
    <x v="0"/>
    <x v="918"/>
    <x v="1"/>
    <s v="DISCOUNT ALLOWED"/>
    <s v="discount allowed"/>
    <s v="DISCOUNT ALLOWED"/>
    <s v="Discount Allowed"/>
    <s v="17/09/23"/>
  </r>
  <r>
    <s v="TXN_8838487"/>
    <s v="CUST_13"/>
    <x v="0"/>
    <x v="47"/>
    <x v="6"/>
    <x v="4"/>
    <n v="192"/>
    <x v="1"/>
    <x v="1"/>
    <x v="507"/>
    <x v="0"/>
    <s v="DISCOUNT NOT ALLOWED"/>
    <s v="discount not allowed"/>
    <s v="DISCOUNT NOT ALLOWED"/>
    <s v="Discount Not Allowed"/>
    <s v="30/12/24"/>
  </r>
  <r>
    <s v="TXN_8920500"/>
    <s v="CUST_20"/>
    <x v="1"/>
    <x v="50"/>
    <x v="6"/>
    <x v="4"/>
    <n v="192"/>
    <x v="2"/>
    <x v="1"/>
    <x v="386"/>
    <x v="1"/>
    <s v="DISCOUNT ALLOWED"/>
    <s v="discount allowed"/>
    <s v="DISCOUNT ALLOWED"/>
    <s v="Discount Allowed"/>
    <s v="18/01/22"/>
  </r>
  <r>
    <s v="TXN_9381194"/>
    <s v="CUST_01"/>
    <x v="2"/>
    <x v="85"/>
    <x v="6"/>
    <x v="4"/>
    <n v="192"/>
    <x v="1"/>
    <x v="0"/>
    <x v="898"/>
    <x v="0"/>
    <s v="DISCOUNT NOT ALLOWED"/>
    <s v="discount not allowed"/>
    <s v="DISCOUNT NOT ALLOWED"/>
    <s v="Discount Not Allowed"/>
    <s v="10/02/23"/>
  </r>
  <r>
    <s v="TXN_9940030"/>
    <s v="CUST_25"/>
    <x v="1"/>
    <x v="50"/>
    <x v="6"/>
    <x v="4"/>
    <n v="192"/>
    <x v="2"/>
    <x v="1"/>
    <x v="5"/>
    <x v="1"/>
    <s v="DISCOUNT ALLOWED"/>
    <s v="discount allowed"/>
    <s v="DISCOUNT ALLOWED"/>
    <s v="Discount Allowed"/>
    <s v="19/01/22"/>
  </r>
  <r>
    <s v="TXN_1389066"/>
    <s v="CUST_01"/>
    <x v="0"/>
    <x v="17"/>
    <x v="2"/>
    <x v="5"/>
    <n v="190"/>
    <x v="0"/>
    <x v="0"/>
    <x v="166"/>
    <x v="1"/>
    <s v="DISCOUNT ALLOWED"/>
    <s v="discount allowed"/>
    <s v="DISCOUNT ALLOWED"/>
    <s v="Discount Allowed"/>
    <s v="06/05/24"/>
  </r>
  <r>
    <s v="TXN_1851428"/>
    <s v="CUST_22"/>
    <x v="5"/>
    <x v="15"/>
    <x v="2"/>
    <x v="5"/>
    <n v="190"/>
    <x v="1"/>
    <x v="1"/>
    <x v="458"/>
    <x v="1"/>
    <s v="DISCOUNT ALLOWED"/>
    <s v="discount allowed"/>
    <s v="DISCOUNT ALLOWED"/>
    <s v="Discount Allowed"/>
    <s v="18/05/24"/>
  </r>
  <r>
    <s v="TXN_1880096"/>
    <s v="CUST_12"/>
    <x v="3"/>
    <x v="16"/>
    <x v="2"/>
    <x v="5"/>
    <n v="190"/>
    <x v="2"/>
    <x v="1"/>
    <x v="835"/>
    <x v="0"/>
    <s v="DISCOUNT NOT ALLOWED"/>
    <s v="discount not allowed"/>
    <s v="DISCOUNT NOT ALLOWED"/>
    <s v="Discount Not Allowed"/>
    <s v="20/03/22"/>
  </r>
  <r>
    <s v="TXN_1915866"/>
    <s v="CUST_14"/>
    <x v="7"/>
    <x v="21"/>
    <x v="2"/>
    <x v="5"/>
    <n v="190"/>
    <x v="2"/>
    <x v="0"/>
    <x v="610"/>
    <x v="1"/>
    <s v="DISCOUNT ALLOWED"/>
    <s v="discount allowed"/>
    <s v="DISCOUNT ALLOWED"/>
    <s v="Discount Allowed"/>
    <s v="15/08/24"/>
  </r>
  <r>
    <s v="TXN_1929355"/>
    <s v="CUST_14"/>
    <x v="7"/>
    <x v="21"/>
    <x v="2"/>
    <x v="5"/>
    <n v="190"/>
    <x v="1"/>
    <x v="0"/>
    <x v="862"/>
    <x v="0"/>
    <s v="DISCOUNT NOT ALLOWED"/>
    <s v="discount not allowed"/>
    <s v="DISCOUNT NOT ALLOWED"/>
    <s v="Discount Not Allowed"/>
    <s v="22/10/24"/>
  </r>
  <r>
    <s v="TXN_2080372"/>
    <s v="CUST_08"/>
    <x v="5"/>
    <x v="15"/>
    <x v="2"/>
    <x v="5"/>
    <n v="190"/>
    <x v="2"/>
    <x v="0"/>
    <x v="636"/>
    <x v="0"/>
    <s v="DISCOUNT NOT ALLOWED"/>
    <s v="discount not allowed"/>
    <s v="DISCOUNT NOT ALLOWED"/>
    <s v="Discount Not Allowed"/>
    <s v="21/09/22"/>
  </r>
  <r>
    <s v="TXN_2190866"/>
    <s v="CUST_03"/>
    <x v="3"/>
    <x v="16"/>
    <x v="2"/>
    <x v="5"/>
    <n v="190"/>
    <x v="1"/>
    <x v="0"/>
    <x v="601"/>
    <x v="1"/>
    <s v="DISCOUNT ALLOWED"/>
    <s v="discount allowed"/>
    <s v="DISCOUNT ALLOWED"/>
    <s v="Discount Allowed"/>
    <s v="26/01/24"/>
  </r>
  <r>
    <s v="TXN_2312836"/>
    <s v="CUST_09"/>
    <x v="3"/>
    <x v="16"/>
    <x v="2"/>
    <x v="5"/>
    <n v="190"/>
    <x v="0"/>
    <x v="0"/>
    <x v="188"/>
    <x v="0"/>
    <s v="DISCOUNT NOT ALLOWED"/>
    <s v="discount not allowed"/>
    <s v="DISCOUNT NOT ALLOWED"/>
    <s v="Discount Not Allowed"/>
    <s v="14/12/23"/>
  </r>
  <r>
    <s v="TXN_2378312"/>
    <s v="CUST_09"/>
    <x v="7"/>
    <x v="21"/>
    <x v="2"/>
    <x v="5"/>
    <n v="190"/>
    <x v="0"/>
    <x v="0"/>
    <x v="377"/>
    <x v="1"/>
    <s v="DISCOUNT ALLOWED"/>
    <s v="discount allowed"/>
    <s v="DISCOUNT ALLOWED"/>
    <s v="Discount Allowed"/>
    <s v="27/05/23"/>
  </r>
  <r>
    <s v="TXN_2550629"/>
    <s v="CUST_10"/>
    <x v="3"/>
    <x v="16"/>
    <x v="2"/>
    <x v="5"/>
    <n v="190"/>
    <x v="0"/>
    <x v="0"/>
    <x v="887"/>
    <x v="1"/>
    <s v="DISCOUNT ALLOWED"/>
    <s v="discount allowed"/>
    <s v="DISCOUNT ALLOWED"/>
    <s v="Discount Allowed"/>
    <s v="03/04/22"/>
  </r>
  <r>
    <s v="TXN_3082732"/>
    <s v="CUST_17"/>
    <x v="5"/>
    <x v="15"/>
    <x v="2"/>
    <x v="5"/>
    <n v="190"/>
    <x v="0"/>
    <x v="0"/>
    <x v="97"/>
    <x v="1"/>
    <s v="DISCOUNT ALLOWED"/>
    <s v="discount allowed"/>
    <s v="DISCOUNT ALLOWED"/>
    <s v="Discount Allowed"/>
    <s v="20/06/24"/>
  </r>
  <r>
    <s v="TXN_3087686"/>
    <s v="CUST_18"/>
    <x v="3"/>
    <x v="16"/>
    <x v="2"/>
    <x v="5"/>
    <n v="190"/>
    <x v="1"/>
    <x v="0"/>
    <x v="86"/>
    <x v="1"/>
    <s v="DISCOUNT ALLOWED"/>
    <s v="discount allowed"/>
    <s v="DISCOUNT ALLOWED"/>
    <s v="Discount Allowed"/>
    <s v="30/04/23"/>
  </r>
  <r>
    <s v="TXN_4224556"/>
    <s v="CUST_06"/>
    <x v="2"/>
    <x v="20"/>
    <x v="2"/>
    <x v="5"/>
    <n v="190"/>
    <x v="2"/>
    <x v="1"/>
    <x v="163"/>
    <x v="0"/>
    <s v="DISCOUNT NOT ALLOWED"/>
    <s v="discount not allowed"/>
    <s v="DISCOUNT NOT ALLOWED"/>
    <s v="Discount Not Allowed"/>
    <s v="21/07/22"/>
  </r>
  <r>
    <s v="TXN_4239928"/>
    <s v="CUST_05"/>
    <x v="2"/>
    <x v="20"/>
    <x v="2"/>
    <x v="5"/>
    <n v="190"/>
    <x v="1"/>
    <x v="0"/>
    <x v="818"/>
    <x v="0"/>
    <s v="DISCOUNT NOT ALLOWED"/>
    <s v="discount not allowed"/>
    <s v="DISCOUNT NOT ALLOWED"/>
    <s v="Discount Not Allowed"/>
    <s v="30/10/22"/>
  </r>
  <r>
    <s v="TXN_4399558"/>
    <s v="CUST_02"/>
    <x v="0"/>
    <x v="17"/>
    <x v="2"/>
    <x v="5"/>
    <n v="190"/>
    <x v="0"/>
    <x v="1"/>
    <x v="735"/>
    <x v="0"/>
    <s v="DISCOUNT NOT ALLOWED"/>
    <s v="discount not allowed"/>
    <s v="DISCOUNT NOT ALLOWED"/>
    <s v="Discount Not Allowed"/>
    <s v="16/08/23"/>
  </r>
  <r>
    <s v="TXN_4501999"/>
    <s v="CUST_10"/>
    <x v="1"/>
    <x v="19"/>
    <x v="2"/>
    <x v="5"/>
    <n v="190"/>
    <x v="1"/>
    <x v="1"/>
    <x v="345"/>
    <x v="0"/>
    <s v="DISCOUNT NOT ALLOWED"/>
    <s v="discount not allowed"/>
    <s v="DISCOUNT NOT ALLOWED"/>
    <s v="Discount Not Allowed"/>
    <s v="12/05/24"/>
  </r>
  <r>
    <s v="TXN_4559771"/>
    <s v="CUST_16"/>
    <x v="5"/>
    <x v="15"/>
    <x v="2"/>
    <x v="5"/>
    <n v="190"/>
    <x v="1"/>
    <x v="1"/>
    <x v="713"/>
    <x v="1"/>
    <s v="DISCOUNT ALLOWED"/>
    <s v="discount allowed"/>
    <s v="DISCOUNT ALLOWED"/>
    <s v="Discount Allowed"/>
    <s v="29/07/22"/>
  </r>
  <r>
    <s v="TXN_4570231"/>
    <s v="CUST_15"/>
    <x v="7"/>
    <x v="21"/>
    <x v="2"/>
    <x v="5"/>
    <n v="190"/>
    <x v="0"/>
    <x v="1"/>
    <x v="361"/>
    <x v="1"/>
    <s v="DISCOUNT ALLOWED"/>
    <s v="discount allowed"/>
    <s v="DISCOUNT ALLOWED"/>
    <s v="Discount Allowed"/>
    <s v="17/12/22"/>
  </r>
  <r>
    <s v="TXN_5389562"/>
    <s v="CUST_18"/>
    <x v="7"/>
    <x v="21"/>
    <x v="2"/>
    <x v="5"/>
    <n v="190"/>
    <x v="0"/>
    <x v="0"/>
    <x v="764"/>
    <x v="0"/>
    <s v="DISCOUNT NOT ALLOWED"/>
    <s v="discount not allowed"/>
    <s v="DISCOUNT NOT ALLOWED"/>
    <s v="Discount Not Allowed"/>
    <s v="03/05/22"/>
  </r>
  <r>
    <s v="TXN_5714450"/>
    <s v="CUST_03"/>
    <x v="3"/>
    <x v="16"/>
    <x v="2"/>
    <x v="5"/>
    <n v="190"/>
    <x v="1"/>
    <x v="0"/>
    <x v="476"/>
    <x v="0"/>
    <s v="DISCOUNT NOT ALLOWED"/>
    <s v="discount not allowed"/>
    <s v="DISCOUNT NOT ALLOWED"/>
    <s v="Discount Not Allowed"/>
    <s v="04/04/24"/>
  </r>
  <r>
    <s v="TXN_5836005"/>
    <s v="CUST_19"/>
    <x v="3"/>
    <x v="16"/>
    <x v="2"/>
    <x v="5"/>
    <n v="190"/>
    <x v="2"/>
    <x v="1"/>
    <x v="439"/>
    <x v="0"/>
    <s v="DISCOUNT NOT ALLOWED"/>
    <s v="discount not allowed"/>
    <s v="DISCOUNT NOT ALLOWED"/>
    <s v="Discount Not Allowed"/>
    <s v="19/10/24"/>
  </r>
  <r>
    <s v="TXN_5983240"/>
    <s v="CUST_13"/>
    <x v="5"/>
    <x v="15"/>
    <x v="2"/>
    <x v="5"/>
    <n v="190"/>
    <x v="2"/>
    <x v="1"/>
    <x v="201"/>
    <x v="1"/>
    <s v="DISCOUNT ALLOWED"/>
    <s v="discount allowed"/>
    <s v="DISCOUNT ALLOWED"/>
    <s v="Discount Allowed"/>
    <s v="25/04/23"/>
  </r>
  <r>
    <s v="TXN_6082372"/>
    <s v="CUST_10"/>
    <x v="2"/>
    <x v="20"/>
    <x v="2"/>
    <x v="5"/>
    <n v="190"/>
    <x v="0"/>
    <x v="1"/>
    <x v="449"/>
    <x v="1"/>
    <s v="DISCOUNT ALLOWED"/>
    <s v="discount allowed"/>
    <s v="DISCOUNT ALLOWED"/>
    <s v="Discount Allowed"/>
    <s v="27/03/22"/>
  </r>
  <r>
    <s v="TXN_6959290"/>
    <s v="CUST_04"/>
    <x v="7"/>
    <x v="21"/>
    <x v="2"/>
    <x v="5"/>
    <n v="190"/>
    <x v="0"/>
    <x v="0"/>
    <x v="749"/>
    <x v="1"/>
    <s v="DISCOUNT ALLOWED"/>
    <s v="discount allowed"/>
    <s v="DISCOUNT ALLOWED"/>
    <s v="Discount Allowed"/>
    <s v="24/04/23"/>
  </r>
  <r>
    <s v="TXN_7326092"/>
    <s v="CUST_01"/>
    <x v="3"/>
    <x v="16"/>
    <x v="2"/>
    <x v="5"/>
    <n v="190"/>
    <x v="2"/>
    <x v="0"/>
    <x v="620"/>
    <x v="0"/>
    <s v="DISCOUNT NOT ALLOWED"/>
    <s v="discount not allowed"/>
    <s v="DISCOUNT NOT ALLOWED"/>
    <s v="Discount Not Allowed"/>
    <s v="19/09/23"/>
  </r>
  <r>
    <s v="TXN_7414120"/>
    <s v="CUST_20"/>
    <x v="7"/>
    <x v="21"/>
    <x v="2"/>
    <x v="5"/>
    <n v="190"/>
    <x v="0"/>
    <x v="0"/>
    <x v="350"/>
    <x v="0"/>
    <s v="DISCOUNT NOT ALLOWED"/>
    <s v="discount not allowed"/>
    <s v="DISCOUNT NOT ALLOWED"/>
    <s v="Discount Not Allowed"/>
    <s v="15/01/22"/>
  </r>
  <r>
    <s v="TXN_7424367"/>
    <s v="CUST_22"/>
    <x v="7"/>
    <x v="21"/>
    <x v="2"/>
    <x v="5"/>
    <n v="190"/>
    <x v="2"/>
    <x v="1"/>
    <x v="125"/>
    <x v="0"/>
    <s v="DISCOUNT NOT ALLOWED"/>
    <s v="discount not allowed"/>
    <s v="DISCOUNT NOT ALLOWED"/>
    <s v="Discount Not Allowed"/>
    <s v="18/03/22"/>
  </r>
  <r>
    <s v="TXN_7478809"/>
    <s v="CUST_11"/>
    <x v="0"/>
    <x v="17"/>
    <x v="2"/>
    <x v="5"/>
    <n v="190"/>
    <x v="0"/>
    <x v="1"/>
    <x v="42"/>
    <x v="1"/>
    <s v="DISCOUNT ALLOWED"/>
    <s v="discount allowed"/>
    <s v="DISCOUNT ALLOWED"/>
    <s v="Discount Allowed"/>
    <s v="02/09/22"/>
  </r>
  <r>
    <s v="TXN_7710775"/>
    <s v="CUST_05"/>
    <x v="2"/>
    <x v="20"/>
    <x v="2"/>
    <x v="5"/>
    <n v="190"/>
    <x v="0"/>
    <x v="1"/>
    <x v="244"/>
    <x v="0"/>
    <s v="DISCOUNT NOT ALLOWED"/>
    <s v="discount not allowed"/>
    <s v="DISCOUNT NOT ALLOWED"/>
    <s v="Discount Not Allowed"/>
    <s v="22/02/23"/>
  </r>
  <r>
    <s v="TXN_8218431"/>
    <s v="CUST_01"/>
    <x v="2"/>
    <x v="20"/>
    <x v="2"/>
    <x v="5"/>
    <n v="190"/>
    <x v="0"/>
    <x v="0"/>
    <x v="378"/>
    <x v="0"/>
    <s v="DISCOUNT NOT ALLOWED"/>
    <s v="discount not allowed"/>
    <s v="DISCOUNT NOT ALLOWED"/>
    <s v="Discount Not Allowed"/>
    <s v="29/04/23"/>
  </r>
  <r>
    <s v="TXN_8376000"/>
    <s v="CUST_09"/>
    <x v="7"/>
    <x v="21"/>
    <x v="2"/>
    <x v="5"/>
    <n v="190"/>
    <x v="0"/>
    <x v="1"/>
    <x v="567"/>
    <x v="0"/>
    <s v="DISCOUNT NOT ALLOWED"/>
    <s v="discount not allowed"/>
    <s v="DISCOUNT NOT ALLOWED"/>
    <s v="Discount Not Allowed"/>
    <s v="01/03/22"/>
  </r>
  <r>
    <s v="TXN_8536862"/>
    <s v="CUST_11"/>
    <x v="2"/>
    <x v="20"/>
    <x v="2"/>
    <x v="5"/>
    <n v="190"/>
    <x v="1"/>
    <x v="1"/>
    <x v="704"/>
    <x v="1"/>
    <s v="DISCOUNT ALLOWED"/>
    <s v="discount allowed"/>
    <s v="DISCOUNT ALLOWED"/>
    <s v="Discount Allowed"/>
    <s v="02/03/24"/>
  </r>
  <r>
    <s v="TXN_9161684"/>
    <s v="CUST_16"/>
    <x v="6"/>
    <x v="18"/>
    <x v="2"/>
    <x v="5"/>
    <n v="190"/>
    <x v="2"/>
    <x v="0"/>
    <x v="639"/>
    <x v="1"/>
    <s v="DISCOUNT ALLOWED"/>
    <s v="discount allowed"/>
    <s v="DISCOUNT ALLOWED"/>
    <s v="Discount Allowed"/>
    <s v="29/07/24"/>
  </r>
  <r>
    <s v="TXN_9282140"/>
    <s v="CUST_20"/>
    <x v="0"/>
    <x v="17"/>
    <x v="2"/>
    <x v="5"/>
    <n v="190"/>
    <x v="0"/>
    <x v="0"/>
    <x v="927"/>
    <x v="0"/>
    <s v="DISCOUNT NOT ALLOWED"/>
    <s v="discount not allowed"/>
    <s v="DISCOUNT NOT ALLOWED"/>
    <s v="Discount Not Allowed"/>
    <s v="28/10/24"/>
  </r>
  <r>
    <s v="TXN_9403833"/>
    <s v="CUST_13"/>
    <x v="4"/>
    <x v="22"/>
    <x v="2"/>
    <x v="5"/>
    <n v="190"/>
    <x v="0"/>
    <x v="0"/>
    <x v="900"/>
    <x v="0"/>
    <s v="DISCOUNT NOT ALLOWED"/>
    <s v="discount not allowed"/>
    <s v="DISCOUNT NOT ALLOWED"/>
    <s v="Discount Not Allowed"/>
    <s v="06/11/23"/>
  </r>
  <r>
    <s v="TXN_9487352"/>
    <s v="CUST_14"/>
    <x v="3"/>
    <x v="16"/>
    <x v="2"/>
    <x v="5"/>
    <n v="190"/>
    <x v="0"/>
    <x v="1"/>
    <x v="448"/>
    <x v="1"/>
    <s v="DISCOUNT ALLOWED"/>
    <s v="discount allowed"/>
    <s v="DISCOUNT ALLOWED"/>
    <s v="Discount Allowed"/>
    <s v="13/11/23"/>
  </r>
  <r>
    <s v="TXN_9654199"/>
    <s v="CUST_12"/>
    <x v="7"/>
    <x v="21"/>
    <x v="2"/>
    <x v="5"/>
    <n v="190"/>
    <x v="0"/>
    <x v="1"/>
    <x v="688"/>
    <x v="1"/>
    <s v="DISCOUNT ALLOWED"/>
    <s v="discount allowed"/>
    <s v="DISCOUNT ALLOWED"/>
    <s v="Discount Allowed"/>
    <s v="04/03/24"/>
  </r>
  <r>
    <s v="TXN_1221943"/>
    <s v="CUST_12"/>
    <x v="2"/>
    <x v="117"/>
    <x v="15"/>
    <x v="0"/>
    <n v="185"/>
    <x v="0"/>
    <x v="0"/>
    <x v="309"/>
    <x v="0"/>
    <s v="DISCOUNT NOT ALLOWED"/>
    <s v="discount not allowed"/>
    <s v="DISCOUNT NOT ALLOWED"/>
    <s v="Discount Not Allowed"/>
    <s v="02/10/24"/>
  </r>
  <r>
    <s v="TXN_1434202"/>
    <s v="CUST_18"/>
    <x v="4"/>
    <x v="118"/>
    <x v="15"/>
    <x v="0"/>
    <n v="185"/>
    <x v="0"/>
    <x v="0"/>
    <x v="319"/>
    <x v="1"/>
    <s v="DISCOUNT ALLOWED"/>
    <s v="discount allowed"/>
    <s v="DISCOUNT ALLOWED"/>
    <s v="Discount Allowed"/>
    <s v="22/12/23"/>
  </r>
  <r>
    <s v="TXN_1571058"/>
    <s v="CUST_06"/>
    <x v="7"/>
    <x v="119"/>
    <x v="15"/>
    <x v="0"/>
    <n v="185"/>
    <x v="0"/>
    <x v="1"/>
    <x v="346"/>
    <x v="1"/>
    <s v="DISCOUNT ALLOWED"/>
    <s v="discount allowed"/>
    <s v="DISCOUNT ALLOWED"/>
    <s v="Discount Allowed"/>
    <s v="06/06/22"/>
  </r>
  <r>
    <s v="TXN_2235747"/>
    <s v="CUST_12"/>
    <x v="6"/>
    <x v="120"/>
    <x v="15"/>
    <x v="0"/>
    <n v="185"/>
    <x v="2"/>
    <x v="0"/>
    <x v="928"/>
    <x v="1"/>
    <s v="DISCOUNT ALLOWED"/>
    <s v="discount allowed"/>
    <s v="DISCOUNT ALLOWED"/>
    <s v="Discount Allowed"/>
    <s v="11/03/22"/>
  </r>
  <r>
    <s v="TXN_2782561"/>
    <s v="CUST_15"/>
    <x v="6"/>
    <x v="120"/>
    <x v="15"/>
    <x v="0"/>
    <n v="185"/>
    <x v="1"/>
    <x v="0"/>
    <x v="140"/>
    <x v="0"/>
    <s v="DISCOUNT NOT ALLOWED"/>
    <s v="discount not allowed"/>
    <s v="DISCOUNT NOT ALLOWED"/>
    <s v="Discount Not Allowed"/>
    <s v="13/03/22"/>
  </r>
  <r>
    <s v="TXN_2910621"/>
    <s v="CUST_02"/>
    <x v="1"/>
    <x v="121"/>
    <x v="15"/>
    <x v="0"/>
    <n v="185"/>
    <x v="0"/>
    <x v="1"/>
    <x v="827"/>
    <x v="0"/>
    <s v="DISCOUNT NOT ALLOWED"/>
    <s v="discount not allowed"/>
    <s v="DISCOUNT NOT ALLOWED"/>
    <s v="Discount Not Allowed"/>
    <s v="05/03/23"/>
  </r>
  <r>
    <s v="TXN_3206883"/>
    <s v="CUST_12"/>
    <x v="5"/>
    <x v="122"/>
    <x v="15"/>
    <x v="0"/>
    <n v="185"/>
    <x v="0"/>
    <x v="0"/>
    <x v="929"/>
    <x v="1"/>
    <s v="DISCOUNT ALLOWED"/>
    <s v="discount allowed"/>
    <s v="DISCOUNT ALLOWED"/>
    <s v="Discount Allowed"/>
    <s v="24/10/24"/>
  </r>
  <r>
    <s v="TXN_4315111"/>
    <s v="CUST_11"/>
    <x v="0"/>
    <x v="123"/>
    <x v="15"/>
    <x v="0"/>
    <n v="185"/>
    <x v="0"/>
    <x v="0"/>
    <x v="55"/>
    <x v="0"/>
    <s v="DISCOUNT NOT ALLOWED"/>
    <s v="discount not allowed"/>
    <s v="DISCOUNT NOT ALLOWED"/>
    <s v="Discount Not Allowed"/>
    <s v="26/05/23"/>
  </r>
  <r>
    <s v="TXN_4354004"/>
    <s v="CUST_01"/>
    <x v="5"/>
    <x v="122"/>
    <x v="15"/>
    <x v="0"/>
    <n v="185"/>
    <x v="1"/>
    <x v="0"/>
    <x v="629"/>
    <x v="0"/>
    <s v="DISCOUNT NOT ALLOWED"/>
    <s v="discount not allowed"/>
    <s v="DISCOUNT NOT ALLOWED"/>
    <s v="Discount Not Allowed"/>
    <s v="16/12/24"/>
  </r>
  <r>
    <s v="TXN_4551815"/>
    <s v="CUST_25"/>
    <x v="6"/>
    <x v="120"/>
    <x v="15"/>
    <x v="0"/>
    <n v="185"/>
    <x v="1"/>
    <x v="0"/>
    <x v="912"/>
    <x v="1"/>
    <s v="DISCOUNT ALLOWED"/>
    <s v="discount allowed"/>
    <s v="DISCOUNT ALLOWED"/>
    <s v="Discount Allowed"/>
    <s v="19/01/24"/>
  </r>
  <r>
    <s v="TXN_4674285"/>
    <s v="CUST_16"/>
    <x v="4"/>
    <x v="118"/>
    <x v="15"/>
    <x v="0"/>
    <n v="185"/>
    <x v="0"/>
    <x v="1"/>
    <x v="930"/>
    <x v="0"/>
    <s v="DISCOUNT NOT ALLOWED"/>
    <s v="discount not allowed"/>
    <s v="DISCOUNT NOT ALLOWED"/>
    <s v="Discount Not Allowed"/>
    <s v="05/02/24"/>
  </r>
  <r>
    <s v="TXN_4803018"/>
    <s v="CUST_04"/>
    <x v="4"/>
    <x v="118"/>
    <x v="15"/>
    <x v="0"/>
    <n v="185"/>
    <x v="0"/>
    <x v="1"/>
    <x v="819"/>
    <x v="1"/>
    <s v="DISCOUNT ALLOWED"/>
    <s v="discount allowed"/>
    <s v="DISCOUNT ALLOWED"/>
    <s v="Discount Allowed"/>
    <s v="11/07/23"/>
  </r>
  <r>
    <s v="TXN_5034932"/>
    <s v="CUST_23"/>
    <x v="6"/>
    <x v="120"/>
    <x v="15"/>
    <x v="0"/>
    <n v="185"/>
    <x v="0"/>
    <x v="0"/>
    <x v="315"/>
    <x v="1"/>
    <s v="DISCOUNT ALLOWED"/>
    <s v="discount allowed"/>
    <s v="DISCOUNT ALLOWED"/>
    <s v="Discount Allowed"/>
    <s v="28/09/23"/>
  </r>
  <r>
    <s v="TXN_5501865"/>
    <s v="CUST_21"/>
    <x v="1"/>
    <x v="121"/>
    <x v="15"/>
    <x v="0"/>
    <n v="185"/>
    <x v="0"/>
    <x v="1"/>
    <x v="427"/>
    <x v="0"/>
    <s v="DISCOUNT NOT ALLOWED"/>
    <s v="discount not allowed"/>
    <s v="DISCOUNT NOT ALLOWED"/>
    <s v="Discount Not Allowed"/>
    <s v="20/02/22"/>
  </r>
  <r>
    <s v="TXN_5552232"/>
    <s v="CUST_02"/>
    <x v="5"/>
    <x v="122"/>
    <x v="15"/>
    <x v="0"/>
    <n v="185"/>
    <x v="1"/>
    <x v="1"/>
    <x v="931"/>
    <x v="0"/>
    <s v="DISCOUNT NOT ALLOWED"/>
    <s v="discount not allowed"/>
    <s v="DISCOUNT NOT ALLOWED"/>
    <s v="Discount Not Allowed"/>
    <s v="14/05/23"/>
  </r>
  <r>
    <s v="TXN_5974170"/>
    <s v="CUST_04"/>
    <x v="6"/>
    <x v="120"/>
    <x v="15"/>
    <x v="0"/>
    <n v="185"/>
    <x v="0"/>
    <x v="0"/>
    <x v="150"/>
    <x v="0"/>
    <s v="DISCOUNT NOT ALLOWED"/>
    <s v="discount not allowed"/>
    <s v="DISCOUNT NOT ALLOWED"/>
    <s v="Discount Not Allowed"/>
    <s v="21/01/24"/>
  </r>
  <r>
    <s v="TXN_5981197"/>
    <s v="CUST_11"/>
    <x v="1"/>
    <x v="121"/>
    <x v="15"/>
    <x v="0"/>
    <n v="185"/>
    <x v="2"/>
    <x v="1"/>
    <x v="54"/>
    <x v="0"/>
    <s v="DISCOUNT NOT ALLOWED"/>
    <s v="discount not allowed"/>
    <s v="DISCOUNT NOT ALLOWED"/>
    <s v="Discount Not Allowed"/>
    <s v="23/02/23"/>
  </r>
  <r>
    <s v="TXN_6812056"/>
    <s v="CUST_10"/>
    <x v="7"/>
    <x v="119"/>
    <x v="15"/>
    <x v="0"/>
    <n v="185"/>
    <x v="1"/>
    <x v="1"/>
    <x v="721"/>
    <x v="1"/>
    <s v="DISCOUNT ALLOWED"/>
    <s v="discount allowed"/>
    <s v="DISCOUNT ALLOWED"/>
    <s v="Discount Allowed"/>
    <s v="03/07/24"/>
  </r>
  <r>
    <s v="TXN_6867343"/>
    <s v="CUST_09"/>
    <x v="7"/>
    <x v="119"/>
    <x v="15"/>
    <x v="0"/>
    <n v="185"/>
    <x v="0"/>
    <x v="0"/>
    <x v="419"/>
    <x v="1"/>
    <s v="DISCOUNT ALLOWED"/>
    <s v="discount allowed"/>
    <s v="DISCOUNT ALLOWED"/>
    <s v="Discount Allowed"/>
    <s v="08/04/24"/>
  </r>
  <r>
    <s v="TXN_7006720"/>
    <s v="CUST_02"/>
    <x v="3"/>
    <x v="124"/>
    <x v="15"/>
    <x v="0"/>
    <n v="185"/>
    <x v="1"/>
    <x v="0"/>
    <x v="619"/>
    <x v="1"/>
    <s v="DISCOUNT ALLOWED"/>
    <s v="discount allowed"/>
    <s v="DISCOUNT ALLOWED"/>
    <s v="Discount Allowed"/>
    <s v="15/09/24"/>
  </r>
  <r>
    <s v="TXN_8008279"/>
    <s v="CUST_17"/>
    <x v="1"/>
    <x v="121"/>
    <x v="15"/>
    <x v="0"/>
    <n v="185"/>
    <x v="1"/>
    <x v="0"/>
    <x v="839"/>
    <x v="1"/>
    <s v="DISCOUNT ALLOWED"/>
    <s v="discount allowed"/>
    <s v="DISCOUNT ALLOWED"/>
    <s v="Discount Allowed"/>
    <s v="18/11/22"/>
  </r>
  <r>
    <s v="TXN_8207498"/>
    <s v="CUST_19"/>
    <x v="2"/>
    <x v="117"/>
    <x v="15"/>
    <x v="0"/>
    <n v="185"/>
    <x v="1"/>
    <x v="0"/>
    <x v="919"/>
    <x v="0"/>
    <s v="DISCOUNT NOT ALLOWED"/>
    <s v="discount not allowed"/>
    <s v="DISCOUNT NOT ALLOWED"/>
    <s v="Discount Not Allowed"/>
    <s v="11/04/22"/>
  </r>
  <r>
    <s v="TXN_8295200"/>
    <s v="CUST_23"/>
    <x v="6"/>
    <x v="120"/>
    <x v="15"/>
    <x v="0"/>
    <n v="185"/>
    <x v="0"/>
    <x v="0"/>
    <x v="413"/>
    <x v="0"/>
    <s v="DISCOUNT NOT ALLOWED"/>
    <s v="discount not allowed"/>
    <s v="DISCOUNT NOT ALLOWED"/>
    <s v="Discount Not Allowed"/>
    <s v="06/04/23"/>
  </r>
  <r>
    <s v="TXN_8477874"/>
    <s v="CUST_11"/>
    <x v="5"/>
    <x v="122"/>
    <x v="15"/>
    <x v="0"/>
    <n v="185"/>
    <x v="0"/>
    <x v="0"/>
    <x v="932"/>
    <x v="0"/>
    <s v="DISCOUNT NOT ALLOWED"/>
    <s v="discount not allowed"/>
    <s v="DISCOUNT NOT ALLOWED"/>
    <s v="Discount Not Allowed"/>
    <s v="22/04/22"/>
  </r>
  <r>
    <s v="TXN_8498323"/>
    <s v="CUST_18"/>
    <x v="4"/>
    <x v="118"/>
    <x v="15"/>
    <x v="0"/>
    <n v="185"/>
    <x v="1"/>
    <x v="0"/>
    <x v="480"/>
    <x v="1"/>
    <s v="DISCOUNT ALLOWED"/>
    <s v="discount allowed"/>
    <s v="DISCOUNT ALLOWED"/>
    <s v="Discount Allowed"/>
    <s v="17/01/25"/>
  </r>
  <r>
    <s v="TXN_8874047"/>
    <s v="CUST_05"/>
    <x v="1"/>
    <x v="121"/>
    <x v="15"/>
    <x v="0"/>
    <n v="185"/>
    <x v="0"/>
    <x v="0"/>
    <x v="295"/>
    <x v="1"/>
    <s v="DISCOUNT ALLOWED"/>
    <s v="discount allowed"/>
    <s v="DISCOUNT ALLOWED"/>
    <s v="Discount Allowed"/>
    <s v="31/03/22"/>
  </r>
  <r>
    <s v="TXN_9444336"/>
    <s v="CUST_13"/>
    <x v="4"/>
    <x v="118"/>
    <x v="15"/>
    <x v="0"/>
    <n v="185"/>
    <x v="1"/>
    <x v="0"/>
    <x v="933"/>
    <x v="0"/>
    <s v="DISCOUNT NOT ALLOWED"/>
    <s v="discount not allowed"/>
    <s v="DISCOUNT NOT ALLOWED"/>
    <s v="Discount Not Allowed"/>
    <s v="29/10/24"/>
  </r>
  <r>
    <s v="TXN_1238430"/>
    <s v="CUST_10"/>
    <x v="0"/>
    <x v="98"/>
    <x v="12"/>
    <x v="2"/>
    <n v="184"/>
    <x v="1"/>
    <x v="0"/>
    <x v="745"/>
    <x v="1"/>
    <s v="DISCOUNT ALLOWED"/>
    <s v="discount allowed"/>
    <s v="DISCOUNT ALLOWED"/>
    <s v="Discount Allowed"/>
    <s v="16/05/24"/>
  </r>
  <r>
    <s v="TXN_1320747"/>
    <s v="CUST_11"/>
    <x v="0"/>
    <x v="98"/>
    <x v="12"/>
    <x v="2"/>
    <n v="184"/>
    <x v="0"/>
    <x v="1"/>
    <x v="362"/>
    <x v="0"/>
    <s v="DISCOUNT NOT ALLOWED"/>
    <s v="discount not allowed"/>
    <s v="DISCOUNT NOT ALLOWED"/>
    <s v="Discount Not Allowed"/>
    <s v="10/03/23"/>
  </r>
  <r>
    <s v="TXN_1514499"/>
    <s v="CUST_06"/>
    <x v="4"/>
    <x v="94"/>
    <x v="12"/>
    <x v="2"/>
    <n v="184"/>
    <x v="0"/>
    <x v="1"/>
    <x v="359"/>
    <x v="1"/>
    <s v="DISCOUNT ALLOWED"/>
    <s v="discount allowed"/>
    <s v="DISCOUNT ALLOWED"/>
    <s v="Discount Allowed"/>
    <s v="09/08/22"/>
  </r>
  <r>
    <s v="TXN_1591772"/>
    <s v="CUST_18"/>
    <x v="6"/>
    <x v="93"/>
    <x v="12"/>
    <x v="2"/>
    <n v="184"/>
    <x v="1"/>
    <x v="1"/>
    <x v="263"/>
    <x v="1"/>
    <s v="DISCOUNT ALLOWED"/>
    <s v="discount allowed"/>
    <s v="DISCOUNT ALLOWED"/>
    <s v="Discount Allowed"/>
    <s v="09/06/24"/>
  </r>
  <r>
    <s v="TXN_1843848"/>
    <s v="CUST_05"/>
    <x v="7"/>
    <x v="96"/>
    <x v="12"/>
    <x v="2"/>
    <n v="184"/>
    <x v="2"/>
    <x v="0"/>
    <x v="878"/>
    <x v="0"/>
    <s v="DISCOUNT NOT ALLOWED"/>
    <s v="discount not allowed"/>
    <s v="DISCOUNT NOT ALLOWED"/>
    <s v="Discount Not Allowed"/>
    <s v="13/10/22"/>
  </r>
  <r>
    <s v="TXN_1845043"/>
    <s v="CUST_12"/>
    <x v="4"/>
    <x v="94"/>
    <x v="12"/>
    <x v="2"/>
    <n v="184"/>
    <x v="0"/>
    <x v="1"/>
    <x v="737"/>
    <x v="1"/>
    <s v="DISCOUNT ALLOWED"/>
    <s v="discount allowed"/>
    <s v="DISCOUNT ALLOWED"/>
    <s v="Discount Allowed"/>
    <s v="21/11/24"/>
  </r>
  <r>
    <s v="TXN_1928442"/>
    <s v="CUST_20"/>
    <x v="7"/>
    <x v="96"/>
    <x v="12"/>
    <x v="2"/>
    <n v="184"/>
    <x v="1"/>
    <x v="1"/>
    <x v="22"/>
    <x v="1"/>
    <s v="DISCOUNT ALLOWED"/>
    <s v="discount allowed"/>
    <s v="DISCOUNT ALLOWED"/>
    <s v="Discount Allowed"/>
    <s v="24/01/24"/>
  </r>
  <r>
    <s v="TXN_2029611"/>
    <s v="CUST_15"/>
    <x v="7"/>
    <x v="96"/>
    <x v="12"/>
    <x v="2"/>
    <n v="184"/>
    <x v="1"/>
    <x v="1"/>
    <x v="934"/>
    <x v="1"/>
    <s v="DISCOUNT ALLOWED"/>
    <s v="discount allowed"/>
    <s v="DISCOUNT ALLOWED"/>
    <s v="Discount Allowed"/>
    <s v="27/05/24"/>
  </r>
  <r>
    <s v="TXN_2097083"/>
    <s v="CUST_02"/>
    <x v="0"/>
    <x v="98"/>
    <x v="12"/>
    <x v="2"/>
    <n v="184"/>
    <x v="2"/>
    <x v="1"/>
    <x v="916"/>
    <x v="1"/>
    <s v="DISCOUNT ALLOWED"/>
    <s v="discount allowed"/>
    <s v="DISCOUNT ALLOWED"/>
    <s v="Discount Allowed"/>
    <s v="13/10/24"/>
  </r>
  <r>
    <s v="TXN_2298440"/>
    <s v="CUST_09"/>
    <x v="5"/>
    <x v="97"/>
    <x v="12"/>
    <x v="2"/>
    <n v="184"/>
    <x v="1"/>
    <x v="0"/>
    <x v="910"/>
    <x v="1"/>
    <s v="DISCOUNT ALLOWED"/>
    <s v="discount allowed"/>
    <s v="DISCOUNT ALLOWED"/>
    <s v="Discount Allowed"/>
    <s v="20/01/22"/>
  </r>
  <r>
    <s v="TXN_2569890"/>
    <s v="CUST_22"/>
    <x v="5"/>
    <x v="97"/>
    <x v="12"/>
    <x v="2"/>
    <n v="184"/>
    <x v="0"/>
    <x v="0"/>
    <x v="105"/>
    <x v="0"/>
    <s v="DISCOUNT NOT ALLOWED"/>
    <s v="discount not allowed"/>
    <s v="DISCOUNT NOT ALLOWED"/>
    <s v="Discount Not Allowed"/>
    <s v="19/09/24"/>
  </r>
  <r>
    <s v="TXN_2619807"/>
    <s v="CUST_21"/>
    <x v="3"/>
    <x v="95"/>
    <x v="12"/>
    <x v="2"/>
    <n v="184"/>
    <x v="1"/>
    <x v="1"/>
    <x v="886"/>
    <x v="1"/>
    <s v="DISCOUNT ALLOWED"/>
    <s v="discount allowed"/>
    <s v="DISCOUNT ALLOWED"/>
    <s v="Discount Allowed"/>
    <s v="21/03/24"/>
  </r>
  <r>
    <s v="TXN_2635591"/>
    <s v="CUST_24"/>
    <x v="3"/>
    <x v="95"/>
    <x v="12"/>
    <x v="2"/>
    <n v="184"/>
    <x v="2"/>
    <x v="0"/>
    <x v="299"/>
    <x v="1"/>
    <s v="DISCOUNT ALLOWED"/>
    <s v="discount allowed"/>
    <s v="DISCOUNT ALLOWED"/>
    <s v="Discount Allowed"/>
    <s v="11/10/22"/>
  </r>
  <r>
    <s v="TXN_3017727"/>
    <s v="CUST_11"/>
    <x v="6"/>
    <x v="93"/>
    <x v="12"/>
    <x v="2"/>
    <n v="184"/>
    <x v="1"/>
    <x v="0"/>
    <x v="885"/>
    <x v="0"/>
    <s v="DISCOUNT NOT ALLOWED"/>
    <s v="discount not allowed"/>
    <s v="DISCOUNT NOT ALLOWED"/>
    <s v="Discount Not Allowed"/>
    <s v="02/06/22"/>
  </r>
  <r>
    <s v="TXN_3432541"/>
    <s v="CUST_10"/>
    <x v="2"/>
    <x v="125"/>
    <x v="12"/>
    <x v="2"/>
    <n v="184"/>
    <x v="1"/>
    <x v="0"/>
    <x v="1"/>
    <x v="1"/>
    <s v="DISCOUNT ALLOWED"/>
    <s v="discount allowed"/>
    <s v="DISCOUNT ALLOWED"/>
    <s v="Discount Allowed"/>
    <s v="01/04/23"/>
  </r>
  <r>
    <s v="TXN_3688977"/>
    <s v="CUST_20"/>
    <x v="5"/>
    <x v="97"/>
    <x v="12"/>
    <x v="2"/>
    <n v="184"/>
    <x v="0"/>
    <x v="1"/>
    <x v="482"/>
    <x v="0"/>
    <s v="DISCOUNT NOT ALLOWED"/>
    <s v="discount not allowed"/>
    <s v="DISCOUNT NOT ALLOWED"/>
    <s v="Discount Not Allowed"/>
    <s v="03/03/23"/>
  </r>
  <r>
    <s v="TXN_3871665"/>
    <s v="CUST_11"/>
    <x v="7"/>
    <x v="96"/>
    <x v="12"/>
    <x v="2"/>
    <n v="184"/>
    <x v="2"/>
    <x v="0"/>
    <x v="935"/>
    <x v="1"/>
    <s v="DISCOUNT ALLOWED"/>
    <s v="discount allowed"/>
    <s v="DISCOUNT ALLOWED"/>
    <s v="Discount Allowed"/>
    <s v="09/02/23"/>
  </r>
  <r>
    <s v="TXN_3958182"/>
    <s v="CUST_25"/>
    <x v="4"/>
    <x v="94"/>
    <x v="12"/>
    <x v="2"/>
    <n v="184"/>
    <x v="2"/>
    <x v="0"/>
    <x v="133"/>
    <x v="1"/>
    <s v="DISCOUNT ALLOWED"/>
    <s v="discount allowed"/>
    <s v="DISCOUNT ALLOWED"/>
    <s v="Discount Allowed"/>
    <s v="17/01/24"/>
  </r>
  <r>
    <s v="TXN_4416629"/>
    <s v="CUST_01"/>
    <x v="7"/>
    <x v="96"/>
    <x v="12"/>
    <x v="2"/>
    <n v="184"/>
    <x v="2"/>
    <x v="0"/>
    <x v="401"/>
    <x v="1"/>
    <s v="DISCOUNT ALLOWED"/>
    <s v="discount allowed"/>
    <s v="DISCOUNT ALLOWED"/>
    <s v="Discount Allowed"/>
    <s v="25/08/23"/>
  </r>
  <r>
    <s v="TXN_4557580"/>
    <s v="CUST_25"/>
    <x v="0"/>
    <x v="98"/>
    <x v="12"/>
    <x v="2"/>
    <n v="184"/>
    <x v="0"/>
    <x v="1"/>
    <x v="282"/>
    <x v="1"/>
    <s v="DISCOUNT ALLOWED"/>
    <s v="discount allowed"/>
    <s v="DISCOUNT ALLOWED"/>
    <s v="Discount Allowed"/>
    <s v="20/06/23"/>
  </r>
  <r>
    <s v="TXN_5393801"/>
    <s v="CUST_13"/>
    <x v="5"/>
    <x v="97"/>
    <x v="12"/>
    <x v="2"/>
    <n v="184"/>
    <x v="0"/>
    <x v="1"/>
    <x v="399"/>
    <x v="0"/>
    <s v="DISCOUNT NOT ALLOWED"/>
    <s v="discount not allowed"/>
    <s v="DISCOUNT NOT ALLOWED"/>
    <s v="Discount Not Allowed"/>
    <s v="12/12/23"/>
  </r>
  <r>
    <s v="TXN_5624506"/>
    <s v="CUST_18"/>
    <x v="4"/>
    <x v="94"/>
    <x v="12"/>
    <x v="2"/>
    <n v="184"/>
    <x v="0"/>
    <x v="1"/>
    <x v="141"/>
    <x v="0"/>
    <s v="DISCOUNT NOT ALLOWED"/>
    <s v="discount not allowed"/>
    <s v="DISCOUNT NOT ALLOWED"/>
    <s v="Discount Not Allowed"/>
    <s v="12/10/24"/>
  </r>
  <r>
    <s v="TXN_5941390"/>
    <s v="CUST_16"/>
    <x v="6"/>
    <x v="93"/>
    <x v="12"/>
    <x v="2"/>
    <n v="184"/>
    <x v="1"/>
    <x v="0"/>
    <x v="568"/>
    <x v="0"/>
    <s v="DISCOUNT NOT ALLOWED"/>
    <s v="discount not allowed"/>
    <s v="DISCOUNT NOT ALLOWED"/>
    <s v="Discount Not Allowed"/>
    <s v="07/09/24"/>
  </r>
  <r>
    <s v="TXN_6237980"/>
    <s v="CUST_01"/>
    <x v="2"/>
    <x v="125"/>
    <x v="12"/>
    <x v="2"/>
    <n v="184"/>
    <x v="1"/>
    <x v="0"/>
    <x v="853"/>
    <x v="0"/>
    <s v="DISCOUNT NOT ALLOWED"/>
    <s v="discount not allowed"/>
    <s v="DISCOUNT NOT ALLOWED"/>
    <s v="Discount Not Allowed"/>
    <s v="12/08/24"/>
  </r>
  <r>
    <s v="TXN_7293443"/>
    <s v="CUST_16"/>
    <x v="1"/>
    <x v="99"/>
    <x v="12"/>
    <x v="2"/>
    <n v="184"/>
    <x v="2"/>
    <x v="1"/>
    <x v="528"/>
    <x v="0"/>
    <s v="DISCOUNT NOT ALLOWED"/>
    <s v="discount not allowed"/>
    <s v="DISCOUNT NOT ALLOWED"/>
    <s v="Discount Not Allowed"/>
    <s v="11/09/24"/>
  </r>
  <r>
    <s v="TXN_7506005"/>
    <s v="CUST_10"/>
    <x v="5"/>
    <x v="97"/>
    <x v="12"/>
    <x v="2"/>
    <n v="184"/>
    <x v="0"/>
    <x v="0"/>
    <x v="141"/>
    <x v="1"/>
    <s v="DISCOUNT ALLOWED"/>
    <s v="discount allowed"/>
    <s v="DISCOUNT ALLOWED"/>
    <s v="Discount Allowed"/>
    <s v="12/10/24"/>
  </r>
  <r>
    <s v="TXN_7565200"/>
    <s v="CUST_05"/>
    <x v="0"/>
    <x v="98"/>
    <x v="12"/>
    <x v="2"/>
    <n v="184"/>
    <x v="2"/>
    <x v="0"/>
    <x v="91"/>
    <x v="0"/>
    <s v="DISCOUNT NOT ALLOWED"/>
    <s v="discount not allowed"/>
    <s v="DISCOUNT NOT ALLOWED"/>
    <s v="Discount Not Allowed"/>
    <s v="09/12/23"/>
  </r>
  <r>
    <s v="TXN_7681375"/>
    <s v="CUST_02"/>
    <x v="3"/>
    <x v="95"/>
    <x v="12"/>
    <x v="2"/>
    <n v="184"/>
    <x v="2"/>
    <x v="0"/>
    <x v="294"/>
    <x v="0"/>
    <s v="DISCOUNT NOT ALLOWED"/>
    <s v="discount not allowed"/>
    <s v="DISCOUNT NOT ALLOWED"/>
    <s v="Discount Not Allowed"/>
    <s v="09/07/22"/>
  </r>
  <r>
    <s v="TXN_7765581"/>
    <s v="CUST_13"/>
    <x v="5"/>
    <x v="97"/>
    <x v="12"/>
    <x v="2"/>
    <n v="184"/>
    <x v="0"/>
    <x v="0"/>
    <x v="852"/>
    <x v="0"/>
    <s v="DISCOUNT NOT ALLOWED"/>
    <s v="discount not allowed"/>
    <s v="DISCOUNT NOT ALLOWED"/>
    <s v="Discount Not Allowed"/>
    <s v="26/05/22"/>
  </r>
  <r>
    <s v="TXN_7861272"/>
    <s v="CUST_24"/>
    <x v="0"/>
    <x v="98"/>
    <x v="12"/>
    <x v="2"/>
    <n v="184"/>
    <x v="0"/>
    <x v="1"/>
    <x v="538"/>
    <x v="0"/>
    <s v="DISCOUNT NOT ALLOWED"/>
    <s v="discount not allowed"/>
    <s v="DISCOUNT NOT ALLOWED"/>
    <s v="Discount Not Allowed"/>
    <s v="16/07/24"/>
  </r>
  <r>
    <s v="TXN_7900359"/>
    <s v="CUST_12"/>
    <x v="0"/>
    <x v="98"/>
    <x v="12"/>
    <x v="2"/>
    <n v="184"/>
    <x v="1"/>
    <x v="1"/>
    <x v="82"/>
    <x v="1"/>
    <s v="DISCOUNT ALLOWED"/>
    <s v="discount allowed"/>
    <s v="DISCOUNT ALLOWED"/>
    <s v="Discount Allowed"/>
    <s v="07/10/24"/>
  </r>
  <r>
    <s v="TXN_8241824"/>
    <s v="CUST_13"/>
    <x v="7"/>
    <x v="96"/>
    <x v="12"/>
    <x v="2"/>
    <n v="184"/>
    <x v="0"/>
    <x v="0"/>
    <x v="936"/>
    <x v="1"/>
    <s v="DISCOUNT ALLOWED"/>
    <s v="discount allowed"/>
    <s v="DISCOUNT ALLOWED"/>
    <s v="Discount Allowed"/>
    <s v="25/01/22"/>
  </r>
  <r>
    <s v="TXN_8294650"/>
    <s v="CUST_08"/>
    <x v="6"/>
    <x v="93"/>
    <x v="12"/>
    <x v="2"/>
    <n v="184"/>
    <x v="1"/>
    <x v="0"/>
    <x v="576"/>
    <x v="0"/>
    <s v="DISCOUNT NOT ALLOWED"/>
    <s v="discount not allowed"/>
    <s v="DISCOUNT NOT ALLOWED"/>
    <s v="Discount Not Allowed"/>
    <s v="18/11/23"/>
  </r>
  <r>
    <s v="TXN_8319396"/>
    <s v="CUST_05"/>
    <x v="0"/>
    <x v="98"/>
    <x v="12"/>
    <x v="2"/>
    <n v="184"/>
    <x v="1"/>
    <x v="0"/>
    <x v="782"/>
    <x v="1"/>
    <s v="DISCOUNT ALLOWED"/>
    <s v="discount allowed"/>
    <s v="DISCOUNT ALLOWED"/>
    <s v="Discount Allowed"/>
    <s v="13/09/23"/>
  </r>
  <r>
    <s v="TXN_8559920"/>
    <s v="CUST_23"/>
    <x v="4"/>
    <x v="94"/>
    <x v="12"/>
    <x v="2"/>
    <n v="184"/>
    <x v="0"/>
    <x v="0"/>
    <x v="778"/>
    <x v="1"/>
    <s v="DISCOUNT ALLOWED"/>
    <s v="discount allowed"/>
    <s v="DISCOUNT ALLOWED"/>
    <s v="Discount Allowed"/>
    <s v="26/07/23"/>
  </r>
  <r>
    <s v="TXN_9835267"/>
    <s v="CUST_23"/>
    <x v="0"/>
    <x v="98"/>
    <x v="12"/>
    <x v="2"/>
    <n v="184"/>
    <x v="2"/>
    <x v="0"/>
    <x v="147"/>
    <x v="1"/>
    <s v="DISCOUNT ALLOWED"/>
    <s v="discount allowed"/>
    <s v="DISCOUNT ALLOWED"/>
    <s v="Discount Allowed"/>
    <s v="15/07/23"/>
  </r>
  <r>
    <s v="TXN_9850588"/>
    <s v="CUST_21"/>
    <x v="6"/>
    <x v="93"/>
    <x v="12"/>
    <x v="2"/>
    <n v="184"/>
    <x v="0"/>
    <x v="0"/>
    <x v="814"/>
    <x v="1"/>
    <s v="DISCOUNT ALLOWED"/>
    <s v="discount allowed"/>
    <s v="DISCOUNT ALLOWED"/>
    <s v="Discount Allowed"/>
    <s v="27/01/23"/>
  </r>
  <r>
    <s v="TXN_1820052"/>
    <s v="CUST_09"/>
    <x v="1"/>
    <x v="59"/>
    <x v="7"/>
    <x v="4"/>
    <n v="183"/>
    <x v="2"/>
    <x v="0"/>
    <x v="788"/>
    <x v="1"/>
    <s v="DISCOUNT ALLOWED"/>
    <s v="discount allowed"/>
    <s v="DISCOUNT ALLOWED"/>
    <s v="Discount Allowed"/>
    <s v="05/09/23"/>
  </r>
  <r>
    <s v="TXN_2683008"/>
    <s v="CUST_17"/>
    <x v="7"/>
    <x v="60"/>
    <x v="7"/>
    <x v="4"/>
    <n v="183"/>
    <x v="2"/>
    <x v="0"/>
    <x v="588"/>
    <x v="0"/>
    <s v="DISCOUNT NOT ALLOWED"/>
    <s v="discount not allowed"/>
    <s v="DISCOUNT NOT ALLOWED"/>
    <s v="Discount Not Allowed"/>
    <s v="10/01/22"/>
  </r>
  <r>
    <s v="TXN_2767410"/>
    <s v="CUST_23"/>
    <x v="4"/>
    <x v="53"/>
    <x v="7"/>
    <x v="4"/>
    <n v="183"/>
    <x v="1"/>
    <x v="0"/>
    <x v="315"/>
    <x v="0"/>
    <s v="DISCOUNT NOT ALLOWED"/>
    <s v="discount not allowed"/>
    <s v="DISCOUNT NOT ALLOWED"/>
    <s v="Discount Not Allowed"/>
    <s v="28/09/23"/>
  </r>
  <r>
    <s v="TXN_2780567"/>
    <s v="CUST_10"/>
    <x v="3"/>
    <x v="55"/>
    <x v="7"/>
    <x v="4"/>
    <n v="183"/>
    <x v="0"/>
    <x v="0"/>
    <x v="446"/>
    <x v="0"/>
    <s v="DISCOUNT NOT ALLOWED"/>
    <s v="discount not allowed"/>
    <s v="DISCOUNT NOT ALLOWED"/>
    <s v="Discount Not Allowed"/>
    <s v="12/09/24"/>
  </r>
  <r>
    <s v="TXN_2808540"/>
    <s v="CUST_23"/>
    <x v="6"/>
    <x v="58"/>
    <x v="7"/>
    <x v="4"/>
    <n v="183"/>
    <x v="0"/>
    <x v="0"/>
    <x v="937"/>
    <x v="1"/>
    <s v="DISCOUNT ALLOWED"/>
    <s v="discount allowed"/>
    <s v="DISCOUNT ALLOWED"/>
    <s v="Discount Allowed"/>
    <s v="25/02/23"/>
  </r>
  <r>
    <s v="TXN_2889258"/>
    <s v="CUST_25"/>
    <x v="1"/>
    <x v="59"/>
    <x v="7"/>
    <x v="4"/>
    <n v="183"/>
    <x v="0"/>
    <x v="1"/>
    <x v="542"/>
    <x v="0"/>
    <s v="DISCOUNT NOT ALLOWED"/>
    <s v="discount not allowed"/>
    <s v="DISCOUNT NOT ALLOWED"/>
    <s v="Discount Not Allowed"/>
    <s v="28/08/23"/>
  </r>
  <r>
    <s v="TXN_4641540"/>
    <s v="CUST_20"/>
    <x v="5"/>
    <x v="54"/>
    <x v="7"/>
    <x v="4"/>
    <n v="183"/>
    <x v="2"/>
    <x v="0"/>
    <x v="841"/>
    <x v="1"/>
    <s v="DISCOUNT ALLOWED"/>
    <s v="discount allowed"/>
    <s v="DISCOUNT ALLOWED"/>
    <s v="Discount Allowed"/>
    <s v="14/06/23"/>
  </r>
  <r>
    <s v="TXN_4926679"/>
    <s v="CUST_05"/>
    <x v="6"/>
    <x v="58"/>
    <x v="7"/>
    <x v="4"/>
    <n v="183"/>
    <x v="1"/>
    <x v="0"/>
    <x v="938"/>
    <x v="0"/>
    <s v="DISCOUNT NOT ALLOWED"/>
    <s v="discount not allowed"/>
    <s v="DISCOUNT NOT ALLOWED"/>
    <s v="Discount Not Allowed"/>
    <s v="05/06/24"/>
  </r>
  <r>
    <s v="TXN_5033281"/>
    <s v="CUST_08"/>
    <x v="3"/>
    <x v="55"/>
    <x v="7"/>
    <x v="4"/>
    <n v="183"/>
    <x v="0"/>
    <x v="1"/>
    <x v="164"/>
    <x v="0"/>
    <s v="DISCOUNT NOT ALLOWED"/>
    <s v="discount not allowed"/>
    <s v="DISCOUNT NOT ALLOWED"/>
    <s v="Discount Not Allowed"/>
    <s v="26/01/22"/>
  </r>
  <r>
    <s v="TXN_5186140"/>
    <s v="CUST_13"/>
    <x v="4"/>
    <x v="53"/>
    <x v="7"/>
    <x v="4"/>
    <n v="183"/>
    <x v="1"/>
    <x v="0"/>
    <x v="260"/>
    <x v="0"/>
    <s v="DISCOUNT NOT ALLOWED"/>
    <s v="discount not allowed"/>
    <s v="DISCOUNT NOT ALLOWED"/>
    <s v="Discount Not Allowed"/>
    <s v="04/07/23"/>
  </r>
  <r>
    <s v="TXN_6128965"/>
    <s v="CUST_10"/>
    <x v="6"/>
    <x v="58"/>
    <x v="7"/>
    <x v="4"/>
    <n v="183"/>
    <x v="2"/>
    <x v="1"/>
    <x v="640"/>
    <x v="1"/>
    <s v="DISCOUNT ALLOWED"/>
    <s v="discount allowed"/>
    <s v="DISCOUNT ALLOWED"/>
    <s v="Discount Allowed"/>
    <s v="26/09/24"/>
  </r>
  <r>
    <s v="TXN_6569843"/>
    <s v="CUST_04"/>
    <x v="1"/>
    <x v="59"/>
    <x v="7"/>
    <x v="4"/>
    <n v="183"/>
    <x v="1"/>
    <x v="0"/>
    <x v="385"/>
    <x v="0"/>
    <s v="DISCOUNT NOT ALLOWED"/>
    <s v="discount not allowed"/>
    <s v="DISCOUNT NOT ALLOWED"/>
    <s v="Discount Not Allowed"/>
    <s v="28/06/22"/>
  </r>
  <r>
    <s v="TXN_6703348"/>
    <s v="CUST_08"/>
    <x v="4"/>
    <x v="53"/>
    <x v="7"/>
    <x v="4"/>
    <n v="183"/>
    <x v="1"/>
    <x v="1"/>
    <x v="939"/>
    <x v="0"/>
    <s v="DISCOUNT NOT ALLOWED"/>
    <s v="discount not allowed"/>
    <s v="DISCOUNT NOT ALLOWED"/>
    <s v="Discount Not Allowed"/>
    <s v="26/10/24"/>
  </r>
  <r>
    <s v="TXN_7043815"/>
    <s v="CUST_02"/>
    <x v="5"/>
    <x v="54"/>
    <x v="7"/>
    <x v="4"/>
    <n v="183"/>
    <x v="1"/>
    <x v="0"/>
    <x v="77"/>
    <x v="0"/>
    <s v="DISCOUNT NOT ALLOWED"/>
    <s v="discount not allowed"/>
    <s v="DISCOUNT NOT ALLOWED"/>
    <s v="Discount Not Allowed"/>
    <s v="29/01/24"/>
  </r>
  <r>
    <s v="TXN_7454284"/>
    <s v="CUST_06"/>
    <x v="6"/>
    <x v="58"/>
    <x v="7"/>
    <x v="4"/>
    <n v="183"/>
    <x v="1"/>
    <x v="1"/>
    <x v="917"/>
    <x v="0"/>
    <s v="DISCOUNT NOT ALLOWED"/>
    <s v="discount not allowed"/>
    <s v="DISCOUNT NOT ALLOWED"/>
    <s v="Discount Not Allowed"/>
    <s v="13/09/22"/>
  </r>
  <r>
    <s v="TXN_8330302"/>
    <s v="CUST_12"/>
    <x v="0"/>
    <x v="57"/>
    <x v="7"/>
    <x v="4"/>
    <n v="183"/>
    <x v="1"/>
    <x v="1"/>
    <x v="347"/>
    <x v="1"/>
    <s v="DISCOUNT ALLOWED"/>
    <s v="discount allowed"/>
    <s v="DISCOUNT ALLOWED"/>
    <s v="Discount Allowed"/>
    <s v="11/12/24"/>
  </r>
  <r>
    <s v="TXN_8678715"/>
    <s v="CUST_21"/>
    <x v="0"/>
    <x v="57"/>
    <x v="7"/>
    <x v="4"/>
    <n v="183"/>
    <x v="0"/>
    <x v="0"/>
    <x v="940"/>
    <x v="0"/>
    <s v="DISCOUNT NOT ALLOWED"/>
    <s v="discount not allowed"/>
    <s v="DISCOUNT NOT ALLOWED"/>
    <s v="Discount Not Allowed"/>
    <s v="21/08/23"/>
  </r>
  <r>
    <s v="TXN_8768337"/>
    <s v="CUST_06"/>
    <x v="1"/>
    <x v="59"/>
    <x v="7"/>
    <x v="4"/>
    <n v="183"/>
    <x v="0"/>
    <x v="0"/>
    <x v="941"/>
    <x v="0"/>
    <s v="DISCOUNT NOT ALLOWED"/>
    <s v="discount not allowed"/>
    <s v="DISCOUNT NOT ALLOWED"/>
    <s v="Discount Not Allowed"/>
    <s v="15/06/22"/>
  </r>
  <r>
    <s v="TXN_8804809"/>
    <s v="CUST_20"/>
    <x v="1"/>
    <x v="59"/>
    <x v="7"/>
    <x v="4"/>
    <n v="183"/>
    <x v="2"/>
    <x v="1"/>
    <x v="843"/>
    <x v="1"/>
    <s v="DISCOUNT ALLOWED"/>
    <s v="discount allowed"/>
    <s v="DISCOUNT ALLOWED"/>
    <s v="Discount Allowed"/>
    <s v="07/08/24"/>
  </r>
  <r>
    <s v="TXN_8868040"/>
    <s v="CUST_21"/>
    <x v="3"/>
    <x v="55"/>
    <x v="7"/>
    <x v="4"/>
    <n v="183"/>
    <x v="1"/>
    <x v="1"/>
    <x v="388"/>
    <x v="0"/>
    <s v="DISCOUNT NOT ALLOWED"/>
    <s v="discount not allowed"/>
    <s v="DISCOUNT NOT ALLOWED"/>
    <s v="Discount Not Allowed"/>
    <s v="23/01/23"/>
  </r>
  <r>
    <s v="TXN_9080064"/>
    <s v="CUST_05"/>
    <x v="3"/>
    <x v="55"/>
    <x v="7"/>
    <x v="4"/>
    <n v="183"/>
    <x v="2"/>
    <x v="0"/>
    <x v="685"/>
    <x v="1"/>
    <s v="DISCOUNT ALLOWED"/>
    <s v="discount allowed"/>
    <s v="DISCOUNT ALLOWED"/>
    <s v="Discount Allowed"/>
    <s v="20/07/23"/>
  </r>
  <r>
    <s v="TXN_9115901"/>
    <s v="CUST_10"/>
    <x v="6"/>
    <x v="58"/>
    <x v="7"/>
    <x v="4"/>
    <n v="183"/>
    <x v="1"/>
    <x v="0"/>
    <x v="888"/>
    <x v="1"/>
    <s v="DISCOUNT ALLOWED"/>
    <s v="discount allowed"/>
    <s v="DISCOUNT ALLOWED"/>
    <s v="Discount Allowed"/>
    <s v="10/08/23"/>
  </r>
  <r>
    <s v="TXN_9398801"/>
    <s v="CUST_13"/>
    <x v="1"/>
    <x v="59"/>
    <x v="7"/>
    <x v="4"/>
    <n v="183"/>
    <x v="0"/>
    <x v="1"/>
    <x v="443"/>
    <x v="1"/>
    <s v="DISCOUNT ALLOWED"/>
    <s v="discount allowed"/>
    <s v="DISCOUNT ALLOWED"/>
    <s v="Discount Allowed"/>
    <s v="28/02/24"/>
  </r>
  <r>
    <s v="TXN_2045668"/>
    <s v="CUST_15"/>
    <x v="6"/>
    <x v="26"/>
    <x v="3"/>
    <x v="5"/>
    <n v="182.5"/>
    <x v="0"/>
    <x v="0"/>
    <x v="418"/>
    <x v="1"/>
    <s v="DISCOUNT ALLOWED"/>
    <s v="discount allowed"/>
    <s v="DISCOUNT ALLOWED"/>
    <s v="Discount Allowed"/>
    <s v="29/09/24"/>
  </r>
  <r>
    <s v="TXN_2829458"/>
    <s v="CUST_21"/>
    <x v="0"/>
    <x v="25"/>
    <x v="3"/>
    <x v="5"/>
    <n v="182.5"/>
    <x v="0"/>
    <x v="1"/>
    <x v="220"/>
    <x v="1"/>
    <s v="DISCOUNT ALLOWED"/>
    <s v="discount allowed"/>
    <s v="DISCOUNT ALLOWED"/>
    <s v="Discount Allowed"/>
    <s v="25/03/24"/>
  </r>
  <r>
    <s v="TXN_3066671"/>
    <s v="CUST_07"/>
    <x v="2"/>
    <x v="23"/>
    <x v="3"/>
    <x v="5"/>
    <n v="182.5"/>
    <x v="0"/>
    <x v="1"/>
    <x v="942"/>
    <x v="0"/>
    <s v="DISCOUNT NOT ALLOWED"/>
    <s v="discount not allowed"/>
    <s v="DISCOUNT NOT ALLOWED"/>
    <s v="Discount Not Allowed"/>
    <s v="05/08/23"/>
  </r>
  <r>
    <s v="TXN_3803930"/>
    <s v="CUST_23"/>
    <x v="5"/>
    <x v="28"/>
    <x v="3"/>
    <x v="5"/>
    <n v="182.5"/>
    <x v="0"/>
    <x v="0"/>
    <x v="370"/>
    <x v="1"/>
    <s v="DISCOUNT ALLOWED"/>
    <s v="discount allowed"/>
    <s v="DISCOUNT ALLOWED"/>
    <s v="Discount Allowed"/>
    <s v="14/01/25"/>
  </r>
  <r>
    <s v="TXN_3836955"/>
    <s v="CUST_05"/>
    <x v="0"/>
    <x v="25"/>
    <x v="3"/>
    <x v="5"/>
    <n v="182.5"/>
    <x v="0"/>
    <x v="1"/>
    <x v="737"/>
    <x v="1"/>
    <s v="DISCOUNT ALLOWED"/>
    <s v="discount allowed"/>
    <s v="DISCOUNT ALLOWED"/>
    <s v="Discount Allowed"/>
    <s v="21/11/24"/>
  </r>
  <r>
    <s v="TXN_3878711"/>
    <s v="CUST_21"/>
    <x v="1"/>
    <x v="29"/>
    <x v="3"/>
    <x v="5"/>
    <n v="182.5"/>
    <x v="1"/>
    <x v="1"/>
    <x v="943"/>
    <x v="1"/>
    <s v="DISCOUNT ALLOWED"/>
    <s v="discount allowed"/>
    <s v="DISCOUNT ALLOWED"/>
    <s v="Discount Allowed"/>
    <s v="22/07/22"/>
  </r>
  <r>
    <s v="TXN_3952040"/>
    <s v="CUST_06"/>
    <x v="5"/>
    <x v="28"/>
    <x v="3"/>
    <x v="5"/>
    <n v="182.5"/>
    <x v="1"/>
    <x v="1"/>
    <x v="711"/>
    <x v="0"/>
    <s v="DISCOUNT NOT ALLOWED"/>
    <s v="discount not allowed"/>
    <s v="DISCOUNT NOT ALLOWED"/>
    <s v="Discount Not Allowed"/>
    <s v="04/04/22"/>
  </r>
  <r>
    <s v="TXN_4491189"/>
    <s v="CUST_19"/>
    <x v="1"/>
    <x v="29"/>
    <x v="3"/>
    <x v="5"/>
    <n v="182.5"/>
    <x v="0"/>
    <x v="0"/>
    <x v="121"/>
    <x v="1"/>
    <s v="DISCOUNT ALLOWED"/>
    <s v="discount allowed"/>
    <s v="DISCOUNT ALLOWED"/>
    <s v="Discount Allowed"/>
    <s v="21/08/24"/>
  </r>
  <r>
    <s v="TXN_4657560"/>
    <s v="CUST_06"/>
    <x v="7"/>
    <x v="30"/>
    <x v="3"/>
    <x v="5"/>
    <n v="182.5"/>
    <x v="0"/>
    <x v="1"/>
    <x v="393"/>
    <x v="1"/>
    <s v="DISCOUNT ALLOWED"/>
    <s v="discount allowed"/>
    <s v="DISCOUNT ALLOWED"/>
    <s v="Discount Allowed"/>
    <s v="18/10/22"/>
  </r>
  <r>
    <s v="TXN_4948429"/>
    <s v="CUST_06"/>
    <x v="5"/>
    <x v="28"/>
    <x v="3"/>
    <x v="5"/>
    <n v="182.5"/>
    <x v="1"/>
    <x v="1"/>
    <x v="605"/>
    <x v="0"/>
    <s v="DISCOUNT NOT ALLOWED"/>
    <s v="discount not allowed"/>
    <s v="DISCOUNT NOT ALLOWED"/>
    <s v="Discount Not Allowed"/>
    <s v="27/12/22"/>
  </r>
  <r>
    <s v="TXN_5105777"/>
    <s v="CUST_22"/>
    <x v="3"/>
    <x v="24"/>
    <x v="3"/>
    <x v="5"/>
    <n v="182.5"/>
    <x v="2"/>
    <x v="0"/>
    <x v="587"/>
    <x v="0"/>
    <s v="DISCOUNT NOT ALLOWED"/>
    <s v="discount not allowed"/>
    <s v="DISCOUNT NOT ALLOWED"/>
    <s v="Discount Not Allowed"/>
    <s v="05/04/22"/>
  </r>
  <r>
    <s v="TXN_5196281"/>
    <s v="CUST_20"/>
    <x v="6"/>
    <x v="26"/>
    <x v="3"/>
    <x v="5"/>
    <n v="182.5"/>
    <x v="1"/>
    <x v="1"/>
    <x v="445"/>
    <x v="1"/>
    <s v="DISCOUNT ALLOWED"/>
    <s v="discount allowed"/>
    <s v="DISCOUNT ALLOWED"/>
    <s v="Discount Allowed"/>
    <s v="02/10/23"/>
  </r>
  <r>
    <s v="TXN_5420133"/>
    <s v="CUST_24"/>
    <x v="3"/>
    <x v="24"/>
    <x v="3"/>
    <x v="5"/>
    <n v="182.5"/>
    <x v="0"/>
    <x v="0"/>
    <x v="944"/>
    <x v="1"/>
    <s v="DISCOUNT ALLOWED"/>
    <s v="discount allowed"/>
    <s v="DISCOUNT ALLOWED"/>
    <s v="Discount Allowed"/>
    <s v="14/01/24"/>
  </r>
  <r>
    <s v="TXN_5936766"/>
    <s v="CUST_20"/>
    <x v="7"/>
    <x v="30"/>
    <x v="3"/>
    <x v="5"/>
    <n v="182.5"/>
    <x v="2"/>
    <x v="0"/>
    <x v="303"/>
    <x v="1"/>
    <s v="DISCOUNT ALLOWED"/>
    <s v="discount allowed"/>
    <s v="DISCOUNT ALLOWED"/>
    <s v="Discount Allowed"/>
    <s v="22/12/24"/>
  </r>
  <r>
    <s v="TXN_6606292"/>
    <s v="CUST_19"/>
    <x v="1"/>
    <x v="29"/>
    <x v="3"/>
    <x v="5"/>
    <n v="182.5"/>
    <x v="1"/>
    <x v="1"/>
    <x v="83"/>
    <x v="0"/>
    <s v="DISCOUNT NOT ALLOWED"/>
    <s v="discount not allowed"/>
    <s v="DISCOUNT NOT ALLOWED"/>
    <s v="Discount Not Allowed"/>
    <s v="21/12/23"/>
  </r>
  <r>
    <s v="TXN_7138501"/>
    <s v="CUST_18"/>
    <x v="7"/>
    <x v="30"/>
    <x v="3"/>
    <x v="5"/>
    <n v="182.5"/>
    <x v="2"/>
    <x v="1"/>
    <x v="945"/>
    <x v="0"/>
    <s v="DISCOUNT NOT ALLOWED"/>
    <s v="discount not allowed"/>
    <s v="DISCOUNT NOT ALLOWED"/>
    <s v="Discount Not Allowed"/>
    <s v="10/03/22"/>
  </r>
  <r>
    <s v="TXN_7399994"/>
    <s v="CUST_08"/>
    <x v="4"/>
    <x v="27"/>
    <x v="3"/>
    <x v="5"/>
    <n v="182.5"/>
    <x v="0"/>
    <x v="1"/>
    <x v="778"/>
    <x v="1"/>
    <s v="DISCOUNT ALLOWED"/>
    <s v="discount allowed"/>
    <s v="DISCOUNT ALLOWED"/>
    <s v="Discount Allowed"/>
    <s v="26/07/23"/>
  </r>
  <r>
    <s v="TXN_8640039"/>
    <s v="CUST_12"/>
    <x v="0"/>
    <x v="25"/>
    <x v="3"/>
    <x v="5"/>
    <n v="182.5"/>
    <x v="1"/>
    <x v="0"/>
    <x v="939"/>
    <x v="0"/>
    <s v="DISCOUNT NOT ALLOWED"/>
    <s v="discount not allowed"/>
    <s v="DISCOUNT NOT ALLOWED"/>
    <s v="Discount Not Allowed"/>
    <s v="26/10/24"/>
  </r>
  <r>
    <s v="TXN_8891020"/>
    <s v="CUST_13"/>
    <x v="6"/>
    <x v="26"/>
    <x v="3"/>
    <x v="5"/>
    <n v="182.5"/>
    <x v="0"/>
    <x v="0"/>
    <x v="212"/>
    <x v="0"/>
    <s v="DISCOUNT NOT ALLOWED"/>
    <s v="discount not allowed"/>
    <s v="DISCOUNT NOT ALLOWED"/>
    <s v="Discount Not Allowed"/>
    <s v="10/12/22"/>
  </r>
  <r>
    <s v="TXN_8964461"/>
    <s v="CUST_15"/>
    <x v="3"/>
    <x v="24"/>
    <x v="3"/>
    <x v="5"/>
    <n v="182.5"/>
    <x v="1"/>
    <x v="0"/>
    <x v="395"/>
    <x v="1"/>
    <s v="DISCOUNT ALLOWED"/>
    <s v="discount allowed"/>
    <s v="DISCOUNT ALLOWED"/>
    <s v="Discount Allowed"/>
    <s v="21/06/22"/>
  </r>
  <r>
    <s v="TXN_9514388"/>
    <s v="CUST_22"/>
    <x v="4"/>
    <x v="27"/>
    <x v="3"/>
    <x v="5"/>
    <n v="182.5"/>
    <x v="2"/>
    <x v="0"/>
    <x v="564"/>
    <x v="1"/>
    <s v="DISCOUNT ALLOWED"/>
    <s v="discount allowed"/>
    <s v="DISCOUNT ALLOWED"/>
    <s v="Discount Allowed"/>
    <s v="31/01/23"/>
  </r>
  <r>
    <s v="TXN_9755184"/>
    <s v="CUST_10"/>
    <x v="3"/>
    <x v="24"/>
    <x v="3"/>
    <x v="5"/>
    <n v="182.5"/>
    <x v="0"/>
    <x v="1"/>
    <x v="946"/>
    <x v="1"/>
    <s v="DISCOUNT ALLOWED"/>
    <s v="discount allowed"/>
    <s v="DISCOUNT ALLOWED"/>
    <s v="Discount Allowed"/>
    <s v="25/11/24"/>
  </r>
  <r>
    <s v="TXN_1010570"/>
    <s v="CUST_08"/>
    <x v="3"/>
    <x v="80"/>
    <x v="10"/>
    <x v="3"/>
    <n v="182"/>
    <x v="2"/>
    <x v="0"/>
    <x v="749"/>
    <x v="1"/>
    <s v="DISCOUNT ALLOWED"/>
    <s v="discount allowed"/>
    <s v="DISCOUNT ALLOWED"/>
    <s v="Discount Allowed"/>
    <s v="24/04/23"/>
  </r>
  <r>
    <s v="TXN_1629845"/>
    <s v="CUST_04"/>
    <x v="2"/>
    <x v="77"/>
    <x v="10"/>
    <x v="3"/>
    <n v="182"/>
    <x v="1"/>
    <x v="0"/>
    <x v="44"/>
    <x v="0"/>
    <s v="DISCOUNT NOT ALLOWED"/>
    <s v="discount not allowed"/>
    <s v="DISCOUNT NOT ALLOWED"/>
    <s v="Discount Not Allowed"/>
    <s v="02/10/22"/>
  </r>
  <r>
    <s v="TXN_1935654"/>
    <s v="CUST_20"/>
    <x v="6"/>
    <x v="82"/>
    <x v="10"/>
    <x v="3"/>
    <n v="182"/>
    <x v="2"/>
    <x v="1"/>
    <x v="216"/>
    <x v="1"/>
    <s v="DISCOUNT ALLOWED"/>
    <s v="discount allowed"/>
    <s v="DISCOUNT ALLOWED"/>
    <s v="Discount Allowed"/>
    <s v="19/04/23"/>
  </r>
  <r>
    <s v="TXN_2216840"/>
    <s v="CUST_25"/>
    <x v="5"/>
    <x v="81"/>
    <x v="10"/>
    <x v="3"/>
    <n v="182"/>
    <x v="2"/>
    <x v="1"/>
    <x v="41"/>
    <x v="1"/>
    <s v="DISCOUNT ALLOWED"/>
    <s v="discount allowed"/>
    <s v="DISCOUNT ALLOWED"/>
    <s v="Discount Allowed"/>
    <s v="15/05/24"/>
  </r>
  <r>
    <s v="TXN_2401524"/>
    <s v="CUST_06"/>
    <x v="3"/>
    <x v="80"/>
    <x v="10"/>
    <x v="3"/>
    <n v="182"/>
    <x v="0"/>
    <x v="1"/>
    <x v="210"/>
    <x v="1"/>
    <s v="DISCOUNT ALLOWED"/>
    <s v="discount allowed"/>
    <s v="DISCOUNT ALLOWED"/>
    <s v="Discount Allowed"/>
    <s v="15/08/22"/>
  </r>
  <r>
    <s v="TXN_2948826"/>
    <s v="CUST_05"/>
    <x v="5"/>
    <x v="81"/>
    <x v="10"/>
    <x v="3"/>
    <n v="182"/>
    <x v="1"/>
    <x v="0"/>
    <x v="890"/>
    <x v="1"/>
    <s v="DISCOUNT ALLOWED"/>
    <s v="discount allowed"/>
    <s v="DISCOUNT ALLOWED"/>
    <s v="Discount Allowed"/>
    <s v="16/09/24"/>
  </r>
  <r>
    <s v="TXN_3005655"/>
    <s v="CUST_01"/>
    <x v="1"/>
    <x v="78"/>
    <x v="10"/>
    <x v="3"/>
    <n v="182"/>
    <x v="0"/>
    <x v="0"/>
    <x v="87"/>
    <x v="1"/>
    <s v="DISCOUNT ALLOWED"/>
    <s v="discount allowed"/>
    <s v="DISCOUNT ALLOWED"/>
    <s v="Discount Allowed"/>
    <s v="23/07/23"/>
  </r>
  <r>
    <s v="TXN_3519634"/>
    <s v="CUST_19"/>
    <x v="3"/>
    <x v="80"/>
    <x v="10"/>
    <x v="3"/>
    <n v="182"/>
    <x v="2"/>
    <x v="0"/>
    <x v="947"/>
    <x v="0"/>
    <s v="DISCOUNT NOT ALLOWED"/>
    <s v="discount not allowed"/>
    <s v="DISCOUNT NOT ALLOWED"/>
    <s v="Discount Not Allowed"/>
    <s v="28/09/22"/>
  </r>
  <r>
    <s v="TXN_3579349"/>
    <s v="CUST_11"/>
    <x v="2"/>
    <x v="77"/>
    <x v="10"/>
    <x v="3"/>
    <n v="182"/>
    <x v="2"/>
    <x v="1"/>
    <x v="196"/>
    <x v="0"/>
    <s v="DISCOUNT NOT ALLOWED"/>
    <s v="discount not allowed"/>
    <s v="DISCOUNT NOT ALLOWED"/>
    <s v="Discount Not Allowed"/>
    <s v="11/12/22"/>
  </r>
  <r>
    <s v="TXN_4379449"/>
    <s v="CUST_19"/>
    <x v="7"/>
    <x v="83"/>
    <x v="10"/>
    <x v="3"/>
    <n v="182"/>
    <x v="2"/>
    <x v="1"/>
    <x v="670"/>
    <x v="0"/>
    <s v="DISCOUNT NOT ALLOWED"/>
    <s v="discount not allowed"/>
    <s v="DISCOUNT NOT ALLOWED"/>
    <s v="Discount Not Allowed"/>
    <s v="22/10/23"/>
  </r>
  <r>
    <s v="TXN_4828565"/>
    <s v="CUST_25"/>
    <x v="7"/>
    <x v="83"/>
    <x v="10"/>
    <x v="3"/>
    <n v="182"/>
    <x v="0"/>
    <x v="0"/>
    <x v="176"/>
    <x v="1"/>
    <s v="DISCOUNT ALLOWED"/>
    <s v="discount allowed"/>
    <s v="DISCOUNT ALLOWED"/>
    <s v="Discount Allowed"/>
    <s v="01/02/24"/>
  </r>
  <r>
    <s v="TXN_5043649"/>
    <s v="CUST_19"/>
    <x v="3"/>
    <x v="80"/>
    <x v="10"/>
    <x v="3"/>
    <n v="182"/>
    <x v="0"/>
    <x v="0"/>
    <x v="879"/>
    <x v="1"/>
    <s v="DISCOUNT ALLOWED"/>
    <s v="discount allowed"/>
    <s v="DISCOUNT ALLOWED"/>
    <s v="Discount Allowed"/>
    <s v="12/07/22"/>
  </r>
  <r>
    <s v="TXN_5069350"/>
    <s v="CUST_24"/>
    <x v="2"/>
    <x v="77"/>
    <x v="10"/>
    <x v="3"/>
    <n v="182"/>
    <x v="2"/>
    <x v="1"/>
    <x v="45"/>
    <x v="1"/>
    <s v="DISCOUNT ALLOWED"/>
    <s v="discount allowed"/>
    <s v="DISCOUNT ALLOWED"/>
    <s v="Discount Allowed"/>
    <s v="01/10/24"/>
  </r>
  <r>
    <s v="TXN_5071954"/>
    <s v="CUST_09"/>
    <x v="5"/>
    <x v="81"/>
    <x v="10"/>
    <x v="3"/>
    <n v="182"/>
    <x v="2"/>
    <x v="1"/>
    <x v="948"/>
    <x v="1"/>
    <s v="DISCOUNT ALLOWED"/>
    <s v="discount allowed"/>
    <s v="DISCOUNT ALLOWED"/>
    <s v="Discount Allowed"/>
    <s v="04/12/22"/>
  </r>
  <r>
    <s v="TXN_5081040"/>
    <s v="CUST_04"/>
    <x v="5"/>
    <x v="81"/>
    <x v="10"/>
    <x v="3"/>
    <n v="182"/>
    <x v="1"/>
    <x v="1"/>
    <x v="669"/>
    <x v="1"/>
    <s v="DISCOUNT ALLOWED"/>
    <s v="discount allowed"/>
    <s v="DISCOUNT ALLOWED"/>
    <s v="Discount Allowed"/>
    <s v="23/01/22"/>
  </r>
  <r>
    <s v="TXN_5123327"/>
    <s v="CUST_15"/>
    <x v="6"/>
    <x v="82"/>
    <x v="10"/>
    <x v="3"/>
    <n v="182"/>
    <x v="1"/>
    <x v="0"/>
    <x v="92"/>
    <x v="1"/>
    <s v="DISCOUNT ALLOWED"/>
    <s v="discount allowed"/>
    <s v="DISCOUNT ALLOWED"/>
    <s v="Discount Allowed"/>
    <s v="03/03/24"/>
  </r>
  <r>
    <s v="TXN_5764401"/>
    <s v="CUST_08"/>
    <x v="4"/>
    <x v="79"/>
    <x v="10"/>
    <x v="3"/>
    <n v="182"/>
    <x v="2"/>
    <x v="1"/>
    <x v="493"/>
    <x v="0"/>
    <s v="DISCOUNT NOT ALLOWED"/>
    <s v="discount not allowed"/>
    <s v="DISCOUNT NOT ALLOWED"/>
    <s v="Discount Not Allowed"/>
    <s v="03/06/24"/>
  </r>
  <r>
    <s v="TXN_6058992"/>
    <s v="CUST_14"/>
    <x v="2"/>
    <x v="77"/>
    <x v="10"/>
    <x v="3"/>
    <n v="182"/>
    <x v="2"/>
    <x v="1"/>
    <x v="40"/>
    <x v="0"/>
    <s v="DISCOUNT NOT ALLOWED"/>
    <s v="discount not allowed"/>
    <s v="DISCOUNT NOT ALLOWED"/>
    <s v="Discount Not Allowed"/>
    <s v="24/08/22"/>
  </r>
  <r>
    <s v="TXN_7206264"/>
    <s v="CUST_20"/>
    <x v="6"/>
    <x v="82"/>
    <x v="10"/>
    <x v="3"/>
    <n v="182"/>
    <x v="1"/>
    <x v="1"/>
    <x v="81"/>
    <x v="1"/>
    <s v="DISCOUNT ALLOWED"/>
    <s v="discount allowed"/>
    <s v="DISCOUNT ALLOWED"/>
    <s v="Discount Allowed"/>
    <s v="08/01/25"/>
  </r>
  <r>
    <s v="TXN_7336047"/>
    <s v="CUST_11"/>
    <x v="3"/>
    <x v="80"/>
    <x v="10"/>
    <x v="3"/>
    <n v="182"/>
    <x v="2"/>
    <x v="0"/>
    <x v="59"/>
    <x v="0"/>
    <s v="DISCOUNT NOT ALLOWED"/>
    <s v="discount not allowed"/>
    <s v="DISCOUNT NOT ALLOWED"/>
    <s v="Discount Not Allowed"/>
    <s v="24/11/22"/>
  </r>
  <r>
    <s v="TXN_7531055"/>
    <s v="CUST_09"/>
    <x v="7"/>
    <x v="83"/>
    <x v="10"/>
    <x v="3"/>
    <n v="182"/>
    <x v="2"/>
    <x v="1"/>
    <x v="885"/>
    <x v="1"/>
    <s v="DISCOUNT ALLOWED"/>
    <s v="discount allowed"/>
    <s v="DISCOUNT ALLOWED"/>
    <s v="Discount Allowed"/>
    <s v="02/06/22"/>
  </r>
  <r>
    <s v="TXN_7812474"/>
    <s v="CUST_15"/>
    <x v="0"/>
    <x v="84"/>
    <x v="10"/>
    <x v="3"/>
    <n v="182"/>
    <x v="0"/>
    <x v="0"/>
    <x v="585"/>
    <x v="1"/>
    <s v="DISCOUNT ALLOWED"/>
    <s v="discount allowed"/>
    <s v="DISCOUNT ALLOWED"/>
    <s v="Discount Allowed"/>
    <s v="15/07/22"/>
  </r>
  <r>
    <s v="TXN_8222717"/>
    <s v="CUST_13"/>
    <x v="5"/>
    <x v="81"/>
    <x v="10"/>
    <x v="3"/>
    <n v="182"/>
    <x v="2"/>
    <x v="1"/>
    <x v="469"/>
    <x v="0"/>
    <s v="DISCOUNT NOT ALLOWED"/>
    <s v="discount not allowed"/>
    <s v="DISCOUNT NOT ALLOWED"/>
    <s v="Discount Not Allowed"/>
    <s v="29/11/23"/>
  </r>
  <r>
    <s v="TXN_8411721"/>
    <s v="CUST_08"/>
    <x v="4"/>
    <x v="79"/>
    <x v="10"/>
    <x v="3"/>
    <n v="182"/>
    <x v="1"/>
    <x v="0"/>
    <x v="619"/>
    <x v="0"/>
    <s v="DISCOUNT NOT ALLOWED"/>
    <s v="discount not allowed"/>
    <s v="DISCOUNT NOT ALLOWED"/>
    <s v="Discount Not Allowed"/>
    <s v="15/09/24"/>
  </r>
  <r>
    <s v="TXN_8528791"/>
    <s v="CUST_22"/>
    <x v="3"/>
    <x v="80"/>
    <x v="10"/>
    <x v="3"/>
    <n v="182"/>
    <x v="1"/>
    <x v="1"/>
    <x v="405"/>
    <x v="0"/>
    <s v="DISCOUNT NOT ALLOWED"/>
    <s v="discount not allowed"/>
    <s v="DISCOUNT NOT ALLOWED"/>
    <s v="Discount Not Allowed"/>
    <s v="28/10/22"/>
  </r>
  <r>
    <s v="TXN_8673519"/>
    <s v="CUST_09"/>
    <x v="1"/>
    <x v="78"/>
    <x v="10"/>
    <x v="3"/>
    <n v="182"/>
    <x v="2"/>
    <x v="1"/>
    <x v="828"/>
    <x v="1"/>
    <s v="DISCOUNT ALLOWED"/>
    <s v="discount allowed"/>
    <s v="DISCOUNT ALLOWED"/>
    <s v="Discount Allowed"/>
    <s v="16/01/23"/>
  </r>
  <r>
    <s v="TXN_8735696"/>
    <s v="CUST_06"/>
    <x v="3"/>
    <x v="80"/>
    <x v="10"/>
    <x v="3"/>
    <n v="182"/>
    <x v="0"/>
    <x v="0"/>
    <x v="930"/>
    <x v="0"/>
    <s v="DISCOUNT NOT ALLOWED"/>
    <s v="discount not allowed"/>
    <s v="DISCOUNT NOT ALLOWED"/>
    <s v="Discount Not Allowed"/>
    <s v="05/02/24"/>
  </r>
  <r>
    <s v="TXN_8879321"/>
    <s v="CUST_24"/>
    <x v="5"/>
    <x v="81"/>
    <x v="10"/>
    <x v="3"/>
    <n v="182"/>
    <x v="0"/>
    <x v="1"/>
    <x v="182"/>
    <x v="1"/>
    <s v="DISCOUNT ALLOWED"/>
    <s v="discount allowed"/>
    <s v="DISCOUNT ALLOWED"/>
    <s v="Discount Allowed"/>
    <s v="28/04/24"/>
  </r>
  <r>
    <s v="TXN_9015176"/>
    <s v="CUST_01"/>
    <x v="2"/>
    <x v="77"/>
    <x v="10"/>
    <x v="3"/>
    <n v="182"/>
    <x v="0"/>
    <x v="1"/>
    <x v="700"/>
    <x v="0"/>
    <s v="DISCOUNT NOT ALLOWED"/>
    <s v="discount not allowed"/>
    <s v="DISCOUNT NOT ALLOWED"/>
    <s v="Discount Not Allowed"/>
    <s v="01/03/23"/>
  </r>
  <r>
    <s v="TXN_9397196"/>
    <s v="CUST_14"/>
    <x v="2"/>
    <x v="77"/>
    <x v="10"/>
    <x v="3"/>
    <n v="182"/>
    <x v="0"/>
    <x v="1"/>
    <x v="846"/>
    <x v="0"/>
    <s v="DISCOUNT NOT ALLOWED"/>
    <s v="discount not allowed"/>
    <s v="DISCOUNT NOT ALLOWED"/>
    <s v="Discount Not Allowed"/>
    <s v="29/03/23"/>
  </r>
  <r>
    <s v="TXN_9777548"/>
    <s v="CUST_18"/>
    <x v="7"/>
    <x v="83"/>
    <x v="10"/>
    <x v="3"/>
    <n v="182"/>
    <x v="0"/>
    <x v="0"/>
    <x v="949"/>
    <x v="1"/>
    <s v="DISCOUNT ALLOWED"/>
    <s v="discount allowed"/>
    <s v="DISCOUNT ALLOWED"/>
    <s v="Discount Allowed"/>
    <s v="11/02/23"/>
  </r>
  <r>
    <s v="TXN_9888265"/>
    <s v="CUST_18"/>
    <x v="3"/>
    <x v="80"/>
    <x v="10"/>
    <x v="3"/>
    <n v="182"/>
    <x v="0"/>
    <x v="0"/>
    <x v="359"/>
    <x v="0"/>
    <s v="DISCOUNT NOT ALLOWED"/>
    <s v="discount not allowed"/>
    <s v="DISCOUNT NOT ALLOWED"/>
    <s v="Discount Not Allowed"/>
    <s v="09/08/22"/>
  </r>
  <r>
    <s v="TXN_9926710"/>
    <s v="CUST_04"/>
    <x v="3"/>
    <x v="80"/>
    <x v="10"/>
    <x v="3"/>
    <n v="182"/>
    <x v="2"/>
    <x v="1"/>
    <x v="539"/>
    <x v="1"/>
    <s v="DISCOUNT ALLOWED"/>
    <s v="discount allowed"/>
    <s v="DISCOUNT ALLOWED"/>
    <s v="Discount Allowed"/>
    <s v="13/02/23"/>
  </r>
  <r>
    <s v="TXN_1089119"/>
    <s v="CUST_05"/>
    <x v="4"/>
    <x v="109"/>
    <x v="14"/>
    <x v="1"/>
    <n v="180"/>
    <x v="2"/>
    <x v="1"/>
    <x v="128"/>
    <x v="0"/>
    <s v="DISCOUNT NOT ALLOWED"/>
    <s v="discount not allowed"/>
    <s v="DISCOUNT NOT ALLOWED"/>
    <s v="Discount Not Allowed"/>
    <s v="18/08/24"/>
  </r>
  <r>
    <s v="TXN_1132097"/>
    <s v="CUST_24"/>
    <x v="7"/>
    <x v="110"/>
    <x v="14"/>
    <x v="1"/>
    <n v="180"/>
    <x v="2"/>
    <x v="1"/>
    <x v="752"/>
    <x v="1"/>
    <s v="DISCOUNT ALLOWED"/>
    <s v="discount allowed"/>
    <s v="DISCOUNT ALLOWED"/>
    <s v="Discount Allowed"/>
    <s v="18/05/23"/>
  </r>
  <r>
    <s v="TXN_1190407"/>
    <s v="CUST_05"/>
    <x v="0"/>
    <x v="115"/>
    <x v="14"/>
    <x v="1"/>
    <n v="180"/>
    <x v="0"/>
    <x v="0"/>
    <x v="636"/>
    <x v="1"/>
    <s v="DISCOUNT ALLOWED"/>
    <s v="discount allowed"/>
    <s v="DISCOUNT ALLOWED"/>
    <s v="Discount Allowed"/>
    <s v="21/09/22"/>
  </r>
  <r>
    <s v="TXN_1671850"/>
    <s v="CUST_20"/>
    <x v="2"/>
    <x v="113"/>
    <x v="14"/>
    <x v="1"/>
    <n v="180"/>
    <x v="0"/>
    <x v="1"/>
    <x v="216"/>
    <x v="1"/>
    <s v="DISCOUNT ALLOWED"/>
    <s v="discount allowed"/>
    <s v="DISCOUNT ALLOWED"/>
    <s v="Discount Allowed"/>
    <s v="19/04/23"/>
  </r>
  <r>
    <s v="TXN_1772882"/>
    <s v="CUST_15"/>
    <x v="3"/>
    <x v="126"/>
    <x v="14"/>
    <x v="1"/>
    <n v="180"/>
    <x v="0"/>
    <x v="1"/>
    <x v="667"/>
    <x v="1"/>
    <s v="DISCOUNT ALLOWED"/>
    <s v="discount allowed"/>
    <s v="DISCOUNT ALLOWED"/>
    <s v="Discount Allowed"/>
    <s v="18/12/23"/>
  </r>
  <r>
    <s v="TXN_1777125"/>
    <s v="CUST_21"/>
    <x v="4"/>
    <x v="109"/>
    <x v="14"/>
    <x v="1"/>
    <n v="180"/>
    <x v="2"/>
    <x v="0"/>
    <x v="437"/>
    <x v="0"/>
    <s v="DISCOUNT NOT ALLOWED"/>
    <s v="discount not allowed"/>
    <s v="DISCOUNT NOT ALLOWED"/>
    <s v="Discount Not Allowed"/>
    <s v="23/08/24"/>
  </r>
  <r>
    <s v="TXN_1840133"/>
    <s v="CUST_07"/>
    <x v="1"/>
    <x v="114"/>
    <x v="14"/>
    <x v="1"/>
    <n v="180"/>
    <x v="2"/>
    <x v="0"/>
    <x v="517"/>
    <x v="0"/>
    <s v="DISCOUNT NOT ALLOWED"/>
    <s v="discount not allowed"/>
    <s v="DISCOUNT NOT ALLOWED"/>
    <s v="Discount Not Allowed"/>
    <s v="25/06/23"/>
  </r>
  <r>
    <s v="TXN_2203983"/>
    <s v="CUST_18"/>
    <x v="5"/>
    <x v="111"/>
    <x v="14"/>
    <x v="1"/>
    <n v="180"/>
    <x v="0"/>
    <x v="0"/>
    <x v="896"/>
    <x v="1"/>
    <s v="DISCOUNT ALLOWED"/>
    <s v="discount allowed"/>
    <s v="DISCOUNT ALLOWED"/>
    <s v="Discount Allowed"/>
    <s v="14/02/22"/>
  </r>
  <r>
    <s v="TXN_2303813"/>
    <s v="CUST_16"/>
    <x v="0"/>
    <x v="115"/>
    <x v="14"/>
    <x v="1"/>
    <n v="180"/>
    <x v="1"/>
    <x v="1"/>
    <x v="93"/>
    <x v="0"/>
    <s v="DISCOUNT NOT ALLOWED"/>
    <s v="discount not allowed"/>
    <s v="DISCOUNT NOT ALLOWED"/>
    <s v="Discount Not Allowed"/>
    <s v="08/12/22"/>
  </r>
  <r>
    <s v="TXN_2340343"/>
    <s v="CUST_06"/>
    <x v="2"/>
    <x v="113"/>
    <x v="14"/>
    <x v="1"/>
    <n v="180"/>
    <x v="2"/>
    <x v="1"/>
    <x v="457"/>
    <x v="0"/>
    <s v="DISCOUNT NOT ALLOWED"/>
    <s v="discount not allowed"/>
    <s v="DISCOUNT NOT ALLOWED"/>
    <s v="Discount Not Allowed"/>
    <s v="21/01/22"/>
  </r>
  <r>
    <s v="TXN_3155343"/>
    <s v="CUST_18"/>
    <x v="2"/>
    <x v="113"/>
    <x v="14"/>
    <x v="1"/>
    <n v="180"/>
    <x v="0"/>
    <x v="1"/>
    <x v="409"/>
    <x v="0"/>
    <s v="DISCOUNT NOT ALLOWED"/>
    <s v="discount not allowed"/>
    <s v="DISCOUNT NOT ALLOWED"/>
    <s v="Discount Not Allowed"/>
    <s v="13/07/23"/>
  </r>
  <r>
    <s v="TXN_3216677"/>
    <s v="CUST_17"/>
    <x v="6"/>
    <x v="112"/>
    <x v="14"/>
    <x v="1"/>
    <n v="180"/>
    <x v="2"/>
    <x v="1"/>
    <x v="395"/>
    <x v="1"/>
    <s v="DISCOUNT ALLOWED"/>
    <s v="discount allowed"/>
    <s v="DISCOUNT ALLOWED"/>
    <s v="Discount Allowed"/>
    <s v="21/06/22"/>
  </r>
  <r>
    <s v="TXN_3351830"/>
    <s v="CUST_20"/>
    <x v="1"/>
    <x v="114"/>
    <x v="14"/>
    <x v="1"/>
    <n v="180"/>
    <x v="0"/>
    <x v="1"/>
    <x v="327"/>
    <x v="0"/>
    <s v="DISCOUNT NOT ALLOWED"/>
    <s v="discount not allowed"/>
    <s v="DISCOUNT NOT ALLOWED"/>
    <s v="Discount Not Allowed"/>
    <s v="19/05/24"/>
  </r>
  <r>
    <s v="TXN_3549273"/>
    <s v="CUST_20"/>
    <x v="2"/>
    <x v="113"/>
    <x v="14"/>
    <x v="1"/>
    <n v="180"/>
    <x v="1"/>
    <x v="1"/>
    <x v="571"/>
    <x v="0"/>
    <s v="DISCOUNT NOT ALLOWED"/>
    <s v="discount not allowed"/>
    <s v="DISCOUNT NOT ALLOWED"/>
    <s v="Discount Not Allowed"/>
    <s v="01/08/23"/>
  </r>
  <r>
    <s v="TXN_3756526"/>
    <s v="CUST_08"/>
    <x v="3"/>
    <x v="126"/>
    <x v="14"/>
    <x v="1"/>
    <n v="180"/>
    <x v="2"/>
    <x v="1"/>
    <x v="884"/>
    <x v="0"/>
    <s v="DISCOUNT NOT ALLOWED"/>
    <s v="discount not allowed"/>
    <s v="DISCOUNT NOT ALLOWED"/>
    <s v="Discount Not Allowed"/>
    <s v="13/01/24"/>
  </r>
  <r>
    <s v="TXN_4923784"/>
    <s v="CUST_16"/>
    <x v="7"/>
    <x v="110"/>
    <x v="14"/>
    <x v="1"/>
    <n v="180"/>
    <x v="2"/>
    <x v="1"/>
    <x v="950"/>
    <x v="1"/>
    <s v="DISCOUNT ALLOWED"/>
    <s v="discount allowed"/>
    <s v="DISCOUNT ALLOWED"/>
    <s v="Discount Allowed"/>
    <s v="20/09/22"/>
  </r>
  <r>
    <s v="TXN_5342329"/>
    <s v="CUST_19"/>
    <x v="2"/>
    <x v="113"/>
    <x v="14"/>
    <x v="1"/>
    <n v="180"/>
    <x v="1"/>
    <x v="0"/>
    <x v="494"/>
    <x v="1"/>
    <s v="DISCOUNT ALLOWED"/>
    <s v="discount allowed"/>
    <s v="DISCOUNT ALLOWED"/>
    <s v="Discount Allowed"/>
    <s v="29/09/23"/>
  </r>
  <r>
    <s v="TXN_5401680"/>
    <s v="CUST_21"/>
    <x v="5"/>
    <x v="111"/>
    <x v="14"/>
    <x v="1"/>
    <n v="180"/>
    <x v="1"/>
    <x v="1"/>
    <x v="388"/>
    <x v="0"/>
    <s v="DISCOUNT NOT ALLOWED"/>
    <s v="discount not allowed"/>
    <s v="DISCOUNT NOT ALLOWED"/>
    <s v="Discount Not Allowed"/>
    <s v="23/01/23"/>
  </r>
  <r>
    <s v="TXN_5565868"/>
    <s v="CUST_22"/>
    <x v="6"/>
    <x v="112"/>
    <x v="14"/>
    <x v="1"/>
    <n v="180"/>
    <x v="1"/>
    <x v="1"/>
    <x v="171"/>
    <x v="1"/>
    <s v="DISCOUNT ALLOWED"/>
    <s v="discount allowed"/>
    <s v="DISCOUNT ALLOWED"/>
    <s v="Discount Allowed"/>
    <s v="30/07/24"/>
  </r>
  <r>
    <s v="TXN_5908874"/>
    <s v="CUST_15"/>
    <x v="0"/>
    <x v="115"/>
    <x v="14"/>
    <x v="1"/>
    <n v="180"/>
    <x v="2"/>
    <x v="1"/>
    <x v="418"/>
    <x v="0"/>
    <s v="DISCOUNT NOT ALLOWED"/>
    <s v="discount not allowed"/>
    <s v="DISCOUNT NOT ALLOWED"/>
    <s v="Discount Not Allowed"/>
    <s v="29/09/24"/>
  </r>
  <r>
    <s v="TXN_6218723"/>
    <s v="CUST_15"/>
    <x v="1"/>
    <x v="114"/>
    <x v="14"/>
    <x v="1"/>
    <n v="180"/>
    <x v="2"/>
    <x v="0"/>
    <x v="951"/>
    <x v="1"/>
    <s v="DISCOUNT ALLOWED"/>
    <s v="discount allowed"/>
    <s v="DISCOUNT ALLOWED"/>
    <s v="Discount Allowed"/>
    <s v="12/11/22"/>
  </r>
  <r>
    <s v="TXN_6678768"/>
    <s v="CUST_17"/>
    <x v="0"/>
    <x v="115"/>
    <x v="14"/>
    <x v="1"/>
    <n v="180"/>
    <x v="2"/>
    <x v="1"/>
    <x v="838"/>
    <x v="0"/>
    <s v="DISCOUNT NOT ALLOWED"/>
    <s v="discount not allowed"/>
    <s v="DISCOUNT NOT ALLOWED"/>
    <s v="Discount Not Allowed"/>
    <s v="24/10/22"/>
  </r>
  <r>
    <s v="TXN_6699940"/>
    <s v="CUST_07"/>
    <x v="3"/>
    <x v="126"/>
    <x v="14"/>
    <x v="1"/>
    <n v="180"/>
    <x v="0"/>
    <x v="1"/>
    <x v="869"/>
    <x v="0"/>
    <s v="DISCOUNT NOT ALLOWED"/>
    <s v="discount not allowed"/>
    <s v="DISCOUNT NOT ALLOWED"/>
    <s v="Discount Not Allowed"/>
    <s v="16/07/22"/>
  </r>
  <r>
    <s v="TXN_6908414"/>
    <s v="CUST_24"/>
    <x v="0"/>
    <x v="115"/>
    <x v="14"/>
    <x v="1"/>
    <n v="180"/>
    <x v="1"/>
    <x v="0"/>
    <x v="952"/>
    <x v="0"/>
    <s v="DISCOUNT NOT ALLOWED"/>
    <s v="discount not allowed"/>
    <s v="DISCOUNT NOT ALLOWED"/>
    <s v="Discount Not Allowed"/>
    <s v="27/11/24"/>
  </r>
  <r>
    <s v="TXN_7236522"/>
    <s v="CUST_03"/>
    <x v="5"/>
    <x v="111"/>
    <x v="14"/>
    <x v="1"/>
    <n v="180"/>
    <x v="0"/>
    <x v="0"/>
    <x v="870"/>
    <x v="0"/>
    <s v="DISCOUNT NOT ALLOWED"/>
    <s v="discount not allowed"/>
    <s v="DISCOUNT NOT ALLOWED"/>
    <s v="Discount Not Allowed"/>
    <s v="18/09/22"/>
  </r>
  <r>
    <s v="TXN_7274761"/>
    <s v="CUST_11"/>
    <x v="7"/>
    <x v="110"/>
    <x v="14"/>
    <x v="1"/>
    <n v="180"/>
    <x v="0"/>
    <x v="1"/>
    <x v="953"/>
    <x v="0"/>
    <s v="DISCOUNT NOT ALLOWED"/>
    <s v="discount not allowed"/>
    <s v="DISCOUNT NOT ALLOWED"/>
    <s v="Discount Not Allowed"/>
    <s v="25/01/23"/>
  </r>
  <r>
    <s v="TXN_7517582"/>
    <s v="CUST_24"/>
    <x v="6"/>
    <x v="112"/>
    <x v="14"/>
    <x v="1"/>
    <n v="180"/>
    <x v="2"/>
    <x v="0"/>
    <x v="786"/>
    <x v="1"/>
    <s v="DISCOUNT ALLOWED"/>
    <s v="discount allowed"/>
    <s v="DISCOUNT ALLOWED"/>
    <s v="Discount Allowed"/>
    <s v="07/08/22"/>
  </r>
  <r>
    <s v="TXN_8583404"/>
    <s v="CUST_25"/>
    <x v="7"/>
    <x v="110"/>
    <x v="14"/>
    <x v="1"/>
    <n v="180"/>
    <x v="2"/>
    <x v="0"/>
    <x v="34"/>
    <x v="1"/>
    <s v="DISCOUNT ALLOWED"/>
    <s v="discount allowed"/>
    <s v="DISCOUNT ALLOWED"/>
    <s v="Discount Allowed"/>
    <s v="27/01/24"/>
  </r>
  <r>
    <s v="TXN_8776539"/>
    <s v="CUST_03"/>
    <x v="7"/>
    <x v="110"/>
    <x v="14"/>
    <x v="1"/>
    <n v="180"/>
    <x v="0"/>
    <x v="0"/>
    <x v="400"/>
    <x v="1"/>
    <s v="DISCOUNT ALLOWED"/>
    <s v="discount allowed"/>
    <s v="DISCOUNT ALLOWED"/>
    <s v="Discount Allowed"/>
    <s v="27/09/24"/>
  </r>
  <r>
    <s v="TXN_9026226"/>
    <s v="CUST_23"/>
    <x v="5"/>
    <x v="111"/>
    <x v="14"/>
    <x v="1"/>
    <n v="180"/>
    <x v="0"/>
    <x v="1"/>
    <x v="246"/>
    <x v="1"/>
    <s v="DISCOUNT ALLOWED"/>
    <s v="discount allowed"/>
    <s v="DISCOUNT ALLOWED"/>
    <s v="Discount Allowed"/>
    <s v="13/08/22"/>
  </r>
  <r>
    <s v="TXN_9063254"/>
    <s v="CUST_04"/>
    <x v="2"/>
    <x v="113"/>
    <x v="14"/>
    <x v="1"/>
    <n v="180"/>
    <x v="1"/>
    <x v="1"/>
    <x v="954"/>
    <x v="0"/>
    <s v="DISCOUNT NOT ALLOWED"/>
    <s v="discount not allowed"/>
    <s v="DISCOUNT NOT ALLOWED"/>
    <s v="Discount Not Allowed"/>
    <s v="02/04/22"/>
  </r>
  <r>
    <s v="TXN_9116992"/>
    <s v="CUST_17"/>
    <x v="0"/>
    <x v="115"/>
    <x v="14"/>
    <x v="1"/>
    <n v="180"/>
    <x v="1"/>
    <x v="1"/>
    <x v="696"/>
    <x v="0"/>
    <s v="DISCOUNT NOT ALLOWED"/>
    <s v="discount not allowed"/>
    <s v="DISCOUNT NOT ALLOWED"/>
    <s v="Discount Not Allowed"/>
    <s v="01/10/23"/>
  </r>
  <r>
    <s v="TXN_9536237"/>
    <s v="CUST_20"/>
    <x v="2"/>
    <x v="113"/>
    <x v="14"/>
    <x v="1"/>
    <n v="180"/>
    <x v="2"/>
    <x v="0"/>
    <x v="132"/>
    <x v="1"/>
    <s v="DISCOUNT ALLOWED"/>
    <s v="discount allowed"/>
    <s v="DISCOUNT ALLOWED"/>
    <s v="Discount Allowed"/>
    <s v="12/09/23"/>
  </r>
  <r>
    <s v="TXN_9601122"/>
    <s v="CUST_24"/>
    <x v="1"/>
    <x v="114"/>
    <x v="14"/>
    <x v="1"/>
    <n v="180"/>
    <x v="1"/>
    <x v="1"/>
    <x v="884"/>
    <x v="0"/>
    <s v="DISCOUNT NOT ALLOWED"/>
    <s v="discount not allowed"/>
    <s v="DISCOUNT NOT ALLOWED"/>
    <s v="Discount Not Allowed"/>
    <s v="13/01/24"/>
  </r>
  <r>
    <s v="TXN_9760482"/>
    <s v="CUST_07"/>
    <x v="6"/>
    <x v="112"/>
    <x v="14"/>
    <x v="1"/>
    <n v="180"/>
    <x v="0"/>
    <x v="1"/>
    <x v="279"/>
    <x v="1"/>
    <s v="DISCOUNT ALLOWED"/>
    <s v="discount allowed"/>
    <s v="DISCOUNT ALLOWED"/>
    <s v="Discount Allowed"/>
    <s v="06/01/23"/>
  </r>
  <r>
    <s v="TXN_9777724"/>
    <s v="CUST_21"/>
    <x v="4"/>
    <x v="109"/>
    <x v="14"/>
    <x v="1"/>
    <n v="180"/>
    <x v="0"/>
    <x v="0"/>
    <x v="833"/>
    <x v="0"/>
    <s v="DISCOUNT NOT ALLOWED"/>
    <s v="discount not allowed"/>
    <s v="DISCOUNT NOT ALLOWED"/>
    <s v="Discount Not Allowed"/>
    <s v="22/05/24"/>
  </r>
  <r>
    <s v="TXN_1007510"/>
    <s v="CUST_14"/>
    <x v="1"/>
    <x v="34"/>
    <x v="4"/>
    <x v="5"/>
    <n v="175"/>
    <x v="1"/>
    <x v="1"/>
    <x v="897"/>
    <x v="0"/>
    <s v="DISCOUNT NOT ALLOWED"/>
    <s v="discount not allowed"/>
    <s v="DISCOUNT NOT ALLOWED"/>
    <s v="Discount Not Allowed"/>
    <s v="03/10/22"/>
  </r>
  <r>
    <s v="TXN_1374421"/>
    <s v="CUST_22"/>
    <x v="1"/>
    <x v="34"/>
    <x v="4"/>
    <x v="5"/>
    <n v="175"/>
    <x v="1"/>
    <x v="0"/>
    <x v="627"/>
    <x v="0"/>
    <s v="DISCOUNT NOT ALLOWED"/>
    <s v="discount not allowed"/>
    <s v="DISCOUNT NOT ALLOWED"/>
    <s v="Discount Not Allowed"/>
    <s v="19/05/23"/>
  </r>
  <r>
    <s v="TXN_1472126"/>
    <s v="CUST_19"/>
    <x v="4"/>
    <x v="36"/>
    <x v="4"/>
    <x v="5"/>
    <n v="175"/>
    <x v="2"/>
    <x v="0"/>
    <x v="599"/>
    <x v="0"/>
    <s v="DISCOUNT NOT ALLOWED"/>
    <s v="discount not allowed"/>
    <s v="DISCOUNT NOT ALLOWED"/>
    <s v="Discount Not Allowed"/>
    <s v="10/07/23"/>
  </r>
  <r>
    <s v="TXN_1781058"/>
    <s v="CUST_15"/>
    <x v="6"/>
    <x v="33"/>
    <x v="4"/>
    <x v="5"/>
    <n v="175"/>
    <x v="2"/>
    <x v="0"/>
    <x v="533"/>
    <x v="0"/>
    <s v="DISCOUNT NOT ALLOWED"/>
    <s v="discount not allowed"/>
    <s v="DISCOUNT NOT ALLOWED"/>
    <s v="Discount Not Allowed"/>
    <s v="14/10/24"/>
  </r>
  <r>
    <s v="TXN_1869204"/>
    <s v="CUST_07"/>
    <x v="3"/>
    <x v="52"/>
    <x v="4"/>
    <x v="5"/>
    <n v="175"/>
    <x v="0"/>
    <x v="1"/>
    <x v="116"/>
    <x v="1"/>
    <s v="DISCOUNT ALLOWED"/>
    <s v="discount allowed"/>
    <s v="DISCOUNT ALLOWED"/>
    <s v="Discount Allowed"/>
    <s v="25/10/23"/>
  </r>
  <r>
    <s v="TXN_2642292"/>
    <s v="CUST_08"/>
    <x v="2"/>
    <x v="32"/>
    <x v="4"/>
    <x v="5"/>
    <n v="175"/>
    <x v="0"/>
    <x v="0"/>
    <x v="696"/>
    <x v="0"/>
    <s v="DISCOUNT NOT ALLOWED"/>
    <s v="discount not allowed"/>
    <s v="DISCOUNT NOT ALLOWED"/>
    <s v="Discount Not Allowed"/>
    <s v="01/10/23"/>
  </r>
  <r>
    <s v="TXN_2713911"/>
    <s v="CUST_20"/>
    <x v="7"/>
    <x v="127"/>
    <x v="4"/>
    <x v="5"/>
    <n v="175"/>
    <x v="1"/>
    <x v="1"/>
    <x v="955"/>
    <x v="1"/>
    <s v="DISCOUNT ALLOWED"/>
    <s v="discount allowed"/>
    <s v="DISCOUNT ALLOWED"/>
    <s v="Discount Allowed"/>
    <s v="21/12/24"/>
  </r>
  <r>
    <s v="TXN_3635725"/>
    <s v="CUST_04"/>
    <x v="2"/>
    <x v="32"/>
    <x v="4"/>
    <x v="5"/>
    <n v="175"/>
    <x v="0"/>
    <x v="1"/>
    <x v="577"/>
    <x v="1"/>
    <s v="DISCOUNT ALLOWED"/>
    <s v="discount allowed"/>
    <s v="DISCOUNT ALLOWED"/>
    <s v="Discount Allowed"/>
    <s v="22/06/24"/>
  </r>
  <r>
    <s v="TXN_3686072"/>
    <s v="CUST_03"/>
    <x v="3"/>
    <x v="52"/>
    <x v="4"/>
    <x v="5"/>
    <n v="175"/>
    <x v="2"/>
    <x v="1"/>
    <x v="54"/>
    <x v="0"/>
    <s v="DISCOUNT NOT ALLOWED"/>
    <s v="discount not allowed"/>
    <s v="DISCOUNT NOT ALLOWED"/>
    <s v="Discount Not Allowed"/>
    <s v="23/02/23"/>
  </r>
  <r>
    <s v="TXN_3909621"/>
    <s v="CUST_15"/>
    <x v="7"/>
    <x v="127"/>
    <x v="4"/>
    <x v="5"/>
    <n v="175"/>
    <x v="2"/>
    <x v="0"/>
    <x v="74"/>
    <x v="0"/>
    <s v="DISCOUNT NOT ALLOWED"/>
    <s v="discount not allowed"/>
    <s v="DISCOUNT NOT ALLOWED"/>
    <s v="Discount Not Allowed"/>
    <s v="27/11/22"/>
  </r>
  <r>
    <s v="TXN_4014378"/>
    <s v="CUST_09"/>
    <x v="6"/>
    <x v="33"/>
    <x v="4"/>
    <x v="5"/>
    <n v="175"/>
    <x v="1"/>
    <x v="0"/>
    <x v="357"/>
    <x v="0"/>
    <s v="DISCOUNT NOT ALLOWED"/>
    <s v="discount not allowed"/>
    <s v="DISCOUNT NOT ALLOWED"/>
    <s v="Discount Not Allowed"/>
    <s v="09/07/23"/>
  </r>
  <r>
    <s v="TXN_4025118"/>
    <s v="CUST_01"/>
    <x v="3"/>
    <x v="52"/>
    <x v="4"/>
    <x v="5"/>
    <n v="175"/>
    <x v="2"/>
    <x v="0"/>
    <x v="681"/>
    <x v="0"/>
    <s v="DISCOUNT NOT ALLOWED"/>
    <s v="discount not allowed"/>
    <s v="DISCOUNT NOT ALLOWED"/>
    <s v="Discount Not Allowed"/>
    <s v="14/12/22"/>
  </r>
  <r>
    <s v="TXN_4469477"/>
    <s v="CUST_06"/>
    <x v="3"/>
    <x v="52"/>
    <x v="4"/>
    <x v="5"/>
    <n v="175"/>
    <x v="2"/>
    <x v="1"/>
    <x v="956"/>
    <x v="0"/>
    <s v="DISCOUNT NOT ALLOWED"/>
    <s v="discount not allowed"/>
    <s v="DISCOUNT NOT ALLOWED"/>
    <s v="Discount Not Allowed"/>
    <s v="28/12/22"/>
  </r>
  <r>
    <s v="TXN_4492291"/>
    <s v="CUST_16"/>
    <x v="4"/>
    <x v="36"/>
    <x v="4"/>
    <x v="5"/>
    <n v="175"/>
    <x v="0"/>
    <x v="1"/>
    <x v="429"/>
    <x v="1"/>
    <s v="DISCOUNT ALLOWED"/>
    <s v="discount allowed"/>
    <s v="DISCOUNT ALLOWED"/>
    <s v="Discount Allowed"/>
    <s v="18/03/24"/>
  </r>
  <r>
    <s v="TXN_4892629"/>
    <s v="CUST_22"/>
    <x v="2"/>
    <x v="32"/>
    <x v="4"/>
    <x v="5"/>
    <n v="175"/>
    <x v="2"/>
    <x v="1"/>
    <x v="554"/>
    <x v="1"/>
    <s v="DISCOUNT ALLOWED"/>
    <s v="discount allowed"/>
    <s v="DISCOUNT ALLOWED"/>
    <s v="Discount Allowed"/>
    <s v="20/02/24"/>
  </r>
  <r>
    <s v="TXN_5029574"/>
    <s v="CUST_25"/>
    <x v="2"/>
    <x v="32"/>
    <x v="4"/>
    <x v="5"/>
    <n v="175"/>
    <x v="2"/>
    <x v="1"/>
    <x v="708"/>
    <x v="1"/>
    <s v="DISCOUNT ALLOWED"/>
    <s v="discount allowed"/>
    <s v="DISCOUNT ALLOWED"/>
    <s v="Discount Allowed"/>
    <s v="30/04/24"/>
  </r>
  <r>
    <s v="TXN_5248260"/>
    <s v="CUST_19"/>
    <x v="6"/>
    <x v="33"/>
    <x v="4"/>
    <x v="5"/>
    <n v="175"/>
    <x v="1"/>
    <x v="1"/>
    <x v="712"/>
    <x v="0"/>
    <s v="DISCOUNT NOT ALLOWED"/>
    <s v="discount not allowed"/>
    <s v="DISCOUNT NOT ALLOWED"/>
    <s v="Discount Not Allowed"/>
    <s v="30/04/22"/>
  </r>
  <r>
    <s v="TXN_5275219"/>
    <s v="CUST_06"/>
    <x v="6"/>
    <x v="33"/>
    <x v="4"/>
    <x v="5"/>
    <n v="175"/>
    <x v="0"/>
    <x v="1"/>
    <x v="623"/>
    <x v="1"/>
    <s v="DISCOUNT ALLOWED"/>
    <s v="discount allowed"/>
    <s v="DISCOUNT ALLOWED"/>
    <s v="Discount Allowed"/>
    <s v="26/08/24"/>
  </r>
  <r>
    <s v="TXN_5415838"/>
    <s v="CUST_02"/>
    <x v="1"/>
    <x v="34"/>
    <x v="4"/>
    <x v="5"/>
    <n v="175"/>
    <x v="0"/>
    <x v="1"/>
    <x v="766"/>
    <x v="0"/>
    <s v="DISCOUNT NOT ALLOWED"/>
    <s v="discount not allowed"/>
    <s v="DISCOUNT NOT ALLOWED"/>
    <s v="Discount Not Allowed"/>
    <s v="09/12/22"/>
  </r>
  <r>
    <s v="TXN_6008493"/>
    <s v="CUST_11"/>
    <x v="6"/>
    <x v="33"/>
    <x v="4"/>
    <x v="5"/>
    <n v="175"/>
    <x v="2"/>
    <x v="1"/>
    <x v="903"/>
    <x v="1"/>
    <s v="DISCOUNT ALLOWED"/>
    <s v="discount allowed"/>
    <s v="DISCOUNT ALLOWED"/>
    <s v="Discount Allowed"/>
    <s v="18/01/24"/>
  </r>
  <r>
    <s v="TXN_6202481"/>
    <s v="CUST_14"/>
    <x v="4"/>
    <x v="36"/>
    <x v="4"/>
    <x v="5"/>
    <n v="175"/>
    <x v="2"/>
    <x v="0"/>
    <x v="102"/>
    <x v="1"/>
    <s v="DISCOUNT ALLOWED"/>
    <s v="discount allowed"/>
    <s v="DISCOUNT ALLOWED"/>
    <s v="Discount Allowed"/>
    <s v="31/03/23"/>
  </r>
  <r>
    <s v="TXN_6700115"/>
    <s v="CUST_19"/>
    <x v="7"/>
    <x v="127"/>
    <x v="4"/>
    <x v="5"/>
    <n v="175"/>
    <x v="0"/>
    <x v="0"/>
    <x v="190"/>
    <x v="1"/>
    <s v="DISCOUNT ALLOWED"/>
    <s v="discount allowed"/>
    <s v="DISCOUNT ALLOWED"/>
    <s v="Discount Allowed"/>
    <s v="07/02/22"/>
  </r>
  <r>
    <s v="TXN_6877528"/>
    <s v="CUST_10"/>
    <x v="3"/>
    <x v="52"/>
    <x v="4"/>
    <x v="5"/>
    <n v="175"/>
    <x v="0"/>
    <x v="0"/>
    <x v="124"/>
    <x v="1"/>
    <s v="DISCOUNT ALLOWED"/>
    <s v="discount allowed"/>
    <s v="DISCOUNT ALLOWED"/>
    <s v="Discount Allowed"/>
    <s v="19/04/22"/>
  </r>
  <r>
    <s v="TXN_7149456"/>
    <s v="CUST_05"/>
    <x v="3"/>
    <x v="52"/>
    <x v="4"/>
    <x v="5"/>
    <n v="175"/>
    <x v="0"/>
    <x v="1"/>
    <x v="609"/>
    <x v="0"/>
    <s v="DISCOUNT NOT ALLOWED"/>
    <s v="discount not allowed"/>
    <s v="DISCOUNT NOT ALLOWED"/>
    <s v="Discount Not Allowed"/>
    <s v="14/02/24"/>
  </r>
  <r>
    <s v="TXN_7283902"/>
    <s v="CUST_23"/>
    <x v="1"/>
    <x v="34"/>
    <x v="4"/>
    <x v="5"/>
    <n v="175"/>
    <x v="1"/>
    <x v="1"/>
    <x v="466"/>
    <x v="0"/>
    <s v="DISCOUNT NOT ALLOWED"/>
    <s v="discount not allowed"/>
    <s v="DISCOUNT NOT ALLOWED"/>
    <s v="Discount Not Allowed"/>
    <s v="28/06/24"/>
  </r>
  <r>
    <s v="TXN_7378314"/>
    <s v="CUST_09"/>
    <x v="4"/>
    <x v="36"/>
    <x v="4"/>
    <x v="5"/>
    <n v="175"/>
    <x v="2"/>
    <x v="0"/>
    <x v="268"/>
    <x v="1"/>
    <s v="DISCOUNT ALLOWED"/>
    <s v="discount allowed"/>
    <s v="DISCOUNT ALLOWED"/>
    <s v="Discount Allowed"/>
    <s v="29/04/22"/>
  </r>
  <r>
    <s v="TXN_7378382"/>
    <s v="CUST_15"/>
    <x v="4"/>
    <x v="36"/>
    <x v="4"/>
    <x v="5"/>
    <n v="175"/>
    <x v="2"/>
    <x v="0"/>
    <x v="122"/>
    <x v="0"/>
    <s v="DISCOUNT NOT ALLOWED"/>
    <s v="discount not allowed"/>
    <s v="DISCOUNT NOT ALLOWED"/>
    <s v="Discount Not Allowed"/>
    <s v="09/04/22"/>
  </r>
  <r>
    <s v="TXN_7446233"/>
    <s v="CUST_09"/>
    <x v="4"/>
    <x v="36"/>
    <x v="4"/>
    <x v="5"/>
    <n v="175"/>
    <x v="1"/>
    <x v="0"/>
    <x v="957"/>
    <x v="1"/>
    <s v="DISCOUNT ALLOWED"/>
    <s v="discount allowed"/>
    <s v="DISCOUNT ALLOWED"/>
    <s v="Discount Allowed"/>
    <s v="03/01/22"/>
  </r>
  <r>
    <s v="TXN_7767182"/>
    <s v="CUST_18"/>
    <x v="2"/>
    <x v="32"/>
    <x v="4"/>
    <x v="5"/>
    <n v="175"/>
    <x v="1"/>
    <x v="0"/>
    <x v="490"/>
    <x v="0"/>
    <s v="DISCOUNT NOT ALLOWED"/>
    <s v="discount not allowed"/>
    <s v="DISCOUNT NOT ALLOWED"/>
    <s v="Discount Not Allowed"/>
    <s v="13/11/24"/>
  </r>
  <r>
    <s v="TXN_7830284"/>
    <s v="CUST_19"/>
    <x v="5"/>
    <x v="35"/>
    <x v="4"/>
    <x v="5"/>
    <n v="175"/>
    <x v="2"/>
    <x v="0"/>
    <x v="659"/>
    <x v="1"/>
    <s v="DISCOUNT ALLOWED"/>
    <s v="discount allowed"/>
    <s v="DISCOUNT ALLOWED"/>
    <s v="Discount Allowed"/>
    <s v="10/08/22"/>
  </r>
  <r>
    <s v="TXN_8229538"/>
    <s v="CUST_14"/>
    <x v="1"/>
    <x v="34"/>
    <x v="4"/>
    <x v="5"/>
    <n v="175"/>
    <x v="2"/>
    <x v="1"/>
    <x v="650"/>
    <x v="1"/>
    <s v="DISCOUNT ALLOWED"/>
    <s v="discount allowed"/>
    <s v="DISCOUNT ALLOWED"/>
    <s v="Discount Allowed"/>
    <s v="03/01/23"/>
  </r>
  <r>
    <s v="TXN_8847569"/>
    <s v="CUST_16"/>
    <x v="5"/>
    <x v="35"/>
    <x v="4"/>
    <x v="5"/>
    <n v="175"/>
    <x v="1"/>
    <x v="1"/>
    <x v="958"/>
    <x v="1"/>
    <s v="DISCOUNT ALLOWED"/>
    <s v="discount allowed"/>
    <s v="DISCOUNT ALLOWED"/>
    <s v="Discount Allowed"/>
    <s v="19/07/23"/>
  </r>
  <r>
    <s v="TXN_8964634"/>
    <s v="CUST_02"/>
    <x v="4"/>
    <x v="36"/>
    <x v="4"/>
    <x v="5"/>
    <n v="175"/>
    <x v="1"/>
    <x v="1"/>
    <x v="848"/>
    <x v="0"/>
    <s v="DISCOUNT NOT ALLOWED"/>
    <s v="discount not allowed"/>
    <s v="DISCOUNT NOT ALLOWED"/>
    <s v="Discount Not Allowed"/>
    <s v="22/10/22"/>
  </r>
  <r>
    <s v="TXN_9479028"/>
    <s v="CUST_23"/>
    <x v="7"/>
    <x v="127"/>
    <x v="4"/>
    <x v="5"/>
    <n v="175"/>
    <x v="1"/>
    <x v="1"/>
    <x v="746"/>
    <x v="0"/>
    <s v="DISCOUNT NOT ALLOWED"/>
    <s v="discount not allowed"/>
    <s v="DISCOUNT NOT ALLOWED"/>
    <s v="Discount Not Allowed"/>
    <s v="20/01/24"/>
  </r>
  <r>
    <s v="TXN_9699592"/>
    <s v="CUST_24"/>
    <x v="2"/>
    <x v="32"/>
    <x v="4"/>
    <x v="5"/>
    <n v="175"/>
    <x v="2"/>
    <x v="1"/>
    <x v="233"/>
    <x v="0"/>
    <s v="DISCOUNT NOT ALLOWED"/>
    <s v="discount not allowed"/>
    <s v="DISCOUNT NOT ALLOWED"/>
    <s v="Discount Not Allowed"/>
    <s v="02/04/23"/>
  </r>
  <r>
    <s v="TXN_9827245"/>
    <s v="CUST_02"/>
    <x v="5"/>
    <x v="35"/>
    <x v="4"/>
    <x v="5"/>
    <n v="175"/>
    <x v="0"/>
    <x v="0"/>
    <x v="499"/>
    <x v="0"/>
    <s v="DISCOUNT NOT ALLOWED"/>
    <s v="discount not allowed"/>
    <s v="DISCOUNT NOT ALLOWED"/>
    <s v="Discount Not Allowed"/>
    <s v="12/04/22"/>
  </r>
  <r>
    <s v="TXN_9929561"/>
    <s v="CUST_13"/>
    <x v="2"/>
    <x v="32"/>
    <x v="4"/>
    <x v="5"/>
    <n v="175"/>
    <x v="2"/>
    <x v="1"/>
    <x v="443"/>
    <x v="1"/>
    <s v="DISCOUNT ALLOWED"/>
    <s v="discount allowed"/>
    <s v="DISCOUNT ALLOWED"/>
    <s v="Discount Allowed"/>
    <s v="28/02/24"/>
  </r>
  <r>
    <s v="TXN_9972181"/>
    <s v="CUST_22"/>
    <x v="5"/>
    <x v="35"/>
    <x v="4"/>
    <x v="5"/>
    <n v="175"/>
    <x v="1"/>
    <x v="1"/>
    <x v="526"/>
    <x v="0"/>
    <s v="DISCOUNT NOT ALLOWED"/>
    <s v="discount not allowed"/>
    <s v="DISCOUNT NOT ALLOWED"/>
    <s v="Discount Not Allowed"/>
    <s v="28/12/24"/>
  </r>
  <r>
    <s v="TXN_1245088"/>
    <s v="CUST_07"/>
    <x v="1"/>
    <x v="64"/>
    <x v="8"/>
    <x v="4"/>
    <n v="174"/>
    <x v="0"/>
    <x v="1"/>
    <x v="688"/>
    <x v="0"/>
    <s v="DISCOUNT NOT ALLOWED"/>
    <s v="discount not allowed"/>
    <s v="DISCOUNT NOT ALLOWED"/>
    <s v="Discount Not Allowed"/>
    <s v="04/03/24"/>
  </r>
  <r>
    <s v="TXN_1259242"/>
    <s v="CUST_24"/>
    <x v="4"/>
    <x v="66"/>
    <x v="8"/>
    <x v="4"/>
    <n v="174"/>
    <x v="0"/>
    <x v="1"/>
    <x v="734"/>
    <x v="0"/>
    <s v="DISCOUNT NOT ALLOWED"/>
    <s v="discount not allowed"/>
    <s v="DISCOUNT NOT ALLOWED"/>
    <s v="Discount Not Allowed"/>
    <s v="11/08/23"/>
  </r>
  <r>
    <s v="TXN_1440593"/>
    <s v="CUST_07"/>
    <x v="6"/>
    <x v="62"/>
    <x v="8"/>
    <x v="4"/>
    <n v="174"/>
    <x v="0"/>
    <x v="1"/>
    <x v="441"/>
    <x v="1"/>
    <s v="DISCOUNT ALLOWED"/>
    <s v="discount allowed"/>
    <s v="DISCOUNT ALLOWED"/>
    <s v="Discount Allowed"/>
    <s v="09/05/22"/>
  </r>
  <r>
    <s v="TXN_1479772"/>
    <s v="CUST_13"/>
    <x v="5"/>
    <x v="67"/>
    <x v="8"/>
    <x v="4"/>
    <n v="174"/>
    <x v="0"/>
    <x v="1"/>
    <x v="813"/>
    <x v="0"/>
    <s v="DISCOUNT NOT ALLOWED"/>
    <s v="discount not allowed"/>
    <s v="DISCOUNT NOT ALLOWED"/>
    <s v="Discount Not Allowed"/>
    <s v="22/07/23"/>
  </r>
  <r>
    <s v="TXN_1532731"/>
    <s v="CUST_21"/>
    <x v="7"/>
    <x v="63"/>
    <x v="8"/>
    <x v="4"/>
    <n v="174"/>
    <x v="1"/>
    <x v="1"/>
    <x v="399"/>
    <x v="0"/>
    <s v="DISCOUNT NOT ALLOWED"/>
    <s v="discount not allowed"/>
    <s v="DISCOUNT NOT ALLOWED"/>
    <s v="Discount Not Allowed"/>
    <s v="12/12/23"/>
  </r>
  <r>
    <s v="TXN_1564693"/>
    <s v="CUST_13"/>
    <x v="1"/>
    <x v="64"/>
    <x v="8"/>
    <x v="4"/>
    <n v="174"/>
    <x v="1"/>
    <x v="1"/>
    <x v="709"/>
    <x v="1"/>
    <s v="DISCOUNT ALLOWED"/>
    <s v="discount allowed"/>
    <s v="DISCOUNT ALLOWED"/>
    <s v="Discount Allowed"/>
    <s v="02/01/24"/>
  </r>
  <r>
    <s v="TXN_2029816"/>
    <s v="CUST_09"/>
    <x v="4"/>
    <x v="66"/>
    <x v="8"/>
    <x v="4"/>
    <n v="174"/>
    <x v="0"/>
    <x v="1"/>
    <x v="399"/>
    <x v="0"/>
    <s v="DISCOUNT NOT ALLOWED"/>
    <s v="discount not allowed"/>
    <s v="DISCOUNT NOT ALLOWED"/>
    <s v="Discount Not Allowed"/>
    <s v="12/12/23"/>
  </r>
  <r>
    <s v="TXN_2165118"/>
    <s v="CUST_11"/>
    <x v="4"/>
    <x v="66"/>
    <x v="8"/>
    <x v="4"/>
    <n v="174"/>
    <x v="1"/>
    <x v="1"/>
    <x v="478"/>
    <x v="0"/>
    <s v="DISCOUNT NOT ALLOWED"/>
    <s v="discount not allowed"/>
    <s v="DISCOUNT NOT ALLOWED"/>
    <s v="Discount Not Allowed"/>
    <s v="28/11/23"/>
  </r>
  <r>
    <s v="TXN_2238366"/>
    <s v="CUST_03"/>
    <x v="4"/>
    <x v="66"/>
    <x v="8"/>
    <x v="4"/>
    <n v="174"/>
    <x v="0"/>
    <x v="0"/>
    <x v="46"/>
    <x v="1"/>
    <s v="DISCOUNT ALLOWED"/>
    <s v="discount allowed"/>
    <s v="DISCOUNT ALLOWED"/>
    <s v="Discount Allowed"/>
    <s v="24/04/24"/>
  </r>
  <r>
    <s v="TXN_2369166"/>
    <s v="CUST_20"/>
    <x v="5"/>
    <x v="67"/>
    <x v="8"/>
    <x v="4"/>
    <n v="174"/>
    <x v="2"/>
    <x v="0"/>
    <x v="284"/>
    <x v="1"/>
    <s v="DISCOUNT ALLOWED"/>
    <s v="discount allowed"/>
    <s v="DISCOUNT ALLOWED"/>
    <s v="Discount Allowed"/>
    <s v="10/05/23"/>
  </r>
  <r>
    <s v="TXN_2372254"/>
    <s v="CUST_14"/>
    <x v="4"/>
    <x v="66"/>
    <x v="8"/>
    <x v="4"/>
    <n v="174"/>
    <x v="0"/>
    <x v="0"/>
    <x v="63"/>
    <x v="1"/>
    <s v="DISCOUNT ALLOWED"/>
    <s v="discount allowed"/>
    <s v="DISCOUNT ALLOWED"/>
    <s v="Discount Allowed"/>
    <s v="02/04/24"/>
  </r>
  <r>
    <s v="TXN_2752036"/>
    <s v="CUST_20"/>
    <x v="4"/>
    <x v="66"/>
    <x v="8"/>
    <x v="4"/>
    <n v="174"/>
    <x v="1"/>
    <x v="1"/>
    <x v="783"/>
    <x v="1"/>
    <s v="DISCOUNT ALLOWED"/>
    <s v="discount allowed"/>
    <s v="DISCOUNT ALLOWED"/>
    <s v="Discount Allowed"/>
    <s v="04/02/23"/>
  </r>
  <r>
    <s v="TXN_2752244"/>
    <s v="CUST_20"/>
    <x v="6"/>
    <x v="62"/>
    <x v="8"/>
    <x v="4"/>
    <n v="174"/>
    <x v="1"/>
    <x v="1"/>
    <x v="266"/>
    <x v="1"/>
    <s v="DISCOUNT ALLOWED"/>
    <s v="discount allowed"/>
    <s v="DISCOUNT ALLOWED"/>
    <s v="Discount Allowed"/>
    <s v="11/01/23"/>
  </r>
  <r>
    <s v="TXN_2847928"/>
    <s v="CUST_20"/>
    <x v="6"/>
    <x v="62"/>
    <x v="8"/>
    <x v="4"/>
    <n v="174"/>
    <x v="0"/>
    <x v="1"/>
    <x v="655"/>
    <x v="1"/>
    <s v="DISCOUNT ALLOWED"/>
    <s v="discount allowed"/>
    <s v="DISCOUNT ALLOWED"/>
    <s v="Discount Allowed"/>
    <s v="11/05/22"/>
  </r>
  <r>
    <s v="TXN_3051611"/>
    <s v="CUST_10"/>
    <x v="7"/>
    <x v="63"/>
    <x v="8"/>
    <x v="4"/>
    <n v="174"/>
    <x v="1"/>
    <x v="0"/>
    <x v="683"/>
    <x v="0"/>
    <s v="DISCOUNT NOT ALLOWED"/>
    <s v="discount not allowed"/>
    <s v="DISCOUNT NOT ALLOWED"/>
    <s v="Discount Not Allowed"/>
    <s v="21/02/22"/>
  </r>
  <r>
    <s v="TXN_3091025"/>
    <s v="CUST_23"/>
    <x v="5"/>
    <x v="67"/>
    <x v="8"/>
    <x v="4"/>
    <n v="174"/>
    <x v="1"/>
    <x v="0"/>
    <x v="693"/>
    <x v="1"/>
    <s v="DISCOUNT ALLOWED"/>
    <s v="discount allowed"/>
    <s v="DISCOUNT ALLOWED"/>
    <s v="Discount Allowed"/>
    <s v="07/05/24"/>
  </r>
  <r>
    <s v="TXN_3779677"/>
    <s v="CUST_21"/>
    <x v="4"/>
    <x v="66"/>
    <x v="8"/>
    <x v="4"/>
    <n v="174"/>
    <x v="0"/>
    <x v="0"/>
    <x v="959"/>
    <x v="0"/>
    <s v="DISCOUNT NOT ALLOWED"/>
    <s v="discount not allowed"/>
    <s v="DISCOUNT NOT ALLOWED"/>
    <s v="Discount Not Allowed"/>
    <s v="13/08/24"/>
  </r>
  <r>
    <s v="TXN_3785882"/>
    <s v="CUST_17"/>
    <x v="5"/>
    <x v="67"/>
    <x v="8"/>
    <x v="4"/>
    <n v="174"/>
    <x v="2"/>
    <x v="0"/>
    <x v="350"/>
    <x v="1"/>
    <s v="DISCOUNT ALLOWED"/>
    <s v="discount allowed"/>
    <s v="DISCOUNT ALLOWED"/>
    <s v="Discount Allowed"/>
    <s v="15/01/22"/>
  </r>
  <r>
    <s v="TXN_4106360"/>
    <s v="CUST_02"/>
    <x v="6"/>
    <x v="62"/>
    <x v="8"/>
    <x v="4"/>
    <n v="174"/>
    <x v="1"/>
    <x v="0"/>
    <x v="230"/>
    <x v="1"/>
    <s v="DISCOUNT ALLOWED"/>
    <s v="discount allowed"/>
    <s v="DISCOUNT ALLOWED"/>
    <s v="Discount Allowed"/>
    <s v="19/09/22"/>
  </r>
  <r>
    <s v="TXN_4144026"/>
    <s v="CUST_01"/>
    <x v="3"/>
    <x v="65"/>
    <x v="8"/>
    <x v="4"/>
    <n v="174"/>
    <x v="0"/>
    <x v="0"/>
    <x v="810"/>
    <x v="1"/>
    <s v="DISCOUNT ALLOWED"/>
    <s v="discount allowed"/>
    <s v="DISCOUNT ALLOWED"/>
    <s v="Discount Allowed"/>
    <s v="16/11/23"/>
  </r>
  <r>
    <s v="TXN_4304226"/>
    <s v="CUST_05"/>
    <x v="3"/>
    <x v="65"/>
    <x v="8"/>
    <x v="4"/>
    <n v="174"/>
    <x v="2"/>
    <x v="1"/>
    <x v="773"/>
    <x v="0"/>
    <s v="DISCOUNT NOT ALLOWED"/>
    <s v="discount not allowed"/>
    <s v="DISCOUNT NOT ALLOWED"/>
    <s v="Discount Not Allowed"/>
    <s v="16/09/23"/>
  </r>
  <r>
    <s v="TXN_4451027"/>
    <s v="CUST_04"/>
    <x v="5"/>
    <x v="67"/>
    <x v="8"/>
    <x v="4"/>
    <n v="174"/>
    <x v="2"/>
    <x v="1"/>
    <x v="893"/>
    <x v="1"/>
    <s v="DISCOUNT ALLOWED"/>
    <s v="discount allowed"/>
    <s v="DISCOUNT ALLOWED"/>
    <s v="Discount Allowed"/>
    <s v="29/10/22"/>
  </r>
  <r>
    <s v="TXN_4524072"/>
    <s v="CUST_13"/>
    <x v="2"/>
    <x v="68"/>
    <x v="8"/>
    <x v="4"/>
    <n v="174"/>
    <x v="1"/>
    <x v="1"/>
    <x v="944"/>
    <x v="1"/>
    <s v="DISCOUNT ALLOWED"/>
    <s v="discount allowed"/>
    <s v="DISCOUNT ALLOWED"/>
    <s v="Discount Allowed"/>
    <s v="14/01/24"/>
  </r>
  <r>
    <s v="TXN_4713817"/>
    <s v="CUST_25"/>
    <x v="7"/>
    <x v="63"/>
    <x v="8"/>
    <x v="4"/>
    <n v="174"/>
    <x v="1"/>
    <x v="1"/>
    <x v="454"/>
    <x v="0"/>
    <s v="DISCOUNT NOT ALLOWED"/>
    <s v="discount not allowed"/>
    <s v="DISCOUNT NOT ALLOWED"/>
    <s v="Discount Not Allowed"/>
    <s v="19/04/24"/>
  </r>
  <r>
    <s v="TXN_5442881"/>
    <s v="CUST_16"/>
    <x v="7"/>
    <x v="63"/>
    <x v="8"/>
    <x v="4"/>
    <n v="174"/>
    <x v="2"/>
    <x v="0"/>
    <x v="234"/>
    <x v="1"/>
    <s v="DISCOUNT ALLOWED"/>
    <s v="discount allowed"/>
    <s v="DISCOUNT ALLOWED"/>
    <s v="Discount Allowed"/>
    <s v="16/01/22"/>
  </r>
  <r>
    <s v="TXN_5740962"/>
    <s v="CUST_14"/>
    <x v="1"/>
    <x v="64"/>
    <x v="8"/>
    <x v="4"/>
    <n v="174"/>
    <x v="1"/>
    <x v="1"/>
    <x v="347"/>
    <x v="1"/>
    <s v="DISCOUNT ALLOWED"/>
    <s v="discount allowed"/>
    <s v="DISCOUNT ALLOWED"/>
    <s v="Discount Allowed"/>
    <s v="11/12/24"/>
  </r>
  <r>
    <s v="TXN_5796004"/>
    <s v="CUST_21"/>
    <x v="7"/>
    <x v="63"/>
    <x v="8"/>
    <x v="4"/>
    <n v="174"/>
    <x v="0"/>
    <x v="0"/>
    <x v="800"/>
    <x v="0"/>
    <s v="DISCOUNT NOT ALLOWED"/>
    <s v="discount not allowed"/>
    <s v="DISCOUNT NOT ALLOWED"/>
    <s v="Discount Not Allowed"/>
    <s v="06/05/22"/>
  </r>
  <r>
    <s v="TXN_6407417"/>
    <s v="CUST_11"/>
    <x v="0"/>
    <x v="61"/>
    <x v="8"/>
    <x v="4"/>
    <n v="174"/>
    <x v="2"/>
    <x v="1"/>
    <x v="262"/>
    <x v="0"/>
    <s v="DISCOUNT NOT ALLOWED"/>
    <s v="discount not allowed"/>
    <s v="DISCOUNT NOT ALLOWED"/>
    <s v="Discount Not Allowed"/>
    <s v="20/12/24"/>
  </r>
  <r>
    <s v="TXN_6722337"/>
    <s v="CUST_24"/>
    <x v="1"/>
    <x v="64"/>
    <x v="8"/>
    <x v="4"/>
    <n v="174"/>
    <x v="2"/>
    <x v="1"/>
    <x v="960"/>
    <x v="1"/>
    <s v="DISCOUNT ALLOWED"/>
    <s v="discount allowed"/>
    <s v="DISCOUNT ALLOWED"/>
    <s v="Discount Allowed"/>
    <s v="25/11/22"/>
  </r>
  <r>
    <s v="TXN_6999553"/>
    <s v="CUST_02"/>
    <x v="4"/>
    <x v="66"/>
    <x v="8"/>
    <x v="4"/>
    <n v="174"/>
    <x v="2"/>
    <x v="1"/>
    <x v="726"/>
    <x v="1"/>
    <s v="DISCOUNT ALLOWED"/>
    <s v="discount allowed"/>
    <s v="DISCOUNT ALLOWED"/>
    <s v="Discount Allowed"/>
    <s v="20/05/22"/>
  </r>
  <r>
    <s v="TXN_7898832"/>
    <s v="CUST_13"/>
    <x v="0"/>
    <x v="61"/>
    <x v="8"/>
    <x v="4"/>
    <n v="174"/>
    <x v="1"/>
    <x v="0"/>
    <x v="231"/>
    <x v="1"/>
    <s v="DISCOUNT ALLOWED"/>
    <s v="discount allowed"/>
    <s v="DISCOUNT ALLOWED"/>
    <s v="Discount Allowed"/>
    <s v="04/01/22"/>
  </r>
  <r>
    <s v="TXN_8283053"/>
    <s v="CUST_03"/>
    <x v="1"/>
    <x v="64"/>
    <x v="8"/>
    <x v="4"/>
    <n v="174"/>
    <x v="1"/>
    <x v="1"/>
    <x v="881"/>
    <x v="1"/>
    <s v="DISCOUNT ALLOWED"/>
    <s v="discount allowed"/>
    <s v="DISCOUNT ALLOWED"/>
    <s v="Discount Allowed"/>
    <s v="14/12/24"/>
  </r>
  <r>
    <s v="TXN_8286101"/>
    <s v="CUST_24"/>
    <x v="4"/>
    <x v="66"/>
    <x v="8"/>
    <x v="4"/>
    <n v="174"/>
    <x v="0"/>
    <x v="1"/>
    <x v="562"/>
    <x v="1"/>
    <s v="DISCOUNT ALLOWED"/>
    <s v="discount allowed"/>
    <s v="DISCOUNT ALLOWED"/>
    <s v="Discount Allowed"/>
    <s v="06/08/24"/>
  </r>
  <r>
    <s v="TXN_8487424"/>
    <s v="CUST_23"/>
    <x v="0"/>
    <x v="61"/>
    <x v="8"/>
    <x v="4"/>
    <n v="174"/>
    <x v="1"/>
    <x v="0"/>
    <x v="961"/>
    <x v="1"/>
    <s v="DISCOUNT ALLOWED"/>
    <s v="discount allowed"/>
    <s v="DISCOUNT ALLOWED"/>
    <s v="Discount Allowed"/>
    <s v="18/10/23"/>
  </r>
  <r>
    <s v="TXN_8551912"/>
    <s v="CUST_12"/>
    <x v="0"/>
    <x v="61"/>
    <x v="8"/>
    <x v="4"/>
    <n v="174"/>
    <x v="0"/>
    <x v="1"/>
    <x v="257"/>
    <x v="1"/>
    <s v="DISCOUNT ALLOWED"/>
    <s v="discount allowed"/>
    <s v="DISCOUNT ALLOWED"/>
    <s v="Discount Allowed"/>
    <s v="09/11/24"/>
  </r>
  <r>
    <s v="TXN_8615080"/>
    <s v="CUST_14"/>
    <x v="0"/>
    <x v="61"/>
    <x v="8"/>
    <x v="4"/>
    <n v="174"/>
    <x v="1"/>
    <x v="0"/>
    <x v="728"/>
    <x v="1"/>
    <s v="DISCOUNT ALLOWED"/>
    <s v="discount allowed"/>
    <s v="DISCOUNT ALLOWED"/>
    <s v="Discount Allowed"/>
    <s v="14/06/22"/>
  </r>
  <r>
    <s v="TXN_8631389"/>
    <s v="CUST_13"/>
    <x v="6"/>
    <x v="62"/>
    <x v="8"/>
    <x v="4"/>
    <n v="174"/>
    <x v="1"/>
    <x v="0"/>
    <x v="415"/>
    <x v="0"/>
    <s v="DISCOUNT NOT ALLOWED"/>
    <s v="discount not allowed"/>
    <s v="DISCOUNT NOT ALLOWED"/>
    <s v="Discount Not Allowed"/>
    <s v="09/12/24"/>
  </r>
  <r>
    <s v="TXN_8852168"/>
    <s v="CUST_16"/>
    <x v="4"/>
    <x v="66"/>
    <x v="8"/>
    <x v="4"/>
    <n v="174"/>
    <x v="2"/>
    <x v="0"/>
    <x v="341"/>
    <x v="1"/>
    <s v="DISCOUNT ALLOWED"/>
    <s v="discount allowed"/>
    <s v="DISCOUNT ALLOWED"/>
    <s v="Discount Allowed"/>
    <s v="12/07/24"/>
  </r>
  <r>
    <s v="TXN_9109937"/>
    <s v="CUST_19"/>
    <x v="0"/>
    <x v="61"/>
    <x v="8"/>
    <x v="4"/>
    <n v="174"/>
    <x v="1"/>
    <x v="0"/>
    <x v="203"/>
    <x v="1"/>
    <s v="DISCOUNT ALLOWED"/>
    <s v="discount allowed"/>
    <s v="DISCOUNT ALLOWED"/>
    <s v="Discount Allowed"/>
    <s v="23/09/22"/>
  </r>
  <r>
    <s v="TXN_9170078"/>
    <s v="CUST_01"/>
    <x v="3"/>
    <x v="65"/>
    <x v="8"/>
    <x v="4"/>
    <n v="174"/>
    <x v="0"/>
    <x v="1"/>
    <x v="760"/>
    <x v="0"/>
    <s v="DISCOUNT NOT ALLOWED"/>
    <s v="discount not allowed"/>
    <s v="DISCOUNT NOT ALLOWED"/>
    <s v="Discount Not Allowed"/>
    <s v="30/11/22"/>
  </r>
  <r>
    <s v="TXN_9634891"/>
    <s v="CUST_25"/>
    <x v="6"/>
    <x v="62"/>
    <x v="8"/>
    <x v="4"/>
    <n v="174"/>
    <x v="2"/>
    <x v="0"/>
    <x v="89"/>
    <x v="1"/>
    <s v="DISCOUNT ALLOWED"/>
    <s v="discount allowed"/>
    <s v="DISCOUNT ALLOWED"/>
    <s v="Discount Allowed"/>
    <s v="14/01/22"/>
  </r>
  <r>
    <s v="TXN_9701569"/>
    <s v="CUST_04"/>
    <x v="4"/>
    <x v="66"/>
    <x v="8"/>
    <x v="4"/>
    <n v="174"/>
    <x v="1"/>
    <x v="0"/>
    <x v="265"/>
    <x v="0"/>
    <s v="DISCOUNT NOT ALLOWED"/>
    <s v="discount not allowed"/>
    <s v="DISCOUNT NOT ALLOWED"/>
    <s v="Discount Not Allowed"/>
    <s v="30/06/24"/>
  </r>
  <r>
    <s v="TXN_9707152"/>
    <s v="CUST_18"/>
    <x v="5"/>
    <x v="67"/>
    <x v="8"/>
    <x v="4"/>
    <n v="174"/>
    <x v="2"/>
    <x v="1"/>
    <x v="817"/>
    <x v="1"/>
    <s v="DISCOUNT ALLOWED"/>
    <s v="discount allowed"/>
    <s v="DISCOUNT ALLOWED"/>
    <s v="Discount Allowed"/>
    <s v="07/02/23"/>
  </r>
  <r>
    <s v="TXN_9800440"/>
    <s v="CUST_16"/>
    <x v="2"/>
    <x v="68"/>
    <x v="8"/>
    <x v="4"/>
    <n v="174"/>
    <x v="0"/>
    <x v="0"/>
    <x v="666"/>
    <x v="0"/>
    <s v="DISCOUNT NOT ALLOWED"/>
    <s v="discount not allowed"/>
    <s v="DISCOUNT NOT ALLOWED"/>
    <s v="Discount Not Allowed"/>
    <s v="19/12/23"/>
  </r>
  <r>
    <s v="TXN_9946325"/>
    <s v="CUST_12"/>
    <x v="1"/>
    <x v="64"/>
    <x v="8"/>
    <x v="4"/>
    <n v="174"/>
    <x v="0"/>
    <x v="0"/>
    <x v="328"/>
    <x v="1"/>
    <s v="DISCOUNT ALLOWED"/>
    <s v="discount allowed"/>
    <s v="DISCOUNT ALLOWED"/>
    <s v="Discount Allowed"/>
    <s v="08/06/24"/>
  </r>
  <r>
    <s v="TXN_1036563"/>
    <s v="CUST_12"/>
    <x v="6"/>
    <x v="104"/>
    <x v="13"/>
    <x v="2"/>
    <n v="172"/>
    <x v="2"/>
    <x v="0"/>
    <x v="132"/>
    <x v="1"/>
    <s v="DISCOUNT ALLOWED"/>
    <s v="discount allowed"/>
    <s v="DISCOUNT ALLOWED"/>
    <s v="Discount Allowed"/>
    <s v="12/09/23"/>
  </r>
  <r>
    <s v="TXN_1332543"/>
    <s v="CUST_08"/>
    <x v="0"/>
    <x v="116"/>
    <x v="13"/>
    <x v="2"/>
    <n v="172"/>
    <x v="2"/>
    <x v="0"/>
    <x v="514"/>
    <x v="0"/>
    <s v="DISCOUNT NOT ALLOWED"/>
    <s v="discount not allowed"/>
    <s v="DISCOUNT NOT ALLOWED"/>
    <s v="Discount Not Allowed"/>
    <s v="28/05/22"/>
  </r>
  <r>
    <s v="TXN_1583003"/>
    <s v="CUST_24"/>
    <x v="4"/>
    <x v="107"/>
    <x v="13"/>
    <x v="2"/>
    <n v="172"/>
    <x v="1"/>
    <x v="0"/>
    <x v="374"/>
    <x v="1"/>
    <s v="DISCOUNT ALLOWED"/>
    <s v="discount allowed"/>
    <s v="DISCOUNT ALLOWED"/>
    <s v="Discount Allowed"/>
    <s v="04/10/24"/>
  </r>
  <r>
    <s v="TXN_1695790"/>
    <s v="CUST_09"/>
    <x v="2"/>
    <x v="108"/>
    <x v="13"/>
    <x v="2"/>
    <n v="172"/>
    <x v="1"/>
    <x v="1"/>
    <x v="762"/>
    <x v="1"/>
    <s v="DISCOUNT ALLOWED"/>
    <s v="discount allowed"/>
    <s v="DISCOUNT ALLOWED"/>
    <s v="Discount Allowed"/>
    <s v="04/05/24"/>
  </r>
  <r>
    <s v="TXN_2082706"/>
    <s v="CUST_17"/>
    <x v="2"/>
    <x v="108"/>
    <x v="13"/>
    <x v="2"/>
    <n v="172"/>
    <x v="1"/>
    <x v="0"/>
    <x v="889"/>
    <x v="1"/>
    <s v="DISCOUNT ALLOWED"/>
    <s v="discount allowed"/>
    <s v="DISCOUNT ALLOWED"/>
    <s v="Discount Allowed"/>
    <s v="10/10/24"/>
  </r>
  <r>
    <s v="TXN_2375037"/>
    <s v="CUST_02"/>
    <x v="3"/>
    <x v="103"/>
    <x v="13"/>
    <x v="2"/>
    <n v="172"/>
    <x v="2"/>
    <x v="1"/>
    <x v="962"/>
    <x v="0"/>
    <s v="DISCOUNT NOT ALLOWED"/>
    <s v="discount not allowed"/>
    <s v="DISCOUNT NOT ALLOWED"/>
    <s v="Discount Not Allowed"/>
    <s v="04/01/24"/>
  </r>
  <r>
    <s v="TXN_2442022"/>
    <s v="CUST_07"/>
    <x v="0"/>
    <x v="116"/>
    <x v="13"/>
    <x v="2"/>
    <n v="172"/>
    <x v="2"/>
    <x v="0"/>
    <x v="722"/>
    <x v="1"/>
    <s v="DISCOUNT ALLOWED"/>
    <s v="discount allowed"/>
    <s v="DISCOUNT ALLOWED"/>
    <s v="Discount Allowed"/>
    <s v="03/09/23"/>
  </r>
  <r>
    <s v="TXN_2443824"/>
    <s v="CUST_19"/>
    <x v="1"/>
    <x v="105"/>
    <x v="13"/>
    <x v="2"/>
    <n v="172"/>
    <x v="1"/>
    <x v="0"/>
    <x v="457"/>
    <x v="0"/>
    <s v="DISCOUNT NOT ALLOWED"/>
    <s v="discount not allowed"/>
    <s v="DISCOUNT NOT ALLOWED"/>
    <s v="Discount Not Allowed"/>
    <s v="21/01/22"/>
  </r>
  <r>
    <s v="TXN_3064702"/>
    <s v="CUST_02"/>
    <x v="7"/>
    <x v="106"/>
    <x v="13"/>
    <x v="2"/>
    <n v="172"/>
    <x v="2"/>
    <x v="0"/>
    <x v="50"/>
    <x v="0"/>
    <s v="DISCOUNT NOT ALLOWED"/>
    <s v="discount not allowed"/>
    <s v="DISCOUNT NOT ALLOWED"/>
    <s v="Discount Not Allowed"/>
    <s v="17/01/22"/>
  </r>
  <r>
    <s v="TXN_3079892"/>
    <s v="CUST_03"/>
    <x v="4"/>
    <x v="107"/>
    <x v="13"/>
    <x v="2"/>
    <n v="172"/>
    <x v="1"/>
    <x v="1"/>
    <x v="332"/>
    <x v="1"/>
    <s v="DISCOUNT ALLOWED"/>
    <s v="discount allowed"/>
    <s v="DISCOUNT ALLOWED"/>
    <s v="Discount Allowed"/>
    <s v="01/08/22"/>
  </r>
  <r>
    <s v="TXN_3262173"/>
    <s v="CUST_16"/>
    <x v="4"/>
    <x v="107"/>
    <x v="13"/>
    <x v="2"/>
    <n v="172"/>
    <x v="2"/>
    <x v="0"/>
    <x v="800"/>
    <x v="1"/>
    <s v="DISCOUNT ALLOWED"/>
    <s v="discount allowed"/>
    <s v="DISCOUNT ALLOWED"/>
    <s v="Discount Allowed"/>
    <s v="06/05/22"/>
  </r>
  <r>
    <s v="TXN_3575121"/>
    <s v="CUST_17"/>
    <x v="4"/>
    <x v="107"/>
    <x v="13"/>
    <x v="2"/>
    <n v="172"/>
    <x v="1"/>
    <x v="0"/>
    <x v="90"/>
    <x v="1"/>
    <s v="DISCOUNT ALLOWED"/>
    <s v="discount allowed"/>
    <s v="DISCOUNT ALLOWED"/>
    <s v="Discount Allowed"/>
    <s v="06/09/22"/>
  </r>
  <r>
    <s v="TXN_3671271"/>
    <s v="CUST_18"/>
    <x v="7"/>
    <x v="106"/>
    <x v="13"/>
    <x v="2"/>
    <n v="172"/>
    <x v="1"/>
    <x v="1"/>
    <x v="963"/>
    <x v="0"/>
    <s v="DISCOUNT NOT ALLOWED"/>
    <s v="discount not allowed"/>
    <s v="DISCOUNT NOT ALLOWED"/>
    <s v="Discount Not Allowed"/>
    <s v="27/11/23"/>
  </r>
  <r>
    <s v="TXN_4145989"/>
    <s v="CUST_16"/>
    <x v="4"/>
    <x v="107"/>
    <x v="13"/>
    <x v="2"/>
    <n v="172"/>
    <x v="0"/>
    <x v="1"/>
    <x v="956"/>
    <x v="1"/>
    <s v="DISCOUNT ALLOWED"/>
    <s v="discount allowed"/>
    <s v="DISCOUNT ALLOWED"/>
    <s v="Discount Allowed"/>
    <s v="28/12/22"/>
  </r>
  <r>
    <s v="TXN_4621950"/>
    <s v="CUST_04"/>
    <x v="6"/>
    <x v="104"/>
    <x v="13"/>
    <x v="2"/>
    <n v="172"/>
    <x v="0"/>
    <x v="0"/>
    <x v="81"/>
    <x v="0"/>
    <s v="DISCOUNT NOT ALLOWED"/>
    <s v="discount not allowed"/>
    <s v="DISCOUNT NOT ALLOWED"/>
    <s v="Discount Not Allowed"/>
    <s v="08/01/25"/>
  </r>
  <r>
    <s v="TXN_4857957"/>
    <s v="CUST_25"/>
    <x v="7"/>
    <x v="106"/>
    <x v="13"/>
    <x v="2"/>
    <n v="172"/>
    <x v="0"/>
    <x v="0"/>
    <x v="964"/>
    <x v="1"/>
    <s v="DISCOUNT ALLOWED"/>
    <s v="discount allowed"/>
    <s v="DISCOUNT ALLOWED"/>
    <s v="Discount Allowed"/>
    <s v="11/04/24"/>
  </r>
  <r>
    <s v="TXN_4954219"/>
    <s v="CUST_03"/>
    <x v="7"/>
    <x v="106"/>
    <x v="13"/>
    <x v="2"/>
    <n v="172"/>
    <x v="0"/>
    <x v="1"/>
    <x v="400"/>
    <x v="1"/>
    <s v="DISCOUNT ALLOWED"/>
    <s v="discount allowed"/>
    <s v="DISCOUNT ALLOWED"/>
    <s v="Discount Allowed"/>
    <s v="27/09/24"/>
  </r>
  <r>
    <s v="TXN_5174529"/>
    <s v="CUST_20"/>
    <x v="7"/>
    <x v="106"/>
    <x v="13"/>
    <x v="2"/>
    <n v="172"/>
    <x v="2"/>
    <x v="1"/>
    <x v="736"/>
    <x v="1"/>
    <s v="DISCOUNT ALLOWED"/>
    <s v="discount allowed"/>
    <s v="DISCOUNT ALLOWED"/>
    <s v="Discount Allowed"/>
    <s v="13/05/24"/>
  </r>
  <r>
    <s v="TXN_5187952"/>
    <s v="CUST_22"/>
    <x v="1"/>
    <x v="105"/>
    <x v="13"/>
    <x v="2"/>
    <n v="172"/>
    <x v="2"/>
    <x v="1"/>
    <x v="141"/>
    <x v="0"/>
    <s v="DISCOUNT NOT ALLOWED"/>
    <s v="discount not allowed"/>
    <s v="DISCOUNT NOT ALLOWED"/>
    <s v="Discount Not Allowed"/>
    <s v="12/10/24"/>
  </r>
  <r>
    <s v="TXN_5801836"/>
    <s v="CUST_23"/>
    <x v="6"/>
    <x v="104"/>
    <x v="13"/>
    <x v="2"/>
    <n v="172"/>
    <x v="2"/>
    <x v="1"/>
    <x v="878"/>
    <x v="1"/>
    <s v="DISCOUNT ALLOWED"/>
    <s v="discount allowed"/>
    <s v="DISCOUNT ALLOWED"/>
    <s v="Discount Allowed"/>
    <s v="13/10/22"/>
  </r>
  <r>
    <s v="TXN_6026881"/>
    <s v="CUST_18"/>
    <x v="4"/>
    <x v="107"/>
    <x v="13"/>
    <x v="2"/>
    <n v="172"/>
    <x v="1"/>
    <x v="1"/>
    <x v="965"/>
    <x v="0"/>
    <s v="DISCOUNT NOT ALLOWED"/>
    <s v="discount not allowed"/>
    <s v="DISCOUNT NOT ALLOWED"/>
    <s v="Discount Not Allowed"/>
    <s v="02/06/24"/>
  </r>
  <r>
    <s v="TXN_6510149"/>
    <s v="CUST_01"/>
    <x v="5"/>
    <x v="102"/>
    <x v="13"/>
    <x v="2"/>
    <n v="172"/>
    <x v="2"/>
    <x v="1"/>
    <x v="634"/>
    <x v="1"/>
    <s v="DISCOUNT ALLOWED"/>
    <s v="discount allowed"/>
    <s v="DISCOUNT ALLOWED"/>
    <s v="Discount Allowed"/>
    <s v="19/08/24"/>
  </r>
  <r>
    <s v="TXN_6780379"/>
    <s v="CUST_17"/>
    <x v="1"/>
    <x v="105"/>
    <x v="13"/>
    <x v="2"/>
    <n v="172"/>
    <x v="2"/>
    <x v="1"/>
    <x v="966"/>
    <x v="1"/>
    <s v="DISCOUNT ALLOWED"/>
    <s v="discount allowed"/>
    <s v="DISCOUNT ALLOWED"/>
    <s v="Discount Allowed"/>
    <s v="26/02/22"/>
  </r>
  <r>
    <s v="TXN_6972612"/>
    <s v="CUST_20"/>
    <x v="5"/>
    <x v="102"/>
    <x v="13"/>
    <x v="2"/>
    <n v="172"/>
    <x v="0"/>
    <x v="0"/>
    <x v="533"/>
    <x v="1"/>
    <s v="DISCOUNT ALLOWED"/>
    <s v="discount allowed"/>
    <s v="DISCOUNT ALLOWED"/>
    <s v="Discount Allowed"/>
    <s v="14/10/24"/>
  </r>
  <r>
    <s v="TXN_7603860"/>
    <s v="CUST_11"/>
    <x v="6"/>
    <x v="104"/>
    <x v="13"/>
    <x v="2"/>
    <n v="172"/>
    <x v="0"/>
    <x v="1"/>
    <x v="515"/>
    <x v="1"/>
    <s v="DISCOUNT ALLOWED"/>
    <s v="discount allowed"/>
    <s v="DISCOUNT ALLOWED"/>
    <s v="Discount Allowed"/>
    <s v="16/01/25"/>
  </r>
  <r>
    <s v="TXN_7717273"/>
    <s v="CUST_10"/>
    <x v="7"/>
    <x v="106"/>
    <x v="13"/>
    <x v="2"/>
    <n v="172"/>
    <x v="1"/>
    <x v="1"/>
    <x v="194"/>
    <x v="1"/>
    <s v="DISCOUNT ALLOWED"/>
    <s v="discount allowed"/>
    <s v="DISCOUNT ALLOWED"/>
    <s v="Discount Allowed"/>
    <s v="25/12/22"/>
  </r>
  <r>
    <s v="TXN_7736317"/>
    <s v="CUST_09"/>
    <x v="5"/>
    <x v="102"/>
    <x v="13"/>
    <x v="2"/>
    <n v="172"/>
    <x v="0"/>
    <x v="1"/>
    <x v="875"/>
    <x v="0"/>
    <s v="DISCOUNT NOT ALLOWED"/>
    <s v="discount not allowed"/>
    <s v="DISCOUNT NOT ALLOWED"/>
    <s v="Discount Not Allowed"/>
    <s v="08/09/23"/>
  </r>
  <r>
    <s v="TXN_8165360"/>
    <s v="CUST_07"/>
    <x v="4"/>
    <x v="107"/>
    <x v="13"/>
    <x v="2"/>
    <n v="172"/>
    <x v="1"/>
    <x v="0"/>
    <x v="948"/>
    <x v="0"/>
    <s v="DISCOUNT NOT ALLOWED"/>
    <s v="discount not allowed"/>
    <s v="DISCOUNT NOT ALLOWED"/>
    <s v="Discount Not Allowed"/>
    <s v="04/12/22"/>
  </r>
  <r>
    <s v="TXN_8291984"/>
    <s v="CUST_02"/>
    <x v="2"/>
    <x v="108"/>
    <x v="13"/>
    <x v="2"/>
    <n v="172"/>
    <x v="1"/>
    <x v="0"/>
    <x v="907"/>
    <x v="0"/>
    <s v="DISCOUNT NOT ALLOWED"/>
    <s v="discount not allowed"/>
    <s v="DISCOUNT NOT ALLOWED"/>
    <s v="Discount Not Allowed"/>
    <s v="09/04/23"/>
  </r>
  <r>
    <s v="TXN_8402013"/>
    <s v="CUST_19"/>
    <x v="5"/>
    <x v="102"/>
    <x v="13"/>
    <x v="2"/>
    <n v="172"/>
    <x v="1"/>
    <x v="1"/>
    <x v="860"/>
    <x v="1"/>
    <s v="DISCOUNT ALLOWED"/>
    <s v="discount allowed"/>
    <s v="DISCOUNT ALLOWED"/>
    <s v="Discount Allowed"/>
    <s v="23/09/23"/>
  </r>
  <r>
    <s v="TXN_8431681"/>
    <s v="CUST_18"/>
    <x v="7"/>
    <x v="106"/>
    <x v="13"/>
    <x v="2"/>
    <n v="172"/>
    <x v="2"/>
    <x v="0"/>
    <x v="712"/>
    <x v="1"/>
    <s v="DISCOUNT ALLOWED"/>
    <s v="discount allowed"/>
    <s v="DISCOUNT ALLOWED"/>
    <s v="Discount Allowed"/>
    <s v="30/04/22"/>
  </r>
  <r>
    <s v="TXN_8494899"/>
    <s v="CUST_12"/>
    <x v="5"/>
    <x v="102"/>
    <x v="13"/>
    <x v="2"/>
    <n v="172"/>
    <x v="2"/>
    <x v="1"/>
    <x v="424"/>
    <x v="1"/>
    <s v="DISCOUNT ALLOWED"/>
    <s v="discount allowed"/>
    <s v="DISCOUNT ALLOWED"/>
    <s v="Discount Allowed"/>
    <s v="25/08/24"/>
  </r>
  <r>
    <s v="TXN_8760430"/>
    <s v="CUST_12"/>
    <x v="4"/>
    <x v="107"/>
    <x v="13"/>
    <x v="2"/>
    <n v="172"/>
    <x v="0"/>
    <x v="1"/>
    <x v="123"/>
    <x v="1"/>
    <s v="DISCOUNT ALLOWED"/>
    <s v="discount allowed"/>
    <s v="DISCOUNT ALLOWED"/>
    <s v="Discount Allowed"/>
    <s v="14/01/23"/>
  </r>
  <r>
    <s v="TXN_8793256"/>
    <s v="CUST_06"/>
    <x v="1"/>
    <x v="105"/>
    <x v="13"/>
    <x v="2"/>
    <n v="172"/>
    <x v="0"/>
    <x v="0"/>
    <x v="964"/>
    <x v="0"/>
    <s v="DISCOUNT NOT ALLOWED"/>
    <s v="discount not allowed"/>
    <s v="DISCOUNT NOT ALLOWED"/>
    <s v="Discount Not Allowed"/>
    <s v="11/04/24"/>
  </r>
  <r>
    <s v="TXN_8819433"/>
    <s v="CUST_06"/>
    <x v="6"/>
    <x v="104"/>
    <x v="13"/>
    <x v="2"/>
    <n v="172"/>
    <x v="0"/>
    <x v="1"/>
    <x v="967"/>
    <x v="0"/>
    <s v="DISCOUNT NOT ALLOWED"/>
    <s v="discount not allowed"/>
    <s v="DISCOUNT NOT ALLOWED"/>
    <s v="Discount Not Allowed"/>
    <s v="15/04/24"/>
  </r>
  <r>
    <s v="TXN_8842339"/>
    <s v="CUST_22"/>
    <x v="1"/>
    <x v="105"/>
    <x v="13"/>
    <x v="2"/>
    <n v="172"/>
    <x v="0"/>
    <x v="1"/>
    <x v="931"/>
    <x v="0"/>
    <s v="DISCOUNT NOT ALLOWED"/>
    <s v="discount not allowed"/>
    <s v="DISCOUNT NOT ALLOWED"/>
    <s v="Discount Not Allowed"/>
    <s v="14/05/23"/>
  </r>
  <r>
    <s v="TXN_9717005"/>
    <s v="CUST_01"/>
    <x v="6"/>
    <x v="104"/>
    <x v="13"/>
    <x v="2"/>
    <n v="172"/>
    <x v="2"/>
    <x v="0"/>
    <x v="495"/>
    <x v="0"/>
    <s v="DISCOUNT NOT ALLOWED"/>
    <s v="discount not allowed"/>
    <s v="DISCOUNT NOT ALLOWED"/>
    <s v="Discount Not Allowed"/>
    <s v="02/02/22"/>
  </r>
  <r>
    <s v="TXN_9736193"/>
    <s v="CUST_10"/>
    <x v="0"/>
    <x v="116"/>
    <x v="13"/>
    <x v="2"/>
    <n v="172"/>
    <x v="1"/>
    <x v="1"/>
    <x v="691"/>
    <x v="0"/>
    <s v="DISCOUNT NOT ALLOWED"/>
    <s v="discount not allowed"/>
    <s v="DISCOUNT NOT ALLOWED"/>
    <s v="Discount Not Allowed"/>
    <s v="28/05/24"/>
  </r>
  <r>
    <s v="TXN_1245404"/>
    <s v="CUST_24"/>
    <x v="2"/>
    <x v="90"/>
    <x v="11"/>
    <x v="3"/>
    <n v="171.5"/>
    <x v="2"/>
    <x v="0"/>
    <x v="253"/>
    <x v="0"/>
    <s v="DISCOUNT NOT ALLOWED"/>
    <s v="discount not allowed"/>
    <s v="DISCOUNT NOT ALLOWED"/>
    <s v="Discount Not Allowed"/>
    <s v="31/07/24"/>
  </r>
  <r>
    <s v="TXN_2128482"/>
    <s v="CUST_19"/>
    <x v="6"/>
    <x v="88"/>
    <x v="11"/>
    <x v="3"/>
    <n v="171.5"/>
    <x v="2"/>
    <x v="0"/>
    <x v="904"/>
    <x v="0"/>
    <s v="DISCOUNT NOT ALLOWED"/>
    <s v="discount not allowed"/>
    <s v="DISCOUNT NOT ALLOWED"/>
    <s v="Discount Not Allowed"/>
    <s v="09/03/22"/>
  </r>
  <r>
    <s v="TXN_2157777"/>
    <s v="CUST_05"/>
    <x v="1"/>
    <x v="89"/>
    <x v="11"/>
    <x v="3"/>
    <n v="171.5"/>
    <x v="1"/>
    <x v="0"/>
    <x v="822"/>
    <x v="1"/>
    <s v="DISCOUNT ALLOWED"/>
    <s v="discount allowed"/>
    <s v="DISCOUNT ALLOWED"/>
    <s v="Discount Allowed"/>
    <s v="07/01/24"/>
  </r>
  <r>
    <s v="TXN_2390056"/>
    <s v="CUST_04"/>
    <x v="4"/>
    <x v="87"/>
    <x v="11"/>
    <x v="3"/>
    <n v="171.5"/>
    <x v="2"/>
    <x v="0"/>
    <x v="750"/>
    <x v="1"/>
    <s v="DISCOUNT ALLOWED"/>
    <s v="discount allowed"/>
    <s v="DISCOUNT ALLOWED"/>
    <s v="Discount Allowed"/>
    <s v="17/11/24"/>
  </r>
  <r>
    <s v="TXN_2503668"/>
    <s v="CUST_05"/>
    <x v="4"/>
    <x v="87"/>
    <x v="11"/>
    <x v="3"/>
    <n v="171.5"/>
    <x v="2"/>
    <x v="0"/>
    <x v="35"/>
    <x v="0"/>
    <s v="DISCOUNT NOT ALLOWED"/>
    <s v="discount not allowed"/>
    <s v="DISCOUNT NOT ALLOWED"/>
    <s v="Discount Not Allowed"/>
    <s v="22/03/24"/>
  </r>
  <r>
    <s v="TXN_2944457"/>
    <s v="CUST_19"/>
    <x v="5"/>
    <x v="100"/>
    <x v="11"/>
    <x v="3"/>
    <n v="171.5"/>
    <x v="1"/>
    <x v="1"/>
    <x v="968"/>
    <x v="1"/>
    <s v="DISCOUNT ALLOWED"/>
    <s v="discount allowed"/>
    <s v="DISCOUNT ALLOWED"/>
    <s v="Discount Allowed"/>
    <s v="17/08/22"/>
  </r>
  <r>
    <s v="TXN_3047391"/>
    <s v="CUST_20"/>
    <x v="1"/>
    <x v="89"/>
    <x v="11"/>
    <x v="3"/>
    <n v="171.5"/>
    <x v="1"/>
    <x v="1"/>
    <x v="822"/>
    <x v="0"/>
    <s v="DISCOUNT NOT ALLOWED"/>
    <s v="discount not allowed"/>
    <s v="DISCOUNT NOT ALLOWED"/>
    <s v="Discount Not Allowed"/>
    <s v="07/01/24"/>
  </r>
  <r>
    <s v="TXN_3204284"/>
    <s v="CUST_23"/>
    <x v="6"/>
    <x v="88"/>
    <x v="11"/>
    <x v="3"/>
    <n v="171.5"/>
    <x v="2"/>
    <x v="1"/>
    <x v="822"/>
    <x v="1"/>
    <s v="DISCOUNT ALLOWED"/>
    <s v="discount allowed"/>
    <s v="DISCOUNT ALLOWED"/>
    <s v="Discount Allowed"/>
    <s v="07/01/24"/>
  </r>
  <r>
    <s v="TXN_3242349"/>
    <s v="CUST_03"/>
    <x v="2"/>
    <x v="90"/>
    <x v="11"/>
    <x v="3"/>
    <n v="171.5"/>
    <x v="1"/>
    <x v="0"/>
    <x v="863"/>
    <x v="1"/>
    <s v="DISCOUNT ALLOWED"/>
    <s v="discount allowed"/>
    <s v="DISCOUNT ALLOWED"/>
    <s v="Discount Allowed"/>
    <s v="26/12/22"/>
  </r>
  <r>
    <s v="TXN_3534846"/>
    <s v="CUST_10"/>
    <x v="1"/>
    <x v="89"/>
    <x v="11"/>
    <x v="3"/>
    <n v="171.5"/>
    <x v="2"/>
    <x v="0"/>
    <x v="322"/>
    <x v="0"/>
    <s v="DISCOUNT NOT ALLOWED"/>
    <s v="discount not allowed"/>
    <s v="DISCOUNT NOT ALLOWED"/>
    <s v="Discount Not Allowed"/>
    <s v="22/06/23"/>
  </r>
  <r>
    <s v="TXN_4227145"/>
    <s v="CUST_14"/>
    <x v="6"/>
    <x v="88"/>
    <x v="11"/>
    <x v="3"/>
    <n v="171.5"/>
    <x v="1"/>
    <x v="1"/>
    <x v="644"/>
    <x v="1"/>
    <s v="DISCOUNT ALLOWED"/>
    <s v="discount allowed"/>
    <s v="DISCOUNT ALLOWED"/>
    <s v="Discount Allowed"/>
    <s v="25/06/24"/>
  </r>
  <r>
    <s v="TXN_4483598"/>
    <s v="CUST_02"/>
    <x v="7"/>
    <x v="86"/>
    <x v="11"/>
    <x v="3"/>
    <n v="171.5"/>
    <x v="0"/>
    <x v="1"/>
    <x v="874"/>
    <x v="1"/>
    <s v="DISCOUNT ALLOWED"/>
    <s v="discount allowed"/>
    <s v="DISCOUNT ALLOWED"/>
    <s v="Discount Allowed"/>
    <s v="06/09/24"/>
  </r>
  <r>
    <s v="TXN_5532395"/>
    <s v="CUST_21"/>
    <x v="4"/>
    <x v="87"/>
    <x v="11"/>
    <x v="3"/>
    <n v="171.5"/>
    <x v="1"/>
    <x v="0"/>
    <x v="955"/>
    <x v="0"/>
    <s v="DISCOUNT NOT ALLOWED"/>
    <s v="discount not allowed"/>
    <s v="DISCOUNT NOT ALLOWED"/>
    <s v="Discount Not Allowed"/>
    <s v="21/12/24"/>
  </r>
  <r>
    <s v="TXN_6039588"/>
    <s v="CUST_01"/>
    <x v="2"/>
    <x v="90"/>
    <x v="11"/>
    <x v="3"/>
    <n v="171.5"/>
    <x v="2"/>
    <x v="1"/>
    <x v="704"/>
    <x v="1"/>
    <s v="DISCOUNT ALLOWED"/>
    <s v="discount allowed"/>
    <s v="DISCOUNT ALLOWED"/>
    <s v="Discount Allowed"/>
    <s v="02/03/24"/>
  </r>
  <r>
    <s v="TXN_6409562"/>
    <s v="CUST_08"/>
    <x v="1"/>
    <x v="89"/>
    <x v="11"/>
    <x v="3"/>
    <n v="171.5"/>
    <x v="1"/>
    <x v="1"/>
    <x v="629"/>
    <x v="1"/>
    <s v="DISCOUNT ALLOWED"/>
    <s v="discount allowed"/>
    <s v="DISCOUNT ALLOWED"/>
    <s v="Discount Allowed"/>
    <s v="16/12/24"/>
  </r>
  <r>
    <s v="TXN_6549525"/>
    <s v="CUST_22"/>
    <x v="1"/>
    <x v="89"/>
    <x v="11"/>
    <x v="3"/>
    <n v="171.5"/>
    <x v="0"/>
    <x v="1"/>
    <x v="445"/>
    <x v="1"/>
    <s v="DISCOUNT ALLOWED"/>
    <s v="discount allowed"/>
    <s v="DISCOUNT ALLOWED"/>
    <s v="Discount Allowed"/>
    <s v="02/10/23"/>
  </r>
  <r>
    <s v="TXN_6992931"/>
    <s v="CUST_25"/>
    <x v="7"/>
    <x v="86"/>
    <x v="11"/>
    <x v="3"/>
    <n v="171.5"/>
    <x v="1"/>
    <x v="0"/>
    <x v="97"/>
    <x v="1"/>
    <s v="DISCOUNT ALLOWED"/>
    <s v="discount allowed"/>
    <s v="DISCOUNT ALLOWED"/>
    <s v="Discount Allowed"/>
    <s v="20/06/24"/>
  </r>
  <r>
    <s v="TXN_7011651"/>
    <s v="CUST_24"/>
    <x v="1"/>
    <x v="89"/>
    <x v="11"/>
    <x v="3"/>
    <n v="171.5"/>
    <x v="1"/>
    <x v="0"/>
    <x v="946"/>
    <x v="0"/>
    <s v="DISCOUNT NOT ALLOWED"/>
    <s v="discount not allowed"/>
    <s v="DISCOUNT NOT ALLOWED"/>
    <s v="Discount Not Allowed"/>
    <s v="25/11/24"/>
  </r>
  <r>
    <s v="TXN_7101949"/>
    <s v="CUST_22"/>
    <x v="3"/>
    <x v="92"/>
    <x v="11"/>
    <x v="3"/>
    <n v="171.5"/>
    <x v="2"/>
    <x v="0"/>
    <x v="345"/>
    <x v="1"/>
    <s v="DISCOUNT ALLOWED"/>
    <s v="discount allowed"/>
    <s v="DISCOUNT ALLOWED"/>
    <s v="Discount Allowed"/>
    <s v="12/05/24"/>
  </r>
  <r>
    <s v="TXN_7254832"/>
    <s v="CUST_08"/>
    <x v="7"/>
    <x v="86"/>
    <x v="11"/>
    <x v="3"/>
    <n v="171.5"/>
    <x v="0"/>
    <x v="0"/>
    <x v="969"/>
    <x v="1"/>
    <s v="DISCOUNT ALLOWED"/>
    <s v="discount allowed"/>
    <s v="DISCOUNT ALLOWED"/>
    <s v="Discount Allowed"/>
    <s v="27/06/23"/>
  </r>
  <r>
    <s v="TXN_7313687"/>
    <s v="CUST_23"/>
    <x v="1"/>
    <x v="89"/>
    <x v="11"/>
    <x v="3"/>
    <n v="171.5"/>
    <x v="0"/>
    <x v="0"/>
    <x v="103"/>
    <x v="0"/>
    <s v="DISCOUNT NOT ALLOWED"/>
    <s v="discount not allowed"/>
    <s v="DISCOUNT NOT ALLOWED"/>
    <s v="Discount Not Allowed"/>
    <s v="30/05/22"/>
  </r>
  <r>
    <s v="TXN_7471824"/>
    <s v="CUST_03"/>
    <x v="1"/>
    <x v="89"/>
    <x v="11"/>
    <x v="3"/>
    <n v="171.5"/>
    <x v="0"/>
    <x v="0"/>
    <x v="491"/>
    <x v="1"/>
    <s v="DISCOUNT ALLOWED"/>
    <s v="discount allowed"/>
    <s v="DISCOUNT ALLOWED"/>
    <s v="Discount Allowed"/>
    <s v="01/01/23"/>
  </r>
  <r>
    <s v="TXN_8053327"/>
    <s v="CUST_23"/>
    <x v="4"/>
    <x v="87"/>
    <x v="11"/>
    <x v="3"/>
    <n v="171.5"/>
    <x v="2"/>
    <x v="1"/>
    <x v="896"/>
    <x v="1"/>
    <s v="DISCOUNT ALLOWED"/>
    <s v="discount allowed"/>
    <s v="DISCOUNT ALLOWED"/>
    <s v="Discount Allowed"/>
    <s v="14/02/22"/>
  </r>
  <r>
    <s v="TXN_8090236"/>
    <s v="CUST_04"/>
    <x v="6"/>
    <x v="88"/>
    <x v="11"/>
    <x v="3"/>
    <n v="171.5"/>
    <x v="0"/>
    <x v="0"/>
    <x v="742"/>
    <x v="0"/>
    <s v="DISCOUNT NOT ALLOWED"/>
    <s v="discount not allowed"/>
    <s v="DISCOUNT NOT ALLOWED"/>
    <s v="Discount Not Allowed"/>
    <s v="13/05/23"/>
  </r>
  <r>
    <s v="TXN_8741487"/>
    <s v="CUST_23"/>
    <x v="7"/>
    <x v="86"/>
    <x v="11"/>
    <x v="3"/>
    <n v="171.5"/>
    <x v="1"/>
    <x v="0"/>
    <x v="970"/>
    <x v="1"/>
    <s v="DISCOUNT ALLOWED"/>
    <s v="discount allowed"/>
    <s v="DISCOUNT ALLOWED"/>
    <s v="Discount Allowed"/>
    <s v="10/04/22"/>
  </r>
  <r>
    <s v="TXN_9060698"/>
    <s v="CUST_02"/>
    <x v="6"/>
    <x v="88"/>
    <x v="11"/>
    <x v="3"/>
    <n v="171.5"/>
    <x v="0"/>
    <x v="0"/>
    <x v="699"/>
    <x v="1"/>
    <s v="DISCOUNT ALLOWED"/>
    <s v="discount allowed"/>
    <s v="DISCOUNT ALLOWED"/>
    <s v="Discount Allowed"/>
    <s v="24/03/23"/>
  </r>
  <r>
    <s v="TXN_9234343"/>
    <s v="CUST_01"/>
    <x v="5"/>
    <x v="100"/>
    <x v="11"/>
    <x v="3"/>
    <n v="171.5"/>
    <x v="0"/>
    <x v="1"/>
    <x v="971"/>
    <x v="1"/>
    <s v="DISCOUNT ALLOWED"/>
    <s v="discount allowed"/>
    <s v="DISCOUNT ALLOWED"/>
    <s v="Discount Allowed"/>
    <s v="04/08/22"/>
  </r>
  <r>
    <s v="TXN_9442211"/>
    <s v="CUST_25"/>
    <x v="4"/>
    <x v="87"/>
    <x v="11"/>
    <x v="3"/>
    <n v="171.5"/>
    <x v="0"/>
    <x v="0"/>
    <x v="90"/>
    <x v="0"/>
    <s v="DISCOUNT NOT ALLOWED"/>
    <s v="discount not allowed"/>
    <s v="DISCOUNT NOT ALLOWED"/>
    <s v="Discount Not Allowed"/>
    <s v="06/09/22"/>
  </r>
  <r>
    <s v="TXN_9816950"/>
    <s v="CUST_03"/>
    <x v="1"/>
    <x v="89"/>
    <x v="11"/>
    <x v="3"/>
    <n v="171.5"/>
    <x v="1"/>
    <x v="1"/>
    <x v="725"/>
    <x v="1"/>
    <s v="DISCOUNT ALLOWED"/>
    <s v="discount allowed"/>
    <s v="DISCOUNT ALLOWED"/>
    <s v="Discount Allowed"/>
    <s v="14/04/24"/>
  </r>
  <r>
    <s v="TXN_1404623"/>
    <s v="CUST_01"/>
    <x v="5"/>
    <x v="128"/>
    <x v="16"/>
    <x v="0"/>
    <n v="170"/>
    <x v="0"/>
    <x v="1"/>
    <x v="169"/>
    <x v="0"/>
    <s v="DISCOUNT NOT ALLOWED"/>
    <s v="discount not allowed"/>
    <s v="DISCOUNT NOT ALLOWED"/>
    <s v="Discount Not Allowed"/>
    <s v="03/05/24"/>
  </r>
  <r>
    <s v="TXN_1694123"/>
    <s v="CUST_06"/>
    <x v="1"/>
    <x v="129"/>
    <x v="16"/>
    <x v="0"/>
    <n v="170"/>
    <x v="0"/>
    <x v="0"/>
    <x v="972"/>
    <x v="1"/>
    <s v="DISCOUNT ALLOWED"/>
    <s v="discount allowed"/>
    <s v="DISCOUNT ALLOWED"/>
    <s v="Discount Allowed"/>
    <s v="06/08/23"/>
  </r>
  <r>
    <s v="TXN_3823879"/>
    <s v="CUST_22"/>
    <x v="4"/>
    <x v="130"/>
    <x v="16"/>
    <x v="0"/>
    <n v="170"/>
    <x v="2"/>
    <x v="0"/>
    <x v="973"/>
    <x v="1"/>
    <s v="DISCOUNT ALLOWED"/>
    <s v="discount allowed"/>
    <s v="DISCOUNT ALLOWED"/>
    <s v="Discount Allowed"/>
    <s v="03/06/22"/>
  </r>
  <r>
    <s v="TXN_4438137"/>
    <s v="CUST_21"/>
    <x v="4"/>
    <x v="130"/>
    <x v="16"/>
    <x v="0"/>
    <n v="170"/>
    <x v="1"/>
    <x v="1"/>
    <x v="247"/>
    <x v="0"/>
    <s v="DISCOUNT NOT ALLOWED"/>
    <s v="discount not allowed"/>
    <s v="DISCOUNT NOT ALLOWED"/>
    <s v="Discount Not Allowed"/>
    <s v="24/05/24"/>
  </r>
  <r>
    <s v="TXN_4459209"/>
    <s v="CUST_06"/>
    <x v="2"/>
    <x v="131"/>
    <x v="16"/>
    <x v="0"/>
    <n v="170"/>
    <x v="2"/>
    <x v="1"/>
    <x v="670"/>
    <x v="0"/>
    <s v="DISCOUNT NOT ALLOWED"/>
    <s v="discount not allowed"/>
    <s v="DISCOUNT NOT ALLOWED"/>
    <s v="Discount Not Allowed"/>
    <s v="22/10/23"/>
  </r>
  <r>
    <s v="TXN_4468083"/>
    <s v="CUST_14"/>
    <x v="5"/>
    <x v="128"/>
    <x v="16"/>
    <x v="0"/>
    <n v="170"/>
    <x v="2"/>
    <x v="0"/>
    <x v="974"/>
    <x v="0"/>
    <s v="DISCOUNT NOT ALLOWED"/>
    <s v="discount not allowed"/>
    <s v="DISCOUNT NOT ALLOWED"/>
    <s v="Discount Not Allowed"/>
    <s v="30/06/22"/>
  </r>
  <r>
    <s v="TXN_5626224"/>
    <s v="CUST_14"/>
    <x v="6"/>
    <x v="132"/>
    <x v="16"/>
    <x v="0"/>
    <n v="170"/>
    <x v="2"/>
    <x v="1"/>
    <x v="479"/>
    <x v="0"/>
    <s v="DISCOUNT NOT ALLOWED"/>
    <s v="discount not allowed"/>
    <s v="DISCOUNT NOT ALLOWED"/>
    <s v="Discount Not Allowed"/>
    <s v="17/03/22"/>
  </r>
  <r>
    <s v="TXN_6193647"/>
    <s v="CUST_14"/>
    <x v="5"/>
    <x v="128"/>
    <x v="16"/>
    <x v="0"/>
    <n v="170"/>
    <x v="0"/>
    <x v="0"/>
    <x v="109"/>
    <x v="1"/>
    <s v="DISCOUNT ALLOWED"/>
    <s v="discount allowed"/>
    <s v="DISCOUNT ALLOWED"/>
    <s v="Discount Allowed"/>
    <s v="05/06/22"/>
  </r>
  <r>
    <s v="TXN_6437858"/>
    <s v="CUST_08"/>
    <x v="5"/>
    <x v="128"/>
    <x v="16"/>
    <x v="0"/>
    <n v="170"/>
    <x v="2"/>
    <x v="1"/>
    <x v="563"/>
    <x v="1"/>
    <s v="DISCOUNT ALLOWED"/>
    <s v="discount allowed"/>
    <s v="DISCOUNT ALLOWED"/>
    <s v="Discount Allowed"/>
    <s v="03/10/24"/>
  </r>
  <r>
    <s v="TXN_6576457"/>
    <s v="CUST_19"/>
    <x v="7"/>
    <x v="133"/>
    <x v="16"/>
    <x v="0"/>
    <n v="170"/>
    <x v="2"/>
    <x v="1"/>
    <x v="479"/>
    <x v="1"/>
    <s v="DISCOUNT ALLOWED"/>
    <s v="discount allowed"/>
    <s v="DISCOUNT ALLOWED"/>
    <s v="Discount Allowed"/>
    <s v="17/03/22"/>
  </r>
  <r>
    <s v="TXN_7078608"/>
    <s v="CUST_19"/>
    <x v="5"/>
    <x v="128"/>
    <x v="16"/>
    <x v="0"/>
    <n v="170"/>
    <x v="2"/>
    <x v="1"/>
    <x v="42"/>
    <x v="1"/>
    <s v="DISCOUNT ALLOWED"/>
    <s v="discount allowed"/>
    <s v="DISCOUNT ALLOWED"/>
    <s v="Discount Allowed"/>
    <s v="02/09/22"/>
  </r>
  <r>
    <s v="TXN_8144925"/>
    <s v="CUST_15"/>
    <x v="4"/>
    <x v="130"/>
    <x v="16"/>
    <x v="0"/>
    <n v="170"/>
    <x v="1"/>
    <x v="0"/>
    <x v="89"/>
    <x v="1"/>
    <s v="DISCOUNT ALLOWED"/>
    <s v="discount allowed"/>
    <s v="DISCOUNT ALLOWED"/>
    <s v="Discount Allowed"/>
    <s v="14/01/22"/>
  </r>
  <r>
    <s v="TXN_8291928"/>
    <s v="CUST_02"/>
    <x v="4"/>
    <x v="130"/>
    <x v="16"/>
    <x v="0"/>
    <n v="170"/>
    <x v="2"/>
    <x v="1"/>
    <x v="267"/>
    <x v="0"/>
    <s v="DISCOUNT NOT ALLOWED"/>
    <s v="discount not allowed"/>
    <s v="DISCOUNT NOT ALLOWED"/>
    <s v="Discount Not Allowed"/>
    <s v="18/09/24"/>
  </r>
  <r>
    <s v="TXN_8350913"/>
    <s v="CUST_02"/>
    <x v="5"/>
    <x v="128"/>
    <x v="16"/>
    <x v="0"/>
    <n v="170"/>
    <x v="2"/>
    <x v="0"/>
    <x v="975"/>
    <x v="0"/>
    <s v="DISCOUNT NOT ALLOWED"/>
    <s v="discount not allowed"/>
    <s v="DISCOUNT NOT ALLOWED"/>
    <s v="Discount Not Allowed"/>
    <s v="31/05/22"/>
  </r>
  <r>
    <s v="TXN_8715500"/>
    <s v="CUST_03"/>
    <x v="6"/>
    <x v="132"/>
    <x v="16"/>
    <x v="0"/>
    <n v="170"/>
    <x v="2"/>
    <x v="0"/>
    <x v="187"/>
    <x v="1"/>
    <s v="DISCOUNT ALLOWED"/>
    <s v="discount allowed"/>
    <s v="DISCOUNT ALLOWED"/>
    <s v="Discount Allowed"/>
    <s v="18/02/23"/>
  </r>
  <r>
    <s v="TXN_8799969"/>
    <s v="CUST_04"/>
    <x v="6"/>
    <x v="132"/>
    <x v="16"/>
    <x v="0"/>
    <n v="170"/>
    <x v="1"/>
    <x v="0"/>
    <x v="745"/>
    <x v="0"/>
    <s v="DISCOUNT NOT ALLOWED"/>
    <s v="discount not allowed"/>
    <s v="DISCOUNT NOT ALLOWED"/>
    <s v="Discount Not Allowed"/>
    <s v="16/05/24"/>
  </r>
  <r>
    <s v="TXN_9157443"/>
    <s v="CUST_20"/>
    <x v="4"/>
    <x v="130"/>
    <x v="16"/>
    <x v="0"/>
    <n v="170"/>
    <x v="1"/>
    <x v="0"/>
    <x v="82"/>
    <x v="1"/>
    <s v="DISCOUNT ALLOWED"/>
    <s v="discount allowed"/>
    <s v="DISCOUNT ALLOWED"/>
    <s v="Discount Allowed"/>
    <s v="07/10/24"/>
  </r>
  <r>
    <s v="TXN_1193062"/>
    <s v="CUST_22"/>
    <x v="2"/>
    <x v="39"/>
    <x v="5"/>
    <x v="5"/>
    <n v="167.5"/>
    <x v="2"/>
    <x v="1"/>
    <x v="7"/>
    <x v="1"/>
    <s v="DISCOUNT ALLOWED"/>
    <s v="discount allowed"/>
    <s v="DISCOUNT ALLOWED"/>
    <s v="Discount Allowed"/>
    <s v="23/02/22"/>
  </r>
  <r>
    <s v="TXN_1367829"/>
    <s v="CUST_07"/>
    <x v="7"/>
    <x v="44"/>
    <x v="5"/>
    <x v="5"/>
    <n v="167.5"/>
    <x v="2"/>
    <x v="0"/>
    <x v="47"/>
    <x v="1"/>
    <s v="DISCOUNT ALLOWED"/>
    <s v="discount allowed"/>
    <s v="DISCOUNT ALLOWED"/>
    <s v="Discount Allowed"/>
    <s v="01/01/24"/>
  </r>
  <r>
    <s v="TXN_1611768"/>
    <s v="CUST_03"/>
    <x v="7"/>
    <x v="44"/>
    <x v="5"/>
    <x v="5"/>
    <n v="167.5"/>
    <x v="2"/>
    <x v="0"/>
    <x v="269"/>
    <x v="1"/>
    <s v="DISCOUNT ALLOWED"/>
    <s v="discount allowed"/>
    <s v="DISCOUNT ALLOWED"/>
    <s v="Discount Allowed"/>
    <s v="26/07/22"/>
  </r>
  <r>
    <s v="TXN_2197774"/>
    <s v="CUST_04"/>
    <x v="4"/>
    <x v="42"/>
    <x v="5"/>
    <x v="5"/>
    <n v="167.5"/>
    <x v="2"/>
    <x v="0"/>
    <x v="603"/>
    <x v="0"/>
    <s v="DISCOUNT NOT ALLOWED"/>
    <s v="discount not allowed"/>
    <s v="DISCOUNT NOT ALLOWED"/>
    <s v="Discount Not Allowed"/>
    <s v="25/07/23"/>
  </r>
  <r>
    <s v="TXN_2592687"/>
    <s v="CUST_24"/>
    <x v="3"/>
    <x v="41"/>
    <x v="5"/>
    <x v="5"/>
    <n v="167.5"/>
    <x v="0"/>
    <x v="1"/>
    <x v="976"/>
    <x v="1"/>
    <s v="DISCOUNT ALLOWED"/>
    <s v="discount allowed"/>
    <s v="DISCOUNT ALLOWED"/>
    <s v="Discount Allowed"/>
    <s v="26/07/24"/>
  </r>
  <r>
    <s v="TXN_2813616"/>
    <s v="CUST_07"/>
    <x v="1"/>
    <x v="37"/>
    <x v="5"/>
    <x v="5"/>
    <n v="167.5"/>
    <x v="1"/>
    <x v="0"/>
    <x v="977"/>
    <x v="1"/>
    <s v="DISCOUNT ALLOWED"/>
    <s v="discount allowed"/>
    <s v="DISCOUNT ALLOWED"/>
    <s v="Discount Allowed"/>
    <s v="19/11/23"/>
  </r>
  <r>
    <s v="TXN_2906236"/>
    <s v="CUST_14"/>
    <x v="7"/>
    <x v="44"/>
    <x v="5"/>
    <x v="5"/>
    <n v="167.5"/>
    <x v="2"/>
    <x v="1"/>
    <x v="791"/>
    <x v="1"/>
    <s v="DISCOUNT ALLOWED"/>
    <s v="discount allowed"/>
    <s v="DISCOUNT ALLOWED"/>
    <s v="Discount Allowed"/>
    <s v="25/11/23"/>
  </r>
  <r>
    <s v="TXN_3535824"/>
    <s v="CUST_02"/>
    <x v="6"/>
    <x v="43"/>
    <x v="5"/>
    <x v="5"/>
    <n v="167.5"/>
    <x v="1"/>
    <x v="0"/>
    <x v="566"/>
    <x v="1"/>
    <s v="DISCOUNT ALLOWED"/>
    <s v="discount allowed"/>
    <s v="DISCOUNT ALLOWED"/>
    <s v="Discount Allowed"/>
    <s v="16/11/24"/>
  </r>
  <r>
    <s v="TXN_3609312"/>
    <s v="CUST_21"/>
    <x v="0"/>
    <x v="40"/>
    <x v="5"/>
    <x v="5"/>
    <n v="167.5"/>
    <x v="2"/>
    <x v="0"/>
    <x v="111"/>
    <x v="1"/>
    <s v="DISCOUNT ALLOWED"/>
    <s v="discount allowed"/>
    <s v="DISCOUNT ALLOWED"/>
    <s v="Discount Allowed"/>
    <s v="03/11/24"/>
  </r>
  <r>
    <s v="TXN_4106679"/>
    <s v="CUST_05"/>
    <x v="3"/>
    <x v="41"/>
    <x v="5"/>
    <x v="5"/>
    <n v="167.5"/>
    <x v="1"/>
    <x v="1"/>
    <x v="960"/>
    <x v="0"/>
    <s v="DISCOUNT NOT ALLOWED"/>
    <s v="discount not allowed"/>
    <s v="DISCOUNT NOT ALLOWED"/>
    <s v="Discount Not Allowed"/>
    <s v="25/11/22"/>
  </r>
  <r>
    <s v="TXN_4329866"/>
    <s v="CUST_14"/>
    <x v="3"/>
    <x v="41"/>
    <x v="5"/>
    <x v="5"/>
    <n v="167.5"/>
    <x v="1"/>
    <x v="0"/>
    <x v="897"/>
    <x v="1"/>
    <s v="DISCOUNT ALLOWED"/>
    <s v="discount allowed"/>
    <s v="DISCOUNT ALLOWED"/>
    <s v="Discount Allowed"/>
    <s v="03/10/22"/>
  </r>
  <r>
    <s v="TXN_4430414"/>
    <s v="CUST_01"/>
    <x v="1"/>
    <x v="37"/>
    <x v="5"/>
    <x v="5"/>
    <n v="167.5"/>
    <x v="1"/>
    <x v="1"/>
    <x v="978"/>
    <x v="0"/>
    <s v="DISCOUNT NOT ALLOWED"/>
    <s v="discount not allowed"/>
    <s v="DISCOUNT NOT ALLOWED"/>
    <s v="Discount Not Allowed"/>
    <s v="09/01/25"/>
  </r>
  <r>
    <s v="TXN_4515512"/>
    <s v="CUST_11"/>
    <x v="5"/>
    <x v="38"/>
    <x v="5"/>
    <x v="5"/>
    <n v="167.5"/>
    <x v="2"/>
    <x v="0"/>
    <x v="66"/>
    <x v="0"/>
    <s v="DISCOUNT NOT ALLOWED"/>
    <s v="discount not allowed"/>
    <s v="DISCOUNT NOT ALLOWED"/>
    <s v="Discount Not Allowed"/>
    <s v="25/09/24"/>
  </r>
  <r>
    <s v="TXN_4824819"/>
    <s v="CUST_01"/>
    <x v="6"/>
    <x v="43"/>
    <x v="5"/>
    <x v="5"/>
    <n v="167.5"/>
    <x v="0"/>
    <x v="0"/>
    <x v="806"/>
    <x v="0"/>
    <s v="DISCOUNT NOT ALLOWED"/>
    <s v="discount not allowed"/>
    <s v="DISCOUNT NOT ALLOWED"/>
    <s v="Discount Not Allowed"/>
    <s v="27/06/22"/>
  </r>
  <r>
    <s v="TXN_4844684"/>
    <s v="CUST_20"/>
    <x v="3"/>
    <x v="41"/>
    <x v="5"/>
    <x v="5"/>
    <n v="167.5"/>
    <x v="0"/>
    <x v="0"/>
    <x v="237"/>
    <x v="0"/>
    <s v="DISCOUNT NOT ALLOWED"/>
    <s v="discount not allowed"/>
    <s v="DISCOUNT NOT ALLOWED"/>
    <s v="Discount Not Allowed"/>
    <s v="23/07/22"/>
  </r>
  <r>
    <s v="TXN_4955717"/>
    <s v="CUST_16"/>
    <x v="1"/>
    <x v="37"/>
    <x v="5"/>
    <x v="5"/>
    <n v="167.5"/>
    <x v="1"/>
    <x v="1"/>
    <x v="522"/>
    <x v="0"/>
    <s v="DISCOUNT NOT ALLOWED"/>
    <s v="discount not allowed"/>
    <s v="DISCOUNT NOT ALLOWED"/>
    <s v="Discount Not Allowed"/>
    <s v="27/08/24"/>
  </r>
  <r>
    <s v="TXN_5119926"/>
    <s v="CUST_20"/>
    <x v="7"/>
    <x v="44"/>
    <x v="5"/>
    <x v="5"/>
    <n v="167.5"/>
    <x v="2"/>
    <x v="1"/>
    <x v="709"/>
    <x v="1"/>
    <s v="DISCOUNT ALLOWED"/>
    <s v="discount allowed"/>
    <s v="DISCOUNT ALLOWED"/>
    <s v="Discount Allowed"/>
    <s v="02/01/24"/>
  </r>
  <r>
    <s v="TXN_5422440"/>
    <s v="CUST_19"/>
    <x v="2"/>
    <x v="39"/>
    <x v="5"/>
    <x v="5"/>
    <n v="167.5"/>
    <x v="1"/>
    <x v="1"/>
    <x v="865"/>
    <x v="0"/>
    <s v="DISCOUNT NOT ALLOWED"/>
    <s v="discount not allowed"/>
    <s v="DISCOUNT NOT ALLOWED"/>
    <s v="Discount Not Allowed"/>
    <s v="03/04/23"/>
  </r>
  <r>
    <s v="TXN_5430495"/>
    <s v="CUST_11"/>
    <x v="1"/>
    <x v="37"/>
    <x v="5"/>
    <x v="5"/>
    <n v="167.5"/>
    <x v="0"/>
    <x v="0"/>
    <x v="979"/>
    <x v="0"/>
    <s v="DISCOUNT NOT ALLOWED"/>
    <s v="discount not allowed"/>
    <s v="DISCOUNT NOT ALLOWED"/>
    <s v="Discount Not Allowed"/>
    <s v="11/01/24"/>
  </r>
  <r>
    <s v="TXN_5598682"/>
    <s v="CUST_13"/>
    <x v="3"/>
    <x v="41"/>
    <x v="5"/>
    <x v="5"/>
    <n v="167.5"/>
    <x v="1"/>
    <x v="1"/>
    <x v="660"/>
    <x v="1"/>
    <s v="DISCOUNT ALLOWED"/>
    <s v="discount allowed"/>
    <s v="DISCOUNT ALLOWED"/>
    <s v="Discount Allowed"/>
    <s v="25/04/22"/>
  </r>
  <r>
    <s v="TXN_5600366"/>
    <s v="CUST_24"/>
    <x v="2"/>
    <x v="39"/>
    <x v="5"/>
    <x v="5"/>
    <n v="167.5"/>
    <x v="0"/>
    <x v="1"/>
    <x v="801"/>
    <x v="0"/>
    <s v="DISCOUNT NOT ALLOWED"/>
    <s v="discount not allowed"/>
    <s v="DISCOUNT NOT ALLOWED"/>
    <s v="Discount Not Allowed"/>
    <s v="22/12/22"/>
  </r>
  <r>
    <s v="TXN_5945222"/>
    <s v="CUST_04"/>
    <x v="3"/>
    <x v="41"/>
    <x v="5"/>
    <x v="5"/>
    <n v="167.5"/>
    <x v="0"/>
    <x v="1"/>
    <x v="915"/>
    <x v="0"/>
    <s v="DISCOUNT NOT ALLOWED"/>
    <s v="discount not allowed"/>
    <s v="DISCOUNT NOT ALLOWED"/>
    <s v="Discount Not Allowed"/>
    <s v="11/08/24"/>
  </r>
  <r>
    <s v="TXN_6043282"/>
    <s v="CUST_21"/>
    <x v="2"/>
    <x v="39"/>
    <x v="5"/>
    <x v="5"/>
    <n v="167.5"/>
    <x v="2"/>
    <x v="1"/>
    <x v="148"/>
    <x v="0"/>
    <s v="DISCOUNT NOT ALLOWED"/>
    <s v="discount not allowed"/>
    <s v="DISCOUNT NOT ALLOWED"/>
    <s v="Discount Not Allowed"/>
    <s v="10/01/24"/>
  </r>
  <r>
    <s v="TXN_6195024"/>
    <s v="CUST_13"/>
    <x v="1"/>
    <x v="37"/>
    <x v="5"/>
    <x v="5"/>
    <n v="167.5"/>
    <x v="1"/>
    <x v="0"/>
    <x v="671"/>
    <x v="0"/>
    <s v="DISCOUNT NOT ALLOWED"/>
    <s v="discount not allowed"/>
    <s v="DISCOUNT NOT ALLOWED"/>
    <s v="Discount Not Allowed"/>
    <s v="09/08/24"/>
  </r>
  <r>
    <s v="TXN_6213133"/>
    <s v="CUST_08"/>
    <x v="0"/>
    <x v="40"/>
    <x v="5"/>
    <x v="5"/>
    <n v="167.5"/>
    <x v="0"/>
    <x v="0"/>
    <x v="945"/>
    <x v="0"/>
    <s v="DISCOUNT NOT ALLOWED"/>
    <s v="discount not allowed"/>
    <s v="DISCOUNT NOT ALLOWED"/>
    <s v="Discount Not Allowed"/>
    <s v="10/03/22"/>
  </r>
  <r>
    <s v="TXN_6231912"/>
    <s v="CUST_05"/>
    <x v="6"/>
    <x v="43"/>
    <x v="5"/>
    <x v="5"/>
    <n v="167.5"/>
    <x v="1"/>
    <x v="1"/>
    <x v="146"/>
    <x v="1"/>
    <s v="DISCOUNT ALLOWED"/>
    <s v="discount allowed"/>
    <s v="DISCOUNT ALLOWED"/>
    <s v="Discount Allowed"/>
    <s v="06/12/24"/>
  </r>
  <r>
    <s v="TXN_6262851"/>
    <s v="CUST_18"/>
    <x v="2"/>
    <x v="39"/>
    <x v="5"/>
    <x v="5"/>
    <n v="167.5"/>
    <x v="2"/>
    <x v="0"/>
    <x v="853"/>
    <x v="0"/>
    <s v="DISCOUNT NOT ALLOWED"/>
    <s v="discount not allowed"/>
    <s v="DISCOUNT NOT ALLOWED"/>
    <s v="Discount Not Allowed"/>
    <s v="12/08/24"/>
  </r>
  <r>
    <s v="TXN_6398385"/>
    <s v="CUST_20"/>
    <x v="3"/>
    <x v="41"/>
    <x v="5"/>
    <x v="5"/>
    <n v="167.5"/>
    <x v="2"/>
    <x v="1"/>
    <x v="549"/>
    <x v="0"/>
    <s v="DISCOUNT NOT ALLOWED"/>
    <s v="discount not allowed"/>
    <s v="DISCOUNT NOT ALLOWED"/>
    <s v="Discount Not Allowed"/>
    <s v="18/03/23"/>
  </r>
  <r>
    <s v="TXN_7101386"/>
    <s v="CUST_16"/>
    <x v="6"/>
    <x v="43"/>
    <x v="5"/>
    <x v="5"/>
    <n v="167.5"/>
    <x v="1"/>
    <x v="1"/>
    <x v="302"/>
    <x v="1"/>
    <s v="DISCOUNT ALLOWED"/>
    <s v="discount allowed"/>
    <s v="DISCOUNT ALLOWED"/>
    <s v="Discount Allowed"/>
    <s v="05/11/22"/>
  </r>
  <r>
    <s v="TXN_7422235"/>
    <s v="CUST_07"/>
    <x v="1"/>
    <x v="37"/>
    <x v="5"/>
    <x v="5"/>
    <n v="167.5"/>
    <x v="1"/>
    <x v="0"/>
    <x v="800"/>
    <x v="1"/>
    <s v="DISCOUNT ALLOWED"/>
    <s v="discount allowed"/>
    <s v="DISCOUNT ALLOWED"/>
    <s v="Discount Allowed"/>
    <s v="06/05/22"/>
  </r>
  <r>
    <s v="TXN_7689571"/>
    <s v="CUST_23"/>
    <x v="4"/>
    <x v="42"/>
    <x v="5"/>
    <x v="5"/>
    <n v="167.5"/>
    <x v="0"/>
    <x v="0"/>
    <x v="376"/>
    <x v="1"/>
    <s v="DISCOUNT ALLOWED"/>
    <s v="discount allowed"/>
    <s v="DISCOUNT ALLOWED"/>
    <s v="Discount Allowed"/>
    <s v="28/10/23"/>
  </r>
  <r>
    <s v="TXN_7729747"/>
    <s v="CUST_13"/>
    <x v="4"/>
    <x v="42"/>
    <x v="5"/>
    <x v="5"/>
    <n v="167.5"/>
    <x v="2"/>
    <x v="1"/>
    <x v="829"/>
    <x v="0"/>
    <s v="DISCOUNT NOT ALLOWED"/>
    <s v="discount not allowed"/>
    <s v="DISCOUNT NOT ALLOWED"/>
    <s v="Discount Not Allowed"/>
    <s v="29/06/23"/>
  </r>
  <r>
    <s v="TXN_7911838"/>
    <s v="CUST_01"/>
    <x v="3"/>
    <x v="41"/>
    <x v="5"/>
    <x v="5"/>
    <n v="167.5"/>
    <x v="0"/>
    <x v="0"/>
    <x v="512"/>
    <x v="0"/>
    <s v="DISCOUNT NOT ALLOWED"/>
    <s v="discount not allowed"/>
    <s v="DISCOUNT NOT ALLOWED"/>
    <s v="Discount Not Allowed"/>
    <s v="24/06/22"/>
  </r>
  <r>
    <s v="TXN_7912681"/>
    <s v="CUST_02"/>
    <x v="2"/>
    <x v="39"/>
    <x v="5"/>
    <x v="5"/>
    <n v="167.5"/>
    <x v="2"/>
    <x v="1"/>
    <x v="980"/>
    <x v="1"/>
    <s v="DISCOUNT ALLOWED"/>
    <s v="discount allowed"/>
    <s v="DISCOUNT ALLOWED"/>
    <s v="Discount Allowed"/>
    <s v="05/05/23"/>
  </r>
  <r>
    <s v="TXN_7986151"/>
    <s v="CUST_17"/>
    <x v="4"/>
    <x v="42"/>
    <x v="5"/>
    <x v="5"/>
    <n v="167.5"/>
    <x v="0"/>
    <x v="0"/>
    <x v="981"/>
    <x v="1"/>
    <s v="DISCOUNT ALLOWED"/>
    <s v="discount allowed"/>
    <s v="DISCOUNT ALLOWED"/>
    <s v="Discount Allowed"/>
    <s v="07/12/23"/>
  </r>
  <r>
    <s v="TXN_8267402"/>
    <s v="CUST_16"/>
    <x v="2"/>
    <x v="39"/>
    <x v="5"/>
    <x v="5"/>
    <n v="167.5"/>
    <x v="1"/>
    <x v="0"/>
    <x v="351"/>
    <x v="1"/>
    <s v="DISCOUNT ALLOWED"/>
    <s v="discount allowed"/>
    <s v="DISCOUNT ALLOWED"/>
    <s v="Discount Allowed"/>
    <s v="24/01/23"/>
  </r>
  <r>
    <s v="TXN_8790118"/>
    <s v="CUST_08"/>
    <x v="0"/>
    <x v="40"/>
    <x v="5"/>
    <x v="5"/>
    <n v="167.5"/>
    <x v="2"/>
    <x v="0"/>
    <x v="57"/>
    <x v="0"/>
    <s v="DISCOUNT NOT ALLOWED"/>
    <s v="discount not allowed"/>
    <s v="DISCOUNT NOT ALLOWED"/>
    <s v="Discount Not Allowed"/>
    <s v="16/07/23"/>
  </r>
  <r>
    <s v="TXN_8817119"/>
    <s v="CUST_22"/>
    <x v="3"/>
    <x v="41"/>
    <x v="5"/>
    <x v="5"/>
    <n v="167.5"/>
    <x v="2"/>
    <x v="0"/>
    <x v="561"/>
    <x v="1"/>
    <s v="DISCOUNT ALLOWED"/>
    <s v="discount allowed"/>
    <s v="DISCOUNT ALLOWED"/>
    <s v="Discount Allowed"/>
    <s v="27/04/24"/>
  </r>
  <r>
    <s v="TXN_9322958"/>
    <s v="CUST_17"/>
    <x v="0"/>
    <x v="40"/>
    <x v="5"/>
    <x v="5"/>
    <n v="167.5"/>
    <x v="1"/>
    <x v="0"/>
    <x v="658"/>
    <x v="1"/>
    <s v="DISCOUNT ALLOWED"/>
    <s v="discount allowed"/>
    <s v="DISCOUNT ALLOWED"/>
    <s v="Discount Allowed"/>
    <s v="29/09/22"/>
  </r>
  <r>
    <s v="TXN_9518234"/>
    <s v="CUST_12"/>
    <x v="1"/>
    <x v="37"/>
    <x v="5"/>
    <x v="5"/>
    <n v="167.5"/>
    <x v="2"/>
    <x v="1"/>
    <x v="712"/>
    <x v="0"/>
    <s v="DISCOUNT NOT ALLOWED"/>
    <s v="discount not allowed"/>
    <s v="DISCOUNT NOT ALLOWED"/>
    <s v="Discount Not Allowed"/>
    <s v="30/04/22"/>
  </r>
  <r>
    <s v="TXN_9739398"/>
    <s v="CUST_11"/>
    <x v="2"/>
    <x v="39"/>
    <x v="5"/>
    <x v="5"/>
    <n v="167.5"/>
    <x v="0"/>
    <x v="1"/>
    <x v="294"/>
    <x v="1"/>
    <s v="DISCOUNT ALLOWED"/>
    <s v="discount allowed"/>
    <s v="DISCOUNT ALLOWED"/>
    <s v="Discount Allowed"/>
    <s v="09/07/22"/>
  </r>
  <r>
    <s v="TXN_9803107"/>
    <s v="CUST_24"/>
    <x v="5"/>
    <x v="38"/>
    <x v="5"/>
    <x v="5"/>
    <n v="167.5"/>
    <x v="2"/>
    <x v="0"/>
    <x v="813"/>
    <x v="0"/>
    <s v="DISCOUNT NOT ALLOWED"/>
    <s v="discount not allowed"/>
    <s v="DISCOUNT NOT ALLOWED"/>
    <s v="Discount Not Allowed"/>
    <s v="22/07/23"/>
  </r>
  <r>
    <s v="TXN_1539096"/>
    <s v="CUST_21"/>
    <x v="3"/>
    <x v="124"/>
    <x v="15"/>
    <x v="1"/>
    <n v="166.5"/>
    <x v="2"/>
    <x v="1"/>
    <x v="155"/>
    <x v="1"/>
    <s v="DISCOUNT ALLOWED"/>
    <s v="discount allowed"/>
    <s v="DISCOUNT ALLOWED"/>
    <s v="Discount Allowed"/>
    <s v="19/02/22"/>
  </r>
  <r>
    <s v="TXN_1892600"/>
    <s v="CUST_04"/>
    <x v="2"/>
    <x v="117"/>
    <x v="15"/>
    <x v="1"/>
    <n v="166.5"/>
    <x v="1"/>
    <x v="0"/>
    <x v="780"/>
    <x v="1"/>
    <s v="DISCOUNT ALLOWED"/>
    <s v="discount allowed"/>
    <s v="DISCOUNT ALLOWED"/>
    <s v="Discount Allowed"/>
    <s v="22/04/24"/>
  </r>
  <r>
    <s v="TXN_2573050"/>
    <s v="CUST_11"/>
    <x v="6"/>
    <x v="120"/>
    <x v="15"/>
    <x v="1"/>
    <n v="166.5"/>
    <x v="2"/>
    <x v="0"/>
    <x v="299"/>
    <x v="1"/>
    <s v="DISCOUNT ALLOWED"/>
    <s v="discount allowed"/>
    <s v="DISCOUNT ALLOWED"/>
    <s v="Discount Allowed"/>
    <s v="11/10/22"/>
  </r>
  <r>
    <s v="TXN_2734006"/>
    <s v="CUST_09"/>
    <x v="1"/>
    <x v="121"/>
    <x v="15"/>
    <x v="1"/>
    <n v="166.5"/>
    <x v="2"/>
    <x v="1"/>
    <x v="95"/>
    <x v="1"/>
    <s v="DISCOUNT ALLOWED"/>
    <s v="discount allowed"/>
    <s v="DISCOUNT ALLOWED"/>
    <s v="Discount Allowed"/>
    <s v="07/06/23"/>
  </r>
  <r>
    <s v="TXN_3416118"/>
    <s v="CUST_06"/>
    <x v="6"/>
    <x v="120"/>
    <x v="15"/>
    <x v="1"/>
    <n v="166.5"/>
    <x v="1"/>
    <x v="1"/>
    <x v="367"/>
    <x v="1"/>
    <s v="DISCOUNT ALLOWED"/>
    <s v="discount allowed"/>
    <s v="DISCOUNT ALLOWED"/>
    <s v="Discount Allowed"/>
    <s v="13/10/23"/>
  </r>
  <r>
    <s v="TXN_4274209"/>
    <s v="CUST_01"/>
    <x v="1"/>
    <x v="121"/>
    <x v="15"/>
    <x v="1"/>
    <n v="166.5"/>
    <x v="1"/>
    <x v="0"/>
    <x v="982"/>
    <x v="0"/>
    <s v="DISCOUNT NOT ALLOWED"/>
    <s v="discount not allowed"/>
    <s v="DISCOUNT NOT ALLOWED"/>
    <s v="Discount Not Allowed"/>
    <s v="19/11/24"/>
  </r>
  <r>
    <s v="TXN_4886514"/>
    <s v="CUST_15"/>
    <x v="1"/>
    <x v="121"/>
    <x v="15"/>
    <x v="1"/>
    <n v="166.5"/>
    <x v="1"/>
    <x v="1"/>
    <x v="546"/>
    <x v="0"/>
    <s v="DISCOUNT NOT ALLOWED"/>
    <s v="discount not allowed"/>
    <s v="DISCOUNT NOT ALLOWED"/>
    <s v="Discount Not Allowed"/>
    <s v="21/05/22"/>
  </r>
  <r>
    <s v="TXN_6220248"/>
    <s v="CUST_11"/>
    <x v="2"/>
    <x v="117"/>
    <x v="15"/>
    <x v="1"/>
    <n v="166.5"/>
    <x v="2"/>
    <x v="0"/>
    <x v="701"/>
    <x v="0"/>
    <s v="DISCOUNT NOT ALLOWED"/>
    <s v="discount not allowed"/>
    <s v="DISCOUNT NOT ALLOWED"/>
    <s v="Discount Not Allowed"/>
    <s v="16/04/23"/>
  </r>
  <r>
    <s v="TXN_6568290"/>
    <s v="CUST_06"/>
    <x v="6"/>
    <x v="120"/>
    <x v="15"/>
    <x v="1"/>
    <n v="166.5"/>
    <x v="1"/>
    <x v="1"/>
    <x v="631"/>
    <x v="0"/>
    <s v="DISCOUNT NOT ALLOWED"/>
    <s v="discount not allowed"/>
    <s v="DISCOUNT NOT ALLOWED"/>
    <s v="Discount Not Allowed"/>
    <s v="05/09/24"/>
  </r>
  <r>
    <s v="TXN_8112678"/>
    <s v="CUST_02"/>
    <x v="2"/>
    <x v="117"/>
    <x v="15"/>
    <x v="1"/>
    <n v="166.5"/>
    <x v="1"/>
    <x v="1"/>
    <x v="983"/>
    <x v="1"/>
    <s v="DISCOUNT ALLOWED"/>
    <s v="discount allowed"/>
    <s v="DISCOUNT ALLOWED"/>
    <s v="Discount Allowed"/>
    <s v="22/01/23"/>
  </r>
  <r>
    <s v="TXN_8999132"/>
    <s v="CUST_15"/>
    <x v="3"/>
    <x v="124"/>
    <x v="15"/>
    <x v="1"/>
    <n v="166.5"/>
    <x v="0"/>
    <x v="1"/>
    <x v="597"/>
    <x v="1"/>
    <s v="DISCOUNT ALLOWED"/>
    <s v="discount allowed"/>
    <s v="DISCOUNT ALLOWED"/>
    <s v="Discount Allowed"/>
    <s v="10/09/22"/>
  </r>
  <r>
    <s v="TXN_9217850"/>
    <s v="CUST_03"/>
    <x v="4"/>
    <x v="118"/>
    <x v="15"/>
    <x v="1"/>
    <n v="166.5"/>
    <x v="0"/>
    <x v="1"/>
    <x v="984"/>
    <x v="0"/>
    <s v="DISCOUNT NOT ALLOWED"/>
    <s v="discount not allowed"/>
    <s v="DISCOUNT NOT ALLOWED"/>
    <s v="Discount Not Allowed"/>
    <s v="07/10/22"/>
  </r>
  <r>
    <s v="TXN_1814218"/>
    <s v="CUST_21"/>
    <x v="1"/>
    <x v="71"/>
    <x v="9"/>
    <x v="4"/>
    <n v="165"/>
    <x v="2"/>
    <x v="0"/>
    <x v="219"/>
    <x v="0"/>
    <s v="DISCOUNT NOT ALLOWED"/>
    <s v="discount not allowed"/>
    <s v="DISCOUNT NOT ALLOWED"/>
    <s v="Discount Not Allowed"/>
    <s v="23/05/23"/>
  </r>
  <r>
    <s v="TXN_2328560"/>
    <s v="CUST_16"/>
    <x v="0"/>
    <x v="73"/>
    <x v="9"/>
    <x v="4"/>
    <n v="165"/>
    <x v="0"/>
    <x v="0"/>
    <x v="526"/>
    <x v="0"/>
    <s v="DISCOUNT NOT ALLOWED"/>
    <s v="discount not allowed"/>
    <s v="DISCOUNT NOT ALLOWED"/>
    <s v="Discount Not Allowed"/>
    <s v="28/12/24"/>
  </r>
  <r>
    <s v="TXN_2394864"/>
    <s v="CUST_23"/>
    <x v="0"/>
    <x v="73"/>
    <x v="9"/>
    <x v="4"/>
    <n v="165"/>
    <x v="0"/>
    <x v="1"/>
    <x v="111"/>
    <x v="1"/>
    <s v="DISCOUNT ALLOWED"/>
    <s v="discount allowed"/>
    <s v="DISCOUNT ALLOWED"/>
    <s v="Discount Allowed"/>
    <s v="03/11/24"/>
  </r>
  <r>
    <s v="TXN_2464833"/>
    <s v="CUST_24"/>
    <x v="5"/>
    <x v="75"/>
    <x v="9"/>
    <x v="4"/>
    <n v="165"/>
    <x v="2"/>
    <x v="0"/>
    <x v="738"/>
    <x v="1"/>
    <s v="DISCOUNT ALLOWED"/>
    <s v="discount allowed"/>
    <s v="DISCOUNT ALLOWED"/>
    <s v="Discount Allowed"/>
    <s v="09/02/24"/>
  </r>
  <r>
    <s v="TXN_2703515"/>
    <s v="CUST_14"/>
    <x v="2"/>
    <x v="76"/>
    <x v="9"/>
    <x v="4"/>
    <n v="165"/>
    <x v="2"/>
    <x v="1"/>
    <x v="985"/>
    <x v="0"/>
    <s v="DISCOUNT NOT ALLOWED"/>
    <s v="discount not allowed"/>
    <s v="DISCOUNT NOT ALLOWED"/>
    <s v="Discount Not Allowed"/>
    <s v="23/11/24"/>
  </r>
  <r>
    <s v="TXN_2825406"/>
    <s v="CUST_07"/>
    <x v="0"/>
    <x v="73"/>
    <x v="9"/>
    <x v="4"/>
    <n v="165"/>
    <x v="2"/>
    <x v="1"/>
    <x v="390"/>
    <x v="1"/>
    <s v="DISCOUNT ALLOWED"/>
    <s v="discount allowed"/>
    <s v="DISCOUNT ALLOWED"/>
    <s v="Discount Allowed"/>
    <s v="22/11/24"/>
  </r>
  <r>
    <s v="TXN_2848766"/>
    <s v="CUST_12"/>
    <x v="3"/>
    <x v="74"/>
    <x v="9"/>
    <x v="4"/>
    <n v="165"/>
    <x v="0"/>
    <x v="1"/>
    <x v="536"/>
    <x v="1"/>
    <s v="DISCOUNT ALLOWED"/>
    <s v="discount allowed"/>
    <s v="DISCOUNT ALLOWED"/>
    <s v="Discount Allowed"/>
    <s v="02/05/22"/>
  </r>
  <r>
    <s v="TXN_2878204"/>
    <s v="CUST_12"/>
    <x v="3"/>
    <x v="74"/>
    <x v="9"/>
    <x v="4"/>
    <n v="165"/>
    <x v="2"/>
    <x v="0"/>
    <x v="392"/>
    <x v="0"/>
    <s v="DISCOUNT NOT ALLOWED"/>
    <s v="discount not allowed"/>
    <s v="DISCOUNT NOT ALLOWED"/>
    <s v="Discount Not Allowed"/>
    <s v="13/01/23"/>
  </r>
  <r>
    <s v="TXN_3568126"/>
    <s v="CUST_24"/>
    <x v="5"/>
    <x v="75"/>
    <x v="9"/>
    <x v="4"/>
    <n v="165"/>
    <x v="0"/>
    <x v="1"/>
    <x v="393"/>
    <x v="0"/>
    <s v="DISCOUNT NOT ALLOWED"/>
    <s v="discount not allowed"/>
    <s v="DISCOUNT NOT ALLOWED"/>
    <s v="Discount Not Allowed"/>
    <s v="18/10/22"/>
  </r>
  <r>
    <s v="TXN_4324641"/>
    <s v="CUST_01"/>
    <x v="7"/>
    <x v="72"/>
    <x v="9"/>
    <x v="4"/>
    <n v="165"/>
    <x v="1"/>
    <x v="1"/>
    <x v="986"/>
    <x v="0"/>
    <s v="DISCOUNT NOT ALLOWED"/>
    <s v="discount not allowed"/>
    <s v="DISCOUNT NOT ALLOWED"/>
    <s v="Discount Not Allowed"/>
    <s v="07/11/23"/>
  </r>
  <r>
    <s v="TXN_4445795"/>
    <s v="CUST_04"/>
    <x v="0"/>
    <x v="73"/>
    <x v="9"/>
    <x v="4"/>
    <n v="165"/>
    <x v="0"/>
    <x v="1"/>
    <x v="380"/>
    <x v="0"/>
    <s v="DISCOUNT NOT ALLOWED"/>
    <s v="discount not allowed"/>
    <s v="DISCOUNT NOT ALLOWED"/>
    <s v="Discount Not Allowed"/>
    <s v="20/07/24"/>
  </r>
  <r>
    <s v="TXN_4886343"/>
    <s v="CUST_21"/>
    <x v="2"/>
    <x v="76"/>
    <x v="9"/>
    <x v="4"/>
    <n v="165"/>
    <x v="1"/>
    <x v="1"/>
    <x v="823"/>
    <x v="1"/>
    <s v="DISCOUNT ALLOWED"/>
    <s v="discount allowed"/>
    <s v="DISCOUNT ALLOWED"/>
    <s v="Discount Allowed"/>
    <s v="17/09/22"/>
  </r>
  <r>
    <s v="TXN_4956593"/>
    <s v="CUST_21"/>
    <x v="3"/>
    <x v="74"/>
    <x v="9"/>
    <x v="4"/>
    <n v="165"/>
    <x v="0"/>
    <x v="0"/>
    <x v="727"/>
    <x v="1"/>
    <s v="DISCOUNT ALLOWED"/>
    <s v="discount allowed"/>
    <s v="DISCOUNT ALLOWED"/>
    <s v="Discount Allowed"/>
    <s v="06/10/23"/>
  </r>
  <r>
    <s v="TXN_5055357"/>
    <s v="CUST_20"/>
    <x v="6"/>
    <x v="70"/>
    <x v="9"/>
    <x v="4"/>
    <n v="165"/>
    <x v="2"/>
    <x v="0"/>
    <x v="802"/>
    <x v="0"/>
    <s v="DISCOUNT NOT ALLOWED"/>
    <s v="discount not allowed"/>
    <s v="DISCOUNT NOT ALLOWED"/>
    <s v="Discount Not Allowed"/>
    <s v="05/10/24"/>
  </r>
  <r>
    <s v="TXN_5765739"/>
    <s v="CUST_03"/>
    <x v="1"/>
    <x v="71"/>
    <x v="9"/>
    <x v="4"/>
    <n v="165"/>
    <x v="0"/>
    <x v="0"/>
    <x v="987"/>
    <x v="1"/>
    <s v="DISCOUNT ALLOWED"/>
    <s v="discount allowed"/>
    <s v="DISCOUNT ALLOWED"/>
    <s v="Discount Allowed"/>
    <s v="06/07/22"/>
  </r>
  <r>
    <s v="TXN_5928099"/>
    <s v="CUST_24"/>
    <x v="3"/>
    <x v="74"/>
    <x v="9"/>
    <x v="4"/>
    <n v="165"/>
    <x v="1"/>
    <x v="0"/>
    <x v="163"/>
    <x v="0"/>
    <s v="DISCOUNT NOT ALLOWED"/>
    <s v="discount not allowed"/>
    <s v="DISCOUNT NOT ALLOWED"/>
    <s v="Discount Not Allowed"/>
    <s v="21/07/22"/>
  </r>
  <r>
    <s v="TXN_6237983"/>
    <s v="CUST_18"/>
    <x v="3"/>
    <x v="74"/>
    <x v="9"/>
    <x v="4"/>
    <n v="165"/>
    <x v="1"/>
    <x v="0"/>
    <x v="103"/>
    <x v="0"/>
    <s v="DISCOUNT NOT ALLOWED"/>
    <s v="discount not allowed"/>
    <s v="DISCOUNT NOT ALLOWED"/>
    <s v="Discount Not Allowed"/>
    <s v="30/05/22"/>
  </r>
  <r>
    <s v="TXN_6310599"/>
    <s v="CUST_04"/>
    <x v="5"/>
    <x v="75"/>
    <x v="9"/>
    <x v="4"/>
    <n v="165"/>
    <x v="1"/>
    <x v="0"/>
    <x v="552"/>
    <x v="0"/>
    <s v="DISCOUNT NOT ALLOWED"/>
    <s v="discount not allowed"/>
    <s v="DISCOUNT NOT ALLOWED"/>
    <s v="Discount Not Allowed"/>
    <s v="22/09/24"/>
  </r>
  <r>
    <s v="TXN_6354477"/>
    <s v="CUST_06"/>
    <x v="3"/>
    <x v="74"/>
    <x v="9"/>
    <x v="4"/>
    <n v="165"/>
    <x v="1"/>
    <x v="0"/>
    <x v="623"/>
    <x v="0"/>
    <s v="DISCOUNT NOT ALLOWED"/>
    <s v="discount not allowed"/>
    <s v="DISCOUNT NOT ALLOWED"/>
    <s v="Discount Not Allowed"/>
    <s v="26/08/24"/>
  </r>
  <r>
    <s v="TXN_6404316"/>
    <s v="CUST_04"/>
    <x v="6"/>
    <x v="70"/>
    <x v="9"/>
    <x v="4"/>
    <n v="165"/>
    <x v="2"/>
    <x v="0"/>
    <x v="988"/>
    <x v="0"/>
    <s v="DISCOUNT NOT ALLOWED"/>
    <s v="discount not allowed"/>
    <s v="DISCOUNT NOT ALLOWED"/>
    <s v="Discount Not Allowed"/>
    <s v="06/04/22"/>
  </r>
  <r>
    <s v="TXN_6614992"/>
    <s v="CUST_21"/>
    <x v="2"/>
    <x v="76"/>
    <x v="9"/>
    <x v="4"/>
    <n v="165"/>
    <x v="1"/>
    <x v="0"/>
    <x v="6"/>
    <x v="0"/>
    <s v="DISCOUNT NOT ALLOWED"/>
    <s v="discount not allowed"/>
    <s v="DISCOUNT NOT ALLOWED"/>
    <s v="Discount Not Allowed"/>
    <s v="20/12/23"/>
  </r>
  <r>
    <s v="TXN_6651280"/>
    <s v="CUST_18"/>
    <x v="7"/>
    <x v="72"/>
    <x v="9"/>
    <x v="4"/>
    <n v="165"/>
    <x v="0"/>
    <x v="1"/>
    <x v="590"/>
    <x v="1"/>
    <s v="DISCOUNT ALLOWED"/>
    <s v="discount allowed"/>
    <s v="DISCOUNT ALLOWED"/>
    <s v="Discount Allowed"/>
    <s v="05/12/22"/>
  </r>
  <r>
    <s v="TXN_7222682"/>
    <s v="CUST_16"/>
    <x v="3"/>
    <x v="74"/>
    <x v="9"/>
    <x v="4"/>
    <n v="165"/>
    <x v="2"/>
    <x v="0"/>
    <x v="251"/>
    <x v="0"/>
    <s v="DISCOUNT NOT ALLOWED"/>
    <s v="discount not allowed"/>
    <s v="DISCOUNT NOT ALLOWED"/>
    <s v="Discount Not Allowed"/>
    <s v="24/03/22"/>
  </r>
  <r>
    <s v="TXN_7536831"/>
    <s v="CUST_18"/>
    <x v="3"/>
    <x v="74"/>
    <x v="9"/>
    <x v="4"/>
    <n v="165"/>
    <x v="1"/>
    <x v="0"/>
    <x v="93"/>
    <x v="0"/>
    <s v="DISCOUNT NOT ALLOWED"/>
    <s v="discount not allowed"/>
    <s v="DISCOUNT NOT ALLOWED"/>
    <s v="Discount Not Allowed"/>
    <s v="08/12/22"/>
  </r>
  <r>
    <s v="TXN_8005094"/>
    <s v="CUST_20"/>
    <x v="1"/>
    <x v="71"/>
    <x v="9"/>
    <x v="4"/>
    <n v="165"/>
    <x v="2"/>
    <x v="1"/>
    <x v="658"/>
    <x v="0"/>
    <s v="DISCOUNT NOT ALLOWED"/>
    <s v="discount not allowed"/>
    <s v="DISCOUNT NOT ALLOWED"/>
    <s v="Discount Not Allowed"/>
    <s v="29/09/22"/>
  </r>
  <r>
    <s v="TXN_8187246"/>
    <s v="CUST_02"/>
    <x v="7"/>
    <x v="72"/>
    <x v="9"/>
    <x v="4"/>
    <n v="165"/>
    <x v="1"/>
    <x v="1"/>
    <x v="571"/>
    <x v="0"/>
    <s v="DISCOUNT NOT ALLOWED"/>
    <s v="discount not allowed"/>
    <s v="DISCOUNT NOT ALLOWED"/>
    <s v="Discount Not Allowed"/>
    <s v="01/08/23"/>
  </r>
  <r>
    <s v="TXN_9283748"/>
    <s v="CUST_16"/>
    <x v="7"/>
    <x v="72"/>
    <x v="9"/>
    <x v="4"/>
    <n v="165"/>
    <x v="1"/>
    <x v="1"/>
    <x v="397"/>
    <x v="0"/>
    <s v="DISCOUNT NOT ALLOWED"/>
    <s v="discount not allowed"/>
    <s v="DISCOUNT NOT ALLOWED"/>
    <s v="Discount Not Allowed"/>
    <s v="01/06/23"/>
  </r>
  <r>
    <s v="TXN_9729422"/>
    <s v="CUST_13"/>
    <x v="3"/>
    <x v="74"/>
    <x v="9"/>
    <x v="4"/>
    <n v="165"/>
    <x v="2"/>
    <x v="0"/>
    <x v="26"/>
    <x v="1"/>
    <s v="DISCOUNT ALLOWED"/>
    <s v="discount allowed"/>
    <s v="DISCOUNT ALLOWED"/>
    <s v="Discount Allowed"/>
    <s v="31/12/24"/>
  </r>
  <r>
    <s v="TXN_9950024"/>
    <s v="CUST_08"/>
    <x v="5"/>
    <x v="75"/>
    <x v="9"/>
    <x v="4"/>
    <n v="165"/>
    <x v="2"/>
    <x v="0"/>
    <x v="466"/>
    <x v="1"/>
    <s v="DISCOUNT ALLOWED"/>
    <s v="discount allowed"/>
    <s v="DISCOUNT ALLOWED"/>
    <s v="Discount Allowed"/>
    <s v="28/06/24"/>
  </r>
  <r>
    <s v="TXN_1334745"/>
    <s v="CUST_05"/>
    <x v="7"/>
    <x v="7"/>
    <x v="0"/>
    <x v="6"/>
    <n v="164"/>
    <x v="0"/>
    <x v="1"/>
    <x v="512"/>
    <x v="1"/>
    <s v="DISCOUNT ALLOWED"/>
    <s v="discount allowed"/>
    <s v="DISCOUNT ALLOWED"/>
    <s v="Discount Allowed"/>
    <s v="24/06/22"/>
  </r>
  <r>
    <s v="TXN_1640857"/>
    <s v="CUST_10"/>
    <x v="1"/>
    <x v="1"/>
    <x v="0"/>
    <x v="6"/>
    <n v="164"/>
    <x v="0"/>
    <x v="1"/>
    <x v="229"/>
    <x v="1"/>
    <s v="DISCOUNT ALLOWED"/>
    <s v="discount allowed"/>
    <s v="DISCOUNT ALLOWED"/>
    <s v="Discount Allowed"/>
    <s v="16/03/24"/>
  </r>
  <r>
    <s v="TXN_1758528"/>
    <s v="CUST_21"/>
    <x v="4"/>
    <x v="4"/>
    <x v="0"/>
    <x v="6"/>
    <n v="164"/>
    <x v="0"/>
    <x v="0"/>
    <x v="478"/>
    <x v="1"/>
    <s v="DISCOUNT ALLOWED"/>
    <s v="discount allowed"/>
    <s v="DISCOUNT ALLOWED"/>
    <s v="Discount Allowed"/>
    <s v="28/11/23"/>
  </r>
  <r>
    <s v="TXN_1795726"/>
    <s v="CUST_05"/>
    <x v="5"/>
    <x v="5"/>
    <x v="0"/>
    <x v="6"/>
    <n v="164"/>
    <x v="1"/>
    <x v="1"/>
    <x v="651"/>
    <x v="0"/>
    <s v="DISCOUNT NOT ALLOWED"/>
    <s v="discount not allowed"/>
    <s v="DISCOUNT NOT ALLOWED"/>
    <s v="Discount Not Allowed"/>
    <s v="01/05/22"/>
  </r>
  <r>
    <s v="TXN_1928530"/>
    <s v="CUST_06"/>
    <x v="3"/>
    <x v="3"/>
    <x v="0"/>
    <x v="6"/>
    <n v="164"/>
    <x v="1"/>
    <x v="0"/>
    <x v="80"/>
    <x v="1"/>
    <s v="DISCOUNT ALLOWED"/>
    <s v="discount allowed"/>
    <s v="DISCOUNT ALLOWED"/>
    <s v="Discount Allowed"/>
    <s v="08/02/24"/>
  </r>
  <r>
    <s v="TXN_1981490"/>
    <s v="CUST_17"/>
    <x v="1"/>
    <x v="1"/>
    <x v="0"/>
    <x v="6"/>
    <n v="164"/>
    <x v="0"/>
    <x v="1"/>
    <x v="715"/>
    <x v="0"/>
    <s v="DISCOUNT NOT ALLOWED"/>
    <s v="discount not allowed"/>
    <s v="DISCOUNT NOT ALLOWED"/>
    <s v="Discount Not Allowed"/>
    <s v="12/12/22"/>
  </r>
  <r>
    <s v="TXN_2334719"/>
    <s v="CUST_18"/>
    <x v="7"/>
    <x v="7"/>
    <x v="0"/>
    <x v="6"/>
    <n v="164"/>
    <x v="2"/>
    <x v="1"/>
    <x v="327"/>
    <x v="0"/>
    <s v="DISCOUNT NOT ALLOWED"/>
    <s v="discount not allowed"/>
    <s v="DISCOUNT NOT ALLOWED"/>
    <s v="Discount Not Allowed"/>
    <s v="19/05/24"/>
  </r>
  <r>
    <s v="TXN_2411071"/>
    <s v="CUST_17"/>
    <x v="5"/>
    <x v="5"/>
    <x v="0"/>
    <x v="6"/>
    <n v="164"/>
    <x v="1"/>
    <x v="1"/>
    <x v="478"/>
    <x v="0"/>
    <s v="DISCOUNT NOT ALLOWED"/>
    <s v="discount not allowed"/>
    <s v="DISCOUNT NOT ALLOWED"/>
    <s v="Discount Not Allowed"/>
    <s v="28/11/23"/>
  </r>
  <r>
    <s v="TXN_2528313"/>
    <s v="CUST_07"/>
    <x v="4"/>
    <x v="4"/>
    <x v="0"/>
    <x v="6"/>
    <n v="164"/>
    <x v="2"/>
    <x v="1"/>
    <x v="368"/>
    <x v="0"/>
    <s v="DISCOUNT NOT ALLOWED"/>
    <s v="discount not allowed"/>
    <s v="DISCOUNT NOT ALLOWED"/>
    <s v="Discount Not Allowed"/>
    <s v="12/06/22"/>
  </r>
  <r>
    <s v="TXN_2859193"/>
    <s v="CUST_12"/>
    <x v="3"/>
    <x v="3"/>
    <x v="0"/>
    <x v="6"/>
    <n v="164"/>
    <x v="1"/>
    <x v="1"/>
    <x v="148"/>
    <x v="0"/>
    <s v="DISCOUNT NOT ALLOWED"/>
    <s v="discount not allowed"/>
    <s v="DISCOUNT NOT ALLOWED"/>
    <s v="Discount Not Allowed"/>
    <s v="10/01/24"/>
  </r>
  <r>
    <s v="TXN_2869668"/>
    <s v="CUST_18"/>
    <x v="7"/>
    <x v="7"/>
    <x v="0"/>
    <x v="6"/>
    <n v="164"/>
    <x v="0"/>
    <x v="0"/>
    <x v="311"/>
    <x v="1"/>
    <s v="DISCOUNT ALLOWED"/>
    <s v="discount allowed"/>
    <s v="DISCOUNT ALLOWED"/>
    <s v="Discount Allowed"/>
    <s v="27/03/23"/>
  </r>
  <r>
    <s v="TXN_3627669"/>
    <s v="CUST_13"/>
    <x v="7"/>
    <x v="7"/>
    <x v="0"/>
    <x v="6"/>
    <n v="164"/>
    <x v="1"/>
    <x v="1"/>
    <x v="384"/>
    <x v="0"/>
    <s v="DISCOUNT NOT ALLOWED"/>
    <s v="discount not allowed"/>
    <s v="DISCOUNT NOT ALLOWED"/>
    <s v="Discount Not Allowed"/>
    <s v="12/11/24"/>
  </r>
  <r>
    <s v="TXN_3731943"/>
    <s v="CUST_11"/>
    <x v="3"/>
    <x v="3"/>
    <x v="0"/>
    <x v="6"/>
    <n v="164"/>
    <x v="2"/>
    <x v="0"/>
    <x v="554"/>
    <x v="1"/>
    <s v="DISCOUNT ALLOWED"/>
    <s v="discount allowed"/>
    <s v="DISCOUNT ALLOWED"/>
    <s v="Discount Allowed"/>
    <s v="20/02/24"/>
  </r>
  <r>
    <s v="TXN_4069953"/>
    <s v="CUST_25"/>
    <x v="1"/>
    <x v="1"/>
    <x v="0"/>
    <x v="6"/>
    <n v="164"/>
    <x v="2"/>
    <x v="0"/>
    <x v="491"/>
    <x v="0"/>
    <s v="DISCOUNT NOT ALLOWED"/>
    <s v="discount not allowed"/>
    <s v="DISCOUNT NOT ALLOWED"/>
    <s v="Discount Not Allowed"/>
    <s v="01/01/23"/>
  </r>
  <r>
    <s v="TXN_4273287"/>
    <s v="CUST_15"/>
    <x v="7"/>
    <x v="7"/>
    <x v="0"/>
    <x v="6"/>
    <n v="164"/>
    <x v="1"/>
    <x v="1"/>
    <x v="424"/>
    <x v="1"/>
    <s v="DISCOUNT ALLOWED"/>
    <s v="discount allowed"/>
    <s v="DISCOUNT ALLOWED"/>
    <s v="Discount Allowed"/>
    <s v="25/08/24"/>
  </r>
  <r>
    <s v="TXN_4399010"/>
    <s v="CUST_11"/>
    <x v="5"/>
    <x v="5"/>
    <x v="0"/>
    <x v="6"/>
    <n v="164"/>
    <x v="0"/>
    <x v="0"/>
    <x v="130"/>
    <x v="0"/>
    <s v="DISCOUNT NOT ALLOWED"/>
    <s v="discount not allowed"/>
    <s v="DISCOUNT NOT ALLOWED"/>
    <s v="Discount Not Allowed"/>
    <s v="21/09/23"/>
  </r>
  <r>
    <s v="TXN_4469536"/>
    <s v="CUST_11"/>
    <x v="2"/>
    <x v="2"/>
    <x v="0"/>
    <x v="6"/>
    <n v="164"/>
    <x v="1"/>
    <x v="1"/>
    <x v="217"/>
    <x v="1"/>
    <s v="DISCOUNT ALLOWED"/>
    <s v="discount allowed"/>
    <s v="DISCOUNT ALLOWED"/>
    <s v="Discount Allowed"/>
    <s v="12/01/24"/>
  </r>
  <r>
    <s v="TXN_4528572"/>
    <s v="CUST_14"/>
    <x v="3"/>
    <x v="3"/>
    <x v="0"/>
    <x v="6"/>
    <n v="164"/>
    <x v="0"/>
    <x v="0"/>
    <x v="878"/>
    <x v="0"/>
    <s v="DISCOUNT NOT ALLOWED"/>
    <s v="discount not allowed"/>
    <s v="DISCOUNT NOT ALLOWED"/>
    <s v="Discount Not Allowed"/>
    <s v="13/10/22"/>
  </r>
  <r>
    <s v="TXN_4641997"/>
    <s v="CUST_03"/>
    <x v="6"/>
    <x v="6"/>
    <x v="0"/>
    <x v="6"/>
    <n v="164"/>
    <x v="2"/>
    <x v="0"/>
    <x v="989"/>
    <x v="1"/>
    <s v="DISCOUNT ALLOWED"/>
    <s v="discount allowed"/>
    <s v="DISCOUNT ALLOWED"/>
    <s v="Discount Allowed"/>
    <s v="09/10/24"/>
  </r>
  <r>
    <s v="TXN_4699940"/>
    <s v="CUST_17"/>
    <x v="5"/>
    <x v="5"/>
    <x v="0"/>
    <x v="6"/>
    <n v="164"/>
    <x v="1"/>
    <x v="1"/>
    <x v="5"/>
    <x v="1"/>
    <s v="DISCOUNT ALLOWED"/>
    <s v="discount allowed"/>
    <s v="DISCOUNT ALLOWED"/>
    <s v="Discount Allowed"/>
    <s v="19/01/22"/>
  </r>
  <r>
    <s v="TXN_5080396"/>
    <s v="CUST_04"/>
    <x v="3"/>
    <x v="3"/>
    <x v="0"/>
    <x v="6"/>
    <n v="164"/>
    <x v="0"/>
    <x v="0"/>
    <x v="177"/>
    <x v="1"/>
    <s v="DISCOUNT ALLOWED"/>
    <s v="discount allowed"/>
    <s v="DISCOUNT ALLOWED"/>
    <s v="Discount Allowed"/>
    <s v="14/06/24"/>
  </r>
  <r>
    <s v="TXN_5095185"/>
    <s v="CUST_05"/>
    <x v="1"/>
    <x v="1"/>
    <x v="0"/>
    <x v="6"/>
    <n v="164"/>
    <x v="2"/>
    <x v="1"/>
    <x v="243"/>
    <x v="1"/>
    <s v="DISCOUNT ALLOWED"/>
    <s v="discount allowed"/>
    <s v="DISCOUNT ALLOWED"/>
    <s v="Discount Allowed"/>
    <s v="21/07/24"/>
  </r>
  <r>
    <s v="TXN_5449031"/>
    <s v="CUST_23"/>
    <x v="2"/>
    <x v="2"/>
    <x v="0"/>
    <x v="6"/>
    <n v="164"/>
    <x v="0"/>
    <x v="0"/>
    <x v="390"/>
    <x v="0"/>
    <s v="DISCOUNT NOT ALLOWED"/>
    <s v="discount not allowed"/>
    <s v="DISCOUNT NOT ALLOWED"/>
    <s v="Discount Not Allowed"/>
    <s v="22/11/24"/>
  </r>
  <r>
    <s v="TXN_5578636"/>
    <s v="CUST_23"/>
    <x v="7"/>
    <x v="7"/>
    <x v="0"/>
    <x v="6"/>
    <n v="164"/>
    <x v="2"/>
    <x v="0"/>
    <x v="493"/>
    <x v="0"/>
    <s v="DISCOUNT NOT ALLOWED"/>
    <s v="discount not allowed"/>
    <s v="DISCOUNT NOT ALLOWED"/>
    <s v="Discount Not Allowed"/>
    <s v="03/06/24"/>
  </r>
  <r>
    <s v="TXN_5637756"/>
    <s v="CUST_19"/>
    <x v="5"/>
    <x v="5"/>
    <x v="0"/>
    <x v="6"/>
    <n v="164"/>
    <x v="1"/>
    <x v="0"/>
    <x v="604"/>
    <x v="0"/>
    <s v="DISCOUNT NOT ALLOWED"/>
    <s v="discount not allowed"/>
    <s v="DISCOUNT NOT ALLOWED"/>
    <s v="Discount Not Allowed"/>
    <s v="28/01/24"/>
  </r>
  <r>
    <s v="TXN_6008281"/>
    <s v="CUST_19"/>
    <x v="2"/>
    <x v="2"/>
    <x v="0"/>
    <x v="6"/>
    <n v="164"/>
    <x v="1"/>
    <x v="1"/>
    <x v="112"/>
    <x v="0"/>
    <s v="DISCOUNT NOT ALLOWED"/>
    <s v="discount not allowed"/>
    <s v="DISCOUNT NOT ALLOWED"/>
    <s v="Discount Not Allowed"/>
    <s v="29/06/24"/>
  </r>
  <r>
    <s v="TXN_6167313"/>
    <s v="CUST_17"/>
    <x v="4"/>
    <x v="4"/>
    <x v="0"/>
    <x v="6"/>
    <n v="164"/>
    <x v="0"/>
    <x v="1"/>
    <x v="753"/>
    <x v="1"/>
    <s v="DISCOUNT ALLOWED"/>
    <s v="discount allowed"/>
    <s v="DISCOUNT ALLOWED"/>
    <s v="Discount Allowed"/>
    <s v="12/01/25"/>
  </r>
  <r>
    <s v="TXN_6271863"/>
    <s v="CUST_15"/>
    <x v="2"/>
    <x v="2"/>
    <x v="0"/>
    <x v="6"/>
    <n v="164"/>
    <x v="2"/>
    <x v="1"/>
    <x v="635"/>
    <x v="1"/>
    <s v="DISCOUNT ALLOWED"/>
    <s v="discount allowed"/>
    <s v="DISCOUNT ALLOWED"/>
    <s v="Discount Allowed"/>
    <s v="26/11/23"/>
  </r>
  <r>
    <s v="TXN_6287445"/>
    <s v="CUST_19"/>
    <x v="3"/>
    <x v="3"/>
    <x v="0"/>
    <x v="6"/>
    <n v="164"/>
    <x v="1"/>
    <x v="0"/>
    <x v="561"/>
    <x v="0"/>
    <s v="DISCOUNT NOT ALLOWED"/>
    <s v="discount not allowed"/>
    <s v="DISCOUNT NOT ALLOWED"/>
    <s v="Discount Not Allowed"/>
    <s v="27/04/24"/>
  </r>
  <r>
    <s v="TXN_6368570"/>
    <s v="CUST_10"/>
    <x v="4"/>
    <x v="4"/>
    <x v="0"/>
    <x v="6"/>
    <n v="164"/>
    <x v="1"/>
    <x v="0"/>
    <x v="390"/>
    <x v="0"/>
    <s v="DISCOUNT NOT ALLOWED"/>
    <s v="discount not allowed"/>
    <s v="DISCOUNT NOT ALLOWED"/>
    <s v="Discount Not Allowed"/>
    <s v="22/11/24"/>
  </r>
  <r>
    <s v="TXN_6460758"/>
    <s v="CUST_13"/>
    <x v="7"/>
    <x v="7"/>
    <x v="0"/>
    <x v="6"/>
    <n v="164"/>
    <x v="2"/>
    <x v="0"/>
    <x v="990"/>
    <x v="0"/>
    <s v="DISCOUNT NOT ALLOWED"/>
    <s v="discount not allowed"/>
    <s v="DISCOUNT NOT ALLOWED"/>
    <s v="Discount Not Allowed"/>
    <s v="29/07/23"/>
  </r>
  <r>
    <s v="TXN_6562034"/>
    <s v="CUST_16"/>
    <x v="4"/>
    <x v="4"/>
    <x v="0"/>
    <x v="6"/>
    <n v="164"/>
    <x v="1"/>
    <x v="0"/>
    <x v="991"/>
    <x v="1"/>
    <s v="DISCOUNT ALLOWED"/>
    <s v="discount allowed"/>
    <s v="DISCOUNT ALLOWED"/>
    <s v="Discount Allowed"/>
    <s v="08/02/23"/>
  </r>
  <r>
    <s v="TXN_6672762"/>
    <s v="CUST_05"/>
    <x v="2"/>
    <x v="2"/>
    <x v="0"/>
    <x v="6"/>
    <n v="164"/>
    <x v="0"/>
    <x v="0"/>
    <x v="992"/>
    <x v="1"/>
    <s v="DISCOUNT ALLOWED"/>
    <s v="discount allowed"/>
    <s v="DISCOUNT ALLOWED"/>
    <s v="Discount Allowed"/>
    <s v="30/09/22"/>
  </r>
  <r>
    <s v="TXN_6843971"/>
    <s v="CUST_01"/>
    <x v="1"/>
    <x v="1"/>
    <x v="0"/>
    <x v="6"/>
    <n v="164"/>
    <x v="2"/>
    <x v="1"/>
    <x v="786"/>
    <x v="1"/>
    <s v="DISCOUNT ALLOWED"/>
    <s v="discount allowed"/>
    <s v="DISCOUNT ALLOWED"/>
    <s v="Discount Allowed"/>
    <s v="07/08/22"/>
  </r>
  <r>
    <s v="TXN_7104996"/>
    <s v="CUST_15"/>
    <x v="5"/>
    <x v="5"/>
    <x v="0"/>
    <x v="6"/>
    <n v="164"/>
    <x v="2"/>
    <x v="1"/>
    <x v="398"/>
    <x v="0"/>
    <s v="DISCOUNT NOT ALLOWED"/>
    <s v="discount not allowed"/>
    <s v="DISCOUNT NOT ALLOWED"/>
    <s v="Discount Not Allowed"/>
    <s v="27/02/24"/>
  </r>
  <r>
    <s v="TXN_7182790"/>
    <s v="CUST_23"/>
    <x v="4"/>
    <x v="4"/>
    <x v="0"/>
    <x v="6"/>
    <n v="164"/>
    <x v="2"/>
    <x v="0"/>
    <x v="632"/>
    <x v="1"/>
    <s v="DISCOUNT ALLOWED"/>
    <s v="discount allowed"/>
    <s v="DISCOUNT ALLOWED"/>
    <s v="Discount Allowed"/>
    <s v="06/09/23"/>
  </r>
  <r>
    <s v="TXN_7203576"/>
    <s v="CUST_08"/>
    <x v="3"/>
    <x v="3"/>
    <x v="0"/>
    <x v="6"/>
    <n v="164"/>
    <x v="1"/>
    <x v="0"/>
    <x v="183"/>
    <x v="0"/>
    <s v="DISCOUNT NOT ALLOWED"/>
    <s v="discount not allowed"/>
    <s v="DISCOUNT NOT ALLOWED"/>
    <s v="Discount Not Allowed"/>
    <s v="31/12/23"/>
  </r>
  <r>
    <s v="TXN_7440605"/>
    <s v="CUST_10"/>
    <x v="1"/>
    <x v="1"/>
    <x v="0"/>
    <x v="6"/>
    <n v="164"/>
    <x v="0"/>
    <x v="1"/>
    <x v="610"/>
    <x v="1"/>
    <s v="DISCOUNT ALLOWED"/>
    <s v="discount allowed"/>
    <s v="DISCOUNT ALLOWED"/>
    <s v="Discount Allowed"/>
    <s v="15/08/24"/>
  </r>
  <r>
    <s v="TXN_7504005"/>
    <s v="CUST_05"/>
    <x v="1"/>
    <x v="1"/>
    <x v="0"/>
    <x v="6"/>
    <n v="164"/>
    <x v="1"/>
    <x v="1"/>
    <x v="423"/>
    <x v="0"/>
    <s v="DISCOUNT NOT ALLOWED"/>
    <s v="discount not allowed"/>
    <s v="DISCOUNT NOT ALLOWED"/>
    <s v="Discount Not Allowed"/>
    <s v="13/07/24"/>
  </r>
  <r>
    <s v="TXN_7628356"/>
    <s v="CUST_03"/>
    <x v="4"/>
    <x v="4"/>
    <x v="0"/>
    <x v="6"/>
    <n v="164"/>
    <x v="2"/>
    <x v="0"/>
    <x v="492"/>
    <x v="0"/>
    <s v="DISCOUNT NOT ALLOWED"/>
    <s v="discount not allowed"/>
    <s v="DISCOUNT NOT ALLOWED"/>
    <s v="Discount Not Allowed"/>
    <s v="29/03/24"/>
  </r>
  <r>
    <s v="TXN_7694074"/>
    <s v="CUST_05"/>
    <x v="3"/>
    <x v="3"/>
    <x v="0"/>
    <x v="6"/>
    <n v="164"/>
    <x v="1"/>
    <x v="1"/>
    <x v="52"/>
    <x v="1"/>
    <s v="DISCOUNT ALLOWED"/>
    <s v="discount allowed"/>
    <s v="DISCOUNT ALLOWED"/>
    <s v="Discount Allowed"/>
    <s v="05/12/24"/>
  </r>
  <r>
    <s v="TXN_8141257"/>
    <s v="CUST_09"/>
    <x v="1"/>
    <x v="1"/>
    <x v="0"/>
    <x v="6"/>
    <n v="164"/>
    <x v="0"/>
    <x v="1"/>
    <x v="979"/>
    <x v="1"/>
    <s v="DISCOUNT ALLOWED"/>
    <s v="discount allowed"/>
    <s v="DISCOUNT ALLOWED"/>
    <s v="Discount Allowed"/>
    <s v="11/01/24"/>
  </r>
  <r>
    <s v="TXN_8275640"/>
    <s v="CUST_24"/>
    <x v="3"/>
    <x v="3"/>
    <x v="0"/>
    <x v="6"/>
    <n v="164"/>
    <x v="1"/>
    <x v="1"/>
    <x v="31"/>
    <x v="0"/>
    <s v="DISCOUNT NOT ALLOWED"/>
    <s v="discount not allowed"/>
    <s v="DISCOUNT NOT ALLOWED"/>
    <s v="Discount Not Allowed"/>
    <s v="05/07/22"/>
  </r>
  <r>
    <s v="TXN_8584185"/>
    <s v="CUST_08"/>
    <x v="7"/>
    <x v="7"/>
    <x v="0"/>
    <x v="6"/>
    <n v="164"/>
    <x v="2"/>
    <x v="0"/>
    <x v="134"/>
    <x v="0"/>
    <s v="DISCOUNT NOT ALLOWED"/>
    <s v="discount not allowed"/>
    <s v="DISCOUNT NOT ALLOWED"/>
    <s v="Discount Not Allowed"/>
    <s v="11/02/22"/>
  </r>
  <r>
    <s v="TXN_8662127"/>
    <s v="CUST_11"/>
    <x v="4"/>
    <x v="4"/>
    <x v="0"/>
    <x v="6"/>
    <n v="164"/>
    <x v="0"/>
    <x v="1"/>
    <x v="429"/>
    <x v="1"/>
    <s v="DISCOUNT ALLOWED"/>
    <s v="discount allowed"/>
    <s v="DISCOUNT ALLOWED"/>
    <s v="Discount Allowed"/>
    <s v="18/03/24"/>
  </r>
  <r>
    <s v="TXN_8789507"/>
    <s v="CUST_01"/>
    <x v="5"/>
    <x v="5"/>
    <x v="0"/>
    <x v="6"/>
    <n v="164"/>
    <x v="0"/>
    <x v="1"/>
    <x v="290"/>
    <x v="1"/>
    <s v="DISCOUNT ALLOWED"/>
    <s v="discount allowed"/>
    <s v="DISCOUNT ALLOWED"/>
    <s v="Discount Allowed"/>
    <s v="30/09/23"/>
  </r>
  <r>
    <s v="TXN_9925623"/>
    <s v="CUST_25"/>
    <x v="1"/>
    <x v="1"/>
    <x v="0"/>
    <x v="6"/>
    <n v="164"/>
    <x v="2"/>
    <x v="0"/>
    <x v="993"/>
    <x v="0"/>
    <s v="DISCOUNT NOT ALLOWED"/>
    <s v="discount not allowed"/>
    <s v="DISCOUNT NOT ALLOWED"/>
    <s v="Discount Not Allowed"/>
    <s v="20/08/22"/>
  </r>
  <r>
    <s v="TXN_1039114"/>
    <s v="CUST_08"/>
    <x v="7"/>
    <x v="96"/>
    <x v="12"/>
    <x v="3"/>
    <n v="161"/>
    <x v="1"/>
    <x v="1"/>
    <x v="666"/>
    <x v="0"/>
    <s v="DISCOUNT NOT ALLOWED"/>
    <s v="discount not allowed"/>
    <s v="DISCOUNT NOT ALLOWED"/>
    <s v="Discount Not Allowed"/>
    <s v="19/12/23"/>
  </r>
  <r>
    <s v="TXN_2024171"/>
    <s v="CUST_05"/>
    <x v="3"/>
    <x v="95"/>
    <x v="12"/>
    <x v="3"/>
    <n v="161"/>
    <x v="0"/>
    <x v="0"/>
    <x v="753"/>
    <x v="1"/>
    <s v="DISCOUNT ALLOWED"/>
    <s v="discount allowed"/>
    <s v="DISCOUNT ALLOWED"/>
    <s v="Discount Allowed"/>
    <s v="12/01/25"/>
  </r>
  <r>
    <s v="TXN_2256322"/>
    <s v="CUST_09"/>
    <x v="5"/>
    <x v="97"/>
    <x v="12"/>
    <x v="3"/>
    <n v="161"/>
    <x v="2"/>
    <x v="0"/>
    <x v="716"/>
    <x v="1"/>
    <s v="DISCOUNT ALLOWED"/>
    <s v="discount allowed"/>
    <s v="DISCOUNT ALLOWED"/>
    <s v="Discount Allowed"/>
    <s v="19/05/22"/>
  </r>
  <r>
    <s v="TXN_2494638"/>
    <s v="CUST_24"/>
    <x v="3"/>
    <x v="95"/>
    <x v="12"/>
    <x v="3"/>
    <n v="161"/>
    <x v="1"/>
    <x v="1"/>
    <x v="730"/>
    <x v="0"/>
    <s v="DISCOUNT NOT ALLOWED"/>
    <s v="discount not allowed"/>
    <s v="DISCOUNT NOT ALLOWED"/>
    <s v="Discount Not Allowed"/>
    <s v="11/08/22"/>
  </r>
  <r>
    <s v="TXN_2850248"/>
    <s v="CUST_15"/>
    <x v="3"/>
    <x v="95"/>
    <x v="12"/>
    <x v="3"/>
    <n v="161"/>
    <x v="2"/>
    <x v="0"/>
    <x v="171"/>
    <x v="1"/>
    <s v="DISCOUNT ALLOWED"/>
    <s v="discount allowed"/>
    <s v="DISCOUNT ALLOWED"/>
    <s v="Discount Allowed"/>
    <s v="30/07/24"/>
  </r>
  <r>
    <s v="TXN_2908355"/>
    <s v="CUST_16"/>
    <x v="0"/>
    <x v="98"/>
    <x v="12"/>
    <x v="3"/>
    <n v="161"/>
    <x v="0"/>
    <x v="0"/>
    <x v="622"/>
    <x v="0"/>
    <s v="DISCOUNT NOT ALLOWED"/>
    <s v="discount not allowed"/>
    <s v="DISCOUNT NOT ALLOWED"/>
    <s v="Discount Not Allowed"/>
    <s v="23/10/22"/>
  </r>
  <r>
    <s v="TXN_2979465"/>
    <s v="CUST_21"/>
    <x v="5"/>
    <x v="97"/>
    <x v="12"/>
    <x v="3"/>
    <n v="161"/>
    <x v="0"/>
    <x v="1"/>
    <x v="619"/>
    <x v="0"/>
    <s v="DISCOUNT NOT ALLOWED"/>
    <s v="discount not allowed"/>
    <s v="DISCOUNT NOT ALLOWED"/>
    <s v="Discount Not Allowed"/>
    <s v="15/09/24"/>
  </r>
  <r>
    <s v="TXN_3839676"/>
    <s v="CUST_09"/>
    <x v="0"/>
    <x v="98"/>
    <x v="12"/>
    <x v="3"/>
    <n v="161"/>
    <x v="2"/>
    <x v="1"/>
    <x v="296"/>
    <x v="0"/>
    <s v="DISCOUNT NOT ALLOWED"/>
    <s v="discount not allowed"/>
    <s v="DISCOUNT NOT ALLOWED"/>
    <s v="Discount Not Allowed"/>
    <s v="06/11/24"/>
  </r>
  <r>
    <s v="TXN_4037215"/>
    <s v="CUST_04"/>
    <x v="3"/>
    <x v="95"/>
    <x v="12"/>
    <x v="3"/>
    <n v="161"/>
    <x v="0"/>
    <x v="1"/>
    <x v="841"/>
    <x v="1"/>
    <s v="DISCOUNT ALLOWED"/>
    <s v="discount allowed"/>
    <s v="DISCOUNT ALLOWED"/>
    <s v="Discount Allowed"/>
    <s v="14/06/23"/>
  </r>
  <r>
    <s v="TXN_4161318"/>
    <s v="CUST_21"/>
    <x v="5"/>
    <x v="97"/>
    <x v="12"/>
    <x v="3"/>
    <n v="161"/>
    <x v="2"/>
    <x v="0"/>
    <x v="497"/>
    <x v="0"/>
    <s v="DISCOUNT NOT ALLOWED"/>
    <s v="discount not allowed"/>
    <s v="DISCOUNT NOT ALLOWED"/>
    <s v="Discount Not Allowed"/>
    <s v="18/08/23"/>
  </r>
  <r>
    <s v="TXN_4169720"/>
    <s v="CUST_12"/>
    <x v="3"/>
    <x v="95"/>
    <x v="12"/>
    <x v="3"/>
    <n v="161"/>
    <x v="2"/>
    <x v="1"/>
    <x v="271"/>
    <x v="1"/>
    <s v="DISCOUNT ALLOWED"/>
    <s v="discount allowed"/>
    <s v="DISCOUNT ALLOWED"/>
    <s v="Discount Allowed"/>
    <s v="26/11/22"/>
  </r>
  <r>
    <s v="TXN_4452945"/>
    <s v="CUST_13"/>
    <x v="5"/>
    <x v="97"/>
    <x v="12"/>
    <x v="3"/>
    <n v="161"/>
    <x v="0"/>
    <x v="0"/>
    <x v="221"/>
    <x v="0"/>
    <s v="DISCOUNT NOT ALLOWED"/>
    <s v="discount not allowed"/>
    <s v="DISCOUNT NOT ALLOWED"/>
    <s v="Discount Not Allowed"/>
    <s v="20/11/24"/>
  </r>
  <r>
    <s v="TXN_4626993"/>
    <s v="CUST_24"/>
    <x v="3"/>
    <x v="95"/>
    <x v="12"/>
    <x v="3"/>
    <n v="161"/>
    <x v="2"/>
    <x v="0"/>
    <x v="143"/>
    <x v="0"/>
    <s v="DISCOUNT NOT ALLOWED"/>
    <s v="discount not allowed"/>
    <s v="DISCOUNT NOT ALLOWED"/>
    <s v="Discount Not Allowed"/>
    <s v="23/08/23"/>
  </r>
  <r>
    <s v="TXN_4675506"/>
    <s v="CUST_15"/>
    <x v="4"/>
    <x v="94"/>
    <x v="12"/>
    <x v="3"/>
    <n v="161"/>
    <x v="2"/>
    <x v="0"/>
    <x v="193"/>
    <x v="1"/>
    <s v="DISCOUNT ALLOWED"/>
    <s v="discount allowed"/>
    <s v="DISCOUNT ALLOWED"/>
    <s v="Discount Allowed"/>
    <s v="08/01/22"/>
  </r>
  <r>
    <s v="TXN_5140377"/>
    <s v="CUST_04"/>
    <x v="3"/>
    <x v="95"/>
    <x v="12"/>
    <x v="3"/>
    <n v="161"/>
    <x v="0"/>
    <x v="0"/>
    <x v="669"/>
    <x v="0"/>
    <s v="DISCOUNT NOT ALLOWED"/>
    <s v="discount not allowed"/>
    <s v="DISCOUNT NOT ALLOWED"/>
    <s v="Discount Not Allowed"/>
    <s v="23/01/22"/>
  </r>
  <r>
    <s v="TXN_5481214"/>
    <s v="CUST_14"/>
    <x v="7"/>
    <x v="96"/>
    <x v="12"/>
    <x v="3"/>
    <n v="161"/>
    <x v="2"/>
    <x v="0"/>
    <x v="167"/>
    <x v="0"/>
    <s v="DISCOUNT NOT ALLOWED"/>
    <s v="discount not allowed"/>
    <s v="DISCOUNT NOT ALLOWED"/>
    <s v="Discount Not Allowed"/>
    <s v="16/04/22"/>
  </r>
  <r>
    <s v="TXN_5532386"/>
    <s v="CUST_02"/>
    <x v="0"/>
    <x v="98"/>
    <x v="12"/>
    <x v="3"/>
    <n v="161"/>
    <x v="2"/>
    <x v="0"/>
    <x v="94"/>
    <x v="1"/>
    <s v="DISCOUNT ALLOWED"/>
    <s v="discount allowed"/>
    <s v="DISCOUNT ALLOWED"/>
    <s v="Discount Allowed"/>
    <s v="19/03/24"/>
  </r>
  <r>
    <s v="TXN_5700321"/>
    <s v="CUST_09"/>
    <x v="6"/>
    <x v="93"/>
    <x v="12"/>
    <x v="3"/>
    <n v="161"/>
    <x v="1"/>
    <x v="1"/>
    <x v="607"/>
    <x v="1"/>
    <s v="DISCOUNT ALLOWED"/>
    <s v="discount allowed"/>
    <s v="DISCOUNT ALLOWED"/>
    <s v="Discount Allowed"/>
    <s v="25/08/22"/>
  </r>
  <r>
    <s v="TXN_6185500"/>
    <s v="CUST_22"/>
    <x v="6"/>
    <x v="93"/>
    <x v="12"/>
    <x v="3"/>
    <n v="161"/>
    <x v="1"/>
    <x v="1"/>
    <x v="161"/>
    <x v="1"/>
    <s v="DISCOUNT ALLOWED"/>
    <s v="discount allowed"/>
    <s v="DISCOUNT ALLOWED"/>
    <s v="Discount Allowed"/>
    <s v="04/06/24"/>
  </r>
  <r>
    <s v="TXN_6339700"/>
    <s v="CUST_15"/>
    <x v="0"/>
    <x v="98"/>
    <x v="12"/>
    <x v="3"/>
    <n v="161"/>
    <x v="2"/>
    <x v="0"/>
    <x v="906"/>
    <x v="1"/>
    <s v="DISCOUNT ALLOWED"/>
    <s v="discount allowed"/>
    <s v="DISCOUNT ALLOWED"/>
    <s v="Discount Allowed"/>
    <s v="27/01/22"/>
  </r>
  <r>
    <s v="TXN_6490745"/>
    <s v="CUST_04"/>
    <x v="4"/>
    <x v="94"/>
    <x v="12"/>
    <x v="3"/>
    <n v="161"/>
    <x v="1"/>
    <x v="1"/>
    <x v="551"/>
    <x v="0"/>
    <s v="DISCOUNT NOT ALLOWED"/>
    <s v="discount not allowed"/>
    <s v="DISCOUNT NOT ALLOWED"/>
    <s v="Discount Not Allowed"/>
    <s v="01/12/24"/>
  </r>
  <r>
    <s v="TXN_7507547"/>
    <s v="CUST_11"/>
    <x v="5"/>
    <x v="97"/>
    <x v="12"/>
    <x v="3"/>
    <n v="161"/>
    <x v="0"/>
    <x v="1"/>
    <x v="651"/>
    <x v="0"/>
    <s v="DISCOUNT NOT ALLOWED"/>
    <s v="discount not allowed"/>
    <s v="DISCOUNT NOT ALLOWED"/>
    <s v="Discount Not Allowed"/>
    <s v="01/05/22"/>
  </r>
  <r>
    <s v="TXN_7814081"/>
    <s v="CUST_17"/>
    <x v="0"/>
    <x v="98"/>
    <x v="12"/>
    <x v="3"/>
    <n v="161"/>
    <x v="1"/>
    <x v="0"/>
    <x v="250"/>
    <x v="0"/>
    <s v="DISCOUNT NOT ALLOWED"/>
    <s v="discount not allowed"/>
    <s v="DISCOUNT NOT ALLOWED"/>
    <s v="Discount Not Allowed"/>
    <s v="21/05/24"/>
  </r>
  <r>
    <s v="TXN_8041482"/>
    <s v="CUST_05"/>
    <x v="4"/>
    <x v="94"/>
    <x v="12"/>
    <x v="3"/>
    <n v="161"/>
    <x v="0"/>
    <x v="0"/>
    <x v="719"/>
    <x v="0"/>
    <s v="DISCOUNT NOT ALLOWED"/>
    <s v="discount not allowed"/>
    <s v="DISCOUNT NOT ALLOWED"/>
    <s v="Discount Not Allowed"/>
    <s v="28/11/22"/>
  </r>
  <r>
    <s v="TXN_8111105"/>
    <s v="CUST_06"/>
    <x v="4"/>
    <x v="94"/>
    <x v="12"/>
    <x v="3"/>
    <n v="161"/>
    <x v="2"/>
    <x v="0"/>
    <x v="374"/>
    <x v="0"/>
    <s v="DISCOUNT NOT ALLOWED"/>
    <s v="discount not allowed"/>
    <s v="DISCOUNT NOT ALLOWED"/>
    <s v="Discount Not Allowed"/>
    <s v="04/10/24"/>
  </r>
  <r>
    <s v="TXN_8286464"/>
    <s v="CUST_18"/>
    <x v="3"/>
    <x v="95"/>
    <x v="12"/>
    <x v="3"/>
    <n v="161"/>
    <x v="2"/>
    <x v="1"/>
    <x v="669"/>
    <x v="1"/>
    <s v="DISCOUNT ALLOWED"/>
    <s v="discount allowed"/>
    <s v="DISCOUNT ALLOWED"/>
    <s v="Discount Allowed"/>
    <s v="23/01/22"/>
  </r>
  <r>
    <s v="TXN_8344839"/>
    <s v="CUST_02"/>
    <x v="3"/>
    <x v="95"/>
    <x v="12"/>
    <x v="3"/>
    <n v="161"/>
    <x v="0"/>
    <x v="0"/>
    <x v="674"/>
    <x v="0"/>
    <s v="DISCOUNT NOT ALLOWED"/>
    <s v="discount not allowed"/>
    <s v="DISCOUNT NOT ALLOWED"/>
    <s v="Discount Not Allowed"/>
    <s v="26/09/23"/>
  </r>
  <r>
    <s v="TXN_8359279"/>
    <s v="CUST_20"/>
    <x v="4"/>
    <x v="94"/>
    <x v="12"/>
    <x v="3"/>
    <n v="161"/>
    <x v="1"/>
    <x v="0"/>
    <x v="866"/>
    <x v="0"/>
    <s v="DISCOUNT NOT ALLOWED"/>
    <s v="discount not allowed"/>
    <s v="DISCOUNT NOT ALLOWED"/>
    <s v="Discount Not Allowed"/>
    <s v="04/10/22"/>
  </r>
  <r>
    <s v="TXN_8533361"/>
    <s v="CUST_07"/>
    <x v="4"/>
    <x v="94"/>
    <x v="12"/>
    <x v="3"/>
    <n v="161"/>
    <x v="2"/>
    <x v="1"/>
    <x v="881"/>
    <x v="1"/>
    <s v="DISCOUNT ALLOWED"/>
    <s v="discount allowed"/>
    <s v="DISCOUNT ALLOWED"/>
    <s v="Discount Allowed"/>
    <s v="14/12/24"/>
  </r>
  <r>
    <s v="TXN_8694833"/>
    <s v="CUST_18"/>
    <x v="0"/>
    <x v="98"/>
    <x v="12"/>
    <x v="3"/>
    <n v="161"/>
    <x v="0"/>
    <x v="1"/>
    <x v="290"/>
    <x v="0"/>
    <s v="DISCOUNT NOT ALLOWED"/>
    <s v="discount not allowed"/>
    <s v="DISCOUNT NOT ALLOWED"/>
    <s v="Discount Not Allowed"/>
    <s v="30/09/23"/>
  </r>
  <r>
    <s v="TXN_8702111"/>
    <s v="CUST_02"/>
    <x v="6"/>
    <x v="93"/>
    <x v="12"/>
    <x v="3"/>
    <n v="161"/>
    <x v="1"/>
    <x v="0"/>
    <x v="770"/>
    <x v="0"/>
    <s v="DISCOUNT NOT ALLOWED"/>
    <s v="discount not allowed"/>
    <s v="DISCOUNT NOT ALLOWED"/>
    <s v="Discount Not Allowed"/>
    <s v="03/02/24"/>
  </r>
  <r>
    <s v="TXN_8713017"/>
    <s v="CUST_02"/>
    <x v="6"/>
    <x v="93"/>
    <x v="12"/>
    <x v="3"/>
    <n v="161"/>
    <x v="2"/>
    <x v="0"/>
    <x v="473"/>
    <x v="1"/>
    <s v="DISCOUNT ALLOWED"/>
    <s v="discount allowed"/>
    <s v="DISCOUNT ALLOWED"/>
    <s v="Discount Allowed"/>
    <s v="02/12/24"/>
  </r>
  <r>
    <s v="TXN_8842777"/>
    <s v="CUST_23"/>
    <x v="7"/>
    <x v="96"/>
    <x v="12"/>
    <x v="3"/>
    <n v="161"/>
    <x v="1"/>
    <x v="1"/>
    <x v="144"/>
    <x v="0"/>
    <s v="DISCOUNT NOT ALLOWED"/>
    <s v="discount not allowed"/>
    <s v="DISCOUNT NOT ALLOWED"/>
    <s v="Discount Not Allowed"/>
    <s v="08/11/24"/>
  </r>
  <r>
    <s v="TXN_8961010"/>
    <s v="CUST_07"/>
    <x v="6"/>
    <x v="93"/>
    <x v="12"/>
    <x v="3"/>
    <n v="161"/>
    <x v="2"/>
    <x v="1"/>
    <x v="475"/>
    <x v="0"/>
    <s v="DISCOUNT NOT ALLOWED"/>
    <s v="discount not allowed"/>
    <s v="DISCOUNT NOT ALLOWED"/>
    <s v="Discount Not Allowed"/>
    <s v="03/09/24"/>
  </r>
  <r>
    <s v="TXN_9207641"/>
    <s v="CUST_24"/>
    <x v="0"/>
    <x v="98"/>
    <x v="12"/>
    <x v="3"/>
    <n v="161"/>
    <x v="1"/>
    <x v="0"/>
    <x v="262"/>
    <x v="0"/>
    <s v="DISCOUNT NOT ALLOWED"/>
    <s v="discount not allowed"/>
    <s v="DISCOUNT NOT ALLOWED"/>
    <s v="Discount Not Allowed"/>
    <s v="20/12/24"/>
  </r>
  <r>
    <s v="TXN_9457212"/>
    <s v="CUST_17"/>
    <x v="5"/>
    <x v="97"/>
    <x v="12"/>
    <x v="3"/>
    <n v="161"/>
    <x v="0"/>
    <x v="0"/>
    <x v="140"/>
    <x v="1"/>
    <s v="DISCOUNT ALLOWED"/>
    <s v="discount allowed"/>
    <s v="DISCOUNT ALLOWED"/>
    <s v="Discount Allowed"/>
    <s v="13/03/22"/>
  </r>
  <r>
    <s v="TXN_1222659"/>
    <s v="CUST_17"/>
    <x v="1"/>
    <x v="50"/>
    <x v="6"/>
    <x v="5"/>
    <n v="160"/>
    <x v="0"/>
    <x v="1"/>
    <x v="642"/>
    <x v="1"/>
    <s v="DISCOUNT ALLOWED"/>
    <s v="discount allowed"/>
    <s v="DISCOUNT ALLOWED"/>
    <s v="Discount Allowed"/>
    <s v="22/06/22"/>
  </r>
  <r>
    <s v="TXN_1243810"/>
    <s v="CUST_15"/>
    <x v="2"/>
    <x v="113"/>
    <x v="14"/>
    <x v="2"/>
    <n v="160"/>
    <x v="1"/>
    <x v="0"/>
    <x v="516"/>
    <x v="1"/>
    <s v="DISCOUNT ALLOWED"/>
    <s v="discount allowed"/>
    <s v="DISCOUNT ALLOWED"/>
    <s v="Discount Allowed"/>
    <s v="28/12/23"/>
  </r>
  <r>
    <s v="TXN_1321193"/>
    <s v="CUST_01"/>
    <x v="0"/>
    <x v="47"/>
    <x v="6"/>
    <x v="5"/>
    <n v="160"/>
    <x v="1"/>
    <x v="0"/>
    <x v="479"/>
    <x v="1"/>
    <s v="DISCOUNT ALLOWED"/>
    <s v="discount allowed"/>
    <s v="DISCOUNT ALLOWED"/>
    <s v="Discount Allowed"/>
    <s v="17/03/22"/>
  </r>
  <r>
    <s v="TXN_1400912"/>
    <s v="CUST_16"/>
    <x v="0"/>
    <x v="115"/>
    <x v="14"/>
    <x v="2"/>
    <n v="160"/>
    <x v="0"/>
    <x v="0"/>
    <x v="669"/>
    <x v="1"/>
    <s v="DISCOUNT ALLOWED"/>
    <s v="discount allowed"/>
    <s v="DISCOUNT ALLOWED"/>
    <s v="Discount Allowed"/>
    <s v="23/01/22"/>
  </r>
  <r>
    <s v="TXN_1463899"/>
    <s v="CUST_01"/>
    <x v="5"/>
    <x v="48"/>
    <x v="6"/>
    <x v="5"/>
    <n v="160"/>
    <x v="1"/>
    <x v="0"/>
    <x v="2"/>
    <x v="0"/>
    <s v="DISCOUNT NOT ALLOWED"/>
    <s v="discount not allowed"/>
    <s v="DISCOUNT NOT ALLOWED"/>
    <s v="Discount Not Allowed"/>
    <s v="04/11/22"/>
  </r>
  <r>
    <s v="TXN_1558304"/>
    <s v="CUST_22"/>
    <x v="0"/>
    <x v="115"/>
    <x v="14"/>
    <x v="2"/>
    <n v="160"/>
    <x v="2"/>
    <x v="0"/>
    <x v="994"/>
    <x v="0"/>
    <s v="DISCOUNT NOT ALLOWED"/>
    <s v="discount not allowed"/>
    <s v="DISCOUNT NOT ALLOWED"/>
    <s v="Discount Not Allowed"/>
    <s v="10/03/24"/>
  </r>
  <r>
    <s v="TXN_1593038"/>
    <s v="CUST_10"/>
    <x v="7"/>
    <x v="110"/>
    <x v="14"/>
    <x v="2"/>
    <n v="160"/>
    <x v="0"/>
    <x v="0"/>
    <x v="276"/>
    <x v="1"/>
    <s v="DISCOUNT ALLOWED"/>
    <s v="discount allowed"/>
    <s v="DISCOUNT ALLOWED"/>
    <s v="Discount Allowed"/>
    <s v="27/02/23"/>
  </r>
  <r>
    <s v="TXN_1733096"/>
    <s v="CUST_10"/>
    <x v="2"/>
    <x v="113"/>
    <x v="14"/>
    <x v="2"/>
    <n v="160"/>
    <x v="1"/>
    <x v="0"/>
    <x v="649"/>
    <x v="0"/>
    <s v="DISCOUNT NOT ALLOWED"/>
    <s v="discount not allowed"/>
    <s v="DISCOUNT NOT ALLOWED"/>
    <s v="Discount Not Allowed"/>
    <s v="11/06/23"/>
  </r>
  <r>
    <s v="TXN_1966846"/>
    <s v="CUST_10"/>
    <x v="1"/>
    <x v="50"/>
    <x v="6"/>
    <x v="5"/>
    <n v="160"/>
    <x v="1"/>
    <x v="0"/>
    <x v="597"/>
    <x v="1"/>
    <s v="DISCOUNT ALLOWED"/>
    <s v="discount allowed"/>
    <s v="DISCOUNT ALLOWED"/>
    <s v="Discount Allowed"/>
    <s v="10/09/22"/>
  </r>
  <r>
    <s v="TXN_2012246"/>
    <s v="CUST_17"/>
    <x v="2"/>
    <x v="113"/>
    <x v="14"/>
    <x v="2"/>
    <n v="160"/>
    <x v="2"/>
    <x v="1"/>
    <x v="542"/>
    <x v="0"/>
    <s v="DISCOUNT NOT ALLOWED"/>
    <s v="discount not allowed"/>
    <s v="DISCOUNT NOT ALLOWED"/>
    <s v="Discount Not Allowed"/>
    <s v="28/08/23"/>
  </r>
  <r>
    <s v="TXN_2025713"/>
    <s v="CUST_06"/>
    <x v="6"/>
    <x v="49"/>
    <x v="6"/>
    <x v="5"/>
    <n v="160"/>
    <x v="0"/>
    <x v="1"/>
    <x v="737"/>
    <x v="1"/>
    <s v="DISCOUNT ALLOWED"/>
    <s v="discount allowed"/>
    <s v="DISCOUNT ALLOWED"/>
    <s v="Discount Allowed"/>
    <s v="21/11/24"/>
  </r>
  <r>
    <s v="TXN_2253495"/>
    <s v="CUST_21"/>
    <x v="3"/>
    <x v="46"/>
    <x v="6"/>
    <x v="5"/>
    <n v="160"/>
    <x v="0"/>
    <x v="0"/>
    <x v="644"/>
    <x v="0"/>
    <s v="DISCOUNT NOT ALLOWED"/>
    <s v="discount not allowed"/>
    <s v="DISCOUNT NOT ALLOWED"/>
    <s v="Discount Not Allowed"/>
    <s v="25/06/24"/>
  </r>
  <r>
    <s v="TXN_2459628"/>
    <s v="CUST_25"/>
    <x v="4"/>
    <x v="109"/>
    <x v="14"/>
    <x v="2"/>
    <n v="160"/>
    <x v="2"/>
    <x v="1"/>
    <x v="909"/>
    <x v="0"/>
    <s v="DISCOUNT NOT ALLOWED"/>
    <s v="discount not allowed"/>
    <s v="DISCOUNT NOT ALLOWED"/>
    <s v="Discount Not Allowed"/>
    <s v="07/03/24"/>
  </r>
  <r>
    <s v="TXN_2595699"/>
    <s v="CUST_24"/>
    <x v="1"/>
    <x v="50"/>
    <x v="6"/>
    <x v="5"/>
    <n v="160"/>
    <x v="2"/>
    <x v="1"/>
    <x v="995"/>
    <x v="0"/>
    <s v="DISCOUNT NOT ALLOWED"/>
    <s v="discount not allowed"/>
    <s v="DISCOUNT NOT ALLOWED"/>
    <s v="Discount Not Allowed"/>
    <s v="16/06/22"/>
  </r>
  <r>
    <s v="TXN_3088457"/>
    <s v="CUST_16"/>
    <x v="7"/>
    <x v="110"/>
    <x v="14"/>
    <x v="2"/>
    <n v="160"/>
    <x v="0"/>
    <x v="1"/>
    <x v="996"/>
    <x v="0"/>
    <s v="DISCOUNT NOT ALLOWED"/>
    <s v="discount not allowed"/>
    <s v="DISCOUNT NOT ALLOWED"/>
    <s v="Discount Not Allowed"/>
    <s v="27/04/23"/>
  </r>
  <r>
    <s v="TXN_3201793"/>
    <s v="CUST_20"/>
    <x v="2"/>
    <x v="85"/>
    <x v="6"/>
    <x v="5"/>
    <n v="160"/>
    <x v="2"/>
    <x v="1"/>
    <x v="953"/>
    <x v="0"/>
    <s v="DISCOUNT NOT ALLOWED"/>
    <s v="discount not allowed"/>
    <s v="DISCOUNT NOT ALLOWED"/>
    <s v="Discount Not Allowed"/>
    <s v="25/01/23"/>
  </r>
  <r>
    <s v="TXN_3346189"/>
    <s v="CUST_09"/>
    <x v="0"/>
    <x v="115"/>
    <x v="14"/>
    <x v="2"/>
    <n v="160"/>
    <x v="1"/>
    <x v="0"/>
    <x v="551"/>
    <x v="1"/>
    <s v="DISCOUNT ALLOWED"/>
    <s v="discount allowed"/>
    <s v="DISCOUNT ALLOWED"/>
    <s v="Discount Allowed"/>
    <s v="01/12/24"/>
  </r>
  <r>
    <s v="TXN_3723814"/>
    <s v="CUST_20"/>
    <x v="0"/>
    <x v="115"/>
    <x v="14"/>
    <x v="2"/>
    <n v="160"/>
    <x v="2"/>
    <x v="0"/>
    <x v="556"/>
    <x v="0"/>
    <s v="DISCOUNT NOT ALLOWED"/>
    <s v="discount not allowed"/>
    <s v="DISCOUNT NOT ALLOWED"/>
    <s v="Discount Not Allowed"/>
    <s v="16/02/24"/>
  </r>
  <r>
    <s v="TXN_3774966"/>
    <s v="CUST_08"/>
    <x v="1"/>
    <x v="114"/>
    <x v="14"/>
    <x v="2"/>
    <n v="160"/>
    <x v="1"/>
    <x v="0"/>
    <x v="187"/>
    <x v="1"/>
    <s v="DISCOUNT ALLOWED"/>
    <s v="discount allowed"/>
    <s v="DISCOUNT ALLOWED"/>
    <s v="Discount Allowed"/>
    <s v="18/02/23"/>
  </r>
  <r>
    <s v="TXN_3893340"/>
    <s v="CUST_05"/>
    <x v="5"/>
    <x v="48"/>
    <x v="6"/>
    <x v="5"/>
    <n v="160"/>
    <x v="0"/>
    <x v="0"/>
    <x v="89"/>
    <x v="1"/>
    <s v="DISCOUNT ALLOWED"/>
    <s v="discount allowed"/>
    <s v="DISCOUNT ALLOWED"/>
    <s v="Discount Allowed"/>
    <s v="14/01/22"/>
  </r>
  <r>
    <s v="TXN_4206956"/>
    <s v="CUST_20"/>
    <x v="2"/>
    <x v="113"/>
    <x v="14"/>
    <x v="2"/>
    <n v="160"/>
    <x v="0"/>
    <x v="1"/>
    <x v="276"/>
    <x v="1"/>
    <s v="DISCOUNT ALLOWED"/>
    <s v="discount allowed"/>
    <s v="DISCOUNT ALLOWED"/>
    <s v="Discount Allowed"/>
    <s v="27/02/23"/>
  </r>
  <r>
    <s v="TXN_4290895"/>
    <s v="CUST_13"/>
    <x v="6"/>
    <x v="112"/>
    <x v="14"/>
    <x v="2"/>
    <n v="160"/>
    <x v="1"/>
    <x v="0"/>
    <x v="61"/>
    <x v="0"/>
    <s v="DISCOUNT NOT ALLOWED"/>
    <s v="discount not allowed"/>
    <s v="DISCOUNT NOT ALLOWED"/>
    <s v="Discount Not Allowed"/>
    <s v="18/01/23"/>
  </r>
  <r>
    <s v="TXN_4452311"/>
    <s v="CUST_23"/>
    <x v="1"/>
    <x v="114"/>
    <x v="14"/>
    <x v="2"/>
    <n v="160"/>
    <x v="2"/>
    <x v="0"/>
    <x v="212"/>
    <x v="1"/>
    <s v="DISCOUNT ALLOWED"/>
    <s v="discount allowed"/>
    <s v="DISCOUNT ALLOWED"/>
    <s v="Discount Allowed"/>
    <s v="10/12/22"/>
  </r>
  <r>
    <s v="TXN_4574096"/>
    <s v="CUST_13"/>
    <x v="0"/>
    <x v="115"/>
    <x v="14"/>
    <x v="2"/>
    <n v="160"/>
    <x v="1"/>
    <x v="1"/>
    <x v="335"/>
    <x v="1"/>
    <s v="DISCOUNT ALLOWED"/>
    <s v="discount allowed"/>
    <s v="DISCOUNT ALLOWED"/>
    <s v="Discount Allowed"/>
    <s v="02/01/25"/>
  </r>
  <r>
    <s v="TXN_4974603"/>
    <s v="CUST_10"/>
    <x v="6"/>
    <x v="112"/>
    <x v="14"/>
    <x v="2"/>
    <n v="160"/>
    <x v="0"/>
    <x v="0"/>
    <x v="279"/>
    <x v="1"/>
    <s v="DISCOUNT ALLOWED"/>
    <s v="discount allowed"/>
    <s v="DISCOUNT ALLOWED"/>
    <s v="Discount Allowed"/>
    <s v="06/01/23"/>
  </r>
  <r>
    <s v="TXN_5391293"/>
    <s v="CUST_07"/>
    <x v="2"/>
    <x v="113"/>
    <x v="14"/>
    <x v="2"/>
    <n v="160"/>
    <x v="0"/>
    <x v="0"/>
    <x v="223"/>
    <x v="0"/>
    <s v="DISCOUNT NOT ALLOWED"/>
    <s v="discount not allowed"/>
    <s v="DISCOUNT NOT ALLOWED"/>
    <s v="Discount Not Allowed"/>
    <s v="29/12/24"/>
  </r>
  <r>
    <s v="TXN_5569187"/>
    <s v="CUST_24"/>
    <x v="3"/>
    <x v="46"/>
    <x v="6"/>
    <x v="5"/>
    <n v="160"/>
    <x v="2"/>
    <x v="0"/>
    <x v="149"/>
    <x v="0"/>
    <s v="DISCOUNT NOT ALLOWED"/>
    <s v="discount not allowed"/>
    <s v="DISCOUNT NOT ALLOWED"/>
    <s v="Discount Not Allowed"/>
    <s v="13/06/22"/>
  </r>
  <r>
    <s v="TXN_5597910"/>
    <s v="CUST_01"/>
    <x v="6"/>
    <x v="49"/>
    <x v="6"/>
    <x v="5"/>
    <n v="160"/>
    <x v="0"/>
    <x v="1"/>
    <x v="997"/>
    <x v="1"/>
    <s v="DISCOUNT ALLOWED"/>
    <s v="discount allowed"/>
    <s v="DISCOUNT ALLOWED"/>
    <s v="Discount Allowed"/>
    <s v="31/07/22"/>
  </r>
  <r>
    <s v="TXN_5684370"/>
    <s v="CUST_11"/>
    <x v="6"/>
    <x v="49"/>
    <x v="6"/>
    <x v="5"/>
    <n v="160"/>
    <x v="1"/>
    <x v="1"/>
    <x v="218"/>
    <x v="1"/>
    <s v="DISCOUNT ALLOWED"/>
    <s v="discount allowed"/>
    <s v="DISCOUNT ALLOWED"/>
    <s v="Discount Allowed"/>
    <s v="06/10/22"/>
  </r>
  <r>
    <s v="TXN_5856641"/>
    <s v="CUST_25"/>
    <x v="0"/>
    <x v="47"/>
    <x v="6"/>
    <x v="5"/>
    <n v="160"/>
    <x v="2"/>
    <x v="1"/>
    <x v="817"/>
    <x v="0"/>
    <s v="DISCOUNT NOT ALLOWED"/>
    <s v="discount not allowed"/>
    <s v="DISCOUNT NOT ALLOWED"/>
    <s v="Discount Not Allowed"/>
    <s v="07/02/23"/>
  </r>
  <r>
    <s v="TXN_5880645"/>
    <s v="CUST_25"/>
    <x v="1"/>
    <x v="50"/>
    <x v="6"/>
    <x v="5"/>
    <n v="160"/>
    <x v="0"/>
    <x v="0"/>
    <x v="552"/>
    <x v="1"/>
    <s v="DISCOUNT ALLOWED"/>
    <s v="discount allowed"/>
    <s v="DISCOUNT ALLOWED"/>
    <s v="Discount Allowed"/>
    <s v="22/09/24"/>
  </r>
  <r>
    <s v="TXN_6091744"/>
    <s v="CUST_12"/>
    <x v="3"/>
    <x v="46"/>
    <x v="6"/>
    <x v="5"/>
    <n v="160"/>
    <x v="2"/>
    <x v="0"/>
    <x v="405"/>
    <x v="1"/>
    <s v="DISCOUNT ALLOWED"/>
    <s v="discount allowed"/>
    <s v="DISCOUNT ALLOWED"/>
    <s v="Discount Allowed"/>
    <s v="28/10/22"/>
  </r>
  <r>
    <s v="TXN_6375385"/>
    <s v="CUST_24"/>
    <x v="2"/>
    <x v="113"/>
    <x v="14"/>
    <x v="2"/>
    <n v="160"/>
    <x v="0"/>
    <x v="0"/>
    <x v="95"/>
    <x v="0"/>
    <s v="DISCOUNT NOT ALLOWED"/>
    <s v="discount not allowed"/>
    <s v="DISCOUNT NOT ALLOWED"/>
    <s v="Discount Not Allowed"/>
    <s v="07/06/23"/>
  </r>
  <r>
    <s v="TXN_6470137"/>
    <s v="CUST_10"/>
    <x v="0"/>
    <x v="47"/>
    <x v="6"/>
    <x v="5"/>
    <n v="160"/>
    <x v="2"/>
    <x v="0"/>
    <x v="380"/>
    <x v="1"/>
    <s v="DISCOUNT ALLOWED"/>
    <s v="discount allowed"/>
    <s v="DISCOUNT ALLOWED"/>
    <s v="Discount Allowed"/>
    <s v="20/07/24"/>
  </r>
  <r>
    <s v="TXN_6666623"/>
    <s v="CUST_22"/>
    <x v="0"/>
    <x v="115"/>
    <x v="14"/>
    <x v="2"/>
    <n v="160"/>
    <x v="0"/>
    <x v="0"/>
    <x v="947"/>
    <x v="0"/>
    <s v="DISCOUNT NOT ALLOWED"/>
    <s v="discount not allowed"/>
    <s v="DISCOUNT NOT ALLOWED"/>
    <s v="Discount Not Allowed"/>
    <s v="28/09/22"/>
  </r>
  <r>
    <s v="TXN_6734375"/>
    <s v="CUST_23"/>
    <x v="5"/>
    <x v="111"/>
    <x v="14"/>
    <x v="2"/>
    <n v="160"/>
    <x v="2"/>
    <x v="1"/>
    <x v="497"/>
    <x v="0"/>
    <s v="DISCOUNT NOT ALLOWED"/>
    <s v="discount not allowed"/>
    <s v="DISCOUNT NOT ALLOWED"/>
    <s v="Discount Not Allowed"/>
    <s v="18/08/23"/>
  </r>
  <r>
    <s v="TXN_7112439"/>
    <s v="CUST_14"/>
    <x v="0"/>
    <x v="47"/>
    <x v="6"/>
    <x v="5"/>
    <n v="160"/>
    <x v="0"/>
    <x v="0"/>
    <x v="578"/>
    <x v="0"/>
    <s v="DISCOUNT NOT ALLOWED"/>
    <s v="discount not allowed"/>
    <s v="DISCOUNT NOT ALLOWED"/>
    <s v="Discount Not Allowed"/>
    <s v="02/11/22"/>
  </r>
  <r>
    <s v="TXN_7275004"/>
    <s v="CUST_14"/>
    <x v="6"/>
    <x v="49"/>
    <x v="6"/>
    <x v="5"/>
    <n v="160"/>
    <x v="0"/>
    <x v="1"/>
    <x v="861"/>
    <x v="0"/>
    <s v="DISCOUNT NOT ALLOWED"/>
    <s v="discount not allowed"/>
    <s v="DISCOUNT NOT ALLOWED"/>
    <s v="Discount Not Allowed"/>
    <s v="14/08/24"/>
  </r>
  <r>
    <s v="TXN_7300159"/>
    <s v="CUST_05"/>
    <x v="0"/>
    <x v="47"/>
    <x v="6"/>
    <x v="5"/>
    <n v="160"/>
    <x v="2"/>
    <x v="1"/>
    <x v="792"/>
    <x v="0"/>
    <s v="DISCOUNT NOT ALLOWED"/>
    <s v="discount not allowed"/>
    <s v="DISCOUNT NOT ALLOWED"/>
    <s v="Discount Not Allowed"/>
    <s v="10/11/23"/>
  </r>
  <r>
    <s v="TXN_7304271"/>
    <s v="CUST_16"/>
    <x v="2"/>
    <x v="113"/>
    <x v="14"/>
    <x v="2"/>
    <n v="160"/>
    <x v="1"/>
    <x v="1"/>
    <x v="354"/>
    <x v="1"/>
    <s v="DISCOUNT ALLOWED"/>
    <s v="discount allowed"/>
    <s v="DISCOUNT ALLOWED"/>
    <s v="Discount Allowed"/>
    <s v="02/05/23"/>
  </r>
  <r>
    <s v="TXN_7425088"/>
    <s v="CUST_07"/>
    <x v="6"/>
    <x v="49"/>
    <x v="6"/>
    <x v="5"/>
    <n v="160"/>
    <x v="2"/>
    <x v="1"/>
    <x v="998"/>
    <x v="0"/>
    <s v="DISCOUNT NOT ALLOWED"/>
    <s v="discount not allowed"/>
    <s v="DISCOUNT NOT ALLOWED"/>
    <s v="Discount Not Allowed"/>
    <s v="25/03/22"/>
  </r>
  <r>
    <s v="TXN_7468191"/>
    <s v="CUST_07"/>
    <x v="0"/>
    <x v="47"/>
    <x v="6"/>
    <x v="5"/>
    <n v="160"/>
    <x v="2"/>
    <x v="1"/>
    <x v="489"/>
    <x v="0"/>
    <s v="DISCOUNT NOT ALLOWED"/>
    <s v="discount not allowed"/>
    <s v="DISCOUNT NOT ALLOWED"/>
    <s v="Discount Not Allowed"/>
    <s v="12/01/22"/>
  </r>
  <r>
    <s v="TXN_7529501"/>
    <s v="CUST_18"/>
    <x v="2"/>
    <x v="113"/>
    <x v="14"/>
    <x v="2"/>
    <n v="160"/>
    <x v="1"/>
    <x v="0"/>
    <x v="448"/>
    <x v="0"/>
    <s v="DISCOUNT NOT ALLOWED"/>
    <s v="discount not allowed"/>
    <s v="DISCOUNT NOT ALLOWED"/>
    <s v="Discount Not Allowed"/>
    <s v="13/11/23"/>
  </r>
  <r>
    <s v="TXN_7581358"/>
    <s v="CUST_07"/>
    <x v="0"/>
    <x v="115"/>
    <x v="14"/>
    <x v="2"/>
    <n v="160"/>
    <x v="1"/>
    <x v="0"/>
    <x v="456"/>
    <x v="1"/>
    <s v="DISCOUNT ALLOWED"/>
    <s v="discount allowed"/>
    <s v="DISCOUNT ALLOWED"/>
    <s v="Discount Allowed"/>
    <s v="18/07/24"/>
  </r>
  <r>
    <s v="TXN_7630017"/>
    <s v="CUST_20"/>
    <x v="1"/>
    <x v="114"/>
    <x v="14"/>
    <x v="2"/>
    <n v="160"/>
    <x v="1"/>
    <x v="0"/>
    <x v="339"/>
    <x v="0"/>
    <s v="DISCOUNT NOT ALLOWED"/>
    <s v="discount not allowed"/>
    <s v="DISCOUNT NOT ALLOWED"/>
    <s v="Discount Not Allowed"/>
    <s v="03/09/22"/>
  </r>
  <r>
    <s v="TXN_7882600"/>
    <s v="CUST_03"/>
    <x v="0"/>
    <x v="115"/>
    <x v="14"/>
    <x v="2"/>
    <n v="160"/>
    <x v="2"/>
    <x v="0"/>
    <x v="167"/>
    <x v="0"/>
    <s v="DISCOUNT NOT ALLOWED"/>
    <s v="discount not allowed"/>
    <s v="DISCOUNT NOT ALLOWED"/>
    <s v="Discount Not Allowed"/>
    <s v="16/04/22"/>
  </r>
  <r>
    <s v="TXN_7941679"/>
    <s v="CUST_12"/>
    <x v="6"/>
    <x v="49"/>
    <x v="6"/>
    <x v="5"/>
    <n v="160"/>
    <x v="2"/>
    <x v="0"/>
    <x v="359"/>
    <x v="1"/>
    <s v="DISCOUNT ALLOWED"/>
    <s v="discount allowed"/>
    <s v="DISCOUNT ALLOWED"/>
    <s v="Discount Allowed"/>
    <s v="09/08/22"/>
  </r>
  <r>
    <s v="TXN_8024803"/>
    <s v="CUST_09"/>
    <x v="2"/>
    <x v="113"/>
    <x v="14"/>
    <x v="2"/>
    <n v="160"/>
    <x v="0"/>
    <x v="1"/>
    <x v="868"/>
    <x v="0"/>
    <s v="DISCOUNT NOT ALLOWED"/>
    <s v="discount not allowed"/>
    <s v="DISCOUNT NOT ALLOWED"/>
    <s v="Discount Not Allowed"/>
    <s v="22/08/24"/>
  </r>
  <r>
    <s v="TXN_8201653"/>
    <s v="CUST_06"/>
    <x v="3"/>
    <x v="46"/>
    <x v="6"/>
    <x v="5"/>
    <n v="160"/>
    <x v="0"/>
    <x v="0"/>
    <x v="153"/>
    <x v="0"/>
    <s v="DISCOUNT NOT ALLOWED"/>
    <s v="discount not allowed"/>
    <s v="DISCOUNT NOT ALLOWED"/>
    <s v="Discount Not Allowed"/>
    <s v="28/05/23"/>
  </r>
  <r>
    <s v="TXN_8267845"/>
    <s v="CUST_14"/>
    <x v="6"/>
    <x v="112"/>
    <x v="14"/>
    <x v="2"/>
    <n v="160"/>
    <x v="1"/>
    <x v="1"/>
    <x v="999"/>
    <x v="1"/>
    <s v="DISCOUNT ALLOWED"/>
    <s v="discount allowed"/>
    <s v="DISCOUNT ALLOWED"/>
    <s v="Discount Allowed"/>
    <s v="13/02/24"/>
  </r>
  <r>
    <s v="TXN_8300194"/>
    <s v="CUST_09"/>
    <x v="4"/>
    <x v="109"/>
    <x v="14"/>
    <x v="2"/>
    <n v="160"/>
    <x v="1"/>
    <x v="0"/>
    <x v="836"/>
    <x v="0"/>
    <s v="DISCOUNT NOT ALLOWED"/>
    <s v="discount not allowed"/>
    <s v="DISCOUNT NOT ALLOWED"/>
    <s v="Discount Not Allowed"/>
    <s v="22/05/22"/>
  </r>
  <r>
    <s v="TXN_8785041"/>
    <s v="CUST_13"/>
    <x v="1"/>
    <x v="50"/>
    <x v="6"/>
    <x v="5"/>
    <n v="160"/>
    <x v="0"/>
    <x v="1"/>
    <x v="340"/>
    <x v="0"/>
    <s v="DISCOUNT NOT ALLOWED"/>
    <s v="discount not allowed"/>
    <s v="DISCOUNT NOT ALLOWED"/>
    <s v="Discount Not Allowed"/>
    <s v="05/03/22"/>
  </r>
  <r>
    <s v="TXN_8887502"/>
    <s v="CUST_21"/>
    <x v="4"/>
    <x v="109"/>
    <x v="14"/>
    <x v="2"/>
    <n v="160"/>
    <x v="0"/>
    <x v="0"/>
    <x v="1"/>
    <x v="1"/>
    <s v="DISCOUNT ALLOWED"/>
    <s v="discount allowed"/>
    <s v="DISCOUNT ALLOWED"/>
    <s v="Discount Allowed"/>
    <s v="01/04/23"/>
  </r>
  <r>
    <s v="TXN_8892083"/>
    <s v="CUST_11"/>
    <x v="4"/>
    <x v="109"/>
    <x v="14"/>
    <x v="2"/>
    <n v="160"/>
    <x v="1"/>
    <x v="1"/>
    <x v="245"/>
    <x v="0"/>
    <s v="DISCOUNT NOT ALLOWED"/>
    <s v="discount not allowed"/>
    <s v="DISCOUNT NOT ALLOWED"/>
    <s v="Discount Not Allowed"/>
    <s v="03/02/23"/>
  </r>
  <r>
    <s v="TXN_9080405"/>
    <s v="CUST_05"/>
    <x v="4"/>
    <x v="109"/>
    <x v="14"/>
    <x v="2"/>
    <n v="160"/>
    <x v="2"/>
    <x v="1"/>
    <x v="585"/>
    <x v="0"/>
    <s v="DISCOUNT NOT ALLOWED"/>
    <s v="discount not allowed"/>
    <s v="DISCOUNT NOT ALLOWED"/>
    <s v="Discount Not Allowed"/>
    <s v="15/07/22"/>
  </r>
  <r>
    <s v="TXN_9094922"/>
    <s v="CUST_23"/>
    <x v="5"/>
    <x v="48"/>
    <x v="6"/>
    <x v="5"/>
    <n v="160"/>
    <x v="2"/>
    <x v="1"/>
    <x v="879"/>
    <x v="0"/>
    <s v="DISCOUNT NOT ALLOWED"/>
    <s v="discount not allowed"/>
    <s v="DISCOUNT NOT ALLOWED"/>
    <s v="Discount Not Allowed"/>
    <s v="12/07/22"/>
  </r>
  <r>
    <s v="TXN_9234803"/>
    <s v="CUST_10"/>
    <x v="3"/>
    <x v="126"/>
    <x v="14"/>
    <x v="2"/>
    <n v="160"/>
    <x v="1"/>
    <x v="1"/>
    <x v="896"/>
    <x v="1"/>
    <s v="DISCOUNT ALLOWED"/>
    <s v="discount allowed"/>
    <s v="DISCOUNT ALLOWED"/>
    <s v="Discount Allowed"/>
    <s v="14/02/22"/>
  </r>
  <r>
    <s v="TXN_9236082"/>
    <s v="CUST_19"/>
    <x v="6"/>
    <x v="112"/>
    <x v="14"/>
    <x v="2"/>
    <n v="160"/>
    <x v="1"/>
    <x v="0"/>
    <x v="492"/>
    <x v="0"/>
    <s v="DISCOUNT NOT ALLOWED"/>
    <s v="discount not allowed"/>
    <s v="DISCOUNT NOT ALLOWED"/>
    <s v="Discount Not Allowed"/>
    <s v="29/03/24"/>
  </r>
  <r>
    <s v="TXN_9455438"/>
    <s v="CUST_17"/>
    <x v="6"/>
    <x v="49"/>
    <x v="6"/>
    <x v="5"/>
    <n v="160"/>
    <x v="2"/>
    <x v="1"/>
    <x v="209"/>
    <x v="0"/>
    <s v="DISCOUNT NOT ALLOWED"/>
    <s v="discount not allowed"/>
    <s v="DISCOUNT NOT ALLOWED"/>
    <s v="Discount Not Allowed"/>
    <s v="01/07/23"/>
  </r>
  <r>
    <s v="TXN_9469288"/>
    <s v="CUST_13"/>
    <x v="7"/>
    <x v="110"/>
    <x v="14"/>
    <x v="2"/>
    <n v="160"/>
    <x v="0"/>
    <x v="0"/>
    <x v="946"/>
    <x v="0"/>
    <s v="DISCOUNT NOT ALLOWED"/>
    <s v="discount not allowed"/>
    <s v="DISCOUNT NOT ALLOWED"/>
    <s v="Discount Not Allowed"/>
    <s v="25/11/24"/>
  </r>
  <r>
    <s v="TXN_9471719"/>
    <s v="CUST_15"/>
    <x v="2"/>
    <x v="85"/>
    <x v="6"/>
    <x v="5"/>
    <n v="160"/>
    <x v="2"/>
    <x v="0"/>
    <x v="257"/>
    <x v="0"/>
    <s v="DISCOUNT NOT ALLOWED"/>
    <s v="discount not allowed"/>
    <s v="DISCOUNT NOT ALLOWED"/>
    <s v="Discount Not Allowed"/>
    <s v="09/11/24"/>
  </r>
  <r>
    <s v="TXN_9501320"/>
    <s v="CUST_24"/>
    <x v="1"/>
    <x v="114"/>
    <x v="14"/>
    <x v="2"/>
    <n v="160"/>
    <x v="2"/>
    <x v="0"/>
    <x v="781"/>
    <x v="0"/>
    <s v="DISCOUNT NOT ALLOWED"/>
    <s v="discount not allowed"/>
    <s v="DISCOUNT NOT ALLOWED"/>
    <s v="Discount Not Allowed"/>
    <s v="14/07/22"/>
  </r>
  <r>
    <s v="TXN_9531274"/>
    <s v="CUST_12"/>
    <x v="6"/>
    <x v="49"/>
    <x v="6"/>
    <x v="5"/>
    <n v="160"/>
    <x v="0"/>
    <x v="0"/>
    <x v="178"/>
    <x v="0"/>
    <s v="DISCOUNT NOT ALLOWED"/>
    <s v="discount not allowed"/>
    <s v="DISCOUNT NOT ALLOWED"/>
    <s v="Discount Not Allowed"/>
    <s v="21/10/24"/>
  </r>
  <r>
    <s v="TXN_9576418"/>
    <s v="CUST_15"/>
    <x v="1"/>
    <x v="114"/>
    <x v="14"/>
    <x v="2"/>
    <n v="160"/>
    <x v="2"/>
    <x v="0"/>
    <x v="781"/>
    <x v="1"/>
    <s v="DISCOUNT ALLOWED"/>
    <s v="discount allowed"/>
    <s v="DISCOUNT ALLOWED"/>
    <s v="Discount Allowed"/>
    <s v="14/07/22"/>
  </r>
  <r>
    <s v="TXN_9579985"/>
    <s v="CUST_11"/>
    <x v="2"/>
    <x v="113"/>
    <x v="14"/>
    <x v="2"/>
    <n v="160"/>
    <x v="0"/>
    <x v="1"/>
    <x v="7"/>
    <x v="1"/>
    <s v="DISCOUNT ALLOWED"/>
    <s v="discount allowed"/>
    <s v="DISCOUNT ALLOWED"/>
    <s v="Discount Allowed"/>
    <s v="23/02/22"/>
  </r>
  <r>
    <s v="TXN_9831254"/>
    <s v="CUST_11"/>
    <x v="7"/>
    <x v="45"/>
    <x v="6"/>
    <x v="5"/>
    <n v="160"/>
    <x v="2"/>
    <x v="0"/>
    <x v="948"/>
    <x v="1"/>
    <s v="DISCOUNT ALLOWED"/>
    <s v="discount allowed"/>
    <s v="DISCOUNT ALLOWED"/>
    <s v="Discount Allowed"/>
    <s v="04/12/22"/>
  </r>
  <r>
    <s v="TXN_1474758"/>
    <s v="CUST_16"/>
    <x v="2"/>
    <x v="9"/>
    <x v="1"/>
    <x v="6"/>
    <n v="158"/>
    <x v="2"/>
    <x v="1"/>
    <x v="584"/>
    <x v="1"/>
    <s v="DISCOUNT ALLOWED"/>
    <s v="discount allowed"/>
    <s v="DISCOUNT ALLOWED"/>
    <s v="Discount Allowed"/>
    <s v="08/04/23"/>
  </r>
  <r>
    <s v="TXN_1518573"/>
    <s v="CUST_11"/>
    <x v="2"/>
    <x v="9"/>
    <x v="1"/>
    <x v="6"/>
    <n v="158"/>
    <x v="0"/>
    <x v="0"/>
    <x v="555"/>
    <x v="1"/>
    <s v="DISCOUNT ALLOWED"/>
    <s v="discount allowed"/>
    <s v="DISCOUNT ALLOWED"/>
    <s v="Discount Allowed"/>
    <s v="28/08/24"/>
  </r>
  <r>
    <s v="TXN_1907425"/>
    <s v="CUST_05"/>
    <x v="1"/>
    <x v="8"/>
    <x v="1"/>
    <x v="6"/>
    <n v="158"/>
    <x v="1"/>
    <x v="1"/>
    <x v="901"/>
    <x v="0"/>
    <s v="DISCOUNT NOT ALLOWED"/>
    <s v="discount not allowed"/>
    <s v="DISCOUNT NOT ALLOWED"/>
    <s v="Discount Not Allowed"/>
    <s v="28/07/24"/>
  </r>
  <r>
    <s v="TXN_3218492"/>
    <s v="CUST_03"/>
    <x v="0"/>
    <x v="14"/>
    <x v="1"/>
    <x v="6"/>
    <n v="158"/>
    <x v="2"/>
    <x v="0"/>
    <x v="936"/>
    <x v="0"/>
    <s v="DISCOUNT NOT ALLOWED"/>
    <s v="discount not allowed"/>
    <s v="DISCOUNT NOT ALLOWED"/>
    <s v="Discount Not Allowed"/>
    <s v="25/01/22"/>
  </r>
  <r>
    <s v="TXN_3298194"/>
    <s v="CUST_06"/>
    <x v="2"/>
    <x v="9"/>
    <x v="1"/>
    <x v="6"/>
    <n v="158"/>
    <x v="2"/>
    <x v="1"/>
    <x v="898"/>
    <x v="0"/>
    <s v="DISCOUNT NOT ALLOWED"/>
    <s v="discount not allowed"/>
    <s v="DISCOUNT NOT ALLOWED"/>
    <s v="Discount Not Allowed"/>
    <s v="10/02/23"/>
  </r>
  <r>
    <s v="TXN_3604299"/>
    <s v="CUST_07"/>
    <x v="2"/>
    <x v="9"/>
    <x v="1"/>
    <x v="6"/>
    <n v="158"/>
    <x v="0"/>
    <x v="0"/>
    <x v="669"/>
    <x v="1"/>
    <s v="DISCOUNT ALLOWED"/>
    <s v="discount allowed"/>
    <s v="DISCOUNT ALLOWED"/>
    <s v="Discount Allowed"/>
    <s v="23/01/22"/>
  </r>
  <r>
    <s v="TXN_3922622"/>
    <s v="CUST_19"/>
    <x v="2"/>
    <x v="9"/>
    <x v="1"/>
    <x v="6"/>
    <n v="158"/>
    <x v="0"/>
    <x v="0"/>
    <x v="1000"/>
    <x v="1"/>
    <s v="DISCOUNT ALLOWED"/>
    <s v="discount allowed"/>
    <s v="DISCOUNT ALLOWED"/>
    <s v="Discount Allowed"/>
    <s v="03/03/22"/>
  </r>
  <r>
    <s v="TXN_4187730"/>
    <s v="CUST_23"/>
    <x v="2"/>
    <x v="9"/>
    <x v="1"/>
    <x v="6"/>
    <n v="158"/>
    <x v="0"/>
    <x v="0"/>
    <x v="946"/>
    <x v="0"/>
    <s v="DISCOUNT NOT ALLOWED"/>
    <s v="discount not allowed"/>
    <s v="DISCOUNT NOT ALLOWED"/>
    <s v="Discount Not Allowed"/>
    <s v="25/11/24"/>
  </r>
  <r>
    <s v="TXN_4596184"/>
    <s v="CUST_17"/>
    <x v="4"/>
    <x v="11"/>
    <x v="1"/>
    <x v="6"/>
    <n v="158"/>
    <x v="0"/>
    <x v="0"/>
    <x v="137"/>
    <x v="0"/>
    <s v="DISCOUNT NOT ALLOWED"/>
    <s v="discount not allowed"/>
    <s v="DISCOUNT NOT ALLOWED"/>
    <s v="Discount Not Allowed"/>
    <s v="24/11/23"/>
  </r>
  <r>
    <s v="TXN_4893054"/>
    <s v="CUST_19"/>
    <x v="3"/>
    <x v="12"/>
    <x v="1"/>
    <x v="6"/>
    <n v="158"/>
    <x v="0"/>
    <x v="1"/>
    <x v="901"/>
    <x v="1"/>
    <s v="DISCOUNT ALLOWED"/>
    <s v="discount allowed"/>
    <s v="DISCOUNT ALLOWED"/>
    <s v="Discount Allowed"/>
    <s v="28/07/24"/>
  </r>
  <r>
    <s v="TXN_5012256"/>
    <s v="CUST_10"/>
    <x v="2"/>
    <x v="9"/>
    <x v="1"/>
    <x v="6"/>
    <n v="158"/>
    <x v="0"/>
    <x v="1"/>
    <x v="167"/>
    <x v="0"/>
    <s v="DISCOUNT NOT ALLOWED"/>
    <s v="discount not allowed"/>
    <s v="DISCOUNT NOT ALLOWED"/>
    <s v="Discount Not Allowed"/>
    <s v="16/04/22"/>
  </r>
  <r>
    <s v="TXN_5289156"/>
    <s v="CUST_18"/>
    <x v="2"/>
    <x v="9"/>
    <x v="1"/>
    <x v="6"/>
    <n v="158"/>
    <x v="2"/>
    <x v="0"/>
    <x v="222"/>
    <x v="0"/>
    <s v="DISCOUNT NOT ALLOWED"/>
    <s v="discount not allowed"/>
    <s v="DISCOUNT NOT ALLOWED"/>
    <s v="Discount Not Allowed"/>
    <s v="13/12/22"/>
  </r>
  <r>
    <s v="TXN_5438923"/>
    <s v="CUST_03"/>
    <x v="0"/>
    <x v="14"/>
    <x v="1"/>
    <x v="6"/>
    <n v="158"/>
    <x v="2"/>
    <x v="0"/>
    <x v="686"/>
    <x v="0"/>
    <s v="DISCOUNT NOT ALLOWED"/>
    <s v="discount not allowed"/>
    <s v="DISCOUNT NOT ALLOWED"/>
    <s v="Discount Not Allowed"/>
    <s v="21/07/23"/>
  </r>
  <r>
    <s v="TXN_5611269"/>
    <s v="CUST_23"/>
    <x v="7"/>
    <x v="10"/>
    <x v="1"/>
    <x v="6"/>
    <n v="158"/>
    <x v="2"/>
    <x v="0"/>
    <x v="185"/>
    <x v="1"/>
    <s v="DISCOUNT ALLOWED"/>
    <s v="discount allowed"/>
    <s v="DISCOUNT ALLOWED"/>
    <s v="Discount Allowed"/>
    <s v="08/08/24"/>
  </r>
  <r>
    <s v="TXN_5647023"/>
    <s v="CUST_12"/>
    <x v="2"/>
    <x v="9"/>
    <x v="1"/>
    <x v="6"/>
    <n v="158"/>
    <x v="0"/>
    <x v="1"/>
    <x v="300"/>
    <x v="1"/>
    <s v="DISCOUNT ALLOWED"/>
    <s v="discount allowed"/>
    <s v="DISCOUNT ALLOWED"/>
    <s v="Discount Allowed"/>
    <s v="14/04/22"/>
  </r>
  <r>
    <s v="TXN_8261655"/>
    <s v="CUST_01"/>
    <x v="6"/>
    <x v="51"/>
    <x v="1"/>
    <x v="6"/>
    <n v="158"/>
    <x v="0"/>
    <x v="0"/>
    <x v="1001"/>
    <x v="0"/>
    <s v="DISCOUNT NOT ALLOWED"/>
    <s v="discount not allowed"/>
    <s v="DISCOUNT NOT ALLOWED"/>
    <s v="Discount Not Allowed"/>
    <s v="03/05/23"/>
  </r>
  <r>
    <s v="TXN_8629942"/>
    <s v="CUST_20"/>
    <x v="1"/>
    <x v="8"/>
    <x v="1"/>
    <x v="6"/>
    <n v="158"/>
    <x v="1"/>
    <x v="1"/>
    <x v="1002"/>
    <x v="1"/>
    <s v="DISCOUNT ALLOWED"/>
    <s v="discount allowed"/>
    <s v="DISCOUNT ALLOWED"/>
    <s v="Discount Allowed"/>
    <s v="08/12/24"/>
  </r>
  <r>
    <s v="TXN_9105343"/>
    <s v="CUST_12"/>
    <x v="3"/>
    <x v="12"/>
    <x v="1"/>
    <x v="6"/>
    <n v="158"/>
    <x v="1"/>
    <x v="0"/>
    <x v="986"/>
    <x v="1"/>
    <s v="DISCOUNT ALLOWED"/>
    <s v="discount allowed"/>
    <s v="DISCOUNT ALLOWED"/>
    <s v="Discount Allowed"/>
    <s v="07/11/23"/>
  </r>
  <r>
    <s v="TXN_9424650"/>
    <s v="CUST_14"/>
    <x v="2"/>
    <x v="9"/>
    <x v="1"/>
    <x v="6"/>
    <n v="158"/>
    <x v="1"/>
    <x v="0"/>
    <x v="1003"/>
    <x v="1"/>
    <s v="DISCOUNT ALLOWED"/>
    <s v="discount allowed"/>
    <s v="DISCOUNT ALLOWED"/>
    <s v="Discount Allowed"/>
    <s v="09/09/24"/>
  </r>
  <r>
    <s v="TXN_1453723"/>
    <s v="CUST_14"/>
    <x v="3"/>
    <x v="80"/>
    <x v="10"/>
    <x v="4"/>
    <n v="156"/>
    <x v="1"/>
    <x v="1"/>
    <x v="997"/>
    <x v="1"/>
    <s v="DISCOUNT ALLOWED"/>
    <s v="discount allowed"/>
    <s v="DISCOUNT ALLOWED"/>
    <s v="Discount Allowed"/>
    <s v="31/07/22"/>
  </r>
  <r>
    <s v="TXN_1521020"/>
    <s v="CUST_03"/>
    <x v="6"/>
    <x v="82"/>
    <x v="10"/>
    <x v="4"/>
    <n v="156"/>
    <x v="0"/>
    <x v="0"/>
    <x v="624"/>
    <x v="1"/>
    <s v="DISCOUNT ALLOWED"/>
    <s v="discount allowed"/>
    <s v="DISCOUNT ALLOWED"/>
    <s v="Discount Allowed"/>
    <s v="30/01/22"/>
  </r>
  <r>
    <s v="TXN_1777447"/>
    <s v="CUST_08"/>
    <x v="7"/>
    <x v="83"/>
    <x v="10"/>
    <x v="4"/>
    <n v="156"/>
    <x v="2"/>
    <x v="0"/>
    <x v="657"/>
    <x v="0"/>
    <s v="DISCOUNT NOT ALLOWED"/>
    <s v="discount not allowed"/>
    <s v="DISCOUNT NOT ALLOWED"/>
    <s v="Discount Not Allowed"/>
    <s v="22/03/22"/>
  </r>
  <r>
    <s v="TXN_2237944"/>
    <s v="CUST_21"/>
    <x v="3"/>
    <x v="80"/>
    <x v="10"/>
    <x v="4"/>
    <n v="156"/>
    <x v="2"/>
    <x v="1"/>
    <x v="312"/>
    <x v="1"/>
    <s v="DISCOUNT ALLOWED"/>
    <s v="discount allowed"/>
    <s v="DISCOUNT ALLOWED"/>
    <s v="Discount Allowed"/>
    <s v="07/11/22"/>
  </r>
  <r>
    <s v="TXN_2633712"/>
    <s v="CUST_04"/>
    <x v="2"/>
    <x v="77"/>
    <x v="10"/>
    <x v="4"/>
    <n v="156"/>
    <x v="1"/>
    <x v="1"/>
    <x v="123"/>
    <x v="0"/>
    <s v="DISCOUNT NOT ALLOWED"/>
    <s v="discount not allowed"/>
    <s v="DISCOUNT NOT ALLOWED"/>
    <s v="Discount Not Allowed"/>
    <s v="14/01/23"/>
  </r>
  <r>
    <s v="TXN_2744981"/>
    <s v="CUST_24"/>
    <x v="0"/>
    <x v="84"/>
    <x v="10"/>
    <x v="4"/>
    <n v="156"/>
    <x v="1"/>
    <x v="1"/>
    <x v="320"/>
    <x v="1"/>
    <s v="DISCOUNT ALLOWED"/>
    <s v="discount allowed"/>
    <s v="DISCOUNT ALLOWED"/>
    <s v="Discount Allowed"/>
    <s v="05/01/22"/>
  </r>
  <r>
    <s v="TXN_2774355"/>
    <s v="CUST_14"/>
    <x v="1"/>
    <x v="78"/>
    <x v="10"/>
    <x v="4"/>
    <n v="156"/>
    <x v="1"/>
    <x v="1"/>
    <x v="807"/>
    <x v="1"/>
    <s v="DISCOUNT ALLOWED"/>
    <s v="discount allowed"/>
    <s v="DISCOUNT ALLOWED"/>
    <s v="Discount Allowed"/>
    <s v="19/10/23"/>
  </r>
  <r>
    <s v="TXN_3412748"/>
    <s v="CUST_04"/>
    <x v="3"/>
    <x v="80"/>
    <x v="10"/>
    <x v="4"/>
    <n v="156"/>
    <x v="0"/>
    <x v="0"/>
    <x v="227"/>
    <x v="0"/>
    <s v="DISCOUNT NOT ALLOWED"/>
    <s v="discount not allowed"/>
    <s v="DISCOUNT NOT ALLOWED"/>
    <s v="Discount Not Allowed"/>
    <s v="12/06/24"/>
  </r>
  <r>
    <s v="TXN_4050560"/>
    <s v="CUST_13"/>
    <x v="5"/>
    <x v="81"/>
    <x v="10"/>
    <x v="4"/>
    <n v="156"/>
    <x v="1"/>
    <x v="0"/>
    <x v="372"/>
    <x v="0"/>
    <s v="DISCOUNT NOT ALLOWED"/>
    <s v="discount not allowed"/>
    <s v="DISCOUNT NOT ALLOWED"/>
    <s v="Discount Not Allowed"/>
    <s v="17/07/24"/>
  </r>
  <r>
    <s v="TXN_4091555"/>
    <s v="CUST_21"/>
    <x v="3"/>
    <x v="80"/>
    <x v="10"/>
    <x v="4"/>
    <n v="156"/>
    <x v="2"/>
    <x v="0"/>
    <x v="332"/>
    <x v="1"/>
    <s v="DISCOUNT ALLOWED"/>
    <s v="discount allowed"/>
    <s v="DISCOUNT ALLOWED"/>
    <s v="Discount Allowed"/>
    <s v="01/08/22"/>
  </r>
  <r>
    <s v="TXN_4351976"/>
    <s v="CUST_15"/>
    <x v="6"/>
    <x v="82"/>
    <x v="10"/>
    <x v="4"/>
    <n v="156"/>
    <x v="1"/>
    <x v="0"/>
    <x v="633"/>
    <x v="0"/>
    <s v="DISCOUNT NOT ALLOWED"/>
    <s v="discount not allowed"/>
    <s v="DISCOUNT NOT ALLOWED"/>
    <s v="Discount Not Allowed"/>
    <s v="03/08/24"/>
  </r>
  <r>
    <s v="TXN_4523273"/>
    <s v="CUST_01"/>
    <x v="2"/>
    <x v="77"/>
    <x v="10"/>
    <x v="4"/>
    <n v="156"/>
    <x v="0"/>
    <x v="1"/>
    <x v="390"/>
    <x v="0"/>
    <s v="DISCOUNT NOT ALLOWED"/>
    <s v="discount not allowed"/>
    <s v="DISCOUNT NOT ALLOWED"/>
    <s v="Discount Not Allowed"/>
    <s v="22/11/24"/>
  </r>
  <r>
    <s v="TXN_4690086"/>
    <s v="CUST_04"/>
    <x v="1"/>
    <x v="78"/>
    <x v="10"/>
    <x v="4"/>
    <n v="156"/>
    <x v="2"/>
    <x v="0"/>
    <x v="348"/>
    <x v="0"/>
    <s v="DISCOUNT NOT ALLOWED"/>
    <s v="discount not allowed"/>
    <s v="DISCOUNT NOT ALLOWED"/>
    <s v="Discount Not Allowed"/>
    <s v="30/09/24"/>
  </r>
  <r>
    <s v="TXN_4758145"/>
    <s v="CUST_24"/>
    <x v="1"/>
    <x v="78"/>
    <x v="10"/>
    <x v="4"/>
    <n v="156"/>
    <x v="1"/>
    <x v="1"/>
    <x v="124"/>
    <x v="0"/>
    <s v="DISCOUNT NOT ALLOWED"/>
    <s v="discount not allowed"/>
    <s v="DISCOUNT NOT ALLOWED"/>
    <s v="Discount Not Allowed"/>
    <s v="19/04/22"/>
  </r>
  <r>
    <s v="TXN_4799944"/>
    <s v="CUST_06"/>
    <x v="2"/>
    <x v="77"/>
    <x v="10"/>
    <x v="4"/>
    <n v="156"/>
    <x v="0"/>
    <x v="1"/>
    <x v="234"/>
    <x v="0"/>
    <s v="DISCOUNT NOT ALLOWED"/>
    <s v="discount not allowed"/>
    <s v="DISCOUNT NOT ALLOWED"/>
    <s v="Discount Not Allowed"/>
    <s v="16/01/22"/>
  </r>
  <r>
    <s v="TXN_5518783"/>
    <s v="CUST_16"/>
    <x v="6"/>
    <x v="82"/>
    <x v="10"/>
    <x v="4"/>
    <n v="156"/>
    <x v="2"/>
    <x v="1"/>
    <x v="224"/>
    <x v="0"/>
    <s v="DISCOUNT NOT ALLOWED"/>
    <s v="discount not allowed"/>
    <s v="DISCOUNT NOT ALLOWED"/>
    <s v="Discount Not Allowed"/>
    <s v="10/06/23"/>
  </r>
  <r>
    <s v="TXN_5608512"/>
    <s v="CUST_17"/>
    <x v="3"/>
    <x v="80"/>
    <x v="10"/>
    <x v="4"/>
    <n v="156"/>
    <x v="0"/>
    <x v="0"/>
    <x v="537"/>
    <x v="1"/>
    <s v="DISCOUNT ALLOWED"/>
    <s v="discount allowed"/>
    <s v="DISCOUNT ALLOWED"/>
    <s v="Discount Allowed"/>
    <s v="27/09/22"/>
  </r>
  <r>
    <s v="TXN_5615436"/>
    <s v="CUST_07"/>
    <x v="1"/>
    <x v="78"/>
    <x v="10"/>
    <x v="4"/>
    <n v="156"/>
    <x v="1"/>
    <x v="1"/>
    <x v="163"/>
    <x v="1"/>
    <s v="DISCOUNT ALLOWED"/>
    <s v="discount allowed"/>
    <s v="DISCOUNT ALLOWED"/>
    <s v="Discount Allowed"/>
    <s v="21/07/22"/>
  </r>
  <r>
    <s v="TXN_5814800"/>
    <s v="CUST_11"/>
    <x v="5"/>
    <x v="81"/>
    <x v="10"/>
    <x v="4"/>
    <n v="156"/>
    <x v="0"/>
    <x v="1"/>
    <x v="959"/>
    <x v="1"/>
    <s v="DISCOUNT ALLOWED"/>
    <s v="discount allowed"/>
    <s v="DISCOUNT ALLOWED"/>
    <s v="Discount Allowed"/>
    <s v="13/08/24"/>
  </r>
  <r>
    <s v="TXN_5896151"/>
    <s v="CUST_21"/>
    <x v="5"/>
    <x v="81"/>
    <x v="10"/>
    <x v="4"/>
    <n v="156"/>
    <x v="0"/>
    <x v="0"/>
    <x v="534"/>
    <x v="0"/>
    <s v="DISCOUNT NOT ALLOWED"/>
    <s v="discount not allowed"/>
    <s v="DISCOUNT NOT ALLOWED"/>
    <s v="Discount Not Allowed"/>
    <s v="25/02/24"/>
  </r>
  <r>
    <s v="TXN_5960367"/>
    <s v="CUST_10"/>
    <x v="2"/>
    <x v="77"/>
    <x v="10"/>
    <x v="4"/>
    <n v="156"/>
    <x v="2"/>
    <x v="0"/>
    <x v="460"/>
    <x v="1"/>
    <s v="DISCOUNT ALLOWED"/>
    <s v="discount allowed"/>
    <s v="DISCOUNT ALLOWED"/>
    <s v="Discount Allowed"/>
    <s v="11/03/23"/>
  </r>
  <r>
    <s v="TXN_6064040"/>
    <s v="CUST_08"/>
    <x v="6"/>
    <x v="82"/>
    <x v="10"/>
    <x v="4"/>
    <n v="156"/>
    <x v="1"/>
    <x v="0"/>
    <x v="707"/>
    <x v="0"/>
    <s v="DISCOUNT NOT ALLOWED"/>
    <s v="discount not allowed"/>
    <s v="DISCOUNT NOT ALLOWED"/>
    <s v="Discount Not Allowed"/>
    <s v="08/06/23"/>
  </r>
  <r>
    <s v="TXN_6253708"/>
    <s v="CUST_12"/>
    <x v="2"/>
    <x v="77"/>
    <x v="10"/>
    <x v="4"/>
    <n v="156"/>
    <x v="0"/>
    <x v="1"/>
    <x v="1004"/>
    <x v="1"/>
    <s v="DISCOUNT ALLOWED"/>
    <s v="discount allowed"/>
    <s v="DISCOUNT ALLOWED"/>
    <s v="Discount Allowed"/>
    <s v="03/11/22"/>
  </r>
  <r>
    <s v="TXN_6318554"/>
    <s v="CUST_17"/>
    <x v="2"/>
    <x v="77"/>
    <x v="10"/>
    <x v="4"/>
    <n v="156"/>
    <x v="1"/>
    <x v="0"/>
    <x v="330"/>
    <x v="1"/>
    <s v="DISCOUNT ALLOWED"/>
    <s v="discount allowed"/>
    <s v="DISCOUNT ALLOWED"/>
    <s v="Discount Allowed"/>
    <s v="23/04/24"/>
  </r>
  <r>
    <s v="TXN_6514016"/>
    <s v="CUST_22"/>
    <x v="5"/>
    <x v="81"/>
    <x v="10"/>
    <x v="4"/>
    <n v="156"/>
    <x v="1"/>
    <x v="0"/>
    <x v="914"/>
    <x v="1"/>
    <s v="DISCOUNT ALLOWED"/>
    <s v="discount allowed"/>
    <s v="DISCOUNT ALLOWED"/>
    <s v="Discount Allowed"/>
    <s v="16/12/23"/>
  </r>
  <r>
    <s v="TXN_7015281"/>
    <s v="CUST_14"/>
    <x v="7"/>
    <x v="83"/>
    <x v="10"/>
    <x v="4"/>
    <n v="156"/>
    <x v="1"/>
    <x v="0"/>
    <x v="301"/>
    <x v="1"/>
    <s v="DISCOUNT ALLOWED"/>
    <s v="discount allowed"/>
    <s v="DISCOUNT ALLOWED"/>
    <s v="Discount Allowed"/>
    <s v="15/04/22"/>
  </r>
  <r>
    <s v="TXN_7133484"/>
    <s v="CUST_05"/>
    <x v="0"/>
    <x v="84"/>
    <x v="10"/>
    <x v="4"/>
    <n v="156"/>
    <x v="0"/>
    <x v="0"/>
    <x v="261"/>
    <x v="1"/>
    <s v="DISCOUNT ALLOWED"/>
    <s v="discount allowed"/>
    <s v="DISCOUNT ALLOWED"/>
    <s v="Discount Allowed"/>
    <s v="14/05/24"/>
  </r>
  <r>
    <s v="TXN_7529592"/>
    <s v="CUST_23"/>
    <x v="6"/>
    <x v="82"/>
    <x v="10"/>
    <x v="4"/>
    <n v="156"/>
    <x v="2"/>
    <x v="1"/>
    <x v="564"/>
    <x v="0"/>
    <s v="DISCOUNT NOT ALLOWED"/>
    <s v="discount not allowed"/>
    <s v="DISCOUNT NOT ALLOWED"/>
    <s v="Discount Not Allowed"/>
    <s v="31/01/23"/>
  </r>
  <r>
    <s v="TXN_8250306"/>
    <s v="CUST_08"/>
    <x v="6"/>
    <x v="82"/>
    <x v="10"/>
    <x v="4"/>
    <n v="156"/>
    <x v="1"/>
    <x v="1"/>
    <x v="363"/>
    <x v="0"/>
    <s v="DISCOUNT NOT ALLOWED"/>
    <s v="discount not allowed"/>
    <s v="DISCOUNT NOT ALLOWED"/>
    <s v="Discount Not Allowed"/>
    <s v="20/03/23"/>
  </r>
  <r>
    <s v="TXN_8251002"/>
    <s v="CUST_08"/>
    <x v="3"/>
    <x v="80"/>
    <x v="10"/>
    <x v="4"/>
    <n v="156"/>
    <x v="2"/>
    <x v="0"/>
    <x v="654"/>
    <x v="1"/>
    <s v="DISCOUNT ALLOWED"/>
    <s v="discount allowed"/>
    <s v="DISCOUNT ALLOWED"/>
    <s v="Discount Allowed"/>
    <s v="10/06/22"/>
  </r>
  <r>
    <s v="TXN_8566128"/>
    <s v="CUST_22"/>
    <x v="7"/>
    <x v="83"/>
    <x v="10"/>
    <x v="4"/>
    <n v="156"/>
    <x v="1"/>
    <x v="1"/>
    <x v="523"/>
    <x v="1"/>
    <s v="DISCOUNT ALLOWED"/>
    <s v="discount allowed"/>
    <s v="DISCOUNT ALLOWED"/>
    <s v="Discount Allowed"/>
    <s v="02/02/24"/>
  </r>
  <r>
    <s v="TXN_9186802"/>
    <s v="CUST_11"/>
    <x v="6"/>
    <x v="82"/>
    <x v="10"/>
    <x v="4"/>
    <n v="156"/>
    <x v="2"/>
    <x v="0"/>
    <x v="453"/>
    <x v="0"/>
    <s v="DISCOUNT NOT ALLOWED"/>
    <s v="discount not allowed"/>
    <s v="DISCOUNT NOT ALLOWED"/>
    <s v="Discount Not Allowed"/>
    <s v="26/06/22"/>
  </r>
  <r>
    <s v="TXN_9391758"/>
    <s v="CUST_07"/>
    <x v="2"/>
    <x v="77"/>
    <x v="10"/>
    <x v="4"/>
    <n v="156"/>
    <x v="2"/>
    <x v="0"/>
    <x v="373"/>
    <x v="0"/>
    <s v="DISCOUNT NOT ALLOWED"/>
    <s v="discount not allowed"/>
    <s v="DISCOUNT NOT ALLOWED"/>
    <s v="Discount Not Allowed"/>
    <s v="23/09/24"/>
  </r>
  <r>
    <s v="TXN_9595549"/>
    <s v="CUST_21"/>
    <x v="3"/>
    <x v="80"/>
    <x v="10"/>
    <x v="4"/>
    <n v="156"/>
    <x v="0"/>
    <x v="0"/>
    <x v="513"/>
    <x v="1"/>
    <s v="DISCOUNT ALLOWED"/>
    <s v="discount allowed"/>
    <s v="DISCOUNT ALLOWED"/>
    <s v="Discount Allowed"/>
    <s v="01/07/24"/>
  </r>
  <r>
    <s v="TXN_1945960"/>
    <s v="CUST_09"/>
    <x v="3"/>
    <x v="134"/>
    <x v="17"/>
    <x v="0"/>
    <n v="155"/>
    <x v="0"/>
    <x v="1"/>
    <x v="413"/>
    <x v="0"/>
    <s v="DISCOUNT NOT ALLOWED"/>
    <s v="discount not allowed"/>
    <s v="DISCOUNT NOT ALLOWED"/>
    <s v="Discount Not Allowed"/>
    <s v="06/04/23"/>
  </r>
  <r>
    <s v="TXN_2374919"/>
    <s v="CUST_24"/>
    <x v="2"/>
    <x v="135"/>
    <x v="17"/>
    <x v="0"/>
    <n v="155"/>
    <x v="1"/>
    <x v="1"/>
    <x v="295"/>
    <x v="0"/>
    <s v="DISCOUNT NOT ALLOWED"/>
    <s v="discount not allowed"/>
    <s v="DISCOUNT NOT ALLOWED"/>
    <s v="Discount Not Allowed"/>
    <s v="31/03/22"/>
  </r>
  <r>
    <s v="TXN_2558306"/>
    <s v="CUST_15"/>
    <x v="2"/>
    <x v="135"/>
    <x v="17"/>
    <x v="0"/>
    <n v="155"/>
    <x v="2"/>
    <x v="0"/>
    <x v="606"/>
    <x v="1"/>
    <s v="DISCOUNT ALLOWED"/>
    <s v="discount allowed"/>
    <s v="DISCOUNT ALLOWED"/>
    <s v="Discount Allowed"/>
    <s v="02/08/23"/>
  </r>
  <r>
    <s v="TXN_3070207"/>
    <s v="CUST_22"/>
    <x v="1"/>
    <x v="136"/>
    <x v="17"/>
    <x v="0"/>
    <n v="155"/>
    <x v="0"/>
    <x v="1"/>
    <x v="90"/>
    <x v="1"/>
    <s v="DISCOUNT ALLOWED"/>
    <s v="discount allowed"/>
    <s v="DISCOUNT ALLOWED"/>
    <s v="Discount Allowed"/>
    <s v="06/09/22"/>
  </r>
  <r>
    <s v="TXN_3235383"/>
    <s v="CUST_15"/>
    <x v="3"/>
    <x v="134"/>
    <x v="17"/>
    <x v="0"/>
    <n v="155"/>
    <x v="2"/>
    <x v="1"/>
    <x v="813"/>
    <x v="0"/>
    <s v="DISCOUNT NOT ALLOWED"/>
    <s v="discount not allowed"/>
    <s v="DISCOUNT NOT ALLOWED"/>
    <s v="Discount Not Allowed"/>
    <s v="22/07/23"/>
  </r>
  <r>
    <s v="TXN_3240724"/>
    <s v="CUST_24"/>
    <x v="7"/>
    <x v="137"/>
    <x v="17"/>
    <x v="0"/>
    <n v="155"/>
    <x v="1"/>
    <x v="1"/>
    <x v="100"/>
    <x v="0"/>
    <s v="DISCOUNT NOT ALLOWED"/>
    <s v="discount not allowed"/>
    <s v="DISCOUNT NOT ALLOWED"/>
    <s v="Discount Not Allowed"/>
    <s v="18/02/24"/>
  </r>
  <r>
    <s v="TXN_3922232"/>
    <s v="CUST_10"/>
    <x v="2"/>
    <x v="135"/>
    <x v="17"/>
    <x v="0"/>
    <n v="155"/>
    <x v="2"/>
    <x v="1"/>
    <x v="268"/>
    <x v="1"/>
    <s v="DISCOUNT ALLOWED"/>
    <s v="discount allowed"/>
    <s v="DISCOUNT ALLOWED"/>
    <s v="Discount Allowed"/>
    <s v="29/04/22"/>
  </r>
  <r>
    <s v="TXN_4398638"/>
    <s v="CUST_07"/>
    <x v="5"/>
    <x v="138"/>
    <x v="17"/>
    <x v="0"/>
    <n v="155"/>
    <x v="0"/>
    <x v="1"/>
    <x v="839"/>
    <x v="1"/>
    <s v="DISCOUNT ALLOWED"/>
    <s v="discount allowed"/>
    <s v="DISCOUNT ALLOWED"/>
    <s v="Discount Allowed"/>
    <s v="18/11/22"/>
  </r>
  <r>
    <s v="TXN_4497413"/>
    <s v="CUST_02"/>
    <x v="2"/>
    <x v="135"/>
    <x v="17"/>
    <x v="0"/>
    <n v="155"/>
    <x v="0"/>
    <x v="1"/>
    <x v="974"/>
    <x v="0"/>
    <s v="DISCOUNT NOT ALLOWED"/>
    <s v="discount not allowed"/>
    <s v="DISCOUNT NOT ALLOWED"/>
    <s v="Discount Not Allowed"/>
    <s v="30/06/22"/>
  </r>
  <r>
    <s v="TXN_4550414"/>
    <s v="CUST_05"/>
    <x v="0"/>
    <x v="139"/>
    <x v="17"/>
    <x v="0"/>
    <n v="155"/>
    <x v="1"/>
    <x v="0"/>
    <x v="733"/>
    <x v="1"/>
    <s v="DISCOUNT ALLOWED"/>
    <s v="discount allowed"/>
    <s v="DISCOUNT ALLOWED"/>
    <s v="Discount Allowed"/>
    <s v="16/05/22"/>
  </r>
  <r>
    <s v="TXN_4780435"/>
    <s v="CUST_19"/>
    <x v="5"/>
    <x v="138"/>
    <x v="17"/>
    <x v="0"/>
    <n v="155"/>
    <x v="1"/>
    <x v="0"/>
    <x v="1001"/>
    <x v="1"/>
    <s v="DISCOUNT ALLOWED"/>
    <s v="discount allowed"/>
    <s v="DISCOUNT ALLOWED"/>
    <s v="Discount Allowed"/>
    <s v="03/05/23"/>
  </r>
  <r>
    <s v="TXN_4838066"/>
    <s v="CUST_22"/>
    <x v="5"/>
    <x v="138"/>
    <x v="17"/>
    <x v="0"/>
    <n v="155"/>
    <x v="2"/>
    <x v="0"/>
    <x v="579"/>
    <x v="1"/>
    <s v="DISCOUNT ALLOWED"/>
    <s v="discount allowed"/>
    <s v="DISCOUNT ALLOWED"/>
    <s v="Discount Allowed"/>
    <s v="26/08/22"/>
  </r>
  <r>
    <s v="TXN_5701415"/>
    <s v="CUST_12"/>
    <x v="2"/>
    <x v="135"/>
    <x v="17"/>
    <x v="0"/>
    <n v="155"/>
    <x v="2"/>
    <x v="0"/>
    <x v="974"/>
    <x v="1"/>
    <s v="DISCOUNT ALLOWED"/>
    <s v="discount allowed"/>
    <s v="DISCOUNT ALLOWED"/>
    <s v="Discount Allowed"/>
    <s v="30/06/22"/>
  </r>
  <r>
    <s v="TXN_5859843"/>
    <s v="CUST_13"/>
    <x v="2"/>
    <x v="135"/>
    <x v="17"/>
    <x v="0"/>
    <n v="155"/>
    <x v="2"/>
    <x v="0"/>
    <x v="978"/>
    <x v="0"/>
    <s v="DISCOUNT NOT ALLOWED"/>
    <s v="discount not allowed"/>
    <s v="DISCOUNT NOT ALLOWED"/>
    <s v="Discount Not Allowed"/>
    <s v="09/01/25"/>
  </r>
  <r>
    <s v="TXN_6071674"/>
    <s v="CUST_13"/>
    <x v="0"/>
    <x v="139"/>
    <x v="17"/>
    <x v="0"/>
    <n v="155"/>
    <x v="0"/>
    <x v="0"/>
    <x v="134"/>
    <x v="1"/>
    <s v="DISCOUNT ALLOWED"/>
    <s v="discount allowed"/>
    <s v="DISCOUNT ALLOWED"/>
    <s v="Discount Allowed"/>
    <s v="11/02/22"/>
  </r>
  <r>
    <s v="TXN_6598342"/>
    <s v="CUST_06"/>
    <x v="6"/>
    <x v="140"/>
    <x v="17"/>
    <x v="0"/>
    <n v="155"/>
    <x v="1"/>
    <x v="0"/>
    <x v="454"/>
    <x v="1"/>
    <s v="DISCOUNT ALLOWED"/>
    <s v="discount allowed"/>
    <s v="DISCOUNT ALLOWED"/>
    <s v="Discount Allowed"/>
    <s v="19/04/24"/>
  </r>
  <r>
    <s v="TXN_6873857"/>
    <s v="CUST_11"/>
    <x v="5"/>
    <x v="138"/>
    <x v="17"/>
    <x v="0"/>
    <n v="155"/>
    <x v="2"/>
    <x v="1"/>
    <x v="35"/>
    <x v="0"/>
    <s v="DISCOUNT NOT ALLOWED"/>
    <s v="discount not allowed"/>
    <s v="DISCOUNT NOT ALLOWED"/>
    <s v="Discount Not Allowed"/>
    <s v="22/03/24"/>
  </r>
  <r>
    <s v="TXN_6908058"/>
    <s v="CUST_25"/>
    <x v="6"/>
    <x v="140"/>
    <x v="17"/>
    <x v="0"/>
    <n v="155"/>
    <x v="1"/>
    <x v="1"/>
    <x v="813"/>
    <x v="0"/>
    <s v="DISCOUNT NOT ALLOWED"/>
    <s v="discount not allowed"/>
    <s v="DISCOUNT NOT ALLOWED"/>
    <s v="Discount Not Allowed"/>
    <s v="22/07/23"/>
  </r>
  <r>
    <s v="TXN_6991981"/>
    <s v="CUST_13"/>
    <x v="7"/>
    <x v="137"/>
    <x v="17"/>
    <x v="0"/>
    <n v="155"/>
    <x v="1"/>
    <x v="0"/>
    <x v="775"/>
    <x v="0"/>
    <s v="DISCOUNT NOT ALLOWED"/>
    <s v="discount not allowed"/>
    <s v="DISCOUNT NOT ALLOWED"/>
    <s v="Discount Not Allowed"/>
    <s v="31/03/24"/>
  </r>
  <r>
    <s v="TXN_7904311"/>
    <s v="CUST_14"/>
    <x v="1"/>
    <x v="136"/>
    <x v="17"/>
    <x v="0"/>
    <n v="155"/>
    <x v="2"/>
    <x v="0"/>
    <x v="154"/>
    <x v="1"/>
    <s v="DISCOUNT ALLOWED"/>
    <s v="discount allowed"/>
    <s v="DISCOUNT ALLOWED"/>
    <s v="Discount Allowed"/>
    <s v="04/06/23"/>
  </r>
  <r>
    <s v="TXN_9027497"/>
    <s v="CUST_19"/>
    <x v="6"/>
    <x v="140"/>
    <x v="17"/>
    <x v="0"/>
    <n v="155"/>
    <x v="1"/>
    <x v="1"/>
    <x v="22"/>
    <x v="1"/>
    <s v="DISCOUNT ALLOWED"/>
    <s v="discount allowed"/>
    <s v="DISCOUNT ALLOWED"/>
    <s v="Discount Allowed"/>
    <s v="24/01/24"/>
  </r>
  <r>
    <s v="TXN_9220270"/>
    <s v="CUST_19"/>
    <x v="2"/>
    <x v="135"/>
    <x v="17"/>
    <x v="0"/>
    <n v="155"/>
    <x v="0"/>
    <x v="1"/>
    <x v="20"/>
    <x v="1"/>
    <s v="DISCOUNT ALLOWED"/>
    <s v="discount allowed"/>
    <s v="DISCOUNT ALLOWED"/>
    <s v="Discount Allowed"/>
    <s v="24/12/24"/>
  </r>
  <r>
    <s v="TXN_9410689"/>
    <s v="CUST_04"/>
    <x v="6"/>
    <x v="140"/>
    <x v="17"/>
    <x v="0"/>
    <n v="155"/>
    <x v="1"/>
    <x v="0"/>
    <x v="593"/>
    <x v="1"/>
    <s v="DISCOUNT ALLOWED"/>
    <s v="discount allowed"/>
    <s v="DISCOUNT ALLOWED"/>
    <s v="Discount Allowed"/>
    <s v="10/07/22"/>
  </r>
  <r>
    <s v="TXN_9684431"/>
    <s v="CUST_01"/>
    <x v="4"/>
    <x v="141"/>
    <x v="17"/>
    <x v="0"/>
    <n v="155"/>
    <x v="0"/>
    <x v="1"/>
    <x v="383"/>
    <x v="0"/>
    <s v="DISCOUNT NOT ALLOWED"/>
    <s v="discount not allowed"/>
    <s v="DISCOUNT NOT ALLOWED"/>
    <s v="Discount Not Allowed"/>
    <s v="23/10/24"/>
  </r>
  <r>
    <s v="TXN_9770930"/>
    <s v="CUST_05"/>
    <x v="2"/>
    <x v="135"/>
    <x v="17"/>
    <x v="0"/>
    <n v="155"/>
    <x v="1"/>
    <x v="1"/>
    <x v="281"/>
    <x v="1"/>
    <s v="DISCOUNT ALLOWED"/>
    <s v="discount allowed"/>
    <s v="DISCOUNT ALLOWED"/>
    <s v="Discount Allowed"/>
    <s v="06/02/23"/>
  </r>
  <r>
    <s v="TXN_1853686"/>
    <s v="CUST_07"/>
    <x v="6"/>
    <x v="132"/>
    <x v="16"/>
    <x v="1"/>
    <n v="153"/>
    <x v="0"/>
    <x v="1"/>
    <x v="29"/>
    <x v="1"/>
    <s v="DISCOUNT ALLOWED"/>
    <s v="discount allowed"/>
    <s v="DISCOUNT ALLOWED"/>
    <s v="Discount Allowed"/>
    <s v="20/04/24"/>
  </r>
  <r>
    <s v="TXN_1910565"/>
    <s v="CUST_18"/>
    <x v="2"/>
    <x v="131"/>
    <x v="16"/>
    <x v="1"/>
    <n v="153"/>
    <x v="0"/>
    <x v="1"/>
    <x v="1005"/>
    <x v="0"/>
    <s v="DISCOUNT NOT ALLOWED"/>
    <s v="discount not allowed"/>
    <s v="DISCOUNT NOT ALLOWED"/>
    <s v="Discount Not Allowed"/>
    <s v="26/03/24"/>
  </r>
  <r>
    <s v="TXN_2049292"/>
    <s v="CUST_23"/>
    <x v="1"/>
    <x v="129"/>
    <x v="16"/>
    <x v="1"/>
    <n v="153"/>
    <x v="0"/>
    <x v="0"/>
    <x v="774"/>
    <x v="0"/>
    <s v="DISCOUNT NOT ALLOWED"/>
    <s v="discount not allowed"/>
    <s v="DISCOUNT NOT ALLOWED"/>
    <s v="Discount Not Allowed"/>
    <s v="17/04/22"/>
  </r>
  <r>
    <s v="TXN_2381503"/>
    <s v="CUST_21"/>
    <x v="4"/>
    <x v="130"/>
    <x v="16"/>
    <x v="1"/>
    <n v="153"/>
    <x v="0"/>
    <x v="1"/>
    <x v="1006"/>
    <x v="0"/>
    <s v="DISCOUNT NOT ALLOWED"/>
    <s v="discount not allowed"/>
    <s v="DISCOUNT NOT ALLOWED"/>
    <s v="Discount Not Allowed"/>
    <s v="09/06/23"/>
  </r>
  <r>
    <s v="TXN_3003224"/>
    <s v="CUST_24"/>
    <x v="4"/>
    <x v="130"/>
    <x v="16"/>
    <x v="1"/>
    <n v="153"/>
    <x v="1"/>
    <x v="1"/>
    <x v="30"/>
    <x v="1"/>
    <s v="DISCOUNT ALLOWED"/>
    <s v="discount allowed"/>
    <s v="DISCOUNT ALLOWED"/>
    <s v="Discount Allowed"/>
    <s v="29/05/24"/>
  </r>
  <r>
    <s v="TXN_3071038"/>
    <s v="CUST_14"/>
    <x v="7"/>
    <x v="133"/>
    <x v="16"/>
    <x v="1"/>
    <n v="153"/>
    <x v="0"/>
    <x v="1"/>
    <x v="333"/>
    <x v="1"/>
    <s v="DISCOUNT ALLOWED"/>
    <s v="discount allowed"/>
    <s v="DISCOUNT ALLOWED"/>
    <s v="Discount Allowed"/>
    <s v="16/12/22"/>
  </r>
  <r>
    <s v="TXN_3465568"/>
    <s v="CUST_06"/>
    <x v="6"/>
    <x v="132"/>
    <x v="16"/>
    <x v="1"/>
    <n v="153"/>
    <x v="0"/>
    <x v="1"/>
    <x v="955"/>
    <x v="1"/>
    <s v="DISCOUNT ALLOWED"/>
    <s v="discount allowed"/>
    <s v="DISCOUNT ALLOWED"/>
    <s v="Discount Allowed"/>
    <s v="21/12/24"/>
  </r>
  <r>
    <s v="TXN_3886696"/>
    <s v="CUST_01"/>
    <x v="5"/>
    <x v="128"/>
    <x v="16"/>
    <x v="1"/>
    <n v="153"/>
    <x v="1"/>
    <x v="0"/>
    <x v="1007"/>
    <x v="1"/>
    <s v="DISCOUNT ALLOWED"/>
    <s v="discount allowed"/>
    <s v="DISCOUNT ALLOWED"/>
    <s v="Discount Allowed"/>
    <s v="18/12/24"/>
  </r>
  <r>
    <s v="TXN_6736227"/>
    <s v="CUST_07"/>
    <x v="7"/>
    <x v="133"/>
    <x v="16"/>
    <x v="1"/>
    <n v="153"/>
    <x v="2"/>
    <x v="1"/>
    <x v="432"/>
    <x v="1"/>
    <s v="DISCOUNT ALLOWED"/>
    <s v="discount allowed"/>
    <s v="DISCOUNT ALLOWED"/>
    <s v="Discount Allowed"/>
    <s v="06/10/24"/>
  </r>
  <r>
    <s v="TXN_7068871"/>
    <s v="CUST_11"/>
    <x v="4"/>
    <x v="130"/>
    <x v="16"/>
    <x v="1"/>
    <n v="153"/>
    <x v="1"/>
    <x v="1"/>
    <x v="187"/>
    <x v="0"/>
    <s v="DISCOUNT NOT ALLOWED"/>
    <s v="discount not allowed"/>
    <s v="DISCOUNT NOT ALLOWED"/>
    <s v="Discount Not Allowed"/>
    <s v="18/02/23"/>
  </r>
  <r>
    <s v="TXN_7866322"/>
    <s v="CUST_20"/>
    <x v="1"/>
    <x v="129"/>
    <x v="16"/>
    <x v="1"/>
    <n v="153"/>
    <x v="1"/>
    <x v="0"/>
    <x v="16"/>
    <x v="1"/>
    <s v="DISCOUNT ALLOWED"/>
    <s v="discount allowed"/>
    <s v="DISCOUNT ALLOWED"/>
    <s v="Discount Allowed"/>
    <s v="11/09/22"/>
  </r>
  <r>
    <s v="TXN_8372883"/>
    <s v="CUST_07"/>
    <x v="7"/>
    <x v="133"/>
    <x v="16"/>
    <x v="1"/>
    <n v="153"/>
    <x v="0"/>
    <x v="0"/>
    <x v="668"/>
    <x v="1"/>
    <s v="DISCOUNT ALLOWED"/>
    <s v="discount allowed"/>
    <s v="DISCOUNT ALLOWED"/>
    <s v="Discount Allowed"/>
    <s v="24/06/24"/>
  </r>
  <r>
    <s v="TXN_8425366"/>
    <s v="CUST_18"/>
    <x v="6"/>
    <x v="132"/>
    <x v="16"/>
    <x v="1"/>
    <n v="153"/>
    <x v="0"/>
    <x v="1"/>
    <x v="193"/>
    <x v="0"/>
    <s v="DISCOUNT NOT ALLOWED"/>
    <s v="discount not allowed"/>
    <s v="DISCOUNT NOT ALLOWED"/>
    <s v="Discount Not Allowed"/>
    <s v="08/01/22"/>
  </r>
  <r>
    <s v="TXN_8688591"/>
    <s v="CUST_18"/>
    <x v="4"/>
    <x v="130"/>
    <x v="16"/>
    <x v="1"/>
    <n v="153"/>
    <x v="1"/>
    <x v="0"/>
    <x v="765"/>
    <x v="0"/>
    <s v="DISCOUNT NOT ALLOWED"/>
    <s v="discount not allowed"/>
    <s v="DISCOUNT NOT ALLOWED"/>
    <s v="Discount Not Allowed"/>
    <s v="19/12/24"/>
  </r>
  <r>
    <s v="TXN_8757431"/>
    <s v="CUST_14"/>
    <x v="5"/>
    <x v="128"/>
    <x v="16"/>
    <x v="1"/>
    <n v="153"/>
    <x v="1"/>
    <x v="1"/>
    <x v="383"/>
    <x v="0"/>
    <s v="DISCOUNT NOT ALLOWED"/>
    <s v="discount not allowed"/>
    <s v="DISCOUNT NOT ALLOWED"/>
    <s v="Discount Not Allowed"/>
    <s v="23/10/24"/>
  </r>
  <r>
    <s v="TXN_9195331"/>
    <s v="CUST_25"/>
    <x v="3"/>
    <x v="142"/>
    <x v="16"/>
    <x v="1"/>
    <n v="153"/>
    <x v="1"/>
    <x v="0"/>
    <x v="496"/>
    <x v="1"/>
    <s v="DISCOUNT ALLOWED"/>
    <s v="discount allowed"/>
    <s v="DISCOUNT ALLOWED"/>
    <s v="Discount Allowed"/>
    <s v="23/03/22"/>
  </r>
  <r>
    <s v="TXN_9722290"/>
    <s v="CUST_19"/>
    <x v="7"/>
    <x v="133"/>
    <x v="16"/>
    <x v="1"/>
    <n v="153"/>
    <x v="1"/>
    <x v="1"/>
    <x v="52"/>
    <x v="0"/>
    <s v="DISCOUNT NOT ALLOWED"/>
    <s v="discount not allowed"/>
    <s v="DISCOUNT NOT ALLOWED"/>
    <s v="Discount Not Allowed"/>
    <s v="05/12/24"/>
  </r>
  <r>
    <s v="TXN_9753172"/>
    <s v="CUST_01"/>
    <x v="6"/>
    <x v="132"/>
    <x v="16"/>
    <x v="1"/>
    <n v="153"/>
    <x v="0"/>
    <x v="1"/>
    <x v="489"/>
    <x v="1"/>
    <s v="DISCOUNT ALLOWED"/>
    <s v="discount allowed"/>
    <s v="DISCOUNT ALLOWED"/>
    <s v="Discount Allowed"/>
    <s v="12/01/22"/>
  </r>
  <r>
    <s v="TXN_9850035"/>
    <s v="CUST_21"/>
    <x v="5"/>
    <x v="128"/>
    <x v="16"/>
    <x v="1"/>
    <n v="153"/>
    <x v="1"/>
    <x v="0"/>
    <x v="1008"/>
    <x v="0"/>
    <s v="DISCOUNT NOT ALLOWED"/>
    <s v="discount not allowed"/>
    <s v="DISCOUNT NOT ALLOWED"/>
    <s v="Discount Not Allowed"/>
    <s v="25/10/24"/>
  </r>
  <r>
    <s v="TXN_1426923"/>
    <s v="CUST_07"/>
    <x v="4"/>
    <x v="53"/>
    <x v="7"/>
    <x v="5"/>
    <n v="152.5"/>
    <x v="1"/>
    <x v="1"/>
    <x v="970"/>
    <x v="1"/>
    <s v="DISCOUNT ALLOWED"/>
    <s v="discount allowed"/>
    <s v="DISCOUNT ALLOWED"/>
    <s v="Discount Allowed"/>
    <s v="10/04/22"/>
  </r>
  <r>
    <s v="TXN_1714851"/>
    <s v="CUST_14"/>
    <x v="0"/>
    <x v="57"/>
    <x v="7"/>
    <x v="5"/>
    <n v="152.5"/>
    <x v="1"/>
    <x v="1"/>
    <x v="1009"/>
    <x v="0"/>
    <s v="DISCOUNT NOT ALLOWED"/>
    <s v="discount not allowed"/>
    <s v="DISCOUNT NOT ALLOWED"/>
    <s v="Discount Not Allowed"/>
    <s v="24/09/24"/>
  </r>
  <r>
    <s v="TXN_1859813"/>
    <s v="CUST_05"/>
    <x v="5"/>
    <x v="54"/>
    <x v="7"/>
    <x v="5"/>
    <n v="152.5"/>
    <x v="1"/>
    <x v="1"/>
    <x v="857"/>
    <x v="0"/>
    <s v="DISCOUNT NOT ALLOWED"/>
    <s v="discount not allowed"/>
    <s v="DISCOUNT NOT ALLOWED"/>
    <s v="Discount Not Allowed"/>
    <s v="29/08/23"/>
  </r>
  <r>
    <s v="TXN_1919855"/>
    <s v="CUST_14"/>
    <x v="4"/>
    <x v="53"/>
    <x v="7"/>
    <x v="5"/>
    <n v="152.5"/>
    <x v="2"/>
    <x v="1"/>
    <x v="294"/>
    <x v="1"/>
    <s v="DISCOUNT ALLOWED"/>
    <s v="discount allowed"/>
    <s v="DISCOUNT ALLOWED"/>
    <s v="Discount Allowed"/>
    <s v="09/07/22"/>
  </r>
  <r>
    <s v="TXN_2605841"/>
    <s v="CUST_08"/>
    <x v="6"/>
    <x v="58"/>
    <x v="7"/>
    <x v="5"/>
    <n v="152.5"/>
    <x v="0"/>
    <x v="0"/>
    <x v="797"/>
    <x v="0"/>
    <s v="DISCOUNT NOT ALLOWED"/>
    <s v="discount not allowed"/>
    <s v="DISCOUNT NOT ALLOWED"/>
    <s v="Discount Not Allowed"/>
    <s v="24/01/22"/>
  </r>
  <r>
    <s v="TXN_3268543"/>
    <s v="CUST_24"/>
    <x v="6"/>
    <x v="58"/>
    <x v="7"/>
    <x v="5"/>
    <n v="152.5"/>
    <x v="2"/>
    <x v="0"/>
    <x v="143"/>
    <x v="1"/>
    <s v="DISCOUNT ALLOWED"/>
    <s v="discount allowed"/>
    <s v="DISCOUNT ALLOWED"/>
    <s v="Discount Allowed"/>
    <s v="23/08/23"/>
  </r>
  <r>
    <s v="TXN_3419392"/>
    <s v="CUST_25"/>
    <x v="3"/>
    <x v="55"/>
    <x v="7"/>
    <x v="5"/>
    <n v="152.5"/>
    <x v="2"/>
    <x v="0"/>
    <x v="881"/>
    <x v="0"/>
    <s v="DISCOUNT NOT ALLOWED"/>
    <s v="discount not allowed"/>
    <s v="DISCOUNT NOT ALLOWED"/>
    <s v="Discount Not Allowed"/>
    <s v="14/12/24"/>
  </r>
  <r>
    <s v="TXN_3442651"/>
    <s v="CUST_02"/>
    <x v="4"/>
    <x v="53"/>
    <x v="7"/>
    <x v="5"/>
    <n v="152.5"/>
    <x v="2"/>
    <x v="0"/>
    <x v="567"/>
    <x v="1"/>
    <s v="DISCOUNT ALLOWED"/>
    <s v="discount allowed"/>
    <s v="DISCOUNT ALLOWED"/>
    <s v="Discount Allowed"/>
    <s v="01/03/22"/>
  </r>
  <r>
    <s v="TXN_5304231"/>
    <s v="CUST_05"/>
    <x v="3"/>
    <x v="55"/>
    <x v="7"/>
    <x v="5"/>
    <n v="152.5"/>
    <x v="2"/>
    <x v="1"/>
    <x v="746"/>
    <x v="0"/>
    <s v="DISCOUNT NOT ALLOWED"/>
    <s v="discount not allowed"/>
    <s v="DISCOUNT NOT ALLOWED"/>
    <s v="Discount Not Allowed"/>
    <s v="20/01/24"/>
  </r>
  <r>
    <s v="TXN_6358543"/>
    <s v="CUST_02"/>
    <x v="6"/>
    <x v="58"/>
    <x v="7"/>
    <x v="5"/>
    <n v="152.5"/>
    <x v="1"/>
    <x v="1"/>
    <x v="602"/>
    <x v="1"/>
    <s v="DISCOUNT ALLOWED"/>
    <s v="discount allowed"/>
    <s v="DISCOUNT ALLOWED"/>
    <s v="Discount Allowed"/>
    <s v="22/01/24"/>
  </r>
  <r>
    <s v="TXN_6866610"/>
    <s v="CUST_06"/>
    <x v="5"/>
    <x v="54"/>
    <x v="7"/>
    <x v="5"/>
    <n v="152.5"/>
    <x v="1"/>
    <x v="1"/>
    <x v="980"/>
    <x v="0"/>
    <s v="DISCOUNT NOT ALLOWED"/>
    <s v="discount not allowed"/>
    <s v="DISCOUNT NOT ALLOWED"/>
    <s v="Discount Not Allowed"/>
    <s v="05/05/23"/>
  </r>
  <r>
    <s v="TXN_7027151"/>
    <s v="CUST_05"/>
    <x v="4"/>
    <x v="53"/>
    <x v="7"/>
    <x v="5"/>
    <n v="152.5"/>
    <x v="0"/>
    <x v="0"/>
    <x v="101"/>
    <x v="0"/>
    <s v="DISCOUNT NOT ALLOWED"/>
    <s v="discount not allowed"/>
    <s v="DISCOUNT NOT ALLOWED"/>
    <s v="Discount Not Allowed"/>
    <s v="10/08/24"/>
  </r>
  <r>
    <s v="TXN_7296074"/>
    <s v="CUST_23"/>
    <x v="6"/>
    <x v="58"/>
    <x v="7"/>
    <x v="5"/>
    <n v="152.5"/>
    <x v="2"/>
    <x v="0"/>
    <x v="506"/>
    <x v="1"/>
    <s v="DISCOUNT ALLOWED"/>
    <s v="discount allowed"/>
    <s v="DISCOUNT ALLOWED"/>
    <s v="Discount Allowed"/>
    <s v="09/10/22"/>
  </r>
  <r>
    <s v="TXN_8427493"/>
    <s v="CUST_24"/>
    <x v="3"/>
    <x v="55"/>
    <x v="7"/>
    <x v="5"/>
    <n v="152.5"/>
    <x v="2"/>
    <x v="1"/>
    <x v="1010"/>
    <x v="1"/>
    <s v="DISCOUNT ALLOWED"/>
    <s v="discount allowed"/>
    <s v="DISCOUNT ALLOWED"/>
    <s v="Discount Allowed"/>
    <s v="30/10/23"/>
  </r>
  <r>
    <s v="TXN_8476669"/>
    <s v="CUST_17"/>
    <x v="3"/>
    <x v="55"/>
    <x v="7"/>
    <x v="5"/>
    <n v="152.5"/>
    <x v="0"/>
    <x v="0"/>
    <x v="168"/>
    <x v="0"/>
    <s v="DISCOUNT NOT ALLOWED"/>
    <s v="discount not allowed"/>
    <s v="DISCOUNT NOT ALLOWED"/>
    <s v="Discount Not Allowed"/>
    <s v="29/06/22"/>
  </r>
  <r>
    <s v="TXN_8536324"/>
    <s v="CUST_21"/>
    <x v="1"/>
    <x v="59"/>
    <x v="7"/>
    <x v="5"/>
    <n v="152.5"/>
    <x v="1"/>
    <x v="1"/>
    <x v="1011"/>
    <x v="1"/>
    <s v="DISCOUNT ALLOWED"/>
    <s v="discount allowed"/>
    <s v="DISCOUNT ALLOWED"/>
    <s v="Discount Allowed"/>
    <s v="09/11/23"/>
  </r>
  <r>
    <s v="TXN_8900578"/>
    <s v="CUST_01"/>
    <x v="3"/>
    <x v="55"/>
    <x v="7"/>
    <x v="5"/>
    <n v="152.5"/>
    <x v="1"/>
    <x v="0"/>
    <x v="348"/>
    <x v="0"/>
    <s v="DISCOUNT NOT ALLOWED"/>
    <s v="discount not allowed"/>
    <s v="DISCOUNT NOT ALLOWED"/>
    <s v="Discount Not Allowed"/>
    <s v="30/09/24"/>
  </r>
  <r>
    <s v="TXN_9197649"/>
    <s v="CUST_16"/>
    <x v="0"/>
    <x v="57"/>
    <x v="7"/>
    <x v="5"/>
    <n v="152.5"/>
    <x v="1"/>
    <x v="1"/>
    <x v="126"/>
    <x v="1"/>
    <s v="DISCOUNT ALLOWED"/>
    <s v="discount allowed"/>
    <s v="DISCOUNT ALLOWED"/>
    <s v="Discount Allowed"/>
    <s v="21/10/23"/>
  </r>
  <r>
    <s v="TXN_9460439"/>
    <s v="CUST_09"/>
    <x v="3"/>
    <x v="55"/>
    <x v="7"/>
    <x v="5"/>
    <n v="152.5"/>
    <x v="1"/>
    <x v="0"/>
    <x v="84"/>
    <x v="0"/>
    <s v="DISCOUNT NOT ALLOWED"/>
    <s v="discount not allowed"/>
    <s v="DISCOUNT NOT ALLOWED"/>
    <s v="Discount Not Allowed"/>
    <s v="26/04/22"/>
  </r>
  <r>
    <s v="TXN_9577293"/>
    <s v="CUST_22"/>
    <x v="5"/>
    <x v="54"/>
    <x v="7"/>
    <x v="5"/>
    <n v="152.5"/>
    <x v="0"/>
    <x v="0"/>
    <x v="99"/>
    <x v="0"/>
    <s v="DISCOUNT NOT ALLOWED"/>
    <s v="discount not allowed"/>
    <s v="DISCOUNT NOT ALLOWED"/>
    <s v="Discount Not Allowed"/>
    <s v="04/03/23"/>
  </r>
  <r>
    <s v="TXN_9776299"/>
    <s v="CUST_04"/>
    <x v="1"/>
    <x v="59"/>
    <x v="7"/>
    <x v="5"/>
    <n v="152.5"/>
    <x v="2"/>
    <x v="1"/>
    <x v="586"/>
    <x v="0"/>
    <s v="DISCOUNT NOT ALLOWED"/>
    <s v="discount not allowed"/>
    <s v="DISCOUNT NOT ALLOWED"/>
    <s v="Discount Not Allowed"/>
    <s v="26/02/23"/>
  </r>
  <r>
    <s v="TXN_1901951"/>
    <s v="CUST_23"/>
    <x v="0"/>
    <x v="17"/>
    <x v="2"/>
    <x v="6"/>
    <n v="152"/>
    <x v="0"/>
    <x v="1"/>
    <x v="616"/>
    <x v="1"/>
    <s v="DISCOUNT ALLOWED"/>
    <s v="discount allowed"/>
    <s v="DISCOUNT ALLOWED"/>
    <s v="Discount Allowed"/>
    <s v="17/08/23"/>
  </r>
  <r>
    <s v="TXN_1986816"/>
    <s v="CUST_16"/>
    <x v="7"/>
    <x v="21"/>
    <x v="2"/>
    <x v="6"/>
    <n v="152"/>
    <x v="2"/>
    <x v="0"/>
    <x v="1012"/>
    <x v="0"/>
    <s v="DISCOUNT NOT ALLOWED"/>
    <s v="discount not allowed"/>
    <s v="DISCOUNT NOT ALLOWED"/>
    <s v="Discount Not Allowed"/>
    <s v="17/01/23"/>
  </r>
  <r>
    <s v="TXN_1993899"/>
    <s v="CUST_05"/>
    <x v="2"/>
    <x v="20"/>
    <x v="2"/>
    <x v="6"/>
    <n v="152"/>
    <x v="1"/>
    <x v="1"/>
    <x v="989"/>
    <x v="1"/>
    <s v="DISCOUNT ALLOWED"/>
    <s v="discount allowed"/>
    <s v="DISCOUNT ALLOWED"/>
    <s v="Discount Allowed"/>
    <s v="09/10/24"/>
  </r>
  <r>
    <s v="TXN_2400589"/>
    <s v="CUST_03"/>
    <x v="3"/>
    <x v="16"/>
    <x v="2"/>
    <x v="6"/>
    <n v="152"/>
    <x v="2"/>
    <x v="1"/>
    <x v="958"/>
    <x v="1"/>
    <s v="DISCOUNT ALLOWED"/>
    <s v="discount allowed"/>
    <s v="DISCOUNT ALLOWED"/>
    <s v="Discount Allowed"/>
    <s v="19/07/23"/>
  </r>
  <r>
    <s v="TXN_3238026"/>
    <s v="CUST_24"/>
    <x v="7"/>
    <x v="21"/>
    <x v="2"/>
    <x v="6"/>
    <n v="152"/>
    <x v="0"/>
    <x v="1"/>
    <x v="787"/>
    <x v="0"/>
    <s v="DISCOUNT NOT ALLOWED"/>
    <s v="discount not allowed"/>
    <s v="DISCOUNT NOT ALLOWED"/>
    <s v="Discount Not Allowed"/>
    <s v="11/06/24"/>
  </r>
  <r>
    <s v="TXN_3404023"/>
    <s v="CUST_04"/>
    <x v="5"/>
    <x v="15"/>
    <x v="2"/>
    <x v="6"/>
    <n v="152"/>
    <x v="0"/>
    <x v="0"/>
    <x v="520"/>
    <x v="0"/>
    <s v="DISCOUNT NOT ALLOWED"/>
    <s v="discount not allowed"/>
    <s v="DISCOUNT NOT ALLOWED"/>
    <s v="Discount Not Allowed"/>
    <s v="08/08/22"/>
  </r>
  <r>
    <s v="TXN_4217069"/>
    <s v="CUST_04"/>
    <x v="5"/>
    <x v="15"/>
    <x v="2"/>
    <x v="6"/>
    <n v="152"/>
    <x v="2"/>
    <x v="1"/>
    <x v="713"/>
    <x v="0"/>
    <s v="DISCOUNT NOT ALLOWED"/>
    <s v="discount not allowed"/>
    <s v="DISCOUNT NOT ALLOWED"/>
    <s v="Discount Not Allowed"/>
    <s v="29/07/22"/>
  </r>
  <r>
    <s v="TXN_4299947"/>
    <s v="CUST_18"/>
    <x v="3"/>
    <x v="16"/>
    <x v="2"/>
    <x v="6"/>
    <n v="152"/>
    <x v="0"/>
    <x v="0"/>
    <x v="131"/>
    <x v="0"/>
    <s v="DISCOUNT NOT ALLOWED"/>
    <s v="discount not allowed"/>
    <s v="DISCOUNT NOT ALLOWED"/>
    <s v="Discount Not Allowed"/>
    <s v="15/05/23"/>
  </r>
  <r>
    <s v="TXN_4320727"/>
    <s v="CUST_15"/>
    <x v="7"/>
    <x v="21"/>
    <x v="2"/>
    <x v="6"/>
    <n v="152"/>
    <x v="0"/>
    <x v="1"/>
    <x v="752"/>
    <x v="0"/>
    <s v="DISCOUNT NOT ALLOWED"/>
    <s v="discount not allowed"/>
    <s v="DISCOUNT NOT ALLOWED"/>
    <s v="Discount Not Allowed"/>
    <s v="18/05/23"/>
  </r>
  <r>
    <s v="TXN_4435281"/>
    <s v="CUST_20"/>
    <x v="3"/>
    <x v="16"/>
    <x v="2"/>
    <x v="6"/>
    <n v="152"/>
    <x v="2"/>
    <x v="1"/>
    <x v="905"/>
    <x v="0"/>
    <s v="DISCOUNT NOT ALLOWED"/>
    <s v="discount not allowed"/>
    <s v="DISCOUNT NOT ALLOWED"/>
    <s v="Discount Not Allowed"/>
    <s v="05/01/25"/>
  </r>
  <r>
    <s v="TXN_4778944"/>
    <s v="CUST_20"/>
    <x v="6"/>
    <x v="18"/>
    <x v="2"/>
    <x v="6"/>
    <n v="152"/>
    <x v="2"/>
    <x v="1"/>
    <x v="698"/>
    <x v="0"/>
    <s v="DISCOUNT NOT ALLOWED"/>
    <s v="discount not allowed"/>
    <s v="DISCOUNT NOT ALLOWED"/>
    <s v="Discount Not Allowed"/>
    <s v="30/01/23"/>
  </r>
  <r>
    <s v="TXN_5115102"/>
    <s v="CUST_14"/>
    <x v="6"/>
    <x v="18"/>
    <x v="2"/>
    <x v="6"/>
    <n v="152"/>
    <x v="2"/>
    <x v="0"/>
    <x v="753"/>
    <x v="1"/>
    <s v="DISCOUNT ALLOWED"/>
    <s v="discount allowed"/>
    <s v="DISCOUNT ALLOWED"/>
    <s v="Discount Allowed"/>
    <s v="12/01/25"/>
  </r>
  <r>
    <s v="TXN_5976886"/>
    <s v="CUST_10"/>
    <x v="2"/>
    <x v="20"/>
    <x v="2"/>
    <x v="6"/>
    <n v="152"/>
    <x v="2"/>
    <x v="1"/>
    <x v="107"/>
    <x v="0"/>
    <s v="DISCOUNT NOT ALLOWED"/>
    <s v="discount not allowed"/>
    <s v="DISCOUNT NOT ALLOWED"/>
    <s v="Discount Not Allowed"/>
    <s v="11/07/22"/>
  </r>
  <r>
    <s v="TXN_6672586"/>
    <s v="CUST_12"/>
    <x v="6"/>
    <x v="18"/>
    <x v="2"/>
    <x v="6"/>
    <n v="152"/>
    <x v="1"/>
    <x v="0"/>
    <x v="224"/>
    <x v="0"/>
    <s v="DISCOUNT NOT ALLOWED"/>
    <s v="discount not allowed"/>
    <s v="DISCOUNT NOT ALLOWED"/>
    <s v="Discount Not Allowed"/>
    <s v="10/06/23"/>
  </r>
  <r>
    <s v="TXN_6726711"/>
    <s v="CUST_21"/>
    <x v="0"/>
    <x v="17"/>
    <x v="2"/>
    <x v="6"/>
    <n v="152"/>
    <x v="1"/>
    <x v="1"/>
    <x v="1013"/>
    <x v="0"/>
    <s v="DISCOUNT NOT ALLOWED"/>
    <s v="discount not allowed"/>
    <s v="DISCOUNT NOT ALLOWED"/>
    <s v="Discount Not Allowed"/>
    <s v="03/08/23"/>
  </r>
  <r>
    <s v="TXN_6837418"/>
    <s v="CUST_12"/>
    <x v="6"/>
    <x v="18"/>
    <x v="2"/>
    <x v="6"/>
    <n v="152"/>
    <x v="2"/>
    <x v="0"/>
    <x v="105"/>
    <x v="1"/>
    <s v="DISCOUNT ALLOWED"/>
    <s v="discount allowed"/>
    <s v="DISCOUNT ALLOWED"/>
    <s v="Discount Allowed"/>
    <s v="19/09/24"/>
  </r>
  <r>
    <s v="TXN_6853941"/>
    <s v="CUST_21"/>
    <x v="7"/>
    <x v="21"/>
    <x v="2"/>
    <x v="6"/>
    <n v="152"/>
    <x v="2"/>
    <x v="0"/>
    <x v="20"/>
    <x v="0"/>
    <s v="DISCOUNT NOT ALLOWED"/>
    <s v="discount not allowed"/>
    <s v="DISCOUNT NOT ALLOWED"/>
    <s v="Discount Not Allowed"/>
    <s v="24/12/24"/>
  </r>
  <r>
    <s v="TXN_7002185"/>
    <s v="CUST_04"/>
    <x v="3"/>
    <x v="16"/>
    <x v="2"/>
    <x v="6"/>
    <n v="152"/>
    <x v="2"/>
    <x v="0"/>
    <x v="1014"/>
    <x v="1"/>
    <s v="DISCOUNT ALLOWED"/>
    <s v="discount allowed"/>
    <s v="DISCOUNT ALLOWED"/>
    <s v="Discount Allowed"/>
    <s v="11/05/23"/>
  </r>
  <r>
    <s v="TXN_7028436"/>
    <s v="CUST_05"/>
    <x v="0"/>
    <x v="17"/>
    <x v="2"/>
    <x v="6"/>
    <n v="152"/>
    <x v="2"/>
    <x v="1"/>
    <x v="1015"/>
    <x v="0"/>
    <s v="DISCOUNT NOT ALLOWED"/>
    <s v="discount not allowed"/>
    <s v="DISCOUNT NOT ALLOWED"/>
    <s v="Discount Not Allowed"/>
    <s v="31/08/23"/>
  </r>
  <r>
    <s v="TXN_7153317"/>
    <s v="CUST_25"/>
    <x v="6"/>
    <x v="18"/>
    <x v="2"/>
    <x v="6"/>
    <n v="152"/>
    <x v="0"/>
    <x v="1"/>
    <x v="411"/>
    <x v="0"/>
    <s v="DISCOUNT NOT ALLOWED"/>
    <s v="discount not allowed"/>
    <s v="DISCOUNT NOT ALLOWED"/>
    <s v="Discount Not Allowed"/>
    <s v="03/12/23"/>
  </r>
  <r>
    <s v="TXN_7459774"/>
    <s v="CUST_20"/>
    <x v="7"/>
    <x v="21"/>
    <x v="2"/>
    <x v="6"/>
    <n v="152"/>
    <x v="2"/>
    <x v="0"/>
    <x v="660"/>
    <x v="1"/>
    <s v="DISCOUNT ALLOWED"/>
    <s v="discount allowed"/>
    <s v="DISCOUNT ALLOWED"/>
    <s v="Discount Allowed"/>
    <s v="25/04/22"/>
  </r>
  <r>
    <s v="TXN_7510710"/>
    <s v="CUST_16"/>
    <x v="5"/>
    <x v="15"/>
    <x v="2"/>
    <x v="6"/>
    <n v="152"/>
    <x v="0"/>
    <x v="0"/>
    <x v="62"/>
    <x v="0"/>
    <s v="DISCOUNT NOT ALLOWED"/>
    <s v="discount not allowed"/>
    <s v="DISCOUNT NOT ALLOWED"/>
    <s v="Discount Not Allowed"/>
    <s v="26/06/23"/>
  </r>
  <r>
    <s v="TXN_7609800"/>
    <s v="CUST_05"/>
    <x v="7"/>
    <x v="21"/>
    <x v="2"/>
    <x v="6"/>
    <n v="152"/>
    <x v="2"/>
    <x v="1"/>
    <x v="799"/>
    <x v="1"/>
    <s v="DISCOUNT ALLOWED"/>
    <s v="discount allowed"/>
    <s v="DISCOUNT ALLOWED"/>
    <s v="Discount Allowed"/>
    <s v="30/10/24"/>
  </r>
  <r>
    <s v="TXN_8336383"/>
    <s v="CUST_08"/>
    <x v="1"/>
    <x v="19"/>
    <x v="2"/>
    <x v="6"/>
    <n v="152"/>
    <x v="0"/>
    <x v="1"/>
    <x v="642"/>
    <x v="1"/>
    <s v="DISCOUNT ALLOWED"/>
    <s v="discount allowed"/>
    <s v="DISCOUNT ALLOWED"/>
    <s v="Discount Allowed"/>
    <s v="22/06/22"/>
  </r>
  <r>
    <s v="TXN_8551782"/>
    <s v="CUST_14"/>
    <x v="7"/>
    <x v="21"/>
    <x v="2"/>
    <x v="6"/>
    <n v="152"/>
    <x v="0"/>
    <x v="1"/>
    <x v="900"/>
    <x v="0"/>
    <s v="DISCOUNT NOT ALLOWED"/>
    <s v="discount not allowed"/>
    <s v="DISCOUNT NOT ALLOWED"/>
    <s v="Discount Not Allowed"/>
    <s v="06/11/23"/>
  </r>
  <r>
    <s v="TXN_8571416"/>
    <s v="CUST_04"/>
    <x v="5"/>
    <x v="15"/>
    <x v="2"/>
    <x v="6"/>
    <n v="152"/>
    <x v="1"/>
    <x v="1"/>
    <x v="853"/>
    <x v="0"/>
    <s v="DISCOUNT NOT ALLOWED"/>
    <s v="discount not allowed"/>
    <s v="DISCOUNT NOT ALLOWED"/>
    <s v="Discount Not Allowed"/>
    <s v="12/08/24"/>
  </r>
  <r>
    <s v="TXN_8655378"/>
    <s v="CUST_12"/>
    <x v="0"/>
    <x v="17"/>
    <x v="2"/>
    <x v="6"/>
    <n v="152"/>
    <x v="2"/>
    <x v="0"/>
    <x v="57"/>
    <x v="0"/>
    <s v="DISCOUNT NOT ALLOWED"/>
    <s v="discount not allowed"/>
    <s v="DISCOUNT NOT ALLOWED"/>
    <s v="Discount Not Allowed"/>
    <s v="16/07/23"/>
  </r>
  <r>
    <s v="TXN_8682802"/>
    <s v="CUST_25"/>
    <x v="7"/>
    <x v="21"/>
    <x v="2"/>
    <x v="6"/>
    <n v="152"/>
    <x v="2"/>
    <x v="1"/>
    <x v="487"/>
    <x v="1"/>
    <s v="DISCOUNT ALLOWED"/>
    <s v="discount allowed"/>
    <s v="DISCOUNT ALLOWED"/>
    <s v="Discount Allowed"/>
    <s v="06/02/22"/>
  </r>
  <r>
    <s v="TXN_9151048"/>
    <s v="CUST_04"/>
    <x v="1"/>
    <x v="19"/>
    <x v="2"/>
    <x v="6"/>
    <n v="152"/>
    <x v="0"/>
    <x v="1"/>
    <x v="350"/>
    <x v="0"/>
    <s v="DISCOUNT NOT ALLOWED"/>
    <s v="discount not allowed"/>
    <s v="DISCOUNT NOT ALLOWED"/>
    <s v="Discount Not Allowed"/>
    <s v="15/01/22"/>
  </r>
  <r>
    <s v="TXN_9301691"/>
    <s v="CUST_12"/>
    <x v="2"/>
    <x v="20"/>
    <x v="2"/>
    <x v="6"/>
    <n v="152"/>
    <x v="1"/>
    <x v="0"/>
    <x v="378"/>
    <x v="0"/>
    <s v="DISCOUNT NOT ALLOWED"/>
    <s v="discount not allowed"/>
    <s v="DISCOUNT NOT ALLOWED"/>
    <s v="Discount Not Allowed"/>
    <s v="29/04/23"/>
  </r>
  <r>
    <s v="TXN_1179909"/>
    <s v="CUST_22"/>
    <x v="1"/>
    <x v="105"/>
    <x v="13"/>
    <x v="3"/>
    <n v="150.5"/>
    <x v="0"/>
    <x v="0"/>
    <x v="305"/>
    <x v="0"/>
    <s v="DISCOUNT NOT ALLOWED"/>
    <s v="discount not allowed"/>
    <s v="DISCOUNT NOT ALLOWED"/>
    <s v="Discount Not Allowed"/>
    <s v="21/05/23"/>
  </r>
  <r>
    <s v="TXN_1297128"/>
    <s v="CUST_12"/>
    <x v="1"/>
    <x v="105"/>
    <x v="13"/>
    <x v="3"/>
    <n v="150.5"/>
    <x v="2"/>
    <x v="0"/>
    <x v="1005"/>
    <x v="0"/>
    <s v="DISCOUNT NOT ALLOWED"/>
    <s v="discount not allowed"/>
    <s v="DISCOUNT NOT ALLOWED"/>
    <s v="Discount Not Allowed"/>
    <s v="26/03/24"/>
  </r>
  <r>
    <s v="TXN_1464828"/>
    <s v="CUST_02"/>
    <x v="5"/>
    <x v="102"/>
    <x v="13"/>
    <x v="3"/>
    <n v="150.5"/>
    <x v="0"/>
    <x v="1"/>
    <x v="230"/>
    <x v="0"/>
    <s v="DISCOUNT NOT ALLOWED"/>
    <s v="discount not allowed"/>
    <s v="DISCOUNT NOT ALLOWED"/>
    <s v="Discount Not Allowed"/>
    <s v="19/09/22"/>
  </r>
  <r>
    <s v="TXN_1666199"/>
    <s v="CUST_09"/>
    <x v="5"/>
    <x v="102"/>
    <x v="13"/>
    <x v="3"/>
    <n v="150.5"/>
    <x v="2"/>
    <x v="0"/>
    <x v="474"/>
    <x v="1"/>
    <s v="DISCOUNT ALLOWED"/>
    <s v="discount allowed"/>
    <s v="DISCOUNT ALLOWED"/>
    <s v="Discount Allowed"/>
    <s v="24/02/23"/>
  </r>
  <r>
    <s v="TXN_1840200"/>
    <s v="CUST_09"/>
    <x v="5"/>
    <x v="102"/>
    <x v="13"/>
    <x v="3"/>
    <n v="150.5"/>
    <x v="2"/>
    <x v="1"/>
    <x v="451"/>
    <x v="0"/>
    <s v="DISCOUNT NOT ALLOWED"/>
    <s v="discount not allowed"/>
    <s v="DISCOUNT NOT ALLOWED"/>
    <s v="Discount Not Allowed"/>
    <s v="06/01/24"/>
  </r>
  <r>
    <s v="TXN_1910146"/>
    <s v="CUST_02"/>
    <x v="0"/>
    <x v="116"/>
    <x v="13"/>
    <x v="3"/>
    <n v="150.5"/>
    <x v="2"/>
    <x v="1"/>
    <x v="48"/>
    <x v="1"/>
    <s v="DISCOUNT ALLOWED"/>
    <s v="discount allowed"/>
    <s v="DISCOUNT ALLOWED"/>
    <s v="Discount Allowed"/>
    <s v="03/12/22"/>
  </r>
  <r>
    <s v="TXN_2220459"/>
    <s v="CUST_14"/>
    <x v="5"/>
    <x v="102"/>
    <x v="13"/>
    <x v="3"/>
    <n v="150.5"/>
    <x v="1"/>
    <x v="0"/>
    <x v="420"/>
    <x v="0"/>
    <s v="DISCOUNT NOT ALLOWED"/>
    <s v="discount not allowed"/>
    <s v="DISCOUNT NOT ALLOWED"/>
    <s v="Discount Not Allowed"/>
    <s v="28/09/24"/>
  </r>
  <r>
    <s v="TXN_2359902"/>
    <s v="CUST_13"/>
    <x v="1"/>
    <x v="105"/>
    <x v="13"/>
    <x v="3"/>
    <n v="150.5"/>
    <x v="0"/>
    <x v="1"/>
    <x v="341"/>
    <x v="0"/>
    <s v="DISCOUNT NOT ALLOWED"/>
    <s v="discount not allowed"/>
    <s v="DISCOUNT NOT ALLOWED"/>
    <s v="Discount Not Allowed"/>
    <s v="12/07/24"/>
  </r>
  <r>
    <s v="TXN_2506516"/>
    <s v="CUST_15"/>
    <x v="4"/>
    <x v="107"/>
    <x v="13"/>
    <x v="3"/>
    <n v="150.5"/>
    <x v="1"/>
    <x v="1"/>
    <x v="241"/>
    <x v="1"/>
    <s v="DISCOUNT ALLOWED"/>
    <s v="discount allowed"/>
    <s v="DISCOUNT ALLOWED"/>
    <s v="Discount Allowed"/>
    <s v="07/02/24"/>
  </r>
  <r>
    <s v="TXN_2527692"/>
    <s v="CUST_20"/>
    <x v="6"/>
    <x v="104"/>
    <x v="13"/>
    <x v="3"/>
    <n v="150.5"/>
    <x v="2"/>
    <x v="1"/>
    <x v="564"/>
    <x v="0"/>
    <s v="DISCOUNT NOT ALLOWED"/>
    <s v="discount not allowed"/>
    <s v="DISCOUNT NOT ALLOWED"/>
    <s v="Discount Not Allowed"/>
    <s v="31/01/23"/>
  </r>
  <r>
    <s v="TXN_2633896"/>
    <s v="CUST_24"/>
    <x v="7"/>
    <x v="106"/>
    <x v="13"/>
    <x v="3"/>
    <n v="150.5"/>
    <x v="0"/>
    <x v="1"/>
    <x v="127"/>
    <x v="1"/>
    <s v="DISCOUNT ALLOWED"/>
    <s v="discount allowed"/>
    <s v="DISCOUNT ALLOWED"/>
    <s v="Discount Allowed"/>
    <s v="23/05/24"/>
  </r>
  <r>
    <s v="TXN_2782829"/>
    <s v="CUST_02"/>
    <x v="5"/>
    <x v="102"/>
    <x v="13"/>
    <x v="3"/>
    <n v="150.5"/>
    <x v="1"/>
    <x v="1"/>
    <x v="1016"/>
    <x v="1"/>
    <s v="DISCOUNT ALLOWED"/>
    <s v="discount allowed"/>
    <s v="DISCOUNT ALLOWED"/>
    <s v="Discount Allowed"/>
    <s v="14/03/24"/>
  </r>
  <r>
    <s v="TXN_3089083"/>
    <s v="CUST_17"/>
    <x v="4"/>
    <x v="107"/>
    <x v="13"/>
    <x v="3"/>
    <n v="150.5"/>
    <x v="2"/>
    <x v="0"/>
    <x v="78"/>
    <x v="0"/>
    <s v="DISCOUNT NOT ALLOWED"/>
    <s v="discount not allowed"/>
    <s v="DISCOUNT NOT ALLOWED"/>
    <s v="Discount Not Allowed"/>
    <s v="04/07/24"/>
  </r>
  <r>
    <s v="TXN_3206739"/>
    <s v="CUST_10"/>
    <x v="5"/>
    <x v="102"/>
    <x v="13"/>
    <x v="3"/>
    <n v="150.5"/>
    <x v="1"/>
    <x v="1"/>
    <x v="748"/>
    <x v="0"/>
    <s v="DISCOUNT NOT ALLOWED"/>
    <s v="discount not allowed"/>
    <s v="DISCOUNT NOT ALLOWED"/>
    <s v="Discount Not Allowed"/>
    <s v="21/06/23"/>
  </r>
  <r>
    <s v="TXN_3255864"/>
    <s v="CUST_13"/>
    <x v="7"/>
    <x v="106"/>
    <x v="13"/>
    <x v="3"/>
    <n v="150.5"/>
    <x v="1"/>
    <x v="1"/>
    <x v="885"/>
    <x v="1"/>
    <s v="DISCOUNT ALLOWED"/>
    <s v="discount allowed"/>
    <s v="DISCOUNT ALLOWED"/>
    <s v="Discount Allowed"/>
    <s v="02/06/22"/>
  </r>
  <r>
    <s v="TXN_3617161"/>
    <s v="CUST_10"/>
    <x v="6"/>
    <x v="104"/>
    <x v="13"/>
    <x v="3"/>
    <n v="150.5"/>
    <x v="1"/>
    <x v="0"/>
    <x v="167"/>
    <x v="0"/>
    <s v="DISCOUNT NOT ALLOWED"/>
    <s v="discount not allowed"/>
    <s v="DISCOUNT NOT ALLOWED"/>
    <s v="Discount Not Allowed"/>
    <s v="16/04/22"/>
  </r>
  <r>
    <s v="TXN_3677192"/>
    <s v="CUST_23"/>
    <x v="3"/>
    <x v="103"/>
    <x v="13"/>
    <x v="3"/>
    <n v="150.5"/>
    <x v="2"/>
    <x v="0"/>
    <x v="1017"/>
    <x v="0"/>
    <s v="DISCOUNT NOT ALLOWED"/>
    <s v="discount not allowed"/>
    <s v="DISCOUNT NOT ALLOWED"/>
    <s v="Discount Not Allowed"/>
    <s v="26/02/24"/>
  </r>
  <r>
    <s v="TXN_3843648"/>
    <s v="CUST_16"/>
    <x v="5"/>
    <x v="102"/>
    <x v="13"/>
    <x v="3"/>
    <n v="150.5"/>
    <x v="0"/>
    <x v="0"/>
    <x v="467"/>
    <x v="0"/>
    <s v="DISCOUNT NOT ALLOWED"/>
    <s v="discount not allowed"/>
    <s v="DISCOUNT NOT ALLOWED"/>
    <s v="Discount Not Allowed"/>
    <s v="18/05/22"/>
  </r>
  <r>
    <s v="TXN_3902130"/>
    <s v="CUST_11"/>
    <x v="4"/>
    <x v="107"/>
    <x v="13"/>
    <x v="3"/>
    <n v="150.5"/>
    <x v="1"/>
    <x v="1"/>
    <x v="751"/>
    <x v="0"/>
    <s v="DISCOUNT NOT ALLOWED"/>
    <s v="discount not allowed"/>
    <s v="DISCOUNT NOT ALLOWED"/>
    <s v="Discount Not Allowed"/>
    <s v="04/01/23"/>
  </r>
  <r>
    <s v="TXN_3993154"/>
    <s v="CUST_25"/>
    <x v="6"/>
    <x v="104"/>
    <x v="13"/>
    <x v="3"/>
    <n v="150.5"/>
    <x v="2"/>
    <x v="1"/>
    <x v="136"/>
    <x v="0"/>
    <s v="DISCOUNT NOT ALLOWED"/>
    <s v="discount not allowed"/>
    <s v="DISCOUNT NOT ALLOWED"/>
    <s v="Discount Not Allowed"/>
    <s v="07/07/22"/>
  </r>
  <r>
    <s v="TXN_4126714"/>
    <s v="CUST_17"/>
    <x v="6"/>
    <x v="104"/>
    <x v="13"/>
    <x v="3"/>
    <n v="150.5"/>
    <x v="2"/>
    <x v="1"/>
    <x v="10"/>
    <x v="1"/>
    <s v="DISCOUNT ALLOWED"/>
    <s v="discount allowed"/>
    <s v="DISCOUNT ALLOWED"/>
    <s v="Discount Allowed"/>
    <s v="29/08/22"/>
  </r>
  <r>
    <s v="TXN_4620016"/>
    <s v="CUST_05"/>
    <x v="2"/>
    <x v="108"/>
    <x v="13"/>
    <x v="3"/>
    <n v="150.5"/>
    <x v="2"/>
    <x v="1"/>
    <x v="606"/>
    <x v="0"/>
    <s v="DISCOUNT NOT ALLOWED"/>
    <s v="discount not allowed"/>
    <s v="DISCOUNT NOT ALLOWED"/>
    <s v="Discount Not Allowed"/>
    <s v="02/08/23"/>
  </r>
  <r>
    <s v="TXN_5386801"/>
    <s v="CUST_02"/>
    <x v="1"/>
    <x v="105"/>
    <x v="13"/>
    <x v="3"/>
    <n v="150.5"/>
    <x v="0"/>
    <x v="0"/>
    <x v="395"/>
    <x v="0"/>
    <s v="DISCOUNT NOT ALLOWED"/>
    <s v="discount not allowed"/>
    <s v="DISCOUNT NOT ALLOWED"/>
    <s v="Discount Not Allowed"/>
    <s v="21/06/22"/>
  </r>
  <r>
    <s v="TXN_6129356"/>
    <s v="CUST_24"/>
    <x v="1"/>
    <x v="105"/>
    <x v="13"/>
    <x v="3"/>
    <n v="150.5"/>
    <x v="2"/>
    <x v="1"/>
    <x v="777"/>
    <x v="0"/>
    <s v="DISCOUNT NOT ALLOWED"/>
    <s v="discount not allowed"/>
    <s v="DISCOUNT NOT ALLOWED"/>
    <s v="Discount Not Allowed"/>
    <s v="25/07/24"/>
  </r>
  <r>
    <s v="TXN_6207746"/>
    <s v="CUST_23"/>
    <x v="7"/>
    <x v="106"/>
    <x v="13"/>
    <x v="3"/>
    <n v="150.5"/>
    <x v="1"/>
    <x v="1"/>
    <x v="379"/>
    <x v="1"/>
    <s v="DISCOUNT ALLOWED"/>
    <s v="discount allowed"/>
    <s v="DISCOUNT ALLOWED"/>
    <s v="Discount Allowed"/>
    <s v="15/03/24"/>
  </r>
  <r>
    <s v="TXN_6434836"/>
    <s v="CUST_17"/>
    <x v="7"/>
    <x v="106"/>
    <x v="13"/>
    <x v="3"/>
    <n v="150.5"/>
    <x v="1"/>
    <x v="1"/>
    <x v="745"/>
    <x v="1"/>
    <s v="DISCOUNT ALLOWED"/>
    <s v="discount allowed"/>
    <s v="DISCOUNT ALLOWED"/>
    <s v="Discount Allowed"/>
    <s v="16/05/24"/>
  </r>
  <r>
    <s v="TXN_6481590"/>
    <s v="CUST_22"/>
    <x v="1"/>
    <x v="105"/>
    <x v="13"/>
    <x v="3"/>
    <n v="150.5"/>
    <x v="2"/>
    <x v="1"/>
    <x v="40"/>
    <x v="1"/>
    <s v="DISCOUNT ALLOWED"/>
    <s v="discount allowed"/>
    <s v="DISCOUNT ALLOWED"/>
    <s v="Discount Allowed"/>
    <s v="24/08/22"/>
  </r>
  <r>
    <s v="TXN_6927369"/>
    <s v="CUST_17"/>
    <x v="5"/>
    <x v="102"/>
    <x v="13"/>
    <x v="3"/>
    <n v="150.5"/>
    <x v="2"/>
    <x v="0"/>
    <x v="830"/>
    <x v="1"/>
    <s v="DISCOUNT ALLOWED"/>
    <s v="discount allowed"/>
    <s v="DISCOUNT ALLOWED"/>
    <s v="Discount Allowed"/>
    <s v="29/12/23"/>
  </r>
  <r>
    <s v="TXN_6957303"/>
    <s v="CUST_08"/>
    <x v="6"/>
    <x v="104"/>
    <x v="13"/>
    <x v="3"/>
    <n v="150.5"/>
    <x v="1"/>
    <x v="1"/>
    <x v="252"/>
    <x v="0"/>
    <s v="DISCOUNT NOT ALLOWED"/>
    <s v="discount not allowed"/>
    <s v="DISCOUNT NOT ALLOWED"/>
    <s v="Discount Not Allowed"/>
    <s v="14/04/23"/>
  </r>
  <r>
    <s v="TXN_6980149"/>
    <s v="CUST_08"/>
    <x v="7"/>
    <x v="106"/>
    <x v="13"/>
    <x v="3"/>
    <n v="150.5"/>
    <x v="0"/>
    <x v="0"/>
    <x v="761"/>
    <x v="0"/>
    <s v="DISCOUNT NOT ALLOWED"/>
    <s v="discount not allowed"/>
    <s v="DISCOUNT NOT ALLOWED"/>
    <s v="Discount Not Allowed"/>
    <s v="08/07/23"/>
  </r>
  <r>
    <s v="TXN_7423171"/>
    <s v="CUST_21"/>
    <x v="4"/>
    <x v="107"/>
    <x v="13"/>
    <x v="3"/>
    <n v="150.5"/>
    <x v="0"/>
    <x v="1"/>
    <x v="1018"/>
    <x v="0"/>
    <s v="DISCOUNT NOT ALLOWED"/>
    <s v="discount not allowed"/>
    <s v="DISCOUNT NOT ALLOWED"/>
    <s v="Discount Not Allowed"/>
    <s v="13/09/24"/>
  </r>
  <r>
    <s v="TXN_7675840"/>
    <s v="CUST_19"/>
    <x v="5"/>
    <x v="102"/>
    <x v="13"/>
    <x v="3"/>
    <n v="150.5"/>
    <x v="1"/>
    <x v="1"/>
    <x v="937"/>
    <x v="1"/>
    <s v="DISCOUNT ALLOWED"/>
    <s v="discount allowed"/>
    <s v="DISCOUNT ALLOWED"/>
    <s v="Discount Allowed"/>
    <s v="25/02/23"/>
  </r>
  <r>
    <s v="TXN_8025714"/>
    <s v="CUST_12"/>
    <x v="1"/>
    <x v="105"/>
    <x v="13"/>
    <x v="3"/>
    <n v="150.5"/>
    <x v="1"/>
    <x v="0"/>
    <x v="493"/>
    <x v="0"/>
    <s v="DISCOUNT NOT ALLOWED"/>
    <s v="discount not allowed"/>
    <s v="DISCOUNT NOT ALLOWED"/>
    <s v="Discount Not Allowed"/>
    <s v="03/06/24"/>
  </r>
  <r>
    <s v="TXN_8510020"/>
    <s v="CUST_16"/>
    <x v="6"/>
    <x v="104"/>
    <x v="13"/>
    <x v="3"/>
    <n v="150.5"/>
    <x v="1"/>
    <x v="1"/>
    <x v="929"/>
    <x v="1"/>
    <s v="DISCOUNT ALLOWED"/>
    <s v="discount allowed"/>
    <s v="DISCOUNT ALLOWED"/>
    <s v="Discount Allowed"/>
    <s v="24/10/24"/>
  </r>
  <r>
    <s v="TXN_8739719"/>
    <s v="CUST_15"/>
    <x v="7"/>
    <x v="106"/>
    <x v="13"/>
    <x v="3"/>
    <n v="150.5"/>
    <x v="0"/>
    <x v="0"/>
    <x v="767"/>
    <x v="0"/>
    <s v="DISCOUNT NOT ALLOWED"/>
    <s v="discount not allowed"/>
    <s v="DISCOUNT NOT ALLOWED"/>
    <s v="Discount Not Allowed"/>
    <s v="24/07/22"/>
  </r>
  <r>
    <s v="TXN_8810408"/>
    <s v="CUST_16"/>
    <x v="7"/>
    <x v="106"/>
    <x v="13"/>
    <x v="3"/>
    <n v="150.5"/>
    <x v="2"/>
    <x v="0"/>
    <x v="210"/>
    <x v="0"/>
    <s v="DISCOUNT NOT ALLOWED"/>
    <s v="discount not allowed"/>
    <s v="DISCOUNT NOT ALLOWED"/>
    <s v="Discount Not Allowed"/>
    <s v="15/08/22"/>
  </r>
  <r>
    <s v="TXN_9002809"/>
    <s v="CUST_23"/>
    <x v="4"/>
    <x v="107"/>
    <x v="13"/>
    <x v="3"/>
    <n v="150.5"/>
    <x v="0"/>
    <x v="1"/>
    <x v="518"/>
    <x v="1"/>
    <s v="DISCOUNT ALLOWED"/>
    <s v="discount allowed"/>
    <s v="DISCOUNT ALLOWED"/>
    <s v="Discount Allowed"/>
    <s v="04/09/23"/>
  </r>
  <r>
    <s v="TXN_9049794"/>
    <s v="CUST_19"/>
    <x v="6"/>
    <x v="104"/>
    <x v="13"/>
    <x v="3"/>
    <n v="150.5"/>
    <x v="1"/>
    <x v="1"/>
    <x v="322"/>
    <x v="0"/>
    <s v="DISCOUNT NOT ALLOWED"/>
    <s v="discount not allowed"/>
    <s v="DISCOUNT NOT ALLOWED"/>
    <s v="Discount Not Allowed"/>
    <s v="22/06/23"/>
  </r>
  <r>
    <s v="TXN_9213019"/>
    <s v="CUST_22"/>
    <x v="7"/>
    <x v="106"/>
    <x v="13"/>
    <x v="3"/>
    <n v="150.5"/>
    <x v="0"/>
    <x v="0"/>
    <x v="846"/>
    <x v="0"/>
    <s v="DISCOUNT NOT ALLOWED"/>
    <s v="discount not allowed"/>
    <s v="DISCOUNT NOT ALLOWED"/>
    <s v="Discount Not Allowed"/>
    <s v="29/03/23"/>
  </r>
  <r>
    <s v="TXN_9353467"/>
    <s v="CUST_13"/>
    <x v="2"/>
    <x v="108"/>
    <x v="13"/>
    <x v="3"/>
    <n v="150.5"/>
    <x v="2"/>
    <x v="0"/>
    <x v="82"/>
    <x v="1"/>
    <s v="DISCOUNT ALLOWED"/>
    <s v="discount allowed"/>
    <s v="DISCOUNT ALLOWED"/>
    <s v="Discount Allowed"/>
    <s v="07/10/24"/>
  </r>
  <r>
    <s v="TXN_9403273"/>
    <s v="CUST_18"/>
    <x v="5"/>
    <x v="102"/>
    <x v="13"/>
    <x v="3"/>
    <n v="150.5"/>
    <x v="0"/>
    <x v="1"/>
    <x v="461"/>
    <x v="0"/>
    <s v="DISCOUNT NOT ALLOWED"/>
    <s v="discount not allowed"/>
    <s v="DISCOUNT NOT ALLOWED"/>
    <s v="Discount Not Allowed"/>
    <s v="01/11/23"/>
  </r>
  <r>
    <s v="TXN_9412012"/>
    <s v="CUST_22"/>
    <x v="6"/>
    <x v="104"/>
    <x v="13"/>
    <x v="3"/>
    <n v="150.5"/>
    <x v="1"/>
    <x v="0"/>
    <x v="489"/>
    <x v="0"/>
    <s v="DISCOUNT NOT ALLOWED"/>
    <s v="discount not allowed"/>
    <s v="DISCOUNT NOT ALLOWED"/>
    <s v="Discount Not Allowed"/>
    <s v="12/01/22"/>
  </r>
  <r>
    <s v="TXN_9802098"/>
    <s v="CUST_04"/>
    <x v="4"/>
    <x v="107"/>
    <x v="13"/>
    <x v="3"/>
    <n v="150.5"/>
    <x v="0"/>
    <x v="1"/>
    <x v="1016"/>
    <x v="1"/>
    <s v="DISCOUNT ALLOWED"/>
    <s v="discount allowed"/>
    <s v="DISCOUNT ALLOWED"/>
    <s v="Discount Allowed"/>
    <s v="14/03/24"/>
  </r>
  <r>
    <s v="TXN_1432078"/>
    <s v="CUST_09"/>
    <x v="6"/>
    <x v="120"/>
    <x v="15"/>
    <x v="2"/>
    <n v="148"/>
    <x v="2"/>
    <x v="0"/>
    <x v="159"/>
    <x v="1"/>
    <s v="DISCOUNT ALLOWED"/>
    <s v="discount allowed"/>
    <s v="DISCOUNT ALLOWED"/>
    <s v="Discount Allowed"/>
    <s v="07/12/22"/>
  </r>
  <r>
    <s v="TXN_1498944"/>
    <s v="CUST_24"/>
    <x v="5"/>
    <x v="122"/>
    <x v="15"/>
    <x v="2"/>
    <n v="148"/>
    <x v="2"/>
    <x v="0"/>
    <x v="1"/>
    <x v="1"/>
    <s v="DISCOUNT ALLOWED"/>
    <s v="discount allowed"/>
    <s v="DISCOUNT ALLOWED"/>
    <s v="Discount Allowed"/>
    <s v="01/04/23"/>
  </r>
  <r>
    <s v="TXN_2577257"/>
    <s v="CUST_07"/>
    <x v="6"/>
    <x v="120"/>
    <x v="15"/>
    <x v="2"/>
    <n v="148"/>
    <x v="1"/>
    <x v="1"/>
    <x v="376"/>
    <x v="0"/>
    <s v="DISCOUNT NOT ALLOWED"/>
    <s v="discount not allowed"/>
    <s v="DISCOUNT NOT ALLOWED"/>
    <s v="Discount Not Allowed"/>
    <s v="28/10/23"/>
  </r>
  <r>
    <s v="TXN_3240995"/>
    <s v="CUST_14"/>
    <x v="3"/>
    <x v="124"/>
    <x v="15"/>
    <x v="2"/>
    <n v="148"/>
    <x v="1"/>
    <x v="1"/>
    <x v="535"/>
    <x v="1"/>
    <s v="DISCOUNT ALLOWED"/>
    <s v="discount allowed"/>
    <s v="DISCOUNT ALLOWED"/>
    <s v="Discount Allowed"/>
    <s v="06/07/24"/>
  </r>
  <r>
    <s v="TXN_3897143"/>
    <s v="CUST_07"/>
    <x v="5"/>
    <x v="122"/>
    <x v="15"/>
    <x v="2"/>
    <n v="148"/>
    <x v="1"/>
    <x v="1"/>
    <x v="157"/>
    <x v="0"/>
    <s v="DISCOUNT NOT ALLOWED"/>
    <s v="discount not allowed"/>
    <s v="DISCOUNT NOT ALLOWED"/>
    <s v="Discount Not Allowed"/>
    <s v="08/06/22"/>
  </r>
  <r>
    <s v="TXN_3966470"/>
    <s v="CUST_15"/>
    <x v="2"/>
    <x v="117"/>
    <x v="15"/>
    <x v="2"/>
    <n v="148"/>
    <x v="0"/>
    <x v="1"/>
    <x v="767"/>
    <x v="0"/>
    <s v="DISCOUNT NOT ALLOWED"/>
    <s v="discount not allowed"/>
    <s v="DISCOUNT NOT ALLOWED"/>
    <s v="Discount Not Allowed"/>
    <s v="24/07/22"/>
  </r>
  <r>
    <s v="TXN_4033083"/>
    <s v="CUST_06"/>
    <x v="3"/>
    <x v="124"/>
    <x v="15"/>
    <x v="2"/>
    <n v="148"/>
    <x v="2"/>
    <x v="1"/>
    <x v="511"/>
    <x v="1"/>
    <s v="DISCOUNT ALLOWED"/>
    <s v="discount allowed"/>
    <s v="DISCOUNT ALLOWED"/>
    <s v="Discount Allowed"/>
    <s v="16/11/22"/>
  </r>
  <r>
    <s v="TXN_6360570"/>
    <s v="CUST_13"/>
    <x v="5"/>
    <x v="122"/>
    <x v="15"/>
    <x v="2"/>
    <n v="148"/>
    <x v="0"/>
    <x v="0"/>
    <x v="40"/>
    <x v="0"/>
    <s v="DISCOUNT NOT ALLOWED"/>
    <s v="discount not allowed"/>
    <s v="DISCOUNT NOT ALLOWED"/>
    <s v="Discount Not Allowed"/>
    <s v="24/08/22"/>
  </r>
  <r>
    <s v="TXN_6393003"/>
    <s v="CUST_12"/>
    <x v="2"/>
    <x v="117"/>
    <x v="15"/>
    <x v="2"/>
    <n v="148"/>
    <x v="2"/>
    <x v="0"/>
    <x v="724"/>
    <x v="0"/>
    <s v="DISCOUNT NOT ALLOWED"/>
    <s v="discount not allowed"/>
    <s v="DISCOUNT NOT ALLOWED"/>
    <s v="Discount Not Allowed"/>
    <s v="08/10/24"/>
  </r>
  <r>
    <s v="TXN_6555691"/>
    <s v="CUST_19"/>
    <x v="4"/>
    <x v="118"/>
    <x v="15"/>
    <x v="2"/>
    <n v="148"/>
    <x v="1"/>
    <x v="1"/>
    <x v="1019"/>
    <x v="1"/>
    <s v="DISCOUNT ALLOWED"/>
    <s v="discount allowed"/>
    <s v="DISCOUNT ALLOWED"/>
    <s v="Discount Allowed"/>
    <s v="24/08/24"/>
  </r>
  <r>
    <s v="TXN_6876092"/>
    <s v="CUST_23"/>
    <x v="7"/>
    <x v="119"/>
    <x v="15"/>
    <x v="2"/>
    <n v="148"/>
    <x v="1"/>
    <x v="0"/>
    <x v="88"/>
    <x v="1"/>
    <s v="DISCOUNT ALLOWED"/>
    <s v="discount allowed"/>
    <s v="DISCOUNT ALLOWED"/>
    <s v="Discount Allowed"/>
    <s v="31/12/22"/>
  </r>
  <r>
    <s v="TXN_8088350"/>
    <s v="CUST_02"/>
    <x v="6"/>
    <x v="120"/>
    <x v="15"/>
    <x v="2"/>
    <n v="148"/>
    <x v="0"/>
    <x v="1"/>
    <x v="137"/>
    <x v="0"/>
    <s v="DISCOUNT NOT ALLOWED"/>
    <s v="discount not allowed"/>
    <s v="DISCOUNT NOT ALLOWED"/>
    <s v="Discount Not Allowed"/>
    <s v="24/11/23"/>
  </r>
  <r>
    <s v="TXN_8766170"/>
    <s v="CUST_04"/>
    <x v="7"/>
    <x v="119"/>
    <x v="15"/>
    <x v="2"/>
    <n v="148"/>
    <x v="2"/>
    <x v="1"/>
    <x v="420"/>
    <x v="1"/>
    <s v="DISCOUNT ALLOWED"/>
    <s v="discount allowed"/>
    <s v="DISCOUNT ALLOWED"/>
    <s v="Discount Allowed"/>
    <s v="28/09/24"/>
  </r>
  <r>
    <s v="TXN_8799205"/>
    <s v="CUST_10"/>
    <x v="4"/>
    <x v="118"/>
    <x v="15"/>
    <x v="2"/>
    <n v="148"/>
    <x v="2"/>
    <x v="1"/>
    <x v="349"/>
    <x v="0"/>
    <s v="DISCOUNT NOT ALLOWED"/>
    <s v="discount not allowed"/>
    <s v="DISCOUNT NOT ALLOWED"/>
    <s v="Discount Not Allowed"/>
    <s v="04/09/24"/>
  </r>
  <r>
    <s v="TXN_9104482"/>
    <s v="CUST_10"/>
    <x v="6"/>
    <x v="120"/>
    <x v="15"/>
    <x v="2"/>
    <n v="148"/>
    <x v="1"/>
    <x v="1"/>
    <x v="904"/>
    <x v="1"/>
    <s v="DISCOUNT ALLOWED"/>
    <s v="discount allowed"/>
    <s v="DISCOUNT ALLOWED"/>
    <s v="Discount Allowed"/>
    <s v="09/03/22"/>
  </r>
  <r>
    <s v="TXN_9193687"/>
    <s v="CUST_25"/>
    <x v="1"/>
    <x v="121"/>
    <x v="15"/>
    <x v="2"/>
    <n v="148"/>
    <x v="1"/>
    <x v="1"/>
    <x v="611"/>
    <x v="1"/>
    <s v="DISCOUNT ALLOWED"/>
    <s v="discount allowed"/>
    <s v="DISCOUNT ALLOWED"/>
    <s v="Discount Allowed"/>
    <s v="18/12/22"/>
  </r>
  <r>
    <s v="TXN_9385378"/>
    <s v="CUST_05"/>
    <x v="4"/>
    <x v="118"/>
    <x v="15"/>
    <x v="2"/>
    <n v="148"/>
    <x v="2"/>
    <x v="1"/>
    <x v="144"/>
    <x v="1"/>
    <s v="DISCOUNT ALLOWED"/>
    <s v="discount allowed"/>
    <s v="DISCOUNT ALLOWED"/>
    <s v="Discount Allowed"/>
    <s v="08/11/24"/>
  </r>
  <r>
    <s v="TXN_9457772"/>
    <s v="CUST_08"/>
    <x v="5"/>
    <x v="122"/>
    <x v="15"/>
    <x v="2"/>
    <n v="148"/>
    <x v="2"/>
    <x v="0"/>
    <x v="354"/>
    <x v="1"/>
    <s v="DISCOUNT ALLOWED"/>
    <s v="discount allowed"/>
    <s v="DISCOUNT ALLOWED"/>
    <s v="Discount Allowed"/>
    <s v="02/05/23"/>
  </r>
  <r>
    <s v="TXN_9466734"/>
    <s v="CUST_15"/>
    <x v="0"/>
    <x v="123"/>
    <x v="15"/>
    <x v="2"/>
    <n v="148"/>
    <x v="0"/>
    <x v="0"/>
    <x v="792"/>
    <x v="0"/>
    <s v="DISCOUNT NOT ALLOWED"/>
    <s v="discount not allowed"/>
    <s v="DISCOUNT NOT ALLOWED"/>
    <s v="Discount Not Allowed"/>
    <s v="10/11/23"/>
  </r>
  <r>
    <s v="TXN_1325795"/>
    <s v="CUST_10"/>
    <x v="6"/>
    <x v="88"/>
    <x v="11"/>
    <x v="4"/>
    <n v="147"/>
    <x v="0"/>
    <x v="1"/>
    <x v="268"/>
    <x v="0"/>
    <s v="DISCOUNT NOT ALLOWED"/>
    <s v="discount not allowed"/>
    <s v="DISCOUNT NOT ALLOWED"/>
    <s v="Discount Not Allowed"/>
    <s v="29/04/22"/>
  </r>
  <r>
    <s v="TXN_1398307"/>
    <s v="CUST_25"/>
    <x v="3"/>
    <x v="92"/>
    <x v="11"/>
    <x v="4"/>
    <n v="147"/>
    <x v="1"/>
    <x v="0"/>
    <x v="570"/>
    <x v="0"/>
    <s v="DISCOUNT NOT ALLOWED"/>
    <s v="discount not allowed"/>
    <s v="DISCOUNT NOT ALLOWED"/>
    <s v="Discount Not Allowed"/>
    <s v="03/01/25"/>
  </r>
  <r>
    <s v="TXN_1978587"/>
    <s v="CUST_12"/>
    <x v="7"/>
    <x v="86"/>
    <x v="11"/>
    <x v="4"/>
    <n v="147"/>
    <x v="1"/>
    <x v="0"/>
    <x v="340"/>
    <x v="0"/>
    <s v="DISCOUNT NOT ALLOWED"/>
    <s v="discount not allowed"/>
    <s v="DISCOUNT NOT ALLOWED"/>
    <s v="Discount Not Allowed"/>
    <s v="05/03/22"/>
  </r>
  <r>
    <s v="TXN_2480021"/>
    <s v="CUST_17"/>
    <x v="6"/>
    <x v="88"/>
    <x v="11"/>
    <x v="4"/>
    <n v="147"/>
    <x v="1"/>
    <x v="1"/>
    <x v="841"/>
    <x v="0"/>
    <s v="DISCOUNT NOT ALLOWED"/>
    <s v="discount not allowed"/>
    <s v="DISCOUNT NOT ALLOWED"/>
    <s v="Discount Not Allowed"/>
    <s v="14/06/23"/>
  </r>
  <r>
    <s v="TXN_2937307"/>
    <s v="CUST_15"/>
    <x v="7"/>
    <x v="86"/>
    <x v="11"/>
    <x v="4"/>
    <n v="147"/>
    <x v="1"/>
    <x v="1"/>
    <x v="656"/>
    <x v="1"/>
    <s v="DISCOUNT ALLOWED"/>
    <s v="discount allowed"/>
    <s v="DISCOUNT ALLOWED"/>
    <s v="Discount Allowed"/>
    <s v="06/01/25"/>
  </r>
  <r>
    <s v="TXN_3653878"/>
    <s v="CUST_23"/>
    <x v="3"/>
    <x v="92"/>
    <x v="11"/>
    <x v="4"/>
    <n v="147"/>
    <x v="1"/>
    <x v="1"/>
    <x v="951"/>
    <x v="1"/>
    <s v="DISCOUNT ALLOWED"/>
    <s v="discount allowed"/>
    <s v="DISCOUNT ALLOWED"/>
    <s v="Discount Allowed"/>
    <s v="12/11/22"/>
  </r>
  <r>
    <s v="TXN_3704598"/>
    <s v="CUST_25"/>
    <x v="4"/>
    <x v="87"/>
    <x v="11"/>
    <x v="4"/>
    <n v="147"/>
    <x v="1"/>
    <x v="0"/>
    <x v="1020"/>
    <x v="0"/>
    <s v="DISCOUNT NOT ALLOWED"/>
    <s v="discount not allowed"/>
    <s v="DISCOUNT NOT ALLOWED"/>
    <s v="Discount Not Allowed"/>
    <s v="16/10/23"/>
  </r>
  <r>
    <s v="TXN_3717384"/>
    <s v="CUST_01"/>
    <x v="4"/>
    <x v="87"/>
    <x v="11"/>
    <x v="4"/>
    <n v="147"/>
    <x v="1"/>
    <x v="1"/>
    <x v="1014"/>
    <x v="0"/>
    <s v="DISCOUNT NOT ALLOWED"/>
    <s v="discount not allowed"/>
    <s v="DISCOUNT NOT ALLOWED"/>
    <s v="Discount Not Allowed"/>
    <s v="11/05/23"/>
  </r>
  <r>
    <s v="TXN_3739606"/>
    <s v="CUST_11"/>
    <x v="4"/>
    <x v="87"/>
    <x v="11"/>
    <x v="4"/>
    <n v="147"/>
    <x v="0"/>
    <x v="0"/>
    <x v="304"/>
    <x v="1"/>
    <s v="DISCOUNT ALLOWED"/>
    <s v="discount allowed"/>
    <s v="DISCOUNT ALLOWED"/>
    <s v="Discount Allowed"/>
    <s v="15/10/24"/>
  </r>
  <r>
    <s v="TXN_3795064"/>
    <s v="CUST_06"/>
    <x v="4"/>
    <x v="87"/>
    <x v="11"/>
    <x v="4"/>
    <n v="147"/>
    <x v="1"/>
    <x v="1"/>
    <x v="1021"/>
    <x v="1"/>
    <s v="DISCOUNT ALLOWED"/>
    <s v="discount allowed"/>
    <s v="DISCOUNT ALLOWED"/>
    <s v="Discount Allowed"/>
    <s v="27/09/23"/>
  </r>
  <r>
    <s v="TXN_4192360"/>
    <s v="CUST_22"/>
    <x v="0"/>
    <x v="91"/>
    <x v="11"/>
    <x v="4"/>
    <n v="147"/>
    <x v="0"/>
    <x v="1"/>
    <x v="59"/>
    <x v="1"/>
    <s v="DISCOUNT ALLOWED"/>
    <s v="discount allowed"/>
    <s v="DISCOUNT ALLOWED"/>
    <s v="Discount Allowed"/>
    <s v="24/11/22"/>
  </r>
  <r>
    <s v="TXN_4226051"/>
    <s v="CUST_02"/>
    <x v="4"/>
    <x v="87"/>
    <x v="11"/>
    <x v="4"/>
    <n v="147"/>
    <x v="0"/>
    <x v="1"/>
    <x v="798"/>
    <x v="0"/>
    <s v="DISCOUNT NOT ALLOWED"/>
    <s v="discount not allowed"/>
    <s v="DISCOUNT NOT ALLOWED"/>
    <s v="Discount Not Allowed"/>
    <s v="09/01/24"/>
  </r>
  <r>
    <s v="TXN_4255190"/>
    <s v="CUST_13"/>
    <x v="4"/>
    <x v="87"/>
    <x v="11"/>
    <x v="4"/>
    <n v="147"/>
    <x v="0"/>
    <x v="1"/>
    <x v="1022"/>
    <x v="0"/>
    <s v="DISCOUNT NOT ALLOWED"/>
    <s v="discount not allowed"/>
    <s v="DISCOUNT NOT ALLOWED"/>
    <s v="Discount Not Allowed"/>
    <s v="15/03/23"/>
  </r>
  <r>
    <s v="TXN_4298899"/>
    <s v="CUST_11"/>
    <x v="4"/>
    <x v="87"/>
    <x v="11"/>
    <x v="4"/>
    <n v="147"/>
    <x v="0"/>
    <x v="0"/>
    <x v="561"/>
    <x v="0"/>
    <s v="DISCOUNT NOT ALLOWED"/>
    <s v="discount not allowed"/>
    <s v="DISCOUNT NOT ALLOWED"/>
    <s v="Discount Not Allowed"/>
    <s v="27/04/24"/>
  </r>
  <r>
    <s v="TXN_4476611"/>
    <s v="CUST_13"/>
    <x v="4"/>
    <x v="87"/>
    <x v="11"/>
    <x v="4"/>
    <n v="147"/>
    <x v="2"/>
    <x v="0"/>
    <x v="700"/>
    <x v="1"/>
    <s v="DISCOUNT ALLOWED"/>
    <s v="discount allowed"/>
    <s v="DISCOUNT ALLOWED"/>
    <s v="Discount Allowed"/>
    <s v="01/03/23"/>
  </r>
  <r>
    <s v="TXN_5190484"/>
    <s v="CUST_08"/>
    <x v="4"/>
    <x v="87"/>
    <x v="11"/>
    <x v="4"/>
    <n v="147"/>
    <x v="1"/>
    <x v="0"/>
    <x v="312"/>
    <x v="0"/>
    <s v="DISCOUNT NOT ALLOWED"/>
    <s v="discount not allowed"/>
    <s v="DISCOUNT NOT ALLOWED"/>
    <s v="Discount Not Allowed"/>
    <s v="07/11/22"/>
  </r>
  <r>
    <s v="TXN_5328500"/>
    <s v="CUST_18"/>
    <x v="7"/>
    <x v="86"/>
    <x v="11"/>
    <x v="4"/>
    <n v="147"/>
    <x v="1"/>
    <x v="1"/>
    <x v="1023"/>
    <x v="0"/>
    <s v="DISCOUNT NOT ALLOWED"/>
    <s v="discount not allowed"/>
    <s v="DISCOUNT NOT ALLOWED"/>
    <s v="Discount Not Allowed"/>
    <s v="11/02/24"/>
  </r>
  <r>
    <s v="TXN_5605094"/>
    <s v="CUST_07"/>
    <x v="4"/>
    <x v="87"/>
    <x v="11"/>
    <x v="4"/>
    <n v="147"/>
    <x v="2"/>
    <x v="1"/>
    <x v="1024"/>
    <x v="0"/>
    <s v="DISCOUNT NOT ALLOWED"/>
    <s v="discount not allowed"/>
    <s v="DISCOUNT NOT ALLOWED"/>
    <s v="Discount Not Allowed"/>
    <s v="01/04/24"/>
  </r>
  <r>
    <s v="TXN_5844928"/>
    <s v="CUST_19"/>
    <x v="1"/>
    <x v="89"/>
    <x v="11"/>
    <x v="4"/>
    <n v="147"/>
    <x v="2"/>
    <x v="0"/>
    <x v="1003"/>
    <x v="1"/>
    <s v="DISCOUNT ALLOWED"/>
    <s v="discount allowed"/>
    <s v="DISCOUNT ALLOWED"/>
    <s v="Discount Allowed"/>
    <s v="09/09/24"/>
  </r>
  <r>
    <s v="TXN_5869329"/>
    <s v="CUST_01"/>
    <x v="1"/>
    <x v="89"/>
    <x v="11"/>
    <x v="4"/>
    <n v="147"/>
    <x v="2"/>
    <x v="1"/>
    <x v="1025"/>
    <x v="0"/>
    <s v="DISCOUNT NOT ALLOWED"/>
    <s v="discount not allowed"/>
    <s v="DISCOUNT NOT ALLOWED"/>
    <s v="Discount Not Allowed"/>
    <s v="06/05/23"/>
  </r>
  <r>
    <s v="TXN_6932205"/>
    <s v="CUST_07"/>
    <x v="6"/>
    <x v="88"/>
    <x v="11"/>
    <x v="4"/>
    <n v="147"/>
    <x v="2"/>
    <x v="0"/>
    <x v="545"/>
    <x v="0"/>
    <s v="DISCOUNT NOT ALLOWED"/>
    <s v="discount not allowed"/>
    <s v="DISCOUNT NOT ALLOWED"/>
    <s v="Discount Not Allowed"/>
    <s v="15/03/22"/>
  </r>
  <r>
    <s v="TXN_7169866"/>
    <s v="CUST_25"/>
    <x v="6"/>
    <x v="88"/>
    <x v="11"/>
    <x v="4"/>
    <n v="147"/>
    <x v="1"/>
    <x v="0"/>
    <x v="482"/>
    <x v="1"/>
    <s v="DISCOUNT ALLOWED"/>
    <s v="discount allowed"/>
    <s v="DISCOUNT ALLOWED"/>
    <s v="Discount Allowed"/>
    <s v="03/03/23"/>
  </r>
  <r>
    <s v="TXN_7842114"/>
    <s v="CUST_23"/>
    <x v="4"/>
    <x v="87"/>
    <x v="11"/>
    <x v="4"/>
    <n v="147"/>
    <x v="1"/>
    <x v="0"/>
    <x v="460"/>
    <x v="0"/>
    <s v="DISCOUNT NOT ALLOWED"/>
    <s v="discount not allowed"/>
    <s v="DISCOUNT NOT ALLOWED"/>
    <s v="Discount Not Allowed"/>
    <s v="11/03/23"/>
  </r>
  <r>
    <s v="TXN_8356888"/>
    <s v="CUST_08"/>
    <x v="1"/>
    <x v="89"/>
    <x v="11"/>
    <x v="4"/>
    <n v="147"/>
    <x v="2"/>
    <x v="0"/>
    <x v="1026"/>
    <x v="1"/>
    <s v="DISCOUNT ALLOWED"/>
    <s v="discount allowed"/>
    <s v="DISCOUNT ALLOWED"/>
    <s v="Discount Allowed"/>
    <s v="02/11/23"/>
  </r>
  <r>
    <s v="TXN_8392495"/>
    <s v="CUST_06"/>
    <x v="0"/>
    <x v="91"/>
    <x v="11"/>
    <x v="4"/>
    <n v="147"/>
    <x v="1"/>
    <x v="1"/>
    <x v="776"/>
    <x v="1"/>
    <s v="DISCOUNT ALLOWED"/>
    <s v="discount allowed"/>
    <s v="DISCOUNT ALLOWED"/>
    <s v="Discount Allowed"/>
    <s v="15/12/24"/>
  </r>
  <r>
    <s v="TXN_9113601"/>
    <s v="CUST_14"/>
    <x v="4"/>
    <x v="87"/>
    <x v="11"/>
    <x v="4"/>
    <n v="147"/>
    <x v="1"/>
    <x v="1"/>
    <x v="891"/>
    <x v="0"/>
    <s v="DISCOUNT NOT ALLOWED"/>
    <s v="discount not allowed"/>
    <s v="DISCOUNT NOT ALLOWED"/>
    <s v="Discount Not Allowed"/>
    <s v="07/04/22"/>
  </r>
  <r>
    <s v="TXN_9475395"/>
    <s v="CUST_08"/>
    <x v="1"/>
    <x v="89"/>
    <x v="11"/>
    <x v="4"/>
    <n v="147"/>
    <x v="0"/>
    <x v="0"/>
    <x v="274"/>
    <x v="1"/>
    <s v="DISCOUNT ALLOWED"/>
    <s v="discount allowed"/>
    <s v="DISCOUNT ALLOWED"/>
    <s v="Discount Allowed"/>
    <s v="30/11/24"/>
  </r>
  <r>
    <s v="TXN_9509818"/>
    <s v="CUST_13"/>
    <x v="2"/>
    <x v="90"/>
    <x v="11"/>
    <x v="4"/>
    <n v="147"/>
    <x v="0"/>
    <x v="0"/>
    <x v="438"/>
    <x v="1"/>
    <s v="DISCOUNT ALLOWED"/>
    <s v="discount allowed"/>
    <s v="DISCOUNT ALLOWED"/>
    <s v="Discount Allowed"/>
    <s v="11/01/22"/>
  </r>
  <r>
    <s v="TXN_9770361"/>
    <s v="CUST_25"/>
    <x v="2"/>
    <x v="90"/>
    <x v="11"/>
    <x v="4"/>
    <n v="147"/>
    <x v="1"/>
    <x v="0"/>
    <x v="467"/>
    <x v="0"/>
    <s v="DISCOUNT NOT ALLOWED"/>
    <s v="discount not allowed"/>
    <s v="DISCOUNT NOT ALLOWED"/>
    <s v="Discount Not Allowed"/>
    <s v="18/05/22"/>
  </r>
  <r>
    <s v="TXN_1061030"/>
    <s v="CUST_20"/>
    <x v="6"/>
    <x v="26"/>
    <x v="3"/>
    <x v="6"/>
    <n v="146"/>
    <x v="0"/>
    <x v="0"/>
    <x v="824"/>
    <x v="1"/>
    <s v="DISCOUNT ALLOWED"/>
    <s v="discount allowed"/>
    <s v="DISCOUNT ALLOWED"/>
    <s v="Discount Allowed"/>
    <s v="14/07/24"/>
  </r>
  <r>
    <s v="TXN_1091915"/>
    <s v="CUST_01"/>
    <x v="7"/>
    <x v="30"/>
    <x v="3"/>
    <x v="6"/>
    <n v="146"/>
    <x v="2"/>
    <x v="0"/>
    <x v="57"/>
    <x v="0"/>
    <s v="DISCOUNT NOT ALLOWED"/>
    <s v="discount not allowed"/>
    <s v="DISCOUNT NOT ALLOWED"/>
    <s v="Discount Not Allowed"/>
    <s v="16/07/23"/>
  </r>
  <r>
    <s v="TXN_1213835"/>
    <s v="CUST_02"/>
    <x v="1"/>
    <x v="29"/>
    <x v="3"/>
    <x v="6"/>
    <n v="146"/>
    <x v="0"/>
    <x v="1"/>
    <x v="987"/>
    <x v="0"/>
    <s v="DISCOUNT NOT ALLOWED"/>
    <s v="discount not allowed"/>
    <s v="DISCOUNT NOT ALLOWED"/>
    <s v="Discount Not Allowed"/>
    <s v="06/07/22"/>
  </r>
  <r>
    <s v="TXN_1373042"/>
    <s v="CUST_22"/>
    <x v="5"/>
    <x v="28"/>
    <x v="3"/>
    <x v="6"/>
    <n v="146"/>
    <x v="1"/>
    <x v="0"/>
    <x v="592"/>
    <x v="1"/>
    <s v="DISCOUNT ALLOWED"/>
    <s v="discount allowed"/>
    <s v="DISCOUNT ALLOWED"/>
    <s v="Discount Allowed"/>
    <s v="11/12/23"/>
  </r>
  <r>
    <s v="TXN_1559058"/>
    <s v="CUST_24"/>
    <x v="6"/>
    <x v="26"/>
    <x v="3"/>
    <x v="6"/>
    <n v="146"/>
    <x v="2"/>
    <x v="0"/>
    <x v="156"/>
    <x v="1"/>
    <s v="DISCOUNT ALLOWED"/>
    <s v="discount allowed"/>
    <s v="DISCOUNT ALLOWED"/>
    <s v="Discount Allowed"/>
    <s v="04/07/22"/>
  </r>
  <r>
    <s v="TXN_1765249"/>
    <s v="CUST_10"/>
    <x v="6"/>
    <x v="26"/>
    <x v="3"/>
    <x v="6"/>
    <n v="146"/>
    <x v="1"/>
    <x v="0"/>
    <x v="398"/>
    <x v="1"/>
    <s v="DISCOUNT ALLOWED"/>
    <s v="discount allowed"/>
    <s v="DISCOUNT ALLOWED"/>
    <s v="Discount Allowed"/>
    <s v="27/02/24"/>
  </r>
  <r>
    <s v="TXN_1972818"/>
    <s v="CUST_01"/>
    <x v="1"/>
    <x v="29"/>
    <x v="3"/>
    <x v="6"/>
    <n v="146"/>
    <x v="2"/>
    <x v="1"/>
    <x v="961"/>
    <x v="0"/>
    <s v="DISCOUNT NOT ALLOWED"/>
    <s v="discount not allowed"/>
    <s v="DISCOUNT NOT ALLOWED"/>
    <s v="Discount Not Allowed"/>
    <s v="18/10/23"/>
  </r>
  <r>
    <s v="TXN_2573398"/>
    <s v="CUST_10"/>
    <x v="3"/>
    <x v="24"/>
    <x v="3"/>
    <x v="6"/>
    <n v="146"/>
    <x v="2"/>
    <x v="1"/>
    <x v="967"/>
    <x v="1"/>
    <s v="DISCOUNT ALLOWED"/>
    <s v="discount allowed"/>
    <s v="DISCOUNT ALLOWED"/>
    <s v="Discount Allowed"/>
    <s v="15/04/24"/>
  </r>
  <r>
    <s v="TXN_2893807"/>
    <s v="CUST_24"/>
    <x v="5"/>
    <x v="28"/>
    <x v="3"/>
    <x v="6"/>
    <n v="146"/>
    <x v="0"/>
    <x v="0"/>
    <x v="650"/>
    <x v="1"/>
    <s v="DISCOUNT ALLOWED"/>
    <s v="discount allowed"/>
    <s v="DISCOUNT ALLOWED"/>
    <s v="Discount Allowed"/>
    <s v="03/01/23"/>
  </r>
  <r>
    <s v="TXN_2997948"/>
    <s v="CUST_15"/>
    <x v="1"/>
    <x v="29"/>
    <x v="3"/>
    <x v="6"/>
    <n v="146"/>
    <x v="1"/>
    <x v="1"/>
    <x v="511"/>
    <x v="0"/>
    <s v="DISCOUNT NOT ALLOWED"/>
    <s v="discount not allowed"/>
    <s v="DISCOUNT NOT ALLOWED"/>
    <s v="Discount Not Allowed"/>
    <s v="16/11/22"/>
  </r>
  <r>
    <s v="TXN_3249244"/>
    <s v="CUST_20"/>
    <x v="4"/>
    <x v="27"/>
    <x v="3"/>
    <x v="6"/>
    <n v="146"/>
    <x v="0"/>
    <x v="1"/>
    <x v="869"/>
    <x v="0"/>
    <s v="DISCOUNT NOT ALLOWED"/>
    <s v="discount not allowed"/>
    <s v="DISCOUNT NOT ALLOWED"/>
    <s v="Discount Not Allowed"/>
    <s v="16/07/22"/>
  </r>
  <r>
    <s v="TXN_4098880"/>
    <s v="CUST_16"/>
    <x v="4"/>
    <x v="27"/>
    <x v="3"/>
    <x v="6"/>
    <n v="146"/>
    <x v="2"/>
    <x v="1"/>
    <x v="911"/>
    <x v="1"/>
    <s v="DISCOUNT ALLOWED"/>
    <s v="discount allowed"/>
    <s v="DISCOUNT ALLOWED"/>
    <s v="Discount Allowed"/>
    <s v="08/11/22"/>
  </r>
  <r>
    <s v="TXN_4534121"/>
    <s v="CUST_07"/>
    <x v="5"/>
    <x v="28"/>
    <x v="3"/>
    <x v="6"/>
    <n v="146"/>
    <x v="2"/>
    <x v="0"/>
    <x v="686"/>
    <x v="0"/>
    <s v="DISCOUNT NOT ALLOWED"/>
    <s v="discount not allowed"/>
    <s v="DISCOUNT NOT ALLOWED"/>
    <s v="Discount Not Allowed"/>
    <s v="21/07/23"/>
  </r>
  <r>
    <s v="TXN_4776341"/>
    <s v="CUST_22"/>
    <x v="5"/>
    <x v="28"/>
    <x v="3"/>
    <x v="6"/>
    <n v="146"/>
    <x v="1"/>
    <x v="1"/>
    <x v="165"/>
    <x v="1"/>
    <s v="DISCOUNT ALLOWED"/>
    <s v="discount allowed"/>
    <s v="DISCOUNT ALLOWED"/>
    <s v="Discount Allowed"/>
    <s v="18/04/23"/>
  </r>
  <r>
    <s v="TXN_5309800"/>
    <s v="CUST_16"/>
    <x v="3"/>
    <x v="24"/>
    <x v="3"/>
    <x v="6"/>
    <n v="146"/>
    <x v="0"/>
    <x v="0"/>
    <x v="393"/>
    <x v="0"/>
    <s v="DISCOUNT NOT ALLOWED"/>
    <s v="discount not allowed"/>
    <s v="DISCOUNT NOT ALLOWED"/>
    <s v="Discount Not Allowed"/>
    <s v="18/10/22"/>
  </r>
  <r>
    <s v="TXN_5374493"/>
    <s v="CUST_23"/>
    <x v="6"/>
    <x v="26"/>
    <x v="3"/>
    <x v="6"/>
    <n v="146"/>
    <x v="1"/>
    <x v="0"/>
    <x v="827"/>
    <x v="0"/>
    <s v="DISCOUNT NOT ALLOWED"/>
    <s v="discount not allowed"/>
    <s v="DISCOUNT NOT ALLOWED"/>
    <s v="Discount Not Allowed"/>
    <s v="05/03/23"/>
  </r>
  <r>
    <s v="TXN_5701666"/>
    <s v="CUST_14"/>
    <x v="5"/>
    <x v="28"/>
    <x v="3"/>
    <x v="6"/>
    <n v="146"/>
    <x v="1"/>
    <x v="0"/>
    <x v="1021"/>
    <x v="1"/>
    <s v="DISCOUNT ALLOWED"/>
    <s v="discount allowed"/>
    <s v="DISCOUNT ALLOWED"/>
    <s v="Discount Allowed"/>
    <s v="27/09/23"/>
  </r>
  <r>
    <s v="TXN_6172140"/>
    <s v="CUST_19"/>
    <x v="2"/>
    <x v="23"/>
    <x v="3"/>
    <x v="6"/>
    <n v="146"/>
    <x v="1"/>
    <x v="0"/>
    <x v="1027"/>
    <x v="1"/>
    <s v="DISCOUNT ALLOWED"/>
    <s v="discount allowed"/>
    <s v="DISCOUNT ALLOWED"/>
    <s v="Discount Allowed"/>
    <s v="30/05/24"/>
  </r>
  <r>
    <s v="TXN_6276011"/>
    <s v="CUST_15"/>
    <x v="3"/>
    <x v="24"/>
    <x v="3"/>
    <x v="6"/>
    <n v="146"/>
    <x v="1"/>
    <x v="0"/>
    <x v="654"/>
    <x v="1"/>
    <s v="DISCOUNT ALLOWED"/>
    <s v="discount allowed"/>
    <s v="DISCOUNT ALLOWED"/>
    <s v="Discount Allowed"/>
    <s v="10/06/22"/>
  </r>
  <r>
    <s v="TXN_6295698"/>
    <s v="CUST_12"/>
    <x v="0"/>
    <x v="25"/>
    <x v="3"/>
    <x v="6"/>
    <n v="146"/>
    <x v="1"/>
    <x v="0"/>
    <x v="417"/>
    <x v="0"/>
    <s v="DISCOUNT NOT ALLOWED"/>
    <s v="discount not allowed"/>
    <s v="DISCOUNT NOT ALLOWED"/>
    <s v="Discount Not Allowed"/>
    <s v="17/10/24"/>
  </r>
  <r>
    <s v="TXN_6640306"/>
    <s v="CUST_08"/>
    <x v="5"/>
    <x v="28"/>
    <x v="3"/>
    <x v="6"/>
    <n v="146"/>
    <x v="0"/>
    <x v="1"/>
    <x v="663"/>
    <x v="0"/>
    <s v="DISCOUNT NOT ALLOWED"/>
    <s v="discount not allowed"/>
    <s v="DISCOUNT NOT ALLOWED"/>
    <s v="Discount Not Allowed"/>
    <s v="05/04/23"/>
  </r>
  <r>
    <s v="TXN_6730972"/>
    <s v="CUST_22"/>
    <x v="3"/>
    <x v="24"/>
    <x v="3"/>
    <x v="6"/>
    <n v="146"/>
    <x v="1"/>
    <x v="1"/>
    <x v="631"/>
    <x v="0"/>
    <s v="DISCOUNT NOT ALLOWED"/>
    <s v="discount not allowed"/>
    <s v="DISCOUNT NOT ALLOWED"/>
    <s v="Discount Not Allowed"/>
    <s v="05/09/24"/>
  </r>
  <r>
    <s v="TXN_6902800"/>
    <s v="CUST_24"/>
    <x v="1"/>
    <x v="29"/>
    <x v="3"/>
    <x v="6"/>
    <n v="146"/>
    <x v="2"/>
    <x v="0"/>
    <x v="616"/>
    <x v="0"/>
    <s v="DISCOUNT NOT ALLOWED"/>
    <s v="discount not allowed"/>
    <s v="DISCOUNT NOT ALLOWED"/>
    <s v="Discount Not Allowed"/>
    <s v="17/08/23"/>
  </r>
  <r>
    <s v="TXN_6956096"/>
    <s v="CUST_03"/>
    <x v="7"/>
    <x v="30"/>
    <x v="3"/>
    <x v="6"/>
    <n v="146"/>
    <x v="2"/>
    <x v="0"/>
    <x v="536"/>
    <x v="1"/>
    <s v="DISCOUNT ALLOWED"/>
    <s v="discount allowed"/>
    <s v="DISCOUNT ALLOWED"/>
    <s v="Discount Allowed"/>
    <s v="02/05/22"/>
  </r>
  <r>
    <s v="TXN_6968704"/>
    <s v="CUST_09"/>
    <x v="2"/>
    <x v="23"/>
    <x v="3"/>
    <x v="6"/>
    <n v="146"/>
    <x v="2"/>
    <x v="1"/>
    <x v="262"/>
    <x v="0"/>
    <s v="DISCOUNT NOT ALLOWED"/>
    <s v="discount not allowed"/>
    <s v="DISCOUNT NOT ALLOWED"/>
    <s v="Discount Not Allowed"/>
    <s v="20/12/24"/>
  </r>
  <r>
    <s v="TXN_7326338"/>
    <s v="CUST_24"/>
    <x v="4"/>
    <x v="27"/>
    <x v="3"/>
    <x v="6"/>
    <n v="146"/>
    <x v="2"/>
    <x v="1"/>
    <x v="268"/>
    <x v="1"/>
    <s v="DISCOUNT ALLOWED"/>
    <s v="discount allowed"/>
    <s v="DISCOUNT ALLOWED"/>
    <s v="Discount Allowed"/>
    <s v="29/04/22"/>
  </r>
  <r>
    <s v="TXN_7729050"/>
    <s v="CUST_04"/>
    <x v="3"/>
    <x v="24"/>
    <x v="3"/>
    <x v="6"/>
    <n v="146"/>
    <x v="1"/>
    <x v="0"/>
    <x v="755"/>
    <x v="0"/>
    <s v="DISCOUNT NOT ALLOWED"/>
    <s v="discount not allowed"/>
    <s v="DISCOUNT NOT ALLOWED"/>
    <s v="Discount Not Allowed"/>
    <s v="22/07/24"/>
  </r>
  <r>
    <s v="TXN_7928872"/>
    <s v="CUST_18"/>
    <x v="6"/>
    <x v="26"/>
    <x v="3"/>
    <x v="6"/>
    <n v="146"/>
    <x v="0"/>
    <x v="1"/>
    <x v="956"/>
    <x v="1"/>
    <s v="DISCOUNT ALLOWED"/>
    <s v="discount allowed"/>
    <s v="DISCOUNT ALLOWED"/>
    <s v="Discount Allowed"/>
    <s v="28/12/22"/>
  </r>
  <r>
    <s v="TXN_7960911"/>
    <s v="CUST_19"/>
    <x v="4"/>
    <x v="27"/>
    <x v="3"/>
    <x v="6"/>
    <n v="146"/>
    <x v="2"/>
    <x v="1"/>
    <x v="661"/>
    <x v="0"/>
    <s v="DISCOUNT NOT ALLOWED"/>
    <s v="discount not allowed"/>
    <s v="DISCOUNT NOT ALLOWED"/>
    <s v="Discount Not Allowed"/>
    <s v="12/06/23"/>
  </r>
  <r>
    <s v="TXN_8694108"/>
    <s v="CUST_16"/>
    <x v="5"/>
    <x v="28"/>
    <x v="3"/>
    <x v="6"/>
    <n v="146"/>
    <x v="2"/>
    <x v="1"/>
    <x v="481"/>
    <x v="1"/>
    <s v="DISCOUNT ALLOWED"/>
    <s v="discount allowed"/>
    <s v="DISCOUNT ALLOWED"/>
    <s v="Discount Allowed"/>
    <s v="20/11/22"/>
  </r>
  <r>
    <s v="TXN_9069543"/>
    <s v="CUST_10"/>
    <x v="2"/>
    <x v="23"/>
    <x v="3"/>
    <x v="6"/>
    <n v="146"/>
    <x v="1"/>
    <x v="1"/>
    <x v="684"/>
    <x v="0"/>
    <s v="DISCOUNT NOT ALLOWED"/>
    <s v="discount not allowed"/>
    <s v="DISCOUNT NOT ALLOWED"/>
    <s v="Discount Not Allowed"/>
    <s v="13/03/24"/>
  </r>
  <r>
    <s v="TXN_9161608"/>
    <s v="CUST_17"/>
    <x v="7"/>
    <x v="30"/>
    <x v="3"/>
    <x v="6"/>
    <n v="146"/>
    <x v="1"/>
    <x v="1"/>
    <x v="739"/>
    <x v="0"/>
    <s v="DISCOUNT NOT ALLOWED"/>
    <s v="discount not allowed"/>
    <s v="DISCOUNT NOT ALLOWED"/>
    <s v="Discount Not Allowed"/>
    <s v="23/05/22"/>
  </r>
  <r>
    <s v="TXN_9493723"/>
    <s v="CUST_22"/>
    <x v="3"/>
    <x v="24"/>
    <x v="3"/>
    <x v="6"/>
    <n v="146"/>
    <x v="2"/>
    <x v="1"/>
    <x v="514"/>
    <x v="1"/>
    <s v="DISCOUNT ALLOWED"/>
    <s v="discount allowed"/>
    <s v="DISCOUNT ALLOWED"/>
    <s v="Discount Allowed"/>
    <s v="28/05/22"/>
  </r>
  <r>
    <s v="TXN_9565718"/>
    <s v="CUST_22"/>
    <x v="6"/>
    <x v="26"/>
    <x v="3"/>
    <x v="6"/>
    <n v="146"/>
    <x v="0"/>
    <x v="1"/>
    <x v="910"/>
    <x v="1"/>
    <s v="DISCOUNT ALLOWED"/>
    <s v="discount allowed"/>
    <s v="DISCOUNT ALLOWED"/>
    <s v="Discount Allowed"/>
    <s v="20/01/22"/>
  </r>
  <r>
    <s v="TXN_9735326"/>
    <s v="CUST_02"/>
    <x v="4"/>
    <x v="27"/>
    <x v="3"/>
    <x v="6"/>
    <n v="146"/>
    <x v="0"/>
    <x v="1"/>
    <x v="235"/>
    <x v="0"/>
    <s v="DISCOUNT NOT ALLOWED"/>
    <s v="discount not allowed"/>
    <s v="DISCOUNT NOT ALLOWED"/>
    <s v="Discount Not Allowed"/>
    <s v="11/01/25"/>
  </r>
  <r>
    <s v="TXN_1038078"/>
    <s v="CUST_05"/>
    <x v="7"/>
    <x v="63"/>
    <x v="8"/>
    <x v="5"/>
    <n v="145"/>
    <x v="1"/>
    <x v="0"/>
    <x v="1028"/>
    <x v="1"/>
    <s v="DISCOUNT ALLOWED"/>
    <s v="discount allowed"/>
    <s v="DISCOUNT ALLOWED"/>
    <s v="Discount Allowed"/>
    <s v="15/09/23"/>
  </r>
  <r>
    <s v="TXN_1787703"/>
    <s v="CUST_13"/>
    <x v="1"/>
    <x v="64"/>
    <x v="8"/>
    <x v="5"/>
    <n v="145"/>
    <x v="0"/>
    <x v="1"/>
    <x v="65"/>
    <x v="1"/>
    <s v="DISCOUNT ALLOWED"/>
    <s v="discount allowed"/>
    <s v="DISCOUNT ALLOWED"/>
    <s v="Discount Allowed"/>
    <s v="02/09/24"/>
  </r>
  <r>
    <s v="TXN_2179469"/>
    <s v="CUST_23"/>
    <x v="7"/>
    <x v="63"/>
    <x v="8"/>
    <x v="5"/>
    <n v="145"/>
    <x v="2"/>
    <x v="1"/>
    <x v="923"/>
    <x v="0"/>
    <s v="DISCOUNT NOT ALLOWED"/>
    <s v="discount not allowed"/>
    <s v="DISCOUNT NOT ALLOWED"/>
    <s v="Discount Not Allowed"/>
    <s v="01/12/23"/>
  </r>
  <r>
    <s v="TXN_2563000"/>
    <s v="CUST_13"/>
    <x v="0"/>
    <x v="61"/>
    <x v="8"/>
    <x v="5"/>
    <n v="145"/>
    <x v="2"/>
    <x v="0"/>
    <x v="848"/>
    <x v="0"/>
    <s v="DISCOUNT NOT ALLOWED"/>
    <s v="discount not allowed"/>
    <s v="DISCOUNT NOT ALLOWED"/>
    <s v="Discount Not Allowed"/>
    <s v="22/10/22"/>
  </r>
  <r>
    <s v="TXN_2626134"/>
    <s v="CUST_20"/>
    <x v="5"/>
    <x v="67"/>
    <x v="8"/>
    <x v="5"/>
    <n v="145"/>
    <x v="2"/>
    <x v="1"/>
    <x v="71"/>
    <x v="1"/>
    <s v="DISCOUNT ALLOWED"/>
    <s v="discount allowed"/>
    <s v="DISCOUNT ALLOWED"/>
    <s v="Discount Allowed"/>
    <s v="09/06/22"/>
  </r>
  <r>
    <s v="TXN_2910275"/>
    <s v="CUST_03"/>
    <x v="6"/>
    <x v="62"/>
    <x v="8"/>
    <x v="5"/>
    <n v="145"/>
    <x v="0"/>
    <x v="0"/>
    <x v="548"/>
    <x v="0"/>
    <s v="DISCOUNT NOT ALLOWED"/>
    <s v="discount not allowed"/>
    <s v="DISCOUNT NOT ALLOWED"/>
    <s v="Discount Not Allowed"/>
    <s v="22/01/22"/>
  </r>
  <r>
    <s v="TXN_3056004"/>
    <s v="CUST_22"/>
    <x v="3"/>
    <x v="65"/>
    <x v="8"/>
    <x v="5"/>
    <n v="145"/>
    <x v="2"/>
    <x v="0"/>
    <x v="760"/>
    <x v="1"/>
    <s v="DISCOUNT ALLOWED"/>
    <s v="discount allowed"/>
    <s v="DISCOUNT ALLOWED"/>
    <s v="Discount Allowed"/>
    <s v="30/11/22"/>
  </r>
  <r>
    <s v="TXN_3460796"/>
    <s v="CUST_17"/>
    <x v="0"/>
    <x v="61"/>
    <x v="8"/>
    <x v="5"/>
    <n v="145"/>
    <x v="0"/>
    <x v="0"/>
    <x v="657"/>
    <x v="1"/>
    <s v="DISCOUNT ALLOWED"/>
    <s v="discount allowed"/>
    <s v="DISCOUNT ALLOWED"/>
    <s v="Discount Allowed"/>
    <s v="22/03/22"/>
  </r>
  <r>
    <s v="TXN_3548100"/>
    <s v="CUST_18"/>
    <x v="1"/>
    <x v="64"/>
    <x v="8"/>
    <x v="5"/>
    <n v="145"/>
    <x v="2"/>
    <x v="1"/>
    <x v="146"/>
    <x v="0"/>
    <s v="DISCOUNT NOT ALLOWED"/>
    <s v="discount not allowed"/>
    <s v="DISCOUNT NOT ALLOWED"/>
    <s v="Discount Not Allowed"/>
    <s v="06/12/24"/>
  </r>
  <r>
    <s v="TXN_3782657"/>
    <s v="CUST_15"/>
    <x v="5"/>
    <x v="67"/>
    <x v="8"/>
    <x v="5"/>
    <n v="145"/>
    <x v="0"/>
    <x v="0"/>
    <x v="570"/>
    <x v="0"/>
    <s v="DISCOUNT NOT ALLOWED"/>
    <s v="discount not allowed"/>
    <s v="DISCOUNT NOT ALLOWED"/>
    <s v="Discount Not Allowed"/>
    <s v="03/01/25"/>
  </r>
  <r>
    <s v="TXN_4169051"/>
    <s v="CUST_01"/>
    <x v="1"/>
    <x v="64"/>
    <x v="8"/>
    <x v="5"/>
    <n v="145"/>
    <x v="2"/>
    <x v="1"/>
    <x v="522"/>
    <x v="0"/>
    <s v="DISCOUNT NOT ALLOWED"/>
    <s v="discount not allowed"/>
    <s v="DISCOUNT NOT ALLOWED"/>
    <s v="Discount Not Allowed"/>
    <s v="27/08/24"/>
  </r>
  <r>
    <s v="TXN_4908056"/>
    <s v="CUST_16"/>
    <x v="1"/>
    <x v="64"/>
    <x v="8"/>
    <x v="5"/>
    <n v="145"/>
    <x v="0"/>
    <x v="0"/>
    <x v="613"/>
    <x v="1"/>
    <s v="DISCOUNT ALLOWED"/>
    <s v="discount allowed"/>
    <s v="DISCOUNT ALLOWED"/>
    <s v="Discount Allowed"/>
    <s v="20/04/23"/>
  </r>
  <r>
    <s v="TXN_5646983"/>
    <s v="CUST_19"/>
    <x v="3"/>
    <x v="65"/>
    <x v="8"/>
    <x v="5"/>
    <n v="145"/>
    <x v="1"/>
    <x v="0"/>
    <x v="209"/>
    <x v="1"/>
    <s v="DISCOUNT ALLOWED"/>
    <s v="discount allowed"/>
    <s v="DISCOUNT ALLOWED"/>
    <s v="Discount Allowed"/>
    <s v="01/07/23"/>
  </r>
  <r>
    <s v="TXN_5763958"/>
    <s v="CUST_03"/>
    <x v="1"/>
    <x v="64"/>
    <x v="8"/>
    <x v="5"/>
    <n v="145"/>
    <x v="0"/>
    <x v="0"/>
    <x v="798"/>
    <x v="0"/>
    <s v="DISCOUNT NOT ALLOWED"/>
    <s v="discount not allowed"/>
    <s v="DISCOUNT NOT ALLOWED"/>
    <s v="Discount Not Allowed"/>
    <s v="09/01/24"/>
  </r>
  <r>
    <s v="TXN_6036315"/>
    <s v="CUST_23"/>
    <x v="0"/>
    <x v="61"/>
    <x v="8"/>
    <x v="5"/>
    <n v="145"/>
    <x v="2"/>
    <x v="1"/>
    <x v="654"/>
    <x v="0"/>
    <s v="DISCOUNT NOT ALLOWED"/>
    <s v="discount not allowed"/>
    <s v="DISCOUNT NOT ALLOWED"/>
    <s v="Discount Not Allowed"/>
    <s v="10/06/22"/>
  </r>
  <r>
    <s v="TXN_6752216"/>
    <s v="CUST_05"/>
    <x v="6"/>
    <x v="62"/>
    <x v="8"/>
    <x v="5"/>
    <n v="145"/>
    <x v="2"/>
    <x v="1"/>
    <x v="907"/>
    <x v="1"/>
    <s v="DISCOUNT ALLOWED"/>
    <s v="discount allowed"/>
    <s v="DISCOUNT ALLOWED"/>
    <s v="Discount Allowed"/>
    <s v="09/04/23"/>
  </r>
  <r>
    <s v="TXN_6878154"/>
    <s v="CUST_14"/>
    <x v="3"/>
    <x v="65"/>
    <x v="8"/>
    <x v="5"/>
    <n v="145"/>
    <x v="0"/>
    <x v="0"/>
    <x v="932"/>
    <x v="1"/>
    <s v="DISCOUNT ALLOWED"/>
    <s v="discount allowed"/>
    <s v="DISCOUNT ALLOWED"/>
    <s v="Discount Allowed"/>
    <s v="22/04/22"/>
  </r>
  <r>
    <s v="TXN_6988754"/>
    <s v="CUST_09"/>
    <x v="2"/>
    <x v="68"/>
    <x v="8"/>
    <x v="5"/>
    <n v="145"/>
    <x v="2"/>
    <x v="1"/>
    <x v="379"/>
    <x v="0"/>
    <s v="DISCOUNT NOT ALLOWED"/>
    <s v="discount not allowed"/>
    <s v="DISCOUNT NOT ALLOWED"/>
    <s v="Discount Not Allowed"/>
    <s v="15/03/24"/>
  </r>
  <r>
    <s v="TXN_7016337"/>
    <s v="CUST_15"/>
    <x v="0"/>
    <x v="61"/>
    <x v="8"/>
    <x v="5"/>
    <n v="145"/>
    <x v="1"/>
    <x v="1"/>
    <x v="336"/>
    <x v="1"/>
    <s v="DISCOUNT ALLOWED"/>
    <s v="discount allowed"/>
    <s v="DISCOUNT ALLOWED"/>
    <s v="Discount Allowed"/>
    <s v="05/11/24"/>
  </r>
  <r>
    <s v="TXN_7081940"/>
    <s v="CUST_03"/>
    <x v="0"/>
    <x v="61"/>
    <x v="8"/>
    <x v="5"/>
    <n v="145"/>
    <x v="0"/>
    <x v="1"/>
    <x v="14"/>
    <x v="0"/>
    <s v="DISCOUNT NOT ALLOWED"/>
    <s v="discount not allowed"/>
    <s v="DISCOUNT NOT ALLOWED"/>
    <s v="Discount Not Allowed"/>
    <s v="07/06/22"/>
  </r>
  <r>
    <s v="TXN_7281625"/>
    <s v="CUST_03"/>
    <x v="3"/>
    <x v="65"/>
    <x v="8"/>
    <x v="5"/>
    <n v="145"/>
    <x v="2"/>
    <x v="0"/>
    <x v="991"/>
    <x v="0"/>
    <s v="DISCOUNT NOT ALLOWED"/>
    <s v="discount not allowed"/>
    <s v="DISCOUNT NOT ALLOWED"/>
    <s v="Discount Not Allowed"/>
    <s v="08/02/23"/>
  </r>
  <r>
    <s v="TXN_7358557"/>
    <s v="CUST_18"/>
    <x v="2"/>
    <x v="68"/>
    <x v="8"/>
    <x v="5"/>
    <n v="145"/>
    <x v="0"/>
    <x v="1"/>
    <x v="495"/>
    <x v="0"/>
    <s v="DISCOUNT NOT ALLOWED"/>
    <s v="discount not allowed"/>
    <s v="DISCOUNT NOT ALLOWED"/>
    <s v="Discount Not Allowed"/>
    <s v="02/02/22"/>
  </r>
  <r>
    <s v="TXN_7577984"/>
    <s v="CUST_01"/>
    <x v="4"/>
    <x v="66"/>
    <x v="8"/>
    <x v="5"/>
    <n v="145"/>
    <x v="1"/>
    <x v="1"/>
    <x v="666"/>
    <x v="0"/>
    <s v="DISCOUNT NOT ALLOWED"/>
    <s v="discount not allowed"/>
    <s v="DISCOUNT NOT ALLOWED"/>
    <s v="Discount Not Allowed"/>
    <s v="19/12/23"/>
  </r>
  <r>
    <s v="TXN_7985058"/>
    <s v="CUST_06"/>
    <x v="4"/>
    <x v="66"/>
    <x v="8"/>
    <x v="5"/>
    <n v="145"/>
    <x v="1"/>
    <x v="1"/>
    <x v="54"/>
    <x v="0"/>
    <s v="DISCOUNT NOT ALLOWED"/>
    <s v="discount not allowed"/>
    <s v="DISCOUNT NOT ALLOWED"/>
    <s v="Discount Not Allowed"/>
    <s v="23/02/23"/>
  </r>
  <r>
    <s v="TXN_8355393"/>
    <s v="CUST_10"/>
    <x v="0"/>
    <x v="61"/>
    <x v="8"/>
    <x v="5"/>
    <n v="145"/>
    <x v="1"/>
    <x v="1"/>
    <x v="797"/>
    <x v="0"/>
    <s v="DISCOUNT NOT ALLOWED"/>
    <s v="discount not allowed"/>
    <s v="DISCOUNT NOT ALLOWED"/>
    <s v="Discount Not Allowed"/>
    <s v="24/01/22"/>
  </r>
  <r>
    <s v="TXN_8500248"/>
    <s v="CUST_12"/>
    <x v="1"/>
    <x v="64"/>
    <x v="8"/>
    <x v="5"/>
    <n v="145"/>
    <x v="2"/>
    <x v="0"/>
    <x v="659"/>
    <x v="0"/>
    <s v="DISCOUNT NOT ALLOWED"/>
    <s v="discount not allowed"/>
    <s v="DISCOUNT NOT ALLOWED"/>
    <s v="Discount Not Allowed"/>
    <s v="10/08/22"/>
  </r>
  <r>
    <s v="TXN_8534609"/>
    <s v="CUST_14"/>
    <x v="4"/>
    <x v="66"/>
    <x v="8"/>
    <x v="5"/>
    <n v="145"/>
    <x v="1"/>
    <x v="1"/>
    <x v="519"/>
    <x v="1"/>
    <s v="DISCOUNT ALLOWED"/>
    <s v="discount allowed"/>
    <s v="DISCOUNT ALLOWED"/>
    <s v="Discount Allowed"/>
    <s v="08/03/23"/>
  </r>
  <r>
    <s v="TXN_8736071"/>
    <s v="CUST_02"/>
    <x v="3"/>
    <x v="65"/>
    <x v="8"/>
    <x v="5"/>
    <n v="145"/>
    <x v="2"/>
    <x v="1"/>
    <x v="510"/>
    <x v="1"/>
    <s v="DISCOUNT ALLOWED"/>
    <s v="discount allowed"/>
    <s v="DISCOUNT ALLOWED"/>
    <s v="Discount Allowed"/>
    <s v="14/02/23"/>
  </r>
  <r>
    <s v="TXN_8952212"/>
    <s v="CUST_12"/>
    <x v="5"/>
    <x v="67"/>
    <x v="8"/>
    <x v="5"/>
    <n v="145"/>
    <x v="0"/>
    <x v="1"/>
    <x v="334"/>
    <x v="1"/>
    <s v="DISCOUNT ALLOWED"/>
    <s v="discount allowed"/>
    <s v="DISCOUNT ALLOWED"/>
    <s v="Discount Allowed"/>
    <s v="29/03/22"/>
  </r>
  <r>
    <s v="TXN_9062805"/>
    <s v="CUST_15"/>
    <x v="4"/>
    <x v="66"/>
    <x v="8"/>
    <x v="5"/>
    <n v="145"/>
    <x v="0"/>
    <x v="1"/>
    <x v="957"/>
    <x v="0"/>
    <s v="DISCOUNT NOT ALLOWED"/>
    <s v="discount not allowed"/>
    <s v="DISCOUNT NOT ALLOWED"/>
    <s v="Discount Not Allowed"/>
    <s v="03/01/22"/>
  </r>
  <r>
    <s v="TXN_1143548"/>
    <s v="CUST_12"/>
    <x v="2"/>
    <x v="32"/>
    <x v="4"/>
    <x v="6"/>
    <n v="140"/>
    <x v="2"/>
    <x v="1"/>
    <x v="231"/>
    <x v="0"/>
    <s v="DISCOUNT NOT ALLOWED"/>
    <s v="discount not allowed"/>
    <s v="DISCOUNT NOT ALLOWED"/>
    <s v="Discount Not Allowed"/>
    <s v="04/01/22"/>
  </r>
  <r>
    <s v="TXN_1370562"/>
    <s v="CUST_25"/>
    <x v="6"/>
    <x v="112"/>
    <x v="14"/>
    <x v="3"/>
    <n v="140"/>
    <x v="2"/>
    <x v="0"/>
    <x v="197"/>
    <x v="0"/>
    <s v="DISCOUNT NOT ALLOWED"/>
    <s v="discount not allowed"/>
    <s v="DISCOUNT NOT ALLOWED"/>
    <s v="Discount Not Allowed"/>
    <s v="01/09/22"/>
  </r>
  <r>
    <s v="TXN_1471121"/>
    <s v="CUST_03"/>
    <x v="0"/>
    <x v="115"/>
    <x v="14"/>
    <x v="3"/>
    <n v="140"/>
    <x v="0"/>
    <x v="1"/>
    <x v="90"/>
    <x v="0"/>
    <s v="DISCOUNT NOT ALLOWED"/>
    <s v="discount not allowed"/>
    <s v="DISCOUNT NOT ALLOWED"/>
    <s v="Discount Not Allowed"/>
    <s v="06/09/22"/>
  </r>
  <r>
    <s v="TXN_1524234"/>
    <s v="CUST_16"/>
    <x v="5"/>
    <x v="143"/>
    <x v="18"/>
    <x v="0"/>
    <n v="140"/>
    <x v="0"/>
    <x v="0"/>
    <x v="951"/>
    <x v="0"/>
    <s v="DISCOUNT NOT ALLOWED"/>
    <s v="discount not allowed"/>
    <s v="DISCOUNT NOT ALLOWED"/>
    <s v="Discount Not Allowed"/>
    <s v="12/11/22"/>
  </r>
  <r>
    <s v="TXN_1790105"/>
    <s v="CUST_25"/>
    <x v="2"/>
    <x v="113"/>
    <x v="14"/>
    <x v="3"/>
    <n v="140"/>
    <x v="2"/>
    <x v="1"/>
    <x v="659"/>
    <x v="1"/>
    <s v="DISCOUNT ALLOWED"/>
    <s v="discount allowed"/>
    <s v="DISCOUNT ALLOWED"/>
    <s v="Discount Allowed"/>
    <s v="10/08/22"/>
  </r>
  <r>
    <s v="TXN_1820377"/>
    <s v="CUST_15"/>
    <x v="7"/>
    <x v="110"/>
    <x v="14"/>
    <x v="3"/>
    <n v="140"/>
    <x v="0"/>
    <x v="1"/>
    <x v="1029"/>
    <x v="1"/>
    <s v="DISCOUNT ALLOWED"/>
    <s v="discount allowed"/>
    <s v="DISCOUNT ALLOWED"/>
    <s v="Discount Allowed"/>
    <s v="03/01/24"/>
  </r>
  <r>
    <s v="TXN_1829811"/>
    <s v="CUST_04"/>
    <x v="7"/>
    <x v="110"/>
    <x v="14"/>
    <x v="3"/>
    <n v="140"/>
    <x v="2"/>
    <x v="0"/>
    <x v="1030"/>
    <x v="0"/>
    <s v="DISCOUNT NOT ALLOWED"/>
    <s v="discount not allowed"/>
    <s v="DISCOUNT NOT ALLOWED"/>
    <s v="Discount Not Allowed"/>
    <s v="20/12/22"/>
  </r>
  <r>
    <s v="TXN_2027461"/>
    <s v="CUST_15"/>
    <x v="5"/>
    <x v="111"/>
    <x v="14"/>
    <x v="3"/>
    <n v="140"/>
    <x v="1"/>
    <x v="1"/>
    <x v="59"/>
    <x v="0"/>
    <s v="DISCOUNT NOT ALLOWED"/>
    <s v="discount not allowed"/>
    <s v="DISCOUNT NOT ALLOWED"/>
    <s v="Discount Not Allowed"/>
    <s v="24/11/22"/>
  </r>
  <r>
    <s v="TXN_2173572"/>
    <s v="CUST_07"/>
    <x v="1"/>
    <x v="34"/>
    <x v="4"/>
    <x v="6"/>
    <n v="140"/>
    <x v="0"/>
    <x v="1"/>
    <x v="348"/>
    <x v="1"/>
    <s v="DISCOUNT ALLOWED"/>
    <s v="discount allowed"/>
    <s v="DISCOUNT ALLOWED"/>
    <s v="Discount Allowed"/>
    <s v="30/09/24"/>
  </r>
  <r>
    <s v="TXN_2283214"/>
    <s v="CUST_02"/>
    <x v="3"/>
    <x v="144"/>
    <x v="18"/>
    <x v="0"/>
    <n v="140"/>
    <x v="0"/>
    <x v="0"/>
    <x v="615"/>
    <x v="1"/>
    <s v="DISCOUNT ALLOWED"/>
    <s v="discount allowed"/>
    <s v="DISCOUNT ALLOWED"/>
    <s v="Discount Allowed"/>
    <s v="02/12/23"/>
  </r>
  <r>
    <s v="TXN_2654084"/>
    <s v="CUST_23"/>
    <x v="6"/>
    <x v="145"/>
    <x v="18"/>
    <x v="0"/>
    <n v="140"/>
    <x v="0"/>
    <x v="0"/>
    <x v="99"/>
    <x v="0"/>
    <s v="DISCOUNT NOT ALLOWED"/>
    <s v="discount not allowed"/>
    <s v="DISCOUNT NOT ALLOWED"/>
    <s v="Discount Not Allowed"/>
    <s v="04/03/23"/>
  </r>
  <r>
    <s v="TXN_2685666"/>
    <s v="CUST_03"/>
    <x v="0"/>
    <x v="115"/>
    <x v="14"/>
    <x v="3"/>
    <n v="140"/>
    <x v="0"/>
    <x v="0"/>
    <x v="133"/>
    <x v="0"/>
    <s v="DISCOUNT NOT ALLOWED"/>
    <s v="discount not allowed"/>
    <s v="DISCOUNT NOT ALLOWED"/>
    <s v="Discount Not Allowed"/>
    <s v="17/01/24"/>
  </r>
  <r>
    <s v="TXN_2693158"/>
    <s v="CUST_18"/>
    <x v="7"/>
    <x v="146"/>
    <x v="18"/>
    <x v="0"/>
    <n v="140"/>
    <x v="0"/>
    <x v="1"/>
    <x v="405"/>
    <x v="1"/>
    <s v="DISCOUNT ALLOWED"/>
    <s v="discount allowed"/>
    <s v="DISCOUNT ALLOWED"/>
    <s v="Discount Allowed"/>
    <s v="28/10/22"/>
  </r>
  <r>
    <s v="TXN_2705106"/>
    <s v="CUST_24"/>
    <x v="4"/>
    <x v="147"/>
    <x v="18"/>
    <x v="0"/>
    <n v="140"/>
    <x v="1"/>
    <x v="1"/>
    <x v="802"/>
    <x v="0"/>
    <s v="DISCOUNT NOT ALLOWED"/>
    <s v="discount not allowed"/>
    <s v="DISCOUNT NOT ALLOWED"/>
    <s v="Discount Not Allowed"/>
    <s v="05/10/24"/>
  </r>
  <r>
    <s v="TXN_2900282"/>
    <s v="CUST_19"/>
    <x v="2"/>
    <x v="148"/>
    <x v="18"/>
    <x v="0"/>
    <n v="140"/>
    <x v="1"/>
    <x v="0"/>
    <x v="98"/>
    <x v="1"/>
    <s v="DISCOUNT ALLOWED"/>
    <s v="discount allowed"/>
    <s v="DISCOUNT ALLOWED"/>
    <s v="Discount Allowed"/>
    <s v="04/04/23"/>
  </r>
  <r>
    <s v="TXN_2972823"/>
    <s v="CUST_20"/>
    <x v="5"/>
    <x v="35"/>
    <x v="4"/>
    <x v="6"/>
    <n v="140"/>
    <x v="1"/>
    <x v="0"/>
    <x v="868"/>
    <x v="0"/>
    <s v="DISCOUNT NOT ALLOWED"/>
    <s v="discount not allowed"/>
    <s v="DISCOUNT NOT ALLOWED"/>
    <s v="Discount Not Allowed"/>
    <s v="22/08/24"/>
  </r>
  <r>
    <s v="TXN_3024691"/>
    <s v="CUST_25"/>
    <x v="5"/>
    <x v="35"/>
    <x v="4"/>
    <x v="6"/>
    <n v="140"/>
    <x v="0"/>
    <x v="1"/>
    <x v="609"/>
    <x v="1"/>
    <s v="DISCOUNT ALLOWED"/>
    <s v="discount allowed"/>
    <s v="DISCOUNT ALLOWED"/>
    <s v="Discount Allowed"/>
    <s v="14/02/24"/>
  </r>
  <r>
    <s v="TXN_3202495"/>
    <s v="CUST_08"/>
    <x v="1"/>
    <x v="149"/>
    <x v="18"/>
    <x v="0"/>
    <n v="140"/>
    <x v="1"/>
    <x v="1"/>
    <x v="610"/>
    <x v="1"/>
    <s v="DISCOUNT ALLOWED"/>
    <s v="discount allowed"/>
    <s v="DISCOUNT ALLOWED"/>
    <s v="Discount Allowed"/>
    <s v="15/08/24"/>
  </r>
  <r>
    <s v="TXN_3267850"/>
    <s v="CUST_09"/>
    <x v="1"/>
    <x v="114"/>
    <x v="14"/>
    <x v="3"/>
    <n v="140"/>
    <x v="1"/>
    <x v="0"/>
    <x v="374"/>
    <x v="1"/>
    <s v="DISCOUNT ALLOWED"/>
    <s v="discount allowed"/>
    <s v="DISCOUNT ALLOWED"/>
    <s v="Discount Allowed"/>
    <s v="04/10/24"/>
  </r>
  <r>
    <s v="TXN_3363826"/>
    <s v="CUST_20"/>
    <x v="6"/>
    <x v="33"/>
    <x v="4"/>
    <x v="6"/>
    <n v="140"/>
    <x v="2"/>
    <x v="0"/>
    <x v="275"/>
    <x v="1"/>
    <s v="DISCOUNT ALLOWED"/>
    <s v="discount allowed"/>
    <s v="DISCOUNT ALLOWED"/>
    <s v="Discount Allowed"/>
    <s v="16/06/24"/>
  </r>
  <r>
    <s v="TXN_3713358"/>
    <s v="CUST_13"/>
    <x v="7"/>
    <x v="146"/>
    <x v="18"/>
    <x v="0"/>
    <n v="140"/>
    <x v="0"/>
    <x v="1"/>
    <x v="697"/>
    <x v="1"/>
    <s v="DISCOUNT ALLOWED"/>
    <s v="discount allowed"/>
    <s v="DISCOUNT ALLOWED"/>
    <s v="Discount Allowed"/>
    <s v="14/08/22"/>
  </r>
  <r>
    <s v="TXN_3747474"/>
    <s v="CUST_01"/>
    <x v="5"/>
    <x v="143"/>
    <x v="18"/>
    <x v="0"/>
    <n v="140"/>
    <x v="1"/>
    <x v="1"/>
    <x v="544"/>
    <x v="1"/>
    <s v="DISCOUNT ALLOWED"/>
    <s v="discount allowed"/>
    <s v="DISCOUNT ALLOWED"/>
    <s v="Discount Allowed"/>
    <s v="17/07/23"/>
  </r>
  <r>
    <s v="TXN_4022379"/>
    <s v="CUST_01"/>
    <x v="2"/>
    <x v="32"/>
    <x v="4"/>
    <x v="6"/>
    <n v="140"/>
    <x v="1"/>
    <x v="1"/>
    <x v="978"/>
    <x v="1"/>
    <s v="DISCOUNT ALLOWED"/>
    <s v="discount allowed"/>
    <s v="DISCOUNT ALLOWED"/>
    <s v="Discount Allowed"/>
    <s v="09/01/25"/>
  </r>
  <r>
    <s v="TXN_4167160"/>
    <s v="CUST_01"/>
    <x v="6"/>
    <x v="112"/>
    <x v="14"/>
    <x v="3"/>
    <n v="140"/>
    <x v="0"/>
    <x v="1"/>
    <x v="305"/>
    <x v="0"/>
    <s v="DISCOUNT NOT ALLOWED"/>
    <s v="discount not allowed"/>
    <s v="DISCOUNT NOT ALLOWED"/>
    <s v="Discount Not Allowed"/>
    <s v="21/05/23"/>
  </r>
  <r>
    <s v="TXN_4243879"/>
    <s v="CUST_19"/>
    <x v="1"/>
    <x v="149"/>
    <x v="18"/>
    <x v="0"/>
    <n v="140"/>
    <x v="1"/>
    <x v="1"/>
    <x v="294"/>
    <x v="1"/>
    <s v="DISCOUNT ALLOWED"/>
    <s v="discount allowed"/>
    <s v="DISCOUNT ALLOWED"/>
    <s v="Discount Allowed"/>
    <s v="09/07/22"/>
  </r>
  <r>
    <s v="TXN_4465035"/>
    <s v="CUST_03"/>
    <x v="1"/>
    <x v="34"/>
    <x v="4"/>
    <x v="6"/>
    <n v="140"/>
    <x v="0"/>
    <x v="1"/>
    <x v="431"/>
    <x v="1"/>
    <s v="DISCOUNT ALLOWED"/>
    <s v="discount allowed"/>
    <s v="DISCOUNT ALLOWED"/>
    <s v="Discount Allowed"/>
    <s v="01/01/25"/>
  </r>
  <r>
    <s v="TXN_4508080"/>
    <s v="CUST_17"/>
    <x v="6"/>
    <x v="145"/>
    <x v="18"/>
    <x v="0"/>
    <n v="140"/>
    <x v="0"/>
    <x v="1"/>
    <x v="175"/>
    <x v="0"/>
    <s v="DISCOUNT NOT ALLOWED"/>
    <s v="discount not allowed"/>
    <s v="DISCOUNT NOT ALLOWED"/>
    <s v="Discount Not Allowed"/>
    <s v="25/12/24"/>
  </r>
  <r>
    <s v="TXN_4525013"/>
    <s v="CUST_06"/>
    <x v="0"/>
    <x v="115"/>
    <x v="14"/>
    <x v="3"/>
    <n v="140"/>
    <x v="0"/>
    <x v="1"/>
    <x v="336"/>
    <x v="1"/>
    <s v="DISCOUNT ALLOWED"/>
    <s v="discount allowed"/>
    <s v="DISCOUNT ALLOWED"/>
    <s v="Discount Allowed"/>
    <s v="05/11/24"/>
  </r>
  <r>
    <s v="TXN_4607212"/>
    <s v="CUST_17"/>
    <x v="7"/>
    <x v="146"/>
    <x v="18"/>
    <x v="0"/>
    <n v="140"/>
    <x v="1"/>
    <x v="1"/>
    <x v="860"/>
    <x v="0"/>
    <s v="DISCOUNT NOT ALLOWED"/>
    <s v="discount not allowed"/>
    <s v="DISCOUNT NOT ALLOWED"/>
    <s v="Discount Not Allowed"/>
    <s v="23/09/23"/>
  </r>
  <r>
    <s v="TXN_4651323"/>
    <s v="CUST_01"/>
    <x v="3"/>
    <x v="52"/>
    <x v="4"/>
    <x v="6"/>
    <n v="140"/>
    <x v="2"/>
    <x v="1"/>
    <x v="563"/>
    <x v="1"/>
    <s v="DISCOUNT ALLOWED"/>
    <s v="discount allowed"/>
    <s v="DISCOUNT ALLOWED"/>
    <s v="Discount Allowed"/>
    <s v="03/10/24"/>
  </r>
  <r>
    <s v="TXN_4678316"/>
    <s v="CUST_05"/>
    <x v="3"/>
    <x v="126"/>
    <x v="14"/>
    <x v="3"/>
    <n v="140"/>
    <x v="2"/>
    <x v="1"/>
    <x v="848"/>
    <x v="0"/>
    <s v="DISCOUNT NOT ALLOWED"/>
    <s v="discount not allowed"/>
    <s v="DISCOUNT NOT ALLOWED"/>
    <s v="Discount Not Allowed"/>
    <s v="22/10/22"/>
  </r>
  <r>
    <s v="TXN_4925908"/>
    <s v="CUST_02"/>
    <x v="5"/>
    <x v="143"/>
    <x v="18"/>
    <x v="0"/>
    <n v="140"/>
    <x v="2"/>
    <x v="0"/>
    <x v="783"/>
    <x v="1"/>
    <s v="DISCOUNT ALLOWED"/>
    <s v="discount allowed"/>
    <s v="DISCOUNT ALLOWED"/>
    <s v="Discount Allowed"/>
    <s v="04/02/23"/>
  </r>
  <r>
    <s v="TXN_4978591"/>
    <s v="CUST_03"/>
    <x v="6"/>
    <x v="33"/>
    <x v="4"/>
    <x v="6"/>
    <n v="140"/>
    <x v="0"/>
    <x v="1"/>
    <x v="538"/>
    <x v="1"/>
    <s v="DISCOUNT ALLOWED"/>
    <s v="discount allowed"/>
    <s v="DISCOUNT ALLOWED"/>
    <s v="Discount Allowed"/>
    <s v="16/07/24"/>
  </r>
  <r>
    <s v="TXN_5035840"/>
    <s v="CUST_24"/>
    <x v="5"/>
    <x v="111"/>
    <x v="14"/>
    <x v="3"/>
    <n v="140"/>
    <x v="0"/>
    <x v="1"/>
    <x v="764"/>
    <x v="1"/>
    <s v="DISCOUNT ALLOWED"/>
    <s v="discount allowed"/>
    <s v="DISCOUNT ALLOWED"/>
    <s v="Discount Allowed"/>
    <s v="03/05/22"/>
  </r>
  <r>
    <s v="TXN_5148932"/>
    <s v="CUST_06"/>
    <x v="6"/>
    <x v="33"/>
    <x v="4"/>
    <x v="6"/>
    <n v="140"/>
    <x v="2"/>
    <x v="0"/>
    <x v="620"/>
    <x v="0"/>
    <s v="DISCOUNT NOT ALLOWED"/>
    <s v="discount not allowed"/>
    <s v="DISCOUNT NOT ALLOWED"/>
    <s v="Discount Not Allowed"/>
    <s v="19/09/23"/>
  </r>
  <r>
    <s v="TXN_5156632"/>
    <s v="CUST_23"/>
    <x v="0"/>
    <x v="115"/>
    <x v="14"/>
    <x v="3"/>
    <n v="140"/>
    <x v="0"/>
    <x v="1"/>
    <x v="78"/>
    <x v="0"/>
    <s v="DISCOUNT NOT ALLOWED"/>
    <s v="discount not allowed"/>
    <s v="DISCOUNT NOT ALLOWED"/>
    <s v="Discount Not Allowed"/>
    <s v="04/07/24"/>
  </r>
  <r>
    <s v="TXN_5205620"/>
    <s v="CUST_17"/>
    <x v="7"/>
    <x v="110"/>
    <x v="14"/>
    <x v="3"/>
    <n v="140"/>
    <x v="1"/>
    <x v="1"/>
    <x v="62"/>
    <x v="1"/>
    <s v="DISCOUNT ALLOWED"/>
    <s v="discount allowed"/>
    <s v="DISCOUNT ALLOWED"/>
    <s v="Discount Allowed"/>
    <s v="26/06/23"/>
  </r>
  <r>
    <s v="TXN_5326454"/>
    <s v="CUST_09"/>
    <x v="2"/>
    <x v="32"/>
    <x v="4"/>
    <x v="6"/>
    <n v="140"/>
    <x v="1"/>
    <x v="0"/>
    <x v="800"/>
    <x v="0"/>
    <s v="DISCOUNT NOT ALLOWED"/>
    <s v="discount not allowed"/>
    <s v="DISCOUNT NOT ALLOWED"/>
    <s v="Discount Not Allowed"/>
    <s v="06/05/22"/>
  </r>
  <r>
    <s v="TXN_5399331"/>
    <s v="CUST_22"/>
    <x v="2"/>
    <x v="148"/>
    <x v="18"/>
    <x v="0"/>
    <n v="140"/>
    <x v="2"/>
    <x v="0"/>
    <x v="185"/>
    <x v="0"/>
    <s v="DISCOUNT NOT ALLOWED"/>
    <s v="discount not allowed"/>
    <s v="DISCOUNT NOT ALLOWED"/>
    <s v="Discount Not Allowed"/>
    <s v="08/08/24"/>
  </r>
  <r>
    <s v="TXN_5473549"/>
    <s v="CUST_10"/>
    <x v="6"/>
    <x v="33"/>
    <x v="4"/>
    <x v="6"/>
    <n v="140"/>
    <x v="2"/>
    <x v="0"/>
    <x v="321"/>
    <x v="1"/>
    <s v="DISCOUNT ALLOWED"/>
    <s v="discount allowed"/>
    <s v="DISCOUNT ALLOWED"/>
    <s v="Discount Allowed"/>
    <s v="28/03/24"/>
  </r>
  <r>
    <s v="TXN_5501762"/>
    <s v="CUST_07"/>
    <x v="2"/>
    <x v="113"/>
    <x v="14"/>
    <x v="3"/>
    <n v="140"/>
    <x v="1"/>
    <x v="0"/>
    <x v="270"/>
    <x v="0"/>
    <s v="DISCOUNT NOT ALLOWED"/>
    <s v="discount not allowed"/>
    <s v="DISCOUNT NOT ALLOWED"/>
    <s v="Discount Not Allowed"/>
    <s v="08/11/23"/>
  </r>
  <r>
    <s v="TXN_5654404"/>
    <s v="CUST_06"/>
    <x v="0"/>
    <x v="115"/>
    <x v="14"/>
    <x v="3"/>
    <n v="140"/>
    <x v="2"/>
    <x v="0"/>
    <x v="603"/>
    <x v="1"/>
    <s v="DISCOUNT ALLOWED"/>
    <s v="discount allowed"/>
    <s v="DISCOUNT ALLOWED"/>
    <s v="Discount Allowed"/>
    <s v="25/07/23"/>
  </r>
  <r>
    <s v="TXN_5713524"/>
    <s v="CUST_01"/>
    <x v="0"/>
    <x v="115"/>
    <x v="14"/>
    <x v="3"/>
    <n v="140"/>
    <x v="0"/>
    <x v="1"/>
    <x v="1031"/>
    <x v="1"/>
    <s v="DISCOUNT ALLOWED"/>
    <s v="discount allowed"/>
    <s v="DISCOUNT ALLOWED"/>
    <s v="Discount Allowed"/>
    <s v="02/07/23"/>
  </r>
  <r>
    <s v="TXN_5827116"/>
    <s v="CUST_03"/>
    <x v="6"/>
    <x v="112"/>
    <x v="14"/>
    <x v="3"/>
    <n v="140"/>
    <x v="1"/>
    <x v="1"/>
    <x v="68"/>
    <x v="0"/>
    <s v="DISCOUNT NOT ALLOWED"/>
    <s v="discount not allowed"/>
    <s v="DISCOUNT NOT ALLOWED"/>
    <s v="Discount Not Allowed"/>
    <s v="05/11/23"/>
  </r>
  <r>
    <s v="TXN_6085231"/>
    <s v="CUST_24"/>
    <x v="1"/>
    <x v="114"/>
    <x v="14"/>
    <x v="3"/>
    <n v="140"/>
    <x v="0"/>
    <x v="1"/>
    <x v="988"/>
    <x v="0"/>
    <s v="DISCOUNT NOT ALLOWED"/>
    <s v="discount not allowed"/>
    <s v="DISCOUNT NOT ALLOWED"/>
    <s v="Discount Not Allowed"/>
    <s v="06/04/22"/>
  </r>
  <r>
    <s v="TXN_6162358"/>
    <s v="CUST_05"/>
    <x v="3"/>
    <x v="144"/>
    <x v="18"/>
    <x v="0"/>
    <n v="140"/>
    <x v="1"/>
    <x v="0"/>
    <x v="156"/>
    <x v="0"/>
    <s v="DISCOUNT NOT ALLOWED"/>
    <s v="discount not allowed"/>
    <s v="DISCOUNT NOT ALLOWED"/>
    <s v="Discount Not Allowed"/>
    <s v="04/07/22"/>
  </r>
  <r>
    <s v="TXN_6289960"/>
    <s v="CUST_16"/>
    <x v="3"/>
    <x v="52"/>
    <x v="4"/>
    <x v="6"/>
    <n v="140"/>
    <x v="2"/>
    <x v="1"/>
    <x v="650"/>
    <x v="1"/>
    <s v="DISCOUNT ALLOWED"/>
    <s v="discount allowed"/>
    <s v="DISCOUNT ALLOWED"/>
    <s v="Discount Allowed"/>
    <s v="03/01/23"/>
  </r>
  <r>
    <s v="TXN_6473625"/>
    <s v="CUST_20"/>
    <x v="5"/>
    <x v="111"/>
    <x v="14"/>
    <x v="3"/>
    <n v="140"/>
    <x v="0"/>
    <x v="0"/>
    <x v="72"/>
    <x v="1"/>
    <s v="DISCOUNT ALLOWED"/>
    <s v="discount allowed"/>
    <s v="DISCOUNT ALLOWED"/>
    <s v="Discount Allowed"/>
    <s v="25/04/24"/>
  </r>
  <r>
    <s v="TXN_6490151"/>
    <s v="CUST_08"/>
    <x v="6"/>
    <x v="33"/>
    <x v="4"/>
    <x v="6"/>
    <n v="140"/>
    <x v="0"/>
    <x v="1"/>
    <x v="417"/>
    <x v="0"/>
    <s v="DISCOUNT NOT ALLOWED"/>
    <s v="discount not allowed"/>
    <s v="DISCOUNT NOT ALLOWED"/>
    <s v="Discount Not Allowed"/>
    <s v="17/10/24"/>
  </r>
  <r>
    <s v="TXN_6873651"/>
    <s v="CUST_05"/>
    <x v="2"/>
    <x v="113"/>
    <x v="14"/>
    <x v="3"/>
    <n v="140"/>
    <x v="1"/>
    <x v="0"/>
    <x v="121"/>
    <x v="1"/>
    <s v="DISCOUNT ALLOWED"/>
    <s v="discount allowed"/>
    <s v="DISCOUNT ALLOWED"/>
    <s v="Discount Allowed"/>
    <s v="21/08/24"/>
  </r>
  <r>
    <s v="TXN_6925920"/>
    <s v="CUST_05"/>
    <x v="1"/>
    <x v="34"/>
    <x v="4"/>
    <x v="6"/>
    <n v="140"/>
    <x v="1"/>
    <x v="1"/>
    <x v="710"/>
    <x v="0"/>
    <s v="DISCOUNT NOT ALLOWED"/>
    <s v="discount not allowed"/>
    <s v="DISCOUNT NOT ALLOWED"/>
    <s v="Discount Not Allowed"/>
    <s v="05/08/24"/>
  </r>
  <r>
    <s v="TXN_7190172"/>
    <s v="CUST_13"/>
    <x v="6"/>
    <x v="33"/>
    <x v="4"/>
    <x v="6"/>
    <n v="140"/>
    <x v="1"/>
    <x v="0"/>
    <x v="52"/>
    <x v="1"/>
    <s v="DISCOUNT ALLOWED"/>
    <s v="discount allowed"/>
    <s v="DISCOUNT ALLOWED"/>
    <s v="Discount Allowed"/>
    <s v="05/12/24"/>
  </r>
  <r>
    <s v="TXN_7220277"/>
    <s v="CUST_15"/>
    <x v="0"/>
    <x v="115"/>
    <x v="14"/>
    <x v="3"/>
    <n v="140"/>
    <x v="2"/>
    <x v="0"/>
    <x v="197"/>
    <x v="0"/>
    <s v="DISCOUNT NOT ALLOWED"/>
    <s v="discount not allowed"/>
    <s v="DISCOUNT NOT ALLOWED"/>
    <s v="Discount Not Allowed"/>
    <s v="01/09/22"/>
  </r>
  <r>
    <s v="TXN_7273990"/>
    <s v="CUST_24"/>
    <x v="2"/>
    <x v="113"/>
    <x v="14"/>
    <x v="3"/>
    <n v="140"/>
    <x v="2"/>
    <x v="0"/>
    <x v="343"/>
    <x v="0"/>
    <s v="DISCOUNT NOT ALLOWED"/>
    <s v="discount not allowed"/>
    <s v="DISCOUNT NOT ALLOWED"/>
    <s v="Discount Not Allowed"/>
    <s v="27/06/24"/>
  </r>
  <r>
    <s v="TXN_7497632"/>
    <s v="CUST_25"/>
    <x v="3"/>
    <x v="52"/>
    <x v="4"/>
    <x v="6"/>
    <n v="140"/>
    <x v="1"/>
    <x v="1"/>
    <x v="196"/>
    <x v="0"/>
    <s v="DISCOUNT NOT ALLOWED"/>
    <s v="discount not allowed"/>
    <s v="DISCOUNT NOT ALLOWED"/>
    <s v="Discount Not Allowed"/>
    <s v="11/12/22"/>
  </r>
  <r>
    <s v="TXN_7593483"/>
    <s v="CUST_18"/>
    <x v="2"/>
    <x v="113"/>
    <x v="14"/>
    <x v="3"/>
    <n v="140"/>
    <x v="1"/>
    <x v="1"/>
    <x v="778"/>
    <x v="0"/>
    <s v="DISCOUNT NOT ALLOWED"/>
    <s v="discount not allowed"/>
    <s v="DISCOUNT NOT ALLOWED"/>
    <s v="Discount Not Allowed"/>
    <s v="26/07/23"/>
  </r>
  <r>
    <s v="TXN_7672297"/>
    <s v="CUST_06"/>
    <x v="4"/>
    <x v="36"/>
    <x v="4"/>
    <x v="6"/>
    <n v="140"/>
    <x v="1"/>
    <x v="1"/>
    <x v="1032"/>
    <x v="1"/>
    <s v="DISCOUNT ALLOWED"/>
    <s v="discount allowed"/>
    <s v="DISCOUNT ALLOWED"/>
    <s v="Discount Allowed"/>
    <s v="30/03/23"/>
  </r>
  <r>
    <s v="TXN_7694831"/>
    <s v="CUST_15"/>
    <x v="0"/>
    <x v="115"/>
    <x v="14"/>
    <x v="3"/>
    <n v="140"/>
    <x v="2"/>
    <x v="0"/>
    <x v="87"/>
    <x v="1"/>
    <s v="DISCOUNT ALLOWED"/>
    <s v="discount allowed"/>
    <s v="DISCOUNT ALLOWED"/>
    <s v="Discount Allowed"/>
    <s v="23/07/23"/>
  </r>
  <r>
    <s v="TXN_7774282"/>
    <s v="CUST_22"/>
    <x v="0"/>
    <x v="115"/>
    <x v="14"/>
    <x v="3"/>
    <n v="140"/>
    <x v="2"/>
    <x v="1"/>
    <x v="908"/>
    <x v="1"/>
    <s v="DISCOUNT ALLOWED"/>
    <s v="discount allowed"/>
    <s v="DISCOUNT ALLOWED"/>
    <s v="Discount Allowed"/>
    <s v="26/04/23"/>
  </r>
  <r>
    <s v="TXN_7985007"/>
    <s v="CUST_01"/>
    <x v="2"/>
    <x v="148"/>
    <x v="18"/>
    <x v="0"/>
    <n v="140"/>
    <x v="2"/>
    <x v="1"/>
    <x v="954"/>
    <x v="0"/>
    <s v="DISCOUNT NOT ALLOWED"/>
    <s v="discount not allowed"/>
    <s v="DISCOUNT NOT ALLOWED"/>
    <s v="Discount Not Allowed"/>
    <s v="02/04/22"/>
  </r>
  <r>
    <s v="TXN_8036462"/>
    <s v="CUST_23"/>
    <x v="6"/>
    <x v="112"/>
    <x v="14"/>
    <x v="3"/>
    <n v="140"/>
    <x v="2"/>
    <x v="0"/>
    <x v="543"/>
    <x v="0"/>
    <s v="DISCOUNT NOT ALLOWED"/>
    <s v="discount not allowed"/>
    <s v="DISCOUNT NOT ALLOWED"/>
    <s v="Discount Not Allowed"/>
    <s v="17/11/22"/>
  </r>
  <r>
    <s v="TXN_8243127"/>
    <s v="CUST_15"/>
    <x v="1"/>
    <x v="114"/>
    <x v="14"/>
    <x v="3"/>
    <n v="140"/>
    <x v="1"/>
    <x v="0"/>
    <x v="343"/>
    <x v="0"/>
    <s v="DISCOUNT NOT ALLOWED"/>
    <s v="discount not allowed"/>
    <s v="DISCOUNT NOT ALLOWED"/>
    <s v="Discount Not Allowed"/>
    <s v="27/06/24"/>
  </r>
  <r>
    <s v="TXN_8343511"/>
    <s v="CUST_10"/>
    <x v="6"/>
    <x v="145"/>
    <x v="18"/>
    <x v="0"/>
    <n v="140"/>
    <x v="0"/>
    <x v="1"/>
    <x v="27"/>
    <x v="0"/>
    <s v="DISCOUNT NOT ALLOWED"/>
    <s v="discount not allowed"/>
    <s v="DISCOUNT NOT ALLOWED"/>
    <s v="Discount Not Allowed"/>
    <s v="25/12/23"/>
  </r>
  <r>
    <s v="TXN_8880741"/>
    <s v="CUST_22"/>
    <x v="2"/>
    <x v="113"/>
    <x v="14"/>
    <x v="3"/>
    <n v="140"/>
    <x v="1"/>
    <x v="0"/>
    <x v="920"/>
    <x v="0"/>
    <s v="DISCOUNT NOT ALLOWED"/>
    <s v="discount not allowed"/>
    <s v="DISCOUNT NOT ALLOWED"/>
    <s v="Discount Not Allowed"/>
    <s v="03/07/23"/>
  </r>
  <r>
    <s v="TXN_8945922"/>
    <s v="CUST_18"/>
    <x v="1"/>
    <x v="149"/>
    <x v="18"/>
    <x v="0"/>
    <n v="140"/>
    <x v="0"/>
    <x v="1"/>
    <x v="380"/>
    <x v="1"/>
    <s v="DISCOUNT ALLOWED"/>
    <s v="discount allowed"/>
    <s v="DISCOUNT ALLOWED"/>
    <s v="Discount Allowed"/>
    <s v="20/07/24"/>
  </r>
  <r>
    <s v="TXN_8984027"/>
    <s v="CUST_12"/>
    <x v="5"/>
    <x v="35"/>
    <x v="4"/>
    <x v="6"/>
    <n v="140"/>
    <x v="1"/>
    <x v="1"/>
    <x v="369"/>
    <x v="0"/>
    <s v="DISCOUNT NOT ALLOWED"/>
    <s v="discount not allowed"/>
    <s v="DISCOUNT NOT ALLOWED"/>
    <s v="Discount Not Allowed"/>
    <s v="05/10/23"/>
  </r>
  <r>
    <s v="TXN_9043280"/>
    <s v="CUST_12"/>
    <x v="6"/>
    <x v="112"/>
    <x v="14"/>
    <x v="3"/>
    <n v="140"/>
    <x v="1"/>
    <x v="1"/>
    <x v="322"/>
    <x v="1"/>
    <s v="DISCOUNT ALLOWED"/>
    <s v="discount allowed"/>
    <s v="DISCOUNT ALLOWED"/>
    <s v="Discount Allowed"/>
    <s v="22/06/23"/>
  </r>
  <r>
    <s v="TXN_9090610"/>
    <s v="CUST_10"/>
    <x v="3"/>
    <x v="144"/>
    <x v="18"/>
    <x v="0"/>
    <n v="140"/>
    <x v="0"/>
    <x v="0"/>
    <x v="1033"/>
    <x v="0"/>
    <s v="DISCOUNT NOT ALLOWED"/>
    <s v="discount not allowed"/>
    <s v="DISCOUNT NOT ALLOWED"/>
    <s v="Discount Not Allowed"/>
    <s v="16/05/23"/>
  </r>
  <r>
    <s v="TXN_9136172"/>
    <s v="CUST_22"/>
    <x v="0"/>
    <x v="115"/>
    <x v="14"/>
    <x v="3"/>
    <n v="140"/>
    <x v="2"/>
    <x v="0"/>
    <x v="934"/>
    <x v="1"/>
    <s v="DISCOUNT ALLOWED"/>
    <s v="discount allowed"/>
    <s v="DISCOUNT ALLOWED"/>
    <s v="Discount Allowed"/>
    <s v="27/05/24"/>
  </r>
  <r>
    <s v="TXN_9210652"/>
    <s v="CUST_24"/>
    <x v="1"/>
    <x v="149"/>
    <x v="18"/>
    <x v="0"/>
    <n v="140"/>
    <x v="1"/>
    <x v="0"/>
    <x v="900"/>
    <x v="1"/>
    <s v="DISCOUNT ALLOWED"/>
    <s v="discount allowed"/>
    <s v="DISCOUNT ALLOWED"/>
    <s v="Discount Allowed"/>
    <s v="06/11/23"/>
  </r>
  <r>
    <s v="TXN_9340241"/>
    <s v="CUST_21"/>
    <x v="7"/>
    <x v="146"/>
    <x v="18"/>
    <x v="0"/>
    <n v="140"/>
    <x v="0"/>
    <x v="0"/>
    <x v="919"/>
    <x v="0"/>
    <s v="DISCOUNT NOT ALLOWED"/>
    <s v="discount not allowed"/>
    <s v="DISCOUNT NOT ALLOWED"/>
    <s v="Discount Not Allowed"/>
    <s v="11/04/22"/>
  </r>
  <r>
    <s v="TXN_9379089"/>
    <s v="CUST_04"/>
    <x v="6"/>
    <x v="33"/>
    <x v="4"/>
    <x v="6"/>
    <n v="140"/>
    <x v="0"/>
    <x v="1"/>
    <x v="978"/>
    <x v="1"/>
    <s v="DISCOUNT ALLOWED"/>
    <s v="discount allowed"/>
    <s v="DISCOUNT ALLOWED"/>
    <s v="Discount Allowed"/>
    <s v="09/01/25"/>
  </r>
  <r>
    <s v="TXN_9397356"/>
    <s v="CUST_23"/>
    <x v="2"/>
    <x v="113"/>
    <x v="14"/>
    <x v="3"/>
    <n v="140"/>
    <x v="2"/>
    <x v="1"/>
    <x v="702"/>
    <x v="0"/>
    <s v="DISCOUNT NOT ALLOWED"/>
    <s v="discount not allowed"/>
    <s v="DISCOUNT NOT ALLOWED"/>
    <s v="Discount Not Allowed"/>
    <s v="09/02/22"/>
  </r>
  <r>
    <s v="TXN_9619859"/>
    <s v="CUST_01"/>
    <x v="3"/>
    <x v="52"/>
    <x v="4"/>
    <x v="6"/>
    <n v="140"/>
    <x v="1"/>
    <x v="1"/>
    <x v="1034"/>
    <x v="0"/>
    <s v="DISCOUNT NOT ALLOWED"/>
    <s v="discount not allowed"/>
    <s v="DISCOUNT NOT ALLOWED"/>
    <s v="Discount Not Allowed"/>
    <s v="05/04/24"/>
  </r>
  <r>
    <s v="TXN_9649810"/>
    <s v="CUST_04"/>
    <x v="4"/>
    <x v="109"/>
    <x v="14"/>
    <x v="3"/>
    <n v="140"/>
    <x v="2"/>
    <x v="1"/>
    <x v="909"/>
    <x v="1"/>
    <s v="DISCOUNT ALLOWED"/>
    <s v="discount allowed"/>
    <s v="DISCOUNT ALLOWED"/>
    <s v="Discount Allowed"/>
    <s v="07/03/24"/>
  </r>
  <r>
    <s v="TXN_9669469"/>
    <s v="CUST_11"/>
    <x v="5"/>
    <x v="143"/>
    <x v="18"/>
    <x v="0"/>
    <n v="140"/>
    <x v="1"/>
    <x v="1"/>
    <x v="195"/>
    <x v="1"/>
    <s v="DISCOUNT ALLOWED"/>
    <s v="discount allowed"/>
    <s v="DISCOUNT ALLOWED"/>
    <s v="Discount Allowed"/>
    <s v="01/07/22"/>
  </r>
  <r>
    <s v="TXN_9684520"/>
    <s v="CUST_13"/>
    <x v="3"/>
    <x v="126"/>
    <x v="14"/>
    <x v="3"/>
    <n v="140"/>
    <x v="0"/>
    <x v="0"/>
    <x v="197"/>
    <x v="1"/>
    <s v="DISCOUNT ALLOWED"/>
    <s v="discount allowed"/>
    <s v="DISCOUNT ALLOWED"/>
    <s v="Discount Allowed"/>
    <s v="01/09/22"/>
  </r>
  <r>
    <s v="TXN_9852381"/>
    <s v="CUST_21"/>
    <x v="2"/>
    <x v="32"/>
    <x v="4"/>
    <x v="6"/>
    <n v="140"/>
    <x v="1"/>
    <x v="1"/>
    <x v="320"/>
    <x v="0"/>
    <s v="DISCOUNT NOT ALLOWED"/>
    <s v="discount not allowed"/>
    <s v="DISCOUNT NOT ALLOWED"/>
    <s v="Discount Not Allowed"/>
    <s v="05/01/22"/>
  </r>
  <r>
    <s v="TXN_9854071"/>
    <s v="CUST_06"/>
    <x v="0"/>
    <x v="150"/>
    <x v="18"/>
    <x v="0"/>
    <n v="140"/>
    <x v="0"/>
    <x v="0"/>
    <x v="1035"/>
    <x v="1"/>
    <s v="DISCOUNT ALLOWED"/>
    <s v="discount allowed"/>
    <s v="DISCOUNT ALLOWED"/>
    <s v="Discount Allowed"/>
    <s v="12/03/24"/>
  </r>
  <r>
    <s v="TXN_9923886"/>
    <s v="CUST_08"/>
    <x v="2"/>
    <x v="113"/>
    <x v="14"/>
    <x v="3"/>
    <n v="140"/>
    <x v="1"/>
    <x v="0"/>
    <x v="185"/>
    <x v="0"/>
    <s v="DISCOUNT NOT ALLOWED"/>
    <s v="discount not allowed"/>
    <s v="DISCOUNT NOT ALLOWED"/>
    <s v="Discount Not Allowed"/>
    <s v="08/08/24"/>
  </r>
  <r>
    <s v="TXN_9989610"/>
    <s v="CUST_20"/>
    <x v="4"/>
    <x v="109"/>
    <x v="14"/>
    <x v="3"/>
    <n v="140"/>
    <x v="0"/>
    <x v="1"/>
    <x v="652"/>
    <x v="0"/>
    <s v="DISCOUNT NOT ALLOWED"/>
    <s v="discount not allowed"/>
    <s v="DISCOUNT NOT ALLOWED"/>
    <s v="Discount Not Allowed"/>
    <s v="12/11/23"/>
  </r>
  <r>
    <s v="TXN_1265326"/>
    <s v="CUST_17"/>
    <x v="2"/>
    <x v="135"/>
    <x v="17"/>
    <x v="1"/>
    <n v="139.5"/>
    <x v="1"/>
    <x v="1"/>
    <x v="780"/>
    <x v="1"/>
    <s v="DISCOUNT ALLOWED"/>
    <s v="discount allowed"/>
    <s v="DISCOUNT ALLOWED"/>
    <s v="Discount Allowed"/>
    <s v="22/04/24"/>
  </r>
  <r>
    <s v="TXN_1392217"/>
    <s v="CUST_23"/>
    <x v="7"/>
    <x v="137"/>
    <x v="17"/>
    <x v="1"/>
    <n v="139.5"/>
    <x v="0"/>
    <x v="0"/>
    <x v="528"/>
    <x v="1"/>
    <s v="DISCOUNT ALLOWED"/>
    <s v="discount allowed"/>
    <s v="DISCOUNT ALLOWED"/>
    <s v="Discount Allowed"/>
    <s v="11/09/24"/>
  </r>
  <r>
    <s v="TXN_1806809"/>
    <s v="CUST_18"/>
    <x v="6"/>
    <x v="140"/>
    <x v="17"/>
    <x v="1"/>
    <n v="139.5"/>
    <x v="2"/>
    <x v="1"/>
    <x v="240"/>
    <x v="0"/>
    <s v="DISCOUNT NOT ALLOWED"/>
    <s v="discount not allowed"/>
    <s v="DISCOUNT NOT ALLOWED"/>
    <s v="Discount Not Allowed"/>
    <s v="08/07/24"/>
  </r>
  <r>
    <s v="TXN_1966350"/>
    <s v="CUST_09"/>
    <x v="3"/>
    <x v="134"/>
    <x v="17"/>
    <x v="1"/>
    <n v="139.5"/>
    <x v="2"/>
    <x v="0"/>
    <x v="653"/>
    <x v="0"/>
    <s v="DISCOUNT NOT ALLOWED"/>
    <s v="discount not allowed"/>
    <s v="DISCOUNT NOT ALLOWED"/>
    <s v="Discount Not Allowed"/>
    <s v="31/05/23"/>
  </r>
  <r>
    <s v="TXN_3223113"/>
    <s v="CUST_15"/>
    <x v="5"/>
    <x v="138"/>
    <x v="17"/>
    <x v="1"/>
    <n v="139.5"/>
    <x v="0"/>
    <x v="0"/>
    <x v="522"/>
    <x v="0"/>
    <s v="DISCOUNT NOT ALLOWED"/>
    <s v="discount not allowed"/>
    <s v="DISCOUNT NOT ALLOWED"/>
    <s v="Discount Not Allowed"/>
    <s v="27/08/24"/>
  </r>
  <r>
    <s v="TXN_3360543"/>
    <s v="CUST_02"/>
    <x v="4"/>
    <x v="141"/>
    <x v="17"/>
    <x v="1"/>
    <n v="139.5"/>
    <x v="1"/>
    <x v="1"/>
    <x v="535"/>
    <x v="0"/>
    <s v="DISCOUNT NOT ALLOWED"/>
    <s v="discount not allowed"/>
    <s v="DISCOUNT NOT ALLOWED"/>
    <s v="Discount Not Allowed"/>
    <s v="06/07/24"/>
  </r>
  <r>
    <s v="TXN_3501915"/>
    <s v="CUST_08"/>
    <x v="5"/>
    <x v="138"/>
    <x v="17"/>
    <x v="1"/>
    <n v="139.5"/>
    <x v="2"/>
    <x v="1"/>
    <x v="570"/>
    <x v="1"/>
    <s v="DISCOUNT ALLOWED"/>
    <s v="discount allowed"/>
    <s v="DISCOUNT ALLOWED"/>
    <s v="Discount Allowed"/>
    <s v="03/01/25"/>
  </r>
  <r>
    <s v="TXN_3553497"/>
    <s v="CUST_05"/>
    <x v="1"/>
    <x v="136"/>
    <x v="17"/>
    <x v="1"/>
    <n v="139.5"/>
    <x v="0"/>
    <x v="1"/>
    <x v="529"/>
    <x v="0"/>
    <s v="DISCOUNT NOT ALLOWED"/>
    <s v="discount not allowed"/>
    <s v="DISCOUNT NOT ALLOWED"/>
    <s v="Discount Not Allowed"/>
    <s v="28/04/23"/>
  </r>
  <r>
    <s v="TXN_4740089"/>
    <s v="CUST_05"/>
    <x v="2"/>
    <x v="135"/>
    <x v="17"/>
    <x v="1"/>
    <n v="139.5"/>
    <x v="2"/>
    <x v="0"/>
    <x v="882"/>
    <x v="1"/>
    <s v="DISCOUNT ALLOWED"/>
    <s v="discount allowed"/>
    <s v="DISCOUNT ALLOWED"/>
    <s v="Discount Allowed"/>
    <s v="27/07/23"/>
  </r>
  <r>
    <s v="TXN_4766907"/>
    <s v="CUST_03"/>
    <x v="3"/>
    <x v="134"/>
    <x v="17"/>
    <x v="1"/>
    <n v="139.5"/>
    <x v="0"/>
    <x v="0"/>
    <x v="340"/>
    <x v="0"/>
    <s v="DISCOUNT NOT ALLOWED"/>
    <s v="discount not allowed"/>
    <s v="DISCOUNT NOT ALLOWED"/>
    <s v="Discount Not Allowed"/>
    <s v="05/03/22"/>
  </r>
  <r>
    <s v="TXN_4824863"/>
    <s v="CUST_10"/>
    <x v="5"/>
    <x v="138"/>
    <x v="17"/>
    <x v="1"/>
    <n v="139.5"/>
    <x v="0"/>
    <x v="0"/>
    <x v="31"/>
    <x v="1"/>
    <s v="DISCOUNT ALLOWED"/>
    <s v="discount allowed"/>
    <s v="DISCOUNT ALLOWED"/>
    <s v="Discount Allowed"/>
    <s v="05/07/22"/>
  </r>
  <r>
    <s v="TXN_4865786"/>
    <s v="CUST_14"/>
    <x v="5"/>
    <x v="138"/>
    <x v="17"/>
    <x v="1"/>
    <n v="139.5"/>
    <x v="1"/>
    <x v="0"/>
    <x v="937"/>
    <x v="0"/>
    <s v="DISCOUNT NOT ALLOWED"/>
    <s v="discount not allowed"/>
    <s v="DISCOUNT NOT ALLOWED"/>
    <s v="Discount Not Allowed"/>
    <s v="25/02/23"/>
  </r>
  <r>
    <s v="TXN_5151808"/>
    <s v="CUST_05"/>
    <x v="7"/>
    <x v="137"/>
    <x v="17"/>
    <x v="1"/>
    <n v="139.5"/>
    <x v="2"/>
    <x v="1"/>
    <x v="534"/>
    <x v="1"/>
    <s v="DISCOUNT ALLOWED"/>
    <s v="discount allowed"/>
    <s v="DISCOUNT ALLOWED"/>
    <s v="Discount Allowed"/>
    <s v="25/02/24"/>
  </r>
  <r>
    <s v="TXN_5465898"/>
    <s v="CUST_14"/>
    <x v="6"/>
    <x v="140"/>
    <x v="17"/>
    <x v="1"/>
    <n v="139.5"/>
    <x v="1"/>
    <x v="0"/>
    <x v="278"/>
    <x v="0"/>
    <s v="DISCOUNT NOT ALLOWED"/>
    <s v="discount not allowed"/>
    <s v="DISCOUNT NOT ALLOWED"/>
    <s v="Discount Not Allowed"/>
    <s v="26/12/24"/>
  </r>
  <r>
    <s v="TXN_5678133"/>
    <s v="CUST_04"/>
    <x v="0"/>
    <x v="139"/>
    <x v="17"/>
    <x v="1"/>
    <n v="139.5"/>
    <x v="1"/>
    <x v="0"/>
    <x v="646"/>
    <x v="0"/>
    <s v="DISCOUNT NOT ALLOWED"/>
    <s v="discount not allowed"/>
    <s v="DISCOUNT NOT ALLOWED"/>
    <s v="Discount Not Allowed"/>
    <s v="27/07/22"/>
  </r>
  <r>
    <s v="TXN_5956886"/>
    <s v="CUST_19"/>
    <x v="0"/>
    <x v="139"/>
    <x v="17"/>
    <x v="1"/>
    <n v="139.5"/>
    <x v="2"/>
    <x v="1"/>
    <x v="871"/>
    <x v="0"/>
    <s v="DISCOUNT NOT ALLOWED"/>
    <s v="discount not allowed"/>
    <s v="DISCOUNT NOT ALLOWED"/>
    <s v="Discount Not Allowed"/>
    <s v="17/03/24"/>
  </r>
  <r>
    <s v="TXN_6418246"/>
    <s v="CUST_20"/>
    <x v="2"/>
    <x v="135"/>
    <x v="17"/>
    <x v="1"/>
    <n v="139.5"/>
    <x v="0"/>
    <x v="0"/>
    <x v="591"/>
    <x v="0"/>
    <s v="DISCOUNT NOT ALLOWED"/>
    <s v="discount not allowed"/>
    <s v="DISCOUNT NOT ALLOWED"/>
    <s v="Discount Not Allowed"/>
    <s v="11/11/22"/>
  </r>
  <r>
    <s v="TXN_6450930"/>
    <s v="CUST_21"/>
    <x v="1"/>
    <x v="136"/>
    <x v="17"/>
    <x v="1"/>
    <n v="139.5"/>
    <x v="0"/>
    <x v="0"/>
    <x v="596"/>
    <x v="1"/>
    <s v="DISCOUNT ALLOWED"/>
    <s v="discount allowed"/>
    <s v="DISCOUNT ALLOWED"/>
    <s v="Discount Allowed"/>
    <s v="06/12/23"/>
  </r>
  <r>
    <s v="TXN_6696815"/>
    <s v="CUST_21"/>
    <x v="6"/>
    <x v="140"/>
    <x v="17"/>
    <x v="1"/>
    <n v="139.5"/>
    <x v="1"/>
    <x v="0"/>
    <x v="212"/>
    <x v="0"/>
    <s v="DISCOUNT NOT ALLOWED"/>
    <s v="discount not allowed"/>
    <s v="DISCOUNT NOT ALLOWED"/>
    <s v="Discount Not Allowed"/>
    <s v="10/12/22"/>
  </r>
  <r>
    <s v="TXN_6891125"/>
    <s v="CUST_03"/>
    <x v="5"/>
    <x v="138"/>
    <x v="17"/>
    <x v="1"/>
    <n v="139.5"/>
    <x v="0"/>
    <x v="1"/>
    <x v="647"/>
    <x v="0"/>
    <s v="DISCOUNT NOT ALLOWED"/>
    <s v="discount not allowed"/>
    <s v="DISCOUNT NOT ALLOWED"/>
    <s v="Discount Not Allowed"/>
    <s v="16/01/24"/>
  </r>
  <r>
    <s v="TXN_6970370"/>
    <s v="CUST_24"/>
    <x v="7"/>
    <x v="137"/>
    <x v="17"/>
    <x v="1"/>
    <n v="139.5"/>
    <x v="2"/>
    <x v="0"/>
    <x v="707"/>
    <x v="0"/>
    <s v="DISCOUNT NOT ALLOWED"/>
    <s v="discount not allowed"/>
    <s v="DISCOUNT NOT ALLOWED"/>
    <s v="Discount Not Allowed"/>
    <s v="08/06/23"/>
  </r>
  <r>
    <s v="TXN_7274579"/>
    <s v="CUST_14"/>
    <x v="6"/>
    <x v="140"/>
    <x v="17"/>
    <x v="1"/>
    <n v="139.5"/>
    <x v="1"/>
    <x v="1"/>
    <x v="126"/>
    <x v="1"/>
    <s v="DISCOUNT ALLOWED"/>
    <s v="discount allowed"/>
    <s v="DISCOUNT ALLOWED"/>
    <s v="Discount Allowed"/>
    <s v="21/10/23"/>
  </r>
  <r>
    <s v="TXN_7318897"/>
    <s v="CUST_05"/>
    <x v="5"/>
    <x v="138"/>
    <x v="17"/>
    <x v="1"/>
    <n v="139.5"/>
    <x v="1"/>
    <x v="0"/>
    <x v="701"/>
    <x v="1"/>
    <s v="DISCOUNT ALLOWED"/>
    <s v="discount allowed"/>
    <s v="DISCOUNT ALLOWED"/>
    <s v="Discount Allowed"/>
    <s v="16/04/23"/>
  </r>
  <r>
    <s v="TXN_7688823"/>
    <s v="CUST_21"/>
    <x v="2"/>
    <x v="135"/>
    <x v="17"/>
    <x v="1"/>
    <n v="139.5"/>
    <x v="2"/>
    <x v="0"/>
    <x v="494"/>
    <x v="1"/>
    <s v="DISCOUNT ALLOWED"/>
    <s v="discount allowed"/>
    <s v="DISCOUNT ALLOWED"/>
    <s v="Discount Allowed"/>
    <s v="29/09/23"/>
  </r>
  <r>
    <s v="TXN_7697399"/>
    <s v="CUST_09"/>
    <x v="5"/>
    <x v="138"/>
    <x v="17"/>
    <x v="1"/>
    <n v="139.5"/>
    <x v="0"/>
    <x v="1"/>
    <x v="1003"/>
    <x v="0"/>
    <s v="DISCOUNT NOT ALLOWED"/>
    <s v="discount not allowed"/>
    <s v="DISCOUNT NOT ALLOWED"/>
    <s v="Discount Not Allowed"/>
    <s v="09/09/24"/>
  </r>
  <r>
    <s v="TXN_8073705"/>
    <s v="CUST_16"/>
    <x v="7"/>
    <x v="137"/>
    <x v="17"/>
    <x v="1"/>
    <n v="139.5"/>
    <x v="2"/>
    <x v="0"/>
    <x v="695"/>
    <x v="0"/>
    <s v="DISCOUNT NOT ALLOWED"/>
    <s v="discount not allowed"/>
    <s v="DISCOUNT NOT ALLOWED"/>
    <s v="Discount Not Allowed"/>
    <s v="19/08/23"/>
  </r>
  <r>
    <s v="TXN_8103285"/>
    <s v="CUST_20"/>
    <x v="5"/>
    <x v="138"/>
    <x v="17"/>
    <x v="1"/>
    <n v="139.5"/>
    <x v="0"/>
    <x v="1"/>
    <x v="457"/>
    <x v="0"/>
    <s v="DISCOUNT NOT ALLOWED"/>
    <s v="discount not allowed"/>
    <s v="DISCOUNT NOT ALLOWED"/>
    <s v="Discount Not Allowed"/>
    <s v="21/01/22"/>
  </r>
  <r>
    <s v="TXN_8441291"/>
    <s v="CUST_18"/>
    <x v="4"/>
    <x v="141"/>
    <x v="17"/>
    <x v="1"/>
    <n v="139.5"/>
    <x v="0"/>
    <x v="0"/>
    <x v="704"/>
    <x v="1"/>
    <s v="DISCOUNT ALLOWED"/>
    <s v="discount allowed"/>
    <s v="DISCOUNT ALLOWED"/>
    <s v="Discount Allowed"/>
    <s v="02/03/24"/>
  </r>
  <r>
    <s v="TXN_8573178"/>
    <s v="CUST_13"/>
    <x v="6"/>
    <x v="140"/>
    <x v="17"/>
    <x v="1"/>
    <n v="139.5"/>
    <x v="2"/>
    <x v="1"/>
    <x v="173"/>
    <x v="0"/>
    <s v="DISCOUNT NOT ALLOWED"/>
    <s v="discount not allowed"/>
    <s v="DISCOUNT NOT ALLOWED"/>
    <s v="Discount Not Allowed"/>
    <s v="17/11/23"/>
  </r>
  <r>
    <s v="TXN_8835062"/>
    <s v="CUST_10"/>
    <x v="7"/>
    <x v="137"/>
    <x v="17"/>
    <x v="1"/>
    <n v="139.5"/>
    <x v="0"/>
    <x v="1"/>
    <x v="578"/>
    <x v="1"/>
    <s v="DISCOUNT ALLOWED"/>
    <s v="discount allowed"/>
    <s v="DISCOUNT ALLOWED"/>
    <s v="Discount Allowed"/>
    <s v="02/11/22"/>
  </r>
  <r>
    <s v="TXN_9013951"/>
    <s v="CUST_09"/>
    <x v="0"/>
    <x v="139"/>
    <x v="17"/>
    <x v="1"/>
    <n v="139.5"/>
    <x v="0"/>
    <x v="1"/>
    <x v="259"/>
    <x v="0"/>
    <s v="DISCOUNT NOT ALLOWED"/>
    <s v="discount not allowed"/>
    <s v="DISCOUNT NOT ALLOWED"/>
    <s v="Discount Not Allowed"/>
    <s v="11/07/24"/>
  </r>
  <r>
    <s v="TXN_9372793"/>
    <s v="CUST_17"/>
    <x v="4"/>
    <x v="141"/>
    <x v="17"/>
    <x v="1"/>
    <n v="139.5"/>
    <x v="0"/>
    <x v="1"/>
    <x v="1036"/>
    <x v="0"/>
    <s v="DISCOUNT NOT ALLOWED"/>
    <s v="discount not allowed"/>
    <s v="DISCOUNT NOT ALLOWED"/>
    <s v="Discount Not Allowed"/>
    <s v="11/11/23"/>
  </r>
  <r>
    <s v="TXN_9433976"/>
    <s v="CUST_19"/>
    <x v="3"/>
    <x v="134"/>
    <x v="17"/>
    <x v="1"/>
    <n v="139.5"/>
    <x v="2"/>
    <x v="0"/>
    <x v="651"/>
    <x v="0"/>
    <s v="DISCOUNT NOT ALLOWED"/>
    <s v="discount not allowed"/>
    <s v="DISCOUNT NOT ALLOWED"/>
    <s v="Discount Not Allowed"/>
    <s v="01/05/22"/>
  </r>
  <r>
    <s v="TXN_9442836"/>
    <s v="CUST_17"/>
    <x v="3"/>
    <x v="134"/>
    <x v="17"/>
    <x v="1"/>
    <n v="139.5"/>
    <x v="2"/>
    <x v="1"/>
    <x v="239"/>
    <x v="0"/>
    <s v="DISCOUNT NOT ALLOWED"/>
    <s v="discount not allowed"/>
    <s v="DISCOUNT NOT ALLOWED"/>
    <s v="Discount Not Allowed"/>
    <s v="21/02/23"/>
  </r>
  <r>
    <s v="TXN_9534913"/>
    <s v="CUST_24"/>
    <x v="5"/>
    <x v="138"/>
    <x v="17"/>
    <x v="1"/>
    <n v="139.5"/>
    <x v="1"/>
    <x v="0"/>
    <x v="228"/>
    <x v="0"/>
    <s v="DISCOUNT NOT ALLOWED"/>
    <s v="discount not allowed"/>
    <s v="DISCOUNT NOT ALLOWED"/>
    <s v="Discount Not Allowed"/>
    <s v="27/02/22"/>
  </r>
  <r>
    <s v="TXN_9537792"/>
    <s v="CUST_15"/>
    <x v="0"/>
    <x v="139"/>
    <x v="17"/>
    <x v="1"/>
    <n v="139.5"/>
    <x v="1"/>
    <x v="1"/>
    <x v="201"/>
    <x v="0"/>
    <s v="DISCOUNT NOT ALLOWED"/>
    <s v="discount not allowed"/>
    <s v="DISCOUNT NOT ALLOWED"/>
    <s v="Discount Not Allowed"/>
    <s v="25/04/23"/>
  </r>
  <r>
    <s v="TXN_9679439"/>
    <s v="CUST_14"/>
    <x v="2"/>
    <x v="135"/>
    <x v="17"/>
    <x v="1"/>
    <n v="139.5"/>
    <x v="1"/>
    <x v="0"/>
    <x v="1035"/>
    <x v="0"/>
    <s v="DISCOUNT NOT ALLOWED"/>
    <s v="discount not allowed"/>
    <s v="DISCOUNT NOT ALLOWED"/>
    <s v="Discount Not Allowed"/>
    <s v="12/03/24"/>
  </r>
  <r>
    <s v="TXN_1050160"/>
    <s v="CUST_23"/>
    <x v="0"/>
    <x v="98"/>
    <x v="12"/>
    <x v="4"/>
    <n v="138"/>
    <x v="2"/>
    <x v="0"/>
    <x v="900"/>
    <x v="0"/>
    <s v="DISCOUNT NOT ALLOWED"/>
    <s v="discount not allowed"/>
    <s v="DISCOUNT NOT ALLOWED"/>
    <s v="Discount Not Allowed"/>
    <s v="06/11/23"/>
  </r>
  <r>
    <s v="TXN_1788744"/>
    <s v="CUST_05"/>
    <x v="7"/>
    <x v="96"/>
    <x v="12"/>
    <x v="4"/>
    <n v="138"/>
    <x v="0"/>
    <x v="1"/>
    <x v="57"/>
    <x v="0"/>
    <s v="DISCOUNT NOT ALLOWED"/>
    <s v="discount not allowed"/>
    <s v="DISCOUNT NOT ALLOWED"/>
    <s v="Discount Not Allowed"/>
    <s v="16/07/23"/>
  </r>
  <r>
    <s v="TXN_2267175"/>
    <s v="CUST_11"/>
    <x v="6"/>
    <x v="93"/>
    <x v="12"/>
    <x v="4"/>
    <n v="138"/>
    <x v="2"/>
    <x v="1"/>
    <x v="700"/>
    <x v="0"/>
    <s v="DISCOUNT NOT ALLOWED"/>
    <s v="discount not allowed"/>
    <s v="DISCOUNT NOT ALLOWED"/>
    <s v="Discount Not Allowed"/>
    <s v="01/03/23"/>
  </r>
  <r>
    <s v="TXN_2370062"/>
    <s v="CUST_10"/>
    <x v="0"/>
    <x v="98"/>
    <x v="12"/>
    <x v="4"/>
    <n v="138"/>
    <x v="0"/>
    <x v="0"/>
    <x v="1037"/>
    <x v="0"/>
    <s v="DISCOUNT NOT ALLOWED"/>
    <s v="discount not allowed"/>
    <s v="DISCOUNT NOT ALLOWED"/>
    <s v="Discount Not Allowed"/>
    <s v="24/05/23"/>
  </r>
  <r>
    <s v="TXN_2547495"/>
    <s v="CUST_20"/>
    <x v="6"/>
    <x v="93"/>
    <x v="12"/>
    <x v="4"/>
    <n v="138"/>
    <x v="1"/>
    <x v="1"/>
    <x v="546"/>
    <x v="0"/>
    <s v="DISCOUNT NOT ALLOWED"/>
    <s v="discount not allowed"/>
    <s v="DISCOUNT NOT ALLOWED"/>
    <s v="Discount Not Allowed"/>
    <s v="21/05/22"/>
  </r>
  <r>
    <s v="TXN_2593560"/>
    <s v="CUST_07"/>
    <x v="3"/>
    <x v="95"/>
    <x v="12"/>
    <x v="4"/>
    <n v="138"/>
    <x v="1"/>
    <x v="1"/>
    <x v="1038"/>
    <x v="1"/>
    <s v="DISCOUNT ALLOWED"/>
    <s v="discount allowed"/>
    <s v="DISCOUNT ALLOWED"/>
    <s v="Discount Allowed"/>
    <s v="07/07/23"/>
  </r>
  <r>
    <s v="TXN_3315463"/>
    <s v="CUST_05"/>
    <x v="0"/>
    <x v="98"/>
    <x v="12"/>
    <x v="4"/>
    <n v="138"/>
    <x v="0"/>
    <x v="1"/>
    <x v="779"/>
    <x v="0"/>
    <s v="DISCOUNT NOT ALLOWED"/>
    <s v="discount not allowed"/>
    <s v="DISCOUNT NOT ALLOWED"/>
    <s v="Discount Not Allowed"/>
    <s v="10/01/23"/>
  </r>
  <r>
    <s v="TXN_3322099"/>
    <s v="CUST_17"/>
    <x v="5"/>
    <x v="97"/>
    <x v="12"/>
    <x v="4"/>
    <n v="138"/>
    <x v="0"/>
    <x v="1"/>
    <x v="233"/>
    <x v="0"/>
    <s v="DISCOUNT NOT ALLOWED"/>
    <s v="discount not allowed"/>
    <s v="DISCOUNT NOT ALLOWED"/>
    <s v="Discount Not Allowed"/>
    <s v="02/04/23"/>
  </r>
  <r>
    <s v="TXN_3511587"/>
    <s v="CUST_15"/>
    <x v="4"/>
    <x v="94"/>
    <x v="12"/>
    <x v="4"/>
    <n v="138"/>
    <x v="0"/>
    <x v="1"/>
    <x v="1021"/>
    <x v="1"/>
    <s v="DISCOUNT ALLOWED"/>
    <s v="discount allowed"/>
    <s v="DISCOUNT ALLOWED"/>
    <s v="Discount Allowed"/>
    <s v="27/09/23"/>
  </r>
  <r>
    <s v="TXN_3722570"/>
    <s v="CUST_11"/>
    <x v="0"/>
    <x v="98"/>
    <x v="12"/>
    <x v="4"/>
    <n v="138"/>
    <x v="2"/>
    <x v="0"/>
    <x v="4"/>
    <x v="1"/>
    <s v="DISCOUNT ALLOWED"/>
    <s v="discount allowed"/>
    <s v="DISCOUNT ALLOWED"/>
    <s v="Discount Allowed"/>
    <s v="23/03/24"/>
  </r>
  <r>
    <s v="TXN_4296408"/>
    <s v="CUST_04"/>
    <x v="3"/>
    <x v="95"/>
    <x v="12"/>
    <x v="4"/>
    <n v="138"/>
    <x v="1"/>
    <x v="0"/>
    <x v="579"/>
    <x v="1"/>
    <s v="DISCOUNT ALLOWED"/>
    <s v="discount allowed"/>
    <s v="DISCOUNT ALLOWED"/>
    <s v="Discount Allowed"/>
    <s v="26/08/22"/>
  </r>
  <r>
    <s v="TXN_4395524"/>
    <s v="CUST_17"/>
    <x v="6"/>
    <x v="93"/>
    <x v="12"/>
    <x v="4"/>
    <n v="138"/>
    <x v="0"/>
    <x v="1"/>
    <x v="459"/>
    <x v="0"/>
    <s v="DISCOUNT NOT ALLOWED"/>
    <s v="discount not allowed"/>
    <s v="DISCOUNT NOT ALLOWED"/>
    <s v="Discount Not Allowed"/>
    <s v="08/01/23"/>
  </r>
  <r>
    <s v="TXN_4797019"/>
    <s v="CUST_19"/>
    <x v="0"/>
    <x v="98"/>
    <x v="12"/>
    <x v="4"/>
    <n v="138"/>
    <x v="1"/>
    <x v="0"/>
    <x v="410"/>
    <x v="0"/>
    <s v="DISCOUNT NOT ALLOWED"/>
    <s v="discount not allowed"/>
    <s v="DISCOUNT NOT ALLOWED"/>
    <s v="Discount Not Allowed"/>
    <s v="30/06/23"/>
  </r>
  <r>
    <s v="TXN_5032042"/>
    <s v="CUST_08"/>
    <x v="7"/>
    <x v="96"/>
    <x v="12"/>
    <x v="4"/>
    <n v="138"/>
    <x v="1"/>
    <x v="1"/>
    <x v="376"/>
    <x v="1"/>
    <s v="DISCOUNT ALLOWED"/>
    <s v="discount allowed"/>
    <s v="DISCOUNT ALLOWED"/>
    <s v="Discount Allowed"/>
    <s v="28/10/23"/>
  </r>
  <r>
    <s v="TXN_5071376"/>
    <s v="CUST_10"/>
    <x v="3"/>
    <x v="95"/>
    <x v="12"/>
    <x v="4"/>
    <n v="138"/>
    <x v="2"/>
    <x v="1"/>
    <x v="1039"/>
    <x v="0"/>
    <s v="DISCOUNT NOT ALLOWED"/>
    <s v="discount not allowed"/>
    <s v="DISCOUNT NOT ALLOWED"/>
    <s v="Discount Not Allowed"/>
    <s v="07/01/23"/>
  </r>
  <r>
    <s v="TXN_5264491"/>
    <s v="CUST_25"/>
    <x v="4"/>
    <x v="94"/>
    <x v="12"/>
    <x v="4"/>
    <n v="138"/>
    <x v="0"/>
    <x v="1"/>
    <x v="670"/>
    <x v="0"/>
    <s v="DISCOUNT NOT ALLOWED"/>
    <s v="discount not allowed"/>
    <s v="DISCOUNT NOT ALLOWED"/>
    <s v="Discount Not Allowed"/>
    <s v="22/10/23"/>
  </r>
  <r>
    <s v="TXN_5302358"/>
    <s v="CUST_06"/>
    <x v="5"/>
    <x v="97"/>
    <x v="12"/>
    <x v="4"/>
    <n v="138"/>
    <x v="0"/>
    <x v="0"/>
    <x v="470"/>
    <x v="0"/>
    <s v="DISCOUNT NOT ALLOWED"/>
    <s v="discount not allowed"/>
    <s v="DISCOUNT NOT ALLOWED"/>
    <s v="Discount Not Allowed"/>
    <s v="31/10/24"/>
  </r>
  <r>
    <s v="TXN_5611996"/>
    <s v="CUST_09"/>
    <x v="4"/>
    <x v="94"/>
    <x v="12"/>
    <x v="4"/>
    <n v="138"/>
    <x v="1"/>
    <x v="1"/>
    <x v="236"/>
    <x v="1"/>
    <s v="DISCOUNT ALLOWED"/>
    <s v="discount allowed"/>
    <s v="DISCOUNT ALLOWED"/>
    <s v="Discount Allowed"/>
    <s v="07/11/24"/>
  </r>
  <r>
    <s v="TXN_5651502"/>
    <s v="CUST_05"/>
    <x v="0"/>
    <x v="98"/>
    <x v="12"/>
    <x v="4"/>
    <n v="138"/>
    <x v="1"/>
    <x v="1"/>
    <x v="29"/>
    <x v="1"/>
    <s v="DISCOUNT ALLOWED"/>
    <s v="discount allowed"/>
    <s v="DISCOUNT ALLOWED"/>
    <s v="Discount Allowed"/>
    <s v="20/04/24"/>
  </r>
  <r>
    <s v="TXN_6087995"/>
    <s v="CUST_01"/>
    <x v="5"/>
    <x v="97"/>
    <x v="12"/>
    <x v="4"/>
    <n v="138"/>
    <x v="0"/>
    <x v="1"/>
    <x v="647"/>
    <x v="0"/>
    <s v="DISCOUNT NOT ALLOWED"/>
    <s v="discount not allowed"/>
    <s v="DISCOUNT NOT ALLOWED"/>
    <s v="Discount Not Allowed"/>
    <s v="16/01/24"/>
  </r>
  <r>
    <s v="TXN_6321793"/>
    <s v="CUST_24"/>
    <x v="5"/>
    <x v="97"/>
    <x v="12"/>
    <x v="4"/>
    <n v="138"/>
    <x v="1"/>
    <x v="0"/>
    <x v="41"/>
    <x v="1"/>
    <s v="DISCOUNT ALLOWED"/>
    <s v="discount allowed"/>
    <s v="DISCOUNT ALLOWED"/>
    <s v="Discount Allowed"/>
    <s v="15/05/24"/>
  </r>
  <r>
    <s v="TXN_6569610"/>
    <s v="CUST_12"/>
    <x v="6"/>
    <x v="93"/>
    <x v="12"/>
    <x v="4"/>
    <n v="138"/>
    <x v="2"/>
    <x v="1"/>
    <x v="746"/>
    <x v="0"/>
    <s v="DISCOUNT NOT ALLOWED"/>
    <s v="discount not allowed"/>
    <s v="DISCOUNT NOT ALLOWED"/>
    <s v="Discount Not Allowed"/>
    <s v="20/01/24"/>
  </r>
  <r>
    <s v="TXN_6746068"/>
    <s v="CUST_14"/>
    <x v="4"/>
    <x v="94"/>
    <x v="12"/>
    <x v="4"/>
    <n v="138"/>
    <x v="0"/>
    <x v="1"/>
    <x v="254"/>
    <x v="1"/>
    <s v="DISCOUNT ALLOWED"/>
    <s v="discount allowed"/>
    <s v="DISCOUNT ALLOWED"/>
    <s v="Discount Allowed"/>
    <s v="13/02/22"/>
  </r>
  <r>
    <s v="TXN_7595390"/>
    <s v="CUST_14"/>
    <x v="3"/>
    <x v="95"/>
    <x v="12"/>
    <x v="4"/>
    <n v="138"/>
    <x v="2"/>
    <x v="1"/>
    <x v="584"/>
    <x v="0"/>
    <s v="DISCOUNT NOT ALLOWED"/>
    <s v="discount not allowed"/>
    <s v="DISCOUNT NOT ALLOWED"/>
    <s v="Discount Not Allowed"/>
    <s v="08/04/23"/>
  </r>
  <r>
    <s v="TXN_7930277"/>
    <s v="CUST_11"/>
    <x v="6"/>
    <x v="93"/>
    <x v="12"/>
    <x v="4"/>
    <n v="138"/>
    <x v="1"/>
    <x v="0"/>
    <x v="625"/>
    <x v="1"/>
    <s v="DISCOUNT ALLOWED"/>
    <s v="discount allowed"/>
    <s v="DISCOUNT ALLOWED"/>
    <s v="Discount Allowed"/>
    <s v="13/11/22"/>
  </r>
  <r>
    <s v="TXN_8171664"/>
    <s v="CUST_16"/>
    <x v="3"/>
    <x v="95"/>
    <x v="12"/>
    <x v="4"/>
    <n v="138"/>
    <x v="2"/>
    <x v="0"/>
    <x v="48"/>
    <x v="0"/>
    <s v="DISCOUNT NOT ALLOWED"/>
    <s v="discount not allowed"/>
    <s v="DISCOUNT NOT ALLOWED"/>
    <s v="Discount Not Allowed"/>
    <s v="03/12/22"/>
  </r>
  <r>
    <s v="TXN_8324311"/>
    <s v="CUST_09"/>
    <x v="5"/>
    <x v="97"/>
    <x v="12"/>
    <x v="4"/>
    <n v="138"/>
    <x v="2"/>
    <x v="0"/>
    <x v="230"/>
    <x v="1"/>
    <s v="DISCOUNT ALLOWED"/>
    <s v="discount allowed"/>
    <s v="DISCOUNT ALLOWED"/>
    <s v="Discount Allowed"/>
    <s v="19/09/22"/>
  </r>
  <r>
    <s v="TXN_8408205"/>
    <s v="CUST_11"/>
    <x v="0"/>
    <x v="98"/>
    <x v="12"/>
    <x v="4"/>
    <n v="138"/>
    <x v="2"/>
    <x v="0"/>
    <x v="1037"/>
    <x v="0"/>
    <s v="DISCOUNT NOT ALLOWED"/>
    <s v="discount not allowed"/>
    <s v="DISCOUNT NOT ALLOWED"/>
    <s v="Discount Not Allowed"/>
    <s v="24/05/23"/>
  </r>
  <r>
    <s v="TXN_8655596"/>
    <s v="CUST_15"/>
    <x v="6"/>
    <x v="93"/>
    <x v="12"/>
    <x v="4"/>
    <n v="138"/>
    <x v="2"/>
    <x v="1"/>
    <x v="223"/>
    <x v="0"/>
    <s v="DISCOUNT NOT ALLOWED"/>
    <s v="discount not allowed"/>
    <s v="DISCOUNT NOT ALLOWED"/>
    <s v="Discount Not Allowed"/>
    <s v="29/12/24"/>
  </r>
  <r>
    <s v="TXN_8866836"/>
    <s v="CUST_08"/>
    <x v="4"/>
    <x v="94"/>
    <x v="12"/>
    <x v="4"/>
    <n v="138"/>
    <x v="0"/>
    <x v="1"/>
    <x v="577"/>
    <x v="1"/>
    <s v="DISCOUNT ALLOWED"/>
    <s v="discount allowed"/>
    <s v="DISCOUNT ALLOWED"/>
    <s v="Discount Allowed"/>
    <s v="22/06/24"/>
  </r>
  <r>
    <s v="TXN_8973416"/>
    <s v="CUST_13"/>
    <x v="3"/>
    <x v="95"/>
    <x v="12"/>
    <x v="4"/>
    <n v="138"/>
    <x v="1"/>
    <x v="1"/>
    <x v="597"/>
    <x v="1"/>
    <s v="DISCOUNT ALLOWED"/>
    <s v="discount allowed"/>
    <s v="DISCOUNT ALLOWED"/>
    <s v="Discount Allowed"/>
    <s v="10/09/22"/>
  </r>
  <r>
    <s v="TXN_9040250"/>
    <s v="CUST_01"/>
    <x v="7"/>
    <x v="96"/>
    <x v="12"/>
    <x v="4"/>
    <n v="138"/>
    <x v="2"/>
    <x v="1"/>
    <x v="38"/>
    <x v="1"/>
    <s v="DISCOUNT ALLOWED"/>
    <s v="discount allowed"/>
    <s v="DISCOUNT ALLOWED"/>
    <s v="Discount Allowed"/>
    <s v="18/02/22"/>
  </r>
  <r>
    <s v="TXN_9501007"/>
    <s v="CUST_03"/>
    <x v="7"/>
    <x v="96"/>
    <x v="12"/>
    <x v="4"/>
    <n v="138"/>
    <x v="0"/>
    <x v="1"/>
    <x v="452"/>
    <x v="0"/>
    <s v="DISCOUNT NOT ALLOWED"/>
    <s v="discount not allowed"/>
    <s v="DISCOUNT NOT ALLOWED"/>
    <s v="Discount Not Allowed"/>
    <s v="26/09/22"/>
  </r>
  <r>
    <s v="TXN_9554941"/>
    <s v="CUST_15"/>
    <x v="7"/>
    <x v="96"/>
    <x v="12"/>
    <x v="4"/>
    <n v="138"/>
    <x v="0"/>
    <x v="0"/>
    <x v="732"/>
    <x v="1"/>
    <s v="DISCOUNT ALLOWED"/>
    <s v="discount allowed"/>
    <s v="DISCOUNT ALLOWED"/>
    <s v="Discount Allowed"/>
    <s v="17/08/24"/>
  </r>
  <r>
    <s v="TXN_9604839"/>
    <s v="CUST_16"/>
    <x v="4"/>
    <x v="94"/>
    <x v="12"/>
    <x v="4"/>
    <n v="138"/>
    <x v="0"/>
    <x v="0"/>
    <x v="869"/>
    <x v="1"/>
    <s v="DISCOUNT ALLOWED"/>
    <s v="discount allowed"/>
    <s v="DISCOUNT ALLOWED"/>
    <s v="Discount Allowed"/>
    <s v="16/07/22"/>
  </r>
  <r>
    <s v="TXN_9659420"/>
    <s v="CUST_10"/>
    <x v="2"/>
    <x v="125"/>
    <x v="12"/>
    <x v="4"/>
    <n v="138"/>
    <x v="1"/>
    <x v="1"/>
    <x v="669"/>
    <x v="1"/>
    <s v="DISCOUNT ALLOWED"/>
    <s v="discount allowed"/>
    <s v="DISCOUNT ALLOWED"/>
    <s v="Discount Allowed"/>
    <s v="23/01/22"/>
  </r>
  <r>
    <s v="TXN_1068864"/>
    <s v="CUST_13"/>
    <x v="6"/>
    <x v="70"/>
    <x v="9"/>
    <x v="5"/>
    <n v="137.5"/>
    <x v="2"/>
    <x v="1"/>
    <x v="18"/>
    <x v="1"/>
    <s v="DISCOUNT ALLOWED"/>
    <s v="discount allowed"/>
    <s v="DISCOUNT ALLOWED"/>
    <s v="Discount Allowed"/>
    <s v="16/02/23"/>
  </r>
  <r>
    <s v="TXN_1150006"/>
    <s v="CUST_01"/>
    <x v="2"/>
    <x v="76"/>
    <x v="9"/>
    <x v="5"/>
    <n v="137.5"/>
    <x v="0"/>
    <x v="0"/>
    <x v="563"/>
    <x v="1"/>
    <s v="DISCOUNT ALLOWED"/>
    <s v="discount allowed"/>
    <s v="DISCOUNT ALLOWED"/>
    <s v="Discount Allowed"/>
    <s v="03/10/24"/>
  </r>
  <r>
    <s v="TXN_1517466"/>
    <s v="CUST_23"/>
    <x v="6"/>
    <x v="70"/>
    <x v="9"/>
    <x v="5"/>
    <n v="137.5"/>
    <x v="2"/>
    <x v="1"/>
    <x v="761"/>
    <x v="0"/>
    <s v="DISCOUNT NOT ALLOWED"/>
    <s v="discount not allowed"/>
    <s v="DISCOUNT NOT ALLOWED"/>
    <s v="Discount Not Allowed"/>
    <s v="08/07/23"/>
  </r>
  <r>
    <s v="TXN_1642953"/>
    <s v="CUST_18"/>
    <x v="5"/>
    <x v="75"/>
    <x v="9"/>
    <x v="5"/>
    <n v="137.5"/>
    <x v="0"/>
    <x v="1"/>
    <x v="818"/>
    <x v="1"/>
    <s v="DISCOUNT ALLOWED"/>
    <s v="discount allowed"/>
    <s v="DISCOUNT ALLOWED"/>
    <s v="Discount Allowed"/>
    <s v="30/10/22"/>
  </r>
  <r>
    <s v="TXN_1657303"/>
    <s v="CUST_16"/>
    <x v="1"/>
    <x v="71"/>
    <x v="9"/>
    <x v="5"/>
    <n v="137.5"/>
    <x v="1"/>
    <x v="1"/>
    <x v="960"/>
    <x v="1"/>
    <s v="DISCOUNT ALLOWED"/>
    <s v="discount allowed"/>
    <s v="DISCOUNT ALLOWED"/>
    <s v="Discount Allowed"/>
    <s v="25/11/22"/>
  </r>
  <r>
    <s v="TXN_1701445"/>
    <s v="CUST_22"/>
    <x v="3"/>
    <x v="74"/>
    <x v="9"/>
    <x v="5"/>
    <n v="137.5"/>
    <x v="2"/>
    <x v="1"/>
    <x v="852"/>
    <x v="0"/>
    <s v="DISCOUNT NOT ALLOWED"/>
    <s v="discount not allowed"/>
    <s v="DISCOUNT NOT ALLOWED"/>
    <s v="Discount Not Allowed"/>
    <s v="26/05/22"/>
  </r>
  <r>
    <s v="TXN_1759826"/>
    <s v="CUST_05"/>
    <x v="1"/>
    <x v="71"/>
    <x v="9"/>
    <x v="5"/>
    <n v="137.5"/>
    <x v="1"/>
    <x v="0"/>
    <x v="231"/>
    <x v="0"/>
    <s v="DISCOUNT NOT ALLOWED"/>
    <s v="discount not allowed"/>
    <s v="DISCOUNT NOT ALLOWED"/>
    <s v="Discount Not Allowed"/>
    <s v="04/01/22"/>
  </r>
  <r>
    <s v="TXN_1794661"/>
    <s v="CUST_20"/>
    <x v="0"/>
    <x v="73"/>
    <x v="9"/>
    <x v="5"/>
    <n v="137.5"/>
    <x v="0"/>
    <x v="1"/>
    <x v="1040"/>
    <x v="0"/>
    <s v="DISCOUNT NOT ALLOWED"/>
    <s v="discount not allowed"/>
    <s v="DISCOUNT NOT ALLOWED"/>
    <s v="Discount Not Allowed"/>
    <s v="21/03/22"/>
  </r>
  <r>
    <s v="TXN_2238459"/>
    <s v="CUST_10"/>
    <x v="1"/>
    <x v="71"/>
    <x v="9"/>
    <x v="5"/>
    <n v="137.5"/>
    <x v="0"/>
    <x v="1"/>
    <x v="779"/>
    <x v="0"/>
    <s v="DISCOUNT NOT ALLOWED"/>
    <s v="discount not allowed"/>
    <s v="DISCOUNT NOT ALLOWED"/>
    <s v="Discount Not Allowed"/>
    <s v="10/01/23"/>
  </r>
  <r>
    <s v="TXN_2543221"/>
    <s v="CUST_12"/>
    <x v="0"/>
    <x v="73"/>
    <x v="9"/>
    <x v="5"/>
    <n v="137.5"/>
    <x v="2"/>
    <x v="1"/>
    <x v="18"/>
    <x v="1"/>
    <s v="DISCOUNT ALLOWED"/>
    <s v="discount allowed"/>
    <s v="DISCOUNT ALLOWED"/>
    <s v="Discount Allowed"/>
    <s v="16/02/23"/>
  </r>
  <r>
    <s v="TXN_2592664"/>
    <s v="CUST_14"/>
    <x v="0"/>
    <x v="73"/>
    <x v="9"/>
    <x v="5"/>
    <n v="137.5"/>
    <x v="2"/>
    <x v="0"/>
    <x v="1041"/>
    <x v="0"/>
    <s v="DISCOUNT NOT ALLOWED"/>
    <s v="discount not allowed"/>
    <s v="DISCOUNT NOT ALLOWED"/>
    <s v="Discount Not Allowed"/>
    <s v="06/03/23"/>
  </r>
  <r>
    <s v="TXN_2621151"/>
    <s v="CUST_24"/>
    <x v="1"/>
    <x v="71"/>
    <x v="9"/>
    <x v="5"/>
    <n v="137.5"/>
    <x v="2"/>
    <x v="0"/>
    <x v="617"/>
    <x v="0"/>
    <s v="DISCOUNT NOT ALLOWED"/>
    <s v="discount not allowed"/>
    <s v="DISCOUNT NOT ALLOWED"/>
    <s v="Discount Not Allowed"/>
    <s v="28/11/24"/>
  </r>
  <r>
    <s v="TXN_2788225"/>
    <s v="CUST_13"/>
    <x v="3"/>
    <x v="74"/>
    <x v="9"/>
    <x v="5"/>
    <n v="137.5"/>
    <x v="0"/>
    <x v="1"/>
    <x v="314"/>
    <x v="0"/>
    <s v="DISCOUNT NOT ALLOWED"/>
    <s v="discount not allowed"/>
    <s v="DISCOUNT NOT ALLOWED"/>
    <s v="Discount Not Allowed"/>
    <s v="04/05/22"/>
  </r>
  <r>
    <s v="TXN_2883620"/>
    <s v="CUST_01"/>
    <x v="3"/>
    <x v="74"/>
    <x v="9"/>
    <x v="5"/>
    <n v="137.5"/>
    <x v="1"/>
    <x v="1"/>
    <x v="826"/>
    <x v="0"/>
    <s v="DISCOUNT NOT ALLOWED"/>
    <s v="discount not allowed"/>
    <s v="DISCOUNT NOT ALLOWED"/>
    <s v="Discount Not Allowed"/>
    <s v="03/08/22"/>
  </r>
  <r>
    <s v="TXN_2980967"/>
    <s v="CUST_04"/>
    <x v="3"/>
    <x v="74"/>
    <x v="9"/>
    <x v="5"/>
    <n v="137.5"/>
    <x v="2"/>
    <x v="0"/>
    <x v="927"/>
    <x v="1"/>
    <s v="DISCOUNT ALLOWED"/>
    <s v="discount allowed"/>
    <s v="DISCOUNT ALLOWED"/>
    <s v="Discount Allowed"/>
    <s v="28/10/24"/>
  </r>
  <r>
    <s v="TXN_3157153"/>
    <s v="CUST_18"/>
    <x v="1"/>
    <x v="71"/>
    <x v="9"/>
    <x v="5"/>
    <n v="137.5"/>
    <x v="1"/>
    <x v="1"/>
    <x v="682"/>
    <x v="0"/>
    <s v="DISCOUNT NOT ALLOWED"/>
    <s v="discount not allowed"/>
    <s v="DISCOUNT NOT ALLOWED"/>
    <s v="Discount Not Allowed"/>
    <s v="01/12/22"/>
  </r>
  <r>
    <s v="TXN_3256982"/>
    <s v="CUST_09"/>
    <x v="1"/>
    <x v="71"/>
    <x v="9"/>
    <x v="5"/>
    <n v="137.5"/>
    <x v="0"/>
    <x v="0"/>
    <x v="997"/>
    <x v="1"/>
    <s v="DISCOUNT ALLOWED"/>
    <s v="discount allowed"/>
    <s v="DISCOUNT ALLOWED"/>
    <s v="Discount Allowed"/>
    <s v="31/07/22"/>
  </r>
  <r>
    <s v="TXN_3268863"/>
    <s v="CUST_17"/>
    <x v="3"/>
    <x v="74"/>
    <x v="9"/>
    <x v="5"/>
    <n v="137.5"/>
    <x v="1"/>
    <x v="0"/>
    <x v="650"/>
    <x v="1"/>
    <s v="DISCOUNT ALLOWED"/>
    <s v="discount allowed"/>
    <s v="DISCOUNT ALLOWED"/>
    <s v="Discount Allowed"/>
    <s v="03/01/23"/>
  </r>
  <r>
    <s v="TXN_3292575"/>
    <s v="CUST_15"/>
    <x v="2"/>
    <x v="76"/>
    <x v="9"/>
    <x v="5"/>
    <n v="137.5"/>
    <x v="2"/>
    <x v="0"/>
    <x v="967"/>
    <x v="0"/>
    <s v="DISCOUNT NOT ALLOWED"/>
    <s v="discount not allowed"/>
    <s v="DISCOUNT NOT ALLOWED"/>
    <s v="Discount Not Allowed"/>
    <s v="15/04/24"/>
  </r>
  <r>
    <s v="TXN_3480703"/>
    <s v="CUST_25"/>
    <x v="0"/>
    <x v="73"/>
    <x v="9"/>
    <x v="5"/>
    <n v="137.5"/>
    <x v="2"/>
    <x v="0"/>
    <x v="453"/>
    <x v="0"/>
    <s v="DISCOUNT NOT ALLOWED"/>
    <s v="discount not allowed"/>
    <s v="DISCOUNT NOT ALLOWED"/>
    <s v="Discount Not Allowed"/>
    <s v="26/06/22"/>
  </r>
  <r>
    <s v="TXN_3668726"/>
    <s v="CUST_19"/>
    <x v="5"/>
    <x v="75"/>
    <x v="9"/>
    <x v="5"/>
    <n v="137.5"/>
    <x v="1"/>
    <x v="0"/>
    <x v="821"/>
    <x v="1"/>
    <s v="DISCOUNT ALLOWED"/>
    <s v="discount allowed"/>
    <s v="DISCOUNT ALLOWED"/>
    <s v="Discount Allowed"/>
    <s v="14/05/22"/>
  </r>
  <r>
    <s v="TXN_3927468"/>
    <s v="CUST_01"/>
    <x v="0"/>
    <x v="73"/>
    <x v="9"/>
    <x v="5"/>
    <n v="137.5"/>
    <x v="1"/>
    <x v="0"/>
    <x v="973"/>
    <x v="0"/>
    <s v="DISCOUNT NOT ALLOWED"/>
    <s v="discount not allowed"/>
    <s v="DISCOUNT NOT ALLOWED"/>
    <s v="Discount Not Allowed"/>
    <s v="03/06/22"/>
  </r>
  <r>
    <s v="TXN_4631871"/>
    <s v="CUST_04"/>
    <x v="5"/>
    <x v="75"/>
    <x v="9"/>
    <x v="5"/>
    <n v="137.5"/>
    <x v="0"/>
    <x v="1"/>
    <x v="929"/>
    <x v="0"/>
    <s v="DISCOUNT NOT ALLOWED"/>
    <s v="discount not allowed"/>
    <s v="DISCOUNT NOT ALLOWED"/>
    <s v="Discount Not Allowed"/>
    <s v="24/10/24"/>
  </r>
  <r>
    <s v="TXN_4868756"/>
    <s v="CUST_17"/>
    <x v="1"/>
    <x v="71"/>
    <x v="9"/>
    <x v="5"/>
    <n v="137.5"/>
    <x v="0"/>
    <x v="1"/>
    <x v="251"/>
    <x v="0"/>
    <s v="DISCOUNT NOT ALLOWED"/>
    <s v="discount not allowed"/>
    <s v="DISCOUNT NOT ALLOWED"/>
    <s v="Discount Not Allowed"/>
    <s v="24/03/22"/>
  </r>
  <r>
    <s v="TXN_6287957"/>
    <s v="CUST_01"/>
    <x v="3"/>
    <x v="74"/>
    <x v="9"/>
    <x v="5"/>
    <n v="137.5"/>
    <x v="2"/>
    <x v="0"/>
    <x v="37"/>
    <x v="1"/>
    <s v="DISCOUNT ALLOWED"/>
    <s v="discount allowed"/>
    <s v="DISCOUNT ALLOWED"/>
    <s v="Discount Allowed"/>
    <s v="19/06/23"/>
  </r>
  <r>
    <s v="TXN_6499717"/>
    <s v="CUST_06"/>
    <x v="6"/>
    <x v="70"/>
    <x v="9"/>
    <x v="5"/>
    <n v="137.5"/>
    <x v="2"/>
    <x v="0"/>
    <x v="264"/>
    <x v="0"/>
    <s v="DISCOUNT NOT ALLOWED"/>
    <s v="discount not allowed"/>
    <s v="DISCOUNT NOT ALLOWED"/>
    <s v="Discount Not Allowed"/>
    <s v="15/07/24"/>
  </r>
  <r>
    <s v="TXN_6673236"/>
    <s v="CUST_22"/>
    <x v="0"/>
    <x v="73"/>
    <x v="9"/>
    <x v="5"/>
    <n v="137.5"/>
    <x v="0"/>
    <x v="1"/>
    <x v="1042"/>
    <x v="1"/>
    <s v="DISCOUNT ALLOWED"/>
    <s v="discount allowed"/>
    <s v="DISCOUNT ALLOWED"/>
    <s v="Discount Allowed"/>
    <s v="05/10/22"/>
  </r>
  <r>
    <s v="TXN_6954466"/>
    <s v="CUST_25"/>
    <x v="3"/>
    <x v="74"/>
    <x v="9"/>
    <x v="5"/>
    <n v="137.5"/>
    <x v="2"/>
    <x v="1"/>
    <x v="408"/>
    <x v="0"/>
    <s v="DISCOUNT NOT ALLOWED"/>
    <s v="discount not allowed"/>
    <s v="DISCOUNT NOT ALLOWED"/>
    <s v="Discount Not Allowed"/>
    <s v="24/11/24"/>
  </r>
  <r>
    <s v="TXN_7207962"/>
    <s v="CUST_02"/>
    <x v="0"/>
    <x v="73"/>
    <x v="9"/>
    <x v="5"/>
    <n v="137.5"/>
    <x v="1"/>
    <x v="0"/>
    <x v="50"/>
    <x v="0"/>
    <s v="DISCOUNT NOT ALLOWED"/>
    <s v="discount not allowed"/>
    <s v="DISCOUNT NOT ALLOWED"/>
    <s v="Discount Not Allowed"/>
    <s v="17/01/22"/>
  </r>
  <r>
    <s v="TXN_7462915"/>
    <s v="CUST_03"/>
    <x v="7"/>
    <x v="72"/>
    <x v="9"/>
    <x v="5"/>
    <n v="137.5"/>
    <x v="2"/>
    <x v="1"/>
    <x v="170"/>
    <x v="1"/>
    <s v="DISCOUNT ALLOWED"/>
    <s v="discount allowed"/>
    <s v="DISCOUNT ALLOWED"/>
    <s v="Discount Allowed"/>
    <s v="10/05/24"/>
  </r>
  <r>
    <s v="TXN_7543333"/>
    <s v="CUST_24"/>
    <x v="6"/>
    <x v="70"/>
    <x v="9"/>
    <x v="5"/>
    <n v="137.5"/>
    <x v="0"/>
    <x v="1"/>
    <x v="851"/>
    <x v="1"/>
    <s v="DISCOUNT ALLOWED"/>
    <s v="discount allowed"/>
    <s v="DISCOUNT ALLOWED"/>
    <s v="Discount Allowed"/>
    <s v="28/03/22"/>
  </r>
  <r>
    <s v="TXN_7658348"/>
    <s v="CUST_06"/>
    <x v="0"/>
    <x v="73"/>
    <x v="9"/>
    <x v="5"/>
    <n v="137.5"/>
    <x v="2"/>
    <x v="0"/>
    <x v="483"/>
    <x v="0"/>
    <s v="DISCOUNT NOT ALLOWED"/>
    <s v="discount not allowed"/>
    <s v="DISCOUNT NOT ALLOWED"/>
    <s v="Discount Not Allowed"/>
    <s v="13/12/23"/>
  </r>
  <r>
    <s v="TXN_7908356"/>
    <s v="CUST_16"/>
    <x v="3"/>
    <x v="74"/>
    <x v="9"/>
    <x v="5"/>
    <n v="137.5"/>
    <x v="2"/>
    <x v="1"/>
    <x v="287"/>
    <x v="0"/>
    <s v="DISCOUNT NOT ALLOWED"/>
    <s v="discount not allowed"/>
    <s v="DISCOUNT NOT ALLOWED"/>
    <s v="Discount Not Allowed"/>
    <s v="22/04/23"/>
  </r>
  <r>
    <s v="TXN_8165820"/>
    <s v="CUST_03"/>
    <x v="0"/>
    <x v="73"/>
    <x v="9"/>
    <x v="5"/>
    <n v="137.5"/>
    <x v="1"/>
    <x v="1"/>
    <x v="330"/>
    <x v="0"/>
    <s v="DISCOUNT NOT ALLOWED"/>
    <s v="discount not allowed"/>
    <s v="DISCOUNT NOT ALLOWED"/>
    <s v="Discount Not Allowed"/>
    <s v="23/04/24"/>
  </r>
  <r>
    <s v="TXN_8192277"/>
    <s v="CUST_01"/>
    <x v="6"/>
    <x v="70"/>
    <x v="9"/>
    <x v="5"/>
    <n v="137.5"/>
    <x v="2"/>
    <x v="0"/>
    <x v="628"/>
    <x v="1"/>
    <s v="DISCOUNT ALLOWED"/>
    <s v="discount allowed"/>
    <s v="DISCOUNT ALLOWED"/>
    <s v="Discount Allowed"/>
    <s v="25/01/24"/>
  </r>
  <r>
    <s v="TXN_8304885"/>
    <s v="CUST_20"/>
    <x v="2"/>
    <x v="76"/>
    <x v="9"/>
    <x v="5"/>
    <n v="137.5"/>
    <x v="1"/>
    <x v="0"/>
    <x v="255"/>
    <x v="1"/>
    <s v="DISCOUNT ALLOWED"/>
    <s v="discount allowed"/>
    <s v="DISCOUNT ALLOWED"/>
    <s v="Discount Allowed"/>
    <s v="22/05/23"/>
  </r>
  <r>
    <s v="TXN_8792621"/>
    <s v="CUST_19"/>
    <x v="7"/>
    <x v="72"/>
    <x v="9"/>
    <x v="5"/>
    <n v="137.5"/>
    <x v="2"/>
    <x v="1"/>
    <x v="420"/>
    <x v="0"/>
    <s v="DISCOUNT NOT ALLOWED"/>
    <s v="discount not allowed"/>
    <s v="DISCOUNT NOT ALLOWED"/>
    <s v="Discount Not Allowed"/>
    <s v="28/09/24"/>
  </r>
  <r>
    <s v="TXN_8912049"/>
    <s v="CUST_15"/>
    <x v="3"/>
    <x v="74"/>
    <x v="9"/>
    <x v="5"/>
    <n v="137.5"/>
    <x v="1"/>
    <x v="1"/>
    <x v="843"/>
    <x v="1"/>
    <s v="DISCOUNT ALLOWED"/>
    <s v="discount allowed"/>
    <s v="DISCOUNT ALLOWED"/>
    <s v="Discount Allowed"/>
    <s v="07/08/24"/>
  </r>
  <r>
    <s v="TXN_9554512"/>
    <s v="CUST_01"/>
    <x v="3"/>
    <x v="74"/>
    <x v="9"/>
    <x v="5"/>
    <n v="137.5"/>
    <x v="0"/>
    <x v="1"/>
    <x v="737"/>
    <x v="1"/>
    <s v="DISCOUNT ALLOWED"/>
    <s v="discount allowed"/>
    <s v="DISCOUNT ALLOWED"/>
    <s v="Discount Allowed"/>
    <s v="21/11/24"/>
  </r>
  <r>
    <s v="TXN_9661826"/>
    <s v="CUST_05"/>
    <x v="3"/>
    <x v="74"/>
    <x v="9"/>
    <x v="5"/>
    <n v="137.5"/>
    <x v="1"/>
    <x v="0"/>
    <x v="885"/>
    <x v="1"/>
    <s v="DISCOUNT ALLOWED"/>
    <s v="discount allowed"/>
    <s v="DISCOUNT ALLOWED"/>
    <s v="Discount Allowed"/>
    <s v="02/06/22"/>
  </r>
  <r>
    <s v="TXN_9806807"/>
    <s v="CUST_06"/>
    <x v="2"/>
    <x v="76"/>
    <x v="9"/>
    <x v="5"/>
    <n v="137.5"/>
    <x v="1"/>
    <x v="1"/>
    <x v="548"/>
    <x v="0"/>
    <s v="DISCOUNT NOT ALLOWED"/>
    <s v="discount not allowed"/>
    <s v="DISCOUNT NOT ALLOWED"/>
    <s v="Discount Not Allowed"/>
    <s v="22/01/22"/>
  </r>
  <r>
    <s v="TXN_9815485"/>
    <s v="CUST_19"/>
    <x v="3"/>
    <x v="74"/>
    <x v="9"/>
    <x v="5"/>
    <n v="137.5"/>
    <x v="0"/>
    <x v="0"/>
    <x v="569"/>
    <x v="1"/>
    <s v="DISCOUNT ALLOWED"/>
    <s v="discount allowed"/>
    <s v="DISCOUNT ALLOWED"/>
    <s v="Discount Allowed"/>
    <s v="02/05/24"/>
  </r>
  <r>
    <s v="TXN_1231953"/>
    <s v="CUST_13"/>
    <x v="6"/>
    <x v="132"/>
    <x v="16"/>
    <x v="2"/>
    <n v="136"/>
    <x v="0"/>
    <x v="0"/>
    <x v="556"/>
    <x v="0"/>
    <s v="DISCOUNT NOT ALLOWED"/>
    <s v="discount not allowed"/>
    <s v="DISCOUNT NOT ALLOWED"/>
    <s v="Discount Not Allowed"/>
    <s v="16/02/24"/>
  </r>
  <r>
    <s v="TXN_1481263"/>
    <s v="CUST_13"/>
    <x v="7"/>
    <x v="133"/>
    <x v="16"/>
    <x v="2"/>
    <n v="136"/>
    <x v="0"/>
    <x v="1"/>
    <x v="948"/>
    <x v="0"/>
    <s v="DISCOUNT NOT ALLOWED"/>
    <s v="discount not allowed"/>
    <s v="DISCOUNT NOT ALLOWED"/>
    <s v="Discount Not Allowed"/>
    <s v="04/12/22"/>
  </r>
  <r>
    <s v="TXN_1862542"/>
    <s v="CUST_18"/>
    <x v="3"/>
    <x v="142"/>
    <x v="16"/>
    <x v="2"/>
    <n v="136"/>
    <x v="2"/>
    <x v="1"/>
    <x v="424"/>
    <x v="0"/>
    <s v="DISCOUNT NOT ALLOWED"/>
    <s v="discount not allowed"/>
    <s v="DISCOUNT NOT ALLOWED"/>
    <s v="Discount Not Allowed"/>
    <s v="25/08/24"/>
  </r>
  <r>
    <s v="TXN_1877280"/>
    <s v="CUST_25"/>
    <x v="7"/>
    <x v="133"/>
    <x v="16"/>
    <x v="2"/>
    <n v="136"/>
    <x v="0"/>
    <x v="1"/>
    <x v="73"/>
    <x v="1"/>
    <s v="DISCOUNT ALLOWED"/>
    <s v="discount allowed"/>
    <s v="DISCOUNT ALLOWED"/>
    <s v="Discount Allowed"/>
    <s v="01/09/23"/>
  </r>
  <r>
    <s v="TXN_2078985"/>
    <s v="CUST_01"/>
    <x v="7"/>
    <x v="133"/>
    <x v="16"/>
    <x v="2"/>
    <n v="136"/>
    <x v="1"/>
    <x v="0"/>
    <x v="986"/>
    <x v="1"/>
    <s v="DISCOUNT ALLOWED"/>
    <s v="discount allowed"/>
    <s v="DISCOUNT ALLOWED"/>
    <s v="Discount Allowed"/>
    <s v="07/11/23"/>
  </r>
  <r>
    <s v="TXN_2548154"/>
    <s v="CUST_09"/>
    <x v="7"/>
    <x v="133"/>
    <x v="16"/>
    <x v="2"/>
    <n v="136"/>
    <x v="2"/>
    <x v="1"/>
    <x v="752"/>
    <x v="1"/>
    <s v="DISCOUNT ALLOWED"/>
    <s v="discount allowed"/>
    <s v="DISCOUNT ALLOWED"/>
    <s v="Discount Allowed"/>
    <s v="18/05/23"/>
  </r>
  <r>
    <s v="TXN_2651748"/>
    <s v="CUST_15"/>
    <x v="4"/>
    <x v="130"/>
    <x v="16"/>
    <x v="2"/>
    <n v="136"/>
    <x v="0"/>
    <x v="1"/>
    <x v="771"/>
    <x v="0"/>
    <s v="DISCOUNT NOT ALLOWED"/>
    <s v="discount not allowed"/>
    <s v="DISCOUNT NOT ALLOWED"/>
    <s v="Discount Not Allowed"/>
    <s v="24/07/24"/>
  </r>
  <r>
    <s v="TXN_2930732"/>
    <s v="CUST_04"/>
    <x v="1"/>
    <x v="129"/>
    <x v="16"/>
    <x v="2"/>
    <n v="136"/>
    <x v="1"/>
    <x v="1"/>
    <x v="715"/>
    <x v="1"/>
    <s v="DISCOUNT ALLOWED"/>
    <s v="discount allowed"/>
    <s v="DISCOUNT ALLOWED"/>
    <s v="Discount Allowed"/>
    <s v="12/12/22"/>
  </r>
  <r>
    <s v="TXN_3195565"/>
    <s v="CUST_13"/>
    <x v="4"/>
    <x v="130"/>
    <x v="16"/>
    <x v="2"/>
    <n v="136"/>
    <x v="1"/>
    <x v="1"/>
    <x v="272"/>
    <x v="1"/>
    <s v="DISCOUNT ALLOWED"/>
    <s v="discount allowed"/>
    <s v="DISCOUNT ALLOWED"/>
    <s v="Discount Allowed"/>
    <s v="08/04/22"/>
  </r>
  <r>
    <s v="TXN_3527658"/>
    <s v="CUST_03"/>
    <x v="1"/>
    <x v="129"/>
    <x v="16"/>
    <x v="2"/>
    <n v="136"/>
    <x v="0"/>
    <x v="1"/>
    <x v="443"/>
    <x v="1"/>
    <s v="DISCOUNT ALLOWED"/>
    <s v="discount allowed"/>
    <s v="DISCOUNT ALLOWED"/>
    <s v="Discount Allowed"/>
    <s v="28/02/24"/>
  </r>
  <r>
    <s v="TXN_3975050"/>
    <s v="CUST_19"/>
    <x v="7"/>
    <x v="133"/>
    <x v="16"/>
    <x v="2"/>
    <n v="136"/>
    <x v="0"/>
    <x v="0"/>
    <x v="418"/>
    <x v="0"/>
    <s v="DISCOUNT NOT ALLOWED"/>
    <s v="discount not allowed"/>
    <s v="DISCOUNT NOT ALLOWED"/>
    <s v="Discount Not Allowed"/>
    <s v="29/09/24"/>
  </r>
  <r>
    <s v="TXN_4062925"/>
    <s v="CUST_07"/>
    <x v="1"/>
    <x v="129"/>
    <x v="16"/>
    <x v="2"/>
    <n v="136"/>
    <x v="1"/>
    <x v="0"/>
    <x v="888"/>
    <x v="0"/>
    <s v="DISCOUNT NOT ALLOWED"/>
    <s v="discount not allowed"/>
    <s v="DISCOUNT NOT ALLOWED"/>
    <s v="Discount Not Allowed"/>
    <s v="10/08/23"/>
  </r>
  <r>
    <s v="TXN_4373165"/>
    <s v="CUST_13"/>
    <x v="2"/>
    <x v="131"/>
    <x v="16"/>
    <x v="2"/>
    <n v="136"/>
    <x v="2"/>
    <x v="0"/>
    <x v="169"/>
    <x v="1"/>
    <s v="DISCOUNT ALLOWED"/>
    <s v="discount allowed"/>
    <s v="DISCOUNT ALLOWED"/>
    <s v="Discount Allowed"/>
    <s v="03/05/24"/>
  </r>
  <r>
    <s v="TXN_4523627"/>
    <s v="CUST_23"/>
    <x v="7"/>
    <x v="133"/>
    <x v="16"/>
    <x v="2"/>
    <n v="136"/>
    <x v="2"/>
    <x v="0"/>
    <x v="605"/>
    <x v="1"/>
    <s v="DISCOUNT ALLOWED"/>
    <s v="discount allowed"/>
    <s v="DISCOUNT ALLOWED"/>
    <s v="Discount Allowed"/>
    <s v="27/12/22"/>
  </r>
  <r>
    <s v="TXN_4568923"/>
    <s v="CUST_08"/>
    <x v="4"/>
    <x v="130"/>
    <x v="16"/>
    <x v="2"/>
    <n v="136"/>
    <x v="0"/>
    <x v="0"/>
    <x v="269"/>
    <x v="0"/>
    <s v="DISCOUNT NOT ALLOWED"/>
    <s v="discount not allowed"/>
    <s v="DISCOUNT NOT ALLOWED"/>
    <s v="Discount Not Allowed"/>
    <s v="26/07/22"/>
  </r>
  <r>
    <s v="TXN_4634440"/>
    <s v="CUST_18"/>
    <x v="7"/>
    <x v="133"/>
    <x v="16"/>
    <x v="2"/>
    <n v="136"/>
    <x v="2"/>
    <x v="1"/>
    <x v="482"/>
    <x v="0"/>
    <s v="DISCOUNT NOT ALLOWED"/>
    <s v="discount not allowed"/>
    <s v="DISCOUNT NOT ALLOWED"/>
    <s v="Discount Not Allowed"/>
    <s v="03/03/23"/>
  </r>
  <r>
    <s v="TXN_4920280"/>
    <s v="CUST_20"/>
    <x v="4"/>
    <x v="130"/>
    <x v="16"/>
    <x v="2"/>
    <n v="136"/>
    <x v="0"/>
    <x v="1"/>
    <x v="69"/>
    <x v="1"/>
    <s v="DISCOUNT ALLOWED"/>
    <s v="discount allowed"/>
    <s v="DISCOUNT ALLOWED"/>
    <s v="Discount Allowed"/>
    <s v="14/11/23"/>
  </r>
  <r>
    <s v="TXN_5171451"/>
    <s v="CUST_12"/>
    <x v="5"/>
    <x v="128"/>
    <x v="16"/>
    <x v="2"/>
    <n v="136"/>
    <x v="0"/>
    <x v="1"/>
    <x v="103"/>
    <x v="0"/>
    <s v="DISCOUNT NOT ALLOWED"/>
    <s v="discount not allowed"/>
    <s v="DISCOUNT NOT ALLOWED"/>
    <s v="Discount Not Allowed"/>
    <s v="30/05/22"/>
  </r>
  <r>
    <s v="TXN_5702698"/>
    <s v="CUST_16"/>
    <x v="3"/>
    <x v="142"/>
    <x v="16"/>
    <x v="2"/>
    <n v="136"/>
    <x v="1"/>
    <x v="0"/>
    <x v="282"/>
    <x v="1"/>
    <s v="DISCOUNT ALLOWED"/>
    <s v="discount allowed"/>
    <s v="DISCOUNT ALLOWED"/>
    <s v="Discount Allowed"/>
    <s v="20/06/23"/>
  </r>
  <r>
    <s v="TXN_5906554"/>
    <s v="CUST_09"/>
    <x v="1"/>
    <x v="129"/>
    <x v="16"/>
    <x v="2"/>
    <n v="136"/>
    <x v="1"/>
    <x v="0"/>
    <x v="594"/>
    <x v="0"/>
    <s v="DISCOUNT NOT ALLOWED"/>
    <s v="discount not allowed"/>
    <s v="DISCOUNT NOT ALLOWED"/>
    <s v="Discount Not Allowed"/>
    <s v="12/10/23"/>
  </r>
  <r>
    <s v="TXN_6400673"/>
    <s v="CUST_15"/>
    <x v="6"/>
    <x v="132"/>
    <x v="16"/>
    <x v="2"/>
    <n v="136"/>
    <x v="1"/>
    <x v="0"/>
    <x v="457"/>
    <x v="1"/>
    <s v="DISCOUNT ALLOWED"/>
    <s v="discount allowed"/>
    <s v="DISCOUNT ALLOWED"/>
    <s v="Discount Allowed"/>
    <s v="21/01/22"/>
  </r>
  <r>
    <s v="TXN_6421356"/>
    <s v="CUST_21"/>
    <x v="4"/>
    <x v="130"/>
    <x v="16"/>
    <x v="2"/>
    <n v="136"/>
    <x v="0"/>
    <x v="1"/>
    <x v="106"/>
    <x v="1"/>
    <s v="DISCOUNT ALLOWED"/>
    <s v="discount allowed"/>
    <s v="DISCOUNT ALLOWED"/>
    <s v="Discount Allowed"/>
    <s v="01/09/24"/>
  </r>
  <r>
    <s v="TXN_6429820"/>
    <s v="CUST_08"/>
    <x v="5"/>
    <x v="128"/>
    <x v="16"/>
    <x v="2"/>
    <n v="136"/>
    <x v="0"/>
    <x v="1"/>
    <x v="703"/>
    <x v="1"/>
    <s v="DISCOUNT ALLOWED"/>
    <s v="discount allowed"/>
    <s v="DISCOUNT ALLOWED"/>
    <s v="Discount Allowed"/>
    <s v="31/01/24"/>
  </r>
  <r>
    <s v="TXN_6530329"/>
    <s v="CUST_10"/>
    <x v="6"/>
    <x v="132"/>
    <x v="16"/>
    <x v="2"/>
    <n v="136"/>
    <x v="0"/>
    <x v="0"/>
    <x v="421"/>
    <x v="0"/>
    <s v="DISCOUNT NOT ALLOWED"/>
    <s v="discount not allowed"/>
    <s v="DISCOUNT NOT ALLOWED"/>
    <s v="Discount Not Allowed"/>
    <s v="29/04/24"/>
  </r>
  <r>
    <s v="TXN_6562327"/>
    <s v="CUST_14"/>
    <x v="4"/>
    <x v="130"/>
    <x v="16"/>
    <x v="2"/>
    <n v="136"/>
    <x v="2"/>
    <x v="0"/>
    <x v="739"/>
    <x v="0"/>
    <s v="DISCOUNT NOT ALLOWED"/>
    <s v="discount not allowed"/>
    <s v="DISCOUNT NOT ALLOWED"/>
    <s v="Discount Not Allowed"/>
    <s v="23/05/22"/>
  </r>
  <r>
    <s v="TXN_6695324"/>
    <s v="CUST_01"/>
    <x v="5"/>
    <x v="128"/>
    <x v="16"/>
    <x v="2"/>
    <n v="136"/>
    <x v="2"/>
    <x v="1"/>
    <x v="714"/>
    <x v="1"/>
    <s v="DISCOUNT ALLOWED"/>
    <s v="discount allowed"/>
    <s v="DISCOUNT ALLOWED"/>
    <s v="Discount Allowed"/>
    <s v="23/04/23"/>
  </r>
  <r>
    <s v="TXN_7481579"/>
    <s v="CUST_09"/>
    <x v="7"/>
    <x v="133"/>
    <x v="16"/>
    <x v="2"/>
    <n v="136"/>
    <x v="1"/>
    <x v="1"/>
    <x v="742"/>
    <x v="0"/>
    <s v="DISCOUNT NOT ALLOWED"/>
    <s v="discount not allowed"/>
    <s v="DISCOUNT NOT ALLOWED"/>
    <s v="Discount Not Allowed"/>
    <s v="13/05/23"/>
  </r>
  <r>
    <s v="TXN_7610612"/>
    <s v="CUST_09"/>
    <x v="5"/>
    <x v="128"/>
    <x v="16"/>
    <x v="2"/>
    <n v="136"/>
    <x v="0"/>
    <x v="1"/>
    <x v="220"/>
    <x v="1"/>
    <s v="DISCOUNT ALLOWED"/>
    <s v="discount allowed"/>
    <s v="DISCOUNT ALLOWED"/>
    <s v="Discount Allowed"/>
    <s v="25/03/24"/>
  </r>
  <r>
    <s v="TXN_7821157"/>
    <s v="CUST_11"/>
    <x v="6"/>
    <x v="132"/>
    <x v="16"/>
    <x v="2"/>
    <n v="136"/>
    <x v="2"/>
    <x v="0"/>
    <x v="465"/>
    <x v="1"/>
    <s v="DISCOUNT ALLOWED"/>
    <s v="discount allowed"/>
    <s v="DISCOUNT ALLOWED"/>
    <s v="Discount Allowed"/>
    <s v="22/08/22"/>
  </r>
  <r>
    <s v="TXN_7822326"/>
    <s v="CUST_04"/>
    <x v="6"/>
    <x v="132"/>
    <x v="16"/>
    <x v="2"/>
    <n v="136"/>
    <x v="0"/>
    <x v="0"/>
    <x v="476"/>
    <x v="0"/>
    <s v="DISCOUNT NOT ALLOWED"/>
    <s v="discount not allowed"/>
    <s v="DISCOUNT NOT ALLOWED"/>
    <s v="Discount Not Allowed"/>
    <s v="04/04/24"/>
  </r>
  <r>
    <s v="TXN_8047953"/>
    <s v="CUST_02"/>
    <x v="5"/>
    <x v="128"/>
    <x v="16"/>
    <x v="2"/>
    <n v="136"/>
    <x v="1"/>
    <x v="0"/>
    <x v="312"/>
    <x v="0"/>
    <s v="DISCOUNT NOT ALLOWED"/>
    <s v="discount not allowed"/>
    <s v="DISCOUNT NOT ALLOWED"/>
    <s v="Discount Not Allowed"/>
    <s v="07/11/22"/>
  </r>
  <r>
    <s v="TXN_8385458"/>
    <s v="CUST_17"/>
    <x v="5"/>
    <x v="128"/>
    <x v="16"/>
    <x v="2"/>
    <n v="136"/>
    <x v="0"/>
    <x v="1"/>
    <x v="436"/>
    <x v="0"/>
    <s v="DISCOUNT NOT ALLOWED"/>
    <s v="discount not allowed"/>
    <s v="DISCOUNT NOT ALLOWED"/>
    <s v="Discount Not Allowed"/>
    <s v="18/06/22"/>
  </r>
  <r>
    <s v="TXN_8824211"/>
    <s v="CUST_22"/>
    <x v="7"/>
    <x v="133"/>
    <x v="16"/>
    <x v="2"/>
    <n v="136"/>
    <x v="2"/>
    <x v="1"/>
    <x v="94"/>
    <x v="0"/>
    <s v="DISCOUNT NOT ALLOWED"/>
    <s v="discount not allowed"/>
    <s v="DISCOUNT NOT ALLOWED"/>
    <s v="Discount Not Allowed"/>
    <s v="19/03/24"/>
  </r>
  <r>
    <s v="TXN_8921717"/>
    <s v="CUST_17"/>
    <x v="6"/>
    <x v="132"/>
    <x v="16"/>
    <x v="2"/>
    <n v="136"/>
    <x v="1"/>
    <x v="0"/>
    <x v="1043"/>
    <x v="0"/>
    <s v="DISCOUNT NOT ALLOWED"/>
    <s v="discount not allowed"/>
    <s v="DISCOUNT NOT ALLOWED"/>
    <s v="Discount Not Allowed"/>
    <s v="18/04/22"/>
  </r>
  <r>
    <s v="TXN_9026058"/>
    <s v="CUST_01"/>
    <x v="4"/>
    <x v="130"/>
    <x v="16"/>
    <x v="2"/>
    <n v="136"/>
    <x v="0"/>
    <x v="1"/>
    <x v="690"/>
    <x v="1"/>
    <s v="DISCOUNT ALLOWED"/>
    <s v="discount allowed"/>
    <s v="DISCOUNT ALLOWED"/>
    <s v="Discount Allowed"/>
    <s v="12/12/24"/>
  </r>
  <r>
    <s v="TXN_9429754"/>
    <s v="CUST_14"/>
    <x v="0"/>
    <x v="151"/>
    <x v="16"/>
    <x v="2"/>
    <n v="136"/>
    <x v="1"/>
    <x v="0"/>
    <x v="816"/>
    <x v="1"/>
    <s v="DISCOUNT ALLOWED"/>
    <s v="discount allowed"/>
    <s v="DISCOUNT ALLOWED"/>
    <s v="Discount Allowed"/>
    <s v="27/08/23"/>
  </r>
  <r>
    <s v="TXN_9431847"/>
    <s v="CUST_09"/>
    <x v="4"/>
    <x v="130"/>
    <x v="16"/>
    <x v="2"/>
    <n v="136"/>
    <x v="1"/>
    <x v="0"/>
    <x v="534"/>
    <x v="0"/>
    <s v="DISCOUNT NOT ALLOWED"/>
    <s v="discount not allowed"/>
    <s v="DISCOUNT NOT ALLOWED"/>
    <s v="Discount Not Allowed"/>
    <s v="25/02/24"/>
  </r>
  <r>
    <s v="TXN_1481062"/>
    <s v="CUST_16"/>
    <x v="1"/>
    <x v="37"/>
    <x v="5"/>
    <x v="6"/>
    <n v="134"/>
    <x v="2"/>
    <x v="0"/>
    <x v="255"/>
    <x v="1"/>
    <s v="DISCOUNT ALLOWED"/>
    <s v="discount allowed"/>
    <s v="DISCOUNT ALLOWED"/>
    <s v="Discount Allowed"/>
    <s v="22/05/23"/>
  </r>
  <r>
    <s v="TXN_1669980"/>
    <s v="CUST_12"/>
    <x v="6"/>
    <x v="43"/>
    <x v="5"/>
    <x v="6"/>
    <n v="134"/>
    <x v="2"/>
    <x v="0"/>
    <x v="601"/>
    <x v="0"/>
    <s v="DISCOUNT NOT ALLOWED"/>
    <s v="discount not allowed"/>
    <s v="DISCOUNT NOT ALLOWED"/>
    <s v="Discount Not Allowed"/>
    <s v="26/01/24"/>
  </r>
  <r>
    <s v="TXN_1966034"/>
    <s v="CUST_13"/>
    <x v="1"/>
    <x v="37"/>
    <x v="5"/>
    <x v="6"/>
    <n v="134"/>
    <x v="0"/>
    <x v="1"/>
    <x v="623"/>
    <x v="1"/>
    <s v="DISCOUNT ALLOWED"/>
    <s v="discount allowed"/>
    <s v="DISCOUNT ALLOWED"/>
    <s v="Discount Allowed"/>
    <s v="26/08/24"/>
  </r>
  <r>
    <s v="TXN_1991242"/>
    <s v="CUST_15"/>
    <x v="0"/>
    <x v="40"/>
    <x v="5"/>
    <x v="6"/>
    <n v="134"/>
    <x v="2"/>
    <x v="0"/>
    <x v="826"/>
    <x v="0"/>
    <s v="DISCOUNT NOT ALLOWED"/>
    <s v="discount not allowed"/>
    <s v="DISCOUNT NOT ALLOWED"/>
    <s v="Discount Not Allowed"/>
    <s v="03/08/22"/>
  </r>
  <r>
    <s v="TXN_2159908"/>
    <s v="CUST_09"/>
    <x v="3"/>
    <x v="41"/>
    <x v="5"/>
    <x v="6"/>
    <n v="134"/>
    <x v="1"/>
    <x v="0"/>
    <x v="610"/>
    <x v="1"/>
    <s v="DISCOUNT ALLOWED"/>
    <s v="discount allowed"/>
    <s v="DISCOUNT ALLOWED"/>
    <s v="Discount Allowed"/>
    <s v="15/08/24"/>
  </r>
  <r>
    <s v="TXN_2226551"/>
    <s v="CUST_24"/>
    <x v="5"/>
    <x v="38"/>
    <x v="5"/>
    <x v="6"/>
    <n v="134"/>
    <x v="0"/>
    <x v="0"/>
    <x v="832"/>
    <x v="1"/>
    <s v="DISCOUNT ALLOWED"/>
    <s v="discount allowed"/>
    <s v="DISCOUNT ALLOWED"/>
    <s v="Discount Allowed"/>
    <s v="27/08/22"/>
  </r>
  <r>
    <s v="TXN_2331955"/>
    <s v="CUST_10"/>
    <x v="7"/>
    <x v="44"/>
    <x v="5"/>
    <x v="6"/>
    <n v="134"/>
    <x v="1"/>
    <x v="0"/>
    <x v="1"/>
    <x v="0"/>
    <s v="DISCOUNT NOT ALLOWED"/>
    <s v="discount not allowed"/>
    <s v="DISCOUNT NOT ALLOWED"/>
    <s v="Discount Not Allowed"/>
    <s v="01/04/23"/>
  </r>
  <r>
    <s v="TXN_2374522"/>
    <s v="CUST_16"/>
    <x v="5"/>
    <x v="38"/>
    <x v="5"/>
    <x v="6"/>
    <n v="134"/>
    <x v="0"/>
    <x v="0"/>
    <x v="195"/>
    <x v="1"/>
    <s v="DISCOUNT ALLOWED"/>
    <s v="discount allowed"/>
    <s v="DISCOUNT ALLOWED"/>
    <s v="Discount Allowed"/>
    <s v="01/07/22"/>
  </r>
  <r>
    <s v="TXN_2602980"/>
    <s v="CUST_21"/>
    <x v="7"/>
    <x v="44"/>
    <x v="5"/>
    <x v="6"/>
    <n v="134"/>
    <x v="1"/>
    <x v="0"/>
    <x v="861"/>
    <x v="1"/>
    <s v="DISCOUNT ALLOWED"/>
    <s v="discount allowed"/>
    <s v="DISCOUNT ALLOWED"/>
    <s v="Discount Allowed"/>
    <s v="14/08/24"/>
  </r>
  <r>
    <s v="TXN_2621464"/>
    <s v="CUST_08"/>
    <x v="2"/>
    <x v="39"/>
    <x v="5"/>
    <x v="6"/>
    <n v="134"/>
    <x v="1"/>
    <x v="0"/>
    <x v="336"/>
    <x v="0"/>
    <s v="DISCOUNT NOT ALLOWED"/>
    <s v="discount not allowed"/>
    <s v="DISCOUNT NOT ALLOWED"/>
    <s v="Discount Not Allowed"/>
    <s v="05/11/24"/>
  </r>
  <r>
    <s v="TXN_3019852"/>
    <s v="CUST_24"/>
    <x v="4"/>
    <x v="42"/>
    <x v="5"/>
    <x v="6"/>
    <n v="134"/>
    <x v="2"/>
    <x v="0"/>
    <x v="439"/>
    <x v="0"/>
    <s v="DISCOUNT NOT ALLOWED"/>
    <s v="discount not allowed"/>
    <s v="DISCOUNT NOT ALLOWED"/>
    <s v="Discount Not Allowed"/>
    <s v="19/10/24"/>
  </r>
  <r>
    <s v="TXN_3152731"/>
    <s v="CUST_13"/>
    <x v="4"/>
    <x v="42"/>
    <x v="5"/>
    <x v="6"/>
    <n v="134"/>
    <x v="1"/>
    <x v="1"/>
    <x v="259"/>
    <x v="1"/>
    <s v="DISCOUNT ALLOWED"/>
    <s v="discount allowed"/>
    <s v="DISCOUNT ALLOWED"/>
    <s v="Discount Allowed"/>
    <s v="11/07/24"/>
  </r>
  <r>
    <s v="TXN_3294780"/>
    <s v="CUST_19"/>
    <x v="7"/>
    <x v="44"/>
    <x v="5"/>
    <x v="6"/>
    <n v="134"/>
    <x v="2"/>
    <x v="0"/>
    <x v="559"/>
    <x v="1"/>
    <s v="DISCOUNT ALLOWED"/>
    <s v="discount allowed"/>
    <s v="DISCOUNT ALLOWED"/>
    <s v="Discount Allowed"/>
    <s v="14/10/22"/>
  </r>
  <r>
    <s v="TXN_3789637"/>
    <s v="CUST_20"/>
    <x v="1"/>
    <x v="37"/>
    <x v="5"/>
    <x v="6"/>
    <n v="134"/>
    <x v="1"/>
    <x v="0"/>
    <x v="1044"/>
    <x v="0"/>
    <s v="DISCOUNT NOT ALLOWED"/>
    <s v="discount not allowed"/>
    <s v="DISCOUNT NOT ALLOWED"/>
    <s v="Discount Not Allowed"/>
    <s v="04/02/24"/>
  </r>
  <r>
    <s v="TXN_4240172"/>
    <s v="CUST_19"/>
    <x v="3"/>
    <x v="41"/>
    <x v="5"/>
    <x v="6"/>
    <n v="134"/>
    <x v="2"/>
    <x v="0"/>
    <x v="269"/>
    <x v="1"/>
    <s v="DISCOUNT ALLOWED"/>
    <s v="discount allowed"/>
    <s v="DISCOUNT ALLOWED"/>
    <s v="Discount Allowed"/>
    <s v="26/07/22"/>
  </r>
  <r>
    <s v="TXN_4580660"/>
    <s v="CUST_16"/>
    <x v="6"/>
    <x v="43"/>
    <x v="5"/>
    <x v="6"/>
    <n v="134"/>
    <x v="1"/>
    <x v="0"/>
    <x v="987"/>
    <x v="1"/>
    <s v="DISCOUNT ALLOWED"/>
    <s v="discount allowed"/>
    <s v="DISCOUNT ALLOWED"/>
    <s v="Discount Allowed"/>
    <s v="06/07/22"/>
  </r>
  <r>
    <s v="TXN_4748839"/>
    <s v="CUST_06"/>
    <x v="2"/>
    <x v="39"/>
    <x v="5"/>
    <x v="6"/>
    <n v="134"/>
    <x v="0"/>
    <x v="1"/>
    <x v="943"/>
    <x v="0"/>
    <s v="DISCOUNT NOT ALLOWED"/>
    <s v="discount not allowed"/>
    <s v="DISCOUNT NOT ALLOWED"/>
    <s v="Discount Not Allowed"/>
    <s v="22/07/22"/>
  </r>
  <r>
    <s v="TXN_4863868"/>
    <s v="CUST_14"/>
    <x v="5"/>
    <x v="38"/>
    <x v="5"/>
    <x v="6"/>
    <n v="134"/>
    <x v="2"/>
    <x v="1"/>
    <x v="230"/>
    <x v="0"/>
    <s v="DISCOUNT NOT ALLOWED"/>
    <s v="discount not allowed"/>
    <s v="DISCOUNT NOT ALLOWED"/>
    <s v="Discount Not Allowed"/>
    <s v="19/09/22"/>
  </r>
  <r>
    <s v="TXN_4879766"/>
    <s v="CUST_13"/>
    <x v="6"/>
    <x v="43"/>
    <x v="5"/>
    <x v="6"/>
    <n v="134"/>
    <x v="0"/>
    <x v="0"/>
    <x v="621"/>
    <x v="0"/>
    <s v="DISCOUNT NOT ALLOWED"/>
    <s v="discount not allowed"/>
    <s v="DISCOUNT NOT ALLOWED"/>
    <s v="Discount Not Allowed"/>
    <s v="03/06/23"/>
  </r>
  <r>
    <s v="TXN_4954934"/>
    <s v="CUST_13"/>
    <x v="6"/>
    <x v="43"/>
    <x v="5"/>
    <x v="6"/>
    <n v="134"/>
    <x v="1"/>
    <x v="1"/>
    <x v="959"/>
    <x v="0"/>
    <s v="DISCOUNT NOT ALLOWED"/>
    <s v="discount not allowed"/>
    <s v="DISCOUNT NOT ALLOWED"/>
    <s v="Discount Not Allowed"/>
    <s v="13/08/24"/>
  </r>
  <r>
    <s v="TXN_5230472"/>
    <s v="CUST_09"/>
    <x v="6"/>
    <x v="43"/>
    <x v="5"/>
    <x v="6"/>
    <n v="134"/>
    <x v="2"/>
    <x v="0"/>
    <x v="672"/>
    <x v="1"/>
    <s v="DISCOUNT ALLOWED"/>
    <s v="discount allowed"/>
    <s v="DISCOUNT ALLOWED"/>
    <s v="Discount Allowed"/>
    <s v="20/09/23"/>
  </r>
  <r>
    <s v="TXN_5390878"/>
    <s v="CUST_12"/>
    <x v="4"/>
    <x v="42"/>
    <x v="5"/>
    <x v="6"/>
    <n v="134"/>
    <x v="2"/>
    <x v="0"/>
    <x v="569"/>
    <x v="1"/>
    <s v="DISCOUNT ALLOWED"/>
    <s v="discount allowed"/>
    <s v="DISCOUNT ALLOWED"/>
    <s v="Discount Allowed"/>
    <s v="02/05/24"/>
  </r>
  <r>
    <s v="TXN_5683189"/>
    <s v="CUST_23"/>
    <x v="1"/>
    <x v="37"/>
    <x v="5"/>
    <x v="6"/>
    <n v="134"/>
    <x v="0"/>
    <x v="0"/>
    <x v="802"/>
    <x v="1"/>
    <s v="DISCOUNT ALLOWED"/>
    <s v="discount allowed"/>
    <s v="DISCOUNT ALLOWED"/>
    <s v="Discount Allowed"/>
    <s v="05/10/24"/>
  </r>
  <r>
    <s v="TXN_6015616"/>
    <s v="CUST_06"/>
    <x v="5"/>
    <x v="38"/>
    <x v="5"/>
    <x v="6"/>
    <n v="134"/>
    <x v="1"/>
    <x v="0"/>
    <x v="103"/>
    <x v="1"/>
    <s v="DISCOUNT ALLOWED"/>
    <s v="discount allowed"/>
    <s v="DISCOUNT ALLOWED"/>
    <s v="Discount Allowed"/>
    <s v="30/05/22"/>
  </r>
  <r>
    <s v="TXN_6705277"/>
    <s v="CUST_03"/>
    <x v="6"/>
    <x v="43"/>
    <x v="5"/>
    <x v="6"/>
    <n v="134"/>
    <x v="0"/>
    <x v="0"/>
    <x v="387"/>
    <x v="1"/>
    <s v="DISCOUNT ALLOWED"/>
    <s v="discount allowed"/>
    <s v="DISCOUNT ALLOWED"/>
    <s v="Discount Allowed"/>
    <s v="30/12/22"/>
  </r>
  <r>
    <s v="TXN_6921763"/>
    <s v="CUST_23"/>
    <x v="3"/>
    <x v="41"/>
    <x v="5"/>
    <x v="6"/>
    <n v="134"/>
    <x v="1"/>
    <x v="1"/>
    <x v="756"/>
    <x v="0"/>
    <s v="DISCOUNT NOT ALLOWED"/>
    <s v="discount not allowed"/>
    <s v="DISCOUNT NOT ALLOWED"/>
    <s v="Discount Not Allowed"/>
    <s v="15/06/23"/>
  </r>
  <r>
    <s v="TXN_7138836"/>
    <s v="CUST_11"/>
    <x v="1"/>
    <x v="37"/>
    <x v="5"/>
    <x v="6"/>
    <n v="134"/>
    <x v="0"/>
    <x v="0"/>
    <x v="305"/>
    <x v="0"/>
    <s v="DISCOUNT NOT ALLOWED"/>
    <s v="discount not allowed"/>
    <s v="DISCOUNT NOT ALLOWED"/>
    <s v="Discount Not Allowed"/>
    <s v="21/05/23"/>
  </r>
  <r>
    <s v="TXN_7385251"/>
    <s v="CUST_01"/>
    <x v="3"/>
    <x v="41"/>
    <x v="5"/>
    <x v="6"/>
    <n v="134"/>
    <x v="2"/>
    <x v="1"/>
    <x v="490"/>
    <x v="1"/>
    <s v="DISCOUNT ALLOWED"/>
    <s v="discount allowed"/>
    <s v="DISCOUNT ALLOWED"/>
    <s v="Discount Allowed"/>
    <s v="13/11/24"/>
  </r>
  <r>
    <s v="TXN_7535754"/>
    <s v="CUST_23"/>
    <x v="6"/>
    <x v="43"/>
    <x v="5"/>
    <x v="6"/>
    <n v="134"/>
    <x v="0"/>
    <x v="1"/>
    <x v="282"/>
    <x v="1"/>
    <s v="DISCOUNT ALLOWED"/>
    <s v="discount allowed"/>
    <s v="DISCOUNT ALLOWED"/>
    <s v="Discount Allowed"/>
    <s v="20/06/23"/>
  </r>
  <r>
    <s v="TXN_7549064"/>
    <s v="CUST_03"/>
    <x v="2"/>
    <x v="39"/>
    <x v="5"/>
    <x v="6"/>
    <n v="134"/>
    <x v="0"/>
    <x v="0"/>
    <x v="916"/>
    <x v="0"/>
    <s v="DISCOUNT NOT ALLOWED"/>
    <s v="discount not allowed"/>
    <s v="DISCOUNT NOT ALLOWED"/>
    <s v="Discount Not Allowed"/>
    <s v="13/10/24"/>
  </r>
  <r>
    <s v="TXN_7654337"/>
    <s v="CUST_01"/>
    <x v="2"/>
    <x v="39"/>
    <x v="5"/>
    <x v="6"/>
    <n v="134"/>
    <x v="0"/>
    <x v="1"/>
    <x v="18"/>
    <x v="0"/>
    <s v="DISCOUNT NOT ALLOWED"/>
    <s v="discount not allowed"/>
    <s v="DISCOUNT NOT ALLOWED"/>
    <s v="Discount Not Allowed"/>
    <s v="16/02/23"/>
  </r>
  <r>
    <s v="TXN_8178715"/>
    <s v="CUST_14"/>
    <x v="5"/>
    <x v="38"/>
    <x v="5"/>
    <x v="6"/>
    <n v="134"/>
    <x v="2"/>
    <x v="1"/>
    <x v="388"/>
    <x v="0"/>
    <s v="DISCOUNT NOT ALLOWED"/>
    <s v="discount not allowed"/>
    <s v="DISCOUNT NOT ALLOWED"/>
    <s v="Discount Not Allowed"/>
    <s v="23/01/23"/>
  </r>
  <r>
    <s v="TXN_8199497"/>
    <s v="CUST_18"/>
    <x v="2"/>
    <x v="39"/>
    <x v="5"/>
    <x v="6"/>
    <n v="134"/>
    <x v="1"/>
    <x v="1"/>
    <x v="438"/>
    <x v="0"/>
    <s v="DISCOUNT NOT ALLOWED"/>
    <s v="discount not allowed"/>
    <s v="DISCOUNT NOT ALLOWED"/>
    <s v="Discount Not Allowed"/>
    <s v="11/01/22"/>
  </r>
  <r>
    <s v="TXN_8263646"/>
    <s v="CUST_05"/>
    <x v="3"/>
    <x v="41"/>
    <x v="5"/>
    <x v="6"/>
    <n v="134"/>
    <x v="1"/>
    <x v="1"/>
    <x v="1045"/>
    <x v="0"/>
    <s v="DISCOUNT NOT ALLOWED"/>
    <s v="discount not allowed"/>
    <s v="DISCOUNT NOT ALLOWED"/>
    <s v="Discount Not Allowed"/>
    <s v="15/11/22"/>
  </r>
  <r>
    <s v="TXN_8568584"/>
    <s v="CUST_14"/>
    <x v="3"/>
    <x v="41"/>
    <x v="5"/>
    <x v="6"/>
    <n v="134"/>
    <x v="1"/>
    <x v="0"/>
    <x v="66"/>
    <x v="0"/>
    <s v="DISCOUNT NOT ALLOWED"/>
    <s v="discount not allowed"/>
    <s v="DISCOUNT NOT ALLOWED"/>
    <s v="Discount Not Allowed"/>
    <s v="25/09/24"/>
  </r>
  <r>
    <s v="TXN_8582247"/>
    <s v="CUST_17"/>
    <x v="2"/>
    <x v="39"/>
    <x v="5"/>
    <x v="6"/>
    <n v="134"/>
    <x v="0"/>
    <x v="1"/>
    <x v="380"/>
    <x v="0"/>
    <s v="DISCOUNT NOT ALLOWED"/>
    <s v="discount not allowed"/>
    <s v="DISCOUNT NOT ALLOWED"/>
    <s v="Discount Not Allowed"/>
    <s v="20/07/24"/>
  </r>
  <r>
    <s v="TXN_9004658"/>
    <s v="CUST_11"/>
    <x v="7"/>
    <x v="44"/>
    <x v="5"/>
    <x v="6"/>
    <n v="134"/>
    <x v="2"/>
    <x v="1"/>
    <x v="131"/>
    <x v="0"/>
    <s v="DISCOUNT NOT ALLOWED"/>
    <s v="discount not allowed"/>
    <s v="DISCOUNT NOT ALLOWED"/>
    <s v="Discount Not Allowed"/>
    <s v="15/05/23"/>
  </r>
  <r>
    <s v="TXN_9057609"/>
    <s v="CUST_18"/>
    <x v="3"/>
    <x v="41"/>
    <x v="5"/>
    <x v="6"/>
    <n v="134"/>
    <x v="2"/>
    <x v="1"/>
    <x v="583"/>
    <x v="1"/>
    <s v="DISCOUNT ALLOWED"/>
    <s v="discount allowed"/>
    <s v="DISCOUNT ALLOWED"/>
    <s v="Discount Allowed"/>
    <s v="16/03/22"/>
  </r>
  <r>
    <s v="TXN_9466601"/>
    <s v="CUST_01"/>
    <x v="4"/>
    <x v="42"/>
    <x v="5"/>
    <x v="6"/>
    <n v="134"/>
    <x v="1"/>
    <x v="0"/>
    <x v="877"/>
    <x v="1"/>
    <s v="DISCOUNT ALLOWED"/>
    <s v="discount allowed"/>
    <s v="DISCOUNT ALLOWED"/>
    <s v="Discount Allowed"/>
    <s v="15/02/22"/>
  </r>
  <r>
    <s v="TXN_1564062"/>
    <s v="CUST_17"/>
    <x v="6"/>
    <x v="82"/>
    <x v="10"/>
    <x v="5"/>
    <n v="130"/>
    <x v="1"/>
    <x v="0"/>
    <x v="529"/>
    <x v="1"/>
    <s v="DISCOUNT ALLOWED"/>
    <s v="discount allowed"/>
    <s v="DISCOUNT ALLOWED"/>
    <s v="Discount Allowed"/>
    <s v="28/04/23"/>
  </r>
  <r>
    <s v="TXN_1573513"/>
    <s v="CUST_05"/>
    <x v="7"/>
    <x v="83"/>
    <x v="10"/>
    <x v="5"/>
    <n v="130"/>
    <x v="2"/>
    <x v="1"/>
    <x v="526"/>
    <x v="1"/>
    <s v="DISCOUNT ALLOWED"/>
    <s v="discount allowed"/>
    <s v="DISCOUNT ALLOWED"/>
    <s v="Discount Allowed"/>
    <s v="28/12/24"/>
  </r>
  <r>
    <s v="TXN_1614186"/>
    <s v="CUST_05"/>
    <x v="6"/>
    <x v="82"/>
    <x v="10"/>
    <x v="5"/>
    <n v="130"/>
    <x v="0"/>
    <x v="1"/>
    <x v="105"/>
    <x v="1"/>
    <s v="DISCOUNT ALLOWED"/>
    <s v="discount allowed"/>
    <s v="DISCOUNT ALLOWED"/>
    <s v="Discount Allowed"/>
    <s v="19/09/24"/>
  </r>
  <r>
    <s v="TXN_1892062"/>
    <s v="CUST_25"/>
    <x v="7"/>
    <x v="83"/>
    <x v="10"/>
    <x v="5"/>
    <n v="130"/>
    <x v="0"/>
    <x v="0"/>
    <x v="379"/>
    <x v="0"/>
    <s v="DISCOUNT NOT ALLOWED"/>
    <s v="discount not allowed"/>
    <s v="DISCOUNT NOT ALLOWED"/>
    <s v="Discount Not Allowed"/>
    <s v="15/03/24"/>
  </r>
  <r>
    <s v="TXN_2646671"/>
    <s v="CUST_23"/>
    <x v="7"/>
    <x v="83"/>
    <x v="10"/>
    <x v="5"/>
    <n v="130"/>
    <x v="2"/>
    <x v="0"/>
    <x v="1046"/>
    <x v="1"/>
    <s v="DISCOUNT ALLOWED"/>
    <s v="discount allowed"/>
    <s v="DISCOUNT ALLOWED"/>
    <s v="Discount Allowed"/>
    <s v="05/03/24"/>
  </r>
  <r>
    <s v="TXN_2885766"/>
    <s v="CUST_02"/>
    <x v="7"/>
    <x v="83"/>
    <x v="10"/>
    <x v="5"/>
    <n v="130"/>
    <x v="0"/>
    <x v="0"/>
    <x v="433"/>
    <x v="0"/>
    <s v="DISCOUNT NOT ALLOWED"/>
    <s v="discount not allowed"/>
    <s v="DISCOUNT NOT ALLOWED"/>
    <s v="Discount Not Allowed"/>
    <s v="28/04/22"/>
  </r>
  <r>
    <s v="TXN_2948772"/>
    <s v="CUST_17"/>
    <x v="2"/>
    <x v="77"/>
    <x v="10"/>
    <x v="5"/>
    <n v="130"/>
    <x v="0"/>
    <x v="0"/>
    <x v="287"/>
    <x v="1"/>
    <s v="DISCOUNT ALLOWED"/>
    <s v="discount allowed"/>
    <s v="DISCOUNT ALLOWED"/>
    <s v="Discount Allowed"/>
    <s v="22/04/23"/>
  </r>
  <r>
    <s v="TXN_3012172"/>
    <s v="CUST_04"/>
    <x v="6"/>
    <x v="82"/>
    <x v="10"/>
    <x v="5"/>
    <n v="130"/>
    <x v="1"/>
    <x v="0"/>
    <x v="935"/>
    <x v="1"/>
    <s v="DISCOUNT ALLOWED"/>
    <s v="discount allowed"/>
    <s v="DISCOUNT ALLOWED"/>
    <s v="Discount Allowed"/>
    <s v="09/02/23"/>
  </r>
  <r>
    <s v="TXN_3320818"/>
    <s v="CUST_06"/>
    <x v="6"/>
    <x v="82"/>
    <x v="10"/>
    <x v="5"/>
    <n v="130"/>
    <x v="1"/>
    <x v="0"/>
    <x v="861"/>
    <x v="1"/>
    <s v="DISCOUNT ALLOWED"/>
    <s v="discount allowed"/>
    <s v="DISCOUNT ALLOWED"/>
    <s v="Discount Allowed"/>
    <s v="14/08/24"/>
  </r>
  <r>
    <s v="TXN_3490599"/>
    <s v="CUST_20"/>
    <x v="3"/>
    <x v="80"/>
    <x v="10"/>
    <x v="5"/>
    <n v="130"/>
    <x v="0"/>
    <x v="1"/>
    <x v="450"/>
    <x v="1"/>
    <s v="DISCOUNT ALLOWED"/>
    <s v="discount allowed"/>
    <s v="DISCOUNT ALLOWED"/>
    <s v="Discount Allowed"/>
    <s v="21/03/23"/>
  </r>
  <r>
    <s v="TXN_3641566"/>
    <s v="CUST_10"/>
    <x v="1"/>
    <x v="78"/>
    <x v="10"/>
    <x v="5"/>
    <n v="130"/>
    <x v="1"/>
    <x v="0"/>
    <x v="376"/>
    <x v="1"/>
    <s v="DISCOUNT ALLOWED"/>
    <s v="discount allowed"/>
    <s v="DISCOUNT ALLOWED"/>
    <s v="Discount Allowed"/>
    <s v="28/10/23"/>
  </r>
  <r>
    <s v="TXN_3642493"/>
    <s v="CUST_06"/>
    <x v="2"/>
    <x v="77"/>
    <x v="10"/>
    <x v="5"/>
    <n v="130"/>
    <x v="2"/>
    <x v="0"/>
    <x v="274"/>
    <x v="0"/>
    <s v="DISCOUNT NOT ALLOWED"/>
    <s v="discount not allowed"/>
    <s v="DISCOUNT NOT ALLOWED"/>
    <s v="Discount Not Allowed"/>
    <s v="30/11/24"/>
  </r>
  <r>
    <s v="TXN_4672148"/>
    <s v="CUST_01"/>
    <x v="2"/>
    <x v="77"/>
    <x v="10"/>
    <x v="5"/>
    <n v="130"/>
    <x v="1"/>
    <x v="0"/>
    <x v="857"/>
    <x v="1"/>
    <s v="DISCOUNT ALLOWED"/>
    <s v="discount allowed"/>
    <s v="DISCOUNT ALLOWED"/>
    <s v="Discount Allowed"/>
    <s v="29/08/23"/>
  </r>
  <r>
    <s v="TXN_4832164"/>
    <s v="CUST_07"/>
    <x v="5"/>
    <x v="81"/>
    <x v="10"/>
    <x v="5"/>
    <n v="130"/>
    <x v="2"/>
    <x v="0"/>
    <x v="757"/>
    <x v="0"/>
    <s v="DISCOUNT NOT ALLOWED"/>
    <s v="discount not allowed"/>
    <s v="DISCOUNT NOT ALLOWED"/>
    <s v="Discount Not Allowed"/>
    <s v="08/09/24"/>
  </r>
  <r>
    <s v="TXN_4835761"/>
    <s v="CUST_12"/>
    <x v="3"/>
    <x v="80"/>
    <x v="10"/>
    <x v="5"/>
    <n v="130"/>
    <x v="2"/>
    <x v="1"/>
    <x v="1047"/>
    <x v="1"/>
    <s v="DISCOUNT ALLOWED"/>
    <s v="discount allowed"/>
    <s v="DISCOUNT ALLOWED"/>
    <s v="Discount Allowed"/>
    <s v="19/06/24"/>
  </r>
  <r>
    <s v="TXN_4900137"/>
    <s v="CUST_22"/>
    <x v="1"/>
    <x v="78"/>
    <x v="10"/>
    <x v="5"/>
    <n v="130"/>
    <x v="1"/>
    <x v="1"/>
    <x v="945"/>
    <x v="0"/>
    <s v="DISCOUNT NOT ALLOWED"/>
    <s v="discount not allowed"/>
    <s v="DISCOUNT NOT ALLOWED"/>
    <s v="Discount Not Allowed"/>
    <s v="10/03/22"/>
  </r>
  <r>
    <s v="TXN_4939015"/>
    <s v="CUST_10"/>
    <x v="1"/>
    <x v="78"/>
    <x v="10"/>
    <x v="5"/>
    <n v="130"/>
    <x v="2"/>
    <x v="1"/>
    <x v="296"/>
    <x v="1"/>
    <s v="DISCOUNT ALLOWED"/>
    <s v="discount allowed"/>
    <s v="DISCOUNT ALLOWED"/>
    <s v="Discount Allowed"/>
    <s v="06/11/24"/>
  </r>
  <r>
    <s v="TXN_4961109"/>
    <s v="CUST_10"/>
    <x v="3"/>
    <x v="80"/>
    <x v="10"/>
    <x v="5"/>
    <n v="130"/>
    <x v="0"/>
    <x v="1"/>
    <x v="400"/>
    <x v="0"/>
    <s v="DISCOUNT NOT ALLOWED"/>
    <s v="discount not allowed"/>
    <s v="DISCOUNT NOT ALLOWED"/>
    <s v="Discount Not Allowed"/>
    <s v="27/09/24"/>
  </r>
  <r>
    <s v="TXN_5165507"/>
    <s v="CUST_02"/>
    <x v="7"/>
    <x v="83"/>
    <x v="10"/>
    <x v="5"/>
    <n v="130"/>
    <x v="0"/>
    <x v="1"/>
    <x v="790"/>
    <x v="0"/>
    <s v="DISCOUNT NOT ALLOWED"/>
    <s v="discount not allowed"/>
    <s v="DISCOUNT NOT ALLOWED"/>
    <s v="Discount Not Allowed"/>
    <s v="31/10/22"/>
  </r>
  <r>
    <s v="TXN_5373853"/>
    <s v="CUST_13"/>
    <x v="7"/>
    <x v="83"/>
    <x v="10"/>
    <x v="5"/>
    <n v="130"/>
    <x v="2"/>
    <x v="0"/>
    <x v="446"/>
    <x v="0"/>
    <s v="DISCOUNT NOT ALLOWED"/>
    <s v="discount not allowed"/>
    <s v="DISCOUNT NOT ALLOWED"/>
    <s v="Discount Not Allowed"/>
    <s v="12/09/24"/>
  </r>
  <r>
    <s v="TXN_7199751"/>
    <s v="CUST_12"/>
    <x v="3"/>
    <x v="80"/>
    <x v="10"/>
    <x v="5"/>
    <n v="130"/>
    <x v="2"/>
    <x v="1"/>
    <x v="612"/>
    <x v="0"/>
    <s v="DISCOUNT NOT ALLOWED"/>
    <s v="discount not allowed"/>
    <s v="DISCOUNT NOT ALLOWED"/>
    <s v="Discount Not Allowed"/>
    <s v="18/11/24"/>
  </r>
  <r>
    <s v="TXN_7241323"/>
    <s v="CUST_10"/>
    <x v="2"/>
    <x v="77"/>
    <x v="10"/>
    <x v="5"/>
    <n v="130"/>
    <x v="1"/>
    <x v="1"/>
    <x v="504"/>
    <x v="0"/>
    <s v="DISCOUNT NOT ALLOWED"/>
    <s v="discount not allowed"/>
    <s v="DISCOUNT NOT ALLOWED"/>
    <s v="Discount Not Allowed"/>
    <s v="12/02/22"/>
  </r>
  <r>
    <s v="TXN_7651449"/>
    <s v="CUST_25"/>
    <x v="6"/>
    <x v="82"/>
    <x v="10"/>
    <x v="5"/>
    <n v="130"/>
    <x v="2"/>
    <x v="0"/>
    <x v="692"/>
    <x v="0"/>
    <s v="DISCOUNT NOT ALLOWED"/>
    <s v="discount not allowed"/>
    <s v="DISCOUNT NOT ALLOWED"/>
    <s v="Discount Not Allowed"/>
    <s v="23/06/22"/>
  </r>
  <r>
    <s v="TXN_7652286"/>
    <s v="CUST_17"/>
    <x v="1"/>
    <x v="78"/>
    <x v="10"/>
    <x v="5"/>
    <n v="130"/>
    <x v="1"/>
    <x v="0"/>
    <x v="104"/>
    <x v="0"/>
    <s v="DISCOUNT NOT ALLOWED"/>
    <s v="discount not allowed"/>
    <s v="DISCOUNT NOT ALLOWED"/>
    <s v="Discount Not Allowed"/>
    <s v="10/09/23"/>
  </r>
  <r>
    <s v="TXN_7974413"/>
    <s v="CUST_13"/>
    <x v="5"/>
    <x v="81"/>
    <x v="10"/>
    <x v="5"/>
    <n v="130"/>
    <x v="1"/>
    <x v="0"/>
    <x v="341"/>
    <x v="1"/>
    <s v="DISCOUNT ALLOWED"/>
    <s v="discount allowed"/>
    <s v="DISCOUNT ALLOWED"/>
    <s v="Discount Allowed"/>
    <s v="12/07/24"/>
  </r>
  <r>
    <s v="TXN_8101715"/>
    <s v="CUST_08"/>
    <x v="6"/>
    <x v="82"/>
    <x v="10"/>
    <x v="5"/>
    <n v="130"/>
    <x v="1"/>
    <x v="1"/>
    <x v="51"/>
    <x v="1"/>
    <s v="DISCOUNT ALLOWED"/>
    <s v="discount allowed"/>
    <s v="DISCOUNT ALLOWED"/>
    <s v="Discount Allowed"/>
    <s v="12/03/23"/>
  </r>
  <r>
    <s v="TXN_8182879"/>
    <s v="CUST_10"/>
    <x v="5"/>
    <x v="81"/>
    <x v="10"/>
    <x v="5"/>
    <n v="130"/>
    <x v="1"/>
    <x v="0"/>
    <x v="403"/>
    <x v="0"/>
    <s v="DISCOUNT NOT ALLOWED"/>
    <s v="discount not allowed"/>
    <s v="DISCOUNT NOT ALLOWED"/>
    <s v="Discount Not Allowed"/>
    <s v="07/05/23"/>
  </r>
  <r>
    <s v="TXN_8377286"/>
    <s v="CUST_16"/>
    <x v="5"/>
    <x v="81"/>
    <x v="10"/>
    <x v="5"/>
    <n v="130"/>
    <x v="2"/>
    <x v="1"/>
    <x v="644"/>
    <x v="0"/>
    <s v="DISCOUNT NOT ALLOWED"/>
    <s v="discount not allowed"/>
    <s v="DISCOUNT NOT ALLOWED"/>
    <s v="Discount Not Allowed"/>
    <s v="25/06/24"/>
  </r>
  <r>
    <s v="TXN_8751139"/>
    <s v="CUST_06"/>
    <x v="3"/>
    <x v="80"/>
    <x v="10"/>
    <x v="5"/>
    <n v="130"/>
    <x v="1"/>
    <x v="1"/>
    <x v="1045"/>
    <x v="0"/>
    <s v="DISCOUNT NOT ALLOWED"/>
    <s v="discount not allowed"/>
    <s v="DISCOUNT NOT ALLOWED"/>
    <s v="Discount Not Allowed"/>
    <s v="15/11/22"/>
  </r>
  <r>
    <s v="TXN_8803385"/>
    <s v="CUST_15"/>
    <x v="2"/>
    <x v="77"/>
    <x v="10"/>
    <x v="5"/>
    <n v="130"/>
    <x v="2"/>
    <x v="1"/>
    <x v="614"/>
    <x v="1"/>
    <s v="DISCOUNT ALLOWED"/>
    <s v="discount allowed"/>
    <s v="DISCOUNT ALLOWED"/>
    <s v="Discount Allowed"/>
    <s v="07/08/23"/>
  </r>
  <r>
    <s v="TXN_8943969"/>
    <s v="CUST_17"/>
    <x v="3"/>
    <x v="80"/>
    <x v="10"/>
    <x v="5"/>
    <n v="130"/>
    <x v="1"/>
    <x v="0"/>
    <x v="422"/>
    <x v="0"/>
    <s v="DISCOUNT NOT ALLOWED"/>
    <s v="discount not allowed"/>
    <s v="DISCOUNT NOT ALLOWED"/>
    <s v="Discount Not Allowed"/>
    <s v="05/02/23"/>
  </r>
  <r>
    <s v="TXN_9185602"/>
    <s v="CUST_04"/>
    <x v="5"/>
    <x v="81"/>
    <x v="10"/>
    <x v="5"/>
    <n v="130"/>
    <x v="2"/>
    <x v="0"/>
    <x v="224"/>
    <x v="1"/>
    <s v="DISCOUNT ALLOWED"/>
    <s v="discount allowed"/>
    <s v="DISCOUNT ALLOWED"/>
    <s v="Discount Allowed"/>
    <s v="10/06/23"/>
  </r>
  <r>
    <s v="TXN_9501460"/>
    <s v="CUST_11"/>
    <x v="0"/>
    <x v="84"/>
    <x v="10"/>
    <x v="5"/>
    <n v="130"/>
    <x v="0"/>
    <x v="1"/>
    <x v="324"/>
    <x v="0"/>
    <s v="DISCOUNT NOT ALLOWED"/>
    <s v="discount not allowed"/>
    <s v="DISCOUNT NOT ALLOWED"/>
    <s v="Discount Not Allowed"/>
    <s v="25/03/23"/>
  </r>
  <r>
    <s v="TXN_9989402"/>
    <s v="CUST_05"/>
    <x v="1"/>
    <x v="78"/>
    <x v="10"/>
    <x v="5"/>
    <n v="130"/>
    <x v="1"/>
    <x v="0"/>
    <x v="431"/>
    <x v="0"/>
    <s v="DISCOUNT NOT ALLOWED"/>
    <s v="discount not allowed"/>
    <s v="DISCOUNT NOT ALLOWED"/>
    <s v="Discount Not Allowed"/>
    <s v="01/01/25"/>
  </r>
  <r>
    <s v="TXN_9993420"/>
    <s v="CUST_07"/>
    <x v="7"/>
    <x v="83"/>
    <x v="10"/>
    <x v="5"/>
    <n v="130"/>
    <x v="2"/>
    <x v="1"/>
    <x v="418"/>
    <x v="0"/>
    <s v="DISCOUNT NOT ALLOWED"/>
    <s v="discount not allowed"/>
    <s v="DISCOUNT NOT ALLOWED"/>
    <s v="Discount Not Allowed"/>
    <s v="29/09/24"/>
  </r>
  <r>
    <s v="TXN_1536301"/>
    <s v="CUST_14"/>
    <x v="4"/>
    <x v="118"/>
    <x v="15"/>
    <x v="3"/>
    <n v="129.5"/>
    <x v="1"/>
    <x v="1"/>
    <x v="661"/>
    <x v="0"/>
    <s v="DISCOUNT NOT ALLOWED"/>
    <s v="discount not allowed"/>
    <s v="DISCOUNT NOT ALLOWED"/>
    <s v="Discount Not Allowed"/>
    <s v="12/06/23"/>
  </r>
  <r>
    <s v="TXN_1795154"/>
    <s v="CUST_23"/>
    <x v="6"/>
    <x v="120"/>
    <x v="15"/>
    <x v="3"/>
    <n v="129.5"/>
    <x v="0"/>
    <x v="1"/>
    <x v="841"/>
    <x v="1"/>
    <s v="DISCOUNT ALLOWED"/>
    <s v="discount allowed"/>
    <s v="DISCOUNT ALLOWED"/>
    <s v="Discount Allowed"/>
    <s v="14/06/23"/>
  </r>
  <r>
    <s v="TXN_1851161"/>
    <s v="CUST_11"/>
    <x v="6"/>
    <x v="120"/>
    <x v="15"/>
    <x v="3"/>
    <n v="129.5"/>
    <x v="2"/>
    <x v="0"/>
    <x v="408"/>
    <x v="0"/>
    <s v="DISCOUNT NOT ALLOWED"/>
    <s v="discount not allowed"/>
    <s v="DISCOUNT NOT ALLOWED"/>
    <s v="Discount Not Allowed"/>
    <s v="24/11/24"/>
  </r>
  <r>
    <s v="TXN_2234295"/>
    <s v="CUST_04"/>
    <x v="7"/>
    <x v="119"/>
    <x v="15"/>
    <x v="3"/>
    <n v="129.5"/>
    <x v="0"/>
    <x v="1"/>
    <x v="166"/>
    <x v="1"/>
    <s v="DISCOUNT ALLOWED"/>
    <s v="discount allowed"/>
    <s v="DISCOUNT ALLOWED"/>
    <s v="Discount Allowed"/>
    <s v="06/05/24"/>
  </r>
  <r>
    <s v="TXN_3231618"/>
    <s v="CUST_10"/>
    <x v="4"/>
    <x v="118"/>
    <x v="15"/>
    <x v="3"/>
    <n v="129.5"/>
    <x v="2"/>
    <x v="0"/>
    <x v="495"/>
    <x v="1"/>
    <s v="DISCOUNT ALLOWED"/>
    <s v="discount allowed"/>
    <s v="DISCOUNT ALLOWED"/>
    <s v="Discount Allowed"/>
    <s v="02/02/22"/>
  </r>
  <r>
    <s v="TXN_3395055"/>
    <s v="CUST_22"/>
    <x v="4"/>
    <x v="118"/>
    <x v="15"/>
    <x v="3"/>
    <n v="129.5"/>
    <x v="1"/>
    <x v="1"/>
    <x v="114"/>
    <x v="1"/>
    <s v="DISCOUNT ALLOWED"/>
    <s v="discount allowed"/>
    <s v="DISCOUNT ALLOWED"/>
    <s v="Discount Allowed"/>
    <s v="13/04/22"/>
  </r>
  <r>
    <s v="TXN_3545596"/>
    <s v="CUST_10"/>
    <x v="1"/>
    <x v="121"/>
    <x v="15"/>
    <x v="3"/>
    <n v="129.5"/>
    <x v="2"/>
    <x v="1"/>
    <x v="225"/>
    <x v="1"/>
    <s v="DISCOUNT ALLOWED"/>
    <s v="discount allowed"/>
    <s v="DISCOUNT ALLOWED"/>
    <s v="Discount Allowed"/>
    <s v="26/03/23"/>
  </r>
  <r>
    <s v="TXN_3988639"/>
    <s v="CUST_07"/>
    <x v="7"/>
    <x v="119"/>
    <x v="15"/>
    <x v="3"/>
    <n v="129.5"/>
    <x v="2"/>
    <x v="0"/>
    <x v="240"/>
    <x v="0"/>
    <s v="DISCOUNT NOT ALLOWED"/>
    <s v="discount not allowed"/>
    <s v="DISCOUNT NOT ALLOWED"/>
    <s v="Discount Not Allowed"/>
    <s v="08/07/24"/>
  </r>
  <r>
    <s v="TXN_4007615"/>
    <s v="CUST_18"/>
    <x v="6"/>
    <x v="120"/>
    <x v="15"/>
    <x v="3"/>
    <n v="129.5"/>
    <x v="1"/>
    <x v="1"/>
    <x v="81"/>
    <x v="1"/>
    <s v="DISCOUNT ALLOWED"/>
    <s v="discount allowed"/>
    <s v="DISCOUNT ALLOWED"/>
    <s v="Discount Allowed"/>
    <s v="08/01/25"/>
  </r>
  <r>
    <s v="TXN_5035756"/>
    <s v="CUST_02"/>
    <x v="6"/>
    <x v="120"/>
    <x v="15"/>
    <x v="3"/>
    <n v="129.5"/>
    <x v="1"/>
    <x v="0"/>
    <x v="329"/>
    <x v="1"/>
    <s v="DISCOUNT ALLOWED"/>
    <s v="discount allowed"/>
    <s v="DISCOUNT ALLOWED"/>
    <s v="Discount Allowed"/>
    <s v="02/03/22"/>
  </r>
  <r>
    <s v="TXN_5072173"/>
    <s v="CUST_23"/>
    <x v="6"/>
    <x v="120"/>
    <x v="15"/>
    <x v="3"/>
    <n v="129.5"/>
    <x v="0"/>
    <x v="0"/>
    <x v="763"/>
    <x v="1"/>
    <s v="DISCOUNT ALLOWED"/>
    <s v="discount allowed"/>
    <s v="DISCOUNT ALLOWED"/>
    <s v="Discount Allowed"/>
    <s v="21/09/24"/>
  </r>
  <r>
    <s v="TXN_5721746"/>
    <s v="CUST_07"/>
    <x v="5"/>
    <x v="122"/>
    <x v="15"/>
    <x v="3"/>
    <n v="129.5"/>
    <x v="1"/>
    <x v="1"/>
    <x v="496"/>
    <x v="0"/>
    <s v="DISCOUNT NOT ALLOWED"/>
    <s v="discount not allowed"/>
    <s v="DISCOUNT NOT ALLOWED"/>
    <s v="Discount Not Allowed"/>
    <s v="23/03/22"/>
  </r>
  <r>
    <s v="TXN_5941938"/>
    <s v="CUST_08"/>
    <x v="4"/>
    <x v="118"/>
    <x v="15"/>
    <x v="3"/>
    <n v="129.5"/>
    <x v="1"/>
    <x v="0"/>
    <x v="399"/>
    <x v="0"/>
    <s v="DISCOUNT NOT ALLOWED"/>
    <s v="discount not allowed"/>
    <s v="DISCOUNT NOT ALLOWED"/>
    <s v="Discount Not Allowed"/>
    <s v="12/12/23"/>
  </r>
  <r>
    <s v="TXN_7645274"/>
    <s v="CUST_10"/>
    <x v="6"/>
    <x v="120"/>
    <x v="15"/>
    <x v="3"/>
    <n v="129.5"/>
    <x v="0"/>
    <x v="0"/>
    <x v="3"/>
    <x v="1"/>
    <s v="DISCOUNT ALLOWED"/>
    <s v="discount allowed"/>
    <s v="DISCOUNT ALLOWED"/>
    <s v="Discount Allowed"/>
    <s v="24/03/24"/>
  </r>
  <r>
    <s v="TXN_8015744"/>
    <s v="CUST_23"/>
    <x v="2"/>
    <x v="117"/>
    <x v="15"/>
    <x v="3"/>
    <n v="129.5"/>
    <x v="2"/>
    <x v="1"/>
    <x v="909"/>
    <x v="1"/>
    <s v="DISCOUNT ALLOWED"/>
    <s v="discount allowed"/>
    <s v="DISCOUNT ALLOWED"/>
    <s v="Discount Allowed"/>
    <s v="07/03/24"/>
  </r>
  <r>
    <s v="TXN_8245994"/>
    <s v="CUST_17"/>
    <x v="4"/>
    <x v="118"/>
    <x v="15"/>
    <x v="3"/>
    <n v="129.5"/>
    <x v="2"/>
    <x v="1"/>
    <x v="464"/>
    <x v="0"/>
    <s v="DISCOUNT NOT ALLOWED"/>
    <s v="discount not allowed"/>
    <s v="DISCOUNT NOT ALLOWED"/>
    <s v="Discount Not Allowed"/>
    <s v="13/01/22"/>
  </r>
  <r>
    <s v="TXN_8773755"/>
    <s v="CUST_21"/>
    <x v="2"/>
    <x v="117"/>
    <x v="15"/>
    <x v="3"/>
    <n v="129.5"/>
    <x v="0"/>
    <x v="1"/>
    <x v="671"/>
    <x v="0"/>
    <s v="DISCOUNT NOT ALLOWED"/>
    <s v="discount not allowed"/>
    <s v="DISCOUNT NOT ALLOWED"/>
    <s v="Discount Not Allowed"/>
    <s v="09/08/24"/>
  </r>
  <r>
    <s v="TXN_9744101"/>
    <s v="CUST_10"/>
    <x v="6"/>
    <x v="120"/>
    <x v="15"/>
    <x v="3"/>
    <n v="129.5"/>
    <x v="0"/>
    <x v="1"/>
    <x v="979"/>
    <x v="0"/>
    <s v="DISCOUNT NOT ALLOWED"/>
    <s v="discount not allowed"/>
    <s v="DISCOUNT NOT ALLOWED"/>
    <s v="Discount Not Allowed"/>
    <s v="11/01/24"/>
  </r>
  <r>
    <s v="TXN_1005750"/>
    <s v="CUST_04"/>
    <x v="5"/>
    <x v="102"/>
    <x v="13"/>
    <x v="4"/>
    <n v="129"/>
    <x v="2"/>
    <x v="0"/>
    <x v="271"/>
    <x v="0"/>
    <s v="DISCOUNT NOT ALLOWED"/>
    <s v="discount not allowed"/>
    <s v="DISCOUNT NOT ALLOWED"/>
    <s v="Discount Not Allowed"/>
    <s v="26/11/22"/>
  </r>
  <r>
    <s v="TXN_1007406"/>
    <s v="CUST_13"/>
    <x v="1"/>
    <x v="105"/>
    <x v="13"/>
    <x v="4"/>
    <n v="129"/>
    <x v="2"/>
    <x v="0"/>
    <x v="557"/>
    <x v="1"/>
    <s v="DISCOUNT ALLOWED"/>
    <s v="discount allowed"/>
    <s v="DISCOUNT ALLOWED"/>
    <s v="Discount Allowed"/>
    <s v="08/05/22"/>
  </r>
  <r>
    <s v="TXN_1319394"/>
    <s v="CUST_18"/>
    <x v="7"/>
    <x v="106"/>
    <x v="13"/>
    <x v="4"/>
    <n v="129"/>
    <x v="0"/>
    <x v="0"/>
    <x v="950"/>
    <x v="1"/>
    <s v="DISCOUNT ALLOWED"/>
    <s v="discount allowed"/>
    <s v="DISCOUNT ALLOWED"/>
    <s v="Discount Allowed"/>
    <s v="20/09/22"/>
  </r>
  <r>
    <s v="TXN_1384717"/>
    <s v="CUST_07"/>
    <x v="6"/>
    <x v="104"/>
    <x v="13"/>
    <x v="4"/>
    <n v="129"/>
    <x v="0"/>
    <x v="1"/>
    <x v="170"/>
    <x v="0"/>
    <s v="DISCOUNT NOT ALLOWED"/>
    <s v="discount not allowed"/>
    <s v="DISCOUNT NOT ALLOWED"/>
    <s v="Discount Not Allowed"/>
    <s v="10/05/24"/>
  </r>
  <r>
    <s v="TXN_1395136"/>
    <s v="CUST_07"/>
    <x v="7"/>
    <x v="106"/>
    <x v="13"/>
    <x v="4"/>
    <n v="129"/>
    <x v="0"/>
    <x v="0"/>
    <x v="774"/>
    <x v="0"/>
    <s v="DISCOUNT NOT ALLOWED"/>
    <s v="discount not allowed"/>
    <s v="DISCOUNT NOT ALLOWED"/>
    <s v="Discount Not Allowed"/>
    <s v="17/04/22"/>
  </r>
  <r>
    <s v="TXN_1586094"/>
    <s v="CUST_24"/>
    <x v="6"/>
    <x v="104"/>
    <x v="13"/>
    <x v="4"/>
    <n v="129"/>
    <x v="0"/>
    <x v="0"/>
    <x v="874"/>
    <x v="0"/>
    <s v="DISCOUNT NOT ALLOWED"/>
    <s v="discount not allowed"/>
    <s v="DISCOUNT NOT ALLOWED"/>
    <s v="Discount Not Allowed"/>
    <s v="06/09/24"/>
  </r>
  <r>
    <s v="TXN_1782376"/>
    <s v="CUST_17"/>
    <x v="3"/>
    <x v="103"/>
    <x v="13"/>
    <x v="4"/>
    <n v="129"/>
    <x v="2"/>
    <x v="0"/>
    <x v="251"/>
    <x v="1"/>
    <s v="DISCOUNT ALLOWED"/>
    <s v="discount allowed"/>
    <s v="DISCOUNT ALLOWED"/>
    <s v="Discount Allowed"/>
    <s v="24/03/22"/>
  </r>
  <r>
    <s v="TXN_1859382"/>
    <s v="CUST_14"/>
    <x v="4"/>
    <x v="107"/>
    <x v="13"/>
    <x v="4"/>
    <n v="129"/>
    <x v="2"/>
    <x v="1"/>
    <x v="657"/>
    <x v="0"/>
    <s v="DISCOUNT NOT ALLOWED"/>
    <s v="discount not allowed"/>
    <s v="DISCOUNT NOT ALLOWED"/>
    <s v="Discount Not Allowed"/>
    <s v="22/03/22"/>
  </r>
  <r>
    <s v="TXN_1976524"/>
    <s v="CUST_05"/>
    <x v="1"/>
    <x v="105"/>
    <x v="13"/>
    <x v="4"/>
    <n v="129"/>
    <x v="2"/>
    <x v="1"/>
    <x v="734"/>
    <x v="0"/>
    <s v="DISCOUNT NOT ALLOWED"/>
    <s v="discount not allowed"/>
    <s v="DISCOUNT NOT ALLOWED"/>
    <s v="Discount Not Allowed"/>
    <s v="11/08/23"/>
  </r>
  <r>
    <s v="TXN_2259360"/>
    <s v="CUST_25"/>
    <x v="5"/>
    <x v="102"/>
    <x v="13"/>
    <x v="4"/>
    <n v="129"/>
    <x v="0"/>
    <x v="1"/>
    <x v="325"/>
    <x v="0"/>
    <s v="DISCOUNT NOT ALLOWED"/>
    <s v="discount not allowed"/>
    <s v="DISCOUNT NOT ALLOWED"/>
    <s v="Discount Not Allowed"/>
    <s v="17/02/22"/>
  </r>
  <r>
    <s v="TXN_2519309"/>
    <s v="CUST_20"/>
    <x v="3"/>
    <x v="103"/>
    <x v="13"/>
    <x v="4"/>
    <n v="129"/>
    <x v="2"/>
    <x v="0"/>
    <x v="563"/>
    <x v="1"/>
    <s v="DISCOUNT ALLOWED"/>
    <s v="discount allowed"/>
    <s v="DISCOUNT ALLOWED"/>
    <s v="Discount Allowed"/>
    <s v="03/10/24"/>
  </r>
  <r>
    <s v="TXN_2660107"/>
    <s v="CUST_14"/>
    <x v="5"/>
    <x v="102"/>
    <x v="13"/>
    <x v="4"/>
    <n v="129"/>
    <x v="2"/>
    <x v="1"/>
    <x v="511"/>
    <x v="0"/>
    <s v="DISCOUNT NOT ALLOWED"/>
    <s v="discount not allowed"/>
    <s v="DISCOUNT NOT ALLOWED"/>
    <s v="Discount Not Allowed"/>
    <s v="16/11/22"/>
  </r>
  <r>
    <s v="TXN_2937151"/>
    <s v="CUST_06"/>
    <x v="2"/>
    <x v="108"/>
    <x v="13"/>
    <x v="4"/>
    <n v="129"/>
    <x v="2"/>
    <x v="0"/>
    <x v="247"/>
    <x v="0"/>
    <s v="DISCOUNT NOT ALLOWED"/>
    <s v="discount not allowed"/>
    <s v="DISCOUNT NOT ALLOWED"/>
    <s v="Discount Not Allowed"/>
    <s v="24/05/24"/>
  </r>
  <r>
    <s v="TXN_2951536"/>
    <s v="CUST_12"/>
    <x v="1"/>
    <x v="105"/>
    <x v="13"/>
    <x v="4"/>
    <n v="129"/>
    <x v="1"/>
    <x v="0"/>
    <x v="486"/>
    <x v="1"/>
    <s v="DISCOUNT ALLOWED"/>
    <s v="discount allowed"/>
    <s v="DISCOUNT ALLOWED"/>
    <s v="Discount Allowed"/>
    <s v="21/10/22"/>
  </r>
  <r>
    <s v="TXN_3513914"/>
    <s v="CUST_20"/>
    <x v="6"/>
    <x v="104"/>
    <x v="13"/>
    <x v="4"/>
    <n v="129"/>
    <x v="0"/>
    <x v="0"/>
    <x v="235"/>
    <x v="0"/>
    <s v="DISCOUNT NOT ALLOWED"/>
    <s v="discount not allowed"/>
    <s v="DISCOUNT NOT ALLOWED"/>
    <s v="Discount Not Allowed"/>
    <s v="11/01/25"/>
  </r>
  <r>
    <s v="TXN_3544848"/>
    <s v="CUST_12"/>
    <x v="7"/>
    <x v="106"/>
    <x v="13"/>
    <x v="4"/>
    <n v="129"/>
    <x v="1"/>
    <x v="0"/>
    <x v="943"/>
    <x v="0"/>
    <s v="DISCOUNT NOT ALLOWED"/>
    <s v="discount not allowed"/>
    <s v="DISCOUNT NOT ALLOWED"/>
    <s v="Discount Not Allowed"/>
    <s v="22/07/22"/>
  </r>
  <r>
    <s v="TXN_3954668"/>
    <s v="CUST_07"/>
    <x v="4"/>
    <x v="107"/>
    <x v="13"/>
    <x v="4"/>
    <n v="129"/>
    <x v="2"/>
    <x v="0"/>
    <x v="804"/>
    <x v="1"/>
    <s v="DISCOUNT ALLOWED"/>
    <s v="discount allowed"/>
    <s v="DISCOUNT ALLOWED"/>
    <s v="Discount Allowed"/>
    <s v="17/09/24"/>
  </r>
  <r>
    <s v="TXN_3968072"/>
    <s v="CUST_07"/>
    <x v="7"/>
    <x v="106"/>
    <x v="13"/>
    <x v="4"/>
    <n v="129"/>
    <x v="1"/>
    <x v="0"/>
    <x v="982"/>
    <x v="0"/>
    <s v="DISCOUNT NOT ALLOWED"/>
    <s v="discount not allowed"/>
    <s v="DISCOUNT NOT ALLOWED"/>
    <s v="Discount Not Allowed"/>
    <s v="19/11/24"/>
  </r>
  <r>
    <s v="TXN_4131199"/>
    <s v="CUST_03"/>
    <x v="3"/>
    <x v="103"/>
    <x v="13"/>
    <x v="4"/>
    <n v="129"/>
    <x v="1"/>
    <x v="1"/>
    <x v="296"/>
    <x v="0"/>
    <s v="DISCOUNT NOT ALLOWED"/>
    <s v="discount not allowed"/>
    <s v="DISCOUNT NOT ALLOWED"/>
    <s v="Discount Not Allowed"/>
    <s v="06/11/24"/>
  </r>
  <r>
    <s v="TXN_4311728"/>
    <s v="CUST_20"/>
    <x v="4"/>
    <x v="107"/>
    <x v="13"/>
    <x v="4"/>
    <n v="129"/>
    <x v="1"/>
    <x v="1"/>
    <x v="613"/>
    <x v="1"/>
    <s v="DISCOUNT ALLOWED"/>
    <s v="discount allowed"/>
    <s v="DISCOUNT ALLOWED"/>
    <s v="Discount Allowed"/>
    <s v="20/04/23"/>
  </r>
  <r>
    <s v="TXN_4346191"/>
    <s v="CUST_18"/>
    <x v="5"/>
    <x v="102"/>
    <x v="13"/>
    <x v="4"/>
    <n v="129"/>
    <x v="0"/>
    <x v="0"/>
    <x v="384"/>
    <x v="0"/>
    <s v="DISCOUNT NOT ALLOWED"/>
    <s v="discount not allowed"/>
    <s v="DISCOUNT NOT ALLOWED"/>
    <s v="Discount Not Allowed"/>
    <s v="12/11/24"/>
  </r>
  <r>
    <s v="TXN_4500615"/>
    <s v="CUST_22"/>
    <x v="4"/>
    <x v="107"/>
    <x v="13"/>
    <x v="4"/>
    <n v="129"/>
    <x v="1"/>
    <x v="0"/>
    <x v="482"/>
    <x v="0"/>
    <s v="DISCOUNT NOT ALLOWED"/>
    <s v="discount not allowed"/>
    <s v="DISCOUNT NOT ALLOWED"/>
    <s v="Discount Not Allowed"/>
    <s v="03/03/23"/>
  </r>
  <r>
    <s v="TXN_4721081"/>
    <s v="CUST_22"/>
    <x v="1"/>
    <x v="105"/>
    <x v="13"/>
    <x v="4"/>
    <n v="129"/>
    <x v="1"/>
    <x v="1"/>
    <x v="447"/>
    <x v="0"/>
    <s v="DISCOUNT NOT ALLOWED"/>
    <s v="discount not allowed"/>
    <s v="DISCOUNT NOT ALLOWED"/>
    <s v="Discount Not Allowed"/>
    <s v="08/01/24"/>
  </r>
  <r>
    <s v="TXN_5069428"/>
    <s v="CUST_24"/>
    <x v="7"/>
    <x v="106"/>
    <x v="13"/>
    <x v="4"/>
    <n v="129"/>
    <x v="2"/>
    <x v="1"/>
    <x v="752"/>
    <x v="0"/>
    <s v="DISCOUNT NOT ALLOWED"/>
    <s v="discount not allowed"/>
    <s v="DISCOUNT NOT ALLOWED"/>
    <s v="Discount Not Allowed"/>
    <s v="18/05/23"/>
  </r>
  <r>
    <s v="TXN_5219312"/>
    <s v="CUST_04"/>
    <x v="3"/>
    <x v="103"/>
    <x v="13"/>
    <x v="4"/>
    <n v="129"/>
    <x v="2"/>
    <x v="0"/>
    <x v="950"/>
    <x v="1"/>
    <s v="DISCOUNT ALLOWED"/>
    <s v="discount allowed"/>
    <s v="DISCOUNT ALLOWED"/>
    <s v="Discount Allowed"/>
    <s v="20/09/22"/>
  </r>
  <r>
    <s v="TXN_5543262"/>
    <s v="CUST_24"/>
    <x v="4"/>
    <x v="107"/>
    <x v="13"/>
    <x v="4"/>
    <n v="129"/>
    <x v="1"/>
    <x v="0"/>
    <x v="734"/>
    <x v="0"/>
    <s v="DISCOUNT NOT ALLOWED"/>
    <s v="discount not allowed"/>
    <s v="DISCOUNT NOT ALLOWED"/>
    <s v="Discount Not Allowed"/>
    <s v="11/08/23"/>
  </r>
  <r>
    <s v="TXN_6200475"/>
    <s v="CUST_14"/>
    <x v="5"/>
    <x v="102"/>
    <x v="13"/>
    <x v="4"/>
    <n v="129"/>
    <x v="1"/>
    <x v="1"/>
    <x v="170"/>
    <x v="1"/>
    <s v="DISCOUNT ALLOWED"/>
    <s v="discount allowed"/>
    <s v="DISCOUNT ALLOWED"/>
    <s v="Discount Allowed"/>
    <s v="10/05/24"/>
  </r>
  <r>
    <s v="TXN_6329610"/>
    <s v="CUST_11"/>
    <x v="6"/>
    <x v="104"/>
    <x v="13"/>
    <x v="4"/>
    <n v="129"/>
    <x v="0"/>
    <x v="0"/>
    <x v="499"/>
    <x v="0"/>
    <s v="DISCOUNT NOT ALLOWED"/>
    <s v="discount not allowed"/>
    <s v="DISCOUNT NOT ALLOWED"/>
    <s v="Discount Not Allowed"/>
    <s v="12/04/22"/>
  </r>
  <r>
    <s v="TXN_6382732"/>
    <s v="CUST_05"/>
    <x v="0"/>
    <x v="116"/>
    <x v="13"/>
    <x v="4"/>
    <n v="129"/>
    <x v="1"/>
    <x v="1"/>
    <x v="356"/>
    <x v="1"/>
    <s v="DISCOUNT ALLOWED"/>
    <s v="discount allowed"/>
    <s v="DISCOUNT ALLOWED"/>
    <s v="Discount Allowed"/>
    <s v="23/02/24"/>
  </r>
  <r>
    <s v="TXN_6596970"/>
    <s v="CUST_25"/>
    <x v="4"/>
    <x v="107"/>
    <x v="13"/>
    <x v="4"/>
    <n v="129"/>
    <x v="2"/>
    <x v="1"/>
    <x v="472"/>
    <x v="1"/>
    <s v="DISCOUNT ALLOWED"/>
    <s v="discount allowed"/>
    <s v="DISCOUNT ALLOWED"/>
    <s v="Discount Allowed"/>
    <s v="29/10/23"/>
  </r>
  <r>
    <s v="TXN_7358436"/>
    <s v="CUST_09"/>
    <x v="6"/>
    <x v="104"/>
    <x v="13"/>
    <x v="4"/>
    <n v="129"/>
    <x v="2"/>
    <x v="1"/>
    <x v="270"/>
    <x v="1"/>
    <s v="DISCOUNT ALLOWED"/>
    <s v="discount allowed"/>
    <s v="DISCOUNT ALLOWED"/>
    <s v="Discount Allowed"/>
    <s v="08/11/23"/>
  </r>
  <r>
    <s v="TXN_7497608"/>
    <s v="CUST_16"/>
    <x v="3"/>
    <x v="103"/>
    <x v="13"/>
    <x v="4"/>
    <n v="129"/>
    <x v="0"/>
    <x v="1"/>
    <x v="452"/>
    <x v="0"/>
    <s v="DISCOUNT NOT ALLOWED"/>
    <s v="discount not allowed"/>
    <s v="DISCOUNT NOT ALLOWED"/>
    <s v="Discount Not Allowed"/>
    <s v="26/09/22"/>
  </r>
  <r>
    <s v="TXN_7673621"/>
    <s v="CUST_24"/>
    <x v="2"/>
    <x v="108"/>
    <x v="13"/>
    <x v="4"/>
    <n v="129"/>
    <x v="2"/>
    <x v="1"/>
    <x v="949"/>
    <x v="0"/>
    <s v="DISCOUNT NOT ALLOWED"/>
    <s v="discount not allowed"/>
    <s v="DISCOUNT NOT ALLOWED"/>
    <s v="Discount Not Allowed"/>
    <s v="11/02/23"/>
  </r>
  <r>
    <s v="TXN_8260473"/>
    <s v="CUST_01"/>
    <x v="4"/>
    <x v="107"/>
    <x v="13"/>
    <x v="4"/>
    <n v="129"/>
    <x v="2"/>
    <x v="0"/>
    <x v="241"/>
    <x v="0"/>
    <s v="DISCOUNT NOT ALLOWED"/>
    <s v="discount not allowed"/>
    <s v="DISCOUNT NOT ALLOWED"/>
    <s v="Discount Not Allowed"/>
    <s v="07/02/24"/>
  </r>
  <r>
    <s v="TXN_8355945"/>
    <s v="CUST_24"/>
    <x v="6"/>
    <x v="104"/>
    <x v="13"/>
    <x v="4"/>
    <n v="129"/>
    <x v="1"/>
    <x v="0"/>
    <x v="994"/>
    <x v="1"/>
    <s v="DISCOUNT ALLOWED"/>
    <s v="discount allowed"/>
    <s v="DISCOUNT ALLOWED"/>
    <s v="Discount Allowed"/>
    <s v="10/03/24"/>
  </r>
  <r>
    <s v="TXN_8393572"/>
    <s v="CUST_05"/>
    <x v="6"/>
    <x v="104"/>
    <x v="13"/>
    <x v="4"/>
    <n v="129"/>
    <x v="1"/>
    <x v="0"/>
    <x v="671"/>
    <x v="1"/>
    <s v="DISCOUNT ALLOWED"/>
    <s v="discount allowed"/>
    <s v="DISCOUNT ALLOWED"/>
    <s v="Discount Allowed"/>
    <s v="09/08/24"/>
  </r>
  <r>
    <s v="TXN_9072239"/>
    <s v="CUST_01"/>
    <x v="3"/>
    <x v="103"/>
    <x v="13"/>
    <x v="4"/>
    <n v="129"/>
    <x v="0"/>
    <x v="1"/>
    <x v="506"/>
    <x v="0"/>
    <s v="DISCOUNT NOT ALLOWED"/>
    <s v="discount not allowed"/>
    <s v="DISCOUNT NOT ALLOWED"/>
    <s v="Discount Not Allowed"/>
    <s v="09/10/22"/>
  </r>
  <r>
    <s v="TXN_9170840"/>
    <s v="CUST_05"/>
    <x v="5"/>
    <x v="102"/>
    <x v="13"/>
    <x v="4"/>
    <n v="129"/>
    <x v="2"/>
    <x v="1"/>
    <x v="659"/>
    <x v="1"/>
    <s v="DISCOUNT ALLOWED"/>
    <s v="discount allowed"/>
    <s v="DISCOUNT ALLOWED"/>
    <s v="Discount Allowed"/>
    <s v="10/08/22"/>
  </r>
  <r>
    <s v="TXN_9281229"/>
    <s v="CUST_07"/>
    <x v="3"/>
    <x v="103"/>
    <x v="13"/>
    <x v="4"/>
    <n v="129"/>
    <x v="0"/>
    <x v="1"/>
    <x v="468"/>
    <x v="1"/>
    <s v="DISCOUNT ALLOWED"/>
    <s v="discount allowed"/>
    <s v="DISCOUNT ALLOWED"/>
    <s v="Discount Allowed"/>
    <s v="08/03/22"/>
  </r>
  <r>
    <s v="TXN_9682013"/>
    <s v="CUST_13"/>
    <x v="6"/>
    <x v="104"/>
    <x v="13"/>
    <x v="4"/>
    <n v="129"/>
    <x v="1"/>
    <x v="0"/>
    <x v="680"/>
    <x v="1"/>
    <s v="DISCOUNT ALLOWED"/>
    <s v="discount allowed"/>
    <s v="DISCOUNT ALLOWED"/>
    <s v="Discount Allowed"/>
    <s v="02/03/23"/>
  </r>
  <r>
    <s v="TXN_1013045"/>
    <s v="CUST_11"/>
    <x v="6"/>
    <x v="49"/>
    <x v="6"/>
    <x v="6"/>
    <n v="128"/>
    <x v="1"/>
    <x v="1"/>
    <x v="819"/>
    <x v="1"/>
    <s v="DISCOUNT ALLOWED"/>
    <s v="discount allowed"/>
    <s v="DISCOUNT ALLOWED"/>
    <s v="Discount Allowed"/>
    <s v="11/07/23"/>
  </r>
  <r>
    <s v="TXN_2346762"/>
    <s v="CUST_09"/>
    <x v="6"/>
    <x v="49"/>
    <x v="6"/>
    <x v="6"/>
    <n v="128"/>
    <x v="2"/>
    <x v="0"/>
    <x v="415"/>
    <x v="0"/>
    <s v="DISCOUNT NOT ALLOWED"/>
    <s v="discount not allowed"/>
    <s v="DISCOUNT NOT ALLOWED"/>
    <s v="Discount Not Allowed"/>
    <s v="09/12/24"/>
  </r>
  <r>
    <s v="TXN_2403712"/>
    <s v="CUST_24"/>
    <x v="5"/>
    <x v="48"/>
    <x v="6"/>
    <x v="6"/>
    <n v="128"/>
    <x v="1"/>
    <x v="0"/>
    <x v="322"/>
    <x v="1"/>
    <s v="DISCOUNT ALLOWED"/>
    <s v="discount allowed"/>
    <s v="DISCOUNT ALLOWED"/>
    <s v="Discount Allowed"/>
    <s v="22/06/23"/>
  </r>
  <r>
    <s v="TXN_2573095"/>
    <s v="CUST_23"/>
    <x v="6"/>
    <x v="49"/>
    <x v="6"/>
    <x v="6"/>
    <n v="128"/>
    <x v="1"/>
    <x v="1"/>
    <x v="576"/>
    <x v="0"/>
    <s v="DISCOUNT NOT ALLOWED"/>
    <s v="discount not allowed"/>
    <s v="DISCOUNT NOT ALLOWED"/>
    <s v="Discount Not Allowed"/>
    <s v="18/11/23"/>
  </r>
  <r>
    <s v="TXN_2842290"/>
    <s v="CUST_07"/>
    <x v="6"/>
    <x v="49"/>
    <x v="6"/>
    <x v="6"/>
    <n v="128"/>
    <x v="0"/>
    <x v="0"/>
    <x v="199"/>
    <x v="0"/>
    <s v="DISCOUNT NOT ALLOWED"/>
    <s v="discount not allowed"/>
    <s v="DISCOUNT NOT ALLOWED"/>
    <s v="Discount Not Allowed"/>
    <s v="27/12/24"/>
  </r>
  <r>
    <s v="TXN_3465341"/>
    <s v="CUST_09"/>
    <x v="0"/>
    <x v="47"/>
    <x v="6"/>
    <x v="6"/>
    <n v="128"/>
    <x v="1"/>
    <x v="1"/>
    <x v="414"/>
    <x v="1"/>
    <s v="DISCOUNT ALLOWED"/>
    <s v="discount allowed"/>
    <s v="DISCOUNT ALLOWED"/>
    <s v="Discount Allowed"/>
    <s v="01/02/22"/>
  </r>
  <r>
    <s v="TXN_3712938"/>
    <s v="CUST_23"/>
    <x v="6"/>
    <x v="49"/>
    <x v="6"/>
    <x v="6"/>
    <n v="128"/>
    <x v="0"/>
    <x v="1"/>
    <x v="787"/>
    <x v="0"/>
    <s v="DISCOUNT NOT ALLOWED"/>
    <s v="discount not allowed"/>
    <s v="DISCOUNT NOT ALLOWED"/>
    <s v="Discount Not Allowed"/>
    <s v="11/06/24"/>
  </r>
  <r>
    <s v="TXN_3717310"/>
    <s v="CUST_15"/>
    <x v="0"/>
    <x v="47"/>
    <x v="6"/>
    <x v="6"/>
    <n v="128"/>
    <x v="0"/>
    <x v="1"/>
    <x v="627"/>
    <x v="0"/>
    <s v="DISCOUNT NOT ALLOWED"/>
    <s v="discount not allowed"/>
    <s v="DISCOUNT NOT ALLOWED"/>
    <s v="Discount Not Allowed"/>
    <s v="19/05/23"/>
  </r>
  <r>
    <s v="TXN_3825785"/>
    <s v="CUST_12"/>
    <x v="0"/>
    <x v="47"/>
    <x v="6"/>
    <x v="6"/>
    <n v="128"/>
    <x v="2"/>
    <x v="0"/>
    <x v="873"/>
    <x v="0"/>
    <s v="DISCOUNT NOT ALLOWED"/>
    <s v="discount not allowed"/>
    <s v="DISCOUNT NOT ALLOWED"/>
    <s v="Discount Not Allowed"/>
    <s v="12/02/24"/>
  </r>
  <r>
    <s v="TXN_4034624"/>
    <s v="CUST_09"/>
    <x v="7"/>
    <x v="45"/>
    <x v="6"/>
    <x v="6"/>
    <n v="128"/>
    <x v="1"/>
    <x v="0"/>
    <x v="831"/>
    <x v="0"/>
    <s v="DISCOUNT NOT ALLOWED"/>
    <s v="discount not allowed"/>
    <s v="DISCOUNT NOT ALLOWED"/>
    <s v="Discount Not Allowed"/>
    <s v="23/12/23"/>
  </r>
  <r>
    <s v="TXN_4055976"/>
    <s v="CUST_05"/>
    <x v="0"/>
    <x v="47"/>
    <x v="6"/>
    <x v="6"/>
    <n v="128"/>
    <x v="1"/>
    <x v="1"/>
    <x v="418"/>
    <x v="0"/>
    <s v="DISCOUNT NOT ALLOWED"/>
    <s v="discount not allowed"/>
    <s v="DISCOUNT NOT ALLOWED"/>
    <s v="Discount Not Allowed"/>
    <s v="29/09/24"/>
  </r>
  <r>
    <s v="TXN_4351750"/>
    <s v="CUST_12"/>
    <x v="4"/>
    <x v="69"/>
    <x v="6"/>
    <x v="6"/>
    <n v="128"/>
    <x v="1"/>
    <x v="1"/>
    <x v="2"/>
    <x v="1"/>
    <s v="DISCOUNT ALLOWED"/>
    <s v="discount allowed"/>
    <s v="DISCOUNT ALLOWED"/>
    <s v="Discount Allowed"/>
    <s v="04/11/22"/>
  </r>
  <r>
    <s v="TXN_4359913"/>
    <s v="CUST_23"/>
    <x v="0"/>
    <x v="47"/>
    <x v="6"/>
    <x v="6"/>
    <n v="128"/>
    <x v="1"/>
    <x v="0"/>
    <x v="1048"/>
    <x v="0"/>
    <s v="DISCOUNT NOT ALLOWED"/>
    <s v="discount not allowed"/>
    <s v="DISCOUNT NOT ALLOWED"/>
    <s v="Discount Not Allowed"/>
    <s v="17/06/22"/>
  </r>
  <r>
    <s v="TXN_4473481"/>
    <s v="CUST_16"/>
    <x v="1"/>
    <x v="50"/>
    <x v="6"/>
    <x v="6"/>
    <n v="128"/>
    <x v="0"/>
    <x v="0"/>
    <x v="1049"/>
    <x v="0"/>
    <s v="DISCOUNT NOT ALLOWED"/>
    <s v="discount not allowed"/>
    <s v="DISCOUNT NOT ALLOWED"/>
    <s v="Discount Not Allowed"/>
    <s v="20/11/23"/>
  </r>
  <r>
    <s v="TXN_5248200"/>
    <s v="CUST_19"/>
    <x v="3"/>
    <x v="46"/>
    <x v="6"/>
    <x v="6"/>
    <n v="128"/>
    <x v="0"/>
    <x v="0"/>
    <x v="771"/>
    <x v="1"/>
    <s v="DISCOUNT ALLOWED"/>
    <s v="discount allowed"/>
    <s v="DISCOUNT ALLOWED"/>
    <s v="Discount Allowed"/>
    <s v="24/07/24"/>
  </r>
  <r>
    <s v="TXN_5498797"/>
    <s v="CUST_24"/>
    <x v="1"/>
    <x v="50"/>
    <x v="6"/>
    <x v="6"/>
    <n v="128"/>
    <x v="0"/>
    <x v="0"/>
    <x v="953"/>
    <x v="1"/>
    <s v="DISCOUNT ALLOWED"/>
    <s v="discount allowed"/>
    <s v="DISCOUNT ALLOWED"/>
    <s v="Discount Allowed"/>
    <s v="25/01/23"/>
  </r>
  <r>
    <s v="TXN_5824634"/>
    <s v="CUST_12"/>
    <x v="3"/>
    <x v="46"/>
    <x v="6"/>
    <x v="6"/>
    <n v="128"/>
    <x v="0"/>
    <x v="1"/>
    <x v="574"/>
    <x v="1"/>
    <s v="DISCOUNT ALLOWED"/>
    <s v="discount allowed"/>
    <s v="DISCOUNT ALLOWED"/>
    <s v="Discount Allowed"/>
    <s v="24/05/22"/>
  </r>
  <r>
    <s v="TXN_5944361"/>
    <s v="CUST_01"/>
    <x v="0"/>
    <x v="47"/>
    <x v="6"/>
    <x v="6"/>
    <n v="128"/>
    <x v="2"/>
    <x v="1"/>
    <x v="407"/>
    <x v="0"/>
    <s v="DISCOUNT NOT ALLOWED"/>
    <s v="discount not allowed"/>
    <s v="DISCOUNT NOT ALLOWED"/>
    <s v="Discount Not Allowed"/>
    <s v="10/10/22"/>
  </r>
  <r>
    <s v="TXN_5969755"/>
    <s v="CUST_16"/>
    <x v="0"/>
    <x v="47"/>
    <x v="6"/>
    <x v="6"/>
    <n v="128"/>
    <x v="1"/>
    <x v="0"/>
    <x v="27"/>
    <x v="1"/>
    <s v="DISCOUNT ALLOWED"/>
    <s v="discount allowed"/>
    <s v="DISCOUNT ALLOWED"/>
    <s v="Discount Allowed"/>
    <s v="25/12/23"/>
  </r>
  <r>
    <s v="TXN_6038542"/>
    <s v="CUST_17"/>
    <x v="3"/>
    <x v="46"/>
    <x v="6"/>
    <x v="6"/>
    <n v="128"/>
    <x v="1"/>
    <x v="1"/>
    <x v="867"/>
    <x v="0"/>
    <s v="DISCOUNT NOT ALLOWED"/>
    <s v="discount not allowed"/>
    <s v="DISCOUNT NOT ALLOWED"/>
    <s v="Discount Not Allowed"/>
    <s v="09/09/22"/>
  </r>
  <r>
    <s v="TXN_6109911"/>
    <s v="CUST_15"/>
    <x v="5"/>
    <x v="48"/>
    <x v="6"/>
    <x v="6"/>
    <n v="128"/>
    <x v="0"/>
    <x v="0"/>
    <x v="890"/>
    <x v="1"/>
    <s v="DISCOUNT ALLOWED"/>
    <s v="discount allowed"/>
    <s v="DISCOUNT ALLOWED"/>
    <s v="Discount Allowed"/>
    <s v="16/09/24"/>
  </r>
  <r>
    <s v="TXN_7092018"/>
    <s v="CUST_07"/>
    <x v="6"/>
    <x v="49"/>
    <x v="6"/>
    <x v="6"/>
    <n v="128"/>
    <x v="0"/>
    <x v="0"/>
    <x v="575"/>
    <x v="1"/>
    <s v="DISCOUNT ALLOWED"/>
    <s v="discount allowed"/>
    <s v="DISCOUNT ALLOWED"/>
    <s v="Discount Allowed"/>
    <s v="09/01/23"/>
  </r>
  <r>
    <s v="TXN_7188878"/>
    <s v="CUST_07"/>
    <x v="3"/>
    <x v="46"/>
    <x v="6"/>
    <x v="6"/>
    <n v="128"/>
    <x v="2"/>
    <x v="0"/>
    <x v="1004"/>
    <x v="0"/>
    <s v="DISCOUNT NOT ALLOWED"/>
    <s v="discount not allowed"/>
    <s v="DISCOUNT NOT ALLOWED"/>
    <s v="Discount Not Allowed"/>
    <s v="03/11/22"/>
  </r>
  <r>
    <s v="TXN_7932286"/>
    <s v="CUST_25"/>
    <x v="0"/>
    <x v="47"/>
    <x v="6"/>
    <x v="6"/>
    <n v="128"/>
    <x v="1"/>
    <x v="0"/>
    <x v="543"/>
    <x v="0"/>
    <s v="DISCOUNT NOT ALLOWED"/>
    <s v="discount not allowed"/>
    <s v="DISCOUNT NOT ALLOWED"/>
    <s v="Discount Not Allowed"/>
    <s v="17/11/22"/>
  </r>
  <r>
    <s v="TXN_7940860"/>
    <s v="CUST_18"/>
    <x v="6"/>
    <x v="49"/>
    <x v="6"/>
    <x v="6"/>
    <n v="128"/>
    <x v="0"/>
    <x v="1"/>
    <x v="59"/>
    <x v="1"/>
    <s v="DISCOUNT ALLOWED"/>
    <s v="discount allowed"/>
    <s v="DISCOUNT ALLOWED"/>
    <s v="Discount Allowed"/>
    <s v="24/11/22"/>
  </r>
  <r>
    <s v="TXN_8257770"/>
    <s v="CUST_15"/>
    <x v="3"/>
    <x v="46"/>
    <x v="6"/>
    <x v="6"/>
    <n v="128"/>
    <x v="2"/>
    <x v="0"/>
    <x v="502"/>
    <x v="0"/>
    <s v="DISCOUNT NOT ALLOWED"/>
    <s v="discount not allowed"/>
    <s v="DISCOUNT NOT ALLOWED"/>
    <s v="Discount Not Allowed"/>
    <s v="20/09/24"/>
  </r>
  <r>
    <s v="TXN_8574556"/>
    <s v="CUST_13"/>
    <x v="0"/>
    <x v="47"/>
    <x v="6"/>
    <x v="6"/>
    <n v="128"/>
    <x v="1"/>
    <x v="0"/>
    <x v="895"/>
    <x v="0"/>
    <s v="DISCOUNT NOT ALLOWED"/>
    <s v="discount not allowed"/>
    <s v="DISCOUNT NOT ALLOWED"/>
    <s v="Discount Not Allowed"/>
    <s v="17/04/23"/>
  </r>
  <r>
    <s v="TXN_8878269"/>
    <s v="CUST_05"/>
    <x v="6"/>
    <x v="49"/>
    <x v="6"/>
    <x v="6"/>
    <n v="128"/>
    <x v="1"/>
    <x v="1"/>
    <x v="1002"/>
    <x v="0"/>
    <s v="DISCOUNT NOT ALLOWED"/>
    <s v="discount not allowed"/>
    <s v="DISCOUNT NOT ALLOWED"/>
    <s v="Discount Not Allowed"/>
    <s v="08/12/24"/>
  </r>
  <r>
    <s v="TXN_9263298"/>
    <s v="CUST_09"/>
    <x v="3"/>
    <x v="46"/>
    <x v="6"/>
    <x v="6"/>
    <n v="128"/>
    <x v="2"/>
    <x v="0"/>
    <x v="733"/>
    <x v="0"/>
    <s v="DISCOUNT NOT ALLOWED"/>
    <s v="discount not allowed"/>
    <s v="DISCOUNT NOT ALLOWED"/>
    <s v="Discount Not Allowed"/>
    <s v="16/05/22"/>
  </r>
  <r>
    <s v="TXN_9331528"/>
    <s v="CUST_23"/>
    <x v="5"/>
    <x v="48"/>
    <x v="6"/>
    <x v="6"/>
    <n v="128"/>
    <x v="1"/>
    <x v="0"/>
    <x v="319"/>
    <x v="0"/>
    <s v="DISCOUNT NOT ALLOWED"/>
    <s v="discount not allowed"/>
    <s v="DISCOUNT NOT ALLOWED"/>
    <s v="Discount Not Allowed"/>
    <s v="22/12/23"/>
  </r>
  <r>
    <s v="TXN_9877509"/>
    <s v="CUST_14"/>
    <x v="3"/>
    <x v="46"/>
    <x v="6"/>
    <x v="6"/>
    <n v="128"/>
    <x v="0"/>
    <x v="1"/>
    <x v="965"/>
    <x v="1"/>
    <s v="DISCOUNT ALLOWED"/>
    <s v="discount allowed"/>
    <s v="DISCOUNT ALLOWED"/>
    <s v="Discount Allowed"/>
    <s v="02/06/24"/>
  </r>
  <r>
    <s v="TXN_1125784"/>
    <s v="CUST_05"/>
    <x v="2"/>
    <x v="148"/>
    <x v="18"/>
    <x v="1"/>
    <n v="126"/>
    <x v="1"/>
    <x v="1"/>
    <x v="990"/>
    <x v="1"/>
    <s v="DISCOUNT ALLOWED"/>
    <s v="discount allowed"/>
    <s v="DISCOUNT ALLOWED"/>
    <s v="Discount Allowed"/>
    <s v="29/07/23"/>
  </r>
  <r>
    <s v="TXN_1126177"/>
    <s v="CUST_05"/>
    <x v="7"/>
    <x v="146"/>
    <x v="18"/>
    <x v="1"/>
    <n v="126"/>
    <x v="0"/>
    <x v="1"/>
    <x v="452"/>
    <x v="0"/>
    <s v="DISCOUNT NOT ALLOWED"/>
    <s v="discount not allowed"/>
    <s v="DISCOUNT NOT ALLOWED"/>
    <s v="Discount Not Allowed"/>
    <s v="26/09/22"/>
  </r>
  <r>
    <s v="TXN_1277309"/>
    <s v="CUST_24"/>
    <x v="6"/>
    <x v="145"/>
    <x v="18"/>
    <x v="1"/>
    <n v="126"/>
    <x v="2"/>
    <x v="1"/>
    <x v="397"/>
    <x v="0"/>
    <s v="DISCOUNT NOT ALLOWED"/>
    <s v="discount not allowed"/>
    <s v="DISCOUNT NOT ALLOWED"/>
    <s v="Discount Not Allowed"/>
    <s v="01/06/23"/>
  </r>
  <r>
    <s v="TXN_1365756"/>
    <s v="CUST_18"/>
    <x v="1"/>
    <x v="149"/>
    <x v="18"/>
    <x v="1"/>
    <n v="126"/>
    <x v="2"/>
    <x v="1"/>
    <x v="1050"/>
    <x v="1"/>
    <s v="DISCOUNT ALLOWED"/>
    <s v="discount allowed"/>
    <s v="DISCOUNT ALLOWED"/>
    <s v="Discount Allowed"/>
    <s v="01/08/24"/>
  </r>
  <r>
    <s v="TXN_2122406"/>
    <s v="CUST_18"/>
    <x v="1"/>
    <x v="149"/>
    <x v="18"/>
    <x v="1"/>
    <n v="126"/>
    <x v="0"/>
    <x v="1"/>
    <x v="732"/>
    <x v="0"/>
    <s v="DISCOUNT NOT ALLOWED"/>
    <s v="discount not allowed"/>
    <s v="DISCOUNT NOT ALLOWED"/>
    <s v="Discount Not Allowed"/>
    <s v="17/08/24"/>
  </r>
  <r>
    <s v="TXN_2328826"/>
    <s v="CUST_22"/>
    <x v="2"/>
    <x v="148"/>
    <x v="18"/>
    <x v="1"/>
    <n v="126"/>
    <x v="0"/>
    <x v="1"/>
    <x v="610"/>
    <x v="1"/>
    <s v="DISCOUNT ALLOWED"/>
    <s v="discount allowed"/>
    <s v="DISCOUNT ALLOWED"/>
    <s v="Discount Allowed"/>
    <s v="15/08/24"/>
  </r>
  <r>
    <s v="TXN_2565254"/>
    <s v="CUST_12"/>
    <x v="1"/>
    <x v="149"/>
    <x v="18"/>
    <x v="1"/>
    <n v="126"/>
    <x v="0"/>
    <x v="0"/>
    <x v="390"/>
    <x v="1"/>
    <s v="DISCOUNT ALLOWED"/>
    <s v="discount allowed"/>
    <s v="DISCOUNT ALLOWED"/>
    <s v="Discount Allowed"/>
    <s v="22/11/24"/>
  </r>
  <r>
    <s v="TXN_2895764"/>
    <s v="CUST_11"/>
    <x v="0"/>
    <x v="150"/>
    <x v="18"/>
    <x v="1"/>
    <n v="126"/>
    <x v="0"/>
    <x v="1"/>
    <x v="1051"/>
    <x v="0"/>
    <s v="DISCOUNT NOT ALLOWED"/>
    <s v="discount not allowed"/>
    <s v="DISCOUNT NOT ALLOWED"/>
    <s v="Discount Not Allowed"/>
    <s v="05/07/24"/>
  </r>
  <r>
    <s v="TXN_2995331"/>
    <s v="CUST_20"/>
    <x v="0"/>
    <x v="150"/>
    <x v="18"/>
    <x v="1"/>
    <n v="126"/>
    <x v="2"/>
    <x v="0"/>
    <x v="207"/>
    <x v="0"/>
    <s v="DISCOUNT NOT ALLOWED"/>
    <s v="discount not allowed"/>
    <s v="DISCOUNT NOT ALLOWED"/>
    <s v="Discount Not Allowed"/>
    <s v="25/09/22"/>
  </r>
  <r>
    <s v="TXN_3229559"/>
    <s v="CUST_02"/>
    <x v="1"/>
    <x v="149"/>
    <x v="18"/>
    <x v="1"/>
    <n v="126"/>
    <x v="0"/>
    <x v="0"/>
    <x v="769"/>
    <x v="1"/>
    <s v="DISCOUNT ALLOWED"/>
    <s v="discount allowed"/>
    <s v="DISCOUNT ALLOWED"/>
    <s v="Discount Allowed"/>
    <s v="02/12/22"/>
  </r>
  <r>
    <s v="TXN_3317458"/>
    <s v="CUST_05"/>
    <x v="0"/>
    <x v="150"/>
    <x v="18"/>
    <x v="1"/>
    <n v="126"/>
    <x v="1"/>
    <x v="0"/>
    <x v="622"/>
    <x v="1"/>
    <s v="DISCOUNT ALLOWED"/>
    <s v="discount allowed"/>
    <s v="DISCOUNT ALLOWED"/>
    <s v="Discount Allowed"/>
    <s v="23/10/22"/>
  </r>
  <r>
    <s v="TXN_3846992"/>
    <s v="CUST_15"/>
    <x v="6"/>
    <x v="145"/>
    <x v="18"/>
    <x v="1"/>
    <n v="126"/>
    <x v="0"/>
    <x v="0"/>
    <x v="592"/>
    <x v="1"/>
    <s v="DISCOUNT ALLOWED"/>
    <s v="discount allowed"/>
    <s v="DISCOUNT ALLOWED"/>
    <s v="Discount Allowed"/>
    <s v="11/12/23"/>
  </r>
  <r>
    <s v="TXN_5129876"/>
    <s v="CUST_02"/>
    <x v="6"/>
    <x v="145"/>
    <x v="18"/>
    <x v="1"/>
    <n v="126"/>
    <x v="0"/>
    <x v="0"/>
    <x v="376"/>
    <x v="0"/>
    <s v="DISCOUNT NOT ALLOWED"/>
    <s v="discount not allowed"/>
    <s v="DISCOUNT NOT ALLOWED"/>
    <s v="Discount Not Allowed"/>
    <s v="28/10/23"/>
  </r>
  <r>
    <s v="TXN_5199524"/>
    <s v="CUST_09"/>
    <x v="0"/>
    <x v="150"/>
    <x v="18"/>
    <x v="1"/>
    <n v="126"/>
    <x v="2"/>
    <x v="0"/>
    <x v="989"/>
    <x v="0"/>
    <s v="DISCOUNT NOT ALLOWED"/>
    <s v="discount not allowed"/>
    <s v="DISCOUNT NOT ALLOWED"/>
    <s v="Discount Not Allowed"/>
    <s v="09/10/24"/>
  </r>
  <r>
    <s v="TXN_5231180"/>
    <s v="CUST_22"/>
    <x v="1"/>
    <x v="149"/>
    <x v="18"/>
    <x v="1"/>
    <n v="126"/>
    <x v="1"/>
    <x v="0"/>
    <x v="170"/>
    <x v="0"/>
    <s v="DISCOUNT NOT ALLOWED"/>
    <s v="discount not allowed"/>
    <s v="DISCOUNT NOT ALLOWED"/>
    <s v="Discount Not Allowed"/>
    <s v="10/05/24"/>
  </r>
  <r>
    <s v="TXN_5321202"/>
    <s v="CUST_13"/>
    <x v="1"/>
    <x v="149"/>
    <x v="18"/>
    <x v="1"/>
    <n v="126"/>
    <x v="1"/>
    <x v="0"/>
    <x v="534"/>
    <x v="1"/>
    <s v="DISCOUNT ALLOWED"/>
    <s v="discount allowed"/>
    <s v="DISCOUNT ALLOWED"/>
    <s v="Discount Allowed"/>
    <s v="25/02/24"/>
  </r>
  <r>
    <s v="TXN_6088854"/>
    <s v="CUST_06"/>
    <x v="7"/>
    <x v="146"/>
    <x v="18"/>
    <x v="1"/>
    <n v="126"/>
    <x v="1"/>
    <x v="0"/>
    <x v="662"/>
    <x v="0"/>
    <s v="DISCOUNT NOT ALLOWED"/>
    <s v="discount not allowed"/>
    <s v="DISCOUNT NOT ALLOWED"/>
    <s v="Discount Not Allowed"/>
    <s v="17/12/24"/>
  </r>
  <r>
    <s v="TXN_6276845"/>
    <s v="CUST_17"/>
    <x v="6"/>
    <x v="145"/>
    <x v="18"/>
    <x v="1"/>
    <n v="126"/>
    <x v="2"/>
    <x v="0"/>
    <x v="319"/>
    <x v="0"/>
    <s v="DISCOUNT NOT ALLOWED"/>
    <s v="discount not allowed"/>
    <s v="DISCOUNT NOT ALLOWED"/>
    <s v="Discount Not Allowed"/>
    <s v="22/12/23"/>
  </r>
  <r>
    <s v="TXN_6315447"/>
    <s v="CUST_21"/>
    <x v="7"/>
    <x v="146"/>
    <x v="18"/>
    <x v="1"/>
    <n v="126"/>
    <x v="0"/>
    <x v="1"/>
    <x v="753"/>
    <x v="0"/>
    <s v="DISCOUNT NOT ALLOWED"/>
    <s v="discount not allowed"/>
    <s v="DISCOUNT NOT ALLOWED"/>
    <s v="Discount Not Allowed"/>
    <s v="12/01/25"/>
  </r>
  <r>
    <s v="TXN_6354929"/>
    <s v="CUST_11"/>
    <x v="0"/>
    <x v="150"/>
    <x v="18"/>
    <x v="1"/>
    <n v="126"/>
    <x v="0"/>
    <x v="1"/>
    <x v="656"/>
    <x v="1"/>
    <s v="DISCOUNT ALLOWED"/>
    <s v="discount allowed"/>
    <s v="DISCOUNT ALLOWED"/>
    <s v="Discount Allowed"/>
    <s v="06/01/25"/>
  </r>
  <r>
    <s v="TXN_6355229"/>
    <s v="CUST_01"/>
    <x v="4"/>
    <x v="147"/>
    <x v="18"/>
    <x v="1"/>
    <n v="126"/>
    <x v="1"/>
    <x v="1"/>
    <x v="860"/>
    <x v="1"/>
    <s v="DISCOUNT ALLOWED"/>
    <s v="discount allowed"/>
    <s v="DISCOUNT ALLOWED"/>
    <s v="Discount Allowed"/>
    <s v="23/09/23"/>
  </r>
  <r>
    <s v="TXN_6661813"/>
    <s v="CUST_16"/>
    <x v="0"/>
    <x v="150"/>
    <x v="18"/>
    <x v="1"/>
    <n v="126"/>
    <x v="1"/>
    <x v="0"/>
    <x v="354"/>
    <x v="0"/>
    <s v="DISCOUNT NOT ALLOWED"/>
    <s v="discount not allowed"/>
    <s v="DISCOUNT NOT ALLOWED"/>
    <s v="Discount Not Allowed"/>
    <s v="02/05/23"/>
  </r>
  <r>
    <s v="TXN_7964647"/>
    <s v="CUST_16"/>
    <x v="6"/>
    <x v="145"/>
    <x v="18"/>
    <x v="1"/>
    <n v="126"/>
    <x v="0"/>
    <x v="0"/>
    <x v="449"/>
    <x v="1"/>
    <s v="DISCOUNT ALLOWED"/>
    <s v="discount allowed"/>
    <s v="DISCOUNT ALLOWED"/>
    <s v="Discount Allowed"/>
    <s v="27/03/22"/>
  </r>
  <r>
    <s v="TXN_8762760"/>
    <s v="CUST_09"/>
    <x v="0"/>
    <x v="150"/>
    <x v="18"/>
    <x v="1"/>
    <n v="126"/>
    <x v="1"/>
    <x v="1"/>
    <x v="1018"/>
    <x v="1"/>
    <s v="DISCOUNT ALLOWED"/>
    <s v="discount allowed"/>
    <s v="DISCOUNT ALLOWED"/>
    <s v="Discount Allowed"/>
    <s v="13/09/24"/>
  </r>
  <r>
    <s v="TXN_8787072"/>
    <s v="CUST_25"/>
    <x v="1"/>
    <x v="149"/>
    <x v="18"/>
    <x v="1"/>
    <n v="126"/>
    <x v="2"/>
    <x v="0"/>
    <x v="861"/>
    <x v="1"/>
    <s v="DISCOUNT ALLOWED"/>
    <s v="discount allowed"/>
    <s v="DISCOUNT ALLOWED"/>
    <s v="Discount Allowed"/>
    <s v="14/08/24"/>
  </r>
  <r>
    <s v="TXN_8955481"/>
    <s v="CUST_07"/>
    <x v="2"/>
    <x v="148"/>
    <x v="18"/>
    <x v="1"/>
    <n v="126"/>
    <x v="2"/>
    <x v="1"/>
    <x v="416"/>
    <x v="0"/>
    <s v="DISCOUNT NOT ALLOWED"/>
    <s v="discount not allowed"/>
    <s v="DISCOUNT NOT ALLOWED"/>
    <s v="Discount Not Allowed"/>
    <s v="25/05/24"/>
  </r>
  <r>
    <s v="TXN_9209383"/>
    <s v="CUST_12"/>
    <x v="5"/>
    <x v="143"/>
    <x v="18"/>
    <x v="1"/>
    <n v="126"/>
    <x v="2"/>
    <x v="1"/>
    <x v="890"/>
    <x v="0"/>
    <s v="DISCOUNT NOT ALLOWED"/>
    <s v="discount not allowed"/>
    <s v="DISCOUNT NOT ALLOWED"/>
    <s v="Discount Not Allowed"/>
    <s v="16/09/24"/>
  </r>
  <r>
    <s v="TXN_9261258"/>
    <s v="CUST_05"/>
    <x v="0"/>
    <x v="150"/>
    <x v="18"/>
    <x v="1"/>
    <n v="126"/>
    <x v="2"/>
    <x v="0"/>
    <x v="704"/>
    <x v="1"/>
    <s v="DISCOUNT ALLOWED"/>
    <s v="discount allowed"/>
    <s v="DISCOUNT ALLOWED"/>
    <s v="Discount Allowed"/>
    <s v="02/03/24"/>
  </r>
  <r>
    <s v="TXN_9386377"/>
    <s v="CUST_07"/>
    <x v="3"/>
    <x v="144"/>
    <x v="18"/>
    <x v="1"/>
    <n v="126"/>
    <x v="1"/>
    <x v="1"/>
    <x v="398"/>
    <x v="0"/>
    <s v="DISCOUNT NOT ALLOWED"/>
    <s v="discount not allowed"/>
    <s v="DISCOUNT NOT ALLOWED"/>
    <s v="Discount Not Allowed"/>
    <s v="27/02/24"/>
  </r>
  <r>
    <s v="TXN_9544241"/>
    <s v="CUST_15"/>
    <x v="4"/>
    <x v="147"/>
    <x v="18"/>
    <x v="1"/>
    <n v="126"/>
    <x v="1"/>
    <x v="1"/>
    <x v="1038"/>
    <x v="0"/>
    <s v="DISCOUNT NOT ALLOWED"/>
    <s v="discount not allowed"/>
    <s v="DISCOUNT NOT ALLOWED"/>
    <s v="Discount Not Allowed"/>
    <s v="07/07/23"/>
  </r>
  <r>
    <s v="TXN_9619819"/>
    <s v="CUST_24"/>
    <x v="0"/>
    <x v="150"/>
    <x v="18"/>
    <x v="1"/>
    <n v="126"/>
    <x v="0"/>
    <x v="1"/>
    <x v="911"/>
    <x v="0"/>
    <s v="DISCOUNT NOT ALLOWED"/>
    <s v="discount not allowed"/>
    <s v="DISCOUNT NOT ALLOWED"/>
    <s v="Discount Not Allowed"/>
    <s v="08/11/22"/>
  </r>
  <r>
    <s v="TXN_9676174"/>
    <s v="CUST_09"/>
    <x v="0"/>
    <x v="150"/>
    <x v="18"/>
    <x v="1"/>
    <n v="126"/>
    <x v="2"/>
    <x v="0"/>
    <x v="1036"/>
    <x v="1"/>
    <s v="DISCOUNT ALLOWED"/>
    <s v="discount allowed"/>
    <s v="DISCOUNT ALLOWED"/>
    <s v="Discount Allowed"/>
    <s v="11/11/23"/>
  </r>
  <r>
    <s v="TXN_1085751"/>
    <s v="CUST_06"/>
    <x v="6"/>
    <x v="152"/>
    <x v="19"/>
    <x v="0"/>
    <n v="125"/>
    <x v="0"/>
    <x v="1"/>
    <x v="522"/>
    <x v="0"/>
    <s v="DISCOUNT NOT ALLOWED"/>
    <s v="discount not allowed"/>
    <s v="DISCOUNT NOT ALLOWED"/>
    <s v="Discount Not Allowed"/>
    <s v="27/08/24"/>
  </r>
  <r>
    <s v="TXN_1271965"/>
    <s v="CUST_12"/>
    <x v="7"/>
    <x v="153"/>
    <x v="19"/>
    <x v="0"/>
    <n v="125"/>
    <x v="0"/>
    <x v="0"/>
    <x v="101"/>
    <x v="0"/>
    <s v="DISCOUNT NOT ALLOWED"/>
    <s v="discount not allowed"/>
    <s v="DISCOUNT NOT ALLOWED"/>
    <s v="Discount Not Allowed"/>
    <s v="10/08/24"/>
  </r>
  <r>
    <s v="TXN_1489487"/>
    <s v="CUST_09"/>
    <x v="0"/>
    <x v="154"/>
    <x v="19"/>
    <x v="0"/>
    <n v="125"/>
    <x v="2"/>
    <x v="1"/>
    <x v="238"/>
    <x v="1"/>
    <s v="DISCOUNT ALLOWED"/>
    <s v="discount allowed"/>
    <s v="DISCOUNT ALLOWED"/>
    <s v="Discount Allowed"/>
    <s v="09/08/23"/>
  </r>
  <r>
    <s v="TXN_1598935"/>
    <s v="CUST_11"/>
    <x v="6"/>
    <x v="152"/>
    <x v="19"/>
    <x v="0"/>
    <n v="125"/>
    <x v="0"/>
    <x v="0"/>
    <x v="455"/>
    <x v="0"/>
    <s v="DISCOUNT NOT ALLOWED"/>
    <s v="discount not allowed"/>
    <s v="DISCOUNT NOT ALLOWED"/>
    <s v="Discount Not Allowed"/>
    <s v="06/04/24"/>
  </r>
  <r>
    <s v="TXN_1833797"/>
    <s v="CUST_08"/>
    <x v="4"/>
    <x v="155"/>
    <x v="19"/>
    <x v="0"/>
    <n v="125"/>
    <x v="0"/>
    <x v="1"/>
    <x v="334"/>
    <x v="0"/>
    <s v="DISCOUNT NOT ALLOWED"/>
    <s v="discount not allowed"/>
    <s v="DISCOUNT NOT ALLOWED"/>
    <s v="Discount Not Allowed"/>
    <s v="29/03/22"/>
  </r>
  <r>
    <s v="TXN_1854685"/>
    <s v="CUST_18"/>
    <x v="6"/>
    <x v="152"/>
    <x v="19"/>
    <x v="0"/>
    <n v="125"/>
    <x v="2"/>
    <x v="0"/>
    <x v="794"/>
    <x v="0"/>
    <s v="DISCOUNT NOT ALLOWED"/>
    <s v="discount not allowed"/>
    <s v="DISCOUNT NOT ALLOWED"/>
    <s v="Discount Not Allowed"/>
    <s v="19/02/24"/>
  </r>
  <r>
    <s v="TXN_2722898"/>
    <s v="CUST_21"/>
    <x v="1"/>
    <x v="156"/>
    <x v="19"/>
    <x v="0"/>
    <n v="125"/>
    <x v="0"/>
    <x v="1"/>
    <x v="1027"/>
    <x v="0"/>
    <s v="DISCOUNT NOT ALLOWED"/>
    <s v="discount not allowed"/>
    <s v="DISCOUNT NOT ALLOWED"/>
    <s v="Discount Not Allowed"/>
    <s v="30/05/24"/>
  </r>
  <r>
    <s v="TXN_3138109"/>
    <s v="CUST_23"/>
    <x v="3"/>
    <x v="157"/>
    <x v="19"/>
    <x v="0"/>
    <n v="125"/>
    <x v="2"/>
    <x v="0"/>
    <x v="162"/>
    <x v="1"/>
    <s v="DISCOUNT ALLOWED"/>
    <s v="discount allowed"/>
    <s v="DISCOUNT ALLOWED"/>
    <s v="Discount Allowed"/>
    <s v="08/03/24"/>
  </r>
  <r>
    <s v="TXN_3330864"/>
    <s v="CUST_05"/>
    <x v="2"/>
    <x v="158"/>
    <x v="19"/>
    <x v="0"/>
    <n v="125"/>
    <x v="1"/>
    <x v="0"/>
    <x v="245"/>
    <x v="1"/>
    <s v="DISCOUNT ALLOWED"/>
    <s v="discount allowed"/>
    <s v="DISCOUNT ALLOWED"/>
    <s v="Discount Allowed"/>
    <s v="03/02/23"/>
  </r>
  <r>
    <s v="TXN_3505141"/>
    <s v="CUST_15"/>
    <x v="5"/>
    <x v="159"/>
    <x v="19"/>
    <x v="0"/>
    <n v="125"/>
    <x v="2"/>
    <x v="0"/>
    <x v="431"/>
    <x v="1"/>
    <s v="DISCOUNT ALLOWED"/>
    <s v="discount allowed"/>
    <s v="DISCOUNT ALLOWED"/>
    <s v="Discount Allowed"/>
    <s v="01/01/25"/>
  </r>
  <r>
    <s v="TXN_3684265"/>
    <s v="CUST_15"/>
    <x v="4"/>
    <x v="155"/>
    <x v="19"/>
    <x v="0"/>
    <n v="125"/>
    <x v="2"/>
    <x v="0"/>
    <x v="844"/>
    <x v="1"/>
    <s v="DISCOUNT ALLOWED"/>
    <s v="discount allowed"/>
    <s v="DISCOUNT ALLOWED"/>
    <s v="Discount Allowed"/>
    <s v="15/12/23"/>
  </r>
  <r>
    <s v="TXN_3849990"/>
    <s v="CUST_08"/>
    <x v="2"/>
    <x v="158"/>
    <x v="19"/>
    <x v="0"/>
    <n v="125"/>
    <x v="2"/>
    <x v="0"/>
    <x v="906"/>
    <x v="0"/>
    <s v="DISCOUNT NOT ALLOWED"/>
    <s v="discount not allowed"/>
    <s v="DISCOUNT NOT ALLOWED"/>
    <s v="Discount Not Allowed"/>
    <s v="27/01/22"/>
  </r>
  <r>
    <s v="TXN_4293234"/>
    <s v="CUST_23"/>
    <x v="2"/>
    <x v="158"/>
    <x v="19"/>
    <x v="0"/>
    <n v="125"/>
    <x v="1"/>
    <x v="1"/>
    <x v="655"/>
    <x v="1"/>
    <s v="DISCOUNT ALLOWED"/>
    <s v="discount allowed"/>
    <s v="DISCOUNT ALLOWED"/>
    <s v="Discount Allowed"/>
    <s v="11/05/22"/>
  </r>
  <r>
    <s v="TXN_4419343"/>
    <s v="CUST_03"/>
    <x v="4"/>
    <x v="155"/>
    <x v="19"/>
    <x v="0"/>
    <n v="125"/>
    <x v="1"/>
    <x v="0"/>
    <x v="610"/>
    <x v="0"/>
    <s v="DISCOUNT NOT ALLOWED"/>
    <s v="discount not allowed"/>
    <s v="DISCOUNT NOT ALLOWED"/>
    <s v="Discount Not Allowed"/>
    <s v="15/08/24"/>
  </r>
  <r>
    <s v="TXN_4541403"/>
    <s v="CUST_09"/>
    <x v="7"/>
    <x v="153"/>
    <x v="19"/>
    <x v="0"/>
    <n v="125"/>
    <x v="0"/>
    <x v="0"/>
    <x v="667"/>
    <x v="1"/>
    <s v="DISCOUNT ALLOWED"/>
    <s v="discount allowed"/>
    <s v="DISCOUNT ALLOWED"/>
    <s v="Discount Allowed"/>
    <s v="18/12/23"/>
  </r>
  <r>
    <s v="TXN_4882798"/>
    <s v="CUST_23"/>
    <x v="2"/>
    <x v="158"/>
    <x v="19"/>
    <x v="0"/>
    <n v="125"/>
    <x v="2"/>
    <x v="1"/>
    <x v="932"/>
    <x v="1"/>
    <s v="DISCOUNT ALLOWED"/>
    <s v="discount allowed"/>
    <s v="DISCOUNT ALLOWED"/>
    <s v="Discount Allowed"/>
    <s v="22/04/22"/>
  </r>
  <r>
    <s v="TXN_5301234"/>
    <s v="CUST_09"/>
    <x v="2"/>
    <x v="158"/>
    <x v="19"/>
    <x v="0"/>
    <n v="125"/>
    <x v="2"/>
    <x v="1"/>
    <x v="686"/>
    <x v="1"/>
    <s v="DISCOUNT ALLOWED"/>
    <s v="discount allowed"/>
    <s v="DISCOUNT ALLOWED"/>
    <s v="Discount Allowed"/>
    <s v="21/07/23"/>
  </r>
  <r>
    <s v="TXN_5597499"/>
    <s v="CUST_08"/>
    <x v="5"/>
    <x v="159"/>
    <x v="19"/>
    <x v="0"/>
    <n v="125"/>
    <x v="1"/>
    <x v="0"/>
    <x v="981"/>
    <x v="1"/>
    <s v="DISCOUNT ALLOWED"/>
    <s v="discount allowed"/>
    <s v="DISCOUNT ALLOWED"/>
    <s v="Discount Allowed"/>
    <s v="07/12/23"/>
  </r>
  <r>
    <s v="TXN_6474835"/>
    <s v="CUST_19"/>
    <x v="3"/>
    <x v="157"/>
    <x v="19"/>
    <x v="0"/>
    <n v="125"/>
    <x v="1"/>
    <x v="0"/>
    <x v="976"/>
    <x v="1"/>
    <s v="DISCOUNT ALLOWED"/>
    <s v="discount allowed"/>
    <s v="DISCOUNT ALLOWED"/>
    <s v="Discount Allowed"/>
    <s v="26/07/24"/>
  </r>
  <r>
    <s v="TXN_7079048"/>
    <s v="CUST_14"/>
    <x v="4"/>
    <x v="155"/>
    <x v="19"/>
    <x v="0"/>
    <n v="125"/>
    <x v="0"/>
    <x v="1"/>
    <x v="889"/>
    <x v="1"/>
    <s v="DISCOUNT ALLOWED"/>
    <s v="discount allowed"/>
    <s v="DISCOUNT ALLOWED"/>
    <s v="Discount Allowed"/>
    <s v="10/10/24"/>
  </r>
  <r>
    <s v="TXN_7491390"/>
    <s v="CUST_03"/>
    <x v="1"/>
    <x v="156"/>
    <x v="19"/>
    <x v="0"/>
    <n v="125"/>
    <x v="2"/>
    <x v="0"/>
    <x v="146"/>
    <x v="1"/>
    <s v="DISCOUNT ALLOWED"/>
    <s v="discount allowed"/>
    <s v="DISCOUNT ALLOWED"/>
    <s v="Discount Allowed"/>
    <s v="06/12/24"/>
  </r>
  <r>
    <s v="TXN_7570716"/>
    <s v="CUST_22"/>
    <x v="4"/>
    <x v="155"/>
    <x v="19"/>
    <x v="0"/>
    <n v="125"/>
    <x v="1"/>
    <x v="1"/>
    <x v="301"/>
    <x v="1"/>
    <s v="DISCOUNT ALLOWED"/>
    <s v="discount allowed"/>
    <s v="DISCOUNT ALLOWED"/>
    <s v="Discount Allowed"/>
    <s v="15/04/22"/>
  </r>
  <r>
    <s v="TXN_7609763"/>
    <s v="CUST_02"/>
    <x v="6"/>
    <x v="152"/>
    <x v="19"/>
    <x v="0"/>
    <n v="125"/>
    <x v="2"/>
    <x v="0"/>
    <x v="612"/>
    <x v="1"/>
    <s v="DISCOUNT ALLOWED"/>
    <s v="discount allowed"/>
    <s v="DISCOUNT ALLOWED"/>
    <s v="Discount Allowed"/>
    <s v="18/11/24"/>
  </r>
  <r>
    <s v="TXN_7896612"/>
    <s v="CUST_17"/>
    <x v="1"/>
    <x v="156"/>
    <x v="19"/>
    <x v="0"/>
    <n v="125"/>
    <x v="0"/>
    <x v="1"/>
    <x v="562"/>
    <x v="0"/>
    <s v="DISCOUNT NOT ALLOWED"/>
    <s v="discount not allowed"/>
    <s v="DISCOUNT NOT ALLOWED"/>
    <s v="Discount Not Allowed"/>
    <s v="06/08/24"/>
  </r>
  <r>
    <s v="TXN_8229465"/>
    <s v="CUST_18"/>
    <x v="2"/>
    <x v="158"/>
    <x v="19"/>
    <x v="0"/>
    <n v="125"/>
    <x v="0"/>
    <x v="1"/>
    <x v="758"/>
    <x v="0"/>
    <s v="DISCOUNT NOT ALLOWED"/>
    <s v="discount not allowed"/>
    <s v="DISCOUNT NOT ALLOWED"/>
    <s v="Discount Not Allowed"/>
    <s v="10/11/24"/>
  </r>
  <r>
    <s v="TXN_8437627"/>
    <s v="CUST_05"/>
    <x v="2"/>
    <x v="158"/>
    <x v="19"/>
    <x v="0"/>
    <n v="125"/>
    <x v="2"/>
    <x v="1"/>
    <x v="341"/>
    <x v="0"/>
    <s v="DISCOUNT NOT ALLOWED"/>
    <s v="discount not allowed"/>
    <s v="DISCOUNT NOT ALLOWED"/>
    <s v="Discount Not Allowed"/>
    <s v="12/07/24"/>
  </r>
  <r>
    <s v="TXN_8625922"/>
    <s v="CUST_08"/>
    <x v="1"/>
    <x v="156"/>
    <x v="19"/>
    <x v="0"/>
    <n v="125"/>
    <x v="2"/>
    <x v="0"/>
    <x v="319"/>
    <x v="0"/>
    <s v="DISCOUNT NOT ALLOWED"/>
    <s v="discount not allowed"/>
    <s v="DISCOUNT NOT ALLOWED"/>
    <s v="Discount Not Allowed"/>
    <s v="22/12/23"/>
  </r>
  <r>
    <s v="TXN_8707599"/>
    <s v="CUST_07"/>
    <x v="4"/>
    <x v="155"/>
    <x v="19"/>
    <x v="0"/>
    <n v="125"/>
    <x v="1"/>
    <x v="1"/>
    <x v="164"/>
    <x v="0"/>
    <s v="DISCOUNT NOT ALLOWED"/>
    <s v="discount not allowed"/>
    <s v="DISCOUNT NOT ALLOWED"/>
    <s v="Discount Not Allowed"/>
    <s v="26/01/22"/>
  </r>
  <r>
    <s v="TXN_8839706"/>
    <s v="CUST_15"/>
    <x v="7"/>
    <x v="153"/>
    <x v="19"/>
    <x v="0"/>
    <n v="125"/>
    <x v="2"/>
    <x v="0"/>
    <x v="617"/>
    <x v="0"/>
    <s v="DISCOUNT NOT ALLOWED"/>
    <s v="discount not allowed"/>
    <s v="DISCOUNT NOT ALLOWED"/>
    <s v="Discount Not Allowed"/>
    <s v="28/11/24"/>
  </r>
  <r>
    <s v="TXN_8944977"/>
    <s v="CUST_08"/>
    <x v="2"/>
    <x v="158"/>
    <x v="19"/>
    <x v="0"/>
    <n v="125"/>
    <x v="0"/>
    <x v="0"/>
    <x v="364"/>
    <x v="1"/>
    <s v="DISCOUNT ALLOWED"/>
    <s v="discount allowed"/>
    <s v="DISCOUNT ALLOWED"/>
    <s v="Discount Allowed"/>
    <s v="14/11/24"/>
  </r>
  <r>
    <s v="TXN_9047932"/>
    <s v="CUST_08"/>
    <x v="3"/>
    <x v="157"/>
    <x v="19"/>
    <x v="0"/>
    <n v="125"/>
    <x v="1"/>
    <x v="0"/>
    <x v="495"/>
    <x v="1"/>
    <s v="DISCOUNT ALLOWED"/>
    <s v="discount allowed"/>
    <s v="DISCOUNT ALLOWED"/>
    <s v="Discount Allowed"/>
    <s v="02/02/22"/>
  </r>
  <r>
    <s v="TXN_9425683"/>
    <s v="CUST_13"/>
    <x v="1"/>
    <x v="156"/>
    <x v="19"/>
    <x v="0"/>
    <n v="125"/>
    <x v="2"/>
    <x v="0"/>
    <x v="7"/>
    <x v="0"/>
    <s v="DISCOUNT NOT ALLOWED"/>
    <s v="discount not allowed"/>
    <s v="DISCOUNT NOT ALLOWED"/>
    <s v="Discount Not Allowed"/>
    <s v="23/02/22"/>
  </r>
  <r>
    <s v="TXN_9699186"/>
    <s v="CUST_21"/>
    <x v="4"/>
    <x v="155"/>
    <x v="19"/>
    <x v="0"/>
    <n v="125"/>
    <x v="2"/>
    <x v="1"/>
    <x v="233"/>
    <x v="1"/>
    <s v="DISCOUNT ALLOWED"/>
    <s v="discount allowed"/>
    <s v="DISCOUNT ALLOWED"/>
    <s v="Discount Allowed"/>
    <s v="02/04/23"/>
  </r>
  <r>
    <s v="TXN_9869914"/>
    <s v="CUST_15"/>
    <x v="7"/>
    <x v="153"/>
    <x v="19"/>
    <x v="0"/>
    <n v="125"/>
    <x v="2"/>
    <x v="1"/>
    <x v="691"/>
    <x v="0"/>
    <s v="DISCOUNT NOT ALLOWED"/>
    <s v="discount not allowed"/>
    <s v="DISCOUNT NOT ALLOWED"/>
    <s v="Discount Not Allowed"/>
    <s v="28/05/24"/>
  </r>
  <r>
    <s v="TXN_1324813"/>
    <s v="CUST_09"/>
    <x v="6"/>
    <x v="140"/>
    <x v="17"/>
    <x v="2"/>
    <n v="124"/>
    <x v="0"/>
    <x v="0"/>
    <x v="189"/>
    <x v="0"/>
    <s v="DISCOUNT NOT ALLOWED"/>
    <s v="discount not allowed"/>
    <s v="DISCOUNT NOT ALLOWED"/>
    <s v="Discount Not Allowed"/>
    <s v="22/09/23"/>
  </r>
  <r>
    <s v="TXN_1574874"/>
    <s v="CUST_09"/>
    <x v="5"/>
    <x v="138"/>
    <x v="17"/>
    <x v="2"/>
    <n v="124"/>
    <x v="1"/>
    <x v="1"/>
    <x v="829"/>
    <x v="1"/>
    <s v="DISCOUNT ALLOWED"/>
    <s v="discount allowed"/>
    <s v="DISCOUNT ALLOWED"/>
    <s v="Discount Allowed"/>
    <s v="29/06/23"/>
  </r>
  <r>
    <s v="TXN_1653522"/>
    <s v="CUST_02"/>
    <x v="2"/>
    <x v="135"/>
    <x v="17"/>
    <x v="2"/>
    <n v="124"/>
    <x v="1"/>
    <x v="1"/>
    <x v="93"/>
    <x v="1"/>
    <s v="DISCOUNT ALLOWED"/>
    <s v="discount allowed"/>
    <s v="DISCOUNT ALLOWED"/>
    <s v="Discount Allowed"/>
    <s v="08/12/22"/>
  </r>
  <r>
    <s v="TXN_1746209"/>
    <s v="CUST_20"/>
    <x v="2"/>
    <x v="135"/>
    <x v="17"/>
    <x v="2"/>
    <n v="124"/>
    <x v="1"/>
    <x v="1"/>
    <x v="67"/>
    <x v="0"/>
    <s v="DISCOUNT NOT ALLOWED"/>
    <s v="discount not allowed"/>
    <s v="DISCOUNT NOT ALLOWED"/>
    <s v="Discount Not Allowed"/>
    <s v="18/08/22"/>
  </r>
  <r>
    <s v="TXN_2256792"/>
    <s v="CUST_08"/>
    <x v="2"/>
    <x v="135"/>
    <x v="17"/>
    <x v="2"/>
    <n v="124"/>
    <x v="0"/>
    <x v="0"/>
    <x v="300"/>
    <x v="0"/>
    <s v="DISCOUNT NOT ALLOWED"/>
    <s v="discount not allowed"/>
    <s v="DISCOUNT NOT ALLOWED"/>
    <s v="Discount Not Allowed"/>
    <s v="14/04/22"/>
  </r>
  <r>
    <s v="TXN_2424303"/>
    <s v="CUST_21"/>
    <x v="2"/>
    <x v="135"/>
    <x v="17"/>
    <x v="2"/>
    <n v="124"/>
    <x v="1"/>
    <x v="0"/>
    <x v="611"/>
    <x v="1"/>
    <s v="DISCOUNT ALLOWED"/>
    <s v="discount allowed"/>
    <s v="DISCOUNT ALLOWED"/>
    <s v="Discount Allowed"/>
    <s v="18/12/22"/>
  </r>
  <r>
    <s v="TXN_2894385"/>
    <s v="CUST_19"/>
    <x v="5"/>
    <x v="138"/>
    <x v="17"/>
    <x v="2"/>
    <n v="124"/>
    <x v="0"/>
    <x v="1"/>
    <x v="182"/>
    <x v="0"/>
    <s v="DISCOUNT NOT ALLOWED"/>
    <s v="discount not allowed"/>
    <s v="DISCOUNT NOT ALLOWED"/>
    <s v="Discount Not Allowed"/>
    <s v="28/04/24"/>
  </r>
  <r>
    <s v="TXN_2897677"/>
    <s v="CUST_20"/>
    <x v="6"/>
    <x v="140"/>
    <x v="17"/>
    <x v="2"/>
    <n v="124"/>
    <x v="2"/>
    <x v="1"/>
    <x v="333"/>
    <x v="1"/>
    <s v="DISCOUNT ALLOWED"/>
    <s v="discount allowed"/>
    <s v="DISCOUNT ALLOWED"/>
    <s v="Discount Allowed"/>
    <s v="16/12/22"/>
  </r>
  <r>
    <s v="TXN_2997461"/>
    <s v="CUST_05"/>
    <x v="5"/>
    <x v="138"/>
    <x v="17"/>
    <x v="2"/>
    <n v="124"/>
    <x v="2"/>
    <x v="1"/>
    <x v="1052"/>
    <x v="1"/>
    <s v="DISCOUNT ALLOWED"/>
    <s v="discount allowed"/>
    <s v="DISCOUNT ALLOWED"/>
    <s v="Discount Allowed"/>
    <s v="18/09/23"/>
  </r>
  <r>
    <s v="TXN_3108062"/>
    <s v="CUST_19"/>
    <x v="3"/>
    <x v="134"/>
    <x v="17"/>
    <x v="2"/>
    <n v="124"/>
    <x v="1"/>
    <x v="1"/>
    <x v="110"/>
    <x v="1"/>
    <s v="DISCOUNT ALLOWED"/>
    <s v="discount allowed"/>
    <s v="DISCOUNT ALLOWED"/>
    <s v="Discount Allowed"/>
    <s v="27/07/24"/>
  </r>
  <r>
    <s v="TXN_3519483"/>
    <s v="CUST_03"/>
    <x v="3"/>
    <x v="134"/>
    <x v="17"/>
    <x v="2"/>
    <n v="124"/>
    <x v="2"/>
    <x v="0"/>
    <x v="333"/>
    <x v="1"/>
    <s v="DISCOUNT ALLOWED"/>
    <s v="discount allowed"/>
    <s v="DISCOUNT ALLOWED"/>
    <s v="Discount Allowed"/>
    <s v="16/12/22"/>
  </r>
  <r>
    <s v="TXN_3641374"/>
    <s v="CUST_05"/>
    <x v="2"/>
    <x v="135"/>
    <x v="17"/>
    <x v="2"/>
    <n v="124"/>
    <x v="0"/>
    <x v="0"/>
    <x v="948"/>
    <x v="1"/>
    <s v="DISCOUNT ALLOWED"/>
    <s v="discount allowed"/>
    <s v="DISCOUNT ALLOWED"/>
    <s v="Discount Allowed"/>
    <s v="04/12/22"/>
  </r>
  <r>
    <s v="TXN_3865439"/>
    <s v="CUST_12"/>
    <x v="0"/>
    <x v="139"/>
    <x v="17"/>
    <x v="2"/>
    <n v="124"/>
    <x v="0"/>
    <x v="1"/>
    <x v="762"/>
    <x v="0"/>
    <s v="DISCOUNT NOT ALLOWED"/>
    <s v="discount not allowed"/>
    <s v="DISCOUNT NOT ALLOWED"/>
    <s v="Discount Not Allowed"/>
    <s v="04/05/24"/>
  </r>
  <r>
    <s v="TXN_3940160"/>
    <s v="CUST_13"/>
    <x v="7"/>
    <x v="137"/>
    <x v="17"/>
    <x v="2"/>
    <n v="124"/>
    <x v="1"/>
    <x v="0"/>
    <x v="638"/>
    <x v="1"/>
    <s v="DISCOUNT ALLOWED"/>
    <s v="discount allowed"/>
    <s v="DISCOUNT ALLOWED"/>
    <s v="Discount Allowed"/>
    <s v="13/07/22"/>
  </r>
  <r>
    <s v="TXN_4140793"/>
    <s v="CUST_03"/>
    <x v="5"/>
    <x v="138"/>
    <x v="17"/>
    <x v="2"/>
    <n v="124"/>
    <x v="1"/>
    <x v="0"/>
    <x v="174"/>
    <x v="0"/>
    <s v="DISCOUNT NOT ALLOWED"/>
    <s v="discount not allowed"/>
    <s v="DISCOUNT NOT ALLOWED"/>
    <s v="Discount Not Allowed"/>
    <s v="29/11/22"/>
  </r>
  <r>
    <s v="TXN_4265824"/>
    <s v="CUST_21"/>
    <x v="1"/>
    <x v="136"/>
    <x v="17"/>
    <x v="2"/>
    <n v="124"/>
    <x v="2"/>
    <x v="0"/>
    <x v="222"/>
    <x v="1"/>
    <s v="DISCOUNT ALLOWED"/>
    <s v="discount allowed"/>
    <s v="DISCOUNT ALLOWED"/>
    <s v="Discount Allowed"/>
    <s v="13/12/22"/>
  </r>
  <r>
    <s v="TXN_4878295"/>
    <s v="CUST_09"/>
    <x v="1"/>
    <x v="136"/>
    <x v="17"/>
    <x v="2"/>
    <n v="124"/>
    <x v="2"/>
    <x v="1"/>
    <x v="935"/>
    <x v="0"/>
    <s v="DISCOUNT NOT ALLOWED"/>
    <s v="discount not allowed"/>
    <s v="DISCOUNT NOT ALLOWED"/>
    <s v="Discount Not Allowed"/>
    <s v="09/02/23"/>
  </r>
  <r>
    <s v="TXN_5162529"/>
    <s v="CUST_15"/>
    <x v="0"/>
    <x v="139"/>
    <x v="17"/>
    <x v="2"/>
    <n v="124"/>
    <x v="1"/>
    <x v="0"/>
    <x v="1053"/>
    <x v="0"/>
    <s v="DISCOUNT NOT ALLOWED"/>
    <s v="discount not allowed"/>
    <s v="DISCOUNT NOT ALLOWED"/>
    <s v="Discount Not Allowed"/>
    <s v="22/08/23"/>
  </r>
  <r>
    <s v="TXN_5482804"/>
    <s v="CUST_13"/>
    <x v="5"/>
    <x v="138"/>
    <x v="17"/>
    <x v="2"/>
    <n v="124"/>
    <x v="1"/>
    <x v="1"/>
    <x v="144"/>
    <x v="1"/>
    <s v="DISCOUNT ALLOWED"/>
    <s v="discount allowed"/>
    <s v="DISCOUNT ALLOWED"/>
    <s v="Discount Allowed"/>
    <s v="08/11/24"/>
  </r>
  <r>
    <s v="TXN_5501281"/>
    <s v="CUST_19"/>
    <x v="5"/>
    <x v="138"/>
    <x v="17"/>
    <x v="2"/>
    <n v="124"/>
    <x v="1"/>
    <x v="1"/>
    <x v="1029"/>
    <x v="0"/>
    <s v="DISCOUNT NOT ALLOWED"/>
    <s v="discount not allowed"/>
    <s v="DISCOUNT NOT ALLOWED"/>
    <s v="Discount Not Allowed"/>
    <s v="03/01/24"/>
  </r>
  <r>
    <s v="TXN_6145546"/>
    <s v="CUST_24"/>
    <x v="0"/>
    <x v="139"/>
    <x v="17"/>
    <x v="2"/>
    <n v="124"/>
    <x v="1"/>
    <x v="1"/>
    <x v="188"/>
    <x v="0"/>
    <s v="DISCOUNT NOT ALLOWED"/>
    <s v="discount not allowed"/>
    <s v="DISCOUNT NOT ALLOWED"/>
    <s v="Discount Not Allowed"/>
    <s v="14/12/23"/>
  </r>
  <r>
    <s v="TXN_6184133"/>
    <s v="CUST_21"/>
    <x v="5"/>
    <x v="138"/>
    <x v="17"/>
    <x v="2"/>
    <n v="124"/>
    <x v="0"/>
    <x v="1"/>
    <x v="261"/>
    <x v="0"/>
    <s v="DISCOUNT NOT ALLOWED"/>
    <s v="discount not allowed"/>
    <s v="DISCOUNT NOT ALLOWED"/>
    <s v="Discount Not Allowed"/>
    <s v="14/05/24"/>
  </r>
  <r>
    <s v="TXN_6595084"/>
    <s v="CUST_25"/>
    <x v="3"/>
    <x v="134"/>
    <x v="17"/>
    <x v="2"/>
    <n v="124"/>
    <x v="0"/>
    <x v="0"/>
    <x v="1054"/>
    <x v="1"/>
    <s v="DISCOUNT ALLOWED"/>
    <s v="discount allowed"/>
    <s v="DISCOUNT ALLOWED"/>
    <s v="Discount Allowed"/>
    <s v="24/06/23"/>
  </r>
  <r>
    <s v="TXN_6718947"/>
    <s v="CUST_16"/>
    <x v="7"/>
    <x v="137"/>
    <x v="17"/>
    <x v="2"/>
    <n v="124"/>
    <x v="2"/>
    <x v="1"/>
    <x v="1055"/>
    <x v="0"/>
    <s v="DISCOUNT NOT ALLOWED"/>
    <s v="discount not allowed"/>
    <s v="DISCOUNT NOT ALLOWED"/>
    <s v="Discount Not Allowed"/>
    <s v="07/04/24"/>
  </r>
  <r>
    <s v="TXN_6764514"/>
    <s v="CUST_04"/>
    <x v="5"/>
    <x v="138"/>
    <x v="17"/>
    <x v="2"/>
    <n v="124"/>
    <x v="0"/>
    <x v="0"/>
    <x v="237"/>
    <x v="1"/>
    <s v="DISCOUNT ALLOWED"/>
    <s v="discount allowed"/>
    <s v="DISCOUNT ALLOWED"/>
    <s v="Discount Allowed"/>
    <s v="23/07/22"/>
  </r>
  <r>
    <s v="TXN_7405215"/>
    <s v="CUST_22"/>
    <x v="6"/>
    <x v="140"/>
    <x v="17"/>
    <x v="2"/>
    <n v="124"/>
    <x v="1"/>
    <x v="0"/>
    <x v="892"/>
    <x v="1"/>
    <s v="DISCOUNT ALLOWED"/>
    <s v="discount allowed"/>
    <s v="DISCOUNT ALLOWED"/>
    <s v="Discount Allowed"/>
    <s v="07/01/22"/>
  </r>
  <r>
    <s v="TXN_7761795"/>
    <s v="CUST_24"/>
    <x v="5"/>
    <x v="138"/>
    <x v="17"/>
    <x v="2"/>
    <n v="124"/>
    <x v="1"/>
    <x v="1"/>
    <x v="42"/>
    <x v="1"/>
    <s v="DISCOUNT ALLOWED"/>
    <s v="discount allowed"/>
    <s v="DISCOUNT ALLOWED"/>
    <s v="Discount Allowed"/>
    <s v="02/09/22"/>
  </r>
  <r>
    <s v="TXN_7872818"/>
    <s v="CUST_25"/>
    <x v="7"/>
    <x v="137"/>
    <x v="17"/>
    <x v="2"/>
    <n v="124"/>
    <x v="2"/>
    <x v="1"/>
    <x v="955"/>
    <x v="1"/>
    <s v="DISCOUNT ALLOWED"/>
    <s v="discount allowed"/>
    <s v="DISCOUNT ALLOWED"/>
    <s v="Discount Allowed"/>
    <s v="21/12/24"/>
  </r>
  <r>
    <s v="TXN_8227754"/>
    <s v="CUST_11"/>
    <x v="7"/>
    <x v="137"/>
    <x v="17"/>
    <x v="2"/>
    <n v="124"/>
    <x v="2"/>
    <x v="0"/>
    <x v="40"/>
    <x v="0"/>
    <s v="DISCOUNT NOT ALLOWED"/>
    <s v="discount not allowed"/>
    <s v="DISCOUNT NOT ALLOWED"/>
    <s v="Discount Not Allowed"/>
    <s v="24/08/22"/>
  </r>
  <r>
    <s v="TXN_8514415"/>
    <s v="CUST_03"/>
    <x v="2"/>
    <x v="135"/>
    <x v="17"/>
    <x v="2"/>
    <n v="124"/>
    <x v="1"/>
    <x v="0"/>
    <x v="1056"/>
    <x v="1"/>
    <s v="DISCOUNT ALLOWED"/>
    <s v="discount allowed"/>
    <s v="DISCOUNT ALLOWED"/>
    <s v="Discount Allowed"/>
    <s v="21/12/22"/>
  </r>
  <r>
    <s v="TXN_8648358"/>
    <s v="CUST_16"/>
    <x v="0"/>
    <x v="139"/>
    <x v="17"/>
    <x v="2"/>
    <n v="124"/>
    <x v="0"/>
    <x v="0"/>
    <x v="641"/>
    <x v="0"/>
    <s v="DISCOUNT NOT ALLOWED"/>
    <s v="discount not allowed"/>
    <s v="DISCOUNT NOT ALLOWED"/>
    <s v="Discount Not Allowed"/>
    <s v="09/01/22"/>
  </r>
  <r>
    <s v="TXN_8738852"/>
    <s v="CUST_22"/>
    <x v="1"/>
    <x v="136"/>
    <x v="17"/>
    <x v="2"/>
    <n v="124"/>
    <x v="0"/>
    <x v="1"/>
    <x v="785"/>
    <x v="1"/>
    <s v="DISCOUNT ALLOWED"/>
    <s v="discount allowed"/>
    <s v="DISCOUNT ALLOWED"/>
    <s v="Discount Allowed"/>
    <s v="30/03/22"/>
  </r>
  <r>
    <s v="TXN_8786372"/>
    <s v="CUST_25"/>
    <x v="5"/>
    <x v="138"/>
    <x v="17"/>
    <x v="2"/>
    <n v="124"/>
    <x v="0"/>
    <x v="0"/>
    <x v="932"/>
    <x v="0"/>
    <s v="DISCOUNT NOT ALLOWED"/>
    <s v="discount not allowed"/>
    <s v="DISCOUNT NOT ALLOWED"/>
    <s v="Discount Not Allowed"/>
    <s v="22/04/22"/>
  </r>
  <r>
    <s v="TXN_9273608"/>
    <s v="CUST_22"/>
    <x v="3"/>
    <x v="134"/>
    <x v="17"/>
    <x v="2"/>
    <n v="124"/>
    <x v="1"/>
    <x v="0"/>
    <x v="1057"/>
    <x v="0"/>
    <s v="DISCOUNT NOT ALLOWED"/>
    <s v="discount not allowed"/>
    <s v="DISCOUNT NOT ALLOWED"/>
    <s v="Discount Not Allowed"/>
    <s v="19/03/23"/>
  </r>
  <r>
    <s v="TXN_9451154"/>
    <s v="CUST_05"/>
    <x v="3"/>
    <x v="134"/>
    <x v="17"/>
    <x v="2"/>
    <n v="124"/>
    <x v="1"/>
    <x v="0"/>
    <x v="62"/>
    <x v="1"/>
    <s v="DISCOUNT ALLOWED"/>
    <s v="discount allowed"/>
    <s v="DISCOUNT ALLOWED"/>
    <s v="Discount Allowed"/>
    <s v="26/06/23"/>
  </r>
  <r>
    <s v="TXN_9644977"/>
    <s v="CUST_17"/>
    <x v="3"/>
    <x v="134"/>
    <x v="17"/>
    <x v="2"/>
    <n v="124"/>
    <x v="2"/>
    <x v="1"/>
    <x v="38"/>
    <x v="0"/>
    <s v="DISCOUNT NOT ALLOWED"/>
    <s v="discount not allowed"/>
    <s v="DISCOUNT NOT ALLOWED"/>
    <s v="Discount Not Allowed"/>
    <s v="18/02/22"/>
  </r>
  <r>
    <s v="TXN_9816119"/>
    <s v="CUST_08"/>
    <x v="1"/>
    <x v="136"/>
    <x v="17"/>
    <x v="2"/>
    <n v="124"/>
    <x v="0"/>
    <x v="0"/>
    <x v="579"/>
    <x v="0"/>
    <s v="DISCOUNT NOT ALLOWED"/>
    <s v="discount not allowed"/>
    <s v="DISCOUNT NOT ALLOWED"/>
    <s v="Discount Not Allowed"/>
    <s v="26/08/22"/>
  </r>
  <r>
    <s v="TXN_9995715"/>
    <s v="CUST_11"/>
    <x v="6"/>
    <x v="140"/>
    <x v="17"/>
    <x v="2"/>
    <n v="124"/>
    <x v="1"/>
    <x v="0"/>
    <x v="910"/>
    <x v="1"/>
    <s v="DISCOUNT ALLOWED"/>
    <s v="discount allowed"/>
    <s v="DISCOUNT ALLOWED"/>
    <s v="Discount Allowed"/>
    <s v="20/01/22"/>
  </r>
  <r>
    <s v="TXN_1004091"/>
    <s v="CUST_04"/>
    <x v="4"/>
    <x v="4"/>
    <x v="0"/>
    <x v="7"/>
    <n v="123"/>
    <x v="1"/>
    <x v="1"/>
    <x v="1011"/>
    <x v="0"/>
    <s v="DISCOUNT NOT ALLOWED"/>
    <s v="discount not allowed"/>
    <s v="DISCOUNT NOT ALLOWED"/>
    <s v="Discount Not Allowed"/>
    <s v="09/11/23"/>
  </r>
  <r>
    <s v="TXN_1048755"/>
    <s v="CUST_05"/>
    <x v="3"/>
    <x v="3"/>
    <x v="0"/>
    <x v="7"/>
    <n v="123"/>
    <x v="2"/>
    <x v="0"/>
    <x v="432"/>
    <x v="1"/>
    <s v="DISCOUNT ALLOWED"/>
    <s v="discount allowed"/>
    <s v="DISCOUNT ALLOWED"/>
    <s v="Discount Allowed"/>
    <s v="06/10/24"/>
  </r>
  <r>
    <s v="TXN_1371395"/>
    <s v="CUST_19"/>
    <x v="4"/>
    <x v="4"/>
    <x v="0"/>
    <x v="7"/>
    <n v="123"/>
    <x v="2"/>
    <x v="1"/>
    <x v="341"/>
    <x v="1"/>
    <s v="DISCOUNT ALLOWED"/>
    <s v="discount allowed"/>
    <s v="DISCOUNT ALLOWED"/>
    <s v="Discount Allowed"/>
    <s v="12/07/24"/>
  </r>
  <r>
    <s v="TXN_1372376"/>
    <s v="CUST_03"/>
    <x v="5"/>
    <x v="5"/>
    <x v="0"/>
    <x v="7"/>
    <n v="123"/>
    <x v="1"/>
    <x v="1"/>
    <x v="435"/>
    <x v="1"/>
    <s v="DISCOUNT ALLOWED"/>
    <s v="discount allowed"/>
    <s v="DISCOUNT ALLOWED"/>
    <s v="Discount Allowed"/>
    <s v="26/10/23"/>
  </r>
  <r>
    <s v="TXN_1394876"/>
    <s v="CUST_20"/>
    <x v="2"/>
    <x v="2"/>
    <x v="0"/>
    <x v="7"/>
    <n v="123"/>
    <x v="2"/>
    <x v="0"/>
    <x v="387"/>
    <x v="1"/>
    <s v="DISCOUNT ALLOWED"/>
    <s v="discount allowed"/>
    <s v="DISCOUNT ALLOWED"/>
    <s v="Discount Allowed"/>
    <s v="30/12/22"/>
  </r>
  <r>
    <s v="TXN_1757347"/>
    <s v="CUST_06"/>
    <x v="3"/>
    <x v="3"/>
    <x v="0"/>
    <x v="7"/>
    <n v="123"/>
    <x v="1"/>
    <x v="0"/>
    <x v="683"/>
    <x v="0"/>
    <s v="DISCOUNT NOT ALLOWED"/>
    <s v="discount not allowed"/>
    <s v="DISCOUNT NOT ALLOWED"/>
    <s v="Discount Not Allowed"/>
    <s v="21/02/22"/>
  </r>
  <r>
    <s v="TXN_1767448"/>
    <s v="CUST_07"/>
    <x v="1"/>
    <x v="1"/>
    <x v="0"/>
    <x v="7"/>
    <n v="123"/>
    <x v="1"/>
    <x v="0"/>
    <x v="612"/>
    <x v="1"/>
    <s v="DISCOUNT ALLOWED"/>
    <s v="discount allowed"/>
    <s v="DISCOUNT ALLOWED"/>
    <s v="Discount Allowed"/>
    <s v="18/11/24"/>
  </r>
  <r>
    <s v="TXN_1812590"/>
    <s v="CUST_17"/>
    <x v="2"/>
    <x v="2"/>
    <x v="0"/>
    <x v="7"/>
    <n v="123"/>
    <x v="1"/>
    <x v="1"/>
    <x v="87"/>
    <x v="1"/>
    <s v="DISCOUNT ALLOWED"/>
    <s v="discount allowed"/>
    <s v="DISCOUNT ALLOWED"/>
    <s v="Discount Allowed"/>
    <s v="23/07/23"/>
  </r>
  <r>
    <s v="TXN_1949455"/>
    <s v="CUST_25"/>
    <x v="2"/>
    <x v="2"/>
    <x v="0"/>
    <x v="7"/>
    <n v="123"/>
    <x v="0"/>
    <x v="0"/>
    <x v="669"/>
    <x v="1"/>
    <s v="DISCOUNT ALLOWED"/>
    <s v="discount allowed"/>
    <s v="DISCOUNT ALLOWED"/>
    <s v="Discount Allowed"/>
    <s v="23/01/22"/>
  </r>
  <r>
    <s v="TXN_2112426"/>
    <s v="CUST_13"/>
    <x v="7"/>
    <x v="7"/>
    <x v="0"/>
    <x v="7"/>
    <n v="123"/>
    <x v="2"/>
    <x v="0"/>
    <x v="946"/>
    <x v="1"/>
    <s v="DISCOUNT ALLOWED"/>
    <s v="discount allowed"/>
    <s v="DISCOUNT ALLOWED"/>
    <s v="Discount Allowed"/>
    <s v="25/11/24"/>
  </r>
  <r>
    <s v="TXN_2215668"/>
    <s v="CUST_03"/>
    <x v="4"/>
    <x v="4"/>
    <x v="0"/>
    <x v="7"/>
    <n v="123"/>
    <x v="2"/>
    <x v="1"/>
    <x v="280"/>
    <x v="0"/>
    <s v="DISCOUNT NOT ALLOWED"/>
    <s v="discount not allowed"/>
    <s v="DISCOUNT NOT ALLOWED"/>
    <s v="Discount Not Allowed"/>
    <s v="28/06/23"/>
  </r>
  <r>
    <s v="TXN_2221521"/>
    <s v="CUST_08"/>
    <x v="2"/>
    <x v="2"/>
    <x v="0"/>
    <x v="7"/>
    <n v="123"/>
    <x v="1"/>
    <x v="0"/>
    <x v="824"/>
    <x v="0"/>
    <s v="DISCOUNT NOT ALLOWED"/>
    <s v="discount not allowed"/>
    <s v="DISCOUNT NOT ALLOWED"/>
    <s v="Discount Not Allowed"/>
    <s v="14/07/24"/>
  </r>
  <r>
    <s v="TXN_2430342"/>
    <s v="CUST_11"/>
    <x v="4"/>
    <x v="4"/>
    <x v="0"/>
    <x v="7"/>
    <n v="123"/>
    <x v="0"/>
    <x v="0"/>
    <x v="58"/>
    <x v="1"/>
    <s v="DISCOUNT ALLOWED"/>
    <s v="discount allowed"/>
    <s v="DISCOUNT ALLOWED"/>
    <s v="Discount Allowed"/>
    <s v="09/04/24"/>
  </r>
  <r>
    <s v="TXN_2561337"/>
    <s v="CUST_20"/>
    <x v="2"/>
    <x v="2"/>
    <x v="0"/>
    <x v="7"/>
    <n v="123"/>
    <x v="2"/>
    <x v="0"/>
    <x v="28"/>
    <x v="1"/>
    <s v="DISCOUNT ALLOWED"/>
    <s v="discount allowed"/>
    <s v="DISCOUNT ALLOWED"/>
    <s v="Discount Allowed"/>
    <s v="27/03/24"/>
  </r>
  <r>
    <s v="TXN_2573164"/>
    <s v="CUST_04"/>
    <x v="2"/>
    <x v="2"/>
    <x v="0"/>
    <x v="7"/>
    <n v="123"/>
    <x v="1"/>
    <x v="0"/>
    <x v="730"/>
    <x v="1"/>
    <s v="DISCOUNT ALLOWED"/>
    <s v="discount allowed"/>
    <s v="DISCOUNT ALLOWED"/>
    <s v="Discount Allowed"/>
    <s v="11/08/22"/>
  </r>
  <r>
    <s v="TXN_2789621"/>
    <s v="CUST_05"/>
    <x v="0"/>
    <x v="0"/>
    <x v="0"/>
    <x v="7"/>
    <n v="123"/>
    <x v="0"/>
    <x v="1"/>
    <x v="147"/>
    <x v="0"/>
    <s v="DISCOUNT NOT ALLOWED"/>
    <s v="discount not allowed"/>
    <s v="DISCOUNT NOT ALLOWED"/>
    <s v="Discount Not Allowed"/>
    <s v="15/07/23"/>
  </r>
  <r>
    <s v="TXN_2961224"/>
    <s v="CUST_10"/>
    <x v="3"/>
    <x v="3"/>
    <x v="0"/>
    <x v="7"/>
    <n v="123"/>
    <x v="0"/>
    <x v="0"/>
    <x v="600"/>
    <x v="0"/>
    <s v="DISCOUNT NOT ALLOWED"/>
    <s v="discount not allowed"/>
    <s v="DISCOUNT NOT ALLOWED"/>
    <s v="Discount Not Allowed"/>
    <s v="26/10/22"/>
  </r>
  <r>
    <s v="TXN_3096751"/>
    <s v="CUST_20"/>
    <x v="3"/>
    <x v="3"/>
    <x v="0"/>
    <x v="7"/>
    <n v="123"/>
    <x v="2"/>
    <x v="1"/>
    <x v="678"/>
    <x v="1"/>
    <s v="DISCOUNT ALLOWED"/>
    <s v="discount allowed"/>
    <s v="DISCOUNT ALLOWED"/>
    <s v="Discount Allowed"/>
    <s v="09/03/23"/>
  </r>
  <r>
    <s v="TXN_3575644"/>
    <s v="CUST_15"/>
    <x v="3"/>
    <x v="3"/>
    <x v="0"/>
    <x v="7"/>
    <n v="123"/>
    <x v="1"/>
    <x v="0"/>
    <x v="55"/>
    <x v="0"/>
    <s v="DISCOUNT NOT ALLOWED"/>
    <s v="discount not allowed"/>
    <s v="DISCOUNT NOT ALLOWED"/>
    <s v="Discount Not Allowed"/>
    <s v="26/05/23"/>
  </r>
  <r>
    <s v="TXN_3620925"/>
    <s v="CUST_16"/>
    <x v="5"/>
    <x v="5"/>
    <x v="0"/>
    <x v="7"/>
    <n v="123"/>
    <x v="1"/>
    <x v="0"/>
    <x v="932"/>
    <x v="0"/>
    <s v="DISCOUNT NOT ALLOWED"/>
    <s v="discount not allowed"/>
    <s v="DISCOUNT NOT ALLOWED"/>
    <s v="Discount Not Allowed"/>
    <s v="22/04/22"/>
  </r>
  <r>
    <s v="TXN_3846015"/>
    <s v="CUST_19"/>
    <x v="5"/>
    <x v="5"/>
    <x v="0"/>
    <x v="7"/>
    <n v="123"/>
    <x v="0"/>
    <x v="0"/>
    <x v="868"/>
    <x v="0"/>
    <s v="DISCOUNT NOT ALLOWED"/>
    <s v="discount not allowed"/>
    <s v="DISCOUNT NOT ALLOWED"/>
    <s v="Discount Not Allowed"/>
    <s v="22/08/24"/>
  </r>
  <r>
    <s v="TXN_3866783"/>
    <s v="CUST_12"/>
    <x v="4"/>
    <x v="4"/>
    <x v="0"/>
    <x v="7"/>
    <n v="123"/>
    <x v="2"/>
    <x v="1"/>
    <x v="449"/>
    <x v="0"/>
    <s v="DISCOUNT NOT ALLOWED"/>
    <s v="discount not allowed"/>
    <s v="DISCOUNT NOT ALLOWED"/>
    <s v="Discount Not Allowed"/>
    <s v="27/03/22"/>
  </r>
  <r>
    <s v="TXN_3888332"/>
    <s v="CUST_09"/>
    <x v="6"/>
    <x v="6"/>
    <x v="0"/>
    <x v="7"/>
    <n v="123"/>
    <x v="1"/>
    <x v="1"/>
    <x v="843"/>
    <x v="0"/>
    <s v="DISCOUNT NOT ALLOWED"/>
    <s v="discount not allowed"/>
    <s v="DISCOUNT NOT ALLOWED"/>
    <s v="Discount Not Allowed"/>
    <s v="07/08/24"/>
  </r>
  <r>
    <s v="TXN_4195517"/>
    <s v="CUST_19"/>
    <x v="4"/>
    <x v="4"/>
    <x v="0"/>
    <x v="7"/>
    <n v="123"/>
    <x v="2"/>
    <x v="1"/>
    <x v="173"/>
    <x v="0"/>
    <s v="DISCOUNT NOT ALLOWED"/>
    <s v="discount not allowed"/>
    <s v="DISCOUNT NOT ALLOWED"/>
    <s v="Discount Not Allowed"/>
    <s v="17/11/23"/>
  </r>
  <r>
    <s v="TXN_4300165"/>
    <s v="CUST_15"/>
    <x v="1"/>
    <x v="1"/>
    <x v="0"/>
    <x v="7"/>
    <n v="123"/>
    <x v="0"/>
    <x v="0"/>
    <x v="187"/>
    <x v="1"/>
    <s v="DISCOUNT ALLOWED"/>
    <s v="discount allowed"/>
    <s v="DISCOUNT ALLOWED"/>
    <s v="Discount Allowed"/>
    <s v="18/02/23"/>
  </r>
  <r>
    <s v="TXN_4553750"/>
    <s v="CUST_17"/>
    <x v="1"/>
    <x v="1"/>
    <x v="0"/>
    <x v="7"/>
    <n v="123"/>
    <x v="2"/>
    <x v="1"/>
    <x v="1027"/>
    <x v="0"/>
    <s v="DISCOUNT NOT ALLOWED"/>
    <s v="discount not allowed"/>
    <s v="DISCOUNT NOT ALLOWED"/>
    <s v="Discount Not Allowed"/>
    <s v="30/05/24"/>
  </r>
  <r>
    <s v="TXN_4691878"/>
    <s v="CUST_10"/>
    <x v="2"/>
    <x v="2"/>
    <x v="0"/>
    <x v="7"/>
    <n v="123"/>
    <x v="1"/>
    <x v="0"/>
    <x v="1023"/>
    <x v="1"/>
    <s v="DISCOUNT ALLOWED"/>
    <s v="discount allowed"/>
    <s v="DISCOUNT ALLOWED"/>
    <s v="Discount Allowed"/>
    <s v="11/02/24"/>
  </r>
  <r>
    <s v="TXN_5660916"/>
    <s v="CUST_02"/>
    <x v="4"/>
    <x v="4"/>
    <x v="0"/>
    <x v="7"/>
    <n v="123"/>
    <x v="0"/>
    <x v="1"/>
    <x v="620"/>
    <x v="1"/>
    <s v="DISCOUNT ALLOWED"/>
    <s v="discount allowed"/>
    <s v="DISCOUNT ALLOWED"/>
    <s v="Discount Allowed"/>
    <s v="19/09/23"/>
  </r>
  <r>
    <s v="TXN_5711029"/>
    <s v="CUST_21"/>
    <x v="3"/>
    <x v="3"/>
    <x v="0"/>
    <x v="7"/>
    <n v="123"/>
    <x v="1"/>
    <x v="1"/>
    <x v="85"/>
    <x v="0"/>
    <s v="DISCOUNT NOT ALLOWED"/>
    <s v="discount not allowed"/>
    <s v="DISCOUNT NOT ALLOWED"/>
    <s v="Discount Not Allowed"/>
    <s v="18/10/24"/>
  </r>
  <r>
    <s v="TXN_5759876"/>
    <s v="CUST_03"/>
    <x v="4"/>
    <x v="4"/>
    <x v="0"/>
    <x v="7"/>
    <n v="123"/>
    <x v="1"/>
    <x v="0"/>
    <x v="406"/>
    <x v="1"/>
    <s v="DISCOUNT ALLOWED"/>
    <s v="discount allowed"/>
    <s v="DISCOUNT ALLOWED"/>
    <s v="Discount Allowed"/>
    <s v="27/12/23"/>
  </r>
  <r>
    <s v="TXN_5897445"/>
    <s v="CUST_19"/>
    <x v="3"/>
    <x v="3"/>
    <x v="0"/>
    <x v="7"/>
    <n v="123"/>
    <x v="0"/>
    <x v="0"/>
    <x v="896"/>
    <x v="0"/>
    <s v="DISCOUNT NOT ALLOWED"/>
    <s v="discount not allowed"/>
    <s v="DISCOUNT NOT ALLOWED"/>
    <s v="Discount Not Allowed"/>
    <s v="14/02/22"/>
  </r>
  <r>
    <s v="TXN_5926411"/>
    <s v="CUST_06"/>
    <x v="2"/>
    <x v="2"/>
    <x v="0"/>
    <x v="7"/>
    <n v="123"/>
    <x v="2"/>
    <x v="1"/>
    <x v="278"/>
    <x v="0"/>
    <s v="DISCOUNT NOT ALLOWED"/>
    <s v="discount not allowed"/>
    <s v="DISCOUNT NOT ALLOWED"/>
    <s v="Discount Not Allowed"/>
    <s v="26/12/24"/>
  </r>
  <r>
    <s v="TXN_5957357"/>
    <s v="CUST_18"/>
    <x v="5"/>
    <x v="5"/>
    <x v="0"/>
    <x v="7"/>
    <n v="123"/>
    <x v="1"/>
    <x v="0"/>
    <x v="888"/>
    <x v="1"/>
    <s v="DISCOUNT ALLOWED"/>
    <s v="discount allowed"/>
    <s v="DISCOUNT ALLOWED"/>
    <s v="Discount Allowed"/>
    <s v="10/08/23"/>
  </r>
  <r>
    <s v="TXN_6117863"/>
    <s v="CUST_12"/>
    <x v="2"/>
    <x v="2"/>
    <x v="0"/>
    <x v="7"/>
    <n v="123"/>
    <x v="0"/>
    <x v="1"/>
    <x v="407"/>
    <x v="0"/>
    <s v="DISCOUNT NOT ALLOWED"/>
    <s v="discount not allowed"/>
    <s v="DISCOUNT NOT ALLOWED"/>
    <s v="Discount Not Allowed"/>
    <s v="10/10/22"/>
  </r>
  <r>
    <s v="TXN_6131542"/>
    <s v="CUST_18"/>
    <x v="1"/>
    <x v="1"/>
    <x v="0"/>
    <x v="7"/>
    <n v="123"/>
    <x v="0"/>
    <x v="0"/>
    <x v="755"/>
    <x v="1"/>
    <s v="DISCOUNT ALLOWED"/>
    <s v="discount allowed"/>
    <s v="DISCOUNT ALLOWED"/>
    <s v="Discount Allowed"/>
    <s v="22/07/24"/>
  </r>
  <r>
    <s v="TXN_6329480"/>
    <s v="CUST_18"/>
    <x v="4"/>
    <x v="4"/>
    <x v="0"/>
    <x v="7"/>
    <n v="123"/>
    <x v="1"/>
    <x v="1"/>
    <x v="115"/>
    <x v="0"/>
    <s v="DISCOUNT NOT ALLOWED"/>
    <s v="discount not allowed"/>
    <s v="DISCOUNT NOT ALLOWED"/>
    <s v="Discount Not Allowed"/>
    <s v="21/08/22"/>
  </r>
  <r>
    <s v="TXN_6439849"/>
    <s v="CUST_24"/>
    <x v="7"/>
    <x v="7"/>
    <x v="0"/>
    <x v="7"/>
    <n v="123"/>
    <x v="1"/>
    <x v="1"/>
    <x v="358"/>
    <x v="0"/>
    <s v="DISCOUNT NOT ALLOWED"/>
    <s v="discount not allowed"/>
    <s v="DISCOUNT NOT ALLOWED"/>
    <s v="Discount Not Allowed"/>
    <s v="01/10/22"/>
  </r>
  <r>
    <s v="TXN_6698401"/>
    <s v="CUST_02"/>
    <x v="5"/>
    <x v="5"/>
    <x v="0"/>
    <x v="7"/>
    <n v="123"/>
    <x v="1"/>
    <x v="0"/>
    <x v="342"/>
    <x v="0"/>
    <s v="DISCOUNT NOT ALLOWED"/>
    <s v="discount not allowed"/>
    <s v="DISCOUNT NOT ALLOWED"/>
    <s v="Discount Not Allowed"/>
    <s v="02/07/24"/>
  </r>
  <r>
    <s v="TXN_7547051"/>
    <s v="CUST_23"/>
    <x v="4"/>
    <x v="4"/>
    <x v="0"/>
    <x v="7"/>
    <n v="123"/>
    <x v="0"/>
    <x v="1"/>
    <x v="1009"/>
    <x v="0"/>
    <s v="DISCOUNT NOT ALLOWED"/>
    <s v="discount not allowed"/>
    <s v="DISCOUNT NOT ALLOWED"/>
    <s v="Discount Not Allowed"/>
    <s v="24/09/24"/>
  </r>
  <r>
    <s v="TXN_7725571"/>
    <s v="CUST_09"/>
    <x v="2"/>
    <x v="2"/>
    <x v="0"/>
    <x v="7"/>
    <n v="123"/>
    <x v="2"/>
    <x v="0"/>
    <x v="668"/>
    <x v="1"/>
    <s v="DISCOUNT ALLOWED"/>
    <s v="discount allowed"/>
    <s v="DISCOUNT ALLOWED"/>
    <s v="Discount Allowed"/>
    <s v="24/06/24"/>
  </r>
  <r>
    <s v="TXN_8050462"/>
    <s v="CUST_03"/>
    <x v="4"/>
    <x v="4"/>
    <x v="0"/>
    <x v="7"/>
    <n v="123"/>
    <x v="0"/>
    <x v="1"/>
    <x v="1027"/>
    <x v="0"/>
    <s v="DISCOUNT NOT ALLOWED"/>
    <s v="discount not allowed"/>
    <s v="DISCOUNT NOT ALLOWED"/>
    <s v="Discount Not Allowed"/>
    <s v="30/05/24"/>
  </r>
  <r>
    <s v="TXN_8254435"/>
    <s v="CUST_17"/>
    <x v="6"/>
    <x v="6"/>
    <x v="0"/>
    <x v="7"/>
    <n v="123"/>
    <x v="1"/>
    <x v="1"/>
    <x v="740"/>
    <x v="0"/>
    <s v="DISCOUNT NOT ALLOWED"/>
    <s v="discount not allowed"/>
    <s v="DISCOUNT NOT ALLOWED"/>
    <s v="Discount Not Allowed"/>
    <s v="04/09/22"/>
  </r>
  <r>
    <s v="TXN_8777313"/>
    <s v="CUST_20"/>
    <x v="4"/>
    <x v="4"/>
    <x v="0"/>
    <x v="7"/>
    <n v="123"/>
    <x v="0"/>
    <x v="1"/>
    <x v="613"/>
    <x v="0"/>
    <s v="DISCOUNT NOT ALLOWED"/>
    <s v="discount not allowed"/>
    <s v="DISCOUNT NOT ALLOWED"/>
    <s v="Discount Not Allowed"/>
    <s v="20/04/23"/>
  </r>
  <r>
    <s v="TXN_8914458"/>
    <s v="CUST_25"/>
    <x v="7"/>
    <x v="7"/>
    <x v="0"/>
    <x v="7"/>
    <n v="123"/>
    <x v="0"/>
    <x v="1"/>
    <x v="178"/>
    <x v="1"/>
    <s v="DISCOUNT ALLOWED"/>
    <s v="discount allowed"/>
    <s v="DISCOUNT ALLOWED"/>
    <s v="Discount Allowed"/>
    <s v="21/10/24"/>
  </r>
  <r>
    <s v="TXN_9093964"/>
    <s v="CUST_19"/>
    <x v="5"/>
    <x v="5"/>
    <x v="0"/>
    <x v="7"/>
    <n v="123"/>
    <x v="2"/>
    <x v="0"/>
    <x v="20"/>
    <x v="0"/>
    <s v="DISCOUNT NOT ALLOWED"/>
    <s v="discount not allowed"/>
    <s v="DISCOUNT NOT ALLOWED"/>
    <s v="Discount Not Allowed"/>
    <s v="24/12/24"/>
  </r>
  <r>
    <s v="TXN_9471173"/>
    <s v="CUST_05"/>
    <x v="2"/>
    <x v="2"/>
    <x v="0"/>
    <x v="7"/>
    <n v="123"/>
    <x v="0"/>
    <x v="0"/>
    <x v="276"/>
    <x v="1"/>
    <s v="DISCOUNT ALLOWED"/>
    <s v="discount allowed"/>
    <s v="DISCOUNT ALLOWED"/>
    <s v="Discount Allowed"/>
    <s v="27/02/23"/>
  </r>
  <r>
    <s v="TXN_9732293"/>
    <s v="CUST_24"/>
    <x v="3"/>
    <x v="3"/>
    <x v="0"/>
    <x v="7"/>
    <n v="123"/>
    <x v="2"/>
    <x v="1"/>
    <x v="1058"/>
    <x v="1"/>
    <s v="DISCOUNT ALLOWED"/>
    <s v="discount allowed"/>
    <s v="DISCOUNT ALLOWED"/>
    <s v="Discount Allowed"/>
    <s v="06/08/22"/>
  </r>
  <r>
    <s v="TXN_1056184"/>
    <s v="CUST_16"/>
    <x v="1"/>
    <x v="89"/>
    <x v="11"/>
    <x v="5"/>
    <n v="122.5"/>
    <x v="2"/>
    <x v="1"/>
    <x v="274"/>
    <x v="0"/>
    <s v="DISCOUNT NOT ALLOWED"/>
    <s v="discount not allowed"/>
    <s v="DISCOUNT NOT ALLOWED"/>
    <s v="Discount Not Allowed"/>
    <s v="30/11/24"/>
  </r>
  <r>
    <s v="TXN_1575979"/>
    <s v="CUST_14"/>
    <x v="2"/>
    <x v="90"/>
    <x v="11"/>
    <x v="5"/>
    <n v="122.5"/>
    <x v="0"/>
    <x v="1"/>
    <x v="618"/>
    <x v="1"/>
    <s v="DISCOUNT ALLOWED"/>
    <s v="discount allowed"/>
    <s v="DISCOUNT ALLOWED"/>
    <s v="Discount Allowed"/>
    <s v="23/01/24"/>
  </r>
  <r>
    <s v="TXN_2219980"/>
    <s v="CUST_05"/>
    <x v="7"/>
    <x v="86"/>
    <x v="11"/>
    <x v="5"/>
    <n v="122.5"/>
    <x v="0"/>
    <x v="1"/>
    <x v="52"/>
    <x v="0"/>
    <s v="DISCOUNT NOT ALLOWED"/>
    <s v="discount not allowed"/>
    <s v="DISCOUNT NOT ALLOWED"/>
    <s v="Discount Not Allowed"/>
    <s v="05/12/24"/>
  </r>
  <r>
    <s v="TXN_2342593"/>
    <s v="CUST_18"/>
    <x v="1"/>
    <x v="89"/>
    <x v="11"/>
    <x v="5"/>
    <n v="122.5"/>
    <x v="1"/>
    <x v="0"/>
    <x v="229"/>
    <x v="1"/>
    <s v="DISCOUNT ALLOWED"/>
    <s v="discount allowed"/>
    <s v="DISCOUNT ALLOWED"/>
    <s v="Discount Allowed"/>
    <s v="16/03/24"/>
  </r>
  <r>
    <s v="TXN_2391516"/>
    <s v="CUST_18"/>
    <x v="4"/>
    <x v="87"/>
    <x v="11"/>
    <x v="5"/>
    <n v="122.5"/>
    <x v="0"/>
    <x v="1"/>
    <x v="615"/>
    <x v="1"/>
    <s v="DISCOUNT ALLOWED"/>
    <s v="discount allowed"/>
    <s v="DISCOUNT ALLOWED"/>
    <s v="Discount Allowed"/>
    <s v="02/12/23"/>
  </r>
  <r>
    <s v="TXN_2539807"/>
    <s v="CUST_18"/>
    <x v="1"/>
    <x v="89"/>
    <x v="11"/>
    <x v="5"/>
    <n v="122.5"/>
    <x v="1"/>
    <x v="0"/>
    <x v="717"/>
    <x v="1"/>
    <s v="DISCOUNT ALLOWED"/>
    <s v="discount allowed"/>
    <s v="DISCOUNT ALLOWED"/>
    <s v="Discount Allowed"/>
    <s v="15/05/22"/>
  </r>
  <r>
    <s v="TXN_3061840"/>
    <s v="CUST_06"/>
    <x v="5"/>
    <x v="100"/>
    <x v="11"/>
    <x v="5"/>
    <n v="122.5"/>
    <x v="2"/>
    <x v="0"/>
    <x v="446"/>
    <x v="1"/>
    <s v="DISCOUNT ALLOWED"/>
    <s v="discount allowed"/>
    <s v="DISCOUNT ALLOWED"/>
    <s v="Discount Allowed"/>
    <s v="12/09/24"/>
  </r>
  <r>
    <s v="TXN_3521530"/>
    <s v="CUST_11"/>
    <x v="1"/>
    <x v="89"/>
    <x v="11"/>
    <x v="5"/>
    <n v="122.5"/>
    <x v="2"/>
    <x v="1"/>
    <x v="698"/>
    <x v="1"/>
    <s v="DISCOUNT ALLOWED"/>
    <s v="discount allowed"/>
    <s v="DISCOUNT ALLOWED"/>
    <s v="Discount Allowed"/>
    <s v="30/01/23"/>
  </r>
  <r>
    <s v="TXN_3856063"/>
    <s v="CUST_18"/>
    <x v="4"/>
    <x v="87"/>
    <x v="11"/>
    <x v="5"/>
    <n v="122.5"/>
    <x v="0"/>
    <x v="1"/>
    <x v="791"/>
    <x v="1"/>
    <s v="DISCOUNT ALLOWED"/>
    <s v="discount allowed"/>
    <s v="DISCOUNT ALLOWED"/>
    <s v="Discount Allowed"/>
    <s v="25/11/23"/>
  </r>
  <r>
    <s v="TXN_3951114"/>
    <s v="CUST_23"/>
    <x v="1"/>
    <x v="89"/>
    <x v="11"/>
    <x v="5"/>
    <n v="122.5"/>
    <x v="0"/>
    <x v="0"/>
    <x v="234"/>
    <x v="1"/>
    <s v="DISCOUNT ALLOWED"/>
    <s v="discount allowed"/>
    <s v="DISCOUNT ALLOWED"/>
    <s v="Discount Allowed"/>
    <s v="16/01/22"/>
  </r>
  <r>
    <s v="TXN_4292272"/>
    <s v="CUST_14"/>
    <x v="1"/>
    <x v="89"/>
    <x v="11"/>
    <x v="5"/>
    <n v="122.5"/>
    <x v="1"/>
    <x v="0"/>
    <x v="728"/>
    <x v="0"/>
    <s v="DISCOUNT NOT ALLOWED"/>
    <s v="discount not allowed"/>
    <s v="DISCOUNT NOT ALLOWED"/>
    <s v="Discount Not Allowed"/>
    <s v="14/06/22"/>
  </r>
  <r>
    <s v="TXN_4348674"/>
    <s v="CUST_02"/>
    <x v="0"/>
    <x v="91"/>
    <x v="11"/>
    <x v="5"/>
    <n v="122.5"/>
    <x v="1"/>
    <x v="0"/>
    <x v="228"/>
    <x v="0"/>
    <s v="DISCOUNT NOT ALLOWED"/>
    <s v="discount not allowed"/>
    <s v="DISCOUNT NOT ALLOWED"/>
    <s v="Discount Not Allowed"/>
    <s v="27/02/22"/>
  </r>
  <r>
    <s v="TXN_4438498"/>
    <s v="CUST_07"/>
    <x v="1"/>
    <x v="89"/>
    <x v="11"/>
    <x v="5"/>
    <n v="122.5"/>
    <x v="2"/>
    <x v="0"/>
    <x v="885"/>
    <x v="1"/>
    <s v="DISCOUNT ALLOWED"/>
    <s v="discount allowed"/>
    <s v="DISCOUNT ALLOWED"/>
    <s v="Discount Allowed"/>
    <s v="02/06/22"/>
  </r>
  <r>
    <s v="TXN_4522176"/>
    <s v="CUST_02"/>
    <x v="3"/>
    <x v="92"/>
    <x v="11"/>
    <x v="5"/>
    <n v="122.5"/>
    <x v="1"/>
    <x v="0"/>
    <x v="561"/>
    <x v="0"/>
    <s v="DISCOUNT NOT ALLOWED"/>
    <s v="discount not allowed"/>
    <s v="DISCOUNT NOT ALLOWED"/>
    <s v="Discount Not Allowed"/>
    <s v="27/04/24"/>
  </r>
  <r>
    <s v="TXN_4578696"/>
    <s v="CUST_05"/>
    <x v="6"/>
    <x v="88"/>
    <x v="11"/>
    <x v="5"/>
    <n v="122.5"/>
    <x v="2"/>
    <x v="0"/>
    <x v="455"/>
    <x v="1"/>
    <s v="DISCOUNT ALLOWED"/>
    <s v="discount allowed"/>
    <s v="DISCOUNT ALLOWED"/>
    <s v="Discount Allowed"/>
    <s v="06/04/24"/>
  </r>
  <r>
    <s v="TXN_4804748"/>
    <s v="CUST_19"/>
    <x v="7"/>
    <x v="86"/>
    <x v="11"/>
    <x v="5"/>
    <n v="122.5"/>
    <x v="1"/>
    <x v="1"/>
    <x v="224"/>
    <x v="1"/>
    <s v="DISCOUNT ALLOWED"/>
    <s v="discount allowed"/>
    <s v="DISCOUNT ALLOWED"/>
    <s v="Discount Allowed"/>
    <s v="10/06/23"/>
  </r>
  <r>
    <s v="TXN_5459334"/>
    <s v="CUST_20"/>
    <x v="4"/>
    <x v="87"/>
    <x v="11"/>
    <x v="5"/>
    <n v="122.5"/>
    <x v="2"/>
    <x v="0"/>
    <x v="284"/>
    <x v="1"/>
    <s v="DISCOUNT ALLOWED"/>
    <s v="discount allowed"/>
    <s v="DISCOUNT ALLOWED"/>
    <s v="Discount Allowed"/>
    <s v="10/05/23"/>
  </r>
  <r>
    <s v="TXN_5515525"/>
    <s v="CUST_01"/>
    <x v="6"/>
    <x v="88"/>
    <x v="11"/>
    <x v="5"/>
    <n v="122.5"/>
    <x v="2"/>
    <x v="0"/>
    <x v="157"/>
    <x v="1"/>
    <s v="DISCOUNT ALLOWED"/>
    <s v="discount allowed"/>
    <s v="DISCOUNT ALLOWED"/>
    <s v="Discount Allowed"/>
    <s v="08/06/22"/>
  </r>
  <r>
    <s v="TXN_5600766"/>
    <s v="CUST_21"/>
    <x v="4"/>
    <x v="87"/>
    <x v="11"/>
    <x v="5"/>
    <n v="122.5"/>
    <x v="2"/>
    <x v="1"/>
    <x v="970"/>
    <x v="0"/>
    <s v="DISCOUNT NOT ALLOWED"/>
    <s v="discount not allowed"/>
    <s v="DISCOUNT NOT ALLOWED"/>
    <s v="Discount Not Allowed"/>
    <s v="10/04/22"/>
  </r>
  <r>
    <s v="TXN_5762331"/>
    <s v="CUST_24"/>
    <x v="1"/>
    <x v="89"/>
    <x v="11"/>
    <x v="5"/>
    <n v="122.5"/>
    <x v="0"/>
    <x v="0"/>
    <x v="88"/>
    <x v="0"/>
    <s v="DISCOUNT NOT ALLOWED"/>
    <s v="discount not allowed"/>
    <s v="DISCOUNT NOT ALLOWED"/>
    <s v="Discount Not Allowed"/>
    <s v="31/12/22"/>
  </r>
  <r>
    <s v="TXN_6241154"/>
    <s v="CUST_10"/>
    <x v="4"/>
    <x v="87"/>
    <x v="11"/>
    <x v="5"/>
    <n v="122.5"/>
    <x v="1"/>
    <x v="0"/>
    <x v="748"/>
    <x v="1"/>
    <s v="DISCOUNT ALLOWED"/>
    <s v="discount allowed"/>
    <s v="DISCOUNT ALLOWED"/>
    <s v="Discount Allowed"/>
    <s v="21/06/23"/>
  </r>
  <r>
    <s v="TXN_6423634"/>
    <s v="CUST_02"/>
    <x v="7"/>
    <x v="86"/>
    <x v="11"/>
    <x v="5"/>
    <n v="122.5"/>
    <x v="1"/>
    <x v="0"/>
    <x v="142"/>
    <x v="0"/>
    <s v="DISCOUNT NOT ALLOWED"/>
    <s v="discount not allowed"/>
    <s v="DISCOUNT NOT ALLOWED"/>
    <s v="Discount Not Allowed"/>
    <s v="02/08/24"/>
  </r>
  <r>
    <s v="TXN_6803961"/>
    <s v="CUST_05"/>
    <x v="3"/>
    <x v="92"/>
    <x v="11"/>
    <x v="5"/>
    <n v="122.5"/>
    <x v="0"/>
    <x v="0"/>
    <x v="24"/>
    <x v="1"/>
    <s v="DISCOUNT ALLOWED"/>
    <s v="discount allowed"/>
    <s v="DISCOUNT ALLOWED"/>
    <s v="Discount Allowed"/>
    <s v="01/05/24"/>
  </r>
  <r>
    <s v="TXN_7006360"/>
    <s v="CUST_09"/>
    <x v="1"/>
    <x v="89"/>
    <x v="11"/>
    <x v="5"/>
    <n v="122.5"/>
    <x v="2"/>
    <x v="0"/>
    <x v="774"/>
    <x v="1"/>
    <s v="DISCOUNT ALLOWED"/>
    <s v="discount allowed"/>
    <s v="DISCOUNT ALLOWED"/>
    <s v="Discount Allowed"/>
    <s v="17/04/22"/>
  </r>
  <r>
    <s v="TXN_7346993"/>
    <s v="CUST_05"/>
    <x v="7"/>
    <x v="86"/>
    <x v="11"/>
    <x v="5"/>
    <n v="122.5"/>
    <x v="0"/>
    <x v="0"/>
    <x v="375"/>
    <x v="0"/>
    <s v="DISCOUNT NOT ALLOWED"/>
    <s v="discount not allowed"/>
    <s v="DISCOUNT NOT ALLOWED"/>
    <s v="Discount Not Allowed"/>
    <s v="02/07/22"/>
  </r>
  <r>
    <s v="TXN_8076769"/>
    <s v="CUST_03"/>
    <x v="4"/>
    <x v="87"/>
    <x v="11"/>
    <x v="5"/>
    <n v="122.5"/>
    <x v="1"/>
    <x v="0"/>
    <x v="954"/>
    <x v="1"/>
    <s v="DISCOUNT ALLOWED"/>
    <s v="discount allowed"/>
    <s v="DISCOUNT ALLOWED"/>
    <s v="Discount Allowed"/>
    <s v="02/04/22"/>
  </r>
  <r>
    <s v="TXN_8580799"/>
    <s v="CUST_05"/>
    <x v="4"/>
    <x v="87"/>
    <x v="11"/>
    <x v="5"/>
    <n v="122.5"/>
    <x v="1"/>
    <x v="1"/>
    <x v="927"/>
    <x v="1"/>
    <s v="DISCOUNT ALLOWED"/>
    <s v="discount allowed"/>
    <s v="DISCOUNT ALLOWED"/>
    <s v="Discount Allowed"/>
    <s v="28/10/24"/>
  </r>
  <r>
    <s v="TXN_8836103"/>
    <s v="CUST_23"/>
    <x v="5"/>
    <x v="100"/>
    <x v="11"/>
    <x v="5"/>
    <n v="122.5"/>
    <x v="2"/>
    <x v="1"/>
    <x v="544"/>
    <x v="1"/>
    <s v="DISCOUNT ALLOWED"/>
    <s v="discount allowed"/>
    <s v="DISCOUNT ALLOWED"/>
    <s v="Discount Allowed"/>
    <s v="17/07/23"/>
  </r>
  <r>
    <s v="TXN_8972521"/>
    <s v="CUST_07"/>
    <x v="4"/>
    <x v="87"/>
    <x v="11"/>
    <x v="5"/>
    <n v="122.5"/>
    <x v="0"/>
    <x v="0"/>
    <x v="1033"/>
    <x v="0"/>
    <s v="DISCOUNT NOT ALLOWED"/>
    <s v="discount not allowed"/>
    <s v="DISCOUNT NOT ALLOWED"/>
    <s v="Discount Not Allowed"/>
    <s v="16/05/23"/>
  </r>
  <r>
    <s v="TXN_9229067"/>
    <s v="CUST_17"/>
    <x v="1"/>
    <x v="89"/>
    <x v="11"/>
    <x v="5"/>
    <n v="122.5"/>
    <x v="2"/>
    <x v="1"/>
    <x v="819"/>
    <x v="0"/>
    <s v="DISCOUNT NOT ALLOWED"/>
    <s v="discount not allowed"/>
    <s v="DISCOUNT NOT ALLOWED"/>
    <s v="Discount Not Allowed"/>
    <s v="11/07/23"/>
  </r>
  <r>
    <s v="TXN_9373920"/>
    <s v="CUST_24"/>
    <x v="1"/>
    <x v="89"/>
    <x v="11"/>
    <x v="5"/>
    <n v="122.5"/>
    <x v="2"/>
    <x v="0"/>
    <x v="308"/>
    <x v="1"/>
    <s v="DISCOUNT ALLOWED"/>
    <s v="discount allowed"/>
    <s v="DISCOUNT ALLOWED"/>
    <s v="Discount Allowed"/>
    <s v="25/05/22"/>
  </r>
  <r>
    <s v="TXN_9773944"/>
    <s v="CUST_24"/>
    <x v="0"/>
    <x v="91"/>
    <x v="11"/>
    <x v="5"/>
    <n v="122.5"/>
    <x v="1"/>
    <x v="1"/>
    <x v="126"/>
    <x v="0"/>
    <s v="DISCOUNT NOT ALLOWED"/>
    <s v="discount not allowed"/>
    <s v="DISCOUNT NOT ALLOWED"/>
    <s v="Discount Not Allowed"/>
    <s v="21/10/23"/>
  </r>
  <r>
    <s v="TXN_9978418"/>
    <s v="CUST_10"/>
    <x v="3"/>
    <x v="92"/>
    <x v="11"/>
    <x v="5"/>
    <n v="122.5"/>
    <x v="0"/>
    <x v="0"/>
    <x v="1059"/>
    <x v="0"/>
    <s v="DISCOUNT NOT ALLOWED"/>
    <s v="discount not allowed"/>
    <s v="DISCOUNT NOT ALLOWED"/>
    <s v="Discount Not Allowed"/>
    <s v="24/02/24"/>
  </r>
  <r>
    <s v="TXN_1189728"/>
    <s v="CUST_10"/>
    <x v="4"/>
    <x v="53"/>
    <x v="7"/>
    <x v="6"/>
    <n v="122"/>
    <x v="1"/>
    <x v="0"/>
    <x v="791"/>
    <x v="1"/>
    <s v="DISCOUNT ALLOWED"/>
    <s v="discount allowed"/>
    <s v="DISCOUNT ALLOWED"/>
    <s v="Discount Allowed"/>
    <s v="25/11/23"/>
  </r>
  <r>
    <s v="TXN_1748782"/>
    <s v="CUST_22"/>
    <x v="4"/>
    <x v="53"/>
    <x v="7"/>
    <x v="6"/>
    <n v="122"/>
    <x v="0"/>
    <x v="1"/>
    <x v="404"/>
    <x v="0"/>
    <s v="DISCOUNT NOT ALLOWED"/>
    <s v="discount not allowed"/>
    <s v="DISCOUNT NOT ALLOWED"/>
    <s v="Discount Not Allowed"/>
    <s v="23/11/22"/>
  </r>
  <r>
    <s v="TXN_2239008"/>
    <s v="CUST_17"/>
    <x v="0"/>
    <x v="57"/>
    <x v="7"/>
    <x v="6"/>
    <n v="122"/>
    <x v="2"/>
    <x v="1"/>
    <x v="20"/>
    <x v="1"/>
    <s v="DISCOUNT ALLOWED"/>
    <s v="discount allowed"/>
    <s v="DISCOUNT ALLOWED"/>
    <s v="Discount Allowed"/>
    <s v="24/12/24"/>
  </r>
  <r>
    <s v="TXN_3026219"/>
    <s v="CUST_02"/>
    <x v="5"/>
    <x v="54"/>
    <x v="7"/>
    <x v="6"/>
    <n v="122"/>
    <x v="2"/>
    <x v="1"/>
    <x v="497"/>
    <x v="0"/>
    <s v="DISCOUNT NOT ALLOWED"/>
    <s v="discount not allowed"/>
    <s v="DISCOUNT NOT ALLOWED"/>
    <s v="Discount Not Allowed"/>
    <s v="18/08/23"/>
  </r>
  <r>
    <s v="TXN_3212539"/>
    <s v="CUST_19"/>
    <x v="1"/>
    <x v="59"/>
    <x v="7"/>
    <x v="6"/>
    <n v="122"/>
    <x v="2"/>
    <x v="0"/>
    <x v="631"/>
    <x v="1"/>
    <s v="DISCOUNT ALLOWED"/>
    <s v="discount allowed"/>
    <s v="DISCOUNT ALLOWED"/>
    <s v="Discount Allowed"/>
    <s v="05/09/24"/>
  </r>
  <r>
    <s v="TXN_3333623"/>
    <s v="CUST_15"/>
    <x v="2"/>
    <x v="56"/>
    <x v="7"/>
    <x v="6"/>
    <n v="122"/>
    <x v="2"/>
    <x v="0"/>
    <x v="605"/>
    <x v="1"/>
    <s v="DISCOUNT ALLOWED"/>
    <s v="discount allowed"/>
    <s v="DISCOUNT ALLOWED"/>
    <s v="Discount Allowed"/>
    <s v="27/12/22"/>
  </r>
  <r>
    <s v="TXN_3334456"/>
    <s v="CUST_02"/>
    <x v="5"/>
    <x v="54"/>
    <x v="7"/>
    <x v="6"/>
    <n v="122"/>
    <x v="1"/>
    <x v="1"/>
    <x v="470"/>
    <x v="0"/>
    <s v="DISCOUNT NOT ALLOWED"/>
    <s v="discount not allowed"/>
    <s v="DISCOUNT NOT ALLOWED"/>
    <s v="Discount Not Allowed"/>
    <s v="31/10/24"/>
  </r>
  <r>
    <s v="TXN_3519817"/>
    <s v="CUST_22"/>
    <x v="3"/>
    <x v="55"/>
    <x v="7"/>
    <x v="6"/>
    <n v="122"/>
    <x v="0"/>
    <x v="0"/>
    <x v="728"/>
    <x v="1"/>
    <s v="DISCOUNT ALLOWED"/>
    <s v="discount allowed"/>
    <s v="DISCOUNT ALLOWED"/>
    <s v="Discount Allowed"/>
    <s v="14/06/22"/>
  </r>
  <r>
    <s v="TXN_3937980"/>
    <s v="CUST_19"/>
    <x v="0"/>
    <x v="57"/>
    <x v="7"/>
    <x v="6"/>
    <n v="122"/>
    <x v="2"/>
    <x v="0"/>
    <x v="629"/>
    <x v="0"/>
    <s v="DISCOUNT NOT ALLOWED"/>
    <s v="discount not allowed"/>
    <s v="DISCOUNT NOT ALLOWED"/>
    <s v="Discount Not Allowed"/>
    <s v="16/12/24"/>
  </r>
  <r>
    <s v="TXN_4283333"/>
    <s v="CUST_09"/>
    <x v="4"/>
    <x v="53"/>
    <x v="7"/>
    <x v="6"/>
    <n v="122"/>
    <x v="2"/>
    <x v="0"/>
    <x v="874"/>
    <x v="0"/>
    <s v="DISCOUNT NOT ALLOWED"/>
    <s v="discount not allowed"/>
    <s v="DISCOUNT NOT ALLOWED"/>
    <s v="Discount Not Allowed"/>
    <s v="06/09/24"/>
  </r>
  <r>
    <s v="TXN_4497756"/>
    <s v="CUST_21"/>
    <x v="7"/>
    <x v="60"/>
    <x v="7"/>
    <x v="6"/>
    <n v="122"/>
    <x v="0"/>
    <x v="0"/>
    <x v="1060"/>
    <x v="0"/>
    <s v="DISCOUNT NOT ALLOWED"/>
    <s v="discount not allowed"/>
    <s v="DISCOUNT NOT ALLOWED"/>
    <s v="Discount Not Allowed"/>
    <s v="18/06/23"/>
  </r>
  <r>
    <s v="TXN_4861636"/>
    <s v="CUST_03"/>
    <x v="6"/>
    <x v="58"/>
    <x v="7"/>
    <x v="6"/>
    <n v="122"/>
    <x v="1"/>
    <x v="0"/>
    <x v="464"/>
    <x v="1"/>
    <s v="DISCOUNT ALLOWED"/>
    <s v="discount allowed"/>
    <s v="DISCOUNT ALLOWED"/>
    <s v="Discount Allowed"/>
    <s v="13/01/22"/>
  </r>
  <r>
    <s v="TXN_5153449"/>
    <s v="CUST_09"/>
    <x v="0"/>
    <x v="57"/>
    <x v="7"/>
    <x v="6"/>
    <n v="122"/>
    <x v="2"/>
    <x v="0"/>
    <x v="275"/>
    <x v="1"/>
    <s v="DISCOUNT ALLOWED"/>
    <s v="discount allowed"/>
    <s v="DISCOUNT ALLOWED"/>
    <s v="Discount Allowed"/>
    <s v="16/06/24"/>
  </r>
  <r>
    <s v="TXN_5864711"/>
    <s v="CUST_22"/>
    <x v="7"/>
    <x v="60"/>
    <x v="7"/>
    <x v="6"/>
    <n v="122"/>
    <x v="2"/>
    <x v="1"/>
    <x v="329"/>
    <x v="0"/>
    <s v="DISCOUNT NOT ALLOWED"/>
    <s v="discount not allowed"/>
    <s v="DISCOUNT NOT ALLOWED"/>
    <s v="Discount Not Allowed"/>
    <s v="02/03/22"/>
  </r>
  <r>
    <s v="TXN_6366734"/>
    <s v="CUST_17"/>
    <x v="4"/>
    <x v="53"/>
    <x v="7"/>
    <x v="6"/>
    <n v="122"/>
    <x v="0"/>
    <x v="1"/>
    <x v="421"/>
    <x v="0"/>
    <s v="DISCOUNT NOT ALLOWED"/>
    <s v="discount not allowed"/>
    <s v="DISCOUNT NOT ALLOWED"/>
    <s v="Discount Not Allowed"/>
    <s v="29/04/24"/>
  </r>
  <r>
    <s v="TXN_6693770"/>
    <s v="CUST_04"/>
    <x v="7"/>
    <x v="60"/>
    <x v="7"/>
    <x v="6"/>
    <n v="122"/>
    <x v="2"/>
    <x v="0"/>
    <x v="493"/>
    <x v="1"/>
    <s v="DISCOUNT ALLOWED"/>
    <s v="discount allowed"/>
    <s v="DISCOUNT ALLOWED"/>
    <s v="Discount Allowed"/>
    <s v="03/06/24"/>
  </r>
  <r>
    <s v="TXN_6891915"/>
    <s v="CUST_11"/>
    <x v="3"/>
    <x v="55"/>
    <x v="7"/>
    <x v="6"/>
    <n v="122"/>
    <x v="1"/>
    <x v="1"/>
    <x v="751"/>
    <x v="0"/>
    <s v="DISCOUNT NOT ALLOWED"/>
    <s v="discount not allowed"/>
    <s v="DISCOUNT NOT ALLOWED"/>
    <s v="Discount Not Allowed"/>
    <s v="04/01/23"/>
  </r>
  <r>
    <s v="TXN_7051038"/>
    <s v="CUST_25"/>
    <x v="7"/>
    <x v="60"/>
    <x v="7"/>
    <x v="6"/>
    <n v="122"/>
    <x v="1"/>
    <x v="1"/>
    <x v="36"/>
    <x v="0"/>
    <s v="DISCOUNT NOT ALLOWED"/>
    <s v="discount not allowed"/>
    <s v="DISCOUNT NOT ALLOWED"/>
    <s v="Discount Not Allowed"/>
    <s v="19/01/23"/>
  </r>
  <r>
    <s v="TXN_8047214"/>
    <s v="CUST_19"/>
    <x v="0"/>
    <x v="57"/>
    <x v="7"/>
    <x v="6"/>
    <n v="122"/>
    <x v="1"/>
    <x v="0"/>
    <x v="540"/>
    <x v="1"/>
    <s v="DISCOUNT ALLOWED"/>
    <s v="discount allowed"/>
    <s v="DISCOUNT ALLOWED"/>
    <s v="Discount Allowed"/>
    <s v="17/05/22"/>
  </r>
  <r>
    <s v="TXN_8252675"/>
    <s v="CUST_12"/>
    <x v="1"/>
    <x v="59"/>
    <x v="7"/>
    <x v="6"/>
    <n v="122"/>
    <x v="2"/>
    <x v="0"/>
    <x v="129"/>
    <x v="1"/>
    <s v="DISCOUNT ALLOWED"/>
    <s v="discount allowed"/>
    <s v="DISCOUNT ALLOWED"/>
    <s v="Discount Allowed"/>
    <s v="06/06/24"/>
  </r>
  <r>
    <s v="TXN_8782783"/>
    <s v="CUST_05"/>
    <x v="4"/>
    <x v="53"/>
    <x v="7"/>
    <x v="6"/>
    <n v="122"/>
    <x v="1"/>
    <x v="1"/>
    <x v="381"/>
    <x v="1"/>
    <s v="DISCOUNT ALLOWED"/>
    <s v="discount allowed"/>
    <s v="DISCOUNT ALLOWED"/>
    <s v="Discount Allowed"/>
    <s v="06/03/22"/>
  </r>
  <r>
    <s v="TXN_8994229"/>
    <s v="CUST_07"/>
    <x v="0"/>
    <x v="57"/>
    <x v="7"/>
    <x v="6"/>
    <n v="122"/>
    <x v="2"/>
    <x v="0"/>
    <x v="60"/>
    <x v="0"/>
    <s v="DISCOUNT NOT ALLOWED"/>
    <s v="discount not allowed"/>
    <s v="DISCOUNT NOT ALLOWED"/>
    <s v="Discount Not Allowed"/>
    <s v="01/06/24"/>
  </r>
  <r>
    <s v="TXN_9068188"/>
    <s v="CUST_07"/>
    <x v="4"/>
    <x v="53"/>
    <x v="7"/>
    <x v="6"/>
    <n v="122"/>
    <x v="0"/>
    <x v="0"/>
    <x v="738"/>
    <x v="0"/>
    <s v="DISCOUNT NOT ALLOWED"/>
    <s v="discount not allowed"/>
    <s v="DISCOUNT NOT ALLOWED"/>
    <s v="Discount Not Allowed"/>
    <s v="09/02/24"/>
  </r>
  <r>
    <s v="TXN_9155245"/>
    <s v="CUST_19"/>
    <x v="0"/>
    <x v="57"/>
    <x v="7"/>
    <x v="6"/>
    <n v="122"/>
    <x v="0"/>
    <x v="1"/>
    <x v="24"/>
    <x v="0"/>
    <s v="DISCOUNT NOT ALLOWED"/>
    <s v="discount not allowed"/>
    <s v="DISCOUNT NOT ALLOWED"/>
    <s v="Discount Not Allowed"/>
    <s v="01/05/24"/>
  </r>
  <r>
    <s v="TXN_9700363"/>
    <s v="CUST_16"/>
    <x v="0"/>
    <x v="57"/>
    <x v="7"/>
    <x v="6"/>
    <n v="122"/>
    <x v="1"/>
    <x v="0"/>
    <x v="1061"/>
    <x v="0"/>
    <s v="DISCOUNT NOT ALLOWED"/>
    <s v="discount not allowed"/>
    <s v="DISCOUNT NOT ALLOWED"/>
    <s v="Discount Not Allowed"/>
    <s v="05/08/22"/>
  </r>
  <r>
    <s v="TXN_9908330"/>
    <s v="CUST_19"/>
    <x v="4"/>
    <x v="53"/>
    <x v="7"/>
    <x v="6"/>
    <n v="122"/>
    <x v="2"/>
    <x v="0"/>
    <x v="658"/>
    <x v="1"/>
    <s v="DISCOUNT ALLOWED"/>
    <s v="discount allowed"/>
    <s v="DISCOUNT ALLOWED"/>
    <s v="Discount Allowed"/>
    <s v="29/09/22"/>
  </r>
  <r>
    <s v="TXN_1219422"/>
    <s v="CUST_09"/>
    <x v="2"/>
    <x v="113"/>
    <x v="14"/>
    <x v="4"/>
    <n v="120"/>
    <x v="1"/>
    <x v="0"/>
    <x v="461"/>
    <x v="1"/>
    <s v="DISCOUNT ALLOWED"/>
    <s v="discount allowed"/>
    <s v="DISCOUNT ALLOWED"/>
    <s v="Discount Allowed"/>
    <s v="01/11/23"/>
  </r>
  <r>
    <s v="TXN_1244212"/>
    <s v="CUST_24"/>
    <x v="0"/>
    <x v="115"/>
    <x v="14"/>
    <x v="4"/>
    <n v="120"/>
    <x v="1"/>
    <x v="0"/>
    <x v="304"/>
    <x v="1"/>
    <s v="DISCOUNT ALLOWED"/>
    <s v="discount allowed"/>
    <s v="DISCOUNT ALLOWED"/>
    <s v="Discount Allowed"/>
    <s v="15/10/24"/>
  </r>
  <r>
    <s v="TXN_1387633"/>
    <s v="CUST_02"/>
    <x v="7"/>
    <x v="110"/>
    <x v="14"/>
    <x v="4"/>
    <n v="120"/>
    <x v="0"/>
    <x v="1"/>
    <x v="47"/>
    <x v="0"/>
    <s v="DISCOUNT NOT ALLOWED"/>
    <s v="discount not allowed"/>
    <s v="DISCOUNT NOT ALLOWED"/>
    <s v="Discount Not Allowed"/>
    <s v="01/01/24"/>
  </r>
  <r>
    <s v="TXN_2009395"/>
    <s v="CUST_13"/>
    <x v="4"/>
    <x v="109"/>
    <x v="14"/>
    <x v="4"/>
    <n v="120"/>
    <x v="0"/>
    <x v="0"/>
    <x v="853"/>
    <x v="0"/>
    <s v="DISCOUNT NOT ALLOWED"/>
    <s v="discount not allowed"/>
    <s v="DISCOUNT NOT ALLOWED"/>
    <s v="Discount Not Allowed"/>
    <s v="12/08/24"/>
  </r>
  <r>
    <s v="TXN_2027533"/>
    <s v="CUST_19"/>
    <x v="2"/>
    <x v="113"/>
    <x v="14"/>
    <x v="4"/>
    <n v="120"/>
    <x v="2"/>
    <x v="1"/>
    <x v="1045"/>
    <x v="0"/>
    <s v="DISCOUNT NOT ALLOWED"/>
    <s v="discount not allowed"/>
    <s v="DISCOUNT NOT ALLOWED"/>
    <s v="Discount Not Allowed"/>
    <s v="15/11/22"/>
  </r>
  <r>
    <s v="TXN_2409789"/>
    <s v="CUST_20"/>
    <x v="1"/>
    <x v="114"/>
    <x v="14"/>
    <x v="4"/>
    <n v="120"/>
    <x v="2"/>
    <x v="1"/>
    <x v="756"/>
    <x v="1"/>
    <s v="DISCOUNT ALLOWED"/>
    <s v="discount allowed"/>
    <s v="DISCOUNT ALLOWED"/>
    <s v="Discount Allowed"/>
    <s v="15/06/23"/>
  </r>
  <r>
    <s v="TXN_2631567"/>
    <s v="CUST_18"/>
    <x v="0"/>
    <x v="115"/>
    <x v="14"/>
    <x v="4"/>
    <n v="120"/>
    <x v="0"/>
    <x v="1"/>
    <x v="1062"/>
    <x v="0"/>
    <s v="DISCOUNT NOT ALLOWED"/>
    <s v="discount not allowed"/>
    <s v="DISCOUNT NOT ALLOWED"/>
    <s v="Discount Not Allowed"/>
    <s v="11/10/23"/>
  </r>
  <r>
    <s v="TXN_2648609"/>
    <s v="CUST_11"/>
    <x v="0"/>
    <x v="115"/>
    <x v="14"/>
    <x v="4"/>
    <n v="120"/>
    <x v="2"/>
    <x v="1"/>
    <x v="203"/>
    <x v="0"/>
    <s v="DISCOUNT NOT ALLOWED"/>
    <s v="discount not allowed"/>
    <s v="DISCOUNT NOT ALLOWED"/>
    <s v="Discount Not Allowed"/>
    <s v="23/09/22"/>
  </r>
  <r>
    <s v="TXN_2856597"/>
    <s v="CUST_13"/>
    <x v="1"/>
    <x v="114"/>
    <x v="14"/>
    <x v="4"/>
    <n v="120"/>
    <x v="1"/>
    <x v="1"/>
    <x v="27"/>
    <x v="1"/>
    <s v="DISCOUNT ALLOWED"/>
    <s v="discount allowed"/>
    <s v="DISCOUNT ALLOWED"/>
    <s v="Discount Allowed"/>
    <s v="25/12/23"/>
  </r>
  <r>
    <s v="TXN_3625744"/>
    <s v="CUST_23"/>
    <x v="4"/>
    <x v="109"/>
    <x v="14"/>
    <x v="4"/>
    <n v="120"/>
    <x v="2"/>
    <x v="0"/>
    <x v="902"/>
    <x v="1"/>
    <s v="DISCOUNT ALLOWED"/>
    <s v="discount allowed"/>
    <s v="DISCOUNT ALLOWED"/>
    <s v="Discount Allowed"/>
    <s v="29/08/24"/>
  </r>
  <r>
    <s v="TXN_3736556"/>
    <s v="CUST_14"/>
    <x v="7"/>
    <x v="110"/>
    <x v="14"/>
    <x v="4"/>
    <n v="120"/>
    <x v="0"/>
    <x v="0"/>
    <x v="578"/>
    <x v="1"/>
    <s v="DISCOUNT ALLOWED"/>
    <s v="discount allowed"/>
    <s v="DISCOUNT ALLOWED"/>
    <s v="Discount Allowed"/>
    <s v="02/11/22"/>
  </r>
  <r>
    <s v="TXN_3890522"/>
    <s v="CUST_08"/>
    <x v="3"/>
    <x v="126"/>
    <x v="14"/>
    <x v="4"/>
    <n v="120"/>
    <x v="0"/>
    <x v="1"/>
    <x v="565"/>
    <x v="1"/>
    <s v="DISCOUNT ALLOWED"/>
    <s v="discount allowed"/>
    <s v="DISCOUNT ALLOWED"/>
    <s v="Discount Allowed"/>
    <s v="15/02/23"/>
  </r>
  <r>
    <s v="TXN_4034256"/>
    <s v="CUST_07"/>
    <x v="2"/>
    <x v="113"/>
    <x v="14"/>
    <x v="4"/>
    <n v="120"/>
    <x v="0"/>
    <x v="0"/>
    <x v="487"/>
    <x v="0"/>
    <s v="DISCOUNT NOT ALLOWED"/>
    <s v="discount not allowed"/>
    <s v="DISCOUNT NOT ALLOWED"/>
    <s v="Discount Not Allowed"/>
    <s v="06/02/22"/>
  </r>
  <r>
    <s v="TXN_4469798"/>
    <s v="CUST_12"/>
    <x v="2"/>
    <x v="113"/>
    <x v="14"/>
    <x v="4"/>
    <n v="120"/>
    <x v="0"/>
    <x v="1"/>
    <x v="314"/>
    <x v="1"/>
    <s v="DISCOUNT ALLOWED"/>
    <s v="discount allowed"/>
    <s v="DISCOUNT ALLOWED"/>
    <s v="Discount Allowed"/>
    <s v="04/05/22"/>
  </r>
  <r>
    <s v="TXN_4581475"/>
    <s v="CUST_17"/>
    <x v="6"/>
    <x v="112"/>
    <x v="14"/>
    <x v="4"/>
    <n v="120"/>
    <x v="2"/>
    <x v="1"/>
    <x v="500"/>
    <x v="1"/>
    <s v="DISCOUNT ALLOWED"/>
    <s v="discount allowed"/>
    <s v="DISCOUNT ALLOWED"/>
    <s v="Discount Allowed"/>
    <s v="16/06/23"/>
  </r>
  <r>
    <s v="TXN_4583596"/>
    <s v="CUST_10"/>
    <x v="4"/>
    <x v="109"/>
    <x v="14"/>
    <x v="4"/>
    <n v="120"/>
    <x v="0"/>
    <x v="1"/>
    <x v="289"/>
    <x v="1"/>
    <s v="DISCOUNT ALLOWED"/>
    <s v="discount allowed"/>
    <s v="DISCOUNT ALLOWED"/>
    <s v="Discount Allowed"/>
    <s v="04/03/22"/>
  </r>
  <r>
    <s v="TXN_4691043"/>
    <s v="CUST_20"/>
    <x v="1"/>
    <x v="114"/>
    <x v="14"/>
    <x v="4"/>
    <n v="120"/>
    <x v="1"/>
    <x v="0"/>
    <x v="800"/>
    <x v="1"/>
    <s v="DISCOUNT ALLOWED"/>
    <s v="discount allowed"/>
    <s v="DISCOUNT ALLOWED"/>
    <s v="Discount Allowed"/>
    <s v="06/05/22"/>
  </r>
  <r>
    <s v="TXN_4704657"/>
    <s v="CUST_03"/>
    <x v="4"/>
    <x v="109"/>
    <x v="14"/>
    <x v="4"/>
    <n v="120"/>
    <x v="0"/>
    <x v="0"/>
    <x v="714"/>
    <x v="0"/>
    <s v="DISCOUNT NOT ALLOWED"/>
    <s v="discount not allowed"/>
    <s v="DISCOUNT NOT ALLOWED"/>
    <s v="Discount Not Allowed"/>
    <s v="23/04/23"/>
  </r>
  <r>
    <s v="TXN_4717804"/>
    <s v="CUST_21"/>
    <x v="7"/>
    <x v="110"/>
    <x v="14"/>
    <x v="4"/>
    <n v="120"/>
    <x v="0"/>
    <x v="0"/>
    <x v="405"/>
    <x v="0"/>
    <s v="DISCOUNT NOT ALLOWED"/>
    <s v="discount not allowed"/>
    <s v="DISCOUNT NOT ALLOWED"/>
    <s v="Discount Not Allowed"/>
    <s v="28/10/22"/>
  </r>
  <r>
    <s v="TXN_4854529"/>
    <s v="CUST_25"/>
    <x v="3"/>
    <x v="126"/>
    <x v="14"/>
    <x v="4"/>
    <n v="120"/>
    <x v="1"/>
    <x v="0"/>
    <x v="760"/>
    <x v="1"/>
    <s v="DISCOUNT ALLOWED"/>
    <s v="discount allowed"/>
    <s v="DISCOUNT ALLOWED"/>
    <s v="Discount Allowed"/>
    <s v="30/11/22"/>
  </r>
  <r>
    <s v="TXN_5111184"/>
    <s v="CUST_19"/>
    <x v="0"/>
    <x v="115"/>
    <x v="14"/>
    <x v="4"/>
    <n v="120"/>
    <x v="2"/>
    <x v="0"/>
    <x v="456"/>
    <x v="1"/>
    <s v="DISCOUNT ALLOWED"/>
    <s v="discount allowed"/>
    <s v="DISCOUNT ALLOWED"/>
    <s v="Discount Allowed"/>
    <s v="18/07/24"/>
  </r>
  <r>
    <s v="TXN_5374866"/>
    <s v="CUST_08"/>
    <x v="3"/>
    <x v="126"/>
    <x v="14"/>
    <x v="4"/>
    <n v="120"/>
    <x v="0"/>
    <x v="0"/>
    <x v="289"/>
    <x v="1"/>
    <s v="DISCOUNT ALLOWED"/>
    <s v="discount allowed"/>
    <s v="DISCOUNT ALLOWED"/>
    <s v="Discount Allowed"/>
    <s v="04/03/22"/>
  </r>
  <r>
    <s v="TXN_5815945"/>
    <s v="CUST_12"/>
    <x v="2"/>
    <x v="113"/>
    <x v="14"/>
    <x v="4"/>
    <n v="120"/>
    <x v="2"/>
    <x v="0"/>
    <x v="788"/>
    <x v="0"/>
    <s v="DISCOUNT NOT ALLOWED"/>
    <s v="discount not allowed"/>
    <s v="DISCOUNT NOT ALLOWED"/>
    <s v="Discount Not Allowed"/>
    <s v="05/09/23"/>
  </r>
  <r>
    <s v="TXN_6158929"/>
    <s v="CUST_21"/>
    <x v="4"/>
    <x v="109"/>
    <x v="14"/>
    <x v="4"/>
    <n v="120"/>
    <x v="1"/>
    <x v="0"/>
    <x v="200"/>
    <x v="1"/>
    <s v="DISCOUNT ALLOWED"/>
    <s v="discount allowed"/>
    <s v="DISCOUNT ALLOWED"/>
    <s v="Discount Allowed"/>
    <s v="29/01/22"/>
  </r>
  <r>
    <s v="TXN_6265170"/>
    <s v="CUST_14"/>
    <x v="6"/>
    <x v="112"/>
    <x v="14"/>
    <x v="4"/>
    <n v="120"/>
    <x v="0"/>
    <x v="0"/>
    <x v="756"/>
    <x v="1"/>
    <s v="DISCOUNT ALLOWED"/>
    <s v="discount allowed"/>
    <s v="DISCOUNT ALLOWED"/>
    <s v="Discount Allowed"/>
    <s v="15/06/23"/>
  </r>
  <r>
    <s v="TXN_6397794"/>
    <s v="CUST_03"/>
    <x v="4"/>
    <x v="109"/>
    <x v="14"/>
    <x v="4"/>
    <n v="120"/>
    <x v="0"/>
    <x v="0"/>
    <x v="250"/>
    <x v="0"/>
    <s v="DISCOUNT NOT ALLOWED"/>
    <s v="discount not allowed"/>
    <s v="DISCOUNT NOT ALLOWED"/>
    <s v="Discount Not Allowed"/>
    <s v="21/05/24"/>
  </r>
  <r>
    <s v="TXN_6421767"/>
    <s v="CUST_01"/>
    <x v="4"/>
    <x v="109"/>
    <x v="14"/>
    <x v="4"/>
    <n v="120"/>
    <x v="2"/>
    <x v="0"/>
    <x v="988"/>
    <x v="0"/>
    <s v="DISCOUNT NOT ALLOWED"/>
    <s v="discount not allowed"/>
    <s v="DISCOUNT NOT ALLOWED"/>
    <s v="Discount Not Allowed"/>
    <s v="06/04/22"/>
  </r>
  <r>
    <s v="TXN_6649427"/>
    <s v="CUST_14"/>
    <x v="6"/>
    <x v="112"/>
    <x v="14"/>
    <x v="4"/>
    <n v="120"/>
    <x v="1"/>
    <x v="1"/>
    <x v="797"/>
    <x v="1"/>
    <s v="DISCOUNT ALLOWED"/>
    <s v="discount allowed"/>
    <s v="DISCOUNT ALLOWED"/>
    <s v="Discount Allowed"/>
    <s v="24/01/22"/>
  </r>
  <r>
    <s v="TXN_6798190"/>
    <s v="CUST_17"/>
    <x v="4"/>
    <x v="109"/>
    <x v="14"/>
    <x v="4"/>
    <n v="120"/>
    <x v="2"/>
    <x v="1"/>
    <x v="790"/>
    <x v="0"/>
    <s v="DISCOUNT NOT ALLOWED"/>
    <s v="discount not allowed"/>
    <s v="DISCOUNT NOT ALLOWED"/>
    <s v="Discount Not Allowed"/>
    <s v="31/10/22"/>
  </r>
  <r>
    <s v="TXN_6936789"/>
    <s v="CUST_17"/>
    <x v="4"/>
    <x v="109"/>
    <x v="14"/>
    <x v="4"/>
    <n v="120"/>
    <x v="1"/>
    <x v="1"/>
    <x v="801"/>
    <x v="1"/>
    <s v="DISCOUNT ALLOWED"/>
    <s v="discount allowed"/>
    <s v="DISCOUNT ALLOWED"/>
    <s v="Discount Allowed"/>
    <s v="22/12/22"/>
  </r>
  <r>
    <s v="TXN_6992970"/>
    <s v="CUST_01"/>
    <x v="4"/>
    <x v="109"/>
    <x v="14"/>
    <x v="4"/>
    <n v="120"/>
    <x v="0"/>
    <x v="0"/>
    <x v="690"/>
    <x v="1"/>
    <s v="DISCOUNT ALLOWED"/>
    <s v="discount allowed"/>
    <s v="DISCOUNT ALLOWED"/>
    <s v="Discount Allowed"/>
    <s v="12/12/24"/>
  </r>
  <r>
    <s v="TXN_7211010"/>
    <s v="CUST_11"/>
    <x v="3"/>
    <x v="126"/>
    <x v="14"/>
    <x v="4"/>
    <n v="120"/>
    <x v="1"/>
    <x v="0"/>
    <x v="1063"/>
    <x v="1"/>
    <s v="DISCOUNT ALLOWED"/>
    <s v="discount allowed"/>
    <s v="DISCOUNT ALLOWED"/>
    <s v="Discount Allowed"/>
    <s v="13/06/23"/>
  </r>
  <r>
    <s v="TXN_7301327"/>
    <s v="CUST_13"/>
    <x v="2"/>
    <x v="113"/>
    <x v="14"/>
    <x v="4"/>
    <n v="120"/>
    <x v="2"/>
    <x v="1"/>
    <x v="969"/>
    <x v="1"/>
    <s v="DISCOUNT ALLOWED"/>
    <s v="discount allowed"/>
    <s v="DISCOUNT ALLOWED"/>
    <s v="Discount Allowed"/>
    <s v="27/06/23"/>
  </r>
  <r>
    <s v="TXN_7435444"/>
    <s v="CUST_18"/>
    <x v="6"/>
    <x v="112"/>
    <x v="14"/>
    <x v="4"/>
    <n v="120"/>
    <x v="2"/>
    <x v="0"/>
    <x v="646"/>
    <x v="1"/>
    <s v="DISCOUNT ALLOWED"/>
    <s v="discount allowed"/>
    <s v="DISCOUNT ALLOWED"/>
    <s v="Discount Allowed"/>
    <s v="27/07/22"/>
  </r>
  <r>
    <s v="TXN_7818630"/>
    <s v="CUST_18"/>
    <x v="1"/>
    <x v="114"/>
    <x v="14"/>
    <x v="4"/>
    <n v="120"/>
    <x v="0"/>
    <x v="0"/>
    <x v="247"/>
    <x v="1"/>
    <s v="DISCOUNT ALLOWED"/>
    <s v="discount allowed"/>
    <s v="DISCOUNT ALLOWED"/>
    <s v="Discount Allowed"/>
    <s v="24/05/24"/>
  </r>
  <r>
    <s v="TXN_7833453"/>
    <s v="CUST_22"/>
    <x v="2"/>
    <x v="113"/>
    <x v="14"/>
    <x v="4"/>
    <n v="120"/>
    <x v="1"/>
    <x v="1"/>
    <x v="922"/>
    <x v="0"/>
    <s v="DISCOUNT NOT ALLOWED"/>
    <s v="discount not allowed"/>
    <s v="DISCOUNT NOT ALLOWED"/>
    <s v="Discount Not Allowed"/>
    <s v="06/02/24"/>
  </r>
  <r>
    <s v="TXN_7967879"/>
    <s v="CUST_13"/>
    <x v="0"/>
    <x v="115"/>
    <x v="14"/>
    <x v="4"/>
    <n v="120"/>
    <x v="1"/>
    <x v="1"/>
    <x v="266"/>
    <x v="1"/>
    <s v="DISCOUNT ALLOWED"/>
    <s v="discount allowed"/>
    <s v="DISCOUNT ALLOWED"/>
    <s v="Discount Allowed"/>
    <s v="11/01/23"/>
  </r>
  <r>
    <s v="TXN_8138219"/>
    <s v="CUST_04"/>
    <x v="3"/>
    <x v="126"/>
    <x v="14"/>
    <x v="4"/>
    <n v="120"/>
    <x v="0"/>
    <x v="0"/>
    <x v="973"/>
    <x v="0"/>
    <s v="DISCOUNT NOT ALLOWED"/>
    <s v="discount not allowed"/>
    <s v="DISCOUNT NOT ALLOWED"/>
    <s v="Discount Not Allowed"/>
    <s v="03/06/22"/>
  </r>
  <r>
    <s v="TXN_8276463"/>
    <s v="CUST_24"/>
    <x v="5"/>
    <x v="111"/>
    <x v="14"/>
    <x v="4"/>
    <n v="120"/>
    <x v="0"/>
    <x v="0"/>
    <x v="28"/>
    <x v="1"/>
    <s v="DISCOUNT ALLOWED"/>
    <s v="discount allowed"/>
    <s v="DISCOUNT ALLOWED"/>
    <s v="Discount Allowed"/>
    <s v="27/03/24"/>
  </r>
  <r>
    <s v="TXN_8315289"/>
    <s v="CUST_02"/>
    <x v="5"/>
    <x v="111"/>
    <x v="14"/>
    <x v="4"/>
    <n v="120"/>
    <x v="1"/>
    <x v="1"/>
    <x v="1031"/>
    <x v="1"/>
    <s v="DISCOUNT ALLOWED"/>
    <s v="discount allowed"/>
    <s v="DISCOUNT ALLOWED"/>
    <s v="Discount Allowed"/>
    <s v="02/07/23"/>
  </r>
  <r>
    <s v="TXN_8444117"/>
    <s v="CUST_05"/>
    <x v="0"/>
    <x v="115"/>
    <x v="14"/>
    <x v="4"/>
    <n v="120"/>
    <x v="1"/>
    <x v="1"/>
    <x v="920"/>
    <x v="1"/>
    <s v="DISCOUNT ALLOWED"/>
    <s v="discount allowed"/>
    <s v="DISCOUNT ALLOWED"/>
    <s v="Discount Allowed"/>
    <s v="03/07/23"/>
  </r>
  <r>
    <s v="TXN_8485060"/>
    <s v="CUST_01"/>
    <x v="2"/>
    <x v="113"/>
    <x v="14"/>
    <x v="4"/>
    <n v="120"/>
    <x v="0"/>
    <x v="0"/>
    <x v="240"/>
    <x v="1"/>
    <s v="DISCOUNT ALLOWED"/>
    <s v="discount allowed"/>
    <s v="DISCOUNT ALLOWED"/>
    <s v="Discount Allowed"/>
    <s v="08/07/24"/>
  </r>
  <r>
    <s v="TXN_8969383"/>
    <s v="CUST_18"/>
    <x v="6"/>
    <x v="112"/>
    <x v="14"/>
    <x v="4"/>
    <n v="120"/>
    <x v="0"/>
    <x v="1"/>
    <x v="121"/>
    <x v="1"/>
    <s v="DISCOUNT ALLOWED"/>
    <s v="discount allowed"/>
    <s v="DISCOUNT ALLOWED"/>
    <s v="Discount Allowed"/>
    <s v="21/08/24"/>
  </r>
  <r>
    <s v="TXN_9250095"/>
    <s v="CUST_10"/>
    <x v="7"/>
    <x v="110"/>
    <x v="14"/>
    <x v="4"/>
    <n v="120"/>
    <x v="2"/>
    <x v="0"/>
    <x v="906"/>
    <x v="1"/>
    <s v="DISCOUNT ALLOWED"/>
    <s v="discount allowed"/>
    <s v="DISCOUNT ALLOWED"/>
    <s v="Discount Allowed"/>
    <s v="27/01/22"/>
  </r>
  <r>
    <s v="TXN_9358684"/>
    <s v="CUST_17"/>
    <x v="1"/>
    <x v="114"/>
    <x v="14"/>
    <x v="4"/>
    <n v="120"/>
    <x v="2"/>
    <x v="0"/>
    <x v="46"/>
    <x v="0"/>
    <s v="DISCOUNT NOT ALLOWED"/>
    <s v="discount not allowed"/>
    <s v="DISCOUNT NOT ALLOWED"/>
    <s v="Discount Not Allowed"/>
    <s v="24/04/24"/>
  </r>
  <r>
    <s v="TXN_9423173"/>
    <s v="CUST_08"/>
    <x v="4"/>
    <x v="109"/>
    <x v="14"/>
    <x v="4"/>
    <n v="120"/>
    <x v="2"/>
    <x v="1"/>
    <x v="879"/>
    <x v="0"/>
    <s v="DISCOUNT NOT ALLOWED"/>
    <s v="discount not allowed"/>
    <s v="DISCOUNT NOT ALLOWED"/>
    <s v="Discount Not Allowed"/>
    <s v="12/07/22"/>
  </r>
  <r>
    <s v="TXN_9472197"/>
    <s v="CUST_23"/>
    <x v="3"/>
    <x v="126"/>
    <x v="14"/>
    <x v="4"/>
    <n v="120"/>
    <x v="0"/>
    <x v="1"/>
    <x v="58"/>
    <x v="1"/>
    <s v="DISCOUNT ALLOWED"/>
    <s v="discount allowed"/>
    <s v="DISCOUNT ALLOWED"/>
    <s v="Discount Allowed"/>
    <s v="09/04/24"/>
  </r>
  <r>
    <s v="TXN_9612514"/>
    <s v="CUST_13"/>
    <x v="6"/>
    <x v="112"/>
    <x v="14"/>
    <x v="4"/>
    <n v="120"/>
    <x v="2"/>
    <x v="1"/>
    <x v="668"/>
    <x v="1"/>
    <s v="DISCOUNT ALLOWED"/>
    <s v="discount allowed"/>
    <s v="DISCOUNT ALLOWED"/>
    <s v="Discount Allowed"/>
    <s v="24/06/24"/>
  </r>
  <r>
    <s v="TXN_9827840"/>
    <s v="CUST_03"/>
    <x v="4"/>
    <x v="109"/>
    <x v="14"/>
    <x v="4"/>
    <n v="120"/>
    <x v="1"/>
    <x v="1"/>
    <x v="236"/>
    <x v="1"/>
    <s v="DISCOUNT ALLOWED"/>
    <s v="discount allowed"/>
    <s v="DISCOUNT ALLOWED"/>
    <s v="Discount Allowed"/>
    <s v="07/11/24"/>
  </r>
  <r>
    <s v="TXN_1091806"/>
    <s v="CUST_23"/>
    <x v="6"/>
    <x v="132"/>
    <x v="16"/>
    <x v="3"/>
    <n v="119"/>
    <x v="1"/>
    <x v="0"/>
    <x v="847"/>
    <x v="1"/>
    <s v="DISCOUNT ALLOWED"/>
    <s v="discount allowed"/>
    <s v="DISCOUNT ALLOWED"/>
    <s v="Discount Allowed"/>
    <s v="04/11/24"/>
  </r>
  <r>
    <s v="TXN_2192964"/>
    <s v="CUST_17"/>
    <x v="4"/>
    <x v="130"/>
    <x v="16"/>
    <x v="3"/>
    <n v="119"/>
    <x v="0"/>
    <x v="1"/>
    <x v="200"/>
    <x v="0"/>
    <s v="DISCOUNT NOT ALLOWED"/>
    <s v="discount not allowed"/>
    <s v="DISCOUNT NOT ALLOWED"/>
    <s v="Discount Not Allowed"/>
    <s v="29/01/22"/>
  </r>
  <r>
    <s v="TXN_2453867"/>
    <s v="CUST_03"/>
    <x v="4"/>
    <x v="130"/>
    <x v="16"/>
    <x v="3"/>
    <n v="119"/>
    <x v="2"/>
    <x v="1"/>
    <x v="1031"/>
    <x v="0"/>
    <s v="DISCOUNT NOT ALLOWED"/>
    <s v="discount not allowed"/>
    <s v="DISCOUNT NOT ALLOWED"/>
    <s v="Discount Not Allowed"/>
    <s v="02/07/23"/>
  </r>
  <r>
    <s v="TXN_3294760"/>
    <s v="CUST_23"/>
    <x v="1"/>
    <x v="129"/>
    <x v="16"/>
    <x v="3"/>
    <n v="119"/>
    <x v="1"/>
    <x v="0"/>
    <x v="1064"/>
    <x v="0"/>
    <s v="DISCOUNT NOT ALLOWED"/>
    <s v="discount not allowed"/>
    <s v="DISCOUNT NOT ALLOWED"/>
    <s v="Discount Not Allowed"/>
    <s v="16/02/22"/>
  </r>
  <r>
    <s v="TXN_3496546"/>
    <s v="CUST_11"/>
    <x v="7"/>
    <x v="133"/>
    <x v="16"/>
    <x v="3"/>
    <n v="119"/>
    <x v="1"/>
    <x v="0"/>
    <x v="949"/>
    <x v="0"/>
    <s v="DISCOUNT NOT ALLOWED"/>
    <s v="discount not allowed"/>
    <s v="DISCOUNT NOT ALLOWED"/>
    <s v="Discount Not Allowed"/>
    <s v="11/02/23"/>
  </r>
  <r>
    <s v="TXN_3615491"/>
    <s v="CUST_02"/>
    <x v="7"/>
    <x v="133"/>
    <x v="16"/>
    <x v="3"/>
    <n v="119"/>
    <x v="2"/>
    <x v="1"/>
    <x v="172"/>
    <x v="0"/>
    <s v="DISCOUNT NOT ALLOWED"/>
    <s v="discount not allowed"/>
    <s v="DISCOUNT NOT ALLOWED"/>
    <s v="Discount Not Allowed"/>
    <s v="25/09/23"/>
  </r>
  <r>
    <s v="TXN_3695108"/>
    <s v="CUST_13"/>
    <x v="6"/>
    <x v="132"/>
    <x v="16"/>
    <x v="3"/>
    <n v="119"/>
    <x v="1"/>
    <x v="1"/>
    <x v="351"/>
    <x v="0"/>
    <s v="DISCOUNT NOT ALLOWED"/>
    <s v="discount not allowed"/>
    <s v="DISCOUNT NOT ALLOWED"/>
    <s v="Discount Not Allowed"/>
    <s v="24/01/23"/>
  </r>
  <r>
    <s v="TXN_3932445"/>
    <s v="CUST_05"/>
    <x v="4"/>
    <x v="130"/>
    <x v="16"/>
    <x v="3"/>
    <n v="119"/>
    <x v="0"/>
    <x v="1"/>
    <x v="801"/>
    <x v="1"/>
    <s v="DISCOUNT ALLOWED"/>
    <s v="discount allowed"/>
    <s v="DISCOUNT ALLOWED"/>
    <s v="Discount Allowed"/>
    <s v="22/12/22"/>
  </r>
  <r>
    <s v="TXN_4372655"/>
    <s v="CUST_08"/>
    <x v="4"/>
    <x v="130"/>
    <x v="16"/>
    <x v="3"/>
    <n v="119"/>
    <x v="1"/>
    <x v="1"/>
    <x v="111"/>
    <x v="0"/>
    <s v="DISCOUNT NOT ALLOWED"/>
    <s v="discount not allowed"/>
    <s v="DISCOUNT NOT ALLOWED"/>
    <s v="Discount Not Allowed"/>
    <s v="03/11/24"/>
  </r>
  <r>
    <s v="TXN_4743910"/>
    <s v="CUST_16"/>
    <x v="7"/>
    <x v="133"/>
    <x v="16"/>
    <x v="3"/>
    <n v="119"/>
    <x v="1"/>
    <x v="0"/>
    <x v="280"/>
    <x v="1"/>
    <s v="DISCOUNT ALLOWED"/>
    <s v="discount allowed"/>
    <s v="DISCOUNT ALLOWED"/>
    <s v="Discount Allowed"/>
    <s v="28/06/23"/>
  </r>
  <r>
    <s v="TXN_5125056"/>
    <s v="CUST_01"/>
    <x v="5"/>
    <x v="128"/>
    <x v="16"/>
    <x v="3"/>
    <n v="119"/>
    <x v="0"/>
    <x v="1"/>
    <x v="1065"/>
    <x v="1"/>
    <s v="DISCOUNT ALLOWED"/>
    <s v="discount allowed"/>
    <s v="DISCOUNT ALLOWED"/>
    <s v="Discount Allowed"/>
    <s v="10/12/23"/>
  </r>
  <r>
    <s v="TXN_5491571"/>
    <s v="CUST_02"/>
    <x v="6"/>
    <x v="132"/>
    <x v="16"/>
    <x v="3"/>
    <n v="119"/>
    <x v="1"/>
    <x v="1"/>
    <x v="994"/>
    <x v="1"/>
    <s v="DISCOUNT ALLOWED"/>
    <s v="discount allowed"/>
    <s v="DISCOUNT ALLOWED"/>
    <s v="Discount Allowed"/>
    <s v="10/03/24"/>
  </r>
  <r>
    <s v="TXN_5557152"/>
    <s v="CUST_06"/>
    <x v="4"/>
    <x v="130"/>
    <x v="16"/>
    <x v="3"/>
    <n v="119"/>
    <x v="2"/>
    <x v="0"/>
    <x v="1066"/>
    <x v="0"/>
    <s v="DISCOUNT NOT ALLOWED"/>
    <s v="discount not allowed"/>
    <s v="DISCOUNT NOT ALLOWED"/>
    <s v="Discount Not Allowed"/>
    <s v="09/11/22"/>
  </r>
  <r>
    <s v="TXN_5602350"/>
    <s v="CUST_25"/>
    <x v="4"/>
    <x v="130"/>
    <x v="16"/>
    <x v="3"/>
    <n v="119"/>
    <x v="2"/>
    <x v="0"/>
    <x v="48"/>
    <x v="0"/>
    <s v="DISCOUNT NOT ALLOWED"/>
    <s v="discount not allowed"/>
    <s v="DISCOUNT NOT ALLOWED"/>
    <s v="Discount Not Allowed"/>
    <s v="03/12/22"/>
  </r>
  <r>
    <s v="TXN_5870405"/>
    <s v="CUST_18"/>
    <x v="5"/>
    <x v="128"/>
    <x v="16"/>
    <x v="3"/>
    <n v="119"/>
    <x v="0"/>
    <x v="0"/>
    <x v="361"/>
    <x v="1"/>
    <s v="DISCOUNT ALLOWED"/>
    <s v="discount allowed"/>
    <s v="DISCOUNT ALLOWED"/>
    <s v="Discount Allowed"/>
    <s v="17/12/22"/>
  </r>
  <r>
    <s v="TXN_6269833"/>
    <s v="CUST_01"/>
    <x v="6"/>
    <x v="132"/>
    <x v="16"/>
    <x v="3"/>
    <n v="119"/>
    <x v="1"/>
    <x v="0"/>
    <x v="181"/>
    <x v="1"/>
    <s v="DISCOUNT ALLOWED"/>
    <s v="discount allowed"/>
    <s v="DISCOUNT ALLOWED"/>
    <s v="Discount Allowed"/>
    <s v="14/08/23"/>
  </r>
  <r>
    <s v="TXN_6288657"/>
    <s v="CUST_24"/>
    <x v="7"/>
    <x v="133"/>
    <x v="16"/>
    <x v="3"/>
    <n v="119"/>
    <x v="2"/>
    <x v="0"/>
    <x v="984"/>
    <x v="1"/>
    <s v="DISCOUNT ALLOWED"/>
    <s v="discount allowed"/>
    <s v="DISCOUNT ALLOWED"/>
    <s v="Discount Allowed"/>
    <s v="07/10/22"/>
  </r>
  <r>
    <s v="TXN_6710021"/>
    <s v="CUST_02"/>
    <x v="2"/>
    <x v="131"/>
    <x v="16"/>
    <x v="3"/>
    <n v="119"/>
    <x v="2"/>
    <x v="0"/>
    <x v="546"/>
    <x v="1"/>
    <s v="DISCOUNT ALLOWED"/>
    <s v="discount allowed"/>
    <s v="DISCOUNT ALLOWED"/>
    <s v="Discount Allowed"/>
    <s v="21/05/22"/>
  </r>
  <r>
    <s v="TXN_7241224"/>
    <s v="CUST_04"/>
    <x v="5"/>
    <x v="128"/>
    <x v="16"/>
    <x v="3"/>
    <n v="119"/>
    <x v="1"/>
    <x v="0"/>
    <x v="65"/>
    <x v="0"/>
    <s v="DISCOUNT NOT ALLOWED"/>
    <s v="discount not allowed"/>
    <s v="DISCOUNT NOT ALLOWED"/>
    <s v="Discount Not Allowed"/>
    <s v="02/09/24"/>
  </r>
  <r>
    <s v="TXN_7309819"/>
    <s v="CUST_21"/>
    <x v="4"/>
    <x v="130"/>
    <x v="16"/>
    <x v="3"/>
    <n v="119"/>
    <x v="1"/>
    <x v="0"/>
    <x v="297"/>
    <x v="1"/>
    <s v="DISCOUNT ALLOWED"/>
    <s v="discount allowed"/>
    <s v="DISCOUNT ALLOWED"/>
    <s v="Discount Allowed"/>
    <s v="11/11/24"/>
  </r>
  <r>
    <s v="TXN_8175126"/>
    <s v="CUST_09"/>
    <x v="4"/>
    <x v="130"/>
    <x v="16"/>
    <x v="3"/>
    <n v="119"/>
    <x v="2"/>
    <x v="1"/>
    <x v="139"/>
    <x v="1"/>
    <s v="DISCOUNT ALLOWED"/>
    <s v="discount allowed"/>
    <s v="DISCOUNT ALLOWED"/>
    <s v="Discount Allowed"/>
    <s v="13/06/24"/>
  </r>
  <r>
    <s v="TXN_8295967"/>
    <s v="CUST_22"/>
    <x v="6"/>
    <x v="132"/>
    <x v="16"/>
    <x v="3"/>
    <n v="119"/>
    <x v="0"/>
    <x v="0"/>
    <x v="22"/>
    <x v="0"/>
    <s v="DISCOUNT NOT ALLOWED"/>
    <s v="discount not allowed"/>
    <s v="DISCOUNT NOT ALLOWED"/>
    <s v="Discount Not Allowed"/>
    <s v="24/01/24"/>
  </r>
  <r>
    <s v="TXN_8401176"/>
    <s v="CUST_17"/>
    <x v="6"/>
    <x v="132"/>
    <x v="16"/>
    <x v="3"/>
    <n v="119"/>
    <x v="0"/>
    <x v="0"/>
    <x v="188"/>
    <x v="0"/>
    <s v="DISCOUNT NOT ALLOWED"/>
    <s v="discount not allowed"/>
    <s v="DISCOUNT NOT ALLOWED"/>
    <s v="Discount Not Allowed"/>
    <s v="14/12/23"/>
  </r>
  <r>
    <s v="TXN_8911952"/>
    <s v="CUST_23"/>
    <x v="5"/>
    <x v="128"/>
    <x v="16"/>
    <x v="3"/>
    <n v="119"/>
    <x v="1"/>
    <x v="1"/>
    <x v="872"/>
    <x v="0"/>
    <s v="DISCOUNT NOT ALLOWED"/>
    <s v="discount not allowed"/>
    <s v="DISCOUNT NOT ALLOWED"/>
    <s v="Discount Not Allowed"/>
    <s v="07/06/24"/>
  </r>
  <r>
    <s v="TXN_9171196"/>
    <s v="CUST_05"/>
    <x v="4"/>
    <x v="130"/>
    <x v="16"/>
    <x v="3"/>
    <n v="119"/>
    <x v="2"/>
    <x v="0"/>
    <x v="255"/>
    <x v="1"/>
    <s v="DISCOUNT ALLOWED"/>
    <s v="discount allowed"/>
    <s v="DISCOUNT ALLOWED"/>
    <s v="Discount Allowed"/>
    <s v="22/05/23"/>
  </r>
  <r>
    <s v="TXN_9178438"/>
    <s v="CUST_04"/>
    <x v="1"/>
    <x v="129"/>
    <x v="16"/>
    <x v="3"/>
    <n v="119"/>
    <x v="2"/>
    <x v="0"/>
    <x v="226"/>
    <x v="0"/>
    <s v="DISCOUNT NOT ALLOWED"/>
    <s v="discount not allowed"/>
    <s v="DISCOUNT NOT ALLOWED"/>
    <s v="Discount Not Allowed"/>
    <s v="20/01/23"/>
  </r>
  <r>
    <s v="TXN_9245105"/>
    <s v="CUST_12"/>
    <x v="6"/>
    <x v="132"/>
    <x v="16"/>
    <x v="3"/>
    <n v="119"/>
    <x v="2"/>
    <x v="0"/>
    <x v="315"/>
    <x v="0"/>
    <s v="DISCOUNT NOT ALLOWED"/>
    <s v="discount not allowed"/>
    <s v="DISCOUNT NOT ALLOWED"/>
    <s v="Discount Not Allowed"/>
    <s v="28/09/23"/>
  </r>
  <r>
    <s v="TXN_9257483"/>
    <s v="CUST_14"/>
    <x v="7"/>
    <x v="133"/>
    <x v="16"/>
    <x v="3"/>
    <n v="119"/>
    <x v="2"/>
    <x v="1"/>
    <x v="953"/>
    <x v="0"/>
    <s v="DISCOUNT NOT ALLOWED"/>
    <s v="discount not allowed"/>
    <s v="DISCOUNT NOT ALLOWED"/>
    <s v="Discount Not Allowed"/>
    <s v="25/01/23"/>
  </r>
  <r>
    <s v="TXN_9413220"/>
    <s v="CUST_09"/>
    <x v="1"/>
    <x v="129"/>
    <x v="16"/>
    <x v="3"/>
    <n v="119"/>
    <x v="1"/>
    <x v="0"/>
    <x v="1064"/>
    <x v="0"/>
    <s v="DISCOUNT NOT ALLOWED"/>
    <s v="discount not allowed"/>
    <s v="DISCOUNT NOT ALLOWED"/>
    <s v="Discount Not Allowed"/>
    <s v="16/02/22"/>
  </r>
  <r>
    <s v="TXN_9632140"/>
    <s v="CUST_11"/>
    <x v="5"/>
    <x v="128"/>
    <x v="16"/>
    <x v="3"/>
    <n v="119"/>
    <x v="1"/>
    <x v="1"/>
    <x v="325"/>
    <x v="0"/>
    <s v="DISCOUNT NOT ALLOWED"/>
    <s v="discount not allowed"/>
    <s v="DISCOUNT NOT ALLOWED"/>
    <s v="Discount Not Allowed"/>
    <s v="17/02/22"/>
  </r>
  <r>
    <s v="TXN_9920471"/>
    <s v="CUST_06"/>
    <x v="6"/>
    <x v="132"/>
    <x v="16"/>
    <x v="3"/>
    <n v="119"/>
    <x v="1"/>
    <x v="0"/>
    <x v="549"/>
    <x v="0"/>
    <s v="DISCOUNT NOT ALLOWED"/>
    <s v="discount not allowed"/>
    <s v="DISCOUNT NOT ALLOWED"/>
    <s v="Discount Not Allowed"/>
    <s v="18/03/23"/>
  </r>
  <r>
    <s v="TXN_1175373"/>
    <s v="CUST_13"/>
    <x v="0"/>
    <x v="14"/>
    <x v="1"/>
    <x v="7"/>
    <n v="118.5"/>
    <x v="2"/>
    <x v="1"/>
    <x v="58"/>
    <x v="1"/>
    <s v="DISCOUNT ALLOWED"/>
    <s v="discount allowed"/>
    <s v="DISCOUNT ALLOWED"/>
    <s v="Discount Allowed"/>
    <s v="09/04/24"/>
  </r>
  <r>
    <s v="TXN_1207317"/>
    <s v="CUST_21"/>
    <x v="2"/>
    <x v="9"/>
    <x v="1"/>
    <x v="7"/>
    <n v="118.5"/>
    <x v="0"/>
    <x v="0"/>
    <x v="1018"/>
    <x v="1"/>
    <s v="DISCOUNT ALLOWED"/>
    <s v="discount allowed"/>
    <s v="DISCOUNT ALLOWED"/>
    <s v="Discount Allowed"/>
    <s v="13/09/24"/>
  </r>
  <r>
    <s v="TXN_2277445"/>
    <s v="CUST_20"/>
    <x v="0"/>
    <x v="14"/>
    <x v="1"/>
    <x v="7"/>
    <n v="118.5"/>
    <x v="0"/>
    <x v="0"/>
    <x v="821"/>
    <x v="1"/>
    <s v="DISCOUNT ALLOWED"/>
    <s v="discount allowed"/>
    <s v="DISCOUNT ALLOWED"/>
    <s v="Discount Allowed"/>
    <s v="14/05/22"/>
  </r>
  <r>
    <s v="TXN_2759881"/>
    <s v="CUST_12"/>
    <x v="2"/>
    <x v="9"/>
    <x v="1"/>
    <x v="7"/>
    <n v="118.5"/>
    <x v="0"/>
    <x v="1"/>
    <x v="566"/>
    <x v="1"/>
    <s v="DISCOUNT ALLOWED"/>
    <s v="discount allowed"/>
    <s v="DISCOUNT ALLOWED"/>
    <s v="Discount Allowed"/>
    <s v="16/11/24"/>
  </r>
  <r>
    <s v="TXN_5026476"/>
    <s v="CUST_11"/>
    <x v="4"/>
    <x v="11"/>
    <x v="1"/>
    <x v="7"/>
    <n v="118.5"/>
    <x v="0"/>
    <x v="0"/>
    <x v="738"/>
    <x v="0"/>
    <s v="DISCOUNT NOT ALLOWED"/>
    <s v="discount not allowed"/>
    <s v="DISCOUNT NOT ALLOWED"/>
    <s v="Discount Not Allowed"/>
    <s v="09/02/24"/>
  </r>
  <r>
    <s v="TXN_5428176"/>
    <s v="CUST_03"/>
    <x v="7"/>
    <x v="10"/>
    <x v="1"/>
    <x v="7"/>
    <n v="118.5"/>
    <x v="1"/>
    <x v="0"/>
    <x v="285"/>
    <x v="0"/>
    <s v="DISCOUNT NOT ALLOWED"/>
    <s v="discount not allowed"/>
    <s v="DISCOUNT NOT ALLOWED"/>
    <s v="Discount Not Allowed"/>
    <s v="12/03/22"/>
  </r>
  <r>
    <s v="TXN_5756608"/>
    <s v="CUST_15"/>
    <x v="2"/>
    <x v="9"/>
    <x v="1"/>
    <x v="7"/>
    <n v="118.5"/>
    <x v="1"/>
    <x v="1"/>
    <x v="321"/>
    <x v="1"/>
    <s v="DISCOUNT ALLOWED"/>
    <s v="discount allowed"/>
    <s v="DISCOUNT ALLOWED"/>
    <s v="Discount Allowed"/>
    <s v="28/03/24"/>
  </r>
  <r>
    <s v="TXN_5798862"/>
    <s v="CUST_05"/>
    <x v="2"/>
    <x v="9"/>
    <x v="1"/>
    <x v="7"/>
    <n v="118.5"/>
    <x v="2"/>
    <x v="0"/>
    <x v="901"/>
    <x v="0"/>
    <s v="DISCOUNT NOT ALLOWED"/>
    <s v="discount not allowed"/>
    <s v="DISCOUNT NOT ALLOWED"/>
    <s v="Discount Not Allowed"/>
    <s v="28/07/24"/>
  </r>
  <r>
    <s v="TXN_6445899"/>
    <s v="CUST_19"/>
    <x v="7"/>
    <x v="10"/>
    <x v="1"/>
    <x v="7"/>
    <n v="118.5"/>
    <x v="2"/>
    <x v="0"/>
    <x v="364"/>
    <x v="1"/>
    <s v="DISCOUNT ALLOWED"/>
    <s v="discount allowed"/>
    <s v="DISCOUNT ALLOWED"/>
    <s v="Discount Allowed"/>
    <s v="14/11/24"/>
  </r>
  <r>
    <s v="TXN_6612546"/>
    <s v="CUST_05"/>
    <x v="1"/>
    <x v="8"/>
    <x v="1"/>
    <x v="7"/>
    <n v="118.5"/>
    <x v="1"/>
    <x v="0"/>
    <x v="1067"/>
    <x v="1"/>
    <s v="DISCOUNT ALLOWED"/>
    <s v="discount allowed"/>
    <s v="DISCOUNT ALLOWED"/>
    <s v="Discount Allowed"/>
    <s v="31/10/23"/>
  </r>
  <r>
    <s v="TXN_6728454"/>
    <s v="CUST_08"/>
    <x v="0"/>
    <x v="14"/>
    <x v="1"/>
    <x v="7"/>
    <n v="118.5"/>
    <x v="2"/>
    <x v="0"/>
    <x v="595"/>
    <x v="1"/>
    <s v="DISCOUNT ALLOWED"/>
    <s v="discount allowed"/>
    <s v="DISCOUNT ALLOWED"/>
    <s v="Discount Allowed"/>
    <s v="17/10/23"/>
  </r>
  <r>
    <s v="TXN_7037135"/>
    <s v="CUST_13"/>
    <x v="4"/>
    <x v="11"/>
    <x v="1"/>
    <x v="7"/>
    <n v="118.5"/>
    <x v="2"/>
    <x v="1"/>
    <x v="1043"/>
    <x v="0"/>
    <s v="DISCOUNT NOT ALLOWED"/>
    <s v="discount not allowed"/>
    <s v="DISCOUNT NOT ALLOWED"/>
    <s v="Discount Not Allowed"/>
    <s v="18/04/22"/>
  </r>
  <r>
    <s v="TXN_7467643"/>
    <s v="CUST_19"/>
    <x v="7"/>
    <x v="10"/>
    <x v="1"/>
    <x v="7"/>
    <n v="118.5"/>
    <x v="1"/>
    <x v="0"/>
    <x v="706"/>
    <x v="1"/>
    <s v="DISCOUNT ALLOWED"/>
    <s v="discount allowed"/>
    <s v="DISCOUNT ALLOWED"/>
    <s v="Discount Allowed"/>
    <s v="25/06/22"/>
  </r>
  <r>
    <s v="TXN_7557807"/>
    <s v="CUST_07"/>
    <x v="2"/>
    <x v="9"/>
    <x v="1"/>
    <x v="7"/>
    <n v="118.5"/>
    <x v="0"/>
    <x v="0"/>
    <x v="190"/>
    <x v="1"/>
    <s v="DISCOUNT ALLOWED"/>
    <s v="discount allowed"/>
    <s v="DISCOUNT ALLOWED"/>
    <s v="Discount Allowed"/>
    <s v="07/02/22"/>
  </r>
  <r>
    <s v="TXN_7584688"/>
    <s v="CUST_05"/>
    <x v="7"/>
    <x v="10"/>
    <x v="1"/>
    <x v="7"/>
    <n v="118.5"/>
    <x v="2"/>
    <x v="1"/>
    <x v="537"/>
    <x v="1"/>
    <s v="DISCOUNT ALLOWED"/>
    <s v="discount allowed"/>
    <s v="DISCOUNT ALLOWED"/>
    <s v="Discount Allowed"/>
    <s v="27/09/22"/>
  </r>
  <r>
    <s v="TXN_7614106"/>
    <s v="CUST_13"/>
    <x v="2"/>
    <x v="9"/>
    <x v="1"/>
    <x v="7"/>
    <n v="118.5"/>
    <x v="2"/>
    <x v="1"/>
    <x v="161"/>
    <x v="0"/>
    <s v="DISCOUNT NOT ALLOWED"/>
    <s v="discount not allowed"/>
    <s v="DISCOUNT NOT ALLOWED"/>
    <s v="Discount Not Allowed"/>
    <s v="04/06/24"/>
  </r>
  <r>
    <s v="TXN_7720299"/>
    <s v="CUST_22"/>
    <x v="2"/>
    <x v="9"/>
    <x v="1"/>
    <x v="7"/>
    <n v="118.5"/>
    <x v="2"/>
    <x v="1"/>
    <x v="933"/>
    <x v="0"/>
    <s v="DISCOUNT NOT ALLOWED"/>
    <s v="discount not allowed"/>
    <s v="DISCOUNT NOT ALLOWED"/>
    <s v="Discount Not Allowed"/>
    <s v="29/10/24"/>
  </r>
  <r>
    <s v="TXN_8140334"/>
    <s v="CUST_07"/>
    <x v="2"/>
    <x v="9"/>
    <x v="1"/>
    <x v="7"/>
    <n v="118.5"/>
    <x v="0"/>
    <x v="0"/>
    <x v="939"/>
    <x v="1"/>
    <s v="DISCOUNT ALLOWED"/>
    <s v="discount allowed"/>
    <s v="DISCOUNT ALLOWED"/>
    <s v="Discount Allowed"/>
    <s v="26/10/24"/>
  </r>
  <r>
    <s v="TXN_8519777"/>
    <s v="CUST_16"/>
    <x v="1"/>
    <x v="8"/>
    <x v="1"/>
    <x v="7"/>
    <n v="118.5"/>
    <x v="0"/>
    <x v="0"/>
    <x v="375"/>
    <x v="1"/>
    <s v="DISCOUNT ALLOWED"/>
    <s v="discount allowed"/>
    <s v="DISCOUNT ALLOWED"/>
    <s v="Discount Allowed"/>
    <s v="02/07/22"/>
  </r>
  <r>
    <s v="TXN_8694760"/>
    <s v="CUST_15"/>
    <x v="2"/>
    <x v="9"/>
    <x v="1"/>
    <x v="7"/>
    <n v="118.5"/>
    <x v="1"/>
    <x v="1"/>
    <x v="291"/>
    <x v="0"/>
    <s v="DISCOUNT NOT ALLOWED"/>
    <s v="discount not allowed"/>
    <s v="DISCOUNT NOT ALLOWED"/>
    <s v="Discount Not Allowed"/>
    <s v="22/02/24"/>
  </r>
  <r>
    <s v="TXN_8913051"/>
    <s v="CUST_02"/>
    <x v="2"/>
    <x v="9"/>
    <x v="1"/>
    <x v="7"/>
    <n v="118.5"/>
    <x v="0"/>
    <x v="0"/>
    <x v="436"/>
    <x v="1"/>
    <s v="DISCOUNT ALLOWED"/>
    <s v="discount allowed"/>
    <s v="DISCOUNT ALLOWED"/>
    <s v="Discount Allowed"/>
    <s v="18/06/22"/>
  </r>
  <r>
    <s v="TXN_9297702"/>
    <s v="CUST_13"/>
    <x v="3"/>
    <x v="12"/>
    <x v="1"/>
    <x v="7"/>
    <n v="118.5"/>
    <x v="0"/>
    <x v="1"/>
    <x v="902"/>
    <x v="0"/>
    <s v="DISCOUNT NOT ALLOWED"/>
    <s v="discount not allowed"/>
    <s v="DISCOUNT NOT ALLOWED"/>
    <s v="Discount Not Allowed"/>
    <s v="29/08/24"/>
  </r>
  <r>
    <s v="TXN_9616213"/>
    <s v="CUST_23"/>
    <x v="2"/>
    <x v="9"/>
    <x v="1"/>
    <x v="7"/>
    <n v="118.5"/>
    <x v="2"/>
    <x v="0"/>
    <x v="460"/>
    <x v="1"/>
    <s v="DISCOUNT ALLOWED"/>
    <s v="discount allowed"/>
    <s v="DISCOUNT ALLOWED"/>
    <s v="Discount Allowed"/>
    <s v="11/03/23"/>
  </r>
  <r>
    <s v="TXN_9733008"/>
    <s v="CUST_07"/>
    <x v="2"/>
    <x v="9"/>
    <x v="1"/>
    <x v="7"/>
    <n v="118.5"/>
    <x v="2"/>
    <x v="0"/>
    <x v="620"/>
    <x v="0"/>
    <s v="DISCOUNT NOT ALLOWED"/>
    <s v="discount not allowed"/>
    <s v="DISCOUNT NOT ALLOWED"/>
    <s v="Discount Not Allowed"/>
    <s v="19/09/23"/>
  </r>
  <r>
    <s v="TXN_1205286"/>
    <s v="CUST_11"/>
    <x v="7"/>
    <x v="63"/>
    <x v="8"/>
    <x v="6"/>
    <n v="116"/>
    <x v="1"/>
    <x v="1"/>
    <x v="578"/>
    <x v="0"/>
    <s v="DISCOUNT NOT ALLOWED"/>
    <s v="discount not allowed"/>
    <s v="DISCOUNT NOT ALLOWED"/>
    <s v="Discount Not Allowed"/>
    <s v="02/11/22"/>
  </r>
  <r>
    <s v="TXN_1293012"/>
    <s v="CUST_06"/>
    <x v="7"/>
    <x v="63"/>
    <x v="8"/>
    <x v="6"/>
    <n v="116"/>
    <x v="0"/>
    <x v="1"/>
    <x v="785"/>
    <x v="1"/>
    <s v="DISCOUNT ALLOWED"/>
    <s v="discount allowed"/>
    <s v="DISCOUNT ALLOWED"/>
    <s v="Discount Allowed"/>
    <s v="30/03/22"/>
  </r>
  <r>
    <s v="TXN_1377584"/>
    <s v="CUST_19"/>
    <x v="4"/>
    <x v="66"/>
    <x v="8"/>
    <x v="6"/>
    <n v="116"/>
    <x v="0"/>
    <x v="1"/>
    <x v="658"/>
    <x v="0"/>
    <s v="DISCOUNT NOT ALLOWED"/>
    <s v="discount not allowed"/>
    <s v="DISCOUNT NOT ALLOWED"/>
    <s v="Discount Not Allowed"/>
    <s v="29/09/22"/>
  </r>
  <r>
    <s v="TXN_1681196"/>
    <s v="CUST_18"/>
    <x v="4"/>
    <x v="66"/>
    <x v="8"/>
    <x v="6"/>
    <n v="116"/>
    <x v="2"/>
    <x v="1"/>
    <x v="1058"/>
    <x v="0"/>
    <s v="DISCOUNT NOT ALLOWED"/>
    <s v="discount not allowed"/>
    <s v="DISCOUNT NOT ALLOWED"/>
    <s v="Discount Not Allowed"/>
    <s v="06/08/22"/>
  </r>
  <r>
    <s v="TXN_1720595"/>
    <s v="CUST_23"/>
    <x v="7"/>
    <x v="63"/>
    <x v="8"/>
    <x v="6"/>
    <n v="116"/>
    <x v="0"/>
    <x v="0"/>
    <x v="460"/>
    <x v="0"/>
    <s v="DISCOUNT NOT ALLOWED"/>
    <s v="discount not allowed"/>
    <s v="DISCOUNT NOT ALLOWED"/>
    <s v="Discount Not Allowed"/>
    <s v="11/03/23"/>
  </r>
  <r>
    <s v="TXN_2594117"/>
    <s v="CUST_10"/>
    <x v="4"/>
    <x v="66"/>
    <x v="8"/>
    <x v="6"/>
    <n v="116"/>
    <x v="2"/>
    <x v="1"/>
    <x v="23"/>
    <x v="1"/>
    <s v="DISCOUNT ALLOWED"/>
    <s v="discount allowed"/>
    <s v="DISCOUNT ALLOWED"/>
    <s v="Discount Allowed"/>
    <s v="31/08/24"/>
  </r>
  <r>
    <s v="TXN_2601626"/>
    <s v="CUST_18"/>
    <x v="5"/>
    <x v="67"/>
    <x v="8"/>
    <x v="6"/>
    <n v="116"/>
    <x v="1"/>
    <x v="0"/>
    <x v="339"/>
    <x v="1"/>
    <s v="DISCOUNT ALLOWED"/>
    <s v="discount allowed"/>
    <s v="DISCOUNT ALLOWED"/>
    <s v="Discount Allowed"/>
    <s v="03/09/22"/>
  </r>
  <r>
    <s v="TXN_2691273"/>
    <s v="CUST_09"/>
    <x v="4"/>
    <x v="66"/>
    <x v="8"/>
    <x v="6"/>
    <n v="116"/>
    <x v="1"/>
    <x v="1"/>
    <x v="1032"/>
    <x v="0"/>
    <s v="DISCOUNT NOT ALLOWED"/>
    <s v="discount not allowed"/>
    <s v="DISCOUNT NOT ALLOWED"/>
    <s v="Discount Not Allowed"/>
    <s v="30/03/23"/>
  </r>
  <r>
    <s v="TXN_2716104"/>
    <s v="CUST_22"/>
    <x v="7"/>
    <x v="63"/>
    <x v="8"/>
    <x v="6"/>
    <n v="116"/>
    <x v="1"/>
    <x v="1"/>
    <x v="464"/>
    <x v="1"/>
    <s v="DISCOUNT ALLOWED"/>
    <s v="discount allowed"/>
    <s v="DISCOUNT ALLOWED"/>
    <s v="Discount Allowed"/>
    <s v="13/01/22"/>
  </r>
  <r>
    <s v="TXN_2739207"/>
    <s v="CUST_12"/>
    <x v="1"/>
    <x v="64"/>
    <x v="8"/>
    <x v="6"/>
    <n v="116"/>
    <x v="2"/>
    <x v="0"/>
    <x v="258"/>
    <x v="1"/>
    <s v="DISCOUNT ALLOWED"/>
    <s v="discount allowed"/>
    <s v="DISCOUNT ALLOWED"/>
    <s v="Discount Allowed"/>
    <s v="04/12/24"/>
  </r>
  <r>
    <s v="TXN_2940196"/>
    <s v="CUST_10"/>
    <x v="0"/>
    <x v="61"/>
    <x v="8"/>
    <x v="6"/>
    <n v="116"/>
    <x v="1"/>
    <x v="0"/>
    <x v="769"/>
    <x v="1"/>
    <s v="DISCOUNT ALLOWED"/>
    <s v="discount allowed"/>
    <s v="DISCOUNT ALLOWED"/>
    <s v="Discount Allowed"/>
    <s v="02/12/22"/>
  </r>
  <r>
    <s v="TXN_3089375"/>
    <s v="CUST_17"/>
    <x v="4"/>
    <x v="66"/>
    <x v="8"/>
    <x v="6"/>
    <n v="116"/>
    <x v="0"/>
    <x v="0"/>
    <x v="179"/>
    <x v="0"/>
    <s v="DISCOUNT NOT ALLOWED"/>
    <s v="discount not allowed"/>
    <s v="DISCOUNT NOT ALLOWED"/>
    <s v="Discount Not Allowed"/>
    <s v="05/09/22"/>
  </r>
  <r>
    <s v="TXN_3251996"/>
    <s v="CUST_16"/>
    <x v="6"/>
    <x v="62"/>
    <x v="8"/>
    <x v="6"/>
    <n v="116"/>
    <x v="0"/>
    <x v="0"/>
    <x v="643"/>
    <x v="0"/>
    <s v="DISCOUNT NOT ALLOWED"/>
    <s v="discount not allowed"/>
    <s v="DISCOUNT NOT ALLOWED"/>
    <s v="Discount Not Allowed"/>
    <s v="26/01/23"/>
  </r>
  <r>
    <s v="TXN_3480896"/>
    <s v="CUST_11"/>
    <x v="1"/>
    <x v="64"/>
    <x v="8"/>
    <x v="6"/>
    <n v="116"/>
    <x v="0"/>
    <x v="0"/>
    <x v="804"/>
    <x v="1"/>
    <s v="DISCOUNT ALLOWED"/>
    <s v="discount allowed"/>
    <s v="DISCOUNT ALLOWED"/>
    <s v="Discount Allowed"/>
    <s v="17/09/24"/>
  </r>
  <r>
    <s v="TXN_3515217"/>
    <s v="CUST_03"/>
    <x v="7"/>
    <x v="63"/>
    <x v="8"/>
    <x v="6"/>
    <n v="116"/>
    <x v="1"/>
    <x v="0"/>
    <x v="1004"/>
    <x v="0"/>
    <s v="DISCOUNT NOT ALLOWED"/>
    <s v="discount not allowed"/>
    <s v="DISCOUNT NOT ALLOWED"/>
    <s v="Discount Not Allowed"/>
    <s v="03/11/22"/>
  </r>
  <r>
    <s v="TXN_4857821"/>
    <s v="CUST_20"/>
    <x v="1"/>
    <x v="64"/>
    <x v="8"/>
    <x v="6"/>
    <n v="116"/>
    <x v="1"/>
    <x v="1"/>
    <x v="704"/>
    <x v="0"/>
    <s v="DISCOUNT NOT ALLOWED"/>
    <s v="discount not allowed"/>
    <s v="DISCOUNT NOT ALLOWED"/>
    <s v="Discount Not Allowed"/>
    <s v="02/03/24"/>
  </r>
  <r>
    <s v="TXN_5317550"/>
    <s v="CUST_23"/>
    <x v="2"/>
    <x v="68"/>
    <x v="8"/>
    <x v="6"/>
    <n v="116"/>
    <x v="2"/>
    <x v="1"/>
    <x v="261"/>
    <x v="1"/>
    <s v="DISCOUNT ALLOWED"/>
    <s v="discount allowed"/>
    <s v="DISCOUNT ALLOWED"/>
    <s v="Discount Allowed"/>
    <s v="14/05/24"/>
  </r>
  <r>
    <s v="TXN_5371741"/>
    <s v="CUST_12"/>
    <x v="5"/>
    <x v="67"/>
    <x v="8"/>
    <x v="6"/>
    <n v="116"/>
    <x v="0"/>
    <x v="1"/>
    <x v="115"/>
    <x v="1"/>
    <s v="DISCOUNT ALLOWED"/>
    <s v="discount allowed"/>
    <s v="DISCOUNT ALLOWED"/>
    <s v="Discount Allowed"/>
    <s v="21/08/22"/>
  </r>
  <r>
    <s v="TXN_5377436"/>
    <s v="CUST_09"/>
    <x v="7"/>
    <x v="63"/>
    <x v="8"/>
    <x v="6"/>
    <n v="116"/>
    <x v="0"/>
    <x v="1"/>
    <x v="699"/>
    <x v="1"/>
    <s v="DISCOUNT ALLOWED"/>
    <s v="discount allowed"/>
    <s v="DISCOUNT ALLOWED"/>
    <s v="Discount Allowed"/>
    <s v="24/03/23"/>
  </r>
  <r>
    <s v="TXN_5504057"/>
    <s v="CUST_03"/>
    <x v="7"/>
    <x v="63"/>
    <x v="8"/>
    <x v="6"/>
    <n v="116"/>
    <x v="1"/>
    <x v="1"/>
    <x v="430"/>
    <x v="1"/>
    <s v="DISCOUNT ALLOWED"/>
    <s v="discount allowed"/>
    <s v="DISCOUNT ALLOWED"/>
    <s v="Discount Allowed"/>
    <s v="04/05/23"/>
  </r>
  <r>
    <s v="TXN_5636940"/>
    <s v="CUST_02"/>
    <x v="5"/>
    <x v="67"/>
    <x v="8"/>
    <x v="6"/>
    <n v="116"/>
    <x v="1"/>
    <x v="0"/>
    <x v="286"/>
    <x v="0"/>
    <s v="DISCOUNT NOT ALLOWED"/>
    <s v="discount not allowed"/>
    <s v="DISCOUNT NOT ALLOWED"/>
    <s v="Discount Not Allowed"/>
    <s v="16/10/22"/>
  </r>
  <r>
    <s v="TXN_5861014"/>
    <s v="CUST_21"/>
    <x v="7"/>
    <x v="63"/>
    <x v="8"/>
    <x v="6"/>
    <n v="116"/>
    <x v="2"/>
    <x v="1"/>
    <x v="886"/>
    <x v="1"/>
    <s v="DISCOUNT ALLOWED"/>
    <s v="discount allowed"/>
    <s v="DISCOUNT ALLOWED"/>
    <s v="Discount Allowed"/>
    <s v="21/03/24"/>
  </r>
  <r>
    <s v="TXN_6457304"/>
    <s v="CUST_09"/>
    <x v="7"/>
    <x v="63"/>
    <x v="8"/>
    <x v="6"/>
    <n v="116"/>
    <x v="0"/>
    <x v="1"/>
    <x v="674"/>
    <x v="0"/>
    <s v="DISCOUNT NOT ALLOWED"/>
    <s v="discount not allowed"/>
    <s v="DISCOUNT NOT ALLOWED"/>
    <s v="Discount Not Allowed"/>
    <s v="26/09/23"/>
  </r>
  <r>
    <s v="TXN_7034182"/>
    <s v="CUST_04"/>
    <x v="1"/>
    <x v="64"/>
    <x v="8"/>
    <x v="6"/>
    <n v="116"/>
    <x v="1"/>
    <x v="1"/>
    <x v="441"/>
    <x v="0"/>
    <s v="DISCOUNT NOT ALLOWED"/>
    <s v="discount not allowed"/>
    <s v="DISCOUNT NOT ALLOWED"/>
    <s v="Discount Not Allowed"/>
    <s v="09/05/22"/>
  </r>
  <r>
    <s v="TXN_7118644"/>
    <s v="CUST_06"/>
    <x v="6"/>
    <x v="62"/>
    <x v="8"/>
    <x v="6"/>
    <n v="116"/>
    <x v="1"/>
    <x v="0"/>
    <x v="913"/>
    <x v="1"/>
    <s v="DISCOUNT ALLOWED"/>
    <s v="discount allowed"/>
    <s v="DISCOUNT ALLOWED"/>
    <s v="Discount Allowed"/>
    <s v="12/01/23"/>
  </r>
  <r>
    <s v="TXN_7384450"/>
    <s v="CUST_02"/>
    <x v="4"/>
    <x v="66"/>
    <x v="8"/>
    <x v="6"/>
    <n v="116"/>
    <x v="2"/>
    <x v="1"/>
    <x v="696"/>
    <x v="0"/>
    <s v="DISCOUNT NOT ALLOWED"/>
    <s v="discount not allowed"/>
    <s v="DISCOUNT NOT ALLOWED"/>
    <s v="Discount Not Allowed"/>
    <s v="01/10/23"/>
  </r>
  <r>
    <s v="TXN_8144943"/>
    <s v="CUST_04"/>
    <x v="6"/>
    <x v="62"/>
    <x v="8"/>
    <x v="6"/>
    <n v="116"/>
    <x v="1"/>
    <x v="0"/>
    <x v="658"/>
    <x v="0"/>
    <s v="DISCOUNT NOT ALLOWED"/>
    <s v="discount not allowed"/>
    <s v="DISCOUNT NOT ALLOWED"/>
    <s v="Discount Not Allowed"/>
    <s v="29/09/22"/>
  </r>
  <r>
    <s v="TXN_8547389"/>
    <s v="CUST_11"/>
    <x v="5"/>
    <x v="67"/>
    <x v="8"/>
    <x v="6"/>
    <n v="116"/>
    <x v="1"/>
    <x v="0"/>
    <x v="852"/>
    <x v="0"/>
    <s v="DISCOUNT NOT ALLOWED"/>
    <s v="discount not allowed"/>
    <s v="DISCOUNT NOT ALLOWED"/>
    <s v="Discount Not Allowed"/>
    <s v="26/05/22"/>
  </r>
  <r>
    <s v="TXN_8572474"/>
    <s v="CUST_17"/>
    <x v="4"/>
    <x v="66"/>
    <x v="8"/>
    <x v="6"/>
    <n v="116"/>
    <x v="1"/>
    <x v="0"/>
    <x v="982"/>
    <x v="1"/>
    <s v="DISCOUNT ALLOWED"/>
    <s v="discount allowed"/>
    <s v="DISCOUNT ALLOWED"/>
    <s v="Discount Allowed"/>
    <s v="19/11/24"/>
  </r>
  <r>
    <s v="TXN_9012270"/>
    <s v="CUST_18"/>
    <x v="1"/>
    <x v="64"/>
    <x v="8"/>
    <x v="6"/>
    <n v="116"/>
    <x v="0"/>
    <x v="0"/>
    <x v="412"/>
    <x v="0"/>
    <s v="DISCOUNT NOT ALLOWED"/>
    <s v="discount not allowed"/>
    <s v="DISCOUNT NOT ALLOWED"/>
    <s v="Discount Not Allowed"/>
    <s v="17/10/22"/>
  </r>
  <r>
    <s v="TXN_9083605"/>
    <s v="CUST_20"/>
    <x v="3"/>
    <x v="65"/>
    <x v="8"/>
    <x v="6"/>
    <n v="116"/>
    <x v="0"/>
    <x v="1"/>
    <x v="735"/>
    <x v="0"/>
    <s v="DISCOUNT NOT ALLOWED"/>
    <s v="discount not allowed"/>
    <s v="DISCOUNT NOT ALLOWED"/>
    <s v="Discount Not Allowed"/>
    <s v="16/08/23"/>
  </r>
  <r>
    <s v="TXN_9367468"/>
    <s v="CUST_25"/>
    <x v="0"/>
    <x v="61"/>
    <x v="8"/>
    <x v="6"/>
    <n v="116"/>
    <x v="1"/>
    <x v="1"/>
    <x v="341"/>
    <x v="0"/>
    <s v="DISCOUNT NOT ALLOWED"/>
    <s v="discount not allowed"/>
    <s v="DISCOUNT NOT ALLOWED"/>
    <s v="Discount Not Allowed"/>
    <s v="12/07/24"/>
  </r>
  <r>
    <s v="TXN_9545024"/>
    <s v="CUST_09"/>
    <x v="2"/>
    <x v="68"/>
    <x v="8"/>
    <x v="6"/>
    <n v="116"/>
    <x v="1"/>
    <x v="0"/>
    <x v="135"/>
    <x v="1"/>
    <s v="DISCOUNT ALLOWED"/>
    <s v="discount allowed"/>
    <s v="DISCOUNT ALLOWED"/>
    <s v="Discount Allowed"/>
    <s v="03/04/24"/>
  </r>
  <r>
    <s v="TXN_9882558"/>
    <s v="CUST_24"/>
    <x v="4"/>
    <x v="66"/>
    <x v="8"/>
    <x v="6"/>
    <n v="116"/>
    <x v="1"/>
    <x v="1"/>
    <x v="83"/>
    <x v="0"/>
    <s v="DISCOUNT NOT ALLOWED"/>
    <s v="discount not allowed"/>
    <s v="DISCOUNT NOT ALLOWED"/>
    <s v="Discount Not Allowed"/>
    <s v="21/12/23"/>
  </r>
  <r>
    <s v="TXN_1102582"/>
    <s v="CUST_09"/>
    <x v="4"/>
    <x v="94"/>
    <x v="12"/>
    <x v="5"/>
    <n v="115"/>
    <x v="2"/>
    <x v="0"/>
    <x v="705"/>
    <x v="0"/>
    <s v="DISCOUNT NOT ALLOWED"/>
    <s v="discount not allowed"/>
    <s v="DISCOUNT NOT ALLOWED"/>
    <s v="Discount Not Allowed"/>
    <s v="27/10/24"/>
  </r>
  <r>
    <s v="TXN_1449888"/>
    <s v="CUST_24"/>
    <x v="5"/>
    <x v="97"/>
    <x v="12"/>
    <x v="5"/>
    <n v="115"/>
    <x v="0"/>
    <x v="0"/>
    <x v="408"/>
    <x v="0"/>
    <s v="DISCOUNT NOT ALLOWED"/>
    <s v="discount not allowed"/>
    <s v="DISCOUNT NOT ALLOWED"/>
    <s v="Discount Not Allowed"/>
    <s v="24/11/24"/>
  </r>
  <r>
    <s v="TXN_1681078"/>
    <s v="CUST_19"/>
    <x v="4"/>
    <x v="94"/>
    <x v="12"/>
    <x v="5"/>
    <n v="115"/>
    <x v="2"/>
    <x v="0"/>
    <x v="1004"/>
    <x v="0"/>
    <s v="DISCOUNT NOT ALLOWED"/>
    <s v="discount not allowed"/>
    <s v="DISCOUNT NOT ALLOWED"/>
    <s v="Discount Not Allowed"/>
    <s v="03/11/22"/>
  </r>
  <r>
    <s v="TXN_1732114"/>
    <s v="CUST_11"/>
    <x v="0"/>
    <x v="98"/>
    <x v="12"/>
    <x v="5"/>
    <n v="115"/>
    <x v="2"/>
    <x v="0"/>
    <x v="728"/>
    <x v="0"/>
    <s v="DISCOUNT NOT ALLOWED"/>
    <s v="discount not allowed"/>
    <s v="DISCOUNT NOT ALLOWED"/>
    <s v="Discount Not Allowed"/>
    <s v="14/06/22"/>
  </r>
  <r>
    <s v="TXN_1742095"/>
    <s v="CUST_13"/>
    <x v="7"/>
    <x v="96"/>
    <x v="12"/>
    <x v="5"/>
    <n v="115"/>
    <x v="2"/>
    <x v="0"/>
    <x v="868"/>
    <x v="1"/>
    <s v="DISCOUNT ALLOWED"/>
    <s v="discount allowed"/>
    <s v="DISCOUNT ALLOWED"/>
    <s v="Discount Allowed"/>
    <s v="22/08/24"/>
  </r>
  <r>
    <s v="TXN_1870960"/>
    <s v="CUST_06"/>
    <x v="0"/>
    <x v="98"/>
    <x v="12"/>
    <x v="5"/>
    <n v="115"/>
    <x v="1"/>
    <x v="1"/>
    <x v="240"/>
    <x v="0"/>
    <s v="DISCOUNT NOT ALLOWED"/>
    <s v="discount not allowed"/>
    <s v="DISCOUNT NOT ALLOWED"/>
    <s v="Discount Not Allowed"/>
    <s v="08/07/24"/>
  </r>
  <r>
    <s v="TXN_2494353"/>
    <s v="CUST_14"/>
    <x v="5"/>
    <x v="97"/>
    <x v="12"/>
    <x v="5"/>
    <n v="115"/>
    <x v="2"/>
    <x v="0"/>
    <x v="664"/>
    <x v="1"/>
    <s v="DISCOUNT ALLOWED"/>
    <s v="discount allowed"/>
    <s v="DISCOUNT ALLOWED"/>
    <s v="Discount Allowed"/>
    <s v="03/11/23"/>
  </r>
  <r>
    <s v="TXN_2558237"/>
    <s v="CUST_04"/>
    <x v="0"/>
    <x v="98"/>
    <x v="12"/>
    <x v="5"/>
    <n v="115"/>
    <x v="1"/>
    <x v="0"/>
    <x v="217"/>
    <x v="0"/>
    <s v="DISCOUNT NOT ALLOWED"/>
    <s v="discount not allowed"/>
    <s v="DISCOUNT NOT ALLOWED"/>
    <s v="Discount Not Allowed"/>
    <s v="12/01/24"/>
  </r>
  <r>
    <s v="TXN_2807320"/>
    <s v="CUST_05"/>
    <x v="0"/>
    <x v="98"/>
    <x v="12"/>
    <x v="5"/>
    <n v="115"/>
    <x v="1"/>
    <x v="0"/>
    <x v="103"/>
    <x v="0"/>
    <s v="DISCOUNT NOT ALLOWED"/>
    <s v="discount not allowed"/>
    <s v="DISCOUNT NOT ALLOWED"/>
    <s v="Discount Not Allowed"/>
    <s v="30/05/22"/>
  </r>
  <r>
    <s v="TXN_3254399"/>
    <s v="CUST_17"/>
    <x v="3"/>
    <x v="95"/>
    <x v="12"/>
    <x v="5"/>
    <n v="115"/>
    <x v="1"/>
    <x v="0"/>
    <x v="1052"/>
    <x v="0"/>
    <s v="DISCOUNT NOT ALLOWED"/>
    <s v="discount not allowed"/>
    <s v="DISCOUNT NOT ALLOWED"/>
    <s v="Discount Not Allowed"/>
    <s v="18/09/23"/>
  </r>
  <r>
    <s v="TXN_3854731"/>
    <s v="CUST_03"/>
    <x v="4"/>
    <x v="94"/>
    <x v="12"/>
    <x v="5"/>
    <n v="115"/>
    <x v="2"/>
    <x v="1"/>
    <x v="431"/>
    <x v="1"/>
    <s v="DISCOUNT ALLOWED"/>
    <s v="discount allowed"/>
    <s v="DISCOUNT ALLOWED"/>
    <s v="Discount Allowed"/>
    <s v="01/01/25"/>
  </r>
  <r>
    <s v="TXN_3864173"/>
    <s v="CUST_08"/>
    <x v="5"/>
    <x v="97"/>
    <x v="12"/>
    <x v="5"/>
    <n v="115"/>
    <x v="1"/>
    <x v="1"/>
    <x v="596"/>
    <x v="1"/>
    <s v="DISCOUNT ALLOWED"/>
    <s v="discount allowed"/>
    <s v="DISCOUNT ALLOWED"/>
    <s v="Discount Allowed"/>
    <s v="06/12/23"/>
  </r>
  <r>
    <s v="TXN_3994985"/>
    <s v="CUST_18"/>
    <x v="0"/>
    <x v="98"/>
    <x v="12"/>
    <x v="5"/>
    <n v="115"/>
    <x v="2"/>
    <x v="1"/>
    <x v="523"/>
    <x v="1"/>
    <s v="DISCOUNT ALLOWED"/>
    <s v="discount allowed"/>
    <s v="DISCOUNT ALLOWED"/>
    <s v="Discount Allowed"/>
    <s v="02/02/24"/>
  </r>
  <r>
    <s v="TXN_4011197"/>
    <s v="CUST_06"/>
    <x v="4"/>
    <x v="94"/>
    <x v="12"/>
    <x v="5"/>
    <n v="115"/>
    <x v="1"/>
    <x v="1"/>
    <x v="680"/>
    <x v="1"/>
    <s v="DISCOUNT ALLOWED"/>
    <s v="discount allowed"/>
    <s v="DISCOUNT ALLOWED"/>
    <s v="Discount Allowed"/>
    <s v="02/03/23"/>
  </r>
  <r>
    <s v="TXN_4782357"/>
    <s v="CUST_13"/>
    <x v="7"/>
    <x v="96"/>
    <x v="12"/>
    <x v="5"/>
    <n v="115"/>
    <x v="0"/>
    <x v="1"/>
    <x v="768"/>
    <x v="0"/>
    <s v="DISCOUNT NOT ALLOWED"/>
    <s v="discount not allowed"/>
    <s v="DISCOUNT NOT ALLOWED"/>
    <s v="Discount Not Allowed"/>
    <s v="04/12/23"/>
  </r>
  <r>
    <s v="TXN_5146966"/>
    <s v="CUST_25"/>
    <x v="0"/>
    <x v="98"/>
    <x v="12"/>
    <x v="5"/>
    <n v="115"/>
    <x v="1"/>
    <x v="1"/>
    <x v="444"/>
    <x v="1"/>
    <s v="DISCOUNT ALLOWED"/>
    <s v="discount allowed"/>
    <s v="DISCOUNT ALLOWED"/>
    <s v="Discount Allowed"/>
    <s v="19/10/22"/>
  </r>
  <r>
    <s v="TXN_5585946"/>
    <s v="CUST_05"/>
    <x v="3"/>
    <x v="95"/>
    <x v="12"/>
    <x v="5"/>
    <n v="115"/>
    <x v="2"/>
    <x v="1"/>
    <x v="161"/>
    <x v="1"/>
    <s v="DISCOUNT ALLOWED"/>
    <s v="discount allowed"/>
    <s v="DISCOUNT ALLOWED"/>
    <s v="Discount Allowed"/>
    <s v="04/06/24"/>
  </r>
  <r>
    <s v="TXN_5598006"/>
    <s v="CUST_05"/>
    <x v="5"/>
    <x v="97"/>
    <x v="12"/>
    <x v="5"/>
    <n v="115"/>
    <x v="1"/>
    <x v="1"/>
    <x v="798"/>
    <x v="0"/>
    <s v="DISCOUNT NOT ALLOWED"/>
    <s v="discount not allowed"/>
    <s v="DISCOUNT NOT ALLOWED"/>
    <s v="Discount Not Allowed"/>
    <s v="09/01/24"/>
  </r>
  <r>
    <s v="TXN_5877044"/>
    <s v="CUST_03"/>
    <x v="5"/>
    <x v="97"/>
    <x v="12"/>
    <x v="5"/>
    <n v="115"/>
    <x v="0"/>
    <x v="1"/>
    <x v="1068"/>
    <x v="0"/>
    <s v="DISCOUNT NOT ALLOWED"/>
    <s v="discount not allowed"/>
    <s v="DISCOUNT NOT ALLOWED"/>
    <s v="Discount Not Allowed"/>
    <s v="13/04/23"/>
  </r>
  <r>
    <s v="TXN_6212454"/>
    <s v="CUST_17"/>
    <x v="6"/>
    <x v="93"/>
    <x v="12"/>
    <x v="5"/>
    <n v="115"/>
    <x v="1"/>
    <x v="1"/>
    <x v="725"/>
    <x v="1"/>
    <s v="DISCOUNT ALLOWED"/>
    <s v="discount allowed"/>
    <s v="DISCOUNT ALLOWED"/>
    <s v="Discount Allowed"/>
    <s v="14/04/24"/>
  </r>
  <r>
    <s v="TXN_7159417"/>
    <s v="CUST_11"/>
    <x v="4"/>
    <x v="94"/>
    <x v="12"/>
    <x v="5"/>
    <n v="115"/>
    <x v="1"/>
    <x v="1"/>
    <x v="1016"/>
    <x v="0"/>
    <s v="DISCOUNT NOT ALLOWED"/>
    <s v="discount not allowed"/>
    <s v="DISCOUNT NOT ALLOWED"/>
    <s v="Discount Not Allowed"/>
    <s v="14/03/24"/>
  </r>
  <r>
    <s v="TXN_7635738"/>
    <s v="CUST_02"/>
    <x v="6"/>
    <x v="93"/>
    <x v="12"/>
    <x v="5"/>
    <n v="115"/>
    <x v="0"/>
    <x v="1"/>
    <x v="979"/>
    <x v="1"/>
    <s v="DISCOUNT ALLOWED"/>
    <s v="discount allowed"/>
    <s v="DISCOUNT ALLOWED"/>
    <s v="Discount Allowed"/>
    <s v="11/01/24"/>
  </r>
  <r>
    <s v="TXN_7936044"/>
    <s v="CUST_16"/>
    <x v="6"/>
    <x v="93"/>
    <x v="12"/>
    <x v="5"/>
    <n v="115"/>
    <x v="2"/>
    <x v="0"/>
    <x v="485"/>
    <x v="0"/>
    <s v="DISCOUNT NOT ALLOWED"/>
    <s v="discount not allowed"/>
    <s v="DISCOUNT NOT ALLOWED"/>
    <s v="Discount Not Allowed"/>
    <s v="05/01/23"/>
  </r>
  <r>
    <s v="TXN_8228155"/>
    <s v="CUST_17"/>
    <x v="3"/>
    <x v="95"/>
    <x v="12"/>
    <x v="5"/>
    <n v="115"/>
    <x v="2"/>
    <x v="0"/>
    <x v="498"/>
    <x v="1"/>
    <s v="DISCOUNT ALLOWED"/>
    <s v="discount allowed"/>
    <s v="DISCOUNT ALLOWED"/>
    <s v="Discount Allowed"/>
    <s v="19/08/22"/>
  </r>
  <r>
    <s v="TXN_9067738"/>
    <s v="CUST_16"/>
    <x v="5"/>
    <x v="97"/>
    <x v="12"/>
    <x v="5"/>
    <n v="115"/>
    <x v="1"/>
    <x v="0"/>
    <x v="604"/>
    <x v="0"/>
    <s v="DISCOUNT NOT ALLOWED"/>
    <s v="discount not allowed"/>
    <s v="DISCOUNT NOT ALLOWED"/>
    <s v="Discount Not Allowed"/>
    <s v="28/01/24"/>
  </r>
  <r>
    <s v="TXN_9125500"/>
    <s v="CUST_21"/>
    <x v="4"/>
    <x v="94"/>
    <x v="12"/>
    <x v="5"/>
    <n v="115"/>
    <x v="1"/>
    <x v="0"/>
    <x v="450"/>
    <x v="0"/>
    <s v="DISCOUNT NOT ALLOWED"/>
    <s v="discount not allowed"/>
    <s v="DISCOUNT NOT ALLOWED"/>
    <s v="Discount Not Allowed"/>
    <s v="21/03/23"/>
  </r>
  <r>
    <s v="TXN_9341645"/>
    <s v="CUST_02"/>
    <x v="4"/>
    <x v="94"/>
    <x v="12"/>
    <x v="5"/>
    <n v="115"/>
    <x v="0"/>
    <x v="1"/>
    <x v="305"/>
    <x v="1"/>
    <s v="DISCOUNT ALLOWED"/>
    <s v="discount allowed"/>
    <s v="DISCOUNT ALLOWED"/>
    <s v="Discount Allowed"/>
    <s v="21/05/23"/>
  </r>
  <r>
    <s v="TXN_9472024"/>
    <s v="CUST_17"/>
    <x v="3"/>
    <x v="95"/>
    <x v="12"/>
    <x v="5"/>
    <n v="115"/>
    <x v="2"/>
    <x v="0"/>
    <x v="903"/>
    <x v="0"/>
    <s v="DISCOUNT NOT ALLOWED"/>
    <s v="discount not allowed"/>
    <s v="DISCOUNT NOT ALLOWED"/>
    <s v="Discount Not Allowed"/>
    <s v="18/01/24"/>
  </r>
  <r>
    <s v="TXN_9707301"/>
    <s v="CUST_07"/>
    <x v="6"/>
    <x v="93"/>
    <x v="12"/>
    <x v="5"/>
    <n v="115"/>
    <x v="0"/>
    <x v="1"/>
    <x v="823"/>
    <x v="1"/>
    <s v="DISCOUNT ALLOWED"/>
    <s v="discount allowed"/>
    <s v="DISCOUNT ALLOWED"/>
    <s v="Discount Allowed"/>
    <s v="17/09/22"/>
  </r>
  <r>
    <s v="TXN_9817044"/>
    <s v="CUST_09"/>
    <x v="4"/>
    <x v="94"/>
    <x v="12"/>
    <x v="5"/>
    <n v="115"/>
    <x v="0"/>
    <x v="0"/>
    <x v="228"/>
    <x v="0"/>
    <s v="DISCOUNT NOT ALLOWED"/>
    <s v="discount not allowed"/>
    <s v="DISCOUNT NOT ALLOWED"/>
    <s v="Discount Not Allowed"/>
    <s v="27/02/22"/>
  </r>
  <r>
    <s v="TXN_1060478"/>
    <s v="CUST_06"/>
    <x v="3"/>
    <x v="16"/>
    <x v="2"/>
    <x v="7"/>
    <n v="114"/>
    <x v="1"/>
    <x v="1"/>
    <x v="30"/>
    <x v="1"/>
    <s v="DISCOUNT ALLOWED"/>
    <s v="discount allowed"/>
    <s v="DISCOUNT ALLOWED"/>
    <s v="Discount Allowed"/>
    <s v="29/05/24"/>
  </r>
  <r>
    <s v="TXN_1116351"/>
    <s v="CUST_13"/>
    <x v="6"/>
    <x v="18"/>
    <x v="2"/>
    <x v="7"/>
    <n v="114"/>
    <x v="0"/>
    <x v="0"/>
    <x v="623"/>
    <x v="1"/>
    <s v="DISCOUNT ALLOWED"/>
    <s v="discount allowed"/>
    <s v="DISCOUNT ALLOWED"/>
    <s v="Discount Allowed"/>
    <s v="26/08/24"/>
  </r>
  <r>
    <s v="TXN_1155771"/>
    <s v="CUST_05"/>
    <x v="3"/>
    <x v="16"/>
    <x v="2"/>
    <x v="7"/>
    <n v="114"/>
    <x v="0"/>
    <x v="0"/>
    <x v="85"/>
    <x v="0"/>
    <s v="DISCOUNT NOT ALLOWED"/>
    <s v="discount not allowed"/>
    <s v="DISCOUNT NOT ALLOWED"/>
    <s v="Discount Not Allowed"/>
    <s v="18/10/24"/>
  </r>
  <r>
    <s v="TXN_1219590"/>
    <s v="CUST_25"/>
    <x v="4"/>
    <x v="22"/>
    <x v="2"/>
    <x v="7"/>
    <n v="114"/>
    <x v="2"/>
    <x v="0"/>
    <x v="647"/>
    <x v="1"/>
    <s v="DISCOUNT ALLOWED"/>
    <s v="discount allowed"/>
    <s v="DISCOUNT ALLOWED"/>
    <s v="Discount Allowed"/>
    <s v="16/01/24"/>
  </r>
  <r>
    <s v="TXN_1595061"/>
    <s v="CUST_14"/>
    <x v="0"/>
    <x v="17"/>
    <x v="2"/>
    <x v="7"/>
    <n v="114"/>
    <x v="0"/>
    <x v="0"/>
    <x v="25"/>
    <x v="0"/>
    <s v="DISCOUNT NOT ALLOWED"/>
    <s v="discount not allowed"/>
    <s v="DISCOUNT NOT ALLOWED"/>
    <s v="Discount Not Allowed"/>
    <s v="24/09/22"/>
  </r>
  <r>
    <s v="TXN_2250165"/>
    <s v="CUST_20"/>
    <x v="3"/>
    <x v="16"/>
    <x v="2"/>
    <x v="7"/>
    <n v="114"/>
    <x v="2"/>
    <x v="1"/>
    <x v="636"/>
    <x v="1"/>
    <s v="DISCOUNT ALLOWED"/>
    <s v="discount allowed"/>
    <s v="DISCOUNT ALLOWED"/>
    <s v="Discount Allowed"/>
    <s v="21/09/22"/>
  </r>
  <r>
    <s v="TXN_2427553"/>
    <s v="CUST_17"/>
    <x v="6"/>
    <x v="18"/>
    <x v="2"/>
    <x v="7"/>
    <n v="114"/>
    <x v="1"/>
    <x v="0"/>
    <x v="678"/>
    <x v="0"/>
    <s v="DISCOUNT NOT ALLOWED"/>
    <s v="discount not allowed"/>
    <s v="DISCOUNT NOT ALLOWED"/>
    <s v="Discount Not Allowed"/>
    <s v="09/03/23"/>
  </r>
  <r>
    <s v="TXN_2528404"/>
    <s v="CUST_16"/>
    <x v="1"/>
    <x v="19"/>
    <x v="2"/>
    <x v="7"/>
    <n v="114"/>
    <x v="1"/>
    <x v="1"/>
    <x v="577"/>
    <x v="0"/>
    <s v="DISCOUNT NOT ALLOWED"/>
    <s v="discount not allowed"/>
    <s v="DISCOUNT NOT ALLOWED"/>
    <s v="Discount Not Allowed"/>
    <s v="22/06/24"/>
  </r>
  <r>
    <s v="TXN_2666506"/>
    <s v="CUST_05"/>
    <x v="3"/>
    <x v="16"/>
    <x v="2"/>
    <x v="7"/>
    <n v="114"/>
    <x v="2"/>
    <x v="0"/>
    <x v="300"/>
    <x v="1"/>
    <s v="DISCOUNT ALLOWED"/>
    <s v="discount allowed"/>
    <s v="DISCOUNT ALLOWED"/>
    <s v="Discount Allowed"/>
    <s v="14/04/22"/>
  </r>
  <r>
    <s v="TXN_2713028"/>
    <s v="CUST_20"/>
    <x v="6"/>
    <x v="18"/>
    <x v="2"/>
    <x v="7"/>
    <n v="114"/>
    <x v="0"/>
    <x v="0"/>
    <x v="833"/>
    <x v="1"/>
    <s v="DISCOUNT ALLOWED"/>
    <s v="discount allowed"/>
    <s v="DISCOUNT ALLOWED"/>
    <s v="Discount Allowed"/>
    <s v="22/05/24"/>
  </r>
  <r>
    <s v="TXN_3020816"/>
    <s v="CUST_05"/>
    <x v="3"/>
    <x v="16"/>
    <x v="2"/>
    <x v="7"/>
    <n v="114"/>
    <x v="0"/>
    <x v="0"/>
    <x v="101"/>
    <x v="1"/>
    <s v="DISCOUNT ALLOWED"/>
    <s v="discount allowed"/>
    <s v="DISCOUNT ALLOWED"/>
    <s v="Discount Allowed"/>
    <s v="10/08/24"/>
  </r>
  <r>
    <s v="TXN_3070750"/>
    <s v="CUST_06"/>
    <x v="3"/>
    <x v="16"/>
    <x v="2"/>
    <x v="7"/>
    <n v="114"/>
    <x v="2"/>
    <x v="0"/>
    <x v="625"/>
    <x v="0"/>
    <s v="DISCOUNT NOT ALLOWED"/>
    <s v="discount not allowed"/>
    <s v="DISCOUNT NOT ALLOWED"/>
    <s v="Discount Not Allowed"/>
    <s v="13/11/22"/>
  </r>
  <r>
    <s v="TXN_3379869"/>
    <s v="CUST_16"/>
    <x v="1"/>
    <x v="19"/>
    <x v="2"/>
    <x v="7"/>
    <n v="114"/>
    <x v="1"/>
    <x v="0"/>
    <x v="389"/>
    <x v="1"/>
    <s v="DISCOUNT ALLOWED"/>
    <s v="discount allowed"/>
    <s v="DISCOUNT ALLOWED"/>
    <s v="Discount Allowed"/>
    <s v="12/07/23"/>
  </r>
  <r>
    <s v="TXN_3730487"/>
    <s v="CUST_13"/>
    <x v="5"/>
    <x v="15"/>
    <x v="2"/>
    <x v="7"/>
    <n v="114"/>
    <x v="2"/>
    <x v="1"/>
    <x v="1049"/>
    <x v="0"/>
    <s v="DISCOUNT NOT ALLOWED"/>
    <s v="discount not allowed"/>
    <s v="DISCOUNT NOT ALLOWED"/>
    <s v="Discount Not Allowed"/>
    <s v="20/11/23"/>
  </r>
  <r>
    <s v="TXN_3807216"/>
    <s v="CUST_10"/>
    <x v="3"/>
    <x v="16"/>
    <x v="2"/>
    <x v="7"/>
    <n v="114"/>
    <x v="2"/>
    <x v="1"/>
    <x v="913"/>
    <x v="0"/>
    <s v="DISCOUNT NOT ALLOWED"/>
    <s v="discount not allowed"/>
    <s v="DISCOUNT NOT ALLOWED"/>
    <s v="Discount Not Allowed"/>
    <s v="12/01/23"/>
  </r>
  <r>
    <s v="TXN_3883115"/>
    <s v="CUST_11"/>
    <x v="5"/>
    <x v="15"/>
    <x v="2"/>
    <x v="7"/>
    <n v="114"/>
    <x v="1"/>
    <x v="1"/>
    <x v="883"/>
    <x v="0"/>
    <s v="DISCOUNT NOT ALLOWED"/>
    <s v="discount not allowed"/>
    <s v="DISCOUNT NOT ALLOWED"/>
    <s v="Discount Not Allowed"/>
    <s v="20/10/24"/>
  </r>
  <r>
    <s v="TXN_4116552"/>
    <s v="CUST_15"/>
    <x v="3"/>
    <x v="16"/>
    <x v="2"/>
    <x v="7"/>
    <n v="114"/>
    <x v="0"/>
    <x v="0"/>
    <x v="802"/>
    <x v="1"/>
    <s v="DISCOUNT ALLOWED"/>
    <s v="discount allowed"/>
    <s v="DISCOUNT ALLOWED"/>
    <s v="Discount Allowed"/>
    <s v="05/10/24"/>
  </r>
  <r>
    <s v="TXN_4295746"/>
    <s v="CUST_11"/>
    <x v="5"/>
    <x v="15"/>
    <x v="2"/>
    <x v="7"/>
    <n v="114"/>
    <x v="0"/>
    <x v="0"/>
    <x v="1001"/>
    <x v="1"/>
    <s v="DISCOUNT ALLOWED"/>
    <s v="discount allowed"/>
    <s v="DISCOUNT ALLOWED"/>
    <s v="Discount Allowed"/>
    <s v="03/05/23"/>
  </r>
  <r>
    <s v="TXN_4731654"/>
    <s v="CUST_13"/>
    <x v="2"/>
    <x v="20"/>
    <x v="2"/>
    <x v="7"/>
    <n v="114"/>
    <x v="2"/>
    <x v="0"/>
    <x v="81"/>
    <x v="1"/>
    <s v="DISCOUNT ALLOWED"/>
    <s v="discount allowed"/>
    <s v="DISCOUNT ALLOWED"/>
    <s v="Discount Allowed"/>
    <s v="08/01/25"/>
  </r>
  <r>
    <s v="TXN_6088884"/>
    <s v="CUST_12"/>
    <x v="5"/>
    <x v="15"/>
    <x v="2"/>
    <x v="7"/>
    <n v="114"/>
    <x v="1"/>
    <x v="0"/>
    <x v="1069"/>
    <x v="1"/>
    <s v="DISCOUNT ALLOWED"/>
    <s v="discount allowed"/>
    <s v="DISCOUNT ALLOWED"/>
    <s v="Discount Allowed"/>
    <s v="22/09/22"/>
  </r>
  <r>
    <s v="TXN_6593940"/>
    <s v="CUST_04"/>
    <x v="0"/>
    <x v="17"/>
    <x v="2"/>
    <x v="7"/>
    <n v="114"/>
    <x v="0"/>
    <x v="1"/>
    <x v="976"/>
    <x v="1"/>
    <s v="DISCOUNT ALLOWED"/>
    <s v="discount allowed"/>
    <s v="DISCOUNT ALLOWED"/>
    <s v="Discount Allowed"/>
    <s v="26/07/24"/>
  </r>
  <r>
    <s v="TXN_6620511"/>
    <s v="CUST_07"/>
    <x v="2"/>
    <x v="20"/>
    <x v="2"/>
    <x v="7"/>
    <n v="114"/>
    <x v="1"/>
    <x v="1"/>
    <x v="713"/>
    <x v="0"/>
    <s v="DISCOUNT NOT ALLOWED"/>
    <s v="discount not allowed"/>
    <s v="DISCOUNT NOT ALLOWED"/>
    <s v="Discount Not Allowed"/>
    <s v="29/07/22"/>
  </r>
  <r>
    <s v="TXN_7305258"/>
    <s v="CUST_14"/>
    <x v="7"/>
    <x v="21"/>
    <x v="2"/>
    <x v="7"/>
    <n v="114"/>
    <x v="0"/>
    <x v="0"/>
    <x v="660"/>
    <x v="0"/>
    <s v="DISCOUNT NOT ALLOWED"/>
    <s v="discount not allowed"/>
    <s v="DISCOUNT NOT ALLOWED"/>
    <s v="Discount Not Allowed"/>
    <s v="25/04/22"/>
  </r>
  <r>
    <s v="TXN_7350591"/>
    <s v="CUST_02"/>
    <x v="1"/>
    <x v="19"/>
    <x v="2"/>
    <x v="7"/>
    <n v="114"/>
    <x v="0"/>
    <x v="1"/>
    <x v="156"/>
    <x v="0"/>
    <s v="DISCOUNT NOT ALLOWED"/>
    <s v="discount not allowed"/>
    <s v="DISCOUNT NOT ALLOWED"/>
    <s v="Discount Not Allowed"/>
    <s v="04/07/22"/>
  </r>
  <r>
    <s v="TXN_7404210"/>
    <s v="CUST_19"/>
    <x v="3"/>
    <x v="16"/>
    <x v="2"/>
    <x v="7"/>
    <n v="114"/>
    <x v="2"/>
    <x v="1"/>
    <x v="833"/>
    <x v="1"/>
    <s v="DISCOUNT ALLOWED"/>
    <s v="discount allowed"/>
    <s v="DISCOUNT ALLOWED"/>
    <s v="Discount Allowed"/>
    <s v="22/05/24"/>
  </r>
  <r>
    <s v="TXN_7556855"/>
    <s v="CUST_15"/>
    <x v="3"/>
    <x v="16"/>
    <x v="2"/>
    <x v="7"/>
    <n v="114"/>
    <x v="0"/>
    <x v="1"/>
    <x v="148"/>
    <x v="1"/>
    <s v="DISCOUNT ALLOWED"/>
    <s v="discount allowed"/>
    <s v="DISCOUNT ALLOWED"/>
    <s v="Discount Allowed"/>
    <s v="10/01/24"/>
  </r>
  <r>
    <s v="TXN_7561357"/>
    <s v="CUST_12"/>
    <x v="7"/>
    <x v="21"/>
    <x v="2"/>
    <x v="7"/>
    <n v="114"/>
    <x v="1"/>
    <x v="1"/>
    <x v="561"/>
    <x v="1"/>
    <s v="DISCOUNT ALLOWED"/>
    <s v="discount allowed"/>
    <s v="DISCOUNT ALLOWED"/>
    <s v="Discount Allowed"/>
    <s v="27/04/24"/>
  </r>
  <r>
    <s v="TXN_7822143"/>
    <s v="CUST_24"/>
    <x v="3"/>
    <x v="16"/>
    <x v="2"/>
    <x v="7"/>
    <n v="114"/>
    <x v="1"/>
    <x v="0"/>
    <x v="489"/>
    <x v="1"/>
    <s v="DISCOUNT ALLOWED"/>
    <s v="discount allowed"/>
    <s v="DISCOUNT ALLOWED"/>
    <s v="Discount Allowed"/>
    <s v="12/01/22"/>
  </r>
  <r>
    <s v="TXN_8163791"/>
    <s v="CUST_06"/>
    <x v="3"/>
    <x v="16"/>
    <x v="2"/>
    <x v="7"/>
    <n v="114"/>
    <x v="1"/>
    <x v="1"/>
    <x v="600"/>
    <x v="1"/>
    <s v="DISCOUNT ALLOWED"/>
    <s v="discount allowed"/>
    <s v="DISCOUNT ALLOWED"/>
    <s v="Discount Allowed"/>
    <s v="26/10/22"/>
  </r>
  <r>
    <s v="TXN_8403668"/>
    <s v="CUST_22"/>
    <x v="2"/>
    <x v="20"/>
    <x v="2"/>
    <x v="7"/>
    <n v="114"/>
    <x v="2"/>
    <x v="1"/>
    <x v="561"/>
    <x v="0"/>
    <s v="DISCOUNT NOT ALLOWED"/>
    <s v="discount not allowed"/>
    <s v="DISCOUNT NOT ALLOWED"/>
    <s v="Discount Not Allowed"/>
    <s v="27/04/24"/>
  </r>
  <r>
    <s v="TXN_8451193"/>
    <s v="CUST_19"/>
    <x v="7"/>
    <x v="21"/>
    <x v="2"/>
    <x v="7"/>
    <n v="114"/>
    <x v="2"/>
    <x v="1"/>
    <x v="1070"/>
    <x v="1"/>
    <s v="DISCOUNT ALLOWED"/>
    <s v="discount allowed"/>
    <s v="DISCOUNT ALLOWED"/>
    <s v="Discount Allowed"/>
    <s v="29/02/24"/>
  </r>
  <r>
    <s v="TXN_8489499"/>
    <s v="CUST_12"/>
    <x v="3"/>
    <x v="16"/>
    <x v="2"/>
    <x v="7"/>
    <n v="114"/>
    <x v="2"/>
    <x v="0"/>
    <x v="182"/>
    <x v="1"/>
    <s v="DISCOUNT ALLOWED"/>
    <s v="discount allowed"/>
    <s v="DISCOUNT ALLOWED"/>
    <s v="Discount Allowed"/>
    <s v="28/04/24"/>
  </r>
  <r>
    <s v="TXN_8491772"/>
    <s v="CUST_07"/>
    <x v="5"/>
    <x v="15"/>
    <x v="2"/>
    <x v="7"/>
    <n v="114"/>
    <x v="1"/>
    <x v="0"/>
    <x v="486"/>
    <x v="1"/>
    <s v="DISCOUNT ALLOWED"/>
    <s v="discount allowed"/>
    <s v="DISCOUNT ALLOWED"/>
    <s v="Discount Allowed"/>
    <s v="21/10/22"/>
  </r>
  <r>
    <s v="TXN_8839212"/>
    <s v="CUST_22"/>
    <x v="1"/>
    <x v="19"/>
    <x v="2"/>
    <x v="7"/>
    <n v="114"/>
    <x v="1"/>
    <x v="0"/>
    <x v="779"/>
    <x v="1"/>
    <s v="DISCOUNT ALLOWED"/>
    <s v="discount allowed"/>
    <s v="DISCOUNT ALLOWED"/>
    <s v="Discount Allowed"/>
    <s v="10/01/23"/>
  </r>
  <r>
    <s v="TXN_9112753"/>
    <s v="CUST_25"/>
    <x v="3"/>
    <x v="16"/>
    <x v="2"/>
    <x v="7"/>
    <n v="114"/>
    <x v="2"/>
    <x v="1"/>
    <x v="421"/>
    <x v="0"/>
    <s v="DISCOUNT NOT ALLOWED"/>
    <s v="discount not allowed"/>
    <s v="DISCOUNT NOT ALLOWED"/>
    <s v="Discount Not Allowed"/>
    <s v="29/04/24"/>
  </r>
  <r>
    <s v="TXN_9152165"/>
    <s v="CUST_11"/>
    <x v="0"/>
    <x v="17"/>
    <x v="2"/>
    <x v="7"/>
    <n v="114"/>
    <x v="2"/>
    <x v="0"/>
    <x v="437"/>
    <x v="1"/>
    <s v="DISCOUNT ALLOWED"/>
    <s v="discount allowed"/>
    <s v="DISCOUNT ALLOWED"/>
    <s v="Discount Allowed"/>
    <s v="23/08/24"/>
  </r>
  <r>
    <s v="TXN_9271504"/>
    <s v="CUST_02"/>
    <x v="3"/>
    <x v="16"/>
    <x v="2"/>
    <x v="7"/>
    <n v="114"/>
    <x v="0"/>
    <x v="0"/>
    <x v="55"/>
    <x v="1"/>
    <s v="DISCOUNT ALLOWED"/>
    <s v="discount allowed"/>
    <s v="DISCOUNT ALLOWED"/>
    <s v="Discount Allowed"/>
    <s v="26/05/23"/>
  </r>
  <r>
    <s v="TXN_1201757"/>
    <s v="CUST_14"/>
    <x v="5"/>
    <x v="159"/>
    <x v="19"/>
    <x v="1"/>
    <n v="112.5"/>
    <x v="0"/>
    <x v="0"/>
    <x v="629"/>
    <x v="0"/>
    <s v="DISCOUNT NOT ALLOWED"/>
    <s v="discount not allowed"/>
    <s v="DISCOUNT NOT ALLOWED"/>
    <s v="Discount Not Allowed"/>
    <s v="16/12/24"/>
  </r>
  <r>
    <s v="TXN_1926590"/>
    <s v="CUST_13"/>
    <x v="6"/>
    <x v="152"/>
    <x v="19"/>
    <x v="1"/>
    <n v="112.5"/>
    <x v="2"/>
    <x v="0"/>
    <x v="396"/>
    <x v="1"/>
    <s v="DISCOUNT ALLOWED"/>
    <s v="discount allowed"/>
    <s v="DISCOUNT ALLOWED"/>
    <s v="Discount Allowed"/>
    <s v="12/10/22"/>
  </r>
  <r>
    <s v="TXN_2084330"/>
    <s v="CUST_04"/>
    <x v="2"/>
    <x v="158"/>
    <x v="19"/>
    <x v="1"/>
    <n v="112.5"/>
    <x v="0"/>
    <x v="1"/>
    <x v="369"/>
    <x v="0"/>
    <s v="DISCOUNT NOT ALLOWED"/>
    <s v="discount not allowed"/>
    <s v="DISCOUNT NOT ALLOWED"/>
    <s v="Discount Not Allowed"/>
    <s v="05/10/23"/>
  </r>
  <r>
    <s v="TXN_2516949"/>
    <s v="CUST_03"/>
    <x v="2"/>
    <x v="158"/>
    <x v="19"/>
    <x v="1"/>
    <n v="112.5"/>
    <x v="1"/>
    <x v="0"/>
    <x v="858"/>
    <x v="0"/>
    <s v="DISCOUNT NOT ALLOWED"/>
    <s v="discount not allowed"/>
    <s v="DISCOUNT NOT ALLOWED"/>
    <s v="Discount Not Allowed"/>
    <s v="23/06/24"/>
  </r>
  <r>
    <s v="TXN_2630398"/>
    <s v="CUST_20"/>
    <x v="0"/>
    <x v="154"/>
    <x v="19"/>
    <x v="1"/>
    <n v="112.5"/>
    <x v="1"/>
    <x v="0"/>
    <x v="976"/>
    <x v="1"/>
    <s v="DISCOUNT ALLOWED"/>
    <s v="discount allowed"/>
    <s v="DISCOUNT ALLOWED"/>
    <s v="Discount Allowed"/>
    <s v="26/07/24"/>
  </r>
  <r>
    <s v="TXN_2644918"/>
    <s v="CUST_12"/>
    <x v="5"/>
    <x v="159"/>
    <x v="19"/>
    <x v="1"/>
    <n v="112.5"/>
    <x v="0"/>
    <x v="0"/>
    <x v="764"/>
    <x v="1"/>
    <s v="DISCOUNT ALLOWED"/>
    <s v="discount allowed"/>
    <s v="DISCOUNT ALLOWED"/>
    <s v="Discount Allowed"/>
    <s v="03/05/22"/>
  </r>
  <r>
    <s v="TXN_2893014"/>
    <s v="CUST_07"/>
    <x v="2"/>
    <x v="158"/>
    <x v="19"/>
    <x v="1"/>
    <n v="112.5"/>
    <x v="0"/>
    <x v="0"/>
    <x v="829"/>
    <x v="1"/>
    <s v="DISCOUNT ALLOWED"/>
    <s v="discount allowed"/>
    <s v="DISCOUNT ALLOWED"/>
    <s v="Discount Allowed"/>
    <s v="29/06/23"/>
  </r>
  <r>
    <s v="TXN_3168114"/>
    <s v="CUST_21"/>
    <x v="3"/>
    <x v="157"/>
    <x v="19"/>
    <x v="1"/>
    <n v="112.5"/>
    <x v="0"/>
    <x v="0"/>
    <x v="139"/>
    <x v="1"/>
    <s v="DISCOUNT ALLOWED"/>
    <s v="discount allowed"/>
    <s v="DISCOUNT ALLOWED"/>
    <s v="Discount Allowed"/>
    <s v="13/06/24"/>
  </r>
  <r>
    <s v="TXN_3324893"/>
    <s v="CUST_11"/>
    <x v="3"/>
    <x v="157"/>
    <x v="19"/>
    <x v="1"/>
    <n v="112.5"/>
    <x v="1"/>
    <x v="0"/>
    <x v="460"/>
    <x v="1"/>
    <s v="DISCOUNT ALLOWED"/>
    <s v="discount allowed"/>
    <s v="DISCOUNT ALLOWED"/>
    <s v="Discount Allowed"/>
    <s v="11/03/23"/>
  </r>
  <r>
    <s v="TXN_3448045"/>
    <s v="CUST_21"/>
    <x v="4"/>
    <x v="155"/>
    <x v="19"/>
    <x v="1"/>
    <n v="112.5"/>
    <x v="2"/>
    <x v="1"/>
    <x v="1053"/>
    <x v="0"/>
    <s v="DISCOUNT NOT ALLOWED"/>
    <s v="discount not allowed"/>
    <s v="DISCOUNT NOT ALLOWED"/>
    <s v="Discount Not Allowed"/>
    <s v="22/08/23"/>
  </r>
  <r>
    <s v="TXN_3506491"/>
    <s v="CUST_20"/>
    <x v="4"/>
    <x v="155"/>
    <x v="19"/>
    <x v="1"/>
    <n v="112.5"/>
    <x v="1"/>
    <x v="0"/>
    <x v="229"/>
    <x v="0"/>
    <s v="DISCOUNT NOT ALLOWED"/>
    <s v="discount not allowed"/>
    <s v="DISCOUNT NOT ALLOWED"/>
    <s v="Discount Not Allowed"/>
    <s v="16/03/24"/>
  </r>
  <r>
    <s v="TXN_3747234"/>
    <s v="CUST_13"/>
    <x v="0"/>
    <x v="154"/>
    <x v="19"/>
    <x v="1"/>
    <n v="112.5"/>
    <x v="1"/>
    <x v="0"/>
    <x v="518"/>
    <x v="0"/>
    <s v="DISCOUNT NOT ALLOWED"/>
    <s v="discount not allowed"/>
    <s v="DISCOUNT NOT ALLOWED"/>
    <s v="Discount Not Allowed"/>
    <s v="04/09/23"/>
  </r>
  <r>
    <s v="TXN_3826429"/>
    <s v="CUST_22"/>
    <x v="5"/>
    <x v="159"/>
    <x v="19"/>
    <x v="1"/>
    <n v="112.5"/>
    <x v="1"/>
    <x v="0"/>
    <x v="327"/>
    <x v="0"/>
    <s v="DISCOUNT NOT ALLOWED"/>
    <s v="discount not allowed"/>
    <s v="DISCOUNT NOT ALLOWED"/>
    <s v="Discount Not Allowed"/>
    <s v="19/05/24"/>
  </r>
  <r>
    <s v="TXN_4235196"/>
    <s v="CUST_13"/>
    <x v="4"/>
    <x v="155"/>
    <x v="19"/>
    <x v="1"/>
    <n v="112.5"/>
    <x v="0"/>
    <x v="1"/>
    <x v="443"/>
    <x v="0"/>
    <s v="DISCOUNT NOT ALLOWED"/>
    <s v="discount not allowed"/>
    <s v="DISCOUNT NOT ALLOWED"/>
    <s v="Discount Not Allowed"/>
    <s v="28/02/24"/>
  </r>
  <r>
    <s v="TXN_4464022"/>
    <s v="CUST_01"/>
    <x v="4"/>
    <x v="155"/>
    <x v="19"/>
    <x v="1"/>
    <n v="112.5"/>
    <x v="2"/>
    <x v="0"/>
    <x v="798"/>
    <x v="0"/>
    <s v="DISCOUNT NOT ALLOWED"/>
    <s v="discount not allowed"/>
    <s v="DISCOUNT NOT ALLOWED"/>
    <s v="Discount Not Allowed"/>
    <s v="09/01/24"/>
  </r>
  <r>
    <s v="TXN_4671284"/>
    <s v="CUST_25"/>
    <x v="6"/>
    <x v="152"/>
    <x v="19"/>
    <x v="1"/>
    <n v="112.5"/>
    <x v="1"/>
    <x v="1"/>
    <x v="981"/>
    <x v="0"/>
    <s v="DISCOUNT NOT ALLOWED"/>
    <s v="discount not allowed"/>
    <s v="DISCOUNT NOT ALLOWED"/>
    <s v="Discount Not Allowed"/>
    <s v="07/12/23"/>
  </r>
  <r>
    <s v="TXN_4742699"/>
    <s v="CUST_08"/>
    <x v="2"/>
    <x v="158"/>
    <x v="19"/>
    <x v="1"/>
    <n v="112.5"/>
    <x v="2"/>
    <x v="1"/>
    <x v="727"/>
    <x v="1"/>
    <s v="DISCOUNT ALLOWED"/>
    <s v="discount allowed"/>
    <s v="DISCOUNT ALLOWED"/>
    <s v="Discount Allowed"/>
    <s v="06/10/23"/>
  </r>
  <r>
    <s v="TXN_5224257"/>
    <s v="CUST_08"/>
    <x v="3"/>
    <x v="157"/>
    <x v="19"/>
    <x v="1"/>
    <n v="112.5"/>
    <x v="1"/>
    <x v="0"/>
    <x v="246"/>
    <x v="0"/>
    <s v="DISCOUNT NOT ALLOWED"/>
    <s v="discount not allowed"/>
    <s v="DISCOUNT NOT ALLOWED"/>
    <s v="Discount Not Allowed"/>
    <s v="13/08/22"/>
  </r>
  <r>
    <s v="TXN_5642720"/>
    <s v="CUST_18"/>
    <x v="2"/>
    <x v="158"/>
    <x v="19"/>
    <x v="1"/>
    <n v="112.5"/>
    <x v="1"/>
    <x v="0"/>
    <x v="264"/>
    <x v="0"/>
    <s v="DISCOUNT NOT ALLOWED"/>
    <s v="discount not allowed"/>
    <s v="DISCOUNT NOT ALLOWED"/>
    <s v="Discount Not Allowed"/>
    <s v="15/07/24"/>
  </r>
  <r>
    <s v="TXN_5672977"/>
    <s v="CUST_18"/>
    <x v="0"/>
    <x v="154"/>
    <x v="19"/>
    <x v="1"/>
    <n v="112.5"/>
    <x v="2"/>
    <x v="1"/>
    <x v="303"/>
    <x v="1"/>
    <s v="DISCOUNT ALLOWED"/>
    <s v="discount allowed"/>
    <s v="DISCOUNT ALLOWED"/>
    <s v="Discount Allowed"/>
    <s v="22/12/24"/>
  </r>
  <r>
    <s v="TXN_5703677"/>
    <s v="CUST_23"/>
    <x v="3"/>
    <x v="157"/>
    <x v="19"/>
    <x v="1"/>
    <n v="112.5"/>
    <x v="1"/>
    <x v="1"/>
    <x v="917"/>
    <x v="0"/>
    <s v="DISCOUNT NOT ALLOWED"/>
    <s v="discount not allowed"/>
    <s v="DISCOUNT NOT ALLOWED"/>
    <s v="Discount Not Allowed"/>
    <s v="13/09/22"/>
  </r>
  <r>
    <s v="TXN_5712926"/>
    <s v="CUST_05"/>
    <x v="6"/>
    <x v="152"/>
    <x v="19"/>
    <x v="1"/>
    <n v="112.5"/>
    <x v="1"/>
    <x v="0"/>
    <x v="624"/>
    <x v="1"/>
    <s v="DISCOUNT ALLOWED"/>
    <s v="discount allowed"/>
    <s v="DISCOUNT ALLOWED"/>
    <s v="Discount Allowed"/>
    <s v="30/01/22"/>
  </r>
  <r>
    <s v="TXN_6321123"/>
    <s v="CUST_17"/>
    <x v="2"/>
    <x v="158"/>
    <x v="19"/>
    <x v="1"/>
    <n v="112.5"/>
    <x v="2"/>
    <x v="1"/>
    <x v="416"/>
    <x v="0"/>
    <s v="DISCOUNT NOT ALLOWED"/>
    <s v="discount not allowed"/>
    <s v="DISCOUNT NOT ALLOWED"/>
    <s v="Discount Not Allowed"/>
    <s v="25/05/24"/>
  </r>
  <r>
    <s v="TXN_6484421"/>
    <s v="CUST_08"/>
    <x v="4"/>
    <x v="155"/>
    <x v="19"/>
    <x v="1"/>
    <n v="112.5"/>
    <x v="0"/>
    <x v="1"/>
    <x v="1071"/>
    <x v="0"/>
    <s v="DISCOUNT NOT ALLOWED"/>
    <s v="discount not allowed"/>
    <s v="DISCOUNT NOT ALLOWED"/>
    <s v="Discount Not Allowed"/>
    <s v="06/11/22"/>
  </r>
  <r>
    <s v="TXN_6644662"/>
    <s v="CUST_19"/>
    <x v="4"/>
    <x v="155"/>
    <x v="19"/>
    <x v="1"/>
    <n v="112.5"/>
    <x v="1"/>
    <x v="0"/>
    <x v="382"/>
    <x v="0"/>
    <s v="DISCOUNT NOT ALLOWED"/>
    <s v="discount not allowed"/>
    <s v="DISCOUNT NOT ALLOWED"/>
    <s v="Discount Not Allowed"/>
    <s v="25/07/22"/>
  </r>
  <r>
    <s v="TXN_6764729"/>
    <s v="CUST_24"/>
    <x v="3"/>
    <x v="157"/>
    <x v="19"/>
    <x v="1"/>
    <n v="112.5"/>
    <x v="2"/>
    <x v="1"/>
    <x v="468"/>
    <x v="1"/>
    <s v="DISCOUNT ALLOWED"/>
    <s v="discount allowed"/>
    <s v="DISCOUNT ALLOWED"/>
    <s v="Discount Allowed"/>
    <s v="08/03/22"/>
  </r>
  <r>
    <s v="TXN_6947902"/>
    <s v="CUST_08"/>
    <x v="4"/>
    <x v="155"/>
    <x v="19"/>
    <x v="1"/>
    <n v="112.5"/>
    <x v="2"/>
    <x v="1"/>
    <x v="352"/>
    <x v="0"/>
    <s v="DISCOUNT NOT ALLOWED"/>
    <s v="discount not allowed"/>
    <s v="DISCOUNT NOT ALLOWED"/>
    <s v="Discount Not Allowed"/>
    <s v="11/03/24"/>
  </r>
  <r>
    <s v="TXN_7693291"/>
    <s v="CUST_12"/>
    <x v="5"/>
    <x v="159"/>
    <x v="19"/>
    <x v="1"/>
    <n v="112.5"/>
    <x v="0"/>
    <x v="0"/>
    <x v="8"/>
    <x v="0"/>
    <s v="DISCOUNT NOT ALLOWED"/>
    <s v="discount not allowed"/>
    <s v="DISCOUNT NOT ALLOWED"/>
    <s v="Discount Not Allowed"/>
    <s v="04/01/25"/>
  </r>
  <r>
    <s v="TXN_7829243"/>
    <s v="CUST_17"/>
    <x v="7"/>
    <x v="153"/>
    <x v="19"/>
    <x v="1"/>
    <n v="112.5"/>
    <x v="1"/>
    <x v="1"/>
    <x v="174"/>
    <x v="1"/>
    <s v="DISCOUNT ALLOWED"/>
    <s v="discount allowed"/>
    <s v="DISCOUNT ALLOWED"/>
    <s v="Discount Allowed"/>
    <s v="29/11/22"/>
  </r>
  <r>
    <s v="TXN_7954030"/>
    <s v="CUST_21"/>
    <x v="2"/>
    <x v="158"/>
    <x v="19"/>
    <x v="1"/>
    <n v="112.5"/>
    <x v="0"/>
    <x v="0"/>
    <x v="802"/>
    <x v="1"/>
    <s v="DISCOUNT ALLOWED"/>
    <s v="discount allowed"/>
    <s v="DISCOUNT ALLOWED"/>
    <s v="Discount Allowed"/>
    <s v="05/10/24"/>
  </r>
  <r>
    <s v="TXN_8160068"/>
    <s v="CUST_08"/>
    <x v="0"/>
    <x v="154"/>
    <x v="19"/>
    <x v="1"/>
    <n v="112.5"/>
    <x v="2"/>
    <x v="0"/>
    <x v="1032"/>
    <x v="1"/>
    <s v="DISCOUNT ALLOWED"/>
    <s v="discount allowed"/>
    <s v="DISCOUNT ALLOWED"/>
    <s v="Discount Allowed"/>
    <s v="30/03/23"/>
  </r>
  <r>
    <s v="TXN_8869702"/>
    <s v="CUST_06"/>
    <x v="6"/>
    <x v="152"/>
    <x v="19"/>
    <x v="1"/>
    <n v="112.5"/>
    <x v="0"/>
    <x v="0"/>
    <x v="213"/>
    <x v="0"/>
    <s v="DISCOUNT NOT ALLOWED"/>
    <s v="discount not allowed"/>
    <s v="DISCOUNT NOT ALLOWED"/>
    <s v="Discount Not Allowed"/>
    <s v="14/07/23"/>
  </r>
  <r>
    <s v="TXN_8874924"/>
    <s v="CUST_13"/>
    <x v="0"/>
    <x v="154"/>
    <x v="19"/>
    <x v="1"/>
    <n v="112.5"/>
    <x v="2"/>
    <x v="1"/>
    <x v="72"/>
    <x v="1"/>
    <s v="DISCOUNT ALLOWED"/>
    <s v="discount allowed"/>
    <s v="DISCOUNT ALLOWED"/>
    <s v="Discount Allowed"/>
    <s v="25/04/24"/>
  </r>
  <r>
    <s v="TXN_8974716"/>
    <s v="CUST_13"/>
    <x v="0"/>
    <x v="154"/>
    <x v="19"/>
    <x v="1"/>
    <n v="112.5"/>
    <x v="1"/>
    <x v="0"/>
    <x v="418"/>
    <x v="0"/>
    <s v="DISCOUNT NOT ALLOWED"/>
    <s v="discount not allowed"/>
    <s v="DISCOUNT NOT ALLOWED"/>
    <s v="Discount Not Allowed"/>
    <s v="29/09/24"/>
  </r>
  <r>
    <s v="TXN_9120971"/>
    <s v="CUST_08"/>
    <x v="3"/>
    <x v="157"/>
    <x v="19"/>
    <x v="1"/>
    <n v="112.5"/>
    <x v="1"/>
    <x v="1"/>
    <x v="382"/>
    <x v="1"/>
    <s v="DISCOUNT ALLOWED"/>
    <s v="discount allowed"/>
    <s v="DISCOUNT ALLOWED"/>
    <s v="Discount Allowed"/>
    <s v="25/07/22"/>
  </r>
  <r>
    <s v="TXN_9410980"/>
    <s v="CUST_02"/>
    <x v="0"/>
    <x v="154"/>
    <x v="19"/>
    <x v="1"/>
    <n v="112.5"/>
    <x v="1"/>
    <x v="0"/>
    <x v="974"/>
    <x v="0"/>
    <s v="DISCOUNT NOT ALLOWED"/>
    <s v="discount not allowed"/>
    <s v="DISCOUNT NOT ALLOWED"/>
    <s v="Discount Not Allowed"/>
    <s v="30/06/22"/>
  </r>
  <r>
    <s v="TXN_9509161"/>
    <s v="CUST_19"/>
    <x v="6"/>
    <x v="152"/>
    <x v="19"/>
    <x v="1"/>
    <n v="112.5"/>
    <x v="0"/>
    <x v="1"/>
    <x v="483"/>
    <x v="0"/>
    <s v="DISCOUNT NOT ALLOWED"/>
    <s v="discount not allowed"/>
    <s v="DISCOUNT NOT ALLOWED"/>
    <s v="Discount Not Allowed"/>
    <s v="13/12/23"/>
  </r>
  <r>
    <s v="TXN_9793801"/>
    <s v="CUST_13"/>
    <x v="3"/>
    <x v="157"/>
    <x v="19"/>
    <x v="1"/>
    <n v="112.5"/>
    <x v="0"/>
    <x v="0"/>
    <x v="356"/>
    <x v="1"/>
    <s v="DISCOUNT ALLOWED"/>
    <s v="discount allowed"/>
    <s v="DISCOUNT ALLOWED"/>
    <s v="Discount Allowed"/>
    <s v="23/02/24"/>
  </r>
  <r>
    <s v="TXN_9998575"/>
    <s v="CUST_13"/>
    <x v="4"/>
    <x v="155"/>
    <x v="19"/>
    <x v="1"/>
    <n v="112.5"/>
    <x v="2"/>
    <x v="1"/>
    <x v="709"/>
    <x v="1"/>
    <s v="DISCOUNT ALLOWED"/>
    <s v="discount allowed"/>
    <s v="DISCOUNT ALLOWED"/>
    <s v="Discount Allowed"/>
    <s v="02/01/24"/>
  </r>
  <r>
    <s v="TXN_1545490"/>
    <s v="CUST_08"/>
    <x v="7"/>
    <x v="146"/>
    <x v="18"/>
    <x v="2"/>
    <n v="112"/>
    <x v="1"/>
    <x v="0"/>
    <x v="55"/>
    <x v="1"/>
    <s v="DISCOUNT ALLOWED"/>
    <s v="discount allowed"/>
    <s v="DISCOUNT ALLOWED"/>
    <s v="Discount Allowed"/>
    <s v="26/05/23"/>
  </r>
  <r>
    <s v="TXN_1780099"/>
    <s v="CUST_18"/>
    <x v="1"/>
    <x v="149"/>
    <x v="18"/>
    <x v="2"/>
    <n v="112"/>
    <x v="2"/>
    <x v="0"/>
    <x v="390"/>
    <x v="0"/>
    <s v="DISCOUNT NOT ALLOWED"/>
    <s v="discount not allowed"/>
    <s v="DISCOUNT NOT ALLOWED"/>
    <s v="Discount Not Allowed"/>
    <s v="22/11/24"/>
  </r>
  <r>
    <s v="TXN_1967870"/>
    <s v="CUST_20"/>
    <x v="4"/>
    <x v="147"/>
    <x v="18"/>
    <x v="2"/>
    <n v="112"/>
    <x v="2"/>
    <x v="1"/>
    <x v="777"/>
    <x v="0"/>
    <s v="DISCOUNT NOT ALLOWED"/>
    <s v="discount not allowed"/>
    <s v="DISCOUNT NOT ALLOWED"/>
    <s v="Discount Not Allowed"/>
    <s v="25/07/24"/>
  </r>
  <r>
    <s v="TXN_2052776"/>
    <s v="CUST_17"/>
    <x v="7"/>
    <x v="146"/>
    <x v="18"/>
    <x v="2"/>
    <n v="112"/>
    <x v="1"/>
    <x v="0"/>
    <x v="310"/>
    <x v="1"/>
    <s v="DISCOUNT ALLOWED"/>
    <s v="discount allowed"/>
    <s v="DISCOUNT ALLOWED"/>
    <s v="Discount Allowed"/>
    <s v="01/11/24"/>
  </r>
  <r>
    <s v="TXN_3111666"/>
    <s v="CUST_08"/>
    <x v="7"/>
    <x v="146"/>
    <x v="18"/>
    <x v="2"/>
    <n v="112"/>
    <x v="1"/>
    <x v="0"/>
    <x v="913"/>
    <x v="1"/>
    <s v="DISCOUNT ALLOWED"/>
    <s v="discount allowed"/>
    <s v="DISCOUNT ALLOWED"/>
    <s v="Discount Allowed"/>
    <s v="12/01/23"/>
  </r>
  <r>
    <s v="TXN_3629874"/>
    <s v="CUST_23"/>
    <x v="3"/>
    <x v="144"/>
    <x v="18"/>
    <x v="2"/>
    <n v="112"/>
    <x v="0"/>
    <x v="1"/>
    <x v="267"/>
    <x v="1"/>
    <s v="DISCOUNT ALLOWED"/>
    <s v="discount allowed"/>
    <s v="DISCOUNT ALLOWED"/>
    <s v="Discount Allowed"/>
    <s v="18/09/24"/>
  </r>
  <r>
    <s v="TXN_3734067"/>
    <s v="CUST_21"/>
    <x v="1"/>
    <x v="149"/>
    <x v="18"/>
    <x v="2"/>
    <n v="112"/>
    <x v="2"/>
    <x v="1"/>
    <x v="137"/>
    <x v="1"/>
    <s v="DISCOUNT ALLOWED"/>
    <s v="discount allowed"/>
    <s v="DISCOUNT ALLOWED"/>
    <s v="Discount Allowed"/>
    <s v="24/11/23"/>
  </r>
  <r>
    <s v="TXN_3838395"/>
    <s v="CUST_20"/>
    <x v="2"/>
    <x v="148"/>
    <x v="18"/>
    <x v="2"/>
    <n v="112"/>
    <x v="0"/>
    <x v="0"/>
    <x v="816"/>
    <x v="0"/>
    <s v="DISCOUNT NOT ALLOWED"/>
    <s v="discount not allowed"/>
    <s v="DISCOUNT NOT ALLOWED"/>
    <s v="Discount Not Allowed"/>
    <s v="27/08/23"/>
  </r>
  <r>
    <s v="TXN_4764622"/>
    <s v="CUST_12"/>
    <x v="2"/>
    <x v="148"/>
    <x v="18"/>
    <x v="2"/>
    <n v="112"/>
    <x v="1"/>
    <x v="1"/>
    <x v="827"/>
    <x v="0"/>
    <s v="DISCOUNT NOT ALLOWED"/>
    <s v="discount not allowed"/>
    <s v="DISCOUNT NOT ALLOWED"/>
    <s v="Discount Not Allowed"/>
    <s v="05/03/23"/>
  </r>
  <r>
    <s v="TXN_4956767"/>
    <s v="CUST_08"/>
    <x v="2"/>
    <x v="148"/>
    <x v="18"/>
    <x v="2"/>
    <n v="112"/>
    <x v="2"/>
    <x v="0"/>
    <x v="1057"/>
    <x v="0"/>
    <s v="DISCOUNT NOT ALLOWED"/>
    <s v="discount not allowed"/>
    <s v="DISCOUNT NOT ALLOWED"/>
    <s v="Discount Not Allowed"/>
    <s v="19/03/23"/>
  </r>
  <r>
    <s v="TXN_5331650"/>
    <s v="CUST_08"/>
    <x v="0"/>
    <x v="150"/>
    <x v="18"/>
    <x v="2"/>
    <n v="112"/>
    <x v="0"/>
    <x v="0"/>
    <x v="865"/>
    <x v="0"/>
    <s v="DISCOUNT NOT ALLOWED"/>
    <s v="discount not allowed"/>
    <s v="DISCOUNT NOT ALLOWED"/>
    <s v="Discount Not Allowed"/>
    <s v="03/04/23"/>
  </r>
  <r>
    <s v="TXN_5838263"/>
    <s v="CUST_10"/>
    <x v="0"/>
    <x v="150"/>
    <x v="18"/>
    <x v="2"/>
    <n v="112"/>
    <x v="2"/>
    <x v="0"/>
    <x v="84"/>
    <x v="0"/>
    <s v="DISCOUNT NOT ALLOWED"/>
    <s v="discount not allowed"/>
    <s v="DISCOUNT NOT ALLOWED"/>
    <s v="Discount Not Allowed"/>
    <s v="26/04/22"/>
  </r>
  <r>
    <s v="TXN_6111459"/>
    <s v="CUST_14"/>
    <x v="6"/>
    <x v="145"/>
    <x v="18"/>
    <x v="2"/>
    <n v="112"/>
    <x v="1"/>
    <x v="1"/>
    <x v="255"/>
    <x v="0"/>
    <s v="DISCOUNT NOT ALLOWED"/>
    <s v="discount not allowed"/>
    <s v="DISCOUNT NOT ALLOWED"/>
    <s v="Discount Not Allowed"/>
    <s v="22/05/23"/>
  </r>
  <r>
    <s v="TXN_6334800"/>
    <s v="CUST_09"/>
    <x v="2"/>
    <x v="148"/>
    <x v="18"/>
    <x v="2"/>
    <n v="112"/>
    <x v="0"/>
    <x v="0"/>
    <x v="253"/>
    <x v="0"/>
    <s v="DISCOUNT NOT ALLOWED"/>
    <s v="discount not allowed"/>
    <s v="DISCOUNT NOT ALLOWED"/>
    <s v="Discount Not Allowed"/>
    <s v="31/07/24"/>
  </r>
  <r>
    <s v="TXN_6630344"/>
    <s v="CUST_04"/>
    <x v="0"/>
    <x v="150"/>
    <x v="18"/>
    <x v="2"/>
    <n v="112"/>
    <x v="0"/>
    <x v="1"/>
    <x v="474"/>
    <x v="1"/>
    <s v="DISCOUNT ALLOWED"/>
    <s v="discount allowed"/>
    <s v="DISCOUNT ALLOWED"/>
    <s v="Discount Allowed"/>
    <s v="24/02/23"/>
  </r>
  <r>
    <s v="TXN_7459810"/>
    <s v="CUST_09"/>
    <x v="4"/>
    <x v="147"/>
    <x v="18"/>
    <x v="2"/>
    <n v="112"/>
    <x v="0"/>
    <x v="0"/>
    <x v="682"/>
    <x v="0"/>
    <s v="DISCOUNT NOT ALLOWED"/>
    <s v="discount not allowed"/>
    <s v="DISCOUNT NOT ALLOWED"/>
    <s v="Discount Not Allowed"/>
    <s v="01/12/22"/>
  </r>
  <r>
    <s v="TXN_7572716"/>
    <s v="CUST_11"/>
    <x v="7"/>
    <x v="146"/>
    <x v="18"/>
    <x v="2"/>
    <n v="112"/>
    <x v="2"/>
    <x v="0"/>
    <x v="970"/>
    <x v="1"/>
    <s v="DISCOUNT ALLOWED"/>
    <s v="discount allowed"/>
    <s v="DISCOUNT ALLOWED"/>
    <s v="Discount Allowed"/>
    <s v="10/04/22"/>
  </r>
  <r>
    <s v="TXN_7580375"/>
    <s v="CUST_10"/>
    <x v="2"/>
    <x v="148"/>
    <x v="18"/>
    <x v="2"/>
    <n v="112"/>
    <x v="0"/>
    <x v="1"/>
    <x v="595"/>
    <x v="0"/>
    <s v="DISCOUNT NOT ALLOWED"/>
    <s v="discount not allowed"/>
    <s v="DISCOUNT NOT ALLOWED"/>
    <s v="Discount Not Allowed"/>
    <s v="17/10/23"/>
  </r>
  <r>
    <s v="TXN_7670389"/>
    <s v="CUST_21"/>
    <x v="0"/>
    <x v="150"/>
    <x v="18"/>
    <x v="2"/>
    <n v="112"/>
    <x v="2"/>
    <x v="1"/>
    <x v="1072"/>
    <x v="1"/>
    <s v="DISCOUNT ALLOWED"/>
    <s v="discount allowed"/>
    <s v="DISCOUNT ALLOWED"/>
    <s v="Discount Allowed"/>
    <s v="17/12/23"/>
  </r>
  <r>
    <s v="TXN_7711337"/>
    <s v="CUST_14"/>
    <x v="1"/>
    <x v="149"/>
    <x v="18"/>
    <x v="2"/>
    <n v="112"/>
    <x v="2"/>
    <x v="0"/>
    <x v="232"/>
    <x v="0"/>
    <s v="DISCOUNT NOT ALLOWED"/>
    <s v="discount not allowed"/>
    <s v="DISCOUNT NOT ALLOWED"/>
    <s v="Discount Not Allowed"/>
    <s v="28/02/22"/>
  </r>
  <r>
    <s v="TXN_8244193"/>
    <s v="CUST_13"/>
    <x v="3"/>
    <x v="144"/>
    <x v="18"/>
    <x v="2"/>
    <n v="112"/>
    <x v="1"/>
    <x v="0"/>
    <x v="360"/>
    <x v="1"/>
    <s v="DISCOUNT ALLOWED"/>
    <s v="discount allowed"/>
    <s v="DISCOUNT ALLOWED"/>
    <s v="Discount Allowed"/>
    <s v="20/06/22"/>
  </r>
  <r>
    <s v="TXN_8653580"/>
    <s v="CUST_15"/>
    <x v="0"/>
    <x v="150"/>
    <x v="18"/>
    <x v="2"/>
    <n v="112"/>
    <x v="2"/>
    <x v="1"/>
    <x v="960"/>
    <x v="0"/>
    <s v="DISCOUNT NOT ALLOWED"/>
    <s v="discount not allowed"/>
    <s v="DISCOUNT NOT ALLOWED"/>
    <s v="Discount Not Allowed"/>
    <s v="25/11/22"/>
  </r>
  <r>
    <s v="TXN_8666651"/>
    <s v="CUST_03"/>
    <x v="2"/>
    <x v="148"/>
    <x v="18"/>
    <x v="2"/>
    <n v="112"/>
    <x v="2"/>
    <x v="1"/>
    <x v="606"/>
    <x v="1"/>
    <s v="DISCOUNT ALLOWED"/>
    <s v="discount allowed"/>
    <s v="DISCOUNT ALLOWED"/>
    <s v="Discount Allowed"/>
    <s v="02/08/23"/>
  </r>
  <r>
    <s v="TXN_9218611"/>
    <s v="CUST_01"/>
    <x v="0"/>
    <x v="150"/>
    <x v="18"/>
    <x v="2"/>
    <n v="112"/>
    <x v="0"/>
    <x v="0"/>
    <x v="914"/>
    <x v="0"/>
    <s v="DISCOUNT NOT ALLOWED"/>
    <s v="discount not allowed"/>
    <s v="DISCOUNT NOT ALLOWED"/>
    <s v="Discount Not Allowed"/>
    <s v="16/12/23"/>
  </r>
  <r>
    <s v="TXN_9408487"/>
    <s v="CUST_11"/>
    <x v="7"/>
    <x v="146"/>
    <x v="18"/>
    <x v="2"/>
    <n v="112"/>
    <x v="1"/>
    <x v="0"/>
    <x v="702"/>
    <x v="0"/>
    <s v="DISCOUNT NOT ALLOWED"/>
    <s v="discount not allowed"/>
    <s v="DISCOUNT NOT ALLOWED"/>
    <s v="Discount Not Allowed"/>
    <s v="09/02/22"/>
  </r>
  <r>
    <s v="TXN_9510703"/>
    <s v="CUST_11"/>
    <x v="4"/>
    <x v="147"/>
    <x v="18"/>
    <x v="2"/>
    <n v="112"/>
    <x v="0"/>
    <x v="0"/>
    <x v="574"/>
    <x v="1"/>
    <s v="DISCOUNT ALLOWED"/>
    <s v="discount allowed"/>
    <s v="DISCOUNT ALLOWED"/>
    <s v="Discount Allowed"/>
    <s v="24/05/22"/>
  </r>
  <r>
    <s v="TXN_9738373"/>
    <s v="CUST_02"/>
    <x v="2"/>
    <x v="148"/>
    <x v="18"/>
    <x v="2"/>
    <n v="112"/>
    <x v="2"/>
    <x v="0"/>
    <x v="1028"/>
    <x v="1"/>
    <s v="DISCOUNT ALLOWED"/>
    <s v="discount allowed"/>
    <s v="DISCOUNT ALLOWED"/>
    <s v="Discount Allowed"/>
    <s v="15/09/23"/>
  </r>
  <r>
    <s v="TXN_9996492"/>
    <s v="CUST_22"/>
    <x v="0"/>
    <x v="150"/>
    <x v="18"/>
    <x v="2"/>
    <n v="112"/>
    <x v="2"/>
    <x v="0"/>
    <x v="171"/>
    <x v="0"/>
    <s v="DISCOUNT NOT ALLOWED"/>
    <s v="discount not allowed"/>
    <s v="DISCOUNT NOT ALLOWED"/>
    <s v="Discount Not Allowed"/>
    <s v="30/07/24"/>
  </r>
  <r>
    <s v="TXN_1399723"/>
    <s v="CUST_01"/>
    <x v="6"/>
    <x v="120"/>
    <x v="15"/>
    <x v="4"/>
    <n v="111"/>
    <x v="2"/>
    <x v="0"/>
    <x v="1017"/>
    <x v="0"/>
    <s v="DISCOUNT NOT ALLOWED"/>
    <s v="discount not allowed"/>
    <s v="DISCOUNT NOT ALLOWED"/>
    <s v="Discount Not Allowed"/>
    <s v="26/02/24"/>
  </r>
  <r>
    <s v="TXN_1787892"/>
    <s v="CUST_20"/>
    <x v="4"/>
    <x v="118"/>
    <x v="15"/>
    <x v="4"/>
    <n v="111"/>
    <x v="0"/>
    <x v="0"/>
    <x v="580"/>
    <x v="1"/>
    <s v="DISCOUNT ALLOWED"/>
    <s v="discount allowed"/>
    <s v="DISCOUNT ALLOWED"/>
    <s v="Discount Allowed"/>
    <s v="10/11/22"/>
  </r>
  <r>
    <s v="TXN_1924304"/>
    <s v="CUST_09"/>
    <x v="1"/>
    <x v="121"/>
    <x v="15"/>
    <x v="4"/>
    <n v="111"/>
    <x v="1"/>
    <x v="1"/>
    <x v="620"/>
    <x v="1"/>
    <s v="DISCOUNT ALLOWED"/>
    <s v="discount allowed"/>
    <s v="DISCOUNT ALLOWED"/>
    <s v="Discount Allowed"/>
    <s v="19/09/23"/>
  </r>
  <r>
    <s v="TXN_2012777"/>
    <s v="CUST_12"/>
    <x v="2"/>
    <x v="117"/>
    <x v="15"/>
    <x v="4"/>
    <n v="111"/>
    <x v="1"/>
    <x v="1"/>
    <x v="663"/>
    <x v="1"/>
    <s v="DISCOUNT ALLOWED"/>
    <s v="discount allowed"/>
    <s v="DISCOUNT ALLOWED"/>
    <s v="Discount Allowed"/>
    <s v="05/04/23"/>
  </r>
  <r>
    <s v="TXN_2059946"/>
    <s v="CUST_18"/>
    <x v="5"/>
    <x v="122"/>
    <x v="15"/>
    <x v="4"/>
    <n v="111"/>
    <x v="2"/>
    <x v="1"/>
    <x v="1036"/>
    <x v="0"/>
    <s v="DISCOUNT NOT ALLOWED"/>
    <s v="discount not allowed"/>
    <s v="DISCOUNT NOT ALLOWED"/>
    <s v="Discount Not Allowed"/>
    <s v="11/11/23"/>
  </r>
  <r>
    <s v="TXN_2991066"/>
    <s v="CUST_07"/>
    <x v="2"/>
    <x v="117"/>
    <x v="15"/>
    <x v="4"/>
    <n v="111"/>
    <x v="2"/>
    <x v="0"/>
    <x v="143"/>
    <x v="0"/>
    <s v="DISCOUNT NOT ALLOWED"/>
    <s v="discount not allowed"/>
    <s v="DISCOUNT NOT ALLOWED"/>
    <s v="Discount Not Allowed"/>
    <s v="23/08/23"/>
  </r>
  <r>
    <s v="TXN_3144117"/>
    <s v="CUST_12"/>
    <x v="4"/>
    <x v="118"/>
    <x v="15"/>
    <x v="4"/>
    <n v="111"/>
    <x v="2"/>
    <x v="0"/>
    <x v="474"/>
    <x v="0"/>
    <s v="DISCOUNT NOT ALLOWED"/>
    <s v="discount not allowed"/>
    <s v="DISCOUNT NOT ALLOWED"/>
    <s v="Discount Not Allowed"/>
    <s v="24/02/23"/>
  </r>
  <r>
    <s v="TXN_3327657"/>
    <s v="CUST_03"/>
    <x v="6"/>
    <x v="120"/>
    <x v="15"/>
    <x v="4"/>
    <n v="111"/>
    <x v="1"/>
    <x v="1"/>
    <x v="578"/>
    <x v="0"/>
    <s v="DISCOUNT NOT ALLOWED"/>
    <s v="discount not allowed"/>
    <s v="DISCOUNT NOT ALLOWED"/>
    <s v="Discount Not Allowed"/>
    <s v="02/11/22"/>
  </r>
  <r>
    <s v="TXN_3515383"/>
    <s v="CUST_07"/>
    <x v="6"/>
    <x v="120"/>
    <x v="15"/>
    <x v="4"/>
    <n v="111"/>
    <x v="1"/>
    <x v="1"/>
    <x v="782"/>
    <x v="1"/>
    <s v="DISCOUNT ALLOWED"/>
    <s v="discount allowed"/>
    <s v="DISCOUNT ALLOWED"/>
    <s v="Discount Allowed"/>
    <s v="13/09/23"/>
  </r>
  <r>
    <s v="TXN_4247005"/>
    <s v="CUST_01"/>
    <x v="2"/>
    <x v="117"/>
    <x v="15"/>
    <x v="4"/>
    <n v="111"/>
    <x v="2"/>
    <x v="0"/>
    <x v="665"/>
    <x v="0"/>
    <s v="DISCOUNT NOT ALLOWED"/>
    <s v="discount not allowed"/>
    <s v="DISCOUNT NOT ALLOWED"/>
    <s v="Discount Not Allowed"/>
    <s v="04/02/22"/>
  </r>
  <r>
    <s v="TXN_5350553"/>
    <s v="CUST_03"/>
    <x v="5"/>
    <x v="122"/>
    <x v="15"/>
    <x v="4"/>
    <n v="111"/>
    <x v="1"/>
    <x v="0"/>
    <x v="997"/>
    <x v="0"/>
    <s v="DISCOUNT NOT ALLOWED"/>
    <s v="discount not allowed"/>
    <s v="DISCOUNT NOT ALLOWED"/>
    <s v="Discount Not Allowed"/>
    <s v="31/07/22"/>
  </r>
  <r>
    <s v="TXN_5647147"/>
    <s v="CUST_05"/>
    <x v="5"/>
    <x v="122"/>
    <x v="15"/>
    <x v="4"/>
    <n v="111"/>
    <x v="2"/>
    <x v="0"/>
    <x v="745"/>
    <x v="0"/>
    <s v="DISCOUNT NOT ALLOWED"/>
    <s v="discount not allowed"/>
    <s v="DISCOUNT NOT ALLOWED"/>
    <s v="Discount Not Allowed"/>
    <s v="16/05/24"/>
  </r>
  <r>
    <s v="TXN_5732366"/>
    <s v="CUST_09"/>
    <x v="2"/>
    <x v="117"/>
    <x v="15"/>
    <x v="4"/>
    <n v="111"/>
    <x v="1"/>
    <x v="1"/>
    <x v="877"/>
    <x v="1"/>
    <s v="DISCOUNT ALLOWED"/>
    <s v="discount allowed"/>
    <s v="DISCOUNT ALLOWED"/>
    <s v="Discount Allowed"/>
    <s v="15/02/22"/>
  </r>
  <r>
    <s v="TXN_6026363"/>
    <s v="CUST_20"/>
    <x v="6"/>
    <x v="120"/>
    <x v="15"/>
    <x v="4"/>
    <n v="111"/>
    <x v="0"/>
    <x v="1"/>
    <x v="177"/>
    <x v="1"/>
    <s v="DISCOUNT ALLOWED"/>
    <s v="discount allowed"/>
    <s v="DISCOUNT ALLOWED"/>
    <s v="Discount Allowed"/>
    <s v="14/06/24"/>
  </r>
  <r>
    <s v="TXN_6544404"/>
    <s v="CUST_21"/>
    <x v="6"/>
    <x v="120"/>
    <x v="15"/>
    <x v="4"/>
    <n v="111"/>
    <x v="0"/>
    <x v="0"/>
    <x v="99"/>
    <x v="1"/>
    <s v="DISCOUNT ALLOWED"/>
    <s v="discount allowed"/>
    <s v="DISCOUNT ALLOWED"/>
    <s v="Discount Allowed"/>
    <s v="04/03/23"/>
  </r>
  <r>
    <s v="TXN_6727590"/>
    <s v="CUST_06"/>
    <x v="6"/>
    <x v="120"/>
    <x v="15"/>
    <x v="4"/>
    <n v="111"/>
    <x v="2"/>
    <x v="0"/>
    <x v="488"/>
    <x v="0"/>
    <s v="DISCOUNT NOT ALLOWED"/>
    <s v="discount not allowed"/>
    <s v="DISCOUNT NOT ALLOWED"/>
    <s v="Discount Not Allowed"/>
    <s v="30/01/24"/>
  </r>
  <r>
    <s v="TXN_6766170"/>
    <s v="CUST_04"/>
    <x v="3"/>
    <x v="124"/>
    <x v="15"/>
    <x v="4"/>
    <n v="111"/>
    <x v="1"/>
    <x v="1"/>
    <x v="139"/>
    <x v="0"/>
    <s v="DISCOUNT NOT ALLOWED"/>
    <s v="discount not allowed"/>
    <s v="DISCOUNT NOT ALLOWED"/>
    <s v="Discount Not Allowed"/>
    <s v="13/06/24"/>
  </r>
  <r>
    <s v="TXN_7068908"/>
    <s v="CUST_14"/>
    <x v="5"/>
    <x v="122"/>
    <x v="15"/>
    <x v="4"/>
    <n v="111"/>
    <x v="2"/>
    <x v="0"/>
    <x v="530"/>
    <x v="0"/>
    <s v="DISCOUNT NOT ALLOWED"/>
    <s v="discount not allowed"/>
    <s v="DISCOUNT NOT ALLOWED"/>
    <s v="Discount Not Allowed"/>
    <s v="25/10/22"/>
  </r>
  <r>
    <s v="TXN_8834665"/>
    <s v="CUST_15"/>
    <x v="4"/>
    <x v="118"/>
    <x v="15"/>
    <x v="4"/>
    <n v="111"/>
    <x v="2"/>
    <x v="0"/>
    <x v="32"/>
    <x v="1"/>
    <s v="DISCOUNT ALLOWED"/>
    <s v="discount allowed"/>
    <s v="DISCOUNT ALLOWED"/>
    <s v="Discount Allowed"/>
    <s v="24/08/23"/>
  </r>
  <r>
    <s v="TXN_9118930"/>
    <s v="CUST_18"/>
    <x v="5"/>
    <x v="122"/>
    <x v="15"/>
    <x v="4"/>
    <n v="111"/>
    <x v="1"/>
    <x v="0"/>
    <x v="1062"/>
    <x v="0"/>
    <s v="DISCOUNT NOT ALLOWED"/>
    <s v="discount not allowed"/>
    <s v="DISCOUNT NOT ALLOWED"/>
    <s v="Discount Not Allowed"/>
    <s v="11/10/23"/>
  </r>
  <r>
    <s v="TXN_9233022"/>
    <s v="CUST_24"/>
    <x v="4"/>
    <x v="118"/>
    <x v="15"/>
    <x v="4"/>
    <n v="111"/>
    <x v="1"/>
    <x v="0"/>
    <x v="1063"/>
    <x v="0"/>
    <s v="DISCOUNT NOT ALLOWED"/>
    <s v="discount not allowed"/>
    <s v="DISCOUNT NOT ALLOWED"/>
    <s v="Discount Not Allowed"/>
    <s v="13/06/23"/>
  </r>
  <r>
    <s v="TXN_1113144"/>
    <s v="CUST_01"/>
    <x v="5"/>
    <x v="160"/>
    <x v="20"/>
    <x v="0"/>
    <n v="110"/>
    <x v="0"/>
    <x v="1"/>
    <x v="764"/>
    <x v="0"/>
    <s v="DISCOUNT NOT ALLOWED"/>
    <s v="discount not allowed"/>
    <s v="DISCOUNT NOT ALLOWED"/>
    <s v="Discount Not Allowed"/>
    <s v="03/05/22"/>
  </r>
  <r>
    <s v="TXN_1160375"/>
    <s v="CUST_14"/>
    <x v="5"/>
    <x v="160"/>
    <x v="20"/>
    <x v="0"/>
    <n v="110"/>
    <x v="2"/>
    <x v="0"/>
    <x v="273"/>
    <x v="0"/>
    <s v="DISCOUNT NOT ALLOWED"/>
    <s v="discount not allowed"/>
    <s v="DISCOUNT NOT ALLOWED"/>
    <s v="Discount Not Allowed"/>
    <s v="12/08/23"/>
  </r>
  <r>
    <s v="TXN_1222397"/>
    <s v="CUST_01"/>
    <x v="5"/>
    <x v="160"/>
    <x v="20"/>
    <x v="0"/>
    <n v="110"/>
    <x v="1"/>
    <x v="0"/>
    <x v="442"/>
    <x v="1"/>
    <s v="DISCOUNT ALLOWED"/>
    <s v="discount allowed"/>
    <s v="DISCOUNT ALLOWED"/>
    <s v="Discount Allowed"/>
    <s v="23/03/23"/>
  </r>
  <r>
    <s v="TXN_1383780"/>
    <s v="CUST_19"/>
    <x v="0"/>
    <x v="73"/>
    <x v="9"/>
    <x v="6"/>
    <n v="110"/>
    <x v="2"/>
    <x v="0"/>
    <x v="227"/>
    <x v="1"/>
    <s v="DISCOUNT ALLOWED"/>
    <s v="discount allowed"/>
    <s v="DISCOUNT ALLOWED"/>
    <s v="Discount Allowed"/>
    <s v="12/06/24"/>
  </r>
  <r>
    <s v="TXN_2024907"/>
    <s v="CUST_24"/>
    <x v="0"/>
    <x v="73"/>
    <x v="9"/>
    <x v="6"/>
    <n v="110"/>
    <x v="1"/>
    <x v="0"/>
    <x v="39"/>
    <x v="1"/>
    <s v="DISCOUNT ALLOWED"/>
    <s v="discount allowed"/>
    <s v="DISCOUNT ALLOWED"/>
    <s v="Discount Allowed"/>
    <s v="10/01/25"/>
  </r>
  <r>
    <s v="TXN_2057291"/>
    <s v="CUST_24"/>
    <x v="7"/>
    <x v="72"/>
    <x v="9"/>
    <x v="6"/>
    <n v="110"/>
    <x v="1"/>
    <x v="0"/>
    <x v="120"/>
    <x v="1"/>
    <s v="DISCOUNT ALLOWED"/>
    <s v="discount allowed"/>
    <s v="DISCOUNT ALLOWED"/>
    <s v="Discount Allowed"/>
    <s v="10/05/22"/>
  </r>
  <r>
    <s v="TXN_2239985"/>
    <s v="CUST_24"/>
    <x v="2"/>
    <x v="161"/>
    <x v="20"/>
    <x v="0"/>
    <n v="110"/>
    <x v="0"/>
    <x v="0"/>
    <x v="577"/>
    <x v="0"/>
    <s v="DISCOUNT NOT ALLOWED"/>
    <s v="discount not allowed"/>
    <s v="DISCOUNT NOT ALLOWED"/>
    <s v="Discount Not Allowed"/>
    <s v="22/06/24"/>
  </r>
  <r>
    <s v="TXN_2299437"/>
    <s v="CUST_10"/>
    <x v="6"/>
    <x v="162"/>
    <x v="20"/>
    <x v="0"/>
    <n v="110"/>
    <x v="2"/>
    <x v="1"/>
    <x v="914"/>
    <x v="1"/>
    <s v="DISCOUNT ALLOWED"/>
    <s v="discount allowed"/>
    <s v="DISCOUNT ALLOWED"/>
    <s v="Discount Allowed"/>
    <s v="16/12/23"/>
  </r>
  <r>
    <s v="TXN_2374475"/>
    <s v="CUST_01"/>
    <x v="2"/>
    <x v="76"/>
    <x v="9"/>
    <x v="6"/>
    <n v="110"/>
    <x v="2"/>
    <x v="1"/>
    <x v="927"/>
    <x v="0"/>
    <s v="DISCOUNT NOT ALLOWED"/>
    <s v="discount not allowed"/>
    <s v="DISCOUNT NOT ALLOWED"/>
    <s v="Discount Not Allowed"/>
    <s v="28/10/24"/>
  </r>
  <r>
    <s v="TXN_2459307"/>
    <s v="CUST_22"/>
    <x v="0"/>
    <x v="73"/>
    <x v="9"/>
    <x v="6"/>
    <n v="110"/>
    <x v="1"/>
    <x v="0"/>
    <x v="663"/>
    <x v="1"/>
    <s v="DISCOUNT ALLOWED"/>
    <s v="discount allowed"/>
    <s v="DISCOUNT ALLOWED"/>
    <s v="Discount Allowed"/>
    <s v="05/04/23"/>
  </r>
  <r>
    <s v="TXN_2615090"/>
    <s v="CUST_04"/>
    <x v="7"/>
    <x v="72"/>
    <x v="9"/>
    <x v="6"/>
    <n v="110"/>
    <x v="1"/>
    <x v="0"/>
    <x v="1073"/>
    <x v="1"/>
    <s v="DISCOUNT ALLOWED"/>
    <s v="discount allowed"/>
    <s v="DISCOUNT ALLOWED"/>
    <s v="Discount Allowed"/>
    <s v="02/08/22"/>
  </r>
  <r>
    <s v="TXN_3068745"/>
    <s v="CUST_23"/>
    <x v="3"/>
    <x v="74"/>
    <x v="9"/>
    <x v="6"/>
    <n v="110"/>
    <x v="0"/>
    <x v="0"/>
    <x v="123"/>
    <x v="1"/>
    <s v="DISCOUNT ALLOWED"/>
    <s v="discount allowed"/>
    <s v="DISCOUNT ALLOWED"/>
    <s v="Discount Allowed"/>
    <s v="14/01/23"/>
  </r>
  <r>
    <s v="TXN_3294951"/>
    <s v="CUST_19"/>
    <x v="4"/>
    <x v="163"/>
    <x v="20"/>
    <x v="0"/>
    <n v="110"/>
    <x v="1"/>
    <x v="1"/>
    <x v="1028"/>
    <x v="0"/>
    <s v="DISCOUNT NOT ALLOWED"/>
    <s v="discount not allowed"/>
    <s v="DISCOUNT NOT ALLOWED"/>
    <s v="Discount Not Allowed"/>
    <s v="15/09/23"/>
  </r>
  <r>
    <s v="TXN_3754218"/>
    <s v="CUST_09"/>
    <x v="5"/>
    <x v="160"/>
    <x v="20"/>
    <x v="0"/>
    <n v="110"/>
    <x v="2"/>
    <x v="1"/>
    <x v="162"/>
    <x v="0"/>
    <s v="DISCOUNT NOT ALLOWED"/>
    <s v="discount not allowed"/>
    <s v="DISCOUNT NOT ALLOWED"/>
    <s v="Discount Not Allowed"/>
    <s v="08/03/24"/>
  </r>
  <r>
    <s v="TXN_3899797"/>
    <s v="CUST_24"/>
    <x v="2"/>
    <x v="76"/>
    <x v="9"/>
    <x v="6"/>
    <n v="110"/>
    <x v="2"/>
    <x v="0"/>
    <x v="185"/>
    <x v="1"/>
    <s v="DISCOUNT ALLOWED"/>
    <s v="discount allowed"/>
    <s v="DISCOUNT ALLOWED"/>
    <s v="Discount Allowed"/>
    <s v="08/08/24"/>
  </r>
  <r>
    <s v="TXN_4113425"/>
    <s v="CUST_15"/>
    <x v="0"/>
    <x v="73"/>
    <x v="9"/>
    <x v="6"/>
    <n v="110"/>
    <x v="2"/>
    <x v="1"/>
    <x v="950"/>
    <x v="0"/>
    <s v="DISCOUNT NOT ALLOWED"/>
    <s v="discount not allowed"/>
    <s v="DISCOUNT NOT ALLOWED"/>
    <s v="Discount Not Allowed"/>
    <s v="20/09/22"/>
  </r>
  <r>
    <s v="TXN_4304033"/>
    <s v="CUST_14"/>
    <x v="0"/>
    <x v="73"/>
    <x v="9"/>
    <x v="6"/>
    <n v="110"/>
    <x v="1"/>
    <x v="0"/>
    <x v="180"/>
    <x v="0"/>
    <s v="DISCOUNT NOT ALLOWED"/>
    <s v="discount not allowed"/>
    <s v="DISCOUNT NOT ALLOWED"/>
    <s v="Discount Not Allowed"/>
    <s v="05/12/23"/>
  </r>
  <r>
    <s v="TXN_4526782"/>
    <s v="CUST_05"/>
    <x v="1"/>
    <x v="71"/>
    <x v="9"/>
    <x v="6"/>
    <n v="110"/>
    <x v="2"/>
    <x v="1"/>
    <x v="347"/>
    <x v="0"/>
    <s v="DISCOUNT NOT ALLOWED"/>
    <s v="discount not allowed"/>
    <s v="DISCOUNT NOT ALLOWED"/>
    <s v="Discount Not Allowed"/>
    <s v="11/12/24"/>
  </r>
  <r>
    <s v="TXN_4577067"/>
    <s v="CUST_21"/>
    <x v="0"/>
    <x v="73"/>
    <x v="9"/>
    <x v="6"/>
    <n v="110"/>
    <x v="1"/>
    <x v="1"/>
    <x v="929"/>
    <x v="1"/>
    <s v="DISCOUNT ALLOWED"/>
    <s v="discount allowed"/>
    <s v="DISCOUNT ALLOWED"/>
    <s v="Discount Allowed"/>
    <s v="24/10/24"/>
  </r>
  <r>
    <s v="TXN_4666124"/>
    <s v="CUST_04"/>
    <x v="2"/>
    <x v="161"/>
    <x v="20"/>
    <x v="0"/>
    <n v="110"/>
    <x v="0"/>
    <x v="0"/>
    <x v="873"/>
    <x v="0"/>
    <s v="DISCOUNT NOT ALLOWED"/>
    <s v="discount not allowed"/>
    <s v="DISCOUNT NOT ALLOWED"/>
    <s v="Discount Not Allowed"/>
    <s v="12/02/24"/>
  </r>
  <r>
    <s v="TXN_4689441"/>
    <s v="CUST_11"/>
    <x v="3"/>
    <x v="164"/>
    <x v="20"/>
    <x v="0"/>
    <n v="110"/>
    <x v="0"/>
    <x v="0"/>
    <x v="208"/>
    <x v="0"/>
    <s v="DISCOUNT NOT ALLOWED"/>
    <s v="discount not allowed"/>
    <s v="DISCOUNT NOT ALLOWED"/>
    <s v="Discount Not Allowed"/>
    <s v="02/06/23"/>
  </r>
  <r>
    <s v="TXN_4751128"/>
    <s v="CUST_18"/>
    <x v="5"/>
    <x v="160"/>
    <x v="20"/>
    <x v="0"/>
    <n v="110"/>
    <x v="0"/>
    <x v="0"/>
    <x v="124"/>
    <x v="1"/>
    <s v="DISCOUNT ALLOWED"/>
    <s v="discount allowed"/>
    <s v="DISCOUNT ALLOWED"/>
    <s v="Discount Allowed"/>
    <s v="19/04/22"/>
  </r>
  <r>
    <s v="TXN_5032085"/>
    <s v="CUST_24"/>
    <x v="1"/>
    <x v="71"/>
    <x v="9"/>
    <x v="6"/>
    <n v="110"/>
    <x v="1"/>
    <x v="0"/>
    <x v="245"/>
    <x v="0"/>
    <s v="DISCOUNT NOT ALLOWED"/>
    <s v="discount not allowed"/>
    <s v="DISCOUNT NOT ALLOWED"/>
    <s v="Discount Not Allowed"/>
    <s v="03/02/23"/>
  </r>
  <r>
    <s v="TXN_5060164"/>
    <s v="CUST_04"/>
    <x v="3"/>
    <x v="74"/>
    <x v="9"/>
    <x v="6"/>
    <n v="110"/>
    <x v="2"/>
    <x v="0"/>
    <x v="571"/>
    <x v="1"/>
    <s v="DISCOUNT ALLOWED"/>
    <s v="discount allowed"/>
    <s v="DISCOUNT ALLOWED"/>
    <s v="Discount Allowed"/>
    <s v="01/08/23"/>
  </r>
  <r>
    <s v="TXN_5118834"/>
    <s v="CUST_08"/>
    <x v="6"/>
    <x v="70"/>
    <x v="9"/>
    <x v="6"/>
    <n v="110"/>
    <x v="2"/>
    <x v="1"/>
    <x v="660"/>
    <x v="1"/>
    <s v="DISCOUNT ALLOWED"/>
    <s v="discount allowed"/>
    <s v="DISCOUNT ALLOWED"/>
    <s v="Discount Allowed"/>
    <s v="25/04/22"/>
  </r>
  <r>
    <s v="TXN_5268986"/>
    <s v="CUST_22"/>
    <x v="2"/>
    <x v="76"/>
    <x v="9"/>
    <x v="6"/>
    <n v="110"/>
    <x v="0"/>
    <x v="1"/>
    <x v="57"/>
    <x v="1"/>
    <s v="DISCOUNT ALLOWED"/>
    <s v="discount allowed"/>
    <s v="DISCOUNT ALLOWED"/>
    <s v="Discount Allowed"/>
    <s v="16/07/23"/>
  </r>
  <r>
    <s v="TXN_5503377"/>
    <s v="CUST_09"/>
    <x v="6"/>
    <x v="70"/>
    <x v="9"/>
    <x v="6"/>
    <n v="110"/>
    <x v="2"/>
    <x v="0"/>
    <x v="409"/>
    <x v="1"/>
    <s v="DISCOUNT ALLOWED"/>
    <s v="discount allowed"/>
    <s v="DISCOUNT ALLOWED"/>
    <s v="Discount Allowed"/>
    <s v="13/07/23"/>
  </r>
  <r>
    <s v="TXN_5571853"/>
    <s v="CUST_22"/>
    <x v="0"/>
    <x v="73"/>
    <x v="9"/>
    <x v="6"/>
    <n v="110"/>
    <x v="1"/>
    <x v="0"/>
    <x v="63"/>
    <x v="1"/>
    <s v="DISCOUNT ALLOWED"/>
    <s v="discount allowed"/>
    <s v="DISCOUNT ALLOWED"/>
    <s v="Discount Allowed"/>
    <s v="02/04/24"/>
  </r>
  <r>
    <s v="TXN_5821825"/>
    <s v="CUST_13"/>
    <x v="7"/>
    <x v="72"/>
    <x v="9"/>
    <x v="6"/>
    <n v="110"/>
    <x v="1"/>
    <x v="0"/>
    <x v="426"/>
    <x v="0"/>
    <s v="DISCOUNT NOT ALLOWED"/>
    <s v="discount not allowed"/>
    <s v="DISCOUNT NOT ALLOWED"/>
    <s v="Discount Not Allowed"/>
    <s v="29/12/22"/>
  </r>
  <r>
    <s v="TXN_6181532"/>
    <s v="CUST_14"/>
    <x v="4"/>
    <x v="101"/>
    <x v="9"/>
    <x v="6"/>
    <n v="110"/>
    <x v="0"/>
    <x v="1"/>
    <x v="788"/>
    <x v="0"/>
    <s v="DISCOUNT NOT ALLOWED"/>
    <s v="discount not allowed"/>
    <s v="DISCOUNT NOT ALLOWED"/>
    <s v="Discount Not Allowed"/>
    <s v="05/09/23"/>
  </r>
  <r>
    <s v="TXN_6377971"/>
    <s v="CUST_07"/>
    <x v="3"/>
    <x v="164"/>
    <x v="20"/>
    <x v="0"/>
    <n v="110"/>
    <x v="2"/>
    <x v="0"/>
    <x v="818"/>
    <x v="0"/>
    <s v="DISCOUNT NOT ALLOWED"/>
    <s v="discount not allowed"/>
    <s v="DISCOUNT NOT ALLOWED"/>
    <s v="Discount Not Allowed"/>
    <s v="30/10/22"/>
  </r>
  <r>
    <s v="TXN_6452259"/>
    <s v="CUST_22"/>
    <x v="1"/>
    <x v="71"/>
    <x v="9"/>
    <x v="6"/>
    <n v="110"/>
    <x v="1"/>
    <x v="1"/>
    <x v="201"/>
    <x v="1"/>
    <s v="DISCOUNT ALLOWED"/>
    <s v="discount allowed"/>
    <s v="DISCOUNT ALLOWED"/>
    <s v="Discount Allowed"/>
    <s v="25/04/23"/>
  </r>
  <r>
    <s v="TXN_6523729"/>
    <s v="CUST_14"/>
    <x v="2"/>
    <x v="161"/>
    <x v="20"/>
    <x v="0"/>
    <n v="110"/>
    <x v="2"/>
    <x v="1"/>
    <x v="177"/>
    <x v="0"/>
    <s v="DISCOUNT NOT ALLOWED"/>
    <s v="discount not allowed"/>
    <s v="DISCOUNT NOT ALLOWED"/>
    <s v="Discount Not Allowed"/>
    <s v="14/06/24"/>
  </r>
  <r>
    <s v="TXN_6852192"/>
    <s v="CUST_11"/>
    <x v="7"/>
    <x v="72"/>
    <x v="9"/>
    <x v="6"/>
    <n v="110"/>
    <x v="2"/>
    <x v="1"/>
    <x v="399"/>
    <x v="1"/>
    <s v="DISCOUNT ALLOWED"/>
    <s v="discount allowed"/>
    <s v="DISCOUNT ALLOWED"/>
    <s v="Discount Allowed"/>
    <s v="12/12/23"/>
  </r>
  <r>
    <s v="TXN_7101068"/>
    <s v="CUST_21"/>
    <x v="4"/>
    <x v="163"/>
    <x v="20"/>
    <x v="0"/>
    <n v="110"/>
    <x v="1"/>
    <x v="0"/>
    <x v="246"/>
    <x v="1"/>
    <s v="DISCOUNT ALLOWED"/>
    <s v="discount allowed"/>
    <s v="DISCOUNT ALLOWED"/>
    <s v="Discount Allowed"/>
    <s v="13/08/22"/>
  </r>
  <r>
    <s v="TXN_7157916"/>
    <s v="CUST_25"/>
    <x v="5"/>
    <x v="75"/>
    <x v="9"/>
    <x v="6"/>
    <n v="110"/>
    <x v="0"/>
    <x v="1"/>
    <x v="789"/>
    <x v="0"/>
    <s v="DISCOUNT NOT ALLOWED"/>
    <s v="discount not allowed"/>
    <s v="DISCOUNT NOT ALLOWED"/>
    <s v="Discount Not Allowed"/>
    <s v="24/09/23"/>
  </r>
  <r>
    <s v="TXN_7332336"/>
    <s v="CUST_01"/>
    <x v="2"/>
    <x v="161"/>
    <x v="20"/>
    <x v="0"/>
    <n v="110"/>
    <x v="0"/>
    <x v="1"/>
    <x v="392"/>
    <x v="1"/>
    <s v="DISCOUNT ALLOWED"/>
    <s v="discount allowed"/>
    <s v="DISCOUNT ALLOWED"/>
    <s v="Discount Allowed"/>
    <s v="13/01/23"/>
  </r>
  <r>
    <s v="TXN_7424528"/>
    <s v="CUST_02"/>
    <x v="5"/>
    <x v="160"/>
    <x v="20"/>
    <x v="0"/>
    <n v="110"/>
    <x v="1"/>
    <x v="0"/>
    <x v="623"/>
    <x v="1"/>
    <s v="DISCOUNT ALLOWED"/>
    <s v="discount allowed"/>
    <s v="DISCOUNT ALLOWED"/>
    <s v="Discount Allowed"/>
    <s v="26/08/24"/>
  </r>
  <r>
    <s v="TXN_7490726"/>
    <s v="CUST_17"/>
    <x v="2"/>
    <x v="76"/>
    <x v="9"/>
    <x v="6"/>
    <n v="110"/>
    <x v="0"/>
    <x v="1"/>
    <x v="414"/>
    <x v="0"/>
    <s v="DISCOUNT NOT ALLOWED"/>
    <s v="discount not allowed"/>
    <s v="DISCOUNT NOT ALLOWED"/>
    <s v="Discount Not Allowed"/>
    <s v="01/02/22"/>
  </r>
  <r>
    <s v="TXN_7564949"/>
    <s v="CUST_01"/>
    <x v="3"/>
    <x v="164"/>
    <x v="20"/>
    <x v="0"/>
    <n v="110"/>
    <x v="0"/>
    <x v="1"/>
    <x v="963"/>
    <x v="1"/>
    <s v="DISCOUNT ALLOWED"/>
    <s v="discount allowed"/>
    <s v="DISCOUNT ALLOWED"/>
    <s v="Discount Allowed"/>
    <s v="27/11/23"/>
  </r>
  <r>
    <s v="TXN_8135631"/>
    <s v="CUST_17"/>
    <x v="4"/>
    <x v="101"/>
    <x v="9"/>
    <x v="6"/>
    <n v="110"/>
    <x v="1"/>
    <x v="0"/>
    <x v="451"/>
    <x v="0"/>
    <s v="DISCOUNT NOT ALLOWED"/>
    <s v="discount not allowed"/>
    <s v="DISCOUNT NOT ALLOWED"/>
    <s v="Discount Not Allowed"/>
    <s v="06/01/24"/>
  </r>
  <r>
    <s v="TXN_8262433"/>
    <s v="CUST_22"/>
    <x v="6"/>
    <x v="162"/>
    <x v="20"/>
    <x v="0"/>
    <n v="110"/>
    <x v="2"/>
    <x v="0"/>
    <x v="1052"/>
    <x v="0"/>
    <s v="DISCOUNT NOT ALLOWED"/>
    <s v="discount not allowed"/>
    <s v="DISCOUNT NOT ALLOWED"/>
    <s v="Discount Not Allowed"/>
    <s v="18/09/23"/>
  </r>
  <r>
    <s v="TXN_8454270"/>
    <s v="CUST_01"/>
    <x v="6"/>
    <x v="162"/>
    <x v="20"/>
    <x v="0"/>
    <n v="110"/>
    <x v="1"/>
    <x v="0"/>
    <x v="1018"/>
    <x v="0"/>
    <s v="DISCOUNT NOT ALLOWED"/>
    <s v="discount not allowed"/>
    <s v="DISCOUNT NOT ALLOWED"/>
    <s v="Discount Not Allowed"/>
    <s v="13/09/24"/>
  </r>
  <r>
    <s v="TXN_8466219"/>
    <s v="CUST_25"/>
    <x v="3"/>
    <x v="74"/>
    <x v="9"/>
    <x v="6"/>
    <n v="110"/>
    <x v="0"/>
    <x v="1"/>
    <x v="717"/>
    <x v="0"/>
    <s v="DISCOUNT NOT ALLOWED"/>
    <s v="discount not allowed"/>
    <s v="DISCOUNT NOT ALLOWED"/>
    <s v="Discount Not Allowed"/>
    <s v="15/05/22"/>
  </r>
  <r>
    <s v="TXN_8537042"/>
    <s v="CUST_20"/>
    <x v="5"/>
    <x v="75"/>
    <x v="9"/>
    <x v="6"/>
    <n v="110"/>
    <x v="0"/>
    <x v="0"/>
    <x v="328"/>
    <x v="0"/>
    <s v="DISCOUNT NOT ALLOWED"/>
    <s v="discount not allowed"/>
    <s v="DISCOUNT NOT ALLOWED"/>
    <s v="Discount Not Allowed"/>
    <s v="08/06/24"/>
  </r>
  <r>
    <s v="TXN_8568373"/>
    <s v="CUST_05"/>
    <x v="2"/>
    <x v="76"/>
    <x v="9"/>
    <x v="6"/>
    <n v="110"/>
    <x v="2"/>
    <x v="1"/>
    <x v="496"/>
    <x v="1"/>
    <s v="DISCOUNT ALLOWED"/>
    <s v="discount allowed"/>
    <s v="DISCOUNT ALLOWED"/>
    <s v="Discount Allowed"/>
    <s v="23/03/22"/>
  </r>
  <r>
    <s v="TXN_8581920"/>
    <s v="CUST_24"/>
    <x v="7"/>
    <x v="72"/>
    <x v="9"/>
    <x v="6"/>
    <n v="110"/>
    <x v="1"/>
    <x v="0"/>
    <x v="1016"/>
    <x v="0"/>
    <s v="DISCOUNT NOT ALLOWED"/>
    <s v="discount not allowed"/>
    <s v="DISCOUNT NOT ALLOWED"/>
    <s v="Discount Not Allowed"/>
    <s v="14/03/24"/>
  </r>
  <r>
    <s v="TXN_8994166"/>
    <s v="CUST_02"/>
    <x v="4"/>
    <x v="101"/>
    <x v="9"/>
    <x v="6"/>
    <n v="110"/>
    <x v="1"/>
    <x v="0"/>
    <x v="452"/>
    <x v="1"/>
    <s v="DISCOUNT ALLOWED"/>
    <s v="discount allowed"/>
    <s v="DISCOUNT ALLOWED"/>
    <s v="Discount Allowed"/>
    <s v="26/09/22"/>
  </r>
  <r>
    <s v="TXN_9027643"/>
    <s v="CUST_01"/>
    <x v="7"/>
    <x v="165"/>
    <x v="20"/>
    <x v="0"/>
    <n v="110"/>
    <x v="1"/>
    <x v="1"/>
    <x v="1008"/>
    <x v="1"/>
    <s v="DISCOUNT ALLOWED"/>
    <s v="discount allowed"/>
    <s v="DISCOUNT ALLOWED"/>
    <s v="Discount Allowed"/>
    <s v="25/10/24"/>
  </r>
  <r>
    <s v="TXN_9054315"/>
    <s v="CUST_12"/>
    <x v="1"/>
    <x v="71"/>
    <x v="9"/>
    <x v="6"/>
    <n v="110"/>
    <x v="1"/>
    <x v="0"/>
    <x v="387"/>
    <x v="1"/>
    <s v="DISCOUNT ALLOWED"/>
    <s v="discount allowed"/>
    <s v="DISCOUNT ALLOWED"/>
    <s v="Discount Allowed"/>
    <s v="30/12/22"/>
  </r>
  <r>
    <s v="TXN_9164663"/>
    <s v="CUST_14"/>
    <x v="2"/>
    <x v="76"/>
    <x v="9"/>
    <x v="6"/>
    <n v="110"/>
    <x v="1"/>
    <x v="1"/>
    <x v="949"/>
    <x v="0"/>
    <s v="DISCOUNT NOT ALLOWED"/>
    <s v="discount not allowed"/>
    <s v="DISCOUNT NOT ALLOWED"/>
    <s v="Discount Not Allowed"/>
    <s v="11/02/23"/>
  </r>
  <r>
    <s v="TXN_9319671"/>
    <s v="CUST_22"/>
    <x v="1"/>
    <x v="71"/>
    <x v="9"/>
    <x v="6"/>
    <n v="110"/>
    <x v="1"/>
    <x v="1"/>
    <x v="38"/>
    <x v="1"/>
    <s v="DISCOUNT ALLOWED"/>
    <s v="discount allowed"/>
    <s v="DISCOUNT ALLOWED"/>
    <s v="Discount Allowed"/>
    <s v="18/02/22"/>
  </r>
  <r>
    <s v="TXN_9436654"/>
    <s v="CUST_08"/>
    <x v="4"/>
    <x v="163"/>
    <x v="20"/>
    <x v="0"/>
    <n v="110"/>
    <x v="2"/>
    <x v="1"/>
    <x v="424"/>
    <x v="0"/>
    <s v="DISCOUNT NOT ALLOWED"/>
    <s v="discount not allowed"/>
    <s v="DISCOUNT NOT ALLOWED"/>
    <s v="Discount Not Allowed"/>
    <s v="25/08/24"/>
  </r>
  <r>
    <s v="TXN_9863257"/>
    <s v="CUST_15"/>
    <x v="0"/>
    <x v="73"/>
    <x v="9"/>
    <x v="6"/>
    <n v="110"/>
    <x v="2"/>
    <x v="1"/>
    <x v="762"/>
    <x v="0"/>
    <s v="DISCOUNT NOT ALLOWED"/>
    <s v="discount not allowed"/>
    <s v="DISCOUNT NOT ALLOWED"/>
    <s v="Discount Not Allowed"/>
    <s v="04/05/24"/>
  </r>
  <r>
    <s v="TXN_2085114"/>
    <s v="CUST_15"/>
    <x v="1"/>
    <x v="29"/>
    <x v="3"/>
    <x v="7"/>
    <n v="109.5"/>
    <x v="1"/>
    <x v="1"/>
    <x v="431"/>
    <x v="1"/>
    <s v="DISCOUNT ALLOWED"/>
    <s v="discount allowed"/>
    <s v="DISCOUNT ALLOWED"/>
    <s v="Discount Allowed"/>
    <s v="01/01/25"/>
  </r>
  <r>
    <s v="TXN_2380474"/>
    <s v="CUST_14"/>
    <x v="5"/>
    <x v="28"/>
    <x v="3"/>
    <x v="7"/>
    <n v="109.5"/>
    <x v="0"/>
    <x v="0"/>
    <x v="509"/>
    <x v="0"/>
    <s v="DISCOUNT NOT ALLOWED"/>
    <s v="discount not allowed"/>
    <s v="DISCOUNT NOT ALLOWED"/>
    <s v="Discount Not Allowed"/>
    <s v="14/09/23"/>
  </r>
  <r>
    <s v="TXN_2525825"/>
    <s v="CUST_08"/>
    <x v="4"/>
    <x v="27"/>
    <x v="3"/>
    <x v="7"/>
    <n v="109.5"/>
    <x v="0"/>
    <x v="1"/>
    <x v="684"/>
    <x v="0"/>
    <s v="DISCOUNT NOT ALLOWED"/>
    <s v="discount not allowed"/>
    <s v="DISCOUNT NOT ALLOWED"/>
    <s v="Discount Not Allowed"/>
    <s v="13/03/24"/>
  </r>
  <r>
    <s v="TXN_2570092"/>
    <s v="CUST_25"/>
    <x v="3"/>
    <x v="24"/>
    <x v="3"/>
    <x v="7"/>
    <n v="109.5"/>
    <x v="0"/>
    <x v="0"/>
    <x v="898"/>
    <x v="0"/>
    <s v="DISCOUNT NOT ALLOWED"/>
    <s v="discount not allowed"/>
    <s v="DISCOUNT NOT ALLOWED"/>
    <s v="Discount Not Allowed"/>
    <s v="10/02/23"/>
  </r>
  <r>
    <s v="TXN_2681399"/>
    <s v="CUST_24"/>
    <x v="3"/>
    <x v="24"/>
    <x v="3"/>
    <x v="7"/>
    <n v="109.5"/>
    <x v="1"/>
    <x v="1"/>
    <x v="595"/>
    <x v="1"/>
    <s v="DISCOUNT ALLOWED"/>
    <s v="discount allowed"/>
    <s v="DISCOUNT ALLOWED"/>
    <s v="Discount Allowed"/>
    <s v="17/10/23"/>
  </r>
  <r>
    <s v="TXN_2694632"/>
    <s v="CUST_15"/>
    <x v="3"/>
    <x v="24"/>
    <x v="3"/>
    <x v="7"/>
    <n v="109.5"/>
    <x v="0"/>
    <x v="1"/>
    <x v="756"/>
    <x v="1"/>
    <s v="DISCOUNT ALLOWED"/>
    <s v="discount allowed"/>
    <s v="DISCOUNT ALLOWED"/>
    <s v="Discount Allowed"/>
    <s v="15/06/23"/>
  </r>
  <r>
    <s v="TXN_2722661"/>
    <s v="CUST_25"/>
    <x v="3"/>
    <x v="24"/>
    <x v="3"/>
    <x v="7"/>
    <n v="109.5"/>
    <x v="1"/>
    <x v="0"/>
    <x v="1016"/>
    <x v="0"/>
    <s v="DISCOUNT NOT ALLOWED"/>
    <s v="discount not allowed"/>
    <s v="DISCOUNT NOT ALLOWED"/>
    <s v="Discount Not Allowed"/>
    <s v="14/03/24"/>
  </r>
  <r>
    <s v="TXN_3201646"/>
    <s v="CUST_18"/>
    <x v="2"/>
    <x v="23"/>
    <x v="3"/>
    <x v="7"/>
    <n v="109.5"/>
    <x v="2"/>
    <x v="0"/>
    <x v="369"/>
    <x v="0"/>
    <s v="DISCOUNT NOT ALLOWED"/>
    <s v="discount not allowed"/>
    <s v="DISCOUNT NOT ALLOWED"/>
    <s v="Discount Not Allowed"/>
    <s v="05/10/23"/>
  </r>
  <r>
    <s v="TXN_3277547"/>
    <s v="CUST_20"/>
    <x v="5"/>
    <x v="28"/>
    <x v="3"/>
    <x v="7"/>
    <n v="109.5"/>
    <x v="0"/>
    <x v="0"/>
    <x v="317"/>
    <x v="0"/>
    <s v="DISCOUNT NOT ALLOWED"/>
    <s v="discount not allowed"/>
    <s v="DISCOUNT NOT ALLOWED"/>
    <s v="Discount Not Allowed"/>
    <s v="20/05/24"/>
  </r>
  <r>
    <s v="TXN_3342588"/>
    <s v="CUST_04"/>
    <x v="0"/>
    <x v="25"/>
    <x v="3"/>
    <x v="7"/>
    <n v="109.5"/>
    <x v="0"/>
    <x v="0"/>
    <x v="111"/>
    <x v="1"/>
    <s v="DISCOUNT ALLOWED"/>
    <s v="discount allowed"/>
    <s v="DISCOUNT ALLOWED"/>
    <s v="Discount Allowed"/>
    <s v="03/11/24"/>
  </r>
  <r>
    <s v="TXN_3366166"/>
    <s v="CUST_15"/>
    <x v="0"/>
    <x v="25"/>
    <x v="3"/>
    <x v="7"/>
    <n v="109.5"/>
    <x v="1"/>
    <x v="0"/>
    <x v="923"/>
    <x v="1"/>
    <s v="DISCOUNT ALLOWED"/>
    <s v="discount allowed"/>
    <s v="DISCOUNT ALLOWED"/>
    <s v="Discount Allowed"/>
    <s v="01/12/23"/>
  </r>
  <r>
    <s v="TXN_3592034"/>
    <s v="CUST_11"/>
    <x v="0"/>
    <x v="25"/>
    <x v="3"/>
    <x v="7"/>
    <n v="109.5"/>
    <x v="2"/>
    <x v="0"/>
    <x v="934"/>
    <x v="0"/>
    <s v="DISCOUNT NOT ALLOWED"/>
    <s v="discount not allowed"/>
    <s v="DISCOUNT NOT ALLOWED"/>
    <s v="Discount Not Allowed"/>
    <s v="27/05/24"/>
  </r>
  <r>
    <s v="TXN_3604276"/>
    <s v="CUST_09"/>
    <x v="3"/>
    <x v="24"/>
    <x v="3"/>
    <x v="7"/>
    <n v="109.5"/>
    <x v="1"/>
    <x v="1"/>
    <x v="738"/>
    <x v="0"/>
    <s v="DISCOUNT NOT ALLOWED"/>
    <s v="discount not allowed"/>
    <s v="DISCOUNT NOT ALLOWED"/>
    <s v="Discount Not Allowed"/>
    <s v="09/02/24"/>
  </r>
  <r>
    <s v="TXN_3993454"/>
    <s v="CUST_13"/>
    <x v="1"/>
    <x v="29"/>
    <x v="3"/>
    <x v="7"/>
    <n v="109.5"/>
    <x v="1"/>
    <x v="1"/>
    <x v="606"/>
    <x v="0"/>
    <s v="DISCOUNT NOT ALLOWED"/>
    <s v="discount not allowed"/>
    <s v="DISCOUNT NOT ALLOWED"/>
    <s v="Discount Not Allowed"/>
    <s v="02/08/23"/>
  </r>
  <r>
    <s v="TXN_4528114"/>
    <s v="CUST_04"/>
    <x v="6"/>
    <x v="26"/>
    <x v="3"/>
    <x v="7"/>
    <n v="109.5"/>
    <x v="0"/>
    <x v="0"/>
    <x v="836"/>
    <x v="1"/>
    <s v="DISCOUNT ALLOWED"/>
    <s v="discount allowed"/>
    <s v="DISCOUNT ALLOWED"/>
    <s v="Discount Allowed"/>
    <s v="22/05/22"/>
  </r>
  <r>
    <s v="TXN_4710652"/>
    <s v="CUST_07"/>
    <x v="6"/>
    <x v="26"/>
    <x v="3"/>
    <x v="7"/>
    <n v="109.5"/>
    <x v="0"/>
    <x v="1"/>
    <x v="373"/>
    <x v="0"/>
    <s v="DISCOUNT NOT ALLOWED"/>
    <s v="discount not allowed"/>
    <s v="DISCOUNT NOT ALLOWED"/>
    <s v="Discount Not Allowed"/>
    <s v="23/09/24"/>
  </r>
  <r>
    <s v="TXN_5192394"/>
    <s v="CUST_18"/>
    <x v="7"/>
    <x v="30"/>
    <x v="3"/>
    <x v="7"/>
    <n v="109.5"/>
    <x v="1"/>
    <x v="1"/>
    <x v="933"/>
    <x v="1"/>
    <s v="DISCOUNT ALLOWED"/>
    <s v="discount allowed"/>
    <s v="DISCOUNT ALLOWED"/>
    <s v="Discount Allowed"/>
    <s v="29/10/24"/>
  </r>
  <r>
    <s v="TXN_5946038"/>
    <s v="CUST_17"/>
    <x v="1"/>
    <x v="29"/>
    <x v="3"/>
    <x v="7"/>
    <n v="109.5"/>
    <x v="2"/>
    <x v="1"/>
    <x v="507"/>
    <x v="0"/>
    <s v="DISCOUNT NOT ALLOWED"/>
    <s v="discount not allowed"/>
    <s v="DISCOUNT NOT ALLOWED"/>
    <s v="Discount Not Allowed"/>
    <s v="30/12/24"/>
  </r>
  <r>
    <s v="TXN_6156746"/>
    <s v="CUST_13"/>
    <x v="7"/>
    <x v="30"/>
    <x v="3"/>
    <x v="7"/>
    <n v="109.5"/>
    <x v="0"/>
    <x v="1"/>
    <x v="432"/>
    <x v="1"/>
    <s v="DISCOUNT ALLOWED"/>
    <s v="discount allowed"/>
    <s v="DISCOUNT ALLOWED"/>
    <s v="Discount Allowed"/>
    <s v="06/10/24"/>
  </r>
  <r>
    <s v="TXN_6239964"/>
    <s v="CUST_22"/>
    <x v="0"/>
    <x v="25"/>
    <x v="3"/>
    <x v="7"/>
    <n v="109.5"/>
    <x v="2"/>
    <x v="1"/>
    <x v="564"/>
    <x v="0"/>
    <s v="DISCOUNT NOT ALLOWED"/>
    <s v="discount not allowed"/>
    <s v="DISCOUNT NOT ALLOWED"/>
    <s v="Discount Not Allowed"/>
    <s v="31/01/23"/>
  </r>
  <r>
    <s v="TXN_6260322"/>
    <s v="CUST_08"/>
    <x v="5"/>
    <x v="28"/>
    <x v="3"/>
    <x v="7"/>
    <n v="109.5"/>
    <x v="2"/>
    <x v="0"/>
    <x v="877"/>
    <x v="0"/>
    <s v="DISCOUNT NOT ALLOWED"/>
    <s v="discount not allowed"/>
    <s v="DISCOUNT NOT ALLOWED"/>
    <s v="Discount Not Allowed"/>
    <s v="15/02/22"/>
  </r>
  <r>
    <s v="TXN_6631615"/>
    <s v="CUST_15"/>
    <x v="0"/>
    <x v="25"/>
    <x v="3"/>
    <x v="7"/>
    <n v="109.5"/>
    <x v="0"/>
    <x v="0"/>
    <x v="391"/>
    <x v="0"/>
    <s v="DISCOUNT NOT ALLOWED"/>
    <s v="discount not allowed"/>
    <s v="DISCOUNT NOT ALLOWED"/>
    <s v="Discount Not Allowed"/>
    <s v="08/07/22"/>
  </r>
  <r>
    <s v="TXN_6683839"/>
    <s v="CUST_18"/>
    <x v="6"/>
    <x v="26"/>
    <x v="3"/>
    <x v="7"/>
    <n v="109.5"/>
    <x v="0"/>
    <x v="1"/>
    <x v="458"/>
    <x v="1"/>
    <s v="DISCOUNT ALLOWED"/>
    <s v="discount allowed"/>
    <s v="DISCOUNT ALLOWED"/>
    <s v="Discount Allowed"/>
    <s v="18/05/24"/>
  </r>
  <r>
    <s v="TXN_6841543"/>
    <s v="CUST_05"/>
    <x v="3"/>
    <x v="24"/>
    <x v="3"/>
    <x v="7"/>
    <n v="109.5"/>
    <x v="1"/>
    <x v="1"/>
    <x v="957"/>
    <x v="1"/>
    <s v="DISCOUNT ALLOWED"/>
    <s v="discount allowed"/>
    <s v="DISCOUNT ALLOWED"/>
    <s v="Discount Allowed"/>
    <s v="03/01/22"/>
  </r>
  <r>
    <s v="TXN_7152095"/>
    <s v="CUST_08"/>
    <x v="6"/>
    <x v="26"/>
    <x v="3"/>
    <x v="7"/>
    <n v="109.5"/>
    <x v="2"/>
    <x v="0"/>
    <x v="109"/>
    <x v="1"/>
    <s v="DISCOUNT ALLOWED"/>
    <s v="discount allowed"/>
    <s v="DISCOUNT ALLOWED"/>
    <s v="Discount Allowed"/>
    <s v="05/06/22"/>
  </r>
  <r>
    <s v="TXN_7525583"/>
    <s v="CUST_20"/>
    <x v="0"/>
    <x v="25"/>
    <x v="3"/>
    <x v="7"/>
    <n v="109.5"/>
    <x v="0"/>
    <x v="0"/>
    <x v="87"/>
    <x v="0"/>
    <s v="DISCOUNT NOT ALLOWED"/>
    <s v="discount not allowed"/>
    <s v="DISCOUNT NOT ALLOWED"/>
    <s v="Discount Not Allowed"/>
    <s v="23/07/23"/>
  </r>
  <r>
    <s v="TXN_7888046"/>
    <s v="CUST_24"/>
    <x v="0"/>
    <x v="25"/>
    <x v="3"/>
    <x v="7"/>
    <n v="109.5"/>
    <x v="0"/>
    <x v="1"/>
    <x v="670"/>
    <x v="0"/>
    <s v="DISCOUNT NOT ALLOWED"/>
    <s v="discount not allowed"/>
    <s v="DISCOUNT NOT ALLOWED"/>
    <s v="Discount Not Allowed"/>
    <s v="22/10/23"/>
  </r>
  <r>
    <s v="TXN_8315216"/>
    <s v="CUST_16"/>
    <x v="0"/>
    <x v="25"/>
    <x v="3"/>
    <x v="7"/>
    <n v="109.5"/>
    <x v="0"/>
    <x v="1"/>
    <x v="424"/>
    <x v="0"/>
    <s v="DISCOUNT NOT ALLOWED"/>
    <s v="discount not allowed"/>
    <s v="DISCOUNT NOT ALLOWED"/>
    <s v="Discount Not Allowed"/>
    <s v="25/08/24"/>
  </r>
  <r>
    <s v="TXN_8512354"/>
    <s v="CUST_23"/>
    <x v="0"/>
    <x v="25"/>
    <x v="3"/>
    <x v="7"/>
    <n v="109.5"/>
    <x v="0"/>
    <x v="1"/>
    <x v="768"/>
    <x v="0"/>
    <s v="DISCOUNT NOT ALLOWED"/>
    <s v="discount not allowed"/>
    <s v="DISCOUNT NOT ALLOWED"/>
    <s v="Discount Not Allowed"/>
    <s v="04/12/23"/>
  </r>
  <r>
    <s v="TXN_8924913"/>
    <s v="CUST_19"/>
    <x v="3"/>
    <x v="24"/>
    <x v="3"/>
    <x v="7"/>
    <n v="109.5"/>
    <x v="2"/>
    <x v="0"/>
    <x v="544"/>
    <x v="1"/>
    <s v="DISCOUNT ALLOWED"/>
    <s v="discount allowed"/>
    <s v="DISCOUNT ALLOWED"/>
    <s v="Discount Allowed"/>
    <s v="17/07/23"/>
  </r>
  <r>
    <s v="TXN_9179801"/>
    <s v="CUST_23"/>
    <x v="7"/>
    <x v="30"/>
    <x v="3"/>
    <x v="7"/>
    <n v="109.5"/>
    <x v="0"/>
    <x v="0"/>
    <x v="180"/>
    <x v="1"/>
    <s v="DISCOUNT ALLOWED"/>
    <s v="discount allowed"/>
    <s v="DISCOUNT ALLOWED"/>
    <s v="Discount Allowed"/>
    <s v="05/12/23"/>
  </r>
  <r>
    <s v="TXN_9232100"/>
    <s v="CUST_05"/>
    <x v="3"/>
    <x v="24"/>
    <x v="3"/>
    <x v="7"/>
    <n v="109.5"/>
    <x v="0"/>
    <x v="0"/>
    <x v="763"/>
    <x v="0"/>
    <s v="DISCOUNT NOT ALLOWED"/>
    <s v="discount not allowed"/>
    <s v="DISCOUNT NOT ALLOWED"/>
    <s v="Discount Not Allowed"/>
    <s v="21/09/24"/>
  </r>
  <r>
    <s v="TXN_9364474"/>
    <s v="CUST_19"/>
    <x v="4"/>
    <x v="27"/>
    <x v="3"/>
    <x v="7"/>
    <n v="109.5"/>
    <x v="1"/>
    <x v="1"/>
    <x v="184"/>
    <x v="0"/>
    <s v="DISCOUNT NOT ALLOWED"/>
    <s v="discount not allowed"/>
    <s v="DISCOUNT NOT ALLOWED"/>
    <s v="Discount Not Allowed"/>
    <s v="01/01/22"/>
  </r>
  <r>
    <s v="TXN_1054983"/>
    <s v="CUST_15"/>
    <x v="0"/>
    <x v="139"/>
    <x v="17"/>
    <x v="3"/>
    <n v="108.5"/>
    <x v="2"/>
    <x v="1"/>
    <x v="989"/>
    <x v="1"/>
    <s v="DISCOUNT ALLOWED"/>
    <s v="discount allowed"/>
    <s v="DISCOUNT ALLOWED"/>
    <s v="Discount Allowed"/>
    <s v="09/10/24"/>
  </r>
  <r>
    <s v="TXN_1076536"/>
    <s v="CUST_23"/>
    <x v="6"/>
    <x v="140"/>
    <x v="17"/>
    <x v="3"/>
    <n v="108.5"/>
    <x v="0"/>
    <x v="1"/>
    <x v="1037"/>
    <x v="1"/>
    <s v="DISCOUNT ALLOWED"/>
    <s v="discount allowed"/>
    <s v="DISCOUNT ALLOWED"/>
    <s v="Discount Allowed"/>
    <s v="24/05/23"/>
  </r>
  <r>
    <s v="TXN_1173263"/>
    <s v="CUST_13"/>
    <x v="5"/>
    <x v="138"/>
    <x v="17"/>
    <x v="3"/>
    <n v="108.5"/>
    <x v="0"/>
    <x v="0"/>
    <x v="997"/>
    <x v="1"/>
    <s v="DISCOUNT ALLOWED"/>
    <s v="discount allowed"/>
    <s v="DISCOUNT ALLOWED"/>
    <s v="Discount Allowed"/>
    <s v="31/07/22"/>
  </r>
  <r>
    <s v="TXN_1400981"/>
    <s v="CUST_10"/>
    <x v="0"/>
    <x v="139"/>
    <x v="17"/>
    <x v="3"/>
    <n v="108.5"/>
    <x v="1"/>
    <x v="1"/>
    <x v="147"/>
    <x v="0"/>
    <s v="DISCOUNT NOT ALLOWED"/>
    <s v="discount not allowed"/>
    <s v="DISCOUNT NOT ALLOWED"/>
    <s v="Discount Not Allowed"/>
    <s v="15/07/23"/>
  </r>
  <r>
    <s v="TXN_1815089"/>
    <s v="CUST_18"/>
    <x v="0"/>
    <x v="139"/>
    <x v="17"/>
    <x v="3"/>
    <n v="108.5"/>
    <x v="1"/>
    <x v="0"/>
    <x v="869"/>
    <x v="0"/>
    <s v="DISCOUNT NOT ALLOWED"/>
    <s v="discount not allowed"/>
    <s v="DISCOUNT NOT ALLOWED"/>
    <s v="Discount Not Allowed"/>
    <s v="16/07/22"/>
  </r>
  <r>
    <s v="TXN_1838613"/>
    <s v="CUST_19"/>
    <x v="0"/>
    <x v="139"/>
    <x v="17"/>
    <x v="3"/>
    <n v="108.5"/>
    <x v="2"/>
    <x v="0"/>
    <x v="343"/>
    <x v="1"/>
    <s v="DISCOUNT ALLOWED"/>
    <s v="discount allowed"/>
    <s v="DISCOUNT ALLOWED"/>
    <s v="Discount Allowed"/>
    <s v="27/06/24"/>
  </r>
  <r>
    <s v="TXN_1923790"/>
    <s v="CUST_17"/>
    <x v="7"/>
    <x v="137"/>
    <x v="17"/>
    <x v="3"/>
    <n v="108.5"/>
    <x v="0"/>
    <x v="0"/>
    <x v="777"/>
    <x v="1"/>
    <s v="DISCOUNT ALLOWED"/>
    <s v="discount allowed"/>
    <s v="DISCOUNT ALLOWED"/>
    <s v="Discount Allowed"/>
    <s v="25/07/24"/>
  </r>
  <r>
    <s v="TXN_1961400"/>
    <s v="CUST_01"/>
    <x v="6"/>
    <x v="140"/>
    <x v="17"/>
    <x v="3"/>
    <n v="108.5"/>
    <x v="0"/>
    <x v="1"/>
    <x v="749"/>
    <x v="0"/>
    <s v="DISCOUNT NOT ALLOWED"/>
    <s v="discount not allowed"/>
    <s v="DISCOUNT NOT ALLOWED"/>
    <s v="Discount Not Allowed"/>
    <s v="24/04/23"/>
  </r>
  <r>
    <s v="TXN_2508784"/>
    <s v="CUST_02"/>
    <x v="1"/>
    <x v="136"/>
    <x v="17"/>
    <x v="3"/>
    <n v="108.5"/>
    <x v="2"/>
    <x v="0"/>
    <x v="902"/>
    <x v="1"/>
    <s v="DISCOUNT ALLOWED"/>
    <s v="discount allowed"/>
    <s v="DISCOUNT ALLOWED"/>
    <s v="Discount Allowed"/>
    <s v="29/08/24"/>
  </r>
  <r>
    <s v="TXN_2516384"/>
    <s v="CUST_16"/>
    <x v="1"/>
    <x v="136"/>
    <x v="17"/>
    <x v="3"/>
    <n v="108.5"/>
    <x v="0"/>
    <x v="0"/>
    <x v="278"/>
    <x v="0"/>
    <s v="DISCOUNT NOT ALLOWED"/>
    <s v="discount not allowed"/>
    <s v="DISCOUNT NOT ALLOWED"/>
    <s v="Discount Not Allowed"/>
    <s v="26/12/24"/>
  </r>
  <r>
    <s v="TXN_2624212"/>
    <s v="CUST_09"/>
    <x v="5"/>
    <x v="138"/>
    <x v="17"/>
    <x v="3"/>
    <n v="108.5"/>
    <x v="2"/>
    <x v="0"/>
    <x v="1043"/>
    <x v="0"/>
    <s v="DISCOUNT NOT ALLOWED"/>
    <s v="discount not allowed"/>
    <s v="DISCOUNT NOT ALLOWED"/>
    <s v="Discount Not Allowed"/>
    <s v="18/04/22"/>
  </r>
  <r>
    <s v="TXN_2673110"/>
    <s v="CUST_04"/>
    <x v="2"/>
    <x v="135"/>
    <x v="17"/>
    <x v="3"/>
    <n v="108.5"/>
    <x v="0"/>
    <x v="1"/>
    <x v="37"/>
    <x v="1"/>
    <s v="DISCOUNT ALLOWED"/>
    <s v="discount allowed"/>
    <s v="DISCOUNT ALLOWED"/>
    <s v="Discount Allowed"/>
    <s v="19/06/23"/>
  </r>
  <r>
    <s v="TXN_2991837"/>
    <s v="CUST_22"/>
    <x v="1"/>
    <x v="136"/>
    <x v="17"/>
    <x v="3"/>
    <n v="108.5"/>
    <x v="1"/>
    <x v="1"/>
    <x v="1074"/>
    <x v="1"/>
    <s v="DISCOUNT ALLOWED"/>
    <s v="discount allowed"/>
    <s v="DISCOUNT ALLOWED"/>
    <s v="Discount Allowed"/>
    <s v="31/05/24"/>
  </r>
  <r>
    <s v="TXN_3581464"/>
    <s v="CUST_11"/>
    <x v="2"/>
    <x v="135"/>
    <x v="17"/>
    <x v="3"/>
    <n v="108.5"/>
    <x v="0"/>
    <x v="1"/>
    <x v="892"/>
    <x v="1"/>
    <s v="DISCOUNT ALLOWED"/>
    <s v="discount allowed"/>
    <s v="DISCOUNT ALLOWED"/>
    <s v="Discount Allowed"/>
    <s v="07/01/22"/>
  </r>
  <r>
    <s v="TXN_3687556"/>
    <s v="CUST_01"/>
    <x v="1"/>
    <x v="136"/>
    <x v="17"/>
    <x v="3"/>
    <n v="108.5"/>
    <x v="0"/>
    <x v="1"/>
    <x v="284"/>
    <x v="1"/>
    <s v="DISCOUNT ALLOWED"/>
    <s v="discount allowed"/>
    <s v="DISCOUNT ALLOWED"/>
    <s v="Discount Allowed"/>
    <s v="10/05/23"/>
  </r>
  <r>
    <s v="TXN_3714766"/>
    <s v="CUST_14"/>
    <x v="7"/>
    <x v="137"/>
    <x v="17"/>
    <x v="3"/>
    <n v="108.5"/>
    <x v="1"/>
    <x v="0"/>
    <x v="876"/>
    <x v="1"/>
    <s v="DISCOUNT ALLOWED"/>
    <s v="discount allowed"/>
    <s v="DISCOUNT ALLOWED"/>
    <s v="Discount Allowed"/>
    <s v="17/02/24"/>
  </r>
  <r>
    <s v="TXN_4078266"/>
    <s v="CUST_10"/>
    <x v="6"/>
    <x v="140"/>
    <x v="17"/>
    <x v="3"/>
    <n v="108.5"/>
    <x v="1"/>
    <x v="1"/>
    <x v="720"/>
    <x v="0"/>
    <s v="DISCOUNT NOT ALLOWED"/>
    <s v="discount not allowed"/>
    <s v="DISCOUNT NOT ALLOWED"/>
    <s v="Discount Not Allowed"/>
    <s v="19/07/24"/>
  </r>
  <r>
    <s v="TXN_4129646"/>
    <s v="CUST_25"/>
    <x v="1"/>
    <x v="136"/>
    <x v="17"/>
    <x v="3"/>
    <n v="108.5"/>
    <x v="1"/>
    <x v="1"/>
    <x v="894"/>
    <x v="1"/>
    <s v="DISCOUNT ALLOWED"/>
    <s v="discount allowed"/>
    <s v="DISCOUNT ALLOWED"/>
    <s v="Discount Allowed"/>
    <s v="30/08/22"/>
  </r>
  <r>
    <s v="TXN_4204523"/>
    <s v="CUST_21"/>
    <x v="1"/>
    <x v="136"/>
    <x v="17"/>
    <x v="3"/>
    <n v="108.5"/>
    <x v="2"/>
    <x v="1"/>
    <x v="690"/>
    <x v="1"/>
    <s v="DISCOUNT ALLOWED"/>
    <s v="discount allowed"/>
    <s v="DISCOUNT ALLOWED"/>
    <s v="Discount Allowed"/>
    <s v="12/12/24"/>
  </r>
  <r>
    <s v="TXN_4551473"/>
    <s v="CUST_02"/>
    <x v="6"/>
    <x v="140"/>
    <x v="17"/>
    <x v="3"/>
    <n v="108.5"/>
    <x v="2"/>
    <x v="0"/>
    <x v="455"/>
    <x v="1"/>
    <s v="DISCOUNT ALLOWED"/>
    <s v="discount allowed"/>
    <s v="DISCOUNT ALLOWED"/>
    <s v="Discount Allowed"/>
    <s v="06/04/24"/>
  </r>
  <r>
    <s v="TXN_4724970"/>
    <s v="CUST_03"/>
    <x v="1"/>
    <x v="136"/>
    <x v="17"/>
    <x v="3"/>
    <n v="108.5"/>
    <x v="1"/>
    <x v="0"/>
    <x v="251"/>
    <x v="1"/>
    <s v="DISCOUNT ALLOWED"/>
    <s v="discount allowed"/>
    <s v="DISCOUNT ALLOWED"/>
    <s v="Discount Allowed"/>
    <s v="24/03/22"/>
  </r>
  <r>
    <s v="TXN_5069841"/>
    <s v="CUST_16"/>
    <x v="5"/>
    <x v="138"/>
    <x v="17"/>
    <x v="3"/>
    <n v="108.5"/>
    <x v="1"/>
    <x v="0"/>
    <x v="285"/>
    <x v="1"/>
    <s v="DISCOUNT ALLOWED"/>
    <s v="discount allowed"/>
    <s v="DISCOUNT ALLOWED"/>
    <s v="Discount Allowed"/>
    <s v="12/03/22"/>
  </r>
  <r>
    <s v="TXN_5291160"/>
    <s v="CUST_06"/>
    <x v="5"/>
    <x v="138"/>
    <x v="17"/>
    <x v="3"/>
    <n v="108.5"/>
    <x v="1"/>
    <x v="0"/>
    <x v="211"/>
    <x v="1"/>
    <s v="DISCOUNT ALLOWED"/>
    <s v="discount allowed"/>
    <s v="DISCOUNT ALLOWED"/>
    <s v="Discount Allowed"/>
    <s v="12/09/22"/>
  </r>
  <r>
    <s v="TXN_5436979"/>
    <s v="CUST_21"/>
    <x v="1"/>
    <x v="136"/>
    <x v="17"/>
    <x v="3"/>
    <n v="108.5"/>
    <x v="0"/>
    <x v="1"/>
    <x v="103"/>
    <x v="1"/>
    <s v="DISCOUNT ALLOWED"/>
    <s v="discount allowed"/>
    <s v="DISCOUNT ALLOWED"/>
    <s v="Discount Allowed"/>
    <s v="30/05/22"/>
  </r>
  <r>
    <s v="TXN_5878503"/>
    <s v="CUST_21"/>
    <x v="1"/>
    <x v="136"/>
    <x v="17"/>
    <x v="3"/>
    <n v="108.5"/>
    <x v="0"/>
    <x v="0"/>
    <x v="872"/>
    <x v="0"/>
    <s v="DISCOUNT NOT ALLOWED"/>
    <s v="discount not allowed"/>
    <s v="DISCOUNT NOT ALLOWED"/>
    <s v="Discount Not Allowed"/>
    <s v="07/06/24"/>
  </r>
  <r>
    <s v="TXN_5890227"/>
    <s v="CUST_14"/>
    <x v="5"/>
    <x v="138"/>
    <x v="17"/>
    <x v="3"/>
    <n v="108.5"/>
    <x v="2"/>
    <x v="1"/>
    <x v="302"/>
    <x v="0"/>
    <s v="DISCOUNT NOT ALLOWED"/>
    <s v="discount not allowed"/>
    <s v="DISCOUNT NOT ALLOWED"/>
    <s v="Discount Not Allowed"/>
    <s v="05/11/22"/>
  </r>
  <r>
    <s v="TXN_6090167"/>
    <s v="CUST_06"/>
    <x v="1"/>
    <x v="136"/>
    <x v="17"/>
    <x v="3"/>
    <n v="108.5"/>
    <x v="1"/>
    <x v="1"/>
    <x v="576"/>
    <x v="1"/>
    <s v="DISCOUNT ALLOWED"/>
    <s v="discount allowed"/>
    <s v="DISCOUNT ALLOWED"/>
    <s v="Discount Allowed"/>
    <s v="18/11/23"/>
  </r>
  <r>
    <s v="TXN_6115131"/>
    <s v="CUST_11"/>
    <x v="5"/>
    <x v="138"/>
    <x v="17"/>
    <x v="3"/>
    <n v="108.5"/>
    <x v="2"/>
    <x v="0"/>
    <x v="952"/>
    <x v="0"/>
    <s v="DISCOUNT NOT ALLOWED"/>
    <s v="discount not allowed"/>
    <s v="DISCOUNT NOT ALLOWED"/>
    <s v="Discount Not Allowed"/>
    <s v="27/11/24"/>
  </r>
  <r>
    <s v="TXN_6136154"/>
    <s v="CUST_19"/>
    <x v="2"/>
    <x v="135"/>
    <x v="17"/>
    <x v="3"/>
    <n v="108.5"/>
    <x v="0"/>
    <x v="1"/>
    <x v="342"/>
    <x v="1"/>
    <s v="DISCOUNT ALLOWED"/>
    <s v="discount allowed"/>
    <s v="DISCOUNT ALLOWED"/>
    <s v="Discount Allowed"/>
    <s v="02/07/24"/>
  </r>
  <r>
    <s v="TXN_6365546"/>
    <s v="CUST_02"/>
    <x v="1"/>
    <x v="136"/>
    <x v="17"/>
    <x v="3"/>
    <n v="108.5"/>
    <x v="0"/>
    <x v="1"/>
    <x v="246"/>
    <x v="0"/>
    <s v="DISCOUNT NOT ALLOWED"/>
    <s v="discount not allowed"/>
    <s v="DISCOUNT NOT ALLOWED"/>
    <s v="Discount Not Allowed"/>
    <s v="13/08/22"/>
  </r>
  <r>
    <s v="TXN_6601827"/>
    <s v="CUST_08"/>
    <x v="1"/>
    <x v="136"/>
    <x v="17"/>
    <x v="3"/>
    <n v="108.5"/>
    <x v="2"/>
    <x v="1"/>
    <x v="125"/>
    <x v="0"/>
    <s v="DISCOUNT NOT ALLOWED"/>
    <s v="discount not allowed"/>
    <s v="DISCOUNT NOT ALLOWED"/>
    <s v="Discount Not Allowed"/>
    <s v="18/03/22"/>
  </r>
  <r>
    <s v="TXN_6614330"/>
    <s v="CUST_08"/>
    <x v="1"/>
    <x v="136"/>
    <x v="17"/>
    <x v="3"/>
    <n v="108.5"/>
    <x v="0"/>
    <x v="1"/>
    <x v="849"/>
    <x v="0"/>
    <s v="DISCOUNT NOT ALLOWED"/>
    <s v="discount not allowed"/>
    <s v="DISCOUNT NOT ALLOWED"/>
    <s v="Discount Not Allowed"/>
    <s v="01/02/23"/>
  </r>
  <r>
    <s v="TXN_7130562"/>
    <s v="CUST_07"/>
    <x v="3"/>
    <x v="134"/>
    <x v="17"/>
    <x v="3"/>
    <n v="108.5"/>
    <x v="1"/>
    <x v="0"/>
    <x v="687"/>
    <x v="0"/>
    <s v="DISCOUNT NOT ALLOWED"/>
    <s v="discount not allowed"/>
    <s v="DISCOUNT NOT ALLOWED"/>
    <s v="Discount Not Allowed"/>
    <s v="08/10/22"/>
  </r>
  <r>
    <s v="TXN_7166849"/>
    <s v="CUST_10"/>
    <x v="2"/>
    <x v="135"/>
    <x v="17"/>
    <x v="3"/>
    <n v="108.5"/>
    <x v="2"/>
    <x v="0"/>
    <x v="582"/>
    <x v="1"/>
    <s v="DISCOUNT ALLOWED"/>
    <s v="discount allowed"/>
    <s v="DISCOUNT ALLOWED"/>
    <s v="Discount Allowed"/>
    <s v="15/10/23"/>
  </r>
  <r>
    <s v="TXN_7436006"/>
    <s v="CUST_16"/>
    <x v="7"/>
    <x v="137"/>
    <x v="17"/>
    <x v="3"/>
    <n v="108.5"/>
    <x v="1"/>
    <x v="1"/>
    <x v="603"/>
    <x v="1"/>
    <s v="DISCOUNT ALLOWED"/>
    <s v="discount allowed"/>
    <s v="DISCOUNT ALLOWED"/>
    <s v="Discount Allowed"/>
    <s v="25/07/23"/>
  </r>
  <r>
    <s v="TXN_8022355"/>
    <s v="CUST_06"/>
    <x v="6"/>
    <x v="140"/>
    <x v="17"/>
    <x v="3"/>
    <n v="108.5"/>
    <x v="2"/>
    <x v="0"/>
    <x v="172"/>
    <x v="1"/>
    <s v="DISCOUNT ALLOWED"/>
    <s v="discount allowed"/>
    <s v="DISCOUNT ALLOWED"/>
    <s v="Discount Allowed"/>
    <s v="25/09/23"/>
  </r>
  <r>
    <s v="TXN_8445692"/>
    <s v="CUST_14"/>
    <x v="7"/>
    <x v="137"/>
    <x v="17"/>
    <x v="3"/>
    <n v="108.5"/>
    <x v="1"/>
    <x v="0"/>
    <x v="847"/>
    <x v="1"/>
    <s v="DISCOUNT ALLOWED"/>
    <s v="discount allowed"/>
    <s v="DISCOUNT ALLOWED"/>
    <s v="Discount Allowed"/>
    <s v="04/11/24"/>
  </r>
  <r>
    <s v="TXN_8449935"/>
    <s v="CUST_06"/>
    <x v="2"/>
    <x v="135"/>
    <x v="17"/>
    <x v="3"/>
    <n v="108.5"/>
    <x v="2"/>
    <x v="1"/>
    <x v="394"/>
    <x v="0"/>
    <s v="DISCOUNT NOT ALLOWED"/>
    <s v="discount not allowed"/>
    <s v="DISCOUNT NOT ALLOWED"/>
    <s v="Discount Not Allowed"/>
    <s v="13/12/24"/>
  </r>
  <r>
    <s v="TXN_8566964"/>
    <s v="CUST_15"/>
    <x v="7"/>
    <x v="137"/>
    <x v="17"/>
    <x v="3"/>
    <n v="108.5"/>
    <x v="1"/>
    <x v="0"/>
    <x v="894"/>
    <x v="0"/>
    <s v="DISCOUNT NOT ALLOWED"/>
    <s v="discount not allowed"/>
    <s v="DISCOUNT NOT ALLOWED"/>
    <s v="Discount Not Allowed"/>
    <s v="30/08/22"/>
  </r>
  <r>
    <s v="TXN_8634272"/>
    <s v="CUST_03"/>
    <x v="7"/>
    <x v="137"/>
    <x v="17"/>
    <x v="3"/>
    <n v="108.5"/>
    <x v="2"/>
    <x v="1"/>
    <x v="388"/>
    <x v="0"/>
    <s v="DISCOUNT NOT ALLOWED"/>
    <s v="discount not allowed"/>
    <s v="DISCOUNT NOT ALLOWED"/>
    <s v="Discount Not Allowed"/>
    <s v="23/01/23"/>
  </r>
  <r>
    <s v="TXN_8987229"/>
    <s v="CUST_13"/>
    <x v="7"/>
    <x v="137"/>
    <x v="17"/>
    <x v="3"/>
    <n v="108.5"/>
    <x v="1"/>
    <x v="0"/>
    <x v="302"/>
    <x v="1"/>
    <s v="DISCOUNT ALLOWED"/>
    <s v="discount allowed"/>
    <s v="DISCOUNT ALLOWED"/>
    <s v="Discount Allowed"/>
    <s v="05/11/22"/>
  </r>
  <r>
    <s v="TXN_9271260"/>
    <s v="CUST_05"/>
    <x v="1"/>
    <x v="136"/>
    <x v="17"/>
    <x v="3"/>
    <n v="108.5"/>
    <x v="0"/>
    <x v="0"/>
    <x v="984"/>
    <x v="0"/>
    <s v="DISCOUNT NOT ALLOWED"/>
    <s v="discount not allowed"/>
    <s v="DISCOUNT NOT ALLOWED"/>
    <s v="Discount Not Allowed"/>
    <s v="07/10/22"/>
  </r>
  <r>
    <s v="TXN_9472056"/>
    <s v="CUST_16"/>
    <x v="0"/>
    <x v="139"/>
    <x v="17"/>
    <x v="3"/>
    <n v="108.5"/>
    <x v="1"/>
    <x v="1"/>
    <x v="577"/>
    <x v="1"/>
    <s v="DISCOUNT ALLOWED"/>
    <s v="discount allowed"/>
    <s v="DISCOUNT ALLOWED"/>
    <s v="Discount Allowed"/>
    <s v="22/06/24"/>
  </r>
  <r>
    <s v="TXN_9555119"/>
    <s v="CUST_15"/>
    <x v="4"/>
    <x v="141"/>
    <x v="17"/>
    <x v="3"/>
    <n v="108.5"/>
    <x v="0"/>
    <x v="0"/>
    <x v="846"/>
    <x v="1"/>
    <s v="DISCOUNT ALLOWED"/>
    <s v="discount allowed"/>
    <s v="DISCOUNT ALLOWED"/>
    <s v="Discount Allowed"/>
    <s v="29/03/23"/>
  </r>
  <r>
    <s v="TXN_1198181"/>
    <s v="CUST_25"/>
    <x v="4"/>
    <x v="107"/>
    <x v="13"/>
    <x v="5"/>
    <n v="107.5"/>
    <x v="1"/>
    <x v="0"/>
    <x v="182"/>
    <x v="1"/>
    <s v="DISCOUNT ALLOWED"/>
    <s v="discount allowed"/>
    <s v="DISCOUNT ALLOWED"/>
    <s v="Discount Allowed"/>
    <s v="28/04/24"/>
  </r>
  <r>
    <s v="TXN_1636017"/>
    <s v="CUST_02"/>
    <x v="3"/>
    <x v="103"/>
    <x v="13"/>
    <x v="5"/>
    <n v="107.5"/>
    <x v="0"/>
    <x v="0"/>
    <x v="414"/>
    <x v="1"/>
    <s v="DISCOUNT ALLOWED"/>
    <s v="discount allowed"/>
    <s v="DISCOUNT ALLOWED"/>
    <s v="Discount Allowed"/>
    <s v="01/02/22"/>
  </r>
  <r>
    <s v="TXN_1675317"/>
    <s v="CUST_16"/>
    <x v="7"/>
    <x v="106"/>
    <x v="13"/>
    <x v="5"/>
    <n v="107.5"/>
    <x v="2"/>
    <x v="0"/>
    <x v="841"/>
    <x v="1"/>
    <s v="DISCOUNT ALLOWED"/>
    <s v="discount allowed"/>
    <s v="DISCOUNT ALLOWED"/>
    <s v="Discount Allowed"/>
    <s v="14/06/23"/>
  </r>
  <r>
    <s v="TXN_1715848"/>
    <s v="CUST_08"/>
    <x v="6"/>
    <x v="104"/>
    <x v="13"/>
    <x v="5"/>
    <n v="107.5"/>
    <x v="1"/>
    <x v="1"/>
    <x v="619"/>
    <x v="1"/>
    <s v="DISCOUNT ALLOWED"/>
    <s v="discount allowed"/>
    <s v="DISCOUNT ALLOWED"/>
    <s v="Discount Allowed"/>
    <s v="15/09/24"/>
  </r>
  <r>
    <s v="TXN_1795555"/>
    <s v="CUST_07"/>
    <x v="3"/>
    <x v="103"/>
    <x v="13"/>
    <x v="5"/>
    <n v="107.5"/>
    <x v="2"/>
    <x v="0"/>
    <x v="1040"/>
    <x v="1"/>
    <s v="DISCOUNT ALLOWED"/>
    <s v="discount allowed"/>
    <s v="DISCOUNT ALLOWED"/>
    <s v="Discount Allowed"/>
    <s v="21/03/22"/>
  </r>
  <r>
    <s v="TXN_2059563"/>
    <s v="CUST_15"/>
    <x v="6"/>
    <x v="104"/>
    <x v="13"/>
    <x v="5"/>
    <n v="107.5"/>
    <x v="0"/>
    <x v="0"/>
    <x v="12"/>
    <x v="1"/>
    <s v="DISCOUNT ALLOWED"/>
    <s v="discount allowed"/>
    <s v="DISCOUNT ALLOWED"/>
    <s v="Discount Allowed"/>
    <s v="23/07/24"/>
  </r>
  <r>
    <s v="TXN_2231855"/>
    <s v="CUST_07"/>
    <x v="0"/>
    <x v="116"/>
    <x v="13"/>
    <x v="5"/>
    <n v="107.5"/>
    <x v="1"/>
    <x v="1"/>
    <x v="1024"/>
    <x v="0"/>
    <s v="DISCOUNT NOT ALLOWED"/>
    <s v="discount not allowed"/>
    <s v="DISCOUNT NOT ALLOWED"/>
    <s v="Discount Not Allowed"/>
    <s v="01/04/24"/>
  </r>
  <r>
    <s v="TXN_2432720"/>
    <s v="CUST_09"/>
    <x v="6"/>
    <x v="104"/>
    <x v="13"/>
    <x v="5"/>
    <n v="107.5"/>
    <x v="1"/>
    <x v="1"/>
    <x v="709"/>
    <x v="1"/>
    <s v="DISCOUNT ALLOWED"/>
    <s v="discount allowed"/>
    <s v="DISCOUNT ALLOWED"/>
    <s v="Discount Allowed"/>
    <s v="02/01/24"/>
  </r>
  <r>
    <s v="TXN_2519325"/>
    <s v="CUST_17"/>
    <x v="3"/>
    <x v="103"/>
    <x v="13"/>
    <x v="5"/>
    <n v="107.5"/>
    <x v="2"/>
    <x v="0"/>
    <x v="229"/>
    <x v="1"/>
    <s v="DISCOUNT ALLOWED"/>
    <s v="discount allowed"/>
    <s v="DISCOUNT ALLOWED"/>
    <s v="Discount Allowed"/>
    <s v="16/03/24"/>
  </r>
  <r>
    <s v="TXN_2541183"/>
    <s v="CUST_16"/>
    <x v="7"/>
    <x v="106"/>
    <x v="13"/>
    <x v="5"/>
    <n v="107.5"/>
    <x v="1"/>
    <x v="1"/>
    <x v="380"/>
    <x v="1"/>
    <s v="DISCOUNT ALLOWED"/>
    <s v="discount allowed"/>
    <s v="DISCOUNT ALLOWED"/>
    <s v="Discount Allowed"/>
    <s v="20/07/24"/>
  </r>
  <r>
    <s v="TXN_2654851"/>
    <s v="CUST_02"/>
    <x v="3"/>
    <x v="103"/>
    <x v="13"/>
    <x v="5"/>
    <n v="107.5"/>
    <x v="2"/>
    <x v="0"/>
    <x v="217"/>
    <x v="0"/>
    <s v="DISCOUNT NOT ALLOWED"/>
    <s v="discount not allowed"/>
    <s v="DISCOUNT NOT ALLOWED"/>
    <s v="Discount Not Allowed"/>
    <s v="12/01/24"/>
  </r>
  <r>
    <s v="TXN_2702011"/>
    <s v="CUST_12"/>
    <x v="2"/>
    <x v="108"/>
    <x v="13"/>
    <x v="5"/>
    <n v="107.5"/>
    <x v="1"/>
    <x v="0"/>
    <x v="516"/>
    <x v="1"/>
    <s v="DISCOUNT ALLOWED"/>
    <s v="discount allowed"/>
    <s v="DISCOUNT ALLOWED"/>
    <s v="Discount Allowed"/>
    <s v="28/12/23"/>
  </r>
  <r>
    <s v="TXN_2871119"/>
    <s v="CUST_03"/>
    <x v="5"/>
    <x v="102"/>
    <x v="13"/>
    <x v="5"/>
    <n v="107.5"/>
    <x v="0"/>
    <x v="0"/>
    <x v="620"/>
    <x v="1"/>
    <s v="DISCOUNT ALLOWED"/>
    <s v="discount allowed"/>
    <s v="DISCOUNT ALLOWED"/>
    <s v="Discount Allowed"/>
    <s v="19/09/23"/>
  </r>
  <r>
    <s v="TXN_2880014"/>
    <s v="CUST_12"/>
    <x v="6"/>
    <x v="104"/>
    <x v="13"/>
    <x v="5"/>
    <n v="107.5"/>
    <x v="1"/>
    <x v="1"/>
    <x v="650"/>
    <x v="0"/>
    <s v="DISCOUNT NOT ALLOWED"/>
    <s v="discount not allowed"/>
    <s v="DISCOUNT NOT ALLOWED"/>
    <s v="Discount Not Allowed"/>
    <s v="03/01/23"/>
  </r>
  <r>
    <s v="TXN_3042204"/>
    <s v="CUST_16"/>
    <x v="7"/>
    <x v="106"/>
    <x v="13"/>
    <x v="5"/>
    <n v="107.5"/>
    <x v="0"/>
    <x v="0"/>
    <x v="931"/>
    <x v="1"/>
    <s v="DISCOUNT ALLOWED"/>
    <s v="discount allowed"/>
    <s v="DISCOUNT ALLOWED"/>
    <s v="Discount Allowed"/>
    <s v="14/05/23"/>
  </r>
  <r>
    <s v="TXN_3057167"/>
    <s v="CUST_13"/>
    <x v="4"/>
    <x v="107"/>
    <x v="13"/>
    <x v="5"/>
    <n v="107.5"/>
    <x v="0"/>
    <x v="0"/>
    <x v="804"/>
    <x v="1"/>
    <s v="DISCOUNT ALLOWED"/>
    <s v="discount allowed"/>
    <s v="DISCOUNT ALLOWED"/>
    <s v="Discount Allowed"/>
    <s v="17/09/24"/>
  </r>
  <r>
    <s v="TXN_3126774"/>
    <s v="CUST_05"/>
    <x v="5"/>
    <x v="102"/>
    <x v="13"/>
    <x v="5"/>
    <n v="107.5"/>
    <x v="0"/>
    <x v="1"/>
    <x v="25"/>
    <x v="0"/>
    <s v="DISCOUNT NOT ALLOWED"/>
    <s v="discount not allowed"/>
    <s v="DISCOUNT NOT ALLOWED"/>
    <s v="Discount Not Allowed"/>
    <s v="24/09/22"/>
  </r>
  <r>
    <s v="TXN_3205425"/>
    <s v="CUST_07"/>
    <x v="7"/>
    <x v="106"/>
    <x v="13"/>
    <x v="5"/>
    <n v="107.5"/>
    <x v="2"/>
    <x v="0"/>
    <x v="1053"/>
    <x v="1"/>
    <s v="DISCOUNT ALLOWED"/>
    <s v="discount allowed"/>
    <s v="DISCOUNT ALLOWED"/>
    <s v="Discount Allowed"/>
    <s v="22/08/23"/>
  </r>
  <r>
    <s v="TXN_4130550"/>
    <s v="CUST_14"/>
    <x v="7"/>
    <x v="106"/>
    <x v="13"/>
    <x v="5"/>
    <n v="107.5"/>
    <x v="2"/>
    <x v="0"/>
    <x v="529"/>
    <x v="0"/>
    <s v="DISCOUNT NOT ALLOWED"/>
    <s v="discount not allowed"/>
    <s v="DISCOUNT NOT ALLOWED"/>
    <s v="Discount Not Allowed"/>
    <s v="28/04/23"/>
  </r>
  <r>
    <s v="TXN_4162114"/>
    <s v="CUST_11"/>
    <x v="4"/>
    <x v="107"/>
    <x v="13"/>
    <x v="5"/>
    <n v="107.5"/>
    <x v="1"/>
    <x v="0"/>
    <x v="354"/>
    <x v="0"/>
    <s v="DISCOUNT NOT ALLOWED"/>
    <s v="discount not allowed"/>
    <s v="DISCOUNT NOT ALLOWED"/>
    <s v="Discount Not Allowed"/>
    <s v="02/05/23"/>
  </r>
  <r>
    <s v="TXN_4432365"/>
    <s v="CUST_01"/>
    <x v="3"/>
    <x v="103"/>
    <x v="13"/>
    <x v="5"/>
    <n v="107.5"/>
    <x v="1"/>
    <x v="1"/>
    <x v="479"/>
    <x v="1"/>
    <s v="DISCOUNT ALLOWED"/>
    <s v="discount allowed"/>
    <s v="DISCOUNT ALLOWED"/>
    <s v="Discount Allowed"/>
    <s v="17/03/22"/>
  </r>
  <r>
    <s v="TXN_4511207"/>
    <s v="CUST_05"/>
    <x v="3"/>
    <x v="103"/>
    <x v="13"/>
    <x v="5"/>
    <n v="107.5"/>
    <x v="2"/>
    <x v="1"/>
    <x v="852"/>
    <x v="0"/>
    <s v="DISCOUNT NOT ALLOWED"/>
    <s v="discount not allowed"/>
    <s v="DISCOUNT NOT ALLOWED"/>
    <s v="Discount Not Allowed"/>
    <s v="26/05/22"/>
  </r>
  <r>
    <s v="TXN_4586723"/>
    <s v="CUST_01"/>
    <x v="6"/>
    <x v="104"/>
    <x v="13"/>
    <x v="5"/>
    <n v="107.5"/>
    <x v="0"/>
    <x v="1"/>
    <x v="965"/>
    <x v="0"/>
    <s v="DISCOUNT NOT ALLOWED"/>
    <s v="discount not allowed"/>
    <s v="DISCOUNT NOT ALLOWED"/>
    <s v="Discount Not Allowed"/>
    <s v="02/06/24"/>
  </r>
  <r>
    <s v="TXN_4786065"/>
    <s v="CUST_16"/>
    <x v="7"/>
    <x v="106"/>
    <x v="13"/>
    <x v="5"/>
    <n v="107.5"/>
    <x v="2"/>
    <x v="1"/>
    <x v="292"/>
    <x v="0"/>
    <s v="DISCOUNT NOT ALLOWED"/>
    <s v="discount not allowed"/>
    <s v="DISCOUNT NOT ALLOWED"/>
    <s v="Discount Not Allowed"/>
    <s v="24/10/23"/>
  </r>
  <r>
    <s v="TXN_4845720"/>
    <s v="CUST_10"/>
    <x v="7"/>
    <x v="106"/>
    <x v="13"/>
    <x v="5"/>
    <n v="107.5"/>
    <x v="1"/>
    <x v="1"/>
    <x v="988"/>
    <x v="0"/>
    <s v="DISCOUNT NOT ALLOWED"/>
    <s v="discount not allowed"/>
    <s v="DISCOUNT NOT ALLOWED"/>
    <s v="Discount Not Allowed"/>
    <s v="06/04/22"/>
  </r>
  <r>
    <s v="TXN_4959669"/>
    <s v="CUST_11"/>
    <x v="3"/>
    <x v="103"/>
    <x v="13"/>
    <x v="5"/>
    <n v="107.5"/>
    <x v="2"/>
    <x v="0"/>
    <x v="617"/>
    <x v="0"/>
    <s v="DISCOUNT NOT ALLOWED"/>
    <s v="discount not allowed"/>
    <s v="DISCOUNT NOT ALLOWED"/>
    <s v="Discount Not Allowed"/>
    <s v="28/11/24"/>
  </r>
  <r>
    <s v="TXN_5016366"/>
    <s v="CUST_19"/>
    <x v="3"/>
    <x v="103"/>
    <x v="13"/>
    <x v="5"/>
    <n v="107.5"/>
    <x v="2"/>
    <x v="1"/>
    <x v="971"/>
    <x v="0"/>
    <s v="DISCOUNT NOT ALLOWED"/>
    <s v="discount not allowed"/>
    <s v="DISCOUNT NOT ALLOWED"/>
    <s v="Discount Not Allowed"/>
    <s v="04/08/22"/>
  </r>
  <r>
    <s v="TXN_5620470"/>
    <s v="CUST_06"/>
    <x v="4"/>
    <x v="107"/>
    <x v="13"/>
    <x v="5"/>
    <n v="107.5"/>
    <x v="1"/>
    <x v="0"/>
    <x v="772"/>
    <x v="0"/>
    <s v="DISCOUNT NOT ALLOWED"/>
    <s v="discount not allowed"/>
    <s v="DISCOUNT NOT ALLOWED"/>
    <s v="Discount Not Allowed"/>
    <s v="19/07/22"/>
  </r>
  <r>
    <s v="TXN_6580870"/>
    <s v="CUST_02"/>
    <x v="7"/>
    <x v="106"/>
    <x v="13"/>
    <x v="5"/>
    <n v="107.5"/>
    <x v="0"/>
    <x v="0"/>
    <x v="118"/>
    <x v="1"/>
    <s v="DISCOUNT ALLOWED"/>
    <s v="discount allowed"/>
    <s v="DISCOUNT ALLOWED"/>
    <s v="Discount Allowed"/>
    <s v="27/04/22"/>
  </r>
  <r>
    <s v="TXN_6849972"/>
    <s v="CUST_15"/>
    <x v="4"/>
    <x v="107"/>
    <x v="13"/>
    <x v="5"/>
    <n v="107.5"/>
    <x v="1"/>
    <x v="0"/>
    <x v="916"/>
    <x v="0"/>
    <s v="DISCOUNT NOT ALLOWED"/>
    <s v="discount not allowed"/>
    <s v="DISCOUNT NOT ALLOWED"/>
    <s v="Discount Not Allowed"/>
    <s v="13/10/24"/>
  </r>
  <r>
    <s v="TXN_8826135"/>
    <s v="CUST_01"/>
    <x v="0"/>
    <x v="116"/>
    <x v="13"/>
    <x v="5"/>
    <n v="107.5"/>
    <x v="2"/>
    <x v="0"/>
    <x v="416"/>
    <x v="0"/>
    <s v="DISCOUNT NOT ALLOWED"/>
    <s v="discount not allowed"/>
    <s v="DISCOUNT NOT ALLOWED"/>
    <s v="Discount Not Allowed"/>
    <s v="25/05/24"/>
  </r>
  <r>
    <s v="TXN_8834540"/>
    <s v="CUST_25"/>
    <x v="1"/>
    <x v="105"/>
    <x v="13"/>
    <x v="5"/>
    <n v="107.5"/>
    <x v="0"/>
    <x v="1"/>
    <x v="474"/>
    <x v="0"/>
    <s v="DISCOUNT NOT ALLOWED"/>
    <s v="discount not allowed"/>
    <s v="DISCOUNT NOT ALLOWED"/>
    <s v="Discount Not Allowed"/>
    <s v="24/02/23"/>
  </r>
  <r>
    <s v="TXN_8853331"/>
    <s v="CUST_25"/>
    <x v="3"/>
    <x v="103"/>
    <x v="13"/>
    <x v="5"/>
    <n v="107.5"/>
    <x v="2"/>
    <x v="0"/>
    <x v="60"/>
    <x v="1"/>
    <s v="DISCOUNT ALLOWED"/>
    <s v="discount allowed"/>
    <s v="DISCOUNT ALLOWED"/>
    <s v="Discount Allowed"/>
    <s v="01/06/24"/>
  </r>
  <r>
    <s v="TXN_8977030"/>
    <s v="CUST_09"/>
    <x v="1"/>
    <x v="105"/>
    <x v="13"/>
    <x v="5"/>
    <n v="107.5"/>
    <x v="1"/>
    <x v="0"/>
    <x v="926"/>
    <x v="1"/>
    <s v="DISCOUNT ALLOWED"/>
    <s v="discount allowed"/>
    <s v="DISCOUNT ALLOWED"/>
    <s v="Discount Allowed"/>
    <s v="22/11/23"/>
  </r>
  <r>
    <s v="TXN_9311214"/>
    <s v="CUST_02"/>
    <x v="5"/>
    <x v="102"/>
    <x v="13"/>
    <x v="5"/>
    <n v="107.5"/>
    <x v="1"/>
    <x v="1"/>
    <x v="322"/>
    <x v="0"/>
    <s v="DISCOUNT NOT ALLOWED"/>
    <s v="discount not allowed"/>
    <s v="DISCOUNT NOT ALLOWED"/>
    <s v="Discount Not Allowed"/>
    <s v="22/06/23"/>
  </r>
  <r>
    <s v="TXN_9568940"/>
    <s v="CUST_24"/>
    <x v="7"/>
    <x v="106"/>
    <x v="13"/>
    <x v="5"/>
    <n v="107.5"/>
    <x v="1"/>
    <x v="0"/>
    <x v="335"/>
    <x v="0"/>
    <s v="DISCOUNT NOT ALLOWED"/>
    <s v="discount not allowed"/>
    <s v="DISCOUNT NOT ALLOWED"/>
    <s v="Discount Not Allowed"/>
    <s v="02/01/25"/>
  </r>
  <r>
    <s v="TXN_9587232"/>
    <s v="CUST_20"/>
    <x v="4"/>
    <x v="107"/>
    <x v="13"/>
    <x v="5"/>
    <n v="107.5"/>
    <x v="0"/>
    <x v="0"/>
    <x v="815"/>
    <x v="1"/>
    <s v="DISCOUNT ALLOWED"/>
    <s v="discount allowed"/>
    <s v="DISCOUNT ALLOWED"/>
    <s v="Discount Allowed"/>
    <s v="28/02/23"/>
  </r>
  <r>
    <s v="TXN_9645168"/>
    <s v="CUST_02"/>
    <x v="6"/>
    <x v="104"/>
    <x v="13"/>
    <x v="5"/>
    <n v="107.5"/>
    <x v="0"/>
    <x v="1"/>
    <x v="8"/>
    <x v="0"/>
    <s v="DISCOUNT NOT ALLOWED"/>
    <s v="discount not allowed"/>
    <s v="DISCOUNT NOT ALLOWED"/>
    <s v="Discount Not Allowed"/>
    <s v="04/01/25"/>
  </r>
  <r>
    <s v="TXN_1862637"/>
    <s v="CUST_08"/>
    <x v="5"/>
    <x v="35"/>
    <x v="4"/>
    <x v="7"/>
    <n v="105"/>
    <x v="1"/>
    <x v="0"/>
    <x v="28"/>
    <x v="1"/>
    <s v="DISCOUNT ALLOWED"/>
    <s v="discount allowed"/>
    <s v="DISCOUNT ALLOWED"/>
    <s v="Discount Allowed"/>
    <s v="27/03/24"/>
  </r>
  <r>
    <s v="TXN_2112709"/>
    <s v="CUST_24"/>
    <x v="1"/>
    <x v="34"/>
    <x v="4"/>
    <x v="7"/>
    <n v="105"/>
    <x v="1"/>
    <x v="0"/>
    <x v="312"/>
    <x v="1"/>
    <s v="DISCOUNT ALLOWED"/>
    <s v="discount allowed"/>
    <s v="DISCOUNT ALLOWED"/>
    <s v="Discount Allowed"/>
    <s v="07/11/22"/>
  </r>
  <r>
    <s v="TXN_2436348"/>
    <s v="CUST_23"/>
    <x v="6"/>
    <x v="33"/>
    <x v="4"/>
    <x v="7"/>
    <n v="105"/>
    <x v="0"/>
    <x v="1"/>
    <x v="952"/>
    <x v="1"/>
    <s v="DISCOUNT ALLOWED"/>
    <s v="discount allowed"/>
    <s v="DISCOUNT ALLOWED"/>
    <s v="Discount Allowed"/>
    <s v="27/11/24"/>
  </r>
  <r>
    <s v="TXN_2497415"/>
    <s v="CUST_05"/>
    <x v="2"/>
    <x v="32"/>
    <x v="4"/>
    <x v="7"/>
    <n v="105"/>
    <x v="1"/>
    <x v="0"/>
    <x v="446"/>
    <x v="1"/>
    <s v="DISCOUNT ALLOWED"/>
    <s v="discount allowed"/>
    <s v="DISCOUNT ALLOWED"/>
    <s v="Discount Allowed"/>
    <s v="12/09/24"/>
  </r>
  <r>
    <s v="TXN_3089213"/>
    <s v="CUST_02"/>
    <x v="4"/>
    <x v="36"/>
    <x v="4"/>
    <x v="7"/>
    <n v="105"/>
    <x v="1"/>
    <x v="1"/>
    <x v="371"/>
    <x v="1"/>
    <s v="DISCOUNT ALLOWED"/>
    <s v="discount allowed"/>
    <s v="DISCOUNT ALLOWED"/>
    <s v="Discount Allowed"/>
    <s v="05/07/23"/>
  </r>
  <r>
    <s v="TXN_3290344"/>
    <s v="CUST_09"/>
    <x v="1"/>
    <x v="34"/>
    <x v="4"/>
    <x v="7"/>
    <n v="105"/>
    <x v="1"/>
    <x v="1"/>
    <x v="792"/>
    <x v="1"/>
    <s v="DISCOUNT ALLOWED"/>
    <s v="discount allowed"/>
    <s v="DISCOUNT ALLOWED"/>
    <s v="Discount Allowed"/>
    <s v="10/11/23"/>
  </r>
  <r>
    <s v="TXN_3568403"/>
    <s v="CUST_18"/>
    <x v="5"/>
    <x v="35"/>
    <x v="4"/>
    <x v="7"/>
    <n v="105"/>
    <x v="2"/>
    <x v="0"/>
    <x v="495"/>
    <x v="0"/>
    <s v="DISCOUNT NOT ALLOWED"/>
    <s v="discount not allowed"/>
    <s v="DISCOUNT NOT ALLOWED"/>
    <s v="Discount Not Allowed"/>
    <s v="02/02/22"/>
  </r>
  <r>
    <s v="TXN_3968183"/>
    <s v="CUST_09"/>
    <x v="6"/>
    <x v="33"/>
    <x v="4"/>
    <x v="7"/>
    <n v="105"/>
    <x v="2"/>
    <x v="1"/>
    <x v="970"/>
    <x v="1"/>
    <s v="DISCOUNT ALLOWED"/>
    <s v="discount allowed"/>
    <s v="DISCOUNT ALLOWED"/>
    <s v="Discount Allowed"/>
    <s v="10/04/22"/>
  </r>
  <r>
    <s v="TXN_4109801"/>
    <s v="CUST_24"/>
    <x v="4"/>
    <x v="36"/>
    <x v="4"/>
    <x v="7"/>
    <n v="105"/>
    <x v="0"/>
    <x v="1"/>
    <x v="819"/>
    <x v="1"/>
    <s v="DISCOUNT ALLOWED"/>
    <s v="discount allowed"/>
    <s v="DISCOUNT ALLOWED"/>
    <s v="Discount Allowed"/>
    <s v="11/07/23"/>
  </r>
  <r>
    <s v="TXN_4347787"/>
    <s v="CUST_15"/>
    <x v="5"/>
    <x v="35"/>
    <x v="4"/>
    <x v="7"/>
    <n v="105"/>
    <x v="0"/>
    <x v="0"/>
    <x v="766"/>
    <x v="1"/>
    <s v="DISCOUNT ALLOWED"/>
    <s v="discount allowed"/>
    <s v="DISCOUNT ALLOWED"/>
    <s v="Discount Allowed"/>
    <s v="09/12/22"/>
  </r>
  <r>
    <s v="TXN_5241473"/>
    <s v="CUST_22"/>
    <x v="5"/>
    <x v="35"/>
    <x v="4"/>
    <x v="7"/>
    <n v="105"/>
    <x v="0"/>
    <x v="0"/>
    <x v="128"/>
    <x v="0"/>
    <s v="DISCOUNT NOT ALLOWED"/>
    <s v="discount not allowed"/>
    <s v="DISCOUNT NOT ALLOWED"/>
    <s v="Discount Not Allowed"/>
    <s v="18/08/24"/>
  </r>
  <r>
    <s v="TXN_5951686"/>
    <s v="CUST_13"/>
    <x v="6"/>
    <x v="33"/>
    <x v="4"/>
    <x v="7"/>
    <n v="105"/>
    <x v="1"/>
    <x v="0"/>
    <x v="117"/>
    <x v="0"/>
    <s v="DISCOUNT NOT ALLOWED"/>
    <s v="discount not allowed"/>
    <s v="DISCOUNT NOT ALLOWED"/>
    <s v="Discount Not Allowed"/>
    <s v="30/07/23"/>
  </r>
  <r>
    <s v="TXN_7003448"/>
    <s v="CUST_02"/>
    <x v="1"/>
    <x v="34"/>
    <x v="4"/>
    <x v="7"/>
    <n v="105"/>
    <x v="2"/>
    <x v="1"/>
    <x v="862"/>
    <x v="1"/>
    <s v="DISCOUNT ALLOWED"/>
    <s v="discount allowed"/>
    <s v="DISCOUNT ALLOWED"/>
    <s v="Discount Allowed"/>
    <s v="22/10/24"/>
  </r>
  <r>
    <s v="TXN_7017414"/>
    <s v="CUST_20"/>
    <x v="1"/>
    <x v="34"/>
    <x v="4"/>
    <x v="7"/>
    <n v="105"/>
    <x v="1"/>
    <x v="1"/>
    <x v="826"/>
    <x v="0"/>
    <s v="DISCOUNT NOT ALLOWED"/>
    <s v="discount not allowed"/>
    <s v="DISCOUNT NOT ALLOWED"/>
    <s v="Discount Not Allowed"/>
    <s v="03/08/22"/>
  </r>
  <r>
    <s v="TXN_7139710"/>
    <s v="CUST_11"/>
    <x v="3"/>
    <x v="52"/>
    <x v="4"/>
    <x v="7"/>
    <n v="105"/>
    <x v="2"/>
    <x v="1"/>
    <x v="407"/>
    <x v="1"/>
    <s v="DISCOUNT ALLOWED"/>
    <s v="discount allowed"/>
    <s v="DISCOUNT ALLOWED"/>
    <s v="Discount Allowed"/>
    <s v="10/10/22"/>
  </r>
  <r>
    <s v="TXN_8503614"/>
    <s v="CUST_12"/>
    <x v="5"/>
    <x v="35"/>
    <x v="4"/>
    <x v="7"/>
    <n v="105"/>
    <x v="2"/>
    <x v="0"/>
    <x v="681"/>
    <x v="1"/>
    <s v="DISCOUNT ALLOWED"/>
    <s v="discount allowed"/>
    <s v="DISCOUNT ALLOWED"/>
    <s v="Discount Allowed"/>
    <s v="14/12/22"/>
  </r>
  <r>
    <s v="TXN_9497226"/>
    <s v="CUST_16"/>
    <x v="2"/>
    <x v="32"/>
    <x v="4"/>
    <x v="7"/>
    <n v="105"/>
    <x v="2"/>
    <x v="1"/>
    <x v="72"/>
    <x v="1"/>
    <s v="DISCOUNT ALLOWED"/>
    <s v="discount allowed"/>
    <s v="DISCOUNT ALLOWED"/>
    <s v="Discount Allowed"/>
    <s v="25/04/24"/>
  </r>
  <r>
    <s v="TXN_9621491"/>
    <s v="CUST_16"/>
    <x v="5"/>
    <x v="35"/>
    <x v="4"/>
    <x v="7"/>
    <n v="105"/>
    <x v="1"/>
    <x v="0"/>
    <x v="854"/>
    <x v="0"/>
    <s v="DISCOUNT NOT ALLOWED"/>
    <s v="discount not allowed"/>
    <s v="DISCOUNT NOT ALLOWED"/>
    <s v="Discount Not Allowed"/>
    <s v="19/02/23"/>
  </r>
  <r>
    <s v="TXN_1350230"/>
    <s v="CUST_15"/>
    <x v="3"/>
    <x v="80"/>
    <x v="10"/>
    <x v="6"/>
    <n v="104"/>
    <x v="1"/>
    <x v="0"/>
    <x v="839"/>
    <x v="0"/>
    <s v="DISCOUNT NOT ALLOWED"/>
    <s v="discount not allowed"/>
    <s v="DISCOUNT NOT ALLOWED"/>
    <s v="Discount Not Allowed"/>
    <s v="18/11/22"/>
  </r>
  <r>
    <s v="TXN_1545404"/>
    <s v="CUST_14"/>
    <x v="1"/>
    <x v="78"/>
    <x v="10"/>
    <x v="6"/>
    <n v="104"/>
    <x v="1"/>
    <x v="1"/>
    <x v="327"/>
    <x v="1"/>
    <s v="DISCOUNT ALLOWED"/>
    <s v="discount allowed"/>
    <s v="DISCOUNT ALLOWED"/>
    <s v="Discount Allowed"/>
    <s v="19/05/24"/>
  </r>
  <r>
    <s v="TXN_2322791"/>
    <s v="CUST_03"/>
    <x v="2"/>
    <x v="77"/>
    <x v="10"/>
    <x v="6"/>
    <n v="104"/>
    <x v="1"/>
    <x v="0"/>
    <x v="283"/>
    <x v="0"/>
    <s v="DISCOUNT NOT ALLOWED"/>
    <s v="discount not allowed"/>
    <s v="DISCOUNT NOT ALLOWED"/>
    <s v="Discount Not Allowed"/>
    <s v="15/01/23"/>
  </r>
  <r>
    <s v="TXN_2800453"/>
    <s v="CUST_08"/>
    <x v="6"/>
    <x v="82"/>
    <x v="10"/>
    <x v="6"/>
    <n v="104"/>
    <x v="0"/>
    <x v="1"/>
    <x v="453"/>
    <x v="1"/>
    <s v="DISCOUNT ALLOWED"/>
    <s v="discount allowed"/>
    <s v="DISCOUNT ALLOWED"/>
    <s v="Discount Allowed"/>
    <s v="26/06/22"/>
  </r>
  <r>
    <s v="TXN_3271634"/>
    <s v="CUST_25"/>
    <x v="6"/>
    <x v="82"/>
    <x v="10"/>
    <x v="6"/>
    <n v="104"/>
    <x v="2"/>
    <x v="0"/>
    <x v="586"/>
    <x v="1"/>
    <s v="DISCOUNT ALLOWED"/>
    <s v="discount allowed"/>
    <s v="DISCOUNT ALLOWED"/>
    <s v="Discount Allowed"/>
    <s v="26/02/23"/>
  </r>
  <r>
    <s v="TXN_3466324"/>
    <s v="CUST_02"/>
    <x v="1"/>
    <x v="78"/>
    <x v="10"/>
    <x v="6"/>
    <n v="104"/>
    <x v="0"/>
    <x v="0"/>
    <x v="179"/>
    <x v="0"/>
    <s v="DISCOUNT NOT ALLOWED"/>
    <s v="discount not allowed"/>
    <s v="DISCOUNT NOT ALLOWED"/>
    <s v="Discount Not Allowed"/>
    <s v="05/09/22"/>
  </r>
  <r>
    <s v="TXN_3636944"/>
    <s v="CUST_22"/>
    <x v="3"/>
    <x v="80"/>
    <x v="10"/>
    <x v="6"/>
    <n v="104"/>
    <x v="0"/>
    <x v="0"/>
    <x v="933"/>
    <x v="1"/>
    <s v="DISCOUNT ALLOWED"/>
    <s v="discount allowed"/>
    <s v="DISCOUNT ALLOWED"/>
    <s v="Discount Allowed"/>
    <s v="29/10/24"/>
  </r>
  <r>
    <s v="TXN_3821185"/>
    <s v="CUST_23"/>
    <x v="6"/>
    <x v="82"/>
    <x v="10"/>
    <x v="6"/>
    <n v="104"/>
    <x v="0"/>
    <x v="1"/>
    <x v="528"/>
    <x v="1"/>
    <s v="DISCOUNT ALLOWED"/>
    <s v="discount allowed"/>
    <s v="DISCOUNT ALLOWED"/>
    <s v="Discount Allowed"/>
    <s v="11/09/24"/>
  </r>
  <r>
    <s v="TXN_4064037"/>
    <s v="CUST_07"/>
    <x v="6"/>
    <x v="82"/>
    <x v="10"/>
    <x v="6"/>
    <n v="104"/>
    <x v="2"/>
    <x v="1"/>
    <x v="717"/>
    <x v="1"/>
    <s v="DISCOUNT ALLOWED"/>
    <s v="discount allowed"/>
    <s v="DISCOUNT ALLOWED"/>
    <s v="Discount Allowed"/>
    <s v="15/05/22"/>
  </r>
  <r>
    <s v="TXN_4812459"/>
    <s v="CUST_13"/>
    <x v="6"/>
    <x v="82"/>
    <x v="10"/>
    <x v="6"/>
    <n v="104"/>
    <x v="0"/>
    <x v="1"/>
    <x v="469"/>
    <x v="0"/>
    <s v="DISCOUNT NOT ALLOWED"/>
    <s v="discount not allowed"/>
    <s v="DISCOUNT NOT ALLOWED"/>
    <s v="Discount Not Allowed"/>
    <s v="29/11/23"/>
  </r>
  <r>
    <s v="TXN_6152767"/>
    <s v="CUST_03"/>
    <x v="5"/>
    <x v="81"/>
    <x v="10"/>
    <x v="6"/>
    <n v="104"/>
    <x v="2"/>
    <x v="1"/>
    <x v="533"/>
    <x v="1"/>
    <s v="DISCOUNT ALLOWED"/>
    <s v="discount allowed"/>
    <s v="DISCOUNT ALLOWED"/>
    <s v="Discount Allowed"/>
    <s v="14/10/24"/>
  </r>
  <r>
    <s v="TXN_7855916"/>
    <s v="CUST_14"/>
    <x v="7"/>
    <x v="83"/>
    <x v="10"/>
    <x v="6"/>
    <n v="104"/>
    <x v="1"/>
    <x v="0"/>
    <x v="730"/>
    <x v="1"/>
    <s v="DISCOUNT ALLOWED"/>
    <s v="discount allowed"/>
    <s v="DISCOUNT ALLOWED"/>
    <s v="Discount Allowed"/>
    <s v="11/08/22"/>
  </r>
  <r>
    <s v="TXN_7949456"/>
    <s v="CUST_21"/>
    <x v="5"/>
    <x v="81"/>
    <x v="10"/>
    <x v="6"/>
    <n v="104"/>
    <x v="1"/>
    <x v="0"/>
    <x v="1075"/>
    <x v="0"/>
    <s v="DISCOUNT NOT ALLOWED"/>
    <s v="discount not allowed"/>
    <s v="DISCOUNT NOT ALLOWED"/>
    <s v="Discount Not Allowed"/>
    <s v="09/05/23"/>
  </r>
  <r>
    <s v="TXN_8040308"/>
    <s v="CUST_03"/>
    <x v="7"/>
    <x v="83"/>
    <x v="10"/>
    <x v="6"/>
    <n v="104"/>
    <x v="0"/>
    <x v="1"/>
    <x v="664"/>
    <x v="1"/>
    <s v="DISCOUNT ALLOWED"/>
    <s v="discount allowed"/>
    <s v="DISCOUNT ALLOWED"/>
    <s v="Discount Allowed"/>
    <s v="03/11/23"/>
  </r>
  <r>
    <s v="TXN_8299537"/>
    <s v="CUST_24"/>
    <x v="3"/>
    <x v="80"/>
    <x v="10"/>
    <x v="6"/>
    <n v="104"/>
    <x v="1"/>
    <x v="1"/>
    <x v="710"/>
    <x v="0"/>
    <s v="DISCOUNT NOT ALLOWED"/>
    <s v="discount not allowed"/>
    <s v="DISCOUNT NOT ALLOWED"/>
    <s v="Discount Not Allowed"/>
    <s v="05/08/24"/>
  </r>
  <r>
    <s v="TXN_8585970"/>
    <s v="CUST_06"/>
    <x v="5"/>
    <x v="81"/>
    <x v="10"/>
    <x v="6"/>
    <n v="104"/>
    <x v="0"/>
    <x v="0"/>
    <x v="620"/>
    <x v="0"/>
    <s v="DISCOUNT NOT ALLOWED"/>
    <s v="discount not allowed"/>
    <s v="DISCOUNT NOT ALLOWED"/>
    <s v="Discount Not Allowed"/>
    <s v="19/09/23"/>
  </r>
  <r>
    <s v="TXN_8753170"/>
    <s v="CUST_18"/>
    <x v="3"/>
    <x v="80"/>
    <x v="10"/>
    <x v="6"/>
    <n v="104"/>
    <x v="1"/>
    <x v="0"/>
    <x v="838"/>
    <x v="1"/>
    <s v="DISCOUNT ALLOWED"/>
    <s v="discount allowed"/>
    <s v="DISCOUNT ALLOWED"/>
    <s v="Discount Allowed"/>
    <s v="24/10/22"/>
  </r>
  <r>
    <s v="TXN_9174227"/>
    <s v="CUST_19"/>
    <x v="3"/>
    <x v="80"/>
    <x v="10"/>
    <x v="6"/>
    <n v="104"/>
    <x v="2"/>
    <x v="1"/>
    <x v="815"/>
    <x v="1"/>
    <s v="DISCOUNT ALLOWED"/>
    <s v="discount allowed"/>
    <s v="DISCOUNT ALLOWED"/>
    <s v="Discount Allowed"/>
    <s v="28/02/23"/>
  </r>
  <r>
    <s v="TXN_9187405"/>
    <s v="CUST_14"/>
    <x v="0"/>
    <x v="84"/>
    <x v="10"/>
    <x v="6"/>
    <n v="104"/>
    <x v="0"/>
    <x v="1"/>
    <x v="769"/>
    <x v="0"/>
    <s v="DISCOUNT NOT ALLOWED"/>
    <s v="discount not allowed"/>
    <s v="DISCOUNT NOT ALLOWED"/>
    <s v="Discount Not Allowed"/>
    <s v="02/12/22"/>
  </r>
  <r>
    <s v="TXN_9312548"/>
    <s v="CUST_11"/>
    <x v="6"/>
    <x v="82"/>
    <x v="10"/>
    <x v="6"/>
    <n v="104"/>
    <x v="2"/>
    <x v="1"/>
    <x v="477"/>
    <x v="0"/>
    <s v="DISCOUNT NOT ALLOWED"/>
    <s v="discount not allowed"/>
    <s v="DISCOUNT NOT ALLOWED"/>
    <s v="Discount Not Allowed"/>
    <s v="28/01/22"/>
  </r>
  <r>
    <s v="TXN_9703848"/>
    <s v="CUST_15"/>
    <x v="4"/>
    <x v="79"/>
    <x v="10"/>
    <x v="6"/>
    <n v="104"/>
    <x v="1"/>
    <x v="0"/>
    <x v="995"/>
    <x v="1"/>
    <s v="DISCOUNT ALLOWED"/>
    <s v="discount allowed"/>
    <s v="DISCOUNT ALLOWED"/>
    <s v="Discount Allowed"/>
    <s v="16/06/22"/>
  </r>
  <r>
    <s v="TXN_9845530"/>
    <s v="CUST_25"/>
    <x v="5"/>
    <x v="81"/>
    <x v="10"/>
    <x v="6"/>
    <n v="104"/>
    <x v="0"/>
    <x v="1"/>
    <x v="452"/>
    <x v="1"/>
    <s v="DISCOUNT ALLOWED"/>
    <s v="discount allowed"/>
    <s v="DISCOUNT ALLOWED"/>
    <s v="Discount Allowed"/>
    <s v="26/09/22"/>
  </r>
  <r>
    <s v="TXN_9969255"/>
    <s v="CUST_10"/>
    <x v="6"/>
    <x v="82"/>
    <x v="10"/>
    <x v="6"/>
    <n v="104"/>
    <x v="2"/>
    <x v="1"/>
    <x v="787"/>
    <x v="1"/>
    <s v="DISCOUNT ALLOWED"/>
    <s v="discount allowed"/>
    <s v="DISCOUNT ALLOWED"/>
    <s v="Discount Allowed"/>
    <s v="11/06/24"/>
  </r>
  <r>
    <s v="TXN_1201718"/>
    <s v="CUST_17"/>
    <x v="4"/>
    <x v="130"/>
    <x v="16"/>
    <x v="4"/>
    <n v="102"/>
    <x v="1"/>
    <x v="1"/>
    <x v="419"/>
    <x v="0"/>
    <s v="DISCOUNT NOT ALLOWED"/>
    <s v="discount not allowed"/>
    <s v="DISCOUNT NOT ALLOWED"/>
    <s v="Discount Not Allowed"/>
    <s v="08/04/24"/>
  </r>
  <r>
    <s v="TXN_1315967"/>
    <s v="CUST_04"/>
    <x v="1"/>
    <x v="129"/>
    <x v="16"/>
    <x v="4"/>
    <n v="102"/>
    <x v="2"/>
    <x v="0"/>
    <x v="167"/>
    <x v="0"/>
    <s v="DISCOUNT NOT ALLOWED"/>
    <s v="discount not allowed"/>
    <s v="DISCOUNT NOT ALLOWED"/>
    <s v="Discount Not Allowed"/>
    <s v="16/04/22"/>
  </r>
  <r>
    <s v="TXN_2215196"/>
    <s v="CUST_03"/>
    <x v="1"/>
    <x v="129"/>
    <x v="16"/>
    <x v="4"/>
    <n v="102"/>
    <x v="2"/>
    <x v="1"/>
    <x v="665"/>
    <x v="1"/>
    <s v="DISCOUNT ALLOWED"/>
    <s v="discount allowed"/>
    <s v="DISCOUNT ALLOWED"/>
    <s v="Discount Allowed"/>
    <s v="04/02/22"/>
  </r>
  <r>
    <s v="TXN_2871171"/>
    <s v="CUST_15"/>
    <x v="3"/>
    <x v="142"/>
    <x v="16"/>
    <x v="4"/>
    <n v="102"/>
    <x v="0"/>
    <x v="0"/>
    <x v="292"/>
    <x v="1"/>
    <s v="DISCOUNT ALLOWED"/>
    <s v="discount allowed"/>
    <s v="DISCOUNT ALLOWED"/>
    <s v="Discount Allowed"/>
    <s v="24/10/23"/>
  </r>
  <r>
    <s v="TXN_3739937"/>
    <s v="CUST_02"/>
    <x v="6"/>
    <x v="132"/>
    <x v="16"/>
    <x v="4"/>
    <n v="102"/>
    <x v="2"/>
    <x v="0"/>
    <x v="793"/>
    <x v="1"/>
    <s v="DISCOUNT ALLOWED"/>
    <s v="discount allowed"/>
    <s v="DISCOUNT ALLOWED"/>
    <s v="Discount Allowed"/>
    <s v="01/03/24"/>
  </r>
  <r>
    <s v="TXN_3792534"/>
    <s v="CUST_06"/>
    <x v="7"/>
    <x v="133"/>
    <x v="16"/>
    <x v="4"/>
    <n v="102"/>
    <x v="0"/>
    <x v="0"/>
    <x v="875"/>
    <x v="0"/>
    <s v="DISCOUNT NOT ALLOWED"/>
    <s v="discount not allowed"/>
    <s v="DISCOUNT NOT ALLOWED"/>
    <s v="Discount Not Allowed"/>
    <s v="08/09/23"/>
  </r>
  <r>
    <s v="TXN_4070576"/>
    <s v="CUST_18"/>
    <x v="6"/>
    <x v="132"/>
    <x v="16"/>
    <x v="4"/>
    <n v="102"/>
    <x v="2"/>
    <x v="1"/>
    <x v="365"/>
    <x v="1"/>
    <s v="DISCOUNT ALLOWED"/>
    <s v="discount allowed"/>
    <s v="DISCOUNT ALLOWED"/>
    <s v="Discount Allowed"/>
    <s v="19/03/22"/>
  </r>
  <r>
    <s v="TXN_4098785"/>
    <s v="CUST_16"/>
    <x v="7"/>
    <x v="133"/>
    <x v="16"/>
    <x v="4"/>
    <n v="102"/>
    <x v="0"/>
    <x v="1"/>
    <x v="989"/>
    <x v="0"/>
    <s v="DISCOUNT NOT ALLOWED"/>
    <s v="discount not allowed"/>
    <s v="DISCOUNT NOT ALLOWED"/>
    <s v="Discount Not Allowed"/>
    <s v="09/10/24"/>
  </r>
  <r>
    <s v="TXN_4361393"/>
    <s v="CUST_21"/>
    <x v="7"/>
    <x v="133"/>
    <x v="16"/>
    <x v="4"/>
    <n v="102"/>
    <x v="1"/>
    <x v="0"/>
    <x v="881"/>
    <x v="0"/>
    <s v="DISCOUNT NOT ALLOWED"/>
    <s v="discount not allowed"/>
    <s v="DISCOUNT NOT ALLOWED"/>
    <s v="Discount Not Allowed"/>
    <s v="14/12/24"/>
  </r>
  <r>
    <s v="TXN_4935375"/>
    <s v="CUST_01"/>
    <x v="2"/>
    <x v="131"/>
    <x v="16"/>
    <x v="4"/>
    <n v="102"/>
    <x v="0"/>
    <x v="1"/>
    <x v="1076"/>
    <x v="1"/>
    <s v="DISCOUNT ALLOWED"/>
    <s v="discount allowed"/>
    <s v="DISCOUNT ALLOWED"/>
    <s v="Discount Allowed"/>
    <s v="26/11/24"/>
  </r>
  <r>
    <s v="TXN_5586175"/>
    <s v="CUST_08"/>
    <x v="1"/>
    <x v="129"/>
    <x v="16"/>
    <x v="4"/>
    <n v="102"/>
    <x v="1"/>
    <x v="1"/>
    <x v="1039"/>
    <x v="1"/>
    <s v="DISCOUNT ALLOWED"/>
    <s v="discount allowed"/>
    <s v="DISCOUNT ALLOWED"/>
    <s v="Discount Allowed"/>
    <s v="07/01/23"/>
  </r>
  <r>
    <s v="TXN_5825215"/>
    <s v="CUST_07"/>
    <x v="4"/>
    <x v="130"/>
    <x v="16"/>
    <x v="4"/>
    <n v="102"/>
    <x v="0"/>
    <x v="0"/>
    <x v="183"/>
    <x v="0"/>
    <s v="DISCOUNT NOT ALLOWED"/>
    <s v="discount not allowed"/>
    <s v="DISCOUNT NOT ALLOWED"/>
    <s v="Discount Not Allowed"/>
    <s v="31/12/23"/>
  </r>
  <r>
    <s v="TXN_6417718"/>
    <s v="CUST_12"/>
    <x v="6"/>
    <x v="132"/>
    <x v="16"/>
    <x v="4"/>
    <n v="102"/>
    <x v="1"/>
    <x v="1"/>
    <x v="287"/>
    <x v="0"/>
    <s v="DISCOUNT NOT ALLOWED"/>
    <s v="discount not allowed"/>
    <s v="DISCOUNT NOT ALLOWED"/>
    <s v="Discount Not Allowed"/>
    <s v="22/04/23"/>
  </r>
  <r>
    <s v="TXN_6851800"/>
    <s v="CUST_10"/>
    <x v="2"/>
    <x v="131"/>
    <x v="16"/>
    <x v="4"/>
    <n v="102"/>
    <x v="0"/>
    <x v="1"/>
    <x v="1063"/>
    <x v="0"/>
    <s v="DISCOUNT NOT ALLOWED"/>
    <s v="discount not allowed"/>
    <s v="DISCOUNT NOT ALLOWED"/>
    <s v="Discount Not Allowed"/>
    <s v="13/06/23"/>
  </r>
  <r>
    <s v="TXN_7583955"/>
    <s v="CUST_12"/>
    <x v="4"/>
    <x v="130"/>
    <x v="16"/>
    <x v="4"/>
    <n v="102"/>
    <x v="2"/>
    <x v="1"/>
    <x v="896"/>
    <x v="1"/>
    <s v="DISCOUNT ALLOWED"/>
    <s v="discount allowed"/>
    <s v="DISCOUNT ALLOWED"/>
    <s v="Discount Allowed"/>
    <s v="14/02/22"/>
  </r>
  <r>
    <s v="TXN_7764643"/>
    <s v="CUST_08"/>
    <x v="4"/>
    <x v="130"/>
    <x v="16"/>
    <x v="4"/>
    <n v="102"/>
    <x v="0"/>
    <x v="0"/>
    <x v="1024"/>
    <x v="1"/>
    <s v="DISCOUNT ALLOWED"/>
    <s v="discount allowed"/>
    <s v="DISCOUNT ALLOWED"/>
    <s v="Discount Allowed"/>
    <s v="01/04/24"/>
  </r>
  <r>
    <s v="TXN_8769384"/>
    <s v="CUST_02"/>
    <x v="7"/>
    <x v="133"/>
    <x v="16"/>
    <x v="4"/>
    <n v="102"/>
    <x v="1"/>
    <x v="1"/>
    <x v="685"/>
    <x v="0"/>
    <s v="DISCOUNT NOT ALLOWED"/>
    <s v="discount not allowed"/>
    <s v="DISCOUNT NOT ALLOWED"/>
    <s v="Discount Not Allowed"/>
    <s v="20/07/23"/>
  </r>
  <r>
    <s v="TXN_9944467"/>
    <s v="CUST_17"/>
    <x v="7"/>
    <x v="133"/>
    <x v="16"/>
    <x v="4"/>
    <n v="102"/>
    <x v="1"/>
    <x v="0"/>
    <x v="1077"/>
    <x v="0"/>
    <s v="DISCOUNT NOT ALLOWED"/>
    <s v="discount not allowed"/>
    <s v="DISCOUNT NOT ALLOWED"/>
    <s v="Discount Not Allowed"/>
    <s v="13/03/23"/>
  </r>
  <r>
    <s v="TXN_1366514"/>
    <s v="CUST_18"/>
    <x v="7"/>
    <x v="44"/>
    <x v="5"/>
    <x v="7"/>
    <n v="100.5"/>
    <x v="0"/>
    <x v="1"/>
    <x v="191"/>
    <x v="1"/>
    <s v="DISCOUNT ALLOWED"/>
    <s v="discount allowed"/>
    <s v="DISCOUNT ALLOWED"/>
    <s v="Discount Allowed"/>
    <s v="21/06/24"/>
  </r>
  <r>
    <s v="TXN_1513546"/>
    <s v="CUST_21"/>
    <x v="7"/>
    <x v="44"/>
    <x v="5"/>
    <x v="7"/>
    <n v="100.5"/>
    <x v="1"/>
    <x v="1"/>
    <x v="110"/>
    <x v="1"/>
    <s v="DISCOUNT ALLOWED"/>
    <s v="discount allowed"/>
    <s v="DISCOUNT ALLOWED"/>
    <s v="Discount Allowed"/>
    <s v="27/07/24"/>
  </r>
  <r>
    <s v="TXN_1842699"/>
    <s v="CUST_16"/>
    <x v="5"/>
    <x v="38"/>
    <x v="5"/>
    <x v="7"/>
    <n v="100.5"/>
    <x v="0"/>
    <x v="0"/>
    <x v="805"/>
    <x v="1"/>
    <s v="DISCOUNT ALLOWED"/>
    <s v="discount allowed"/>
    <s v="DISCOUNT ALLOWED"/>
    <s v="Discount Allowed"/>
    <s v="04/06/22"/>
  </r>
  <r>
    <s v="TXN_1940400"/>
    <s v="CUST_04"/>
    <x v="5"/>
    <x v="38"/>
    <x v="5"/>
    <x v="7"/>
    <n v="100.5"/>
    <x v="2"/>
    <x v="1"/>
    <x v="204"/>
    <x v="1"/>
    <s v="DISCOUNT ALLOWED"/>
    <s v="discount allowed"/>
    <s v="DISCOUNT ALLOWED"/>
    <s v="Discount Allowed"/>
    <s v="25/05/23"/>
  </r>
  <r>
    <s v="TXN_2131741"/>
    <s v="CUST_09"/>
    <x v="7"/>
    <x v="44"/>
    <x v="5"/>
    <x v="7"/>
    <n v="100.5"/>
    <x v="0"/>
    <x v="1"/>
    <x v="425"/>
    <x v="0"/>
    <s v="DISCOUNT NOT ALLOWED"/>
    <s v="discount not allowed"/>
    <s v="DISCOUNT NOT ALLOWED"/>
    <s v="Discount Not Allowed"/>
    <s v="12/08/22"/>
  </r>
  <r>
    <s v="TXN_2301934"/>
    <s v="CUST_20"/>
    <x v="4"/>
    <x v="42"/>
    <x v="5"/>
    <x v="7"/>
    <n v="100.5"/>
    <x v="2"/>
    <x v="0"/>
    <x v="689"/>
    <x v="1"/>
    <s v="DISCOUNT ALLOWED"/>
    <s v="discount allowed"/>
    <s v="DISCOUNT ALLOWED"/>
    <s v="Discount Allowed"/>
    <s v="07/09/22"/>
  </r>
  <r>
    <s v="TXN_2582569"/>
    <s v="CUST_13"/>
    <x v="2"/>
    <x v="39"/>
    <x v="5"/>
    <x v="7"/>
    <n v="100.5"/>
    <x v="1"/>
    <x v="1"/>
    <x v="512"/>
    <x v="0"/>
    <s v="DISCOUNT NOT ALLOWED"/>
    <s v="discount not allowed"/>
    <s v="DISCOUNT NOT ALLOWED"/>
    <s v="Discount Not Allowed"/>
    <s v="24/06/22"/>
  </r>
  <r>
    <s v="TXN_2748100"/>
    <s v="CUST_06"/>
    <x v="1"/>
    <x v="37"/>
    <x v="5"/>
    <x v="7"/>
    <n v="100.5"/>
    <x v="1"/>
    <x v="1"/>
    <x v="1001"/>
    <x v="0"/>
    <s v="DISCOUNT NOT ALLOWED"/>
    <s v="discount not allowed"/>
    <s v="DISCOUNT NOT ALLOWED"/>
    <s v="Discount Not Allowed"/>
    <s v="03/05/23"/>
  </r>
  <r>
    <s v="TXN_2988794"/>
    <s v="CUST_12"/>
    <x v="4"/>
    <x v="42"/>
    <x v="5"/>
    <x v="7"/>
    <n v="100.5"/>
    <x v="2"/>
    <x v="1"/>
    <x v="297"/>
    <x v="1"/>
    <s v="DISCOUNT ALLOWED"/>
    <s v="discount allowed"/>
    <s v="DISCOUNT ALLOWED"/>
    <s v="Discount Allowed"/>
    <s v="11/11/24"/>
  </r>
  <r>
    <s v="TXN_3056537"/>
    <s v="CUST_05"/>
    <x v="6"/>
    <x v="43"/>
    <x v="5"/>
    <x v="7"/>
    <n v="100.5"/>
    <x v="0"/>
    <x v="0"/>
    <x v="562"/>
    <x v="1"/>
    <s v="DISCOUNT ALLOWED"/>
    <s v="discount allowed"/>
    <s v="DISCOUNT ALLOWED"/>
    <s v="Discount Allowed"/>
    <s v="06/08/24"/>
  </r>
  <r>
    <s v="TXN_3113419"/>
    <s v="CUST_08"/>
    <x v="4"/>
    <x v="42"/>
    <x v="5"/>
    <x v="7"/>
    <n v="100.5"/>
    <x v="2"/>
    <x v="0"/>
    <x v="534"/>
    <x v="0"/>
    <s v="DISCOUNT NOT ALLOWED"/>
    <s v="discount not allowed"/>
    <s v="DISCOUNT NOT ALLOWED"/>
    <s v="Discount Not Allowed"/>
    <s v="25/02/24"/>
  </r>
  <r>
    <s v="TXN_3201354"/>
    <s v="CUST_13"/>
    <x v="7"/>
    <x v="44"/>
    <x v="5"/>
    <x v="7"/>
    <n v="100.5"/>
    <x v="1"/>
    <x v="1"/>
    <x v="388"/>
    <x v="0"/>
    <s v="DISCOUNT NOT ALLOWED"/>
    <s v="discount not allowed"/>
    <s v="DISCOUNT NOT ALLOWED"/>
    <s v="Discount Not Allowed"/>
    <s v="23/01/23"/>
  </r>
  <r>
    <s v="TXN_3262408"/>
    <s v="CUST_09"/>
    <x v="6"/>
    <x v="43"/>
    <x v="5"/>
    <x v="7"/>
    <n v="100.5"/>
    <x v="1"/>
    <x v="0"/>
    <x v="876"/>
    <x v="1"/>
    <s v="DISCOUNT ALLOWED"/>
    <s v="discount allowed"/>
    <s v="DISCOUNT ALLOWED"/>
    <s v="Discount Allowed"/>
    <s v="17/02/24"/>
  </r>
  <r>
    <s v="TXN_3271903"/>
    <s v="CUST_25"/>
    <x v="4"/>
    <x v="42"/>
    <x v="5"/>
    <x v="7"/>
    <n v="100.5"/>
    <x v="2"/>
    <x v="1"/>
    <x v="909"/>
    <x v="1"/>
    <s v="DISCOUNT ALLOWED"/>
    <s v="discount allowed"/>
    <s v="DISCOUNT ALLOWED"/>
    <s v="Discount Allowed"/>
    <s v="07/03/24"/>
  </r>
  <r>
    <s v="TXN_3408382"/>
    <s v="CUST_21"/>
    <x v="2"/>
    <x v="39"/>
    <x v="5"/>
    <x v="7"/>
    <n v="100.5"/>
    <x v="1"/>
    <x v="1"/>
    <x v="906"/>
    <x v="0"/>
    <s v="DISCOUNT NOT ALLOWED"/>
    <s v="discount not allowed"/>
    <s v="DISCOUNT NOT ALLOWED"/>
    <s v="Discount Not Allowed"/>
    <s v="27/01/22"/>
  </r>
  <r>
    <s v="TXN_3571860"/>
    <s v="CUST_20"/>
    <x v="2"/>
    <x v="39"/>
    <x v="5"/>
    <x v="7"/>
    <n v="100.5"/>
    <x v="1"/>
    <x v="0"/>
    <x v="1078"/>
    <x v="1"/>
    <s v="DISCOUNT ALLOWED"/>
    <s v="discount allowed"/>
    <s v="DISCOUNT ALLOWED"/>
    <s v="Discount Allowed"/>
    <s v="15/01/24"/>
  </r>
  <r>
    <s v="TXN_3845008"/>
    <s v="CUST_16"/>
    <x v="5"/>
    <x v="38"/>
    <x v="5"/>
    <x v="7"/>
    <n v="100.5"/>
    <x v="1"/>
    <x v="0"/>
    <x v="938"/>
    <x v="0"/>
    <s v="DISCOUNT NOT ALLOWED"/>
    <s v="discount not allowed"/>
    <s v="DISCOUNT NOT ALLOWED"/>
    <s v="Discount Not Allowed"/>
    <s v="05/06/24"/>
  </r>
  <r>
    <s v="TXN_3867607"/>
    <s v="CUST_19"/>
    <x v="2"/>
    <x v="39"/>
    <x v="5"/>
    <x v="7"/>
    <n v="100.5"/>
    <x v="2"/>
    <x v="0"/>
    <x v="284"/>
    <x v="1"/>
    <s v="DISCOUNT ALLOWED"/>
    <s v="discount allowed"/>
    <s v="DISCOUNT ALLOWED"/>
    <s v="Discount Allowed"/>
    <s v="10/05/23"/>
  </r>
  <r>
    <s v="TXN_3985056"/>
    <s v="CUST_24"/>
    <x v="6"/>
    <x v="43"/>
    <x v="5"/>
    <x v="7"/>
    <n v="100.5"/>
    <x v="2"/>
    <x v="1"/>
    <x v="280"/>
    <x v="1"/>
    <s v="DISCOUNT ALLOWED"/>
    <s v="discount allowed"/>
    <s v="DISCOUNT ALLOWED"/>
    <s v="Discount Allowed"/>
    <s v="28/06/23"/>
  </r>
  <r>
    <s v="TXN_4357861"/>
    <s v="CUST_22"/>
    <x v="4"/>
    <x v="42"/>
    <x v="5"/>
    <x v="7"/>
    <n v="100.5"/>
    <x v="1"/>
    <x v="1"/>
    <x v="1079"/>
    <x v="0"/>
    <s v="DISCOUNT NOT ALLOWED"/>
    <s v="discount not allowed"/>
    <s v="DISCOUNT NOT ALLOWED"/>
    <s v="Discount Not Allowed"/>
    <s v="15/01/25"/>
  </r>
  <r>
    <s v="TXN_4962457"/>
    <s v="CUST_07"/>
    <x v="3"/>
    <x v="41"/>
    <x v="5"/>
    <x v="7"/>
    <n v="100.5"/>
    <x v="1"/>
    <x v="1"/>
    <x v="932"/>
    <x v="0"/>
    <s v="DISCOUNT NOT ALLOWED"/>
    <s v="discount not allowed"/>
    <s v="DISCOUNT NOT ALLOWED"/>
    <s v="Discount Not Allowed"/>
    <s v="22/04/22"/>
  </r>
  <r>
    <s v="TXN_4974891"/>
    <s v="CUST_07"/>
    <x v="5"/>
    <x v="38"/>
    <x v="5"/>
    <x v="7"/>
    <n v="100.5"/>
    <x v="2"/>
    <x v="0"/>
    <x v="517"/>
    <x v="1"/>
    <s v="DISCOUNT ALLOWED"/>
    <s v="discount allowed"/>
    <s v="DISCOUNT ALLOWED"/>
    <s v="Discount Allowed"/>
    <s v="25/06/23"/>
  </r>
  <r>
    <s v="TXN_5675288"/>
    <s v="CUST_01"/>
    <x v="6"/>
    <x v="43"/>
    <x v="5"/>
    <x v="7"/>
    <n v="100.5"/>
    <x v="2"/>
    <x v="0"/>
    <x v="100"/>
    <x v="1"/>
    <s v="DISCOUNT ALLOWED"/>
    <s v="discount allowed"/>
    <s v="DISCOUNT ALLOWED"/>
    <s v="Discount Allowed"/>
    <s v="18/02/24"/>
  </r>
  <r>
    <s v="TXN_5939495"/>
    <s v="CUST_07"/>
    <x v="5"/>
    <x v="38"/>
    <x v="5"/>
    <x v="7"/>
    <n v="100.5"/>
    <x v="2"/>
    <x v="1"/>
    <x v="428"/>
    <x v="1"/>
    <s v="DISCOUNT ALLOWED"/>
    <s v="discount allowed"/>
    <s v="DISCOUNT ALLOWED"/>
    <s v="Discount Allowed"/>
    <s v="01/05/23"/>
  </r>
  <r>
    <s v="TXN_5987428"/>
    <s v="CUST_08"/>
    <x v="1"/>
    <x v="37"/>
    <x v="5"/>
    <x v="7"/>
    <n v="100.5"/>
    <x v="1"/>
    <x v="1"/>
    <x v="101"/>
    <x v="0"/>
    <s v="DISCOUNT NOT ALLOWED"/>
    <s v="discount not allowed"/>
    <s v="DISCOUNT NOT ALLOWED"/>
    <s v="Discount Not Allowed"/>
    <s v="10/08/24"/>
  </r>
  <r>
    <s v="TXN_6144549"/>
    <s v="CUST_02"/>
    <x v="0"/>
    <x v="40"/>
    <x v="5"/>
    <x v="7"/>
    <n v="100.5"/>
    <x v="0"/>
    <x v="0"/>
    <x v="837"/>
    <x v="0"/>
    <s v="DISCOUNT NOT ALLOWED"/>
    <s v="discount not allowed"/>
    <s v="DISCOUNT NOT ALLOWED"/>
    <s v="Discount Not Allowed"/>
    <s v="04/10/23"/>
  </r>
  <r>
    <s v="TXN_6478003"/>
    <s v="CUST_02"/>
    <x v="7"/>
    <x v="44"/>
    <x v="5"/>
    <x v="7"/>
    <n v="100.5"/>
    <x v="0"/>
    <x v="0"/>
    <x v="1080"/>
    <x v="1"/>
    <s v="DISCOUNT ALLOWED"/>
    <s v="discount allowed"/>
    <s v="DISCOUNT ALLOWED"/>
    <s v="Discount Allowed"/>
    <s v="13/01/25"/>
  </r>
  <r>
    <s v="TXN_6589273"/>
    <s v="CUST_07"/>
    <x v="6"/>
    <x v="43"/>
    <x v="5"/>
    <x v="7"/>
    <n v="100.5"/>
    <x v="2"/>
    <x v="0"/>
    <x v="998"/>
    <x v="1"/>
    <s v="DISCOUNT ALLOWED"/>
    <s v="discount allowed"/>
    <s v="DISCOUNT ALLOWED"/>
    <s v="Discount Allowed"/>
    <s v="25/03/22"/>
  </r>
  <r>
    <s v="TXN_6727532"/>
    <s v="CUST_13"/>
    <x v="2"/>
    <x v="39"/>
    <x v="5"/>
    <x v="7"/>
    <n v="100.5"/>
    <x v="0"/>
    <x v="1"/>
    <x v="922"/>
    <x v="0"/>
    <s v="DISCOUNT NOT ALLOWED"/>
    <s v="discount not allowed"/>
    <s v="DISCOUNT NOT ALLOWED"/>
    <s v="Discount Not Allowed"/>
    <s v="06/02/24"/>
  </r>
  <r>
    <s v="TXN_7086211"/>
    <s v="CUST_11"/>
    <x v="5"/>
    <x v="38"/>
    <x v="5"/>
    <x v="7"/>
    <n v="100.5"/>
    <x v="0"/>
    <x v="1"/>
    <x v="566"/>
    <x v="1"/>
    <s v="DISCOUNT ALLOWED"/>
    <s v="discount allowed"/>
    <s v="DISCOUNT ALLOWED"/>
    <s v="Discount Allowed"/>
    <s v="16/11/24"/>
  </r>
  <r>
    <s v="TXN_7238799"/>
    <s v="CUST_23"/>
    <x v="5"/>
    <x v="38"/>
    <x v="5"/>
    <x v="7"/>
    <n v="100.5"/>
    <x v="1"/>
    <x v="1"/>
    <x v="519"/>
    <x v="0"/>
    <s v="DISCOUNT NOT ALLOWED"/>
    <s v="discount not allowed"/>
    <s v="DISCOUNT NOT ALLOWED"/>
    <s v="Discount Not Allowed"/>
    <s v="08/03/23"/>
  </r>
  <r>
    <s v="TXN_7485369"/>
    <s v="CUST_25"/>
    <x v="2"/>
    <x v="39"/>
    <x v="5"/>
    <x v="7"/>
    <n v="100.5"/>
    <x v="0"/>
    <x v="0"/>
    <x v="9"/>
    <x v="1"/>
    <s v="DISCOUNT ALLOWED"/>
    <s v="discount allowed"/>
    <s v="DISCOUNT ALLOWED"/>
    <s v="Discount Allowed"/>
    <s v="19/06/22"/>
  </r>
  <r>
    <s v="TXN_7752160"/>
    <s v="CUST_24"/>
    <x v="5"/>
    <x v="38"/>
    <x v="5"/>
    <x v="7"/>
    <n v="100.5"/>
    <x v="2"/>
    <x v="0"/>
    <x v="902"/>
    <x v="0"/>
    <s v="DISCOUNT NOT ALLOWED"/>
    <s v="discount not allowed"/>
    <s v="DISCOUNT NOT ALLOWED"/>
    <s v="Discount Not Allowed"/>
    <s v="29/08/24"/>
  </r>
  <r>
    <s v="TXN_7804296"/>
    <s v="CUST_09"/>
    <x v="3"/>
    <x v="41"/>
    <x v="5"/>
    <x v="7"/>
    <n v="100.5"/>
    <x v="1"/>
    <x v="0"/>
    <x v="259"/>
    <x v="0"/>
    <s v="DISCOUNT NOT ALLOWED"/>
    <s v="discount not allowed"/>
    <s v="DISCOUNT NOT ALLOWED"/>
    <s v="Discount Not Allowed"/>
    <s v="11/07/24"/>
  </r>
  <r>
    <s v="TXN_8136862"/>
    <s v="CUST_25"/>
    <x v="3"/>
    <x v="41"/>
    <x v="5"/>
    <x v="7"/>
    <n v="100.5"/>
    <x v="0"/>
    <x v="0"/>
    <x v="762"/>
    <x v="1"/>
    <s v="DISCOUNT ALLOWED"/>
    <s v="discount allowed"/>
    <s v="DISCOUNT ALLOWED"/>
    <s v="Discount Allowed"/>
    <s v="04/05/24"/>
  </r>
  <r>
    <s v="TXN_8335285"/>
    <s v="CUST_02"/>
    <x v="1"/>
    <x v="37"/>
    <x v="5"/>
    <x v="7"/>
    <n v="100.5"/>
    <x v="0"/>
    <x v="1"/>
    <x v="491"/>
    <x v="0"/>
    <s v="DISCOUNT NOT ALLOWED"/>
    <s v="discount not allowed"/>
    <s v="DISCOUNT NOT ALLOWED"/>
    <s v="Discount Not Allowed"/>
    <s v="01/01/23"/>
  </r>
  <r>
    <s v="TXN_8449990"/>
    <s v="CUST_12"/>
    <x v="3"/>
    <x v="41"/>
    <x v="5"/>
    <x v="7"/>
    <n v="100.5"/>
    <x v="0"/>
    <x v="1"/>
    <x v="335"/>
    <x v="1"/>
    <s v="DISCOUNT ALLOWED"/>
    <s v="discount allowed"/>
    <s v="DISCOUNT ALLOWED"/>
    <s v="Discount Allowed"/>
    <s v="02/01/25"/>
  </r>
  <r>
    <s v="TXN_8666705"/>
    <s v="CUST_06"/>
    <x v="4"/>
    <x v="42"/>
    <x v="5"/>
    <x v="7"/>
    <n v="100.5"/>
    <x v="2"/>
    <x v="0"/>
    <x v="680"/>
    <x v="1"/>
    <s v="DISCOUNT ALLOWED"/>
    <s v="discount allowed"/>
    <s v="DISCOUNT ALLOWED"/>
    <s v="Discount Allowed"/>
    <s v="02/03/23"/>
  </r>
  <r>
    <s v="TXN_9030177"/>
    <s v="CUST_14"/>
    <x v="0"/>
    <x v="40"/>
    <x v="5"/>
    <x v="7"/>
    <n v="100.5"/>
    <x v="0"/>
    <x v="1"/>
    <x v="701"/>
    <x v="0"/>
    <s v="DISCOUNT NOT ALLOWED"/>
    <s v="discount not allowed"/>
    <s v="DISCOUNT NOT ALLOWED"/>
    <s v="Discount Not Allowed"/>
    <s v="16/04/23"/>
  </r>
  <r>
    <s v="TXN_9163687"/>
    <s v="CUST_19"/>
    <x v="6"/>
    <x v="43"/>
    <x v="5"/>
    <x v="7"/>
    <n v="100.5"/>
    <x v="0"/>
    <x v="0"/>
    <x v="191"/>
    <x v="0"/>
    <s v="DISCOUNT NOT ALLOWED"/>
    <s v="discount not allowed"/>
    <s v="DISCOUNT NOT ALLOWED"/>
    <s v="Discount Not Allowed"/>
    <s v="21/06/24"/>
  </r>
  <r>
    <s v="TXN_9896056"/>
    <s v="CUST_10"/>
    <x v="5"/>
    <x v="38"/>
    <x v="5"/>
    <x v="7"/>
    <n v="100.5"/>
    <x v="0"/>
    <x v="0"/>
    <x v="426"/>
    <x v="1"/>
    <s v="DISCOUNT ALLOWED"/>
    <s v="discount allowed"/>
    <s v="DISCOUNT ALLOWED"/>
    <s v="Discount Allowed"/>
    <s v="29/12/22"/>
  </r>
  <r>
    <s v="TXN_1028025"/>
    <s v="CUST_05"/>
    <x v="0"/>
    <x v="115"/>
    <x v="14"/>
    <x v="5"/>
    <n v="100"/>
    <x v="0"/>
    <x v="0"/>
    <x v="752"/>
    <x v="0"/>
    <s v="DISCOUNT NOT ALLOWED"/>
    <s v="discount not allowed"/>
    <s v="DISCOUNT NOT ALLOWED"/>
    <s v="Discount Not Allowed"/>
    <s v="18/05/23"/>
  </r>
  <r>
    <s v="TXN_1148392"/>
    <s v="CUST_14"/>
    <x v="6"/>
    <x v="112"/>
    <x v="14"/>
    <x v="5"/>
    <n v="100"/>
    <x v="2"/>
    <x v="0"/>
    <x v="1061"/>
    <x v="0"/>
    <s v="DISCOUNT NOT ALLOWED"/>
    <s v="discount not allowed"/>
    <s v="DISCOUNT NOT ALLOWED"/>
    <s v="Discount Not Allowed"/>
    <s v="05/08/22"/>
  </r>
  <r>
    <s v="TXN_1178538"/>
    <s v="CUST_22"/>
    <x v="0"/>
    <x v="154"/>
    <x v="19"/>
    <x v="2"/>
    <n v="100"/>
    <x v="0"/>
    <x v="0"/>
    <x v="157"/>
    <x v="0"/>
    <s v="DISCOUNT NOT ALLOWED"/>
    <s v="discount not allowed"/>
    <s v="DISCOUNT NOT ALLOWED"/>
    <s v="Discount Not Allowed"/>
    <s v="08/06/22"/>
  </r>
  <r>
    <s v="TXN_1196570"/>
    <s v="CUST_22"/>
    <x v="1"/>
    <x v="156"/>
    <x v="19"/>
    <x v="2"/>
    <n v="100"/>
    <x v="0"/>
    <x v="0"/>
    <x v="738"/>
    <x v="1"/>
    <s v="DISCOUNT ALLOWED"/>
    <s v="discount allowed"/>
    <s v="DISCOUNT ALLOWED"/>
    <s v="Discount Allowed"/>
    <s v="09/02/24"/>
  </r>
  <r>
    <s v="TXN_1257071"/>
    <s v="CUST_12"/>
    <x v="5"/>
    <x v="111"/>
    <x v="14"/>
    <x v="5"/>
    <n v="100"/>
    <x v="0"/>
    <x v="1"/>
    <x v="77"/>
    <x v="1"/>
    <s v="DISCOUNT ALLOWED"/>
    <s v="discount allowed"/>
    <s v="DISCOUNT ALLOWED"/>
    <s v="Discount Allowed"/>
    <s v="29/01/24"/>
  </r>
  <r>
    <s v="TXN_1429617"/>
    <s v="CUST_12"/>
    <x v="0"/>
    <x v="154"/>
    <x v="19"/>
    <x v="2"/>
    <n v="100"/>
    <x v="1"/>
    <x v="1"/>
    <x v="781"/>
    <x v="1"/>
    <s v="DISCOUNT ALLOWED"/>
    <s v="discount allowed"/>
    <s v="DISCOUNT ALLOWED"/>
    <s v="Discount Allowed"/>
    <s v="14/07/22"/>
  </r>
  <r>
    <s v="TXN_1453676"/>
    <s v="CUST_16"/>
    <x v="6"/>
    <x v="152"/>
    <x v="19"/>
    <x v="2"/>
    <n v="100"/>
    <x v="0"/>
    <x v="1"/>
    <x v="199"/>
    <x v="1"/>
    <s v="DISCOUNT ALLOWED"/>
    <s v="discount allowed"/>
    <s v="DISCOUNT ALLOWED"/>
    <s v="Discount Allowed"/>
    <s v="27/12/24"/>
  </r>
  <r>
    <s v="TXN_1515270"/>
    <s v="CUST_19"/>
    <x v="3"/>
    <x v="157"/>
    <x v="19"/>
    <x v="2"/>
    <n v="100"/>
    <x v="1"/>
    <x v="1"/>
    <x v="362"/>
    <x v="1"/>
    <s v="DISCOUNT ALLOWED"/>
    <s v="discount allowed"/>
    <s v="DISCOUNT ALLOWED"/>
    <s v="Discount Allowed"/>
    <s v="10/03/23"/>
  </r>
  <r>
    <s v="TXN_1541024"/>
    <s v="CUST_22"/>
    <x v="1"/>
    <x v="114"/>
    <x v="14"/>
    <x v="5"/>
    <n v="100"/>
    <x v="2"/>
    <x v="1"/>
    <x v="736"/>
    <x v="1"/>
    <s v="DISCOUNT ALLOWED"/>
    <s v="discount allowed"/>
    <s v="DISCOUNT ALLOWED"/>
    <s v="Discount Allowed"/>
    <s v="13/05/24"/>
  </r>
  <r>
    <s v="TXN_1725454"/>
    <s v="CUST_07"/>
    <x v="5"/>
    <x v="159"/>
    <x v="19"/>
    <x v="2"/>
    <n v="100"/>
    <x v="2"/>
    <x v="0"/>
    <x v="288"/>
    <x v="0"/>
    <s v="DISCOUNT NOT ALLOWED"/>
    <s v="discount not allowed"/>
    <s v="DISCOUNT NOT ALLOWED"/>
    <s v="Discount Not Allowed"/>
    <s v="15/11/23"/>
  </r>
  <r>
    <s v="TXN_1810111"/>
    <s v="CUST_16"/>
    <x v="0"/>
    <x v="115"/>
    <x v="14"/>
    <x v="5"/>
    <n v="100"/>
    <x v="0"/>
    <x v="1"/>
    <x v="381"/>
    <x v="0"/>
    <s v="DISCOUNT NOT ALLOWED"/>
    <s v="discount not allowed"/>
    <s v="DISCOUNT NOT ALLOWED"/>
    <s v="Discount Not Allowed"/>
    <s v="06/03/22"/>
  </r>
  <r>
    <s v="TXN_1826818"/>
    <s v="CUST_12"/>
    <x v="7"/>
    <x v="110"/>
    <x v="14"/>
    <x v="5"/>
    <n v="100"/>
    <x v="2"/>
    <x v="1"/>
    <x v="78"/>
    <x v="1"/>
    <s v="DISCOUNT ALLOWED"/>
    <s v="discount allowed"/>
    <s v="DISCOUNT ALLOWED"/>
    <s v="Discount Allowed"/>
    <s v="04/07/24"/>
  </r>
  <r>
    <s v="TXN_2417746"/>
    <s v="CUST_11"/>
    <x v="0"/>
    <x v="115"/>
    <x v="14"/>
    <x v="5"/>
    <n v="100"/>
    <x v="0"/>
    <x v="0"/>
    <x v="472"/>
    <x v="1"/>
    <s v="DISCOUNT ALLOWED"/>
    <s v="discount allowed"/>
    <s v="DISCOUNT ALLOWED"/>
    <s v="Discount Allowed"/>
    <s v="29/10/23"/>
  </r>
  <r>
    <s v="TXN_2917453"/>
    <s v="CUST_18"/>
    <x v="0"/>
    <x v="154"/>
    <x v="19"/>
    <x v="2"/>
    <n v="100"/>
    <x v="1"/>
    <x v="0"/>
    <x v="89"/>
    <x v="1"/>
    <s v="DISCOUNT ALLOWED"/>
    <s v="discount allowed"/>
    <s v="DISCOUNT ALLOWED"/>
    <s v="Discount Allowed"/>
    <s v="14/01/22"/>
  </r>
  <r>
    <s v="TXN_3009822"/>
    <s v="CUST_20"/>
    <x v="7"/>
    <x v="110"/>
    <x v="14"/>
    <x v="5"/>
    <n v="100"/>
    <x v="1"/>
    <x v="1"/>
    <x v="693"/>
    <x v="0"/>
    <s v="DISCOUNT NOT ALLOWED"/>
    <s v="discount not allowed"/>
    <s v="DISCOUNT NOT ALLOWED"/>
    <s v="Discount Not Allowed"/>
    <s v="07/05/24"/>
  </r>
  <r>
    <s v="TXN_3369620"/>
    <s v="CUST_20"/>
    <x v="6"/>
    <x v="112"/>
    <x v="14"/>
    <x v="5"/>
    <n v="100"/>
    <x v="2"/>
    <x v="0"/>
    <x v="45"/>
    <x v="0"/>
    <s v="DISCOUNT NOT ALLOWED"/>
    <s v="discount not allowed"/>
    <s v="DISCOUNT NOT ALLOWED"/>
    <s v="Discount Not Allowed"/>
    <s v="01/10/24"/>
  </r>
  <r>
    <s v="TXN_3758134"/>
    <s v="CUST_16"/>
    <x v="7"/>
    <x v="110"/>
    <x v="14"/>
    <x v="5"/>
    <n v="100"/>
    <x v="1"/>
    <x v="0"/>
    <x v="636"/>
    <x v="0"/>
    <s v="DISCOUNT NOT ALLOWED"/>
    <s v="discount not allowed"/>
    <s v="DISCOUNT NOT ALLOWED"/>
    <s v="Discount Not Allowed"/>
    <s v="21/09/22"/>
  </r>
  <r>
    <s v="TXN_4214359"/>
    <s v="CUST_01"/>
    <x v="0"/>
    <x v="115"/>
    <x v="14"/>
    <x v="5"/>
    <n v="100"/>
    <x v="2"/>
    <x v="0"/>
    <x v="819"/>
    <x v="0"/>
    <s v="DISCOUNT NOT ALLOWED"/>
    <s v="discount not allowed"/>
    <s v="DISCOUNT NOT ALLOWED"/>
    <s v="Discount Not Allowed"/>
    <s v="11/07/23"/>
  </r>
  <r>
    <s v="TXN_4353295"/>
    <s v="CUST_22"/>
    <x v="7"/>
    <x v="153"/>
    <x v="19"/>
    <x v="2"/>
    <n v="100"/>
    <x v="2"/>
    <x v="0"/>
    <x v="587"/>
    <x v="1"/>
    <s v="DISCOUNT ALLOWED"/>
    <s v="discount allowed"/>
    <s v="DISCOUNT ALLOWED"/>
    <s v="Discount Allowed"/>
    <s v="05/04/22"/>
  </r>
  <r>
    <s v="TXN_4356714"/>
    <s v="CUST_23"/>
    <x v="6"/>
    <x v="152"/>
    <x v="19"/>
    <x v="2"/>
    <n v="100"/>
    <x v="1"/>
    <x v="0"/>
    <x v="137"/>
    <x v="1"/>
    <s v="DISCOUNT ALLOWED"/>
    <s v="discount allowed"/>
    <s v="DISCOUNT ALLOWED"/>
    <s v="Discount Allowed"/>
    <s v="24/11/23"/>
  </r>
  <r>
    <s v="TXN_4677266"/>
    <s v="CUST_19"/>
    <x v="4"/>
    <x v="155"/>
    <x v="19"/>
    <x v="2"/>
    <n v="100"/>
    <x v="1"/>
    <x v="1"/>
    <x v="420"/>
    <x v="1"/>
    <s v="DISCOUNT ALLOWED"/>
    <s v="discount allowed"/>
    <s v="DISCOUNT ALLOWED"/>
    <s v="Discount Allowed"/>
    <s v="28/09/24"/>
  </r>
  <r>
    <s v="TXN_4705123"/>
    <s v="CUST_14"/>
    <x v="7"/>
    <x v="110"/>
    <x v="14"/>
    <x v="5"/>
    <n v="100"/>
    <x v="0"/>
    <x v="0"/>
    <x v="224"/>
    <x v="0"/>
    <s v="DISCOUNT NOT ALLOWED"/>
    <s v="discount not allowed"/>
    <s v="DISCOUNT NOT ALLOWED"/>
    <s v="Discount Not Allowed"/>
    <s v="10/06/23"/>
  </r>
  <r>
    <s v="TXN_4781872"/>
    <s v="CUST_22"/>
    <x v="4"/>
    <x v="155"/>
    <x v="19"/>
    <x v="2"/>
    <n v="100"/>
    <x v="0"/>
    <x v="0"/>
    <x v="914"/>
    <x v="1"/>
    <s v="DISCOUNT ALLOWED"/>
    <s v="discount allowed"/>
    <s v="DISCOUNT ALLOWED"/>
    <s v="Discount Allowed"/>
    <s v="16/12/23"/>
  </r>
  <r>
    <s v="TXN_4902630"/>
    <s v="CUST_23"/>
    <x v="5"/>
    <x v="159"/>
    <x v="19"/>
    <x v="2"/>
    <n v="100"/>
    <x v="1"/>
    <x v="1"/>
    <x v="427"/>
    <x v="0"/>
    <s v="DISCOUNT NOT ALLOWED"/>
    <s v="discount not allowed"/>
    <s v="DISCOUNT NOT ALLOWED"/>
    <s v="Discount Not Allowed"/>
    <s v="20/02/22"/>
  </r>
  <r>
    <s v="TXN_4952456"/>
    <s v="CUST_10"/>
    <x v="0"/>
    <x v="154"/>
    <x v="19"/>
    <x v="2"/>
    <n v="100"/>
    <x v="1"/>
    <x v="1"/>
    <x v="645"/>
    <x v="0"/>
    <s v="DISCOUNT NOT ALLOWED"/>
    <s v="discount not allowed"/>
    <s v="DISCOUNT NOT ALLOWED"/>
    <s v="Discount Not Allowed"/>
    <s v="24/07/23"/>
  </r>
  <r>
    <s v="TXN_4989812"/>
    <s v="CUST_17"/>
    <x v="0"/>
    <x v="154"/>
    <x v="19"/>
    <x v="2"/>
    <n v="100"/>
    <x v="2"/>
    <x v="0"/>
    <x v="754"/>
    <x v="0"/>
    <s v="DISCOUNT NOT ALLOWED"/>
    <s v="discount not allowed"/>
    <s v="DISCOUNT NOT ALLOWED"/>
    <s v="Discount Not Allowed"/>
    <s v="26/12/23"/>
  </r>
  <r>
    <s v="TXN_5193663"/>
    <s v="CUST_07"/>
    <x v="7"/>
    <x v="110"/>
    <x v="14"/>
    <x v="5"/>
    <n v="100"/>
    <x v="0"/>
    <x v="0"/>
    <x v="1023"/>
    <x v="0"/>
    <s v="DISCOUNT NOT ALLOWED"/>
    <s v="discount not allowed"/>
    <s v="DISCOUNT NOT ALLOWED"/>
    <s v="Discount Not Allowed"/>
    <s v="11/02/24"/>
  </r>
  <r>
    <s v="TXN_5263251"/>
    <s v="CUST_14"/>
    <x v="7"/>
    <x v="110"/>
    <x v="14"/>
    <x v="5"/>
    <n v="100"/>
    <x v="0"/>
    <x v="1"/>
    <x v="1017"/>
    <x v="0"/>
    <s v="DISCOUNT NOT ALLOWED"/>
    <s v="discount not allowed"/>
    <s v="DISCOUNT NOT ALLOWED"/>
    <s v="Discount Not Allowed"/>
    <s v="26/02/24"/>
  </r>
  <r>
    <s v="TXN_5298533"/>
    <s v="CUST_03"/>
    <x v="4"/>
    <x v="155"/>
    <x v="19"/>
    <x v="2"/>
    <n v="100"/>
    <x v="1"/>
    <x v="0"/>
    <x v="137"/>
    <x v="1"/>
    <s v="DISCOUNT ALLOWED"/>
    <s v="discount allowed"/>
    <s v="DISCOUNT ALLOWED"/>
    <s v="Discount Allowed"/>
    <s v="24/11/23"/>
  </r>
  <r>
    <s v="TXN_5396093"/>
    <s v="CUST_18"/>
    <x v="5"/>
    <x v="159"/>
    <x v="19"/>
    <x v="2"/>
    <n v="100"/>
    <x v="1"/>
    <x v="0"/>
    <x v="570"/>
    <x v="0"/>
    <s v="DISCOUNT NOT ALLOWED"/>
    <s v="discount not allowed"/>
    <s v="DISCOUNT NOT ALLOWED"/>
    <s v="Discount Not Allowed"/>
    <s v="03/01/25"/>
  </r>
  <r>
    <s v="TXN_5615619"/>
    <s v="CUST_09"/>
    <x v="7"/>
    <x v="153"/>
    <x v="19"/>
    <x v="2"/>
    <n v="100"/>
    <x v="1"/>
    <x v="0"/>
    <x v="1025"/>
    <x v="1"/>
    <s v="DISCOUNT ALLOWED"/>
    <s v="discount allowed"/>
    <s v="DISCOUNT ALLOWED"/>
    <s v="Discount Allowed"/>
    <s v="06/05/23"/>
  </r>
  <r>
    <s v="TXN_5686495"/>
    <s v="CUST_20"/>
    <x v="7"/>
    <x v="110"/>
    <x v="14"/>
    <x v="5"/>
    <n v="100"/>
    <x v="0"/>
    <x v="1"/>
    <x v="375"/>
    <x v="0"/>
    <s v="DISCOUNT NOT ALLOWED"/>
    <s v="discount not allowed"/>
    <s v="DISCOUNT NOT ALLOWED"/>
    <s v="Discount Not Allowed"/>
    <s v="02/07/22"/>
  </r>
  <r>
    <s v="TXN_5705847"/>
    <s v="CUST_01"/>
    <x v="6"/>
    <x v="152"/>
    <x v="19"/>
    <x v="2"/>
    <n v="100"/>
    <x v="0"/>
    <x v="0"/>
    <x v="956"/>
    <x v="0"/>
    <s v="DISCOUNT NOT ALLOWED"/>
    <s v="discount not allowed"/>
    <s v="DISCOUNT NOT ALLOWED"/>
    <s v="Discount Not Allowed"/>
    <s v="28/12/22"/>
  </r>
  <r>
    <s v="TXN_5843541"/>
    <s v="CUST_10"/>
    <x v="7"/>
    <x v="153"/>
    <x v="19"/>
    <x v="2"/>
    <n v="100"/>
    <x v="2"/>
    <x v="1"/>
    <x v="768"/>
    <x v="0"/>
    <s v="DISCOUNT NOT ALLOWED"/>
    <s v="discount not allowed"/>
    <s v="DISCOUNT NOT ALLOWED"/>
    <s v="Discount Not Allowed"/>
    <s v="04/12/23"/>
  </r>
  <r>
    <s v="TXN_6012730"/>
    <s v="CUST_21"/>
    <x v="5"/>
    <x v="111"/>
    <x v="14"/>
    <x v="5"/>
    <n v="100"/>
    <x v="0"/>
    <x v="1"/>
    <x v="821"/>
    <x v="0"/>
    <s v="DISCOUNT NOT ALLOWED"/>
    <s v="discount not allowed"/>
    <s v="DISCOUNT NOT ALLOWED"/>
    <s v="Discount Not Allowed"/>
    <s v="14/05/22"/>
  </r>
  <r>
    <s v="TXN_6022574"/>
    <s v="CUST_12"/>
    <x v="5"/>
    <x v="111"/>
    <x v="14"/>
    <x v="5"/>
    <n v="100"/>
    <x v="2"/>
    <x v="1"/>
    <x v="1054"/>
    <x v="0"/>
    <s v="DISCOUNT NOT ALLOWED"/>
    <s v="discount not allowed"/>
    <s v="DISCOUNT NOT ALLOWED"/>
    <s v="Discount Not Allowed"/>
    <s v="24/06/23"/>
  </r>
  <r>
    <s v="TXN_6272881"/>
    <s v="CUST_01"/>
    <x v="5"/>
    <x v="159"/>
    <x v="19"/>
    <x v="2"/>
    <n v="100"/>
    <x v="0"/>
    <x v="0"/>
    <x v="268"/>
    <x v="0"/>
    <s v="DISCOUNT NOT ALLOWED"/>
    <s v="discount not allowed"/>
    <s v="DISCOUNT NOT ALLOWED"/>
    <s v="Discount Not Allowed"/>
    <s v="29/04/22"/>
  </r>
  <r>
    <s v="TXN_6615723"/>
    <s v="CUST_22"/>
    <x v="0"/>
    <x v="154"/>
    <x v="19"/>
    <x v="2"/>
    <n v="100"/>
    <x v="0"/>
    <x v="0"/>
    <x v="228"/>
    <x v="0"/>
    <s v="DISCOUNT NOT ALLOWED"/>
    <s v="discount not allowed"/>
    <s v="DISCOUNT NOT ALLOWED"/>
    <s v="Discount Not Allowed"/>
    <s v="27/02/22"/>
  </r>
  <r>
    <s v="TXN_6867742"/>
    <s v="CUST_04"/>
    <x v="2"/>
    <x v="113"/>
    <x v="14"/>
    <x v="5"/>
    <n v="100"/>
    <x v="1"/>
    <x v="0"/>
    <x v="524"/>
    <x v="1"/>
    <s v="DISCOUNT ALLOWED"/>
    <s v="discount allowed"/>
    <s v="DISCOUNT ALLOWED"/>
    <s v="Discount Allowed"/>
    <s v="05/01/24"/>
  </r>
  <r>
    <s v="TXN_6898807"/>
    <s v="CUST_25"/>
    <x v="1"/>
    <x v="114"/>
    <x v="14"/>
    <x v="5"/>
    <n v="100"/>
    <x v="2"/>
    <x v="0"/>
    <x v="504"/>
    <x v="1"/>
    <s v="DISCOUNT ALLOWED"/>
    <s v="discount allowed"/>
    <s v="DISCOUNT ALLOWED"/>
    <s v="Discount Allowed"/>
    <s v="12/02/22"/>
  </r>
  <r>
    <s v="TXN_7345416"/>
    <s v="CUST_05"/>
    <x v="0"/>
    <x v="115"/>
    <x v="14"/>
    <x v="5"/>
    <n v="100"/>
    <x v="1"/>
    <x v="0"/>
    <x v="534"/>
    <x v="1"/>
    <s v="DISCOUNT ALLOWED"/>
    <s v="discount allowed"/>
    <s v="DISCOUNT ALLOWED"/>
    <s v="Discount Allowed"/>
    <s v="25/02/24"/>
  </r>
  <r>
    <s v="TXN_7369318"/>
    <s v="CUST_01"/>
    <x v="1"/>
    <x v="114"/>
    <x v="14"/>
    <x v="5"/>
    <n v="100"/>
    <x v="2"/>
    <x v="0"/>
    <x v="214"/>
    <x v="0"/>
    <s v="DISCOUNT NOT ALLOWED"/>
    <s v="discount not allowed"/>
    <s v="DISCOUNT NOT ALLOWED"/>
    <s v="Discount Not Allowed"/>
    <s v="18/01/25"/>
  </r>
  <r>
    <s v="TXN_7426761"/>
    <s v="CUST_16"/>
    <x v="4"/>
    <x v="155"/>
    <x v="19"/>
    <x v="2"/>
    <n v="100"/>
    <x v="2"/>
    <x v="0"/>
    <x v="520"/>
    <x v="0"/>
    <s v="DISCOUNT NOT ALLOWED"/>
    <s v="discount not allowed"/>
    <s v="DISCOUNT NOT ALLOWED"/>
    <s v="Discount Not Allowed"/>
    <s v="08/08/22"/>
  </r>
  <r>
    <s v="TXN_7548261"/>
    <s v="CUST_08"/>
    <x v="0"/>
    <x v="154"/>
    <x v="19"/>
    <x v="2"/>
    <n v="100"/>
    <x v="0"/>
    <x v="1"/>
    <x v="40"/>
    <x v="1"/>
    <s v="DISCOUNT ALLOWED"/>
    <s v="discount allowed"/>
    <s v="DISCOUNT ALLOWED"/>
    <s v="Discount Allowed"/>
    <s v="24/08/22"/>
  </r>
  <r>
    <s v="TXN_7649427"/>
    <s v="CUST_10"/>
    <x v="0"/>
    <x v="115"/>
    <x v="14"/>
    <x v="5"/>
    <n v="100"/>
    <x v="0"/>
    <x v="0"/>
    <x v="810"/>
    <x v="0"/>
    <s v="DISCOUNT NOT ALLOWED"/>
    <s v="discount not allowed"/>
    <s v="DISCOUNT NOT ALLOWED"/>
    <s v="Discount Not Allowed"/>
    <s v="16/11/23"/>
  </r>
  <r>
    <s v="TXN_7669237"/>
    <s v="CUST_22"/>
    <x v="4"/>
    <x v="109"/>
    <x v="14"/>
    <x v="5"/>
    <n v="100"/>
    <x v="2"/>
    <x v="0"/>
    <x v="229"/>
    <x v="0"/>
    <s v="DISCOUNT NOT ALLOWED"/>
    <s v="discount not allowed"/>
    <s v="DISCOUNT NOT ALLOWED"/>
    <s v="Discount Not Allowed"/>
    <s v="16/03/24"/>
  </r>
  <r>
    <s v="TXN_7810642"/>
    <s v="CUST_12"/>
    <x v="1"/>
    <x v="156"/>
    <x v="19"/>
    <x v="2"/>
    <n v="100"/>
    <x v="2"/>
    <x v="0"/>
    <x v="688"/>
    <x v="0"/>
    <s v="DISCOUNT NOT ALLOWED"/>
    <s v="discount not allowed"/>
    <s v="DISCOUNT NOT ALLOWED"/>
    <s v="Discount Not Allowed"/>
    <s v="04/03/24"/>
  </r>
  <r>
    <s v="TXN_7904844"/>
    <s v="CUST_25"/>
    <x v="1"/>
    <x v="114"/>
    <x v="14"/>
    <x v="5"/>
    <n v="100"/>
    <x v="0"/>
    <x v="0"/>
    <x v="195"/>
    <x v="0"/>
    <s v="DISCOUNT NOT ALLOWED"/>
    <s v="discount not allowed"/>
    <s v="DISCOUNT NOT ALLOWED"/>
    <s v="Discount Not Allowed"/>
    <s v="01/07/22"/>
  </r>
  <r>
    <s v="TXN_8155874"/>
    <s v="CUST_08"/>
    <x v="5"/>
    <x v="111"/>
    <x v="14"/>
    <x v="5"/>
    <n v="100"/>
    <x v="0"/>
    <x v="1"/>
    <x v="135"/>
    <x v="0"/>
    <s v="DISCOUNT NOT ALLOWED"/>
    <s v="discount not allowed"/>
    <s v="DISCOUNT NOT ALLOWED"/>
    <s v="Discount Not Allowed"/>
    <s v="03/04/24"/>
  </r>
  <r>
    <s v="TXN_8162077"/>
    <s v="CUST_10"/>
    <x v="0"/>
    <x v="115"/>
    <x v="14"/>
    <x v="5"/>
    <n v="100"/>
    <x v="1"/>
    <x v="1"/>
    <x v="86"/>
    <x v="1"/>
    <s v="DISCOUNT ALLOWED"/>
    <s v="discount allowed"/>
    <s v="DISCOUNT ALLOWED"/>
    <s v="Discount Allowed"/>
    <s v="30/04/23"/>
  </r>
  <r>
    <s v="TXN_8172094"/>
    <s v="CUST_21"/>
    <x v="7"/>
    <x v="153"/>
    <x v="19"/>
    <x v="2"/>
    <n v="100"/>
    <x v="0"/>
    <x v="1"/>
    <x v="340"/>
    <x v="0"/>
    <s v="DISCOUNT NOT ALLOWED"/>
    <s v="discount not allowed"/>
    <s v="DISCOUNT NOT ALLOWED"/>
    <s v="Discount Not Allowed"/>
    <s v="05/03/22"/>
  </r>
  <r>
    <s v="TXN_8250681"/>
    <s v="CUST_20"/>
    <x v="2"/>
    <x v="113"/>
    <x v="14"/>
    <x v="5"/>
    <n v="100"/>
    <x v="1"/>
    <x v="0"/>
    <x v="909"/>
    <x v="0"/>
    <s v="DISCOUNT NOT ALLOWED"/>
    <s v="discount not allowed"/>
    <s v="DISCOUNT NOT ALLOWED"/>
    <s v="Discount Not Allowed"/>
    <s v="07/03/24"/>
  </r>
  <r>
    <s v="TXN_8381171"/>
    <s v="CUST_03"/>
    <x v="4"/>
    <x v="155"/>
    <x v="19"/>
    <x v="2"/>
    <n v="100"/>
    <x v="1"/>
    <x v="1"/>
    <x v="1057"/>
    <x v="1"/>
    <s v="DISCOUNT ALLOWED"/>
    <s v="discount allowed"/>
    <s v="DISCOUNT ALLOWED"/>
    <s v="Discount Allowed"/>
    <s v="19/03/23"/>
  </r>
  <r>
    <s v="TXN_8655450"/>
    <s v="CUST_15"/>
    <x v="7"/>
    <x v="110"/>
    <x v="14"/>
    <x v="5"/>
    <n v="100"/>
    <x v="1"/>
    <x v="0"/>
    <x v="889"/>
    <x v="1"/>
    <s v="DISCOUNT ALLOWED"/>
    <s v="discount allowed"/>
    <s v="DISCOUNT ALLOWED"/>
    <s v="Discount Allowed"/>
    <s v="10/10/24"/>
  </r>
  <r>
    <s v="TXN_8789567"/>
    <s v="CUST_21"/>
    <x v="5"/>
    <x v="159"/>
    <x v="19"/>
    <x v="2"/>
    <n v="100"/>
    <x v="1"/>
    <x v="1"/>
    <x v="21"/>
    <x v="0"/>
    <s v="DISCOUNT NOT ALLOWED"/>
    <s v="discount not allowed"/>
    <s v="DISCOUNT NOT ALLOWED"/>
    <s v="Discount Not Allowed"/>
    <s v="20/05/23"/>
  </r>
  <r>
    <s v="TXN_8810062"/>
    <s v="CUST_07"/>
    <x v="5"/>
    <x v="159"/>
    <x v="19"/>
    <x v="2"/>
    <n v="100"/>
    <x v="0"/>
    <x v="1"/>
    <x v="889"/>
    <x v="0"/>
    <s v="DISCOUNT NOT ALLOWED"/>
    <s v="discount not allowed"/>
    <s v="DISCOUNT NOT ALLOWED"/>
    <s v="Discount Not Allowed"/>
    <s v="10/10/24"/>
  </r>
  <r>
    <s v="TXN_8886498"/>
    <s v="CUST_16"/>
    <x v="5"/>
    <x v="111"/>
    <x v="14"/>
    <x v="5"/>
    <n v="100"/>
    <x v="0"/>
    <x v="0"/>
    <x v="1081"/>
    <x v="0"/>
    <s v="DISCOUNT NOT ALLOWED"/>
    <s v="discount not allowed"/>
    <s v="DISCOUNT NOT ALLOWED"/>
    <s v="Discount Not Allowed"/>
    <s v="15/08/23"/>
  </r>
  <r>
    <s v="TXN_9518640"/>
    <s v="CUST_06"/>
    <x v="6"/>
    <x v="152"/>
    <x v="19"/>
    <x v="2"/>
    <n v="100"/>
    <x v="1"/>
    <x v="1"/>
    <x v="20"/>
    <x v="0"/>
    <s v="DISCOUNT NOT ALLOWED"/>
    <s v="discount not allowed"/>
    <s v="DISCOUNT NOT ALLOWED"/>
    <s v="Discount Not Allowed"/>
    <s v="24/12/24"/>
  </r>
  <r>
    <s v="TXN_9675873"/>
    <s v="CUST_18"/>
    <x v="2"/>
    <x v="158"/>
    <x v="19"/>
    <x v="2"/>
    <n v="100"/>
    <x v="2"/>
    <x v="0"/>
    <x v="26"/>
    <x v="1"/>
    <s v="DISCOUNT ALLOWED"/>
    <s v="discount allowed"/>
    <s v="DISCOUNT ALLOWED"/>
    <s v="Discount Allowed"/>
    <s v="31/12/24"/>
  </r>
  <r>
    <s v="TXN_9742543"/>
    <s v="CUST_09"/>
    <x v="7"/>
    <x v="110"/>
    <x v="14"/>
    <x v="5"/>
    <n v="100"/>
    <x v="2"/>
    <x v="0"/>
    <x v="505"/>
    <x v="1"/>
    <s v="DISCOUNT ALLOWED"/>
    <s v="discount allowed"/>
    <s v="DISCOUNT ALLOWED"/>
    <s v="Discount Allowed"/>
    <s v="13/04/24"/>
  </r>
  <r>
    <s v="TXN_9978020"/>
    <s v="CUST_15"/>
    <x v="3"/>
    <x v="126"/>
    <x v="14"/>
    <x v="5"/>
    <n v="100"/>
    <x v="0"/>
    <x v="1"/>
    <x v="732"/>
    <x v="0"/>
    <s v="DISCOUNT NOT ALLOWED"/>
    <s v="discount not allowed"/>
    <s v="DISCOUNT NOT ALLOWED"/>
    <s v="Discount Not Allowed"/>
    <s v="17/08/24"/>
  </r>
  <r>
    <s v="TXN_1003940"/>
    <s v="CUST_06"/>
    <x v="2"/>
    <x v="161"/>
    <x v="20"/>
    <x v="1"/>
    <n v="99"/>
    <x v="0"/>
    <x v="0"/>
    <x v="932"/>
    <x v="0"/>
    <s v="DISCOUNT NOT ALLOWED"/>
    <s v="discount not allowed"/>
    <s v="DISCOUNT NOT ALLOWED"/>
    <s v="Discount Not Allowed"/>
    <s v="22/04/22"/>
  </r>
  <r>
    <s v="TXN_1123016"/>
    <s v="CUST_14"/>
    <x v="6"/>
    <x v="162"/>
    <x v="20"/>
    <x v="1"/>
    <n v="99"/>
    <x v="0"/>
    <x v="0"/>
    <x v="163"/>
    <x v="1"/>
    <s v="DISCOUNT ALLOWED"/>
    <s v="discount allowed"/>
    <s v="DISCOUNT ALLOWED"/>
    <s v="Discount Allowed"/>
    <s v="21/07/22"/>
  </r>
  <r>
    <s v="TXN_1451533"/>
    <s v="CUST_07"/>
    <x v="6"/>
    <x v="162"/>
    <x v="20"/>
    <x v="1"/>
    <n v="99"/>
    <x v="0"/>
    <x v="0"/>
    <x v="565"/>
    <x v="0"/>
    <s v="DISCOUNT NOT ALLOWED"/>
    <s v="discount not allowed"/>
    <s v="DISCOUNT NOT ALLOWED"/>
    <s v="Discount Not Allowed"/>
    <s v="15/02/23"/>
  </r>
  <r>
    <s v="TXN_1702935"/>
    <s v="CUST_04"/>
    <x v="5"/>
    <x v="160"/>
    <x v="20"/>
    <x v="1"/>
    <n v="99"/>
    <x v="1"/>
    <x v="1"/>
    <x v="153"/>
    <x v="0"/>
    <s v="DISCOUNT NOT ALLOWED"/>
    <s v="discount not allowed"/>
    <s v="DISCOUNT NOT ALLOWED"/>
    <s v="Discount Not Allowed"/>
    <s v="28/05/23"/>
  </r>
  <r>
    <s v="TXN_1870890"/>
    <s v="CUST_13"/>
    <x v="5"/>
    <x v="160"/>
    <x v="20"/>
    <x v="1"/>
    <n v="99"/>
    <x v="1"/>
    <x v="0"/>
    <x v="63"/>
    <x v="0"/>
    <s v="DISCOUNT NOT ALLOWED"/>
    <s v="discount not allowed"/>
    <s v="DISCOUNT NOT ALLOWED"/>
    <s v="Discount Not Allowed"/>
    <s v="02/04/24"/>
  </r>
  <r>
    <s v="TXN_2060935"/>
    <s v="CUST_14"/>
    <x v="5"/>
    <x v="160"/>
    <x v="20"/>
    <x v="1"/>
    <n v="99"/>
    <x v="0"/>
    <x v="1"/>
    <x v="761"/>
    <x v="1"/>
    <s v="DISCOUNT ALLOWED"/>
    <s v="discount allowed"/>
    <s v="DISCOUNT ALLOWED"/>
    <s v="Discount Allowed"/>
    <s v="08/07/23"/>
  </r>
  <r>
    <s v="TXN_2121764"/>
    <s v="CUST_16"/>
    <x v="6"/>
    <x v="162"/>
    <x v="20"/>
    <x v="1"/>
    <n v="99"/>
    <x v="1"/>
    <x v="0"/>
    <x v="896"/>
    <x v="0"/>
    <s v="DISCOUNT NOT ALLOWED"/>
    <s v="discount not allowed"/>
    <s v="DISCOUNT NOT ALLOWED"/>
    <s v="Discount Not Allowed"/>
    <s v="14/02/22"/>
  </r>
  <r>
    <s v="TXN_2365443"/>
    <s v="CUST_07"/>
    <x v="4"/>
    <x v="163"/>
    <x v="20"/>
    <x v="1"/>
    <n v="99"/>
    <x v="0"/>
    <x v="1"/>
    <x v="72"/>
    <x v="0"/>
    <s v="DISCOUNT NOT ALLOWED"/>
    <s v="discount not allowed"/>
    <s v="DISCOUNT NOT ALLOWED"/>
    <s v="Discount Not Allowed"/>
    <s v="25/04/24"/>
  </r>
  <r>
    <s v="TXN_2592374"/>
    <s v="CUST_21"/>
    <x v="5"/>
    <x v="160"/>
    <x v="20"/>
    <x v="1"/>
    <n v="99"/>
    <x v="1"/>
    <x v="0"/>
    <x v="839"/>
    <x v="1"/>
    <s v="DISCOUNT ALLOWED"/>
    <s v="discount allowed"/>
    <s v="DISCOUNT ALLOWED"/>
    <s v="Discount Allowed"/>
    <s v="18/11/22"/>
  </r>
  <r>
    <s v="TXN_2733978"/>
    <s v="CUST_24"/>
    <x v="2"/>
    <x v="161"/>
    <x v="20"/>
    <x v="1"/>
    <n v="99"/>
    <x v="0"/>
    <x v="0"/>
    <x v="258"/>
    <x v="0"/>
    <s v="DISCOUNT NOT ALLOWED"/>
    <s v="discount not allowed"/>
    <s v="DISCOUNT NOT ALLOWED"/>
    <s v="Discount Not Allowed"/>
    <s v="04/12/24"/>
  </r>
  <r>
    <s v="TXN_3125291"/>
    <s v="CUST_14"/>
    <x v="6"/>
    <x v="162"/>
    <x v="20"/>
    <x v="1"/>
    <n v="99"/>
    <x v="2"/>
    <x v="0"/>
    <x v="461"/>
    <x v="0"/>
    <s v="DISCOUNT NOT ALLOWED"/>
    <s v="discount not allowed"/>
    <s v="DISCOUNT NOT ALLOWED"/>
    <s v="Discount Not Allowed"/>
    <s v="01/11/23"/>
  </r>
  <r>
    <s v="TXN_3619946"/>
    <s v="CUST_18"/>
    <x v="2"/>
    <x v="161"/>
    <x v="20"/>
    <x v="1"/>
    <n v="99"/>
    <x v="1"/>
    <x v="1"/>
    <x v="314"/>
    <x v="0"/>
    <s v="DISCOUNT NOT ALLOWED"/>
    <s v="discount not allowed"/>
    <s v="DISCOUNT NOT ALLOWED"/>
    <s v="Discount Not Allowed"/>
    <s v="04/05/22"/>
  </r>
  <r>
    <s v="TXN_3744905"/>
    <s v="CUST_12"/>
    <x v="2"/>
    <x v="161"/>
    <x v="20"/>
    <x v="1"/>
    <n v="99"/>
    <x v="1"/>
    <x v="1"/>
    <x v="560"/>
    <x v="0"/>
    <s v="DISCOUNT NOT ALLOWED"/>
    <s v="discount not allowed"/>
    <s v="DISCOUNT NOT ALLOWED"/>
    <s v="Discount Not Allowed"/>
    <s v="20/04/22"/>
  </r>
  <r>
    <s v="TXN_4121313"/>
    <s v="CUST_05"/>
    <x v="3"/>
    <x v="164"/>
    <x v="20"/>
    <x v="1"/>
    <n v="99"/>
    <x v="0"/>
    <x v="1"/>
    <x v="416"/>
    <x v="1"/>
    <s v="DISCOUNT ALLOWED"/>
    <s v="discount allowed"/>
    <s v="DISCOUNT ALLOWED"/>
    <s v="Discount Allowed"/>
    <s v="25/05/24"/>
  </r>
  <r>
    <s v="TXN_4159313"/>
    <s v="CUST_07"/>
    <x v="6"/>
    <x v="162"/>
    <x v="20"/>
    <x v="1"/>
    <n v="99"/>
    <x v="0"/>
    <x v="0"/>
    <x v="366"/>
    <x v="1"/>
    <s v="DISCOUNT ALLOWED"/>
    <s v="discount allowed"/>
    <s v="DISCOUNT ALLOWED"/>
    <s v="Discount Allowed"/>
    <s v="29/11/24"/>
  </r>
  <r>
    <s v="TXN_4398240"/>
    <s v="CUST_23"/>
    <x v="5"/>
    <x v="160"/>
    <x v="20"/>
    <x v="1"/>
    <n v="99"/>
    <x v="0"/>
    <x v="1"/>
    <x v="99"/>
    <x v="0"/>
    <s v="DISCOUNT NOT ALLOWED"/>
    <s v="discount not allowed"/>
    <s v="DISCOUNT NOT ALLOWED"/>
    <s v="Discount Not Allowed"/>
    <s v="04/03/23"/>
  </r>
  <r>
    <s v="TXN_4417030"/>
    <s v="CUST_24"/>
    <x v="2"/>
    <x v="161"/>
    <x v="20"/>
    <x v="1"/>
    <n v="99"/>
    <x v="2"/>
    <x v="1"/>
    <x v="902"/>
    <x v="0"/>
    <s v="DISCOUNT NOT ALLOWED"/>
    <s v="discount not allowed"/>
    <s v="DISCOUNT NOT ALLOWED"/>
    <s v="Discount Not Allowed"/>
    <s v="29/08/24"/>
  </r>
  <r>
    <s v="TXN_4502464"/>
    <s v="CUST_01"/>
    <x v="4"/>
    <x v="163"/>
    <x v="20"/>
    <x v="1"/>
    <n v="99"/>
    <x v="1"/>
    <x v="1"/>
    <x v="996"/>
    <x v="0"/>
    <s v="DISCOUNT NOT ALLOWED"/>
    <s v="discount not allowed"/>
    <s v="DISCOUNT NOT ALLOWED"/>
    <s v="Discount Not Allowed"/>
    <s v="27/04/23"/>
  </r>
  <r>
    <s v="TXN_4882136"/>
    <s v="CUST_10"/>
    <x v="6"/>
    <x v="162"/>
    <x v="20"/>
    <x v="1"/>
    <n v="99"/>
    <x v="0"/>
    <x v="0"/>
    <x v="415"/>
    <x v="1"/>
    <s v="DISCOUNT ALLOWED"/>
    <s v="discount allowed"/>
    <s v="DISCOUNT ALLOWED"/>
    <s v="Discount Allowed"/>
    <s v="09/12/24"/>
  </r>
  <r>
    <s v="TXN_5995528"/>
    <s v="CUST_19"/>
    <x v="6"/>
    <x v="162"/>
    <x v="20"/>
    <x v="1"/>
    <n v="99"/>
    <x v="0"/>
    <x v="1"/>
    <x v="123"/>
    <x v="1"/>
    <s v="DISCOUNT ALLOWED"/>
    <s v="discount allowed"/>
    <s v="DISCOUNT ALLOWED"/>
    <s v="Discount Allowed"/>
    <s v="14/01/23"/>
  </r>
  <r>
    <s v="TXN_6555696"/>
    <s v="CUST_23"/>
    <x v="6"/>
    <x v="162"/>
    <x v="20"/>
    <x v="1"/>
    <n v="99"/>
    <x v="2"/>
    <x v="1"/>
    <x v="316"/>
    <x v="0"/>
    <s v="DISCOUNT NOT ALLOWED"/>
    <s v="discount not allowed"/>
    <s v="DISCOUNT NOT ALLOWED"/>
    <s v="Discount Not Allowed"/>
    <s v="27/05/22"/>
  </r>
  <r>
    <s v="TXN_6871003"/>
    <s v="CUST_15"/>
    <x v="4"/>
    <x v="163"/>
    <x v="20"/>
    <x v="1"/>
    <n v="99"/>
    <x v="2"/>
    <x v="0"/>
    <x v="896"/>
    <x v="0"/>
    <s v="DISCOUNT NOT ALLOWED"/>
    <s v="discount not allowed"/>
    <s v="DISCOUNT NOT ALLOWED"/>
    <s v="Discount Not Allowed"/>
    <s v="14/02/22"/>
  </r>
  <r>
    <s v="TXN_6928165"/>
    <s v="CUST_06"/>
    <x v="6"/>
    <x v="162"/>
    <x v="20"/>
    <x v="1"/>
    <n v="99"/>
    <x v="2"/>
    <x v="0"/>
    <x v="574"/>
    <x v="1"/>
    <s v="DISCOUNT ALLOWED"/>
    <s v="discount allowed"/>
    <s v="DISCOUNT ALLOWED"/>
    <s v="Discount Allowed"/>
    <s v="24/05/22"/>
  </r>
  <r>
    <s v="TXN_6953040"/>
    <s v="CUST_07"/>
    <x v="5"/>
    <x v="160"/>
    <x v="20"/>
    <x v="1"/>
    <n v="99"/>
    <x v="2"/>
    <x v="1"/>
    <x v="159"/>
    <x v="0"/>
    <s v="DISCOUNT NOT ALLOWED"/>
    <s v="discount not allowed"/>
    <s v="DISCOUNT NOT ALLOWED"/>
    <s v="Discount Not Allowed"/>
    <s v="07/12/22"/>
  </r>
  <r>
    <s v="TXN_7561812"/>
    <s v="CUST_11"/>
    <x v="6"/>
    <x v="162"/>
    <x v="20"/>
    <x v="1"/>
    <n v="99"/>
    <x v="1"/>
    <x v="0"/>
    <x v="140"/>
    <x v="1"/>
    <s v="DISCOUNT ALLOWED"/>
    <s v="discount allowed"/>
    <s v="DISCOUNT ALLOWED"/>
    <s v="Discount Allowed"/>
    <s v="13/03/22"/>
  </r>
  <r>
    <s v="TXN_7592178"/>
    <s v="CUST_13"/>
    <x v="2"/>
    <x v="161"/>
    <x v="20"/>
    <x v="1"/>
    <n v="99"/>
    <x v="1"/>
    <x v="0"/>
    <x v="498"/>
    <x v="1"/>
    <s v="DISCOUNT ALLOWED"/>
    <s v="discount allowed"/>
    <s v="DISCOUNT ALLOWED"/>
    <s v="Discount Allowed"/>
    <s v="19/08/22"/>
  </r>
  <r>
    <s v="TXN_7699654"/>
    <s v="CUST_15"/>
    <x v="2"/>
    <x v="161"/>
    <x v="20"/>
    <x v="1"/>
    <n v="99"/>
    <x v="0"/>
    <x v="0"/>
    <x v="1082"/>
    <x v="1"/>
    <s v="DISCOUNT ALLOWED"/>
    <s v="discount allowed"/>
    <s v="DISCOUNT ALLOWED"/>
    <s v="Discount Allowed"/>
    <s v="15/02/24"/>
  </r>
  <r>
    <s v="TXN_8108026"/>
    <s v="CUST_19"/>
    <x v="2"/>
    <x v="161"/>
    <x v="20"/>
    <x v="1"/>
    <n v="99"/>
    <x v="2"/>
    <x v="0"/>
    <x v="48"/>
    <x v="0"/>
    <s v="DISCOUNT NOT ALLOWED"/>
    <s v="discount not allowed"/>
    <s v="DISCOUNT NOT ALLOWED"/>
    <s v="Discount Not Allowed"/>
    <s v="03/12/22"/>
  </r>
  <r>
    <s v="TXN_8266591"/>
    <s v="CUST_02"/>
    <x v="4"/>
    <x v="163"/>
    <x v="20"/>
    <x v="1"/>
    <n v="99"/>
    <x v="0"/>
    <x v="1"/>
    <x v="551"/>
    <x v="1"/>
    <s v="DISCOUNT ALLOWED"/>
    <s v="discount allowed"/>
    <s v="DISCOUNT ALLOWED"/>
    <s v="Discount Allowed"/>
    <s v="01/12/24"/>
  </r>
  <r>
    <s v="TXN_8439426"/>
    <s v="CUST_19"/>
    <x v="4"/>
    <x v="163"/>
    <x v="20"/>
    <x v="1"/>
    <n v="99"/>
    <x v="0"/>
    <x v="0"/>
    <x v="978"/>
    <x v="0"/>
    <s v="DISCOUNT NOT ALLOWED"/>
    <s v="discount not allowed"/>
    <s v="DISCOUNT NOT ALLOWED"/>
    <s v="Discount Not Allowed"/>
    <s v="09/01/25"/>
  </r>
  <r>
    <s v="TXN_8470431"/>
    <s v="CUST_15"/>
    <x v="7"/>
    <x v="165"/>
    <x v="20"/>
    <x v="1"/>
    <n v="99"/>
    <x v="2"/>
    <x v="1"/>
    <x v="695"/>
    <x v="1"/>
    <s v="DISCOUNT ALLOWED"/>
    <s v="discount allowed"/>
    <s v="DISCOUNT ALLOWED"/>
    <s v="Discount Allowed"/>
    <s v="19/08/23"/>
  </r>
  <r>
    <s v="TXN_8535621"/>
    <s v="CUST_25"/>
    <x v="3"/>
    <x v="164"/>
    <x v="20"/>
    <x v="1"/>
    <n v="99"/>
    <x v="0"/>
    <x v="1"/>
    <x v="639"/>
    <x v="1"/>
    <s v="DISCOUNT ALLOWED"/>
    <s v="discount allowed"/>
    <s v="DISCOUNT ALLOWED"/>
    <s v="Discount Allowed"/>
    <s v="29/07/24"/>
  </r>
  <r>
    <s v="TXN_8929732"/>
    <s v="CUST_17"/>
    <x v="2"/>
    <x v="161"/>
    <x v="20"/>
    <x v="1"/>
    <n v="99"/>
    <x v="2"/>
    <x v="1"/>
    <x v="103"/>
    <x v="0"/>
    <s v="DISCOUNT NOT ALLOWED"/>
    <s v="discount not allowed"/>
    <s v="DISCOUNT NOT ALLOWED"/>
    <s v="Discount Not Allowed"/>
    <s v="30/05/22"/>
  </r>
  <r>
    <s v="TXN_9522873"/>
    <s v="CUST_25"/>
    <x v="6"/>
    <x v="162"/>
    <x v="20"/>
    <x v="1"/>
    <n v="99"/>
    <x v="0"/>
    <x v="0"/>
    <x v="605"/>
    <x v="0"/>
    <s v="DISCOUNT NOT ALLOWED"/>
    <s v="discount not allowed"/>
    <s v="DISCOUNT NOT ALLOWED"/>
    <s v="Discount Not Allowed"/>
    <s v="27/12/22"/>
  </r>
  <r>
    <s v="TXN_1194790"/>
    <s v="CUST_07"/>
    <x v="6"/>
    <x v="88"/>
    <x v="11"/>
    <x v="6"/>
    <n v="98"/>
    <x v="0"/>
    <x v="1"/>
    <x v="402"/>
    <x v="1"/>
    <s v="DISCOUNT ALLOWED"/>
    <s v="discount allowed"/>
    <s v="DISCOUNT ALLOWED"/>
    <s v="Discount Allowed"/>
    <s v="07/09/23"/>
  </r>
  <r>
    <s v="TXN_1539113"/>
    <s v="CUST_02"/>
    <x v="1"/>
    <x v="89"/>
    <x v="11"/>
    <x v="6"/>
    <n v="98"/>
    <x v="2"/>
    <x v="0"/>
    <x v="93"/>
    <x v="1"/>
    <s v="DISCOUNT ALLOWED"/>
    <s v="discount allowed"/>
    <s v="DISCOUNT ALLOWED"/>
    <s v="Discount Allowed"/>
    <s v="08/12/22"/>
  </r>
  <r>
    <s v="TXN_1725123"/>
    <s v="CUST_19"/>
    <x v="1"/>
    <x v="149"/>
    <x v="18"/>
    <x v="3"/>
    <n v="98"/>
    <x v="2"/>
    <x v="0"/>
    <x v="55"/>
    <x v="1"/>
    <s v="DISCOUNT ALLOWED"/>
    <s v="discount allowed"/>
    <s v="DISCOUNT ALLOWED"/>
    <s v="Discount Allowed"/>
    <s v="26/05/23"/>
  </r>
  <r>
    <s v="TXN_1894434"/>
    <s v="CUST_20"/>
    <x v="4"/>
    <x v="87"/>
    <x v="11"/>
    <x v="6"/>
    <n v="98"/>
    <x v="1"/>
    <x v="1"/>
    <x v="362"/>
    <x v="0"/>
    <s v="DISCOUNT NOT ALLOWED"/>
    <s v="discount not allowed"/>
    <s v="DISCOUNT NOT ALLOWED"/>
    <s v="Discount Not Allowed"/>
    <s v="10/03/23"/>
  </r>
  <r>
    <s v="TXN_2017512"/>
    <s v="CUST_25"/>
    <x v="6"/>
    <x v="88"/>
    <x v="11"/>
    <x v="6"/>
    <n v="98"/>
    <x v="1"/>
    <x v="0"/>
    <x v="402"/>
    <x v="1"/>
    <s v="DISCOUNT ALLOWED"/>
    <s v="discount allowed"/>
    <s v="DISCOUNT ALLOWED"/>
    <s v="Discount Allowed"/>
    <s v="07/09/23"/>
  </r>
  <r>
    <s v="TXN_2140589"/>
    <s v="CUST_08"/>
    <x v="1"/>
    <x v="149"/>
    <x v="18"/>
    <x v="3"/>
    <n v="98"/>
    <x v="2"/>
    <x v="0"/>
    <x v="781"/>
    <x v="1"/>
    <s v="DISCOUNT ALLOWED"/>
    <s v="discount allowed"/>
    <s v="DISCOUNT ALLOWED"/>
    <s v="Discount Allowed"/>
    <s v="14/07/22"/>
  </r>
  <r>
    <s v="TXN_2394468"/>
    <s v="CUST_16"/>
    <x v="0"/>
    <x v="150"/>
    <x v="18"/>
    <x v="3"/>
    <n v="98"/>
    <x v="2"/>
    <x v="1"/>
    <x v="608"/>
    <x v="1"/>
    <s v="DISCOUNT ALLOWED"/>
    <s v="discount allowed"/>
    <s v="DISCOUNT ALLOWED"/>
    <s v="Discount Allowed"/>
    <s v="19/11/22"/>
  </r>
  <r>
    <s v="TXN_2707360"/>
    <s v="CUST_21"/>
    <x v="3"/>
    <x v="144"/>
    <x v="18"/>
    <x v="3"/>
    <n v="98"/>
    <x v="0"/>
    <x v="1"/>
    <x v="985"/>
    <x v="1"/>
    <s v="DISCOUNT ALLOWED"/>
    <s v="discount allowed"/>
    <s v="DISCOUNT ALLOWED"/>
    <s v="Discount Allowed"/>
    <s v="23/11/24"/>
  </r>
  <r>
    <s v="TXN_2956326"/>
    <s v="CUST_09"/>
    <x v="6"/>
    <x v="145"/>
    <x v="18"/>
    <x v="3"/>
    <n v="98"/>
    <x v="1"/>
    <x v="1"/>
    <x v="220"/>
    <x v="0"/>
    <s v="DISCOUNT NOT ALLOWED"/>
    <s v="discount not allowed"/>
    <s v="DISCOUNT NOT ALLOWED"/>
    <s v="Discount Not Allowed"/>
    <s v="25/03/24"/>
  </r>
  <r>
    <s v="TXN_2993263"/>
    <s v="CUST_14"/>
    <x v="6"/>
    <x v="88"/>
    <x v="11"/>
    <x v="6"/>
    <n v="98"/>
    <x v="1"/>
    <x v="1"/>
    <x v="558"/>
    <x v="0"/>
    <s v="DISCOUNT NOT ALLOWED"/>
    <s v="discount not allowed"/>
    <s v="DISCOUNT NOT ALLOWED"/>
    <s v="Discount Not Allowed"/>
    <s v="17/04/24"/>
  </r>
  <r>
    <s v="TXN_3303369"/>
    <s v="CUST_06"/>
    <x v="6"/>
    <x v="88"/>
    <x v="11"/>
    <x v="6"/>
    <n v="98"/>
    <x v="1"/>
    <x v="1"/>
    <x v="649"/>
    <x v="1"/>
    <s v="DISCOUNT ALLOWED"/>
    <s v="discount allowed"/>
    <s v="DISCOUNT ALLOWED"/>
    <s v="Discount Allowed"/>
    <s v="11/06/23"/>
  </r>
  <r>
    <s v="TXN_3366759"/>
    <s v="CUST_06"/>
    <x v="1"/>
    <x v="89"/>
    <x v="11"/>
    <x v="6"/>
    <n v="98"/>
    <x v="0"/>
    <x v="1"/>
    <x v="975"/>
    <x v="1"/>
    <s v="DISCOUNT ALLOWED"/>
    <s v="discount allowed"/>
    <s v="DISCOUNT ALLOWED"/>
    <s v="Discount Allowed"/>
    <s v="31/05/22"/>
  </r>
  <r>
    <s v="TXN_3368057"/>
    <s v="CUST_04"/>
    <x v="1"/>
    <x v="89"/>
    <x v="11"/>
    <x v="6"/>
    <n v="98"/>
    <x v="0"/>
    <x v="0"/>
    <x v="1083"/>
    <x v="0"/>
    <s v="DISCOUNT NOT ALLOWED"/>
    <s v="discount not allowed"/>
    <s v="DISCOUNT NOT ALLOWED"/>
    <s v="Discount Not Allowed"/>
    <s v="23/04/22"/>
  </r>
  <r>
    <s v="TXN_3581677"/>
    <s v="CUST_11"/>
    <x v="7"/>
    <x v="86"/>
    <x v="11"/>
    <x v="6"/>
    <n v="98"/>
    <x v="1"/>
    <x v="0"/>
    <x v="479"/>
    <x v="0"/>
    <s v="DISCOUNT NOT ALLOWED"/>
    <s v="discount not allowed"/>
    <s v="DISCOUNT NOT ALLOWED"/>
    <s v="Discount Not Allowed"/>
    <s v="17/03/22"/>
  </r>
  <r>
    <s v="TXN_3617341"/>
    <s v="CUST_16"/>
    <x v="2"/>
    <x v="148"/>
    <x v="18"/>
    <x v="3"/>
    <n v="98"/>
    <x v="1"/>
    <x v="0"/>
    <x v="532"/>
    <x v="0"/>
    <s v="DISCOUNT NOT ALLOWED"/>
    <s v="discount not allowed"/>
    <s v="DISCOUNT NOT ALLOWED"/>
    <s v="Discount Not Allowed"/>
    <s v="05/05/22"/>
  </r>
  <r>
    <s v="TXN_3777133"/>
    <s v="CUST_06"/>
    <x v="3"/>
    <x v="92"/>
    <x v="11"/>
    <x v="6"/>
    <n v="98"/>
    <x v="1"/>
    <x v="0"/>
    <x v="490"/>
    <x v="1"/>
    <s v="DISCOUNT ALLOWED"/>
    <s v="discount allowed"/>
    <s v="DISCOUNT ALLOWED"/>
    <s v="Discount Allowed"/>
    <s v="13/11/24"/>
  </r>
  <r>
    <s v="TXN_3876653"/>
    <s v="CUST_23"/>
    <x v="6"/>
    <x v="145"/>
    <x v="18"/>
    <x v="3"/>
    <n v="98"/>
    <x v="1"/>
    <x v="1"/>
    <x v="535"/>
    <x v="0"/>
    <s v="DISCOUNT NOT ALLOWED"/>
    <s v="discount not allowed"/>
    <s v="DISCOUNT NOT ALLOWED"/>
    <s v="Discount Not Allowed"/>
    <s v="06/07/24"/>
  </r>
  <r>
    <s v="TXN_4191194"/>
    <s v="CUST_13"/>
    <x v="2"/>
    <x v="148"/>
    <x v="18"/>
    <x v="3"/>
    <n v="98"/>
    <x v="0"/>
    <x v="1"/>
    <x v="1"/>
    <x v="1"/>
    <s v="DISCOUNT ALLOWED"/>
    <s v="discount allowed"/>
    <s v="DISCOUNT ALLOWED"/>
    <s v="Discount Allowed"/>
    <s v="01/04/23"/>
  </r>
  <r>
    <s v="TXN_4258190"/>
    <s v="CUST_14"/>
    <x v="7"/>
    <x v="86"/>
    <x v="11"/>
    <x v="6"/>
    <n v="98"/>
    <x v="2"/>
    <x v="0"/>
    <x v="20"/>
    <x v="0"/>
    <s v="DISCOUNT NOT ALLOWED"/>
    <s v="discount not allowed"/>
    <s v="DISCOUNT NOT ALLOWED"/>
    <s v="Discount Not Allowed"/>
    <s v="24/12/24"/>
  </r>
  <r>
    <s v="TXN_4480140"/>
    <s v="CUST_16"/>
    <x v="0"/>
    <x v="150"/>
    <x v="18"/>
    <x v="3"/>
    <n v="98"/>
    <x v="2"/>
    <x v="1"/>
    <x v="4"/>
    <x v="0"/>
    <s v="DISCOUNT NOT ALLOWED"/>
    <s v="discount not allowed"/>
    <s v="DISCOUNT NOT ALLOWED"/>
    <s v="Discount Not Allowed"/>
    <s v="23/03/24"/>
  </r>
  <r>
    <s v="TXN_4599435"/>
    <s v="CUST_02"/>
    <x v="4"/>
    <x v="87"/>
    <x v="11"/>
    <x v="6"/>
    <n v="98"/>
    <x v="0"/>
    <x v="0"/>
    <x v="125"/>
    <x v="0"/>
    <s v="DISCOUNT NOT ALLOWED"/>
    <s v="discount not allowed"/>
    <s v="DISCOUNT NOT ALLOWED"/>
    <s v="Discount Not Allowed"/>
    <s v="18/03/22"/>
  </r>
  <r>
    <s v="TXN_4870896"/>
    <s v="CUST_11"/>
    <x v="0"/>
    <x v="150"/>
    <x v="18"/>
    <x v="3"/>
    <n v="98"/>
    <x v="1"/>
    <x v="1"/>
    <x v="814"/>
    <x v="1"/>
    <s v="DISCOUNT ALLOWED"/>
    <s v="discount allowed"/>
    <s v="DISCOUNT ALLOWED"/>
    <s v="Discount Allowed"/>
    <s v="27/01/23"/>
  </r>
  <r>
    <s v="TXN_5291414"/>
    <s v="CUST_12"/>
    <x v="7"/>
    <x v="146"/>
    <x v="18"/>
    <x v="3"/>
    <n v="98"/>
    <x v="2"/>
    <x v="1"/>
    <x v="329"/>
    <x v="1"/>
    <s v="DISCOUNT ALLOWED"/>
    <s v="discount allowed"/>
    <s v="DISCOUNT ALLOWED"/>
    <s v="Discount Allowed"/>
    <s v="02/03/22"/>
  </r>
  <r>
    <s v="TXN_5306857"/>
    <s v="CUST_08"/>
    <x v="7"/>
    <x v="86"/>
    <x v="11"/>
    <x v="6"/>
    <n v="98"/>
    <x v="0"/>
    <x v="0"/>
    <x v="899"/>
    <x v="0"/>
    <s v="DISCOUNT NOT ALLOWED"/>
    <s v="discount not allowed"/>
    <s v="DISCOUNT NOT ALLOWED"/>
    <s v="Discount Not Allowed"/>
    <s v="20/07/22"/>
  </r>
  <r>
    <s v="TXN_5403498"/>
    <s v="CUST_16"/>
    <x v="2"/>
    <x v="148"/>
    <x v="18"/>
    <x v="3"/>
    <n v="98"/>
    <x v="2"/>
    <x v="1"/>
    <x v="458"/>
    <x v="1"/>
    <s v="DISCOUNT ALLOWED"/>
    <s v="discount allowed"/>
    <s v="DISCOUNT ALLOWED"/>
    <s v="Discount Allowed"/>
    <s v="18/05/24"/>
  </r>
  <r>
    <s v="TXN_5409965"/>
    <s v="CUST_23"/>
    <x v="4"/>
    <x v="147"/>
    <x v="18"/>
    <x v="3"/>
    <n v="98"/>
    <x v="1"/>
    <x v="1"/>
    <x v="377"/>
    <x v="0"/>
    <s v="DISCOUNT NOT ALLOWED"/>
    <s v="discount not allowed"/>
    <s v="DISCOUNT NOT ALLOWED"/>
    <s v="Discount Not Allowed"/>
    <s v="27/05/23"/>
  </r>
  <r>
    <s v="TXN_5582373"/>
    <s v="CUST_13"/>
    <x v="2"/>
    <x v="90"/>
    <x v="11"/>
    <x v="6"/>
    <n v="98"/>
    <x v="2"/>
    <x v="0"/>
    <x v="459"/>
    <x v="0"/>
    <s v="DISCOUNT NOT ALLOWED"/>
    <s v="discount not allowed"/>
    <s v="DISCOUNT NOT ALLOWED"/>
    <s v="Discount Not Allowed"/>
    <s v="08/01/23"/>
  </r>
  <r>
    <s v="TXN_5653387"/>
    <s v="CUST_12"/>
    <x v="2"/>
    <x v="148"/>
    <x v="18"/>
    <x v="3"/>
    <n v="98"/>
    <x v="2"/>
    <x v="0"/>
    <x v="1084"/>
    <x v="1"/>
    <s v="DISCOUNT ALLOWED"/>
    <s v="discount allowed"/>
    <s v="DISCOUNT ALLOWED"/>
    <s v="Discount Allowed"/>
    <s v="29/05/22"/>
  </r>
  <r>
    <s v="TXN_5750828"/>
    <s v="CUST_17"/>
    <x v="0"/>
    <x v="150"/>
    <x v="18"/>
    <x v="3"/>
    <n v="98"/>
    <x v="0"/>
    <x v="0"/>
    <x v="360"/>
    <x v="0"/>
    <s v="DISCOUNT NOT ALLOWED"/>
    <s v="discount not allowed"/>
    <s v="DISCOUNT NOT ALLOWED"/>
    <s v="Discount Not Allowed"/>
    <s v="20/06/22"/>
  </r>
  <r>
    <s v="TXN_5867581"/>
    <s v="CUST_05"/>
    <x v="1"/>
    <x v="89"/>
    <x v="11"/>
    <x v="6"/>
    <n v="98"/>
    <x v="2"/>
    <x v="0"/>
    <x v="311"/>
    <x v="1"/>
    <s v="DISCOUNT ALLOWED"/>
    <s v="discount allowed"/>
    <s v="DISCOUNT ALLOWED"/>
    <s v="Discount Allowed"/>
    <s v="27/03/23"/>
  </r>
  <r>
    <s v="TXN_6118838"/>
    <s v="CUST_14"/>
    <x v="1"/>
    <x v="149"/>
    <x v="18"/>
    <x v="3"/>
    <n v="98"/>
    <x v="0"/>
    <x v="0"/>
    <x v="947"/>
    <x v="0"/>
    <s v="DISCOUNT NOT ALLOWED"/>
    <s v="discount not allowed"/>
    <s v="DISCOUNT NOT ALLOWED"/>
    <s v="Discount Not Allowed"/>
    <s v="28/09/22"/>
  </r>
  <r>
    <s v="TXN_6447649"/>
    <s v="CUST_09"/>
    <x v="4"/>
    <x v="87"/>
    <x v="11"/>
    <x v="6"/>
    <n v="98"/>
    <x v="1"/>
    <x v="0"/>
    <x v="853"/>
    <x v="0"/>
    <s v="DISCOUNT NOT ALLOWED"/>
    <s v="discount not allowed"/>
    <s v="DISCOUNT NOT ALLOWED"/>
    <s v="Discount Not Allowed"/>
    <s v="12/08/24"/>
  </r>
  <r>
    <s v="TXN_6567750"/>
    <s v="CUST_05"/>
    <x v="2"/>
    <x v="90"/>
    <x v="11"/>
    <x v="6"/>
    <n v="98"/>
    <x v="2"/>
    <x v="1"/>
    <x v="600"/>
    <x v="1"/>
    <s v="DISCOUNT ALLOWED"/>
    <s v="discount allowed"/>
    <s v="DISCOUNT ALLOWED"/>
    <s v="Discount Allowed"/>
    <s v="26/10/22"/>
  </r>
  <r>
    <s v="TXN_7108214"/>
    <s v="CUST_12"/>
    <x v="0"/>
    <x v="150"/>
    <x v="18"/>
    <x v="3"/>
    <n v="98"/>
    <x v="2"/>
    <x v="1"/>
    <x v="231"/>
    <x v="0"/>
    <s v="DISCOUNT NOT ALLOWED"/>
    <s v="discount not allowed"/>
    <s v="DISCOUNT NOT ALLOWED"/>
    <s v="Discount Not Allowed"/>
    <s v="04/01/22"/>
  </r>
  <r>
    <s v="TXN_7352034"/>
    <s v="CUST_09"/>
    <x v="6"/>
    <x v="145"/>
    <x v="18"/>
    <x v="3"/>
    <n v="98"/>
    <x v="0"/>
    <x v="0"/>
    <x v="661"/>
    <x v="0"/>
    <s v="DISCOUNT NOT ALLOWED"/>
    <s v="discount not allowed"/>
    <s v="DISCOUNT NOT ALLOWED"/>
    <s v="Discount Not Allowed"/>
    <s v="12/06/23"/>
  </r>
  <r>
    <s v="TXN_7497013"/>
    <s v="CUST_24"/>
    <x v="1"/>
    <x v="149"/>
    <x v="18"/>
    <x v="3"/>
    <n v="98"/>
    <x v="0"/>
    <x v="0"/>
    <x v="495"/>
    <x v="1"/>
    <s v="DISCOUNT ALLOWED"/>
    <s v="discount allowed"/>
    <s v="DISCOUNT ALLOWED"/>
    <s v="Discount Allowed"/>
    <s v="02/02/22"/>
  </r>
  <r>
    <s v="TXN_7558428"/>
    <s v="CUST_02"/>
    <x v="7"/>
    <x v="146"/>
    <x v="18"/>
    <x v="3"/>
    <n v="98"/>
    <x v="2"/>
    <x v="0"/>
    <x v="233"/>
    <x v="0"/>
    <s v="DISCOUNT NOT ALLOWED"/>
    <s v="discount not allowed"/>
    <s v="DISCOUNT NOT ALLOWED"/>
    <s v="Discount Not Allowed"/>
    <s v="02/04/23"/>
  </r>
  <r>
    <s v="TXN_7595172"/>
    <s v="CUST_23"/>
    <x v="4"/>
    <x v="87"/>
    <x v="11"/>
    <x v="6"/>
    <n v="98"/>
    <x v="2"/>
    <x v="0"/>
    <x v="60"/>
    <x v="1"/>
    <s v="DISCOUNT ALLOWED"/>
    <s v="discount allowed"/>
    <s v="DISCOUNT ALLOWED"/>
    <s v="Discount Allowed"/>
    <s v="01/06/24"/>
  </r>
  <r>
    <s v="TXN_7602955"/>
    <s v="CUST_12"/>
    <x v="6"/>
    <x v="88"/>
    <x v="11"/>
    <x v="6"/>
    <n v="98"/>
    <x v="0"/>
    <x v="0"/>
    <x v="3"/>
    <x v="1"/>
    <s v="DISCOUNT ALLOWED"/>
    <s v="discount allowed"/>
    <s v="DISCOUNT ALLOWED"/>
    <s v="Discount Allowed"/>
    <s v="24/03/24"/>
  </r>
  <r>
    <s v="TXN_8067292"/>
    <s v="CUST_17"/>
    <x v="3"/>
    <x v="144"/>
    <x v="18"/>
    <x v="3"/>
    <n v="98"/>
    <x v="0"/>
    <x v="0"/>
    <x v="746"/>
    <x v="0"/>
    <s v="DISCOUNT NOT ALLOWED"/>
    <s v="discount not allowed"/>
    <s v="DISCOUNT NOT ALLOWED"/>
    <s v="Discount Not Allowed"/>
    <s v="20/01/24"/>
  </r>
  <r>
    <s v="TXN_8165056"/>
    <s v="CUST_09"/>
    <x v="6"/>
    <x v="88"/>
    <x v="11"/>
    <x v="6"/>
    <n v="98"/>
    <x v="1"/>
    <x v="0"/>
    <x v="544"/>
    <x v="0"/>
    <s v="DISCOUNT NOT ALLOWED"/>
    <s v="discount not allowed"/>
    <s v="DISCOUNT NOT ALLOWED"/>
    <s v="Discount Not Allowed"/>
    <s v="17/07/23"/>
  </r>
  <r>
    <s v="TXN_8178931"/>
    <s v="CUST_02"/>
    <x v="4"/>
    <x v="87"/>
    <x v="11"/>
    <x v="6"/>
    <n v="98"/>
    <x v="0"/>
    <x v="1"/>
    <x v="559"/>
    <x v="1"/>
    <s v="DISCOUNT ALLOWED"/>
    <s v="discount allowed"/>
    <s v="DISCOUNT ALLOWED"/>
    <s v="Discount Allowed"/>
    <s v="14/10/22"/>
  </r>
  <r>
    <s v="TXN_8197313"/>
    <s v="CUST_22"/>
    <x v="6"/>
    <x v="88"/>
    <x v="11"/>
    <x v="6"/>
    <n v="98"/>
    <x v="0"/>
    <x v="1"/>
    <x v="481"/>
    <x v="0"/>
    <s v="DISCOUNT NOT ALLOWED"/>
    <s v="discount not allowed"/>
    <s v="DISCOUNT NOT ALLOWED"/>
    <s v="Discount Not Allowed"/>
    <s v="20/11/22"/>
  </r>
  <r>
    <s v="TXN_9205349"/>
    <s v="CUST_24"/>
    <x v="2"/>
    <x v="148"/>
    <x v="18"/>
    <x v="3"/>
    <n v="98"/>
    <x v="2"/>
    <x v="0"/>
    <x v="838"/>
    <x v="1"/>
    <s v="DISCOUNT ALLOWED"/>
    <s v="discount allowed"/>
    <s v="DISCOUNT ALLOWED"/>
    <s v="Discount Allowed"/>
    <s v="24/10/22"/>
  </r>
  <r>
    <s v="TXN_9487070"/>
    <s v="CUST_11"/>
    <x v="1"/>
    <x v="89"/>
    <x v="11"/>
    <x v="6"/>
    <n v="98"/>
    <x v="0"/>
    <x v="1"/>
    <x v="1005"/>
    <x v="0"/>
    <s v="DISCOUNT NOT ALLOWED"/>
    <s v="discount not allowed"/>
    <s v="DISCOUNT NOT ALLOWED"/>
    <s v="Discount Not Allowed"/>
    <s v="26/03/24"/>
  </r>
  <r>
    <s v="TXN_9558666"/>
    <s v="CUST_22"/>
    <x v="4"/>
    <x v="87"/>
    <x v="11"/>
    <x v="6"/>
    <n v="98"/>
    <x v="0"/>
    <x v="1"/>
    <x v="513"/>
    <x v="1"/>
    <s v="DISCOUNT ALLOWED"/>
    <s v="discount allowed"/>
    <s v="DISCOUNT ALLOWED"/>
    <s v="Discount Allowed"/>
    <s v="01/07/24"/>
  </r>
  <r>
    <s v="TXN_9594272"/>
    <s v="CUST_14"/>
    <x v="1"/>
    <x v="89"/>
    <x v="11"/>
    <x v="6"/>
    <n v="98"/>
    <x v="0"/>
    <x v="1"/>
    <x v="335"/>
    <x v="1"/>
    <s v="DISCOUNT ALLOWED"/>
    <s v="discount allowed"/>
    <s v="DISCOUNT ALLOWED"/>
    <s v="Discount Allowed"/>
    <s v="02/01/25"/>
  </r>
  <r>
    <s v="TXN_9740238"/>
    <s v="CUST_20"/>
    <x v="6"/>
    <x v="145"/>
    <x v="18"/>
    <x v="3"/>
    <n v="98"/>
    <x v="1"/>
    <x v="1"/>
    <x v="89"/>
    <x v="0"/>
    <s v="DISCOUNT NOT ALLOWED"/>
    <s v="discount not allowed"/>
    <s v="DISCOUNT NOT ALLOWED"/>
    <s v="Discount Not Allowed"/>
    <s v="14/01/22"/>
  </r>
  <r>
    <s v="TXN_9885558"/>
    <s v="CUST_16"/>
    <x v="7"/>
    <x v="146"/>
    <x v="18"/>
    <x v="3"/>
    <n v="98"/>
    <x v="0"/>
    <x v="1"/>
    <x v="1022"/>
    <x v="1"/>
    <s v="DISCOUNT ALLOWED"/>
    <s v="discount allowed"/>
    <s v="DISCOUNT ALLOWED"/>
    <s v="Discount Allowed"/>
    <s v="15/03/23"/>
  </r>
  <r>
    <s v="TXN_9894424"/>
    <s v="CUST_25"/>
    <x v="4"/>
    <x v="87"/>
    <x v="11"/>
    <x v="6"/>
    <n v="98"/>
    <x v="0"/>
    <x v="0"/>
    <x v="1021"/>
    <x v="1"/>
    <s v="DISCOUNT ALLOWED"/>
    <s v="discount allowed"/>
    <s v="DISCOUNT ALLOWED"/>
    <s v="Discount Allowed"/>
    <s v="27/09/23"/>
  </r>
  <r>
    <s v="TXN_1188935"/>
    <s v="CUST_17"/>
    <x v="5"/>
    <x v="48"/>
    <x v="6"/>
    <x v="7"/>
    <n v="96"/>
    <x v="1"/>
    <x v="0"/>
    <x v="842"/>
    <x v="1"/>
    <s v="DISCOUNT ALLOWED"/>
    <s v="discount allowed"/>
    <s v="DISCOUNT ALLOWED"/>
    <s v="Discount Allowed"/>
    <s v="30/03/24"/>
  </r>
  <r>
    <s v="TXN_1656528"/>
    <s v="CUST_12"/>
    <x v="6"/>
    <x v="49"/>
    <x v="6"/>
    <x v="7"/>
    <n v="96"/>
    <x v="1"/>
    <x v="0"/>
    <x v="240"/>
    <x v="1"/>
    <s v="DISCOUNT ALLOWED"/>
    <s v="discount allowed"/>
    <s v="DISCOUNT ALLOWED"/>
    <s v="Discount Allowed"/>
    <s v="08/07/24"/>
  </r>
  <r>
    <s v="TXN_2406868"/>
    <s v="CUST_25"/>
    <x v="2"/>
    <x v="85"/>
    <x v="6"/>
    <x v="7"/>
    <n v="96"/>
    <x v="0"/>
    <x v="1"/>
    <x v="389"/>
    <x v="0"/>
    <s v="DISCOUNT NOT ALLOWED"/>
    <s v="discount not allowed"/>
    <s v="DISCOUNT NOT ALLOWED"/>
    <s v="Discount Not Allowed"/>
    <s v="12/07/23"/>
  </r>
  <r>
    <s v="TXN_2519908"/>
    <s v="CUST_17"/>
    <x v="5"/>
    <x v="48"/>
    <x v="6"/>
    <x v="7"/>
    <n v="96"/>
    <x v="0"/>
    <x v="1"/>
    <x v="464"/>
    <x v="0"/>
    <s v="DISCOUNT NOT ALLOWED"/>
    <s v="discount not allowed"/>
    <s v="DISCOUNT NOT ALLOWED"/>
    <s v="Discount Not Allowed"/>
    <s v="13/01/22"/>
  </r>
  <r>
    <s v="TXN_2872093"/>
    <s v="CUST_14"/>
    <x v="6"/>
    <x v="49"/>
    <x v="6"/>
    <x v="7"/>
    <n v="96"/>
    <x v="0"/>
    <x v="0"/>
    <x v="440"/>
    <x v="1"/>
    <s v="DISCOUNT ALLOWED"/>
    <s v="discount allowed"/>
    <s v="DISCOUNT ALLOWED"/>
    <s v="Discount Allowed"/>
    <s v="30/12/23"/>
  </r>
  <r>
    <s v="TXN_2881650"/>
    <s v="CUST_22"/>
    <x v="6"/>
    <x v="49"/>
    <x v="6"/>
    <x v="7"/>
    <n v="96"/>
    <x v="2"/>
    <x v="0"/>
    <x v="449"/>
    <x v="1"/>
    <s v="DISCOUNT ALLOWED"/>
    <s v="discount allowed"/>
    <s v="DISCOUNT ALLOWED"/>
    <s v="Discount Allowed"/>
    <s v="27/03/22"/>
  </r>
  <r>
    <s v="TXN_3644047"/>
    <s v="CUST_22"/>
    <x v="2"/>
    <x v="85"/>
    <x v="6"/>
    <x v="7"/>
    <n v="96"/>
    <x v="0"/>
    <x v="0"/>
    <x v="31"/>
    <x v="0"/>
    <s v="DISCOUNT NOT ALLOWED"/>
    <s v="discount not allowed"/>
    <s v="DISCOUNT NOT ALLOWED"/>
    <s v="Discount Not Allowed"/>
    <s v="05/07/22"/>
  </r>
  <r>
    <s v="TXN_3809776"/>
    <s v="CUST_25"/>
    <x v="7"/>
    <x v="45"/>
    <x v="6"/>
    <x v="7"/>
    <n v="96"/>
    <x v="1"/>
    <x v="0"/>
    <x v="898"/>
    <x v="0"/>
    <s v="DISCOUNT NOT ALLOWED"/>
    <s v="discount not allowed"/>
    <s v="DISCOUNT NOT ALLOWED"/>
    <s v="Discount Not Allowed"/>
    <s v="10/02/23"/>
  </r>
  <r>
    <s v="TXN_4048563"/>
    <s v="CUST_24"/>
    <x v="6"/>
    <x v="49"/>
    <x v="6"/>
    <x v="7"/>
    <n v="96"/>
    <x v="0"/>
    <x v="1"/>
    <x v="520"/>
    <x v="0"/>
    <s v="DISCOUNT NOT ALLOWED"/>
    <s v="discount not allowed"/>
    <s v="DISCOUNT NOT ALLOWED"/>
    <s v="Discount Not Allowed"/>
    <s v="08/08/22"/>
  </r>
  <r>
    <s v="TXN_4099365"/>
    <s v="CUST_13"/>
    <x v="0"/>
    <x v="47"/>
    <x v="6"/>
    <x v="7"/>
    <n v="96"/>
    <x v="2"/>
    <x v="1"/>
    <x v="342"/>
    <x v="1"/>
    <s v="DISCOUNT ALLOWED"/>
    <s v="discount allowed"/>
    <s v="DISCOUNT ALLOWED"/>
    <s v="Discount Allowed"/>
    <s v="02/07/24"/>
  </r>
  <r>
    <s v="TXN_4205231"/>
    <s v="CUST_08"/>
    <x v="6"/>
    <x v="49"/>
    <x v="6"/>
    <x v="7"/>
    <n v="96"/>
    <x v="0"/>
    <x v="0"/>
    <x v="909"/>
    <x v="1"/>
    <s v="DISCOUNT ALLOWED"/>
    <s v="discount allowed"/>
    <s v="DISCOUNT ALLOWED"/>
    <s v="Discount Allowed"/>
    <s v="07/03/24"/>
  </r>
  <r>
    <s v="TXN_4595269"/>
    <s v="CUST_14"/>
    <x v="3"/>
    <x v="46"/>
    <x v="6"/>
    <x v="7"/>
    <n v="96"/>
    <x v="0"/>
    <x v="1"/>
    <x v="863"/>
    <x v="1"/>
    <s v="DISCOUNT ALLOWED"/>
    <s v="discount allowed"/>
    <s v="DISCOUNT ALLOWED"/>
    <s v="Discount Allowed"/>
    <s v="26/12/22"/>
  </r>
  <r>
    <s v="TXN_4719168"/>
    <s v="CUST_01"/>
    <x v="4"/>
    <x v="69"/>
    <x v="6"/>
    <x v="7"/>
    <n v="96"/>
    <x v="2"/>
    <x v="0"/>
    <x v="818"/>
    <x v="0"/>
    <s v="DISCOUNT NOT ALLOWED"/>
    <s v="discount not allowed"/>
    <s v="DISCOUNT NOT ALLOWED"/>
    <s v="Discount Not Allowed"/>
    <s v="30/10/22"/>
  </r>
  <r>
    <s v="TXN_5013447"/>
    <s v="CUST_21"/>
    <x v="5"/>
    <x v="48"/>
    <x v="6"/>
    <x v="7"/>
    <n v="96"/>
    <x v="2"/>
    <x v="0"/>
    <x v="1085"/>
    <x v="1"/>
    <s v="DISCOUNT ALLOWED"/>
    <s v="discount allowed"/>
    <s v="DISCOUNT ALLOWED"/>
    <s v="Discount Allowed"/>
    <s v="04/08/23"/>
  </r>
  <r>
    <s v="TXN_5390097"/>
    <s v="CUST_02"/>
    <x v="1"/>
    <x v="50"/>
    <x v="6"/>
    <x v="7"/>
    <n v="96"/>
    <x v="2"/>
    <x v="1"/>
    <x v="212"/>
    <x v="1"/>
    <s v="DISCOUNT ALLOWED"/>
    <s v="discount allowed"/>
    <s v="DISCOUNT ALLOWED"/>
    <s v="Discount Allowed"/>
    <s v="10/12/22"/>
  </r>
  <r>
    <s v="TXN_5546642"/>
    <s v="CUST_05"/>
    <x v="6"/>
    <x v="49"/>
    <x v="6"/>
    <x v="7"/>
    <n v="96"/>
    <x v="2"/>
    <x v="0"/>
    <x v="855"/>
    <x v="0"/>
    <s v="DISCOUNT NOT ALLOWED"/>
    <s v="discount not allowed"/>
    <s v="DISCOUNT NOT ALLOWED"/>
    <s v="Discount Not Allowed"/>
    <s v="09/09/23"/>
  </r>
  <r>
    <s v="TXN_6052024"/>
    <s v="CUST_17"/>
    <x v="2"/>
    <x v="85"/>
    <x v="6"/>
    <x v="7"/>
    <n v="96"/>
    <x v="1"/>
    <x v="1"/>
    <x v="193"/>
    <x v="1"/>
    <s v="DISCOUNT ALLOWED"/>
    <s v="discount allowed"/>
    <s v="DISCOUNT ALLOWED"/>
    <s v="Discount Allowed"/>
    <s v="08/01/22"/>
  </r>
  <r>
    <s v="TXN_6255024"/>
    <s v="CUST_14"/>
    <x v="1"/>
    <x v="50"/>
    <x v="6"/>
    <x v="7"/>
    <n v="96"/>
    <x v="0"/>
    <x v="0"/>
    <x v="1086"/>
    <x v="1"/>
    <s v="DISCOUNT ALLOWED"/>
    <s v="discount allowed"/>
    <s v="DISCOUNT ALLOWED"/>
    <s v="Discount Allowed"/>
    <s v="18/07/23"/>
  </r>
  <r>
    <s v="TXN_6327819"/>
    <s v="CUST_01"/>
    <x v="6"/>
    <x v="49"/>
    <x v="6"/>
    <x v="7"/>
    <n v="96"/>
    <x v="1"/>
    <x v="0"/>
    <x v="211"/>
    <x v="0"/>
    <s v="DISCOUNT NOT ALLOWED"/>
    <s v="discount not allowed"/>
    <s v="DISCOUNT NOT ALLOWED"/>
    <s v="Discount Not Allowed"/>
    <s v="12/09/22"/>
  </r>
  <r>
    <s v="TXN_6376012"/>
    <s v="CUST_20"/>
    <x v="6"/>
    <x v="49"/>
    <x v="6"/>
    <x v="7"/>
    <n v="96"/>
    <x v="1"/>
    <x v="0"/>
    <x v="110"/>
    <x v="0"/>
    <s v="DISCOUNT NOT ALLOWED"/>
    <s v="discount not allowed"/>
    <s v="DISCOUNT NOT ALLOWED"/>
    <s v="Discount Not Allowed"/>
    <s v="27/07/24"/>
  </r>
  <r>
    <s v="TXN_6580606"/>
    <s v="CUST_16"/>
    <x v="6"/>
    <x v="49"/>
    <x v="6"/>
    <x v="7"/>
    <n v="96"/>
    <x v="2"/>
    <x v="0"/>
    <x v="718"/>
    <x v="0"/>
    <s v="DISCOUNT NOT ALLOWED"/>
    <s v="discount not allowed"/>
    <s v="DISCOUNT NOT ALLOWED"/>
    <s v="Discount Not Allowed"/>
    <s v="21/11/23"/>
  </r>
  <r>
    <s v="TXN_7688827"/>
    <s v="CUST_18"/>
    <x v="5"/>
    <x v="48"/>
    <x v="6"/>
    <x v="7"/>
    <n v="96"/>
    <x v="2"/>
    <x v="1"/>
    <x v="283"/>
    <x v="0"/>
    <s v="DISCOUNT NOT ALLOWED"/>
    <s v="discount not allowed"/>
    <s v="DISCOUNT NOT ALLOWED"/>
    <s v="Discount Not Allowed"/>
    <s v="15/01/23"/>
  </r>
  <r>
    <s v="TXN_7837225"/>
    <s v="CUST_19"/>
    <x v="2"/>
    <x v="85"/>
    <x v="6"/>
    <x v="7"/>
    <n v="96"/>
    <x v="1"/>
    <x v="1"/>
    <x v="875"/>
    <x v="1"/>
    <s v="DISCOUNT ALLOWED"/>
    <s v="discount allowed"/>
    <s v="DISCOUNT ALLOWED"/>
    <s v="Discount Allowed"/>
    <s v="08/09/23"/>
  </r>
  <r>
    <s v="TXN_8351579"/>
    <s v="CUST_22"/>
    <x v="5"/>
    <x v="48"/>
    <x v="6"/>
    <x v="7"/>
    <n v="96"/>
    <x v="0"/>
    <x v="1"/>
    <x v="979"/>
    <x v="0"/>
    <s v="DISCOUNT NOT ALLOWED"/>
    <s v="discount not allowed"/>
    <s v="DISCOUNT NOT ALLOWED"/>
    <s v="Discount Not Allowed"/>
    <s v="11/01/24"/>
  </r>
  <r>
    <s v="TXN_8393738"/>
    <s v="CUST_10"/>
    <x v="6"/>
    <x v="49"/>
    <x v="6"/>
    <x v="7"/>
    <n v="96"/>
    <x v="2"/>
    <x v="0"/>
    <x v="1039"/>
    <x v="1"/>
    <s v="DISCOUNT ALLOWED"/>
    <s v="discount allowed"/>
    <s v="DISCOUNT ALLOWED"/>
    <s v="Discount Allowed"/>
    <s v="07/01/23"/>
  </r>
  <r>
    <s v="TXN_9019672"/>
    <s v="CUST_10"/>
    <x v="7"/>
    <x v="45"/>
    <x v="6"/>
    <x v="7"/>
    <n v="96"/>
    <x v="1"/>
    <x v="0"/>
    <x v="619"/>
    <x v="0"/>
    <s v="DISCOUNT NOT ALLOWED"/>
    <s v="discount not allowed"/>
    <s v="DISCOUNT NOT ALLOWED"/>
    <s v="Discount Not Allowed"/>
    <s v="15/09/24"/>
  </r>
  <r>
    <s v="TXN_9263134"/>
    <s v="CUST_10"/>
    <x v="0"/>
    <x v="47"/>
    <x v="6"/>
    <x v="7"/>
    <n v="96"/>
    <x v="1"/>
    <x v="1"/>
    <x v="141"/>
    <x v="0"/>
    <s v="DISCOUNT NOT ALLOWED"/>
    <s v="discount not allowed"/>
    <s v="DISCOUNT NOT ALLOWED"/>
    <s v="Discount Not Allowed"/>
    <s v="12/10/24"/>
  </r>
  <r>
    <s v="TXN_9519628"/>
    <s v="CUST_02"/>
    <x v="5"/>
    <x v="48"/>
    <x v="6"/>
    <x v="7"/>
    <n v="96"/>
    <x v="0"/>
    <x v="1"/>
    <x v="981"/>
    <x v="1"/>
    <s v="DISCOUNT ALLOWED"/>
    <s v="discount allowed"/>
    <s v="DISCOUNT ALLOWED"/>
    <s v="Discount Allowed"/>
    <s v="07/12/23"/>
  </r>
  <r>
    <s v="TXN_1858867"/>
    <s v="CUST_16"/>
    <x v="4"/>
    <x v="166"/>
    <x v="21"/>
    <x v="0"/>
    <n v="95"/>
    <x v="0"/>
    <x v="0"/>
    <x v="899"/>
    <x v="0"/>
    <s v="DISCOUNT NOT ALLOWED"/>
    <s v="discount not allowed"/>
    <s v="DISCOUNT NOT ALLOWED"/>
    <s v="Discount Not Allowed"/>
    <s v="20/07/22"/>
  </r>
  <r>
    <s v="TXN_2035161"/>
    <s v="CUST_02"/>
    <x v="5"/>
    <x v="167"/>
    <x v="21"/>
    <x v="0"/>
    <n v="95"/>
    <x v="1"/>
    <x v="0"/>
    <x v="1060"/>
    <x v="0"/>
    <s v="DISCOUNT NOT ALLOWED"/>
    <s v="discount not allowed"/>
    <s v="DISCOUNT NOT ALLOWED"/>
    <s v="Discount Not Allowed"/>
    <s v="18/06/23"/>
  </r>
  <r>
    <s v="TXN_2105562"/>
    <s v="CUST_09"/>
    <x v="0"/>
    <x v="168"/>
    <x v="21"/>
    <x v="0"/>
    <n v="95"/>
    <x v="2"/>
    <x v="1"/>
    <x v="72"/>
    <x v="0"/>
    <s v="DISCOUNT NOT ALLOWED"/>
    <s v="discount not allowed"/>
    <s v="DISCOUNT NOT ALLOWED"/>
    <s v="Discount Not Allowed"/>
    <s v="25/04/24"/>
  </r>
  <r>
    <s v="TXN_2111400"/>
    <s v="CUST_15"/>
    <x v="1"/>
    <x v="169"/>
    <x v="21"/>
    <x v="0"/>
    <n v="95"/>
    <x v="0"/>
    <x v="1"/>
    <x v="217"/>
    <x v="1"/>
    <s v="DISCOUNT ALLOWED"/>
    <s v="discount allowed"/>
    <s v="DISCOUNT ALLOWED"/>
    <s v="Discount Allowed"/>
    <s v="12/01/24"/>
  </r>
  <r>
    <s v="TXN_3070107"/>
    <s v="CUST_08"/>
    <x v="7"/>
    <x v="170"/>
    <x v="21"/>
    <x v="0"/>
    <n v="95"/>
    <x v="0"/>
    <x v="0"/>
    <x v="1016"/>
    <x v="1"/>
    <s v="DISCOUNT ALLOWED"/>
    <s v="discount allowed"/>
    <s v="DISCOUNT ALLOWED"/>
    <s v="Discount Allowed"/>
    <s v="14/03/24"/>
  </r>
  <r>
    <s v="TXN_3244040"/>
    <s v="CUST_17"/>
    <x v="7"/>
    <x v="170"/>
    <x v="21"/>
    <x v="0"/>
    <n v="95"/>
    <x v="0"/>
    <x v="1"/>
    <x v="731"/>
    <x v="0"/>
    <s v="DISCOUNT NOT ALLOWED"/>
    <s v="discount not allowed"/>
    <s v="DISCOUNT NOT ALLOWED"/>
    <s v="Discount Not Allowed"/>
    <s v="09/07/24"/>
  </r>
  <r>
    <s v="TXN_3564962"/>
    <s v="CUST_01"/>
    <x v="5"/>
    <x v="167"/>
    <x v="21"/>
    <x v="0"/>
    <n v="95"/>
    <x v="0"/>
    <x v="1"/>
    <x v="340"/>
    <x v="1"/>
    <s v="DISCOUNT ALLOWED"/>
    <s v="discount allowed"/>
    <s v="DISCOUNT ALLOWED"/>
    <s v="Discount Allowed"/>
    <s v="05/03/22"/>
  </r>
  <r>
    <s v="TXN_3614311"/>
    <s v="CUST_01"/>
    <x v="7"/>
    <x v="170"/>
    <x v="21"/>
    <x v="0"/>
    <n v="95"/>
    <x v="0"/>
    <x v="0"/>
    <x v="1087"/>
    <x v="0"/>
    <s v="DISCOUNT NOT ALLOWED"/>
    <s v="discount not allowed"/>
    <s v="DISCOUNT NOT ALLOWED"/>
    <s v="Discount Not Allowed"/>
    <s v="29/01/23"/>
  </r>
  <r>
    <s v="TXN_4023152"/>
    <s v="CUST_13"/>
    <x v="7"/>
    <x v="170"/>
    <x v="21"/>
    <x v="0"/>
    <n v="95"/>
    <x v="1"/>
    <x v="1"/>
    <x v="1040"/>
    <x v="1"/>
    <s v="DISCOUNT ALLOWED"/>
    <s v="discount allowed"/>
    <s v="DISCOUNT ALLOWED"/>
    <s v="Discount Allowed"/>
    <s v="21/03/22"/>
  </r>
  <r>
    <s v="TXN_4136457"/>
    <s v="CUST_22"/>
    <x v="4"/>
    <x v="166"/>
    <x v="21"/>
    <x v="0"/>
    <n v="95"/>
    <x v="1"/>
    <x v="0"/>
    <x v="870"/>
    <x v="0"/>
    <s v="DISCOUNT NOT ALLOWED"/>
    <s v="discount not allowed"/>
    <s v="DISCOUNT NOT ALLOWED"/>
    <s v="Discount Not Allowed"/>
    <s v="18/09/22"/>
  </r>
  <r>
    <s v="TXN_4290067"/>
    <s v="CUST_03"/>
    <x v="0"/>
    <x v="168"/>
    <x v="21"/>
    <x v="0"/>
    <n v="95"/>
    <x v="1"/>
    <x v="0"/>
    <x v="260"/>
    <x v="0"/>
    <s v="DISCOUNT NOT ALLOWED"/>
    <s v="discount not allowed"/>
    <s v="DISCOUNT NOT ALLOWED"/>
    <s v="Discount Not Allowed"/>
    <s v="04/07/23"/>
  </r>
  <r>
    <s v="TXN_4466822"/>
    <s v="CUST_21"/>
    <x v="5"/>
    <x v="167"/>
    <x v="21"/>
    <x v="0"/>
    <n v="95"/>
    <x v="0"/>
    <x v="1"/>
    <x v="534"/>
    <x v="1"/>
    <s v="DISCOUNT ALLOWED"/>
    <s v="discount allowed"/>
    <s v="DISCOUNT ALLOWED"/>
    <s v="Discount Allowed"/>
    <s v="25/02/24"/>
  </r>
  <r>
    <s v="TXN_5969212"/>
    <s v="CUST_04"/>
    <x v="7"/>
    <x v="170"/>
    <x v="21"/>
    <x v="0"/>
    <n v="95"/>
    <x v="0"/>
    <x v="1"/>
    <x v="533"/>
    <x v="1"/>
    <s v="DISCOUNT ALLOWED"/>
    <s v="discount allowed"/>
    <s v="DISCOUNT ALLOWED"/>
    <s v="Discount Allowed"/>
    <s v="14/10/24"/>
  </r>
  <r>
    <s v="TXN_6288656"/>
    <s v="CUST_20"/>
    <x v="2"/>
    <x v="171"/>
    <x v="21"/>
    <x v="0"/>
    <n v="95"/>
    <x v="2"/>
    <x v="0"/>
    <x v="779"/>
    <x v="0"/>
    <s v="DISCOUNT NOT ALLOWED"/>
    <s v="discount not allowed"/>
    <s v="DISCOUNT NOT ALLOWED"/>
    <s v="Discount Not Allowed"/>
    <s v="10/01/23"/>
  </r>
  <r>
    <s v="TXN_7136333"/>
    <s v="CUST_16"/>
    <x v="2"/>
    <x v="171"/>
    <x v="21"/>
    <x v="0"/>
    <n v="95"/>
    <x v="2"/>
    <x v="1"/>
    <x v="534"/>
    <x v="1"/>
    <s v="DISCOUNT ALLOWED"/>
    <s v="discount allowed"/>
    <s v="DISCOUNT ALLOWED"/>
    <s v="Discount Allowed"/>
    <s v="25/02/24"/>
  </r>
  <r>
    <s v="TXN_7186832"/>
    <s v="CUST_08"/>
    <x v="0"/>
    <x v="168"/>
    <x v="21"/>
    <x v="0"/>
    <n v="95"/>
    <x v="1"/>
    <x v="1"/>
    <x v="953"/>
    <x v="0"/>
    <s v="DISCOUNT NOT ALLOWED"/>
    <s v="discount not allowed"/>
    <s v="DISCOUNT NOT ALLOWED"/>
    <s v="Discount Not Allowed"/>
    <s v="25/01/23"/>
  </r>
  <r>
    <s v="TXN_7589315"/>
    <s v="CUST_04"/>
    <x v="6"/>
    <x v="172"/>
    <x v="21"/>
    <x v="0"/>
    <n v="95"/>
    <x v="2"/>
    <x v="1"/>
    <x v="333"/>
    <x v="1"/>
    <s v="DISCOUNT ALLOWED"/>
    <s v="discount allowed"/>
    <s v="DISCOUNT ALLOWED"/>
    <s v="Discount Allowed"/>
    <s v="16/12/22"/>
  </r>
  <r>
    <s v="TXN_7689517"/>
    <s v="CUST_03"/>
    <x v="7"/>
    <x v="170"/>
    <x v="21"/>
    <x v="0"/>
    <n v="95"/>
    <x v="0"/>
    <x v="0"/>
    <x v="24"/>
    <x v="0"/>
    <s v="DISCOUNT NOT ALLOWED"/>
    <s v="discount not allowed"/>
    <s v="DISCOUNT NOT ALLOWED"/>
    <s v="Discount Not Allowed"/>
    <s v="01/05/24"/>
  </r>
  <r>
    <s v="TXN_7921654"/>
    <s v="CUST_25"/>
    <x v="4"/>
    <x v="166"/>
    <x v="21"/>
    <x v="0"/>
    <n v="95"/>
    <x v="1"/>
    <x v="0"/>
    <x v="983"/>
    <x v="1"/>
    <s v="DISCOUNT ALLOWED"/>
    <s v="discount allowed"/>
    <s v="DISCOUNT ALLOWED"/>
    <s v="Discount Allowed"/>
    <s v="22/01/23"/>
  </r>
  <r>
    <s v="TXN_8138424"/>
    <s v="CUST_09"/>
    <x v="5"/>
    <x v="167"/>
    <x v="21"/>
    <x v="0"/>
    <n v="95"/>
    <x v="2"/>
    <x v="0"/>
    <x v="272"/>
    <x v="1"/>
    <s v="DISCOUNT ALLOWED"/>
    <s v="discount allowed"/>
    <s v="DISCOUNT ALLOWED"/>
    <s v="Discount Allowed"/>
    <s v="08/04/22"/>
  </r>
  <r>
    <s v="TXN_8271625"/>
    <s v="CUST_21"/>
    <x v="0"/>
    <x v="168"/>
    <x v="21"/>
    <x v="0"/>
    <n v="95"/>
    <x v="0"/>
    <x v="0"/>
    <x v="240"/>
    <x v="1"/>
    <s v="DISCOUNT ALLOWED"/>
    <s v="discount allowed"/>
    <s v="DISCOUNT ALLOWED"/>
    <s v="Discount Allowed"/>
    <s v="08/07/24"/>
  </r>
  <r>
    <s v="TXN_8389190"/>
    <s v="CUST_12"/>
    <x v="2"/>
    <x v="171"/>
    <x v="21"/>
    <x v="0"/>
    <n v="95"/>
    <x v="1"/>
    <x v="1"/>
    <x v="420"/>
    <x v="0"/>
    <s v="DISCOUNT NOT ALLOWED"/>
    <s v="discount not allowed"/>
    <s v="DISCOUNT NOT ALLOWED"/>
    <s v="Discount Not Allowed"/>
    <s v="28/09/24"/>
  </r>
  <r>
    <s v="TXN_8961064"/>
    <s v="CUST_16"/>
    <x v="3"/>
    <x v="173"/>
    <x v="21"/>
    <x v="0"/>
    <n v="95"/>
    <x v="0"/>
    <x v="1"/>
    <x v="577"/>
    <x v="1"/>
    <s v="DISCOUNT ALLOWED"/>
    <s v="discount allowed"/>
    <s v="DISCOUNT ALLOWED"/>
    <s v="Discount Allowed"/>
    <s v="22/06/24"/>
  </r>
  <r>
    <s v="TXN_9150129"/>
    <s v="CUST_06"/>
    <x v="5"/>
    <x v="167"/>
    <x v="21"/>
    <x v="0"/>
    <n v="95"/>
    <x v="1"/>
    <x v="1"/>
    <x v="343"/>
    <x v="1"/>
    <s v="DISCOUNT ALLOWED"/>
    <s v="discount allowed"/>
    <s v="DISCOUNT ALLOWED"/>
    <s v="Discount Allowed"/>
    <s v="27/06/24"/>
  </r>
  <r>
    <s v="TXN_9171710"/>
    <s v="CUST_23"/>
    <x v="3"/>
    <x v="173"/>
    <x v="21"/>
    <x v="0"/>
    <n v="95"/>
    <x v="1"/>
    <x v="0"/>
    <x v="342"/>
    <x v="0"/>
    <s v="DISCOUNT NOT ALLOWED"/>
    <s v="discount not allowed"/>
    <s v="DISCOUNT NOT ALLOWED"/>
    <s v="Discount Not Allowed"/>
    <s v="02/07/24"/>
  </r>
  <r>
    <s v="TXN_9224762"/>
    <s v="CUST_03"/>
    <x v="2"/>
    <x v="171"/>
    <x v="21"/>
    <x v="0"/>
    <n v="95"/>
    <x v="0"/>
    <x v="0"/>
    <x v="588"/>
    <x v="0"/>
    <s v="DISCOUNT NOT ALLOWED"/>
    <s v="discount not allowed"/>
    <s v="DISCOUNT NOT ALLOWED"/>
    <s v="Discount Not Allowed"/>
    <s v="10/01/22"/>
  </r>
  <r>
    <s v="TXN_9441688"/>
    <s v="CUST_03"/>
    <x v="7"/>
    <x v="170"/>
    <x v="21"/>
    <x v="0"/>
    <n v="95"/>
    <x v="0"/>
    <x v="1"/>
    <x v="0"/>
    <x v="0"/>
    <s v="DISCOUNT NOT ALLOWED"/>
    <s v="discount not allowed"/>
    <s v="DISCOUNT NOT ALLOWED"/>
    <s v="Discount Not Allowed"/>
    <s v="23/08/22"/>
  </r>
  <r>
    <s v="TXN_9706254"/>
    <s v="CUST_10"/>
    <x v="4"/>
    <x v="166"/>
    <x v="21"/>
    <x v="0"/>
    <n v="95"/>
    <x v="1"/>
    <x v="0"/>
    <x v="238"/>
    <x v="1"/>
    <s v="DISCOUNT ALLOWED"/>
    <s v="discount allowed"/>
    <s v="DISCOUNT ALLOWED"/>
    <s v="Discount Allowed"/>
    <s v="09/08/23"/>
  </r>
  <r>
    <s v="TXN_1278695"/>
    <s v="CUST_02"/>
    <x v="1"/>
    <x v="136"/>
    <x v="17"/>
    <x v="4"/>
    <n v="93"/>
    <x v="1"/>
    <x v="1"/>
    <x v="460"/>
    <x v="1"/>
    <s v="DISCOUNT ALLOWED"/>
    <s v="discount allowed"/>
    <s v="DISCOUNT ALLOWED"/>
    <s v="Discount Allowed"/>
    <s v="11/03/23"/>
  </r>
  <r>
    <s v="TXN_1470767"/>
    <s v="CUST_02"/>
    <x v="6"/>
    <x v="140"/>
    <x v="17"/>
    <x v="4"/>
    <n v="93"/>
    <x v="1"/>
    <x v="1"/>
    <x v="299"/>
    <x v="1"/>
    <s v="DISCOUNT ALLOWED"/>
    <s v="discount allowed"/>
    <s v="DISCOUNT ALLOWED"/>
    <s v="Discount Allowed"/>
    <s v="11/10/22"/>
  </r>
  <r>
    <s v="TXN_1538849"/>
    <s v="CUST_21"/>
    <x v="2"/>
    <x v="135"/>
    <x v="17"/>
    <x v="4"/>
    <n v="93"/>
    <x v="1"/>
    <x v="1"/>
    <x v="271"/>
    <x v="0"/>
    <s v="DISCOUNT NOT ALLOWED"/>
    <s v="discount not allowed"/>
    <s v="DISCOUNT NOT ALLOWED"/>
    <s v="Discount Not Allowed"/>
    <s v="26/11/22"/>
  </r>
  <r>
    <s v="TXN_1694877"/>
    <s v="CUST_05"/>
    <x v="1"/>
    <x v="136"/>
    <x v="17"/>
    <x v="4"/>
    <n v="93"/>
    <x v="0"/>
    <x v="0"/>
    <x v="1053"/>
    <x v="1"/>
    <s v="DISCOUNT ALLOWED"/>
    <s v="discount allowed"/>
    <s v="DISCOUNT ALLOWED"/>
    <s v="Discount Allowed"/>
    <s v="22/08/23"/>
  </r>
  <r>
    <s v="TXN_1930172"/>
    <s v="CUST_06"/>
    <x v="7"/>
    <x v="137"/>
    <x v="17"/>
    <x v="4"/>
    <n v="93"/>
    <x v="2"/>
    <x v="1"/>
    <x v="826"/>
    <x v="0"/>
    <s v="DISCOUNT NOT ALLOWED"/>
    <s v="discount not allowed"/>
    <s v="DISCOUNT NOT ALLOWED"/>
    <s v="Discount Not Allowed"/>
    <s v="03/08/22"/>
  </r>
  <r>
    <s v="TXN_1990907"/>
    <s v="CUST_18"/>
    <x v="2"/>
    <x v="135"/>
    <x v="17"/>
    <x v="4"/>
    <n v="93"/>
    <x v="0"/>
    <x v="1"/>
    <x v="606"/>
    <x v="1"/>
    <s v="DISCOUNT ALLOWED"/>
    <s v="discount allowed"/>
    <s v="DISCOUNT ALLOWED"/>
    <s v="Discount Allowed"/>
    <s v="02/08/23"/>
  </r>
  <r>
    <s v="TXN_2202698"/>
    <s v="CUST_16"/>
    <x v="0"/>
    <x v="139"/>
    <x v="17"/>
    <x v="4"/>
    <n v="93"/>
    <x v="0"/>
    <x v="1"/>
    <x v="67"/>
    <x v="0"/>
    <s v="DISCOUNT NOT ALLOWED"/>
    <s v="discount not allowed"/>
    <s v="DISCOUNT NOT ALLOWED"/>
    <s v="Discount Not Allowed"/>
    <s v="18/08/22"/>
  </r>
  <r>
    <s v="TXN_2434158"/>
    <s v="CUST_03"/>
    <x v="5"/>
    <x v="138"/>
    <x v="17"/>
    <x v="4"/>
    <n v="93"/>
    <x v="2"/>
    <x v="1"/>
    <x v="1010"/>
    <x v="0"/>
    <s v="DISCOUNT NOT ALLOWED"/>
    <s v="discount not allowed"/>
    <s v="DISCOUNT NOT ALLOWED"/>
    <s v="Discount Not Allowed"/>
    <s v="30/10/23"/>
  </r>
  <r>
    <s v="TXN_2482739"/>
    <s v="CUST_04"/>
    <x v="1"/>
    <x v="136"/>
    <x v="17"/>
    <x v="4"/>
    <n v="93"/>
    <x v="1"/>
    <x v="1"/>
    <x v="567"/>
    <x v="1"/>
    <s v="DISCOUNT ALLOWED"/>
    <s v="discount allowed"/>
    <s v="DISCOUNT ALLOWED"/>
    <s v="Discount Allowed"/>
    <s v="01/03/22"/>
  </r>
  <r>
    <s v="TXN_2593320"/>
    <s v="CUST_04"/>
    <x v="0"/>
    <x v="139"/>
    <x v="17"/>
    <x v="4"/>
    <n v="93"/>
    <x v="2"/>
    <x v="1"/>
    <x v="859"/>
    <x v="0"/>
    <s v="DISCOUNT NOT ALLOWED"/>
    <s v="discount not allowed"/>
    <s v="DISCOUNT NOT ALLOWED"/>
    <s v="Discount Not Allowed"/>
    <s v="21/01/23"/>
  </r>
  <r>
    <s v="TXN_2630479"/>
    <s v="CUST_20"/>
    <x v="7"/>
    <x v="137"/>
    <x v="17"/>
    <x v="4"/>
    <n v="93"/>
    <x v="2"/>
    <x v="1"/>
    <x v="410"/>
    <x v="1"/>
    <s v="DISCOUNT ALLOWED"/>
    <s v="discount allowed"/>
    <s v="DISCOUNT ALLOWED"/>
    <s v="Discount Allowed"/>
    <s v="30/06/23"/>
  </r>
  <r>
    <s v="TXN_2666524"/>
    <s v="CUST_25"/>
    <x v="2"/>
    <x v="135"/>
    <x v="17"/>
    <x v="4"/>
    <n v="93"/>
    <x v="2"/>
    <x v="1"/>
    <x v="189"/>
    <x v="1"/>
    <s v="DISCOUNT ALLOWED"/>
    <s v="discount allowed"/>
    <s v="DISCOUNT ALLOWED"/>
    <s v="Discount Allowed"/>
    <s v="22/09/23"/>
  </r>
  <r>
    <s v="TXN_3508176"/>
    <s v="CUST_08"/>
    <x v="2"/>
    <x v="135"/>
    <x v="17"/>
    <x v="4"/>
    <n v="93"/>
    <x v="1"/>
    <x v="1"/>
    <x v="978"/>
    <x v="1"/>
    <s v="DISCOUNT ALLOWED"/>
    <s v="discount allowed"/>
    <s v="DISCOUNT ALLOWED"/>
    <s v="Discount Allowed"/>
    <s v="09/01/25"/>
  </r>
  <r>
    <s v="TXN_3710680"/>
    <s v="CUST_20"/>
    <x v="0"/>
    <x v="139"/>
    <x v="17"/>
    <x v="4"/>
    <n v="93"/>
    <x v="0"/>
    <x v="1"/>
    <x v="852"/>
    <x v="1"/>
    <s v="DISCOUNT ALLOWED"/>
    <s v="discount allowed"/>
    <s v="DISCOUNT ALLOWED"/>
    <s v="Discount Allowed"/>
    <s v="26/05/22"/>
  </r>
  <r>
    <s v="TXN_4379015"/>
    <s v="CUST_23"/>
    <x v="6"/>
    <x v="140"/>
    <x v="17"/>
    <x v="4"/>
    <n v="93"/>
    <x v="2"/>
    <x v="0"/>
    <x v="299"/>
    <x v="0"/>
    <s v="DISCOUNT NOT ALLOWED"/>
    <s v="discount not allowed"/>
    <s v="DISCOUNT NOT ALLOWED"/>
    <s v="Discount Not Allowed"/>
    <s v="11/10/22"/>
  </r>
  <r>
    <s v="TXN_4448047"/>
    <s v="CUST_03"/>
    <x v="0"/>
    <x v="139"/>
    <x v="17"/>
    <x v="4"/>
    <n v="93"/>
    <x v="2"/>
    <x v="0"/>
    <x v="941"/>
    <x v="0"/>
    <s v="DISCOUNT NOT ALLOWED"/>
    <s v="discount not allowed"/>
    <s v="DISCOUNT NOT ALLOWED"/>
    <s v="Discount Not Allowed"/>
    <s v="15/06/22"/>
  </r>
  <r>
    <s v="TXN_5020329"/>
    <s v="CUST_05"/>
    <x v="5"/>
    <x v="138"/>
    <x v="17"/>
    <x v="4"/>
    <n v="93"/>
    <x v="0"/>
    <x v="0"/>
    <x v="140"/>
    <x v="0"/>
    <s v="DISCOUNT NOT ALLOWED"/>
    <s v="discount not allowed"/>
    <s v="DISCOUNT NOT ALLOWED"/>
    <s v="Discount Not Allowed"/>
    <s v="13/03/22"/>
  </r>
  <r>
    <s v="TXN_5116293"/>
    <s v="CUST_02"/>
    <x v="7"/>
    <x v="137"/>
    <x v="17"/>
    <x v="4"/>
    <n v="93"/>
    <x v="1"/>
    <x v="0"/>
    <x v="590"/>
    <x v="0"/>
    <s v="DISCOUNT NOT ALLOWED"/>
    <s v="discount not allowed"/>
    <s v="DISCOUNT NOT ALLOWED"/>
    <s v="Discount Not Allowed"/>
    <s v="05/12/22"/>
  </r>
  <r>
    <s v="TXN_5235086"/>
    <s v="CUST_18"/>
    <x v="5"/>
    <x v="138"/>
    <x v="17"/>
    <x v="4"/>
    <n v="93"/>
    <x v="0"/>
    <x v="1"/>
    <x v="350"/>
    <x v="0"/>
    <s v="DISCOUNT NOT ALLOWED"/>
    <s v="discount not allowed"/>
    <s v="DISCOUNT NOT ALLOWED"/>
    <s v="Discount Not Allowed"/>
    <s v="15/01/22"/>
  </r>
  <r>
    <s v="TXN_5360194"/>
    <s v="CUST_20"/>
    <x v="1"/>
    <x v="136"/>
    <x v="17"/>
    <x v="4"/>
    <n v="93"/>
    <x v="2"/>
    <x v="1"/>
    <x v="349"/>
    <x v="1"/>
    <s v="DISCOUNT ALLOWED"/>
    <s v="discount allowed"/>
    <s v="DISCOUNT ALLOWED"/>
    <s v="Discount Allowed"/>
    <s v="04/09/24"/>
  </r>
  <r>
    <s v="TXN_5387960"/>
    <s v="CUST_13"/>
    <x v="7"/>
    <x v="137"/>
    <x v="17"/>
    <x v="4"/>
    <n v="93"/>
    <x v="0"/>
    <x v="0"/>
    <x v="84"/>
    <x v="1"/>
    <s v="DISCOUNT ALLOWED"/>
    <s v="discount allowed"/>
    <s v="DISCOUNT ALLOWED"/>
    <s v="Discount Allowed"/>
    <s v="26/04/22"/>
  </r>
  <r>
    <s v="TXN_5591807"/>
    <s v="CUST_11"/>
    <x v="0"/>
    <x v="139"/>
    <x v="17"/>
    <x v="4"/>
    <n v="93"/>
    <x v="0"/>
    <x v="0"/>
    <x v="329"/>
    <x v="0"/>
    <s v="DISCOUNT NOT ALLOWED"/>
    <s v="discount not allowed"/>
    <s v="DISCOUNT NOT ALLOWED"/>
    <s v="Discount Not Allowed"/>
    <s v="02/03/22"/>
  </r>
  <r>
    <s v="TXN_5740060"/>
    <s v="CUST_06"/>
    <x v="2"/>
    <x v="135"/>
    <x v="17"/>
    <x v="4"/>
    <n v="93"/>
    <x v="1"/>
    <x v="1"/>
    <x v="553"/>
    <x v="1"/>
    <s v="DISCOUNT ALLOWED"/>
    <s v="discount allowed"/>
    <s v="DISCOUNT ALLOWED"/>
    <s v="Discount Allowed"/>
    <s v="04/08/24"/>
  </r>
  <r>
    <s v="TXN_5813861"/>
    <s v="CUST_04"/>
    <x v="2"/>
    <x v="135"/>
    <x v="17"/>
    <x v="4"/>
    <n v="93"/>
    <x v="1"/>
    <x v="1"/>
    <x v="774"/>
    <x v="0"/>
    <s v="DISCOUNT NOT ALLOWED"/>
    <s v="discount not allowed"/>
    <s v="DISCOUNT NOT ALLOWED"/>
    <s v="Discount Not Allowed"/>
    <s v="17/04/22"/>
  </r>
  <r>
    <s v="TXN_5834846"/>
    <s v="CUST_05"/>
    <x v="5"/>
    <x v="138"/>
    <x v="17"/>
    <x v="4"/>
    <n v="93"/>
    <x v="2"/>
    <x v="0"/>
    <x v="1048"/>
    <x v="0"/>
    <s v="DISCOUNT NOT ALLOWED"/>
    <s v="discount not allowed"/>
    <s v="DISCOUNT NOT ALLOWED"/>
    <s v="Discount Not Allowed"/>
    <s v="17/06/22"/>
  </r>
  <r>
    <s v="TXN_6583758"/>
    <s v="CUST_14"/>
    <x v="2"/>
    <x v="135"/>
    <x v="17"/>
    <x v="4"/>
    <n v="93"/>
    <x v="1"/>
    <x v="1"/>
    <x v="812"/>
    <x v="1"/>
    <s v="DISCOUNT ALLOWED"/>
    <s v="discount allowed"/>
    <s v="DISCOUNT ALLOWED"/>
    <s v="Discount Allowed"/>
    <s v="21/04/24"/>
  </r>
  <r>
    <s v="TXN_6603773"/>
    <s v="CUST_11"/>
    <x v="5"/>
    <x v="138"/>
    <x v="17"/>
    <x v="4"/>
    <n v="93"/>
    <x v="0"/>
    <x v="0"/>
    <x v="492"/>
    <x v="1"/>
    <s v="DISCOUNT ALLOWED"/>
    <s v="discount allowed"/>
    <s v="DISCOUNT ALLOWED"/>
    <s v="Discount Allowed"/>
    <s v="29/03/24"/>
  </r>
  <r>
    <s v="TXN_6698554"/>
    <s v="CUST_21"/>
    <x v="4"/>
    <x v="141"/>
    <x v="17"/>
    <x v="4"/>
    <n v="93"/>
    <x v="2"/>
    <x v="1"/>
    <x v="596"/>
    <x v="1"/>
    <s v="DISCOUNT ALLOWED"/>
    <s v="discount allowed"/>
    <s v="DISCOUNT ALLOWED"/>
    <s v="Discount Allowed"/>
    <s v="06/12/23"/>
  </r>
  <r>
    <s v="TXN_6836178"/>
    <s v="CUST_18"/>
    <x v="0"/>
    <x v="139"/>
    <x v="17"/>
    <x v="4"/>
    <n v="93"/>
    <x v="1"/>
    <x v="0"/>
    <x v="316"/>
    <x v="0"/>
    <s v="DISCOUNT NOT ALLOWED"/>
    <s v="discount not allowed"/>
    <s v="DISCOUNT NOT ALLOWED"/>
    <s v="Discount Not Allowed"/>
    <s v="27/05/22"/>
  </r>
  <r>
    <s v="TXN_6837562"/>
    <s v="CUST_03"/>
    <x v="0"/>
    <x v="139"/>
    <x v="17"/>
    <x v="4"/>
    <n v="93"/>
    <x v="1"/>
    <x v="0"/>
    <x v="158"/>
    <x v="1"/>
    <s v="DISCOUNT ALLOWED"/>
    <s v="discount allowed"/>
    <s v="DISCOUNT ALLOWED"/>
    <s v="Discount Allowed"/>
    <s v="30/07/22"/>
  </r>
  <r>
    <s v="TXN_6917255"/>
    <s v="CUST_07"/>
    <x v="4"/>
    <x v="141"/>
    <x v="17"/>
    <x v="4"/>
    <n v="93"/>
    <x v="2"/>
    <x v="1"/>
    <x v="253"/>
    <x v="1"/>
    <s v="DISCOUNT ALLOWED"/>
    <s v="discount allowed"/>
    <s v="DISCOUNT ALLOWED"/>
    <s v="Discount Allowed"/>
    <s v="31/07/24"/>
  </r>
  <r>
    <s v="TXN_7218185"/>
    <s v="CUST_02"/>
    <x v="7"/>
    <x v="137"/>
    <x v="17"/>
    <x v="4"/>
    <n v="93"/>
    <x v="0"/>
    <x v="1"/>
    <x v="688"/>
    <x v="0"/>
    <s v="DISCOUNT NOT ALLOWED"/>
    <s v="discount not allowed"/>
    <s v="DISCOUNT NOT ALLOWED"/>
    <s v="Discount Not Allowed"/>
    <s v="04/03/24"/>
  </r>
  <r>
    <s v="TXN_7407092"/>
    <s v="CUST_22"/>
    <x v="5"/>
    <x v="138"/>
    <x v="17"/>
    <x v="4"/>
    <n v="93"/>
    <x v="2"/>
    <x v="0"/>
    <x v="519"/>
    <x v="0"/>
    <s v="DISCOUNT NOT ALLOWED"/>
    <s v="discount not allowed"/>
    <s v="DISCOUNT NOT ALLOWED"/>
    <s v="Discount Not Allowed"/>
    <s v="08/03/23"/>
  </r>
  <r>
    <s v="TXN_7525212"/>
    <s v="CUST_14"/>
    <x v="5"/>
    <x v="138"/>
    <x v="17"/>
    <x v="4"/>
    <n v="93"/>
    <x v="0"/>
    <x v="0"/>
    <x v="797"/>
    <x v="1"/>
    <s v="DISCOUNT ALLOWED"/>
    <s v="discount allowed"/>
    <s v="DISCOUNT ALLOWED"/>
    <s v="Discount Allowed"/>
    <s v="24/01/22"/>
  </r>
  <r>
    <s v="TXN_8005357"/>
    <s v="CUST_19"/>
    <x v="5"/>
    <x v="138"/>
    <x v="17"/>
    <x v="4"/>
    <n v="93"/>
    <x v="1"/>
    <x v="1"/>
    <x v="498"/>
    <x v="1"/>
    <s v="DISCOUNT ALLOWED"/>
    <s v="discount allowed"/>
    <s v="DISCOUNT ALLOWED"/>
    <s v="Discount Allowed"/>
    <s v="19/08/22"/>
  </r>
  <r>
    <s v="TXN_8024224"/>
    <s v="CUST_25"/>
    <x v="5"/>
    <x v="138"/>
    <x v="17"/>
    <x v="4"/>
    <n v="93"/>
    <x v="2"/>
    <x v="1"/>
    <x v="909"/>
    <x v="0"/>
    <s v="DISCOUNT NOT ALLOWED"/>
    <s v="discount not allowed"/>
    <s v="DISCOUNT NOT ALLOWED"/>
    <s v="Discount Not Allowed"/>
    <s v="07/03/24"/>
  </r>
  <r>
    <s v="TXN_8420021"/>
    <s v="CUST_03"/>
    <x v="0"/>
    <x v="139"/>
    <x v="17"/>
    <x v="4"/>
    <n v="93"/>
    <x v="0"/>
    <x v="0"/>
    <x v="496"/>
    <x v="0"/>
    <s v="DISCOUNT NOT ALLOWED"/>
    <s v="discount not allowed"/>
    <s v="DISCOUNT NOT ALLOWED"/>
    <s v="Discount Not Allowed"/>
    <s v="23/03/22"/>
  </r>
  <r>
    <s v="TXN_8765485"/>
    <s v="CUST_02"/>
    <x v="0"/>
    <x v="139"/>
    <x v="17"/>
    <x v="4"/>
    <n v="93"/>
    <x v="1"/>
    <x v="1"/>
    <x v="186"/>
    <x v="1"/>
    <s v="DISCOUNT ALLOWED"/>
    <s v="discount allowed"/>
    <s v="DISCOUNT ALLOWED"/>
    <s v="Discount Allowed"/>
    <s v="15/09/22"/>
  </r>
  <r>
    <s v="TXN_8836430"/>
    <s v="CUST_08"/>
    <x v="0"/>
    <x v="139"/>
    <x v="17"/>
    <x v="4"/>
    <n v="93"/>
    <x v="0"/>
    <x v="1"/>
    <x v="431"/>
    <x v="0"/>
    <s v="DISCOUNT NOT ALLOWED"/>
    <s v="discount not allowed"/>
    <s v="DISCOUNT NOT ALLOWED"/>
    <s v="Discount Not Allowed"/>
    <s v="01/01/25"/>
  </r>
  <r>
    <s v="TXN_9155538"/>
    <s v="CUST_05"/>
    <x v="4"/>
    <x v="141"/>
    <x v="17"/>
    <x v="4"/>
    <n v="93"/>
    <x v="2"/>
    <x v="0"/>
    <x v="553"/>
    <x v="1"/>
    <s v="DISCOUNT ALLOWED"/>
    <s v="discount allowed"/>
    <s v="DISCOUNT ALLOWED"/>
    <s v="Discount Allowed"/>
    <s v="04/08/24"/>
  </r>
  <r>
    <s v="TXN_9204093"/>
    <s v="CUST_21"/>
    <x v="3"/>
    <x v="134"/>
    <x v="17"/>
    <x v="4"/>
    <n v="93"/>
    <x v="1"/>
    <x v="0"/>
    <x v="510"/>
    <x v="0"/>
    <s v="DISCOUNT NOT ALLOWED"/>
    <s v="discount not allowed"/>
    <s v="DISCOUNT NOT ALLOWED"/>
    <s v="Discount Not Allowed"/>
    <s v="14/02/23"/>
  </r>
  <r>
    <s v="TXN_9211951"/>
    <s v="CUST_10"/>
    <x v="2"/>
    <x v="135"/>
    <x v="17"/>
    <x v="4"/>
    <n v="93"/>
    <x v="1"/>
    <x v="0"/>
    <x v="556"/>
    <x v="1"/>
    <s v="DISCOUNT ALLOWED"/>
    <s v="discount allowed"/>
    <s v="DISCOUNT ALLOWED"/>
    <s v="Discount Allowed"/>
    <s v="16/02/24"/>
  </r>
  <r>
    <s v="TXN_9571910"/>
    <s v="CUST_07"/>
    <x v="5"/>
    <x v="138"/>
    <x v="17"/>
    <x v="4"/>
    <n v="93"/>
    <x v="1"/>
    <x v="1"/>
    <x v="292"/>
    <x v="1"/>
    <s v="DISCOUNT ALLOWED"/>
    <s v="discount allowed"/>
    <s v="DISCOUNT ALLOWED"/>
    <s v="Discount Allowed"/>
    <s v="24/10/23"/>
  </r>
  <r>
    <s v="TXN_1006950"/>
    <s v="CUST_06"/>
    <x v="4"/>
    <x v="118"/>
    <x v="15"/>
    <x v="5"/>
    <n v="92.5"/>
    <x v="1"/>
    <x v="0"/>
    <x v="1013"/>
    <x v="1"/>
    <s v="DISCOUNT ALLOWED"/>
    <s v="discount allowed"/>
    <s v="DISCOUNT ALLOWED"/>
    <s v="Discount Allowed"/>
    <s v="03/08/23"/>
  </r>
  <r>
    <s v="TXN_1256115"/>
    <s v="CUST_20"/>
    <x v="6"/>
    <x v="120"/>
    <x v="15"/>
    <x v="5"/>
    <n v="92.5"/>
    <x v="2"/>
    <x v="0"/>
    <x v="946"/>
    <x v="1"/>
    <s v="DISCOUNT ALLOWED"/>
    <s v="discount allowed"/>
    <s v="DISCOUNT ALLOWED"/>
    <s v="Discount Allowed"/>
    <s v="25/11/24"/>
  </r>
  <r>
    <s v="TXN_1508547"/>
    <s v="CUST_24"/>
    <x v="6"/>
    <x v="120"/>
    <x v="15"/>
    <x v="5"/>
    <n v="92.5"/>
    <x v="0"/>
    <x v="0"/>
    <x v="748"/>
    <x v="0"/>
    <s v="DISCOUNT NOT ALLOWED"/>
    <s v="discount not allowed"/>
    <s v="DISCOUNT NOT ALLOWED"/>
    <s v="Discount Not Allowed"/>
    <s v="21/06/23"/>
  </r>
  <r>
    <s v="TXN_2476664"/>
    <s v="CUST_23"/>
    <x v="4"/>
    <x v="118"/>
    <x v="15"/>
    <x v="5"/>
    <n v="92.5"/>
    <x v="1"/>
    <x v="1"/>
    <x v="817"/>
    <x v="1"/>
    <s v="DISCOUNT ALLOWED"/>
    <s v="discount allowed"/>
    <s v="DISCOUNT ALLOWED"/>
    <s v="Discount Allowed"/>
    <s v="07/02/23"/>
  </r>
  <r>
    <s v="TXN_2630677"/>
    <s v="CUST_05"/>
    <x v="7"/>
    <x v="119"/>
    <x v="15"/>
    <x v="5"/>
    <n v="92.5"/>
    <x v="1"/>
    <x v="1"/>
    <x v="118"/>
    <x v="1"/>
    <s v="DISCOUNT ALLOWED"/>
    <s v="discount allowed"/>
    <s v="DISCOUNT ALLOWED"/>
    <s v="Discount Allowed"/>
    <s v="27/04/22"/>
  </r>
  <r>
    <s v="TXN_2986216"/>
    <s v="CUST_17"/>
    <x v="5"/>
    <x v="122"/>
    <x v="15"/>
    <x v="5"/>
    <n v="92.5"/>
    <x v="2"/>
    <x v="0"/>
    <x v="807"/>
    <x v="0"/>
    <s v="DISCOUNT NOT ALLOWED"/>
    <s v="discount not allowed"/>
    <s v="DISCOUNT NOT ALLOWED"/>
    <s v="Discount Not Allowed"/>
    <s v="19/10/23"/>
  </r>
  <r>
    <s v="TXN_2987709"/>
    <s v="CUST_24"/>
    <x v="6"/>
    <x v="120"/>
    <x v="15"/>
    <x v="5"/>
    <n v="92.5"/>
    <x v="1"/>
    <x v="0"/>
    <x v="321"/>
    <x v="1"/>
    <s v="DISCOUNT ALLOWED"/>
    <s v="discount allowed"/>
    <s v="DISCOUNT ALLOWED"/>
    <s v="Discount Allowed"/>
    <s v="28/03/24"/>
  </r>
  <r>
    <s v="TXN_3265003"/>
    <s v="CUST_11"/>
    <x v="6"/>
    <x v="120"/>
    <x v="15"/>
    <x v="5"/>
    <n v="92.5"/>
    <x v="1"/>
    <x v="1"/>
    <x v="544"/>
    <x v="1"/>
    <s v="DISCOUNT ALLOWED"/>
    <s v="discount allowed"/>
    <s v="DISCOUNT ALLOWED"/>
    <s v="Discount Allowed"/>
    <s v="17/07/23"/>
  </r>
  <r>
    <s v="TXN_4640794"/>
    <s v="CUST_25"/>
    <x v="0"/>
    <x v="123"/>
    <x v="15"/>
    <x v="5"/>
    <n v="92.5"/>
    <x v="0"/>
    <x v="0"/>
    <x v="61"/>
    <x v="1"/>
    <s v="DISCOUNT ALLOWED"/>
    <s v="discount allowed"/>
    <s v="DISCOUNT ALLOWED"/>
    <s v="Discount Allowed"/>
    <s v="18/01/23"/>
  </r>
  <r>
    <s v="TXN_4864042"/>
    <s v="CUST_17"/>
    <x v="5"/>
    <x v="122"/>
    <x v="15"/>
    <x v="5"/>
    <n v="92.5"/>
    <x v="1"/>
    <x v="1"/>
    <x v="886"/>
    <x v="1"/>
    <s v="DISCOUNT ALLOWED"/>
    <s v="discount allowed"/>
    <s v="DISCOUNT ALLOWED"/>
    <s v="Discount Allowed"/>
    <s v="21/03/24"/>
  </r>
  <r>
    <s v="TXN_4972574"/>
    <s v="CUST_09"/>
    <x v="2"/>
    <x v="117"/>
    <x v="15"/>
    <x v="5"/>
    <n v="92.5"/>
    <x v="0"/>
    <x v="1"/>
    <x v="22"/>
    <x v="1"/>
    <s v="DISCOUNT ALLOWED"/>
    <s v="discount allowed"/>
    <s v="DISCOUNT ALLOWED"/>
    <s v="Discount Allowed"/>
    <s v="24/01/24"/>
  </r>
  <r>
    <s v="TXN_4974240"/>
    <s v="CUST_25"/>
    <x v="5"/>
    <x v="122"/>
    <x v="15"/>
    <x v="5"/>
    <n v="92.5"/>
    <x v="0"/>
    <x v="1"/>
    <x v="1032"/>
    <x v="1"/>
    <s v="DISCOUNT ALLOWED"/>
    <s v="discount allowed"/>
    <s v="DISCOUNT ALLOWED"/>
    <s v="Discount Allowed"/>
    <s v="30/03/23"/>
  </r>
  <r>
    <s v="TXN_5171428"/>
    <s v="CUST_08"/>
    <x v="0"/>
    <x v="123"/>
    <x v="15"/>
    <x v="5"/>
    <n v="92.5"/>
    <x v="2"/>
    <x v="0"/>
    <x v="193"/>
    <x v="1"/>
    <s v="DISCOUNT ALLOWED"/>
    <s v="discount allowed"/>
    <s v="DISCOUNT ALLOWED"/>
    <s v="Discount Allowed"/>
    <s v="08/01/22"/>
  </r>
  <r>
    <s v="TXN_5243520"/>
    <s v="CUST_13"/>
    <x v="7"/>
    <x v="119"/>
    <x v="15"/>
    <x v="5"/>
    <n v="92.5"/>
    <x v="1"/>
    <x v="1"/>
    <x v="745"/>
    <x v="0"/>
    <s v="DISCOUNT NOT ALLOWED"/>
    <s v="discount not allowed"/>
    <s v="DISCOUNT NOT ALLOWED"/>
    <s v="Discount Not Allowed"/>
    <s v="16/05/24"/>
  </r>
  <r>
    <s v="TXN_6292001"/>
    <s v="CUST_22"/>
    <x v="4"/>
    <x v="118"/>
    <x v="15"/>
    <x v="5"/>
    <n v="92.5"/>
    <x v="2"/>
    <x v="1"/>
    <x v="126"/>
    <x v="1"/>
    <s v="DISCOUNT ALLOWED"/>
    <s v="discount allowed"/>
    <s v="DISCOUNT ALLOWED"/>
    <s v="Discount Allowed"/>
    <s v="21/10/23"/>
  </r>
  <r>
    <s v="TXN_6501945"/>
    <s v="CUST_25"/>
    <x v="7"/>
    <x v="119"/>
    <x v="15"/>
    <x v="5"/>
    <n v="92.5"/>
    <x v="0"/>
    <x v="1"/>
    <x v="411"/>
    <x v="0"/>
    <s v="DISCOUNT NOT ALLOWED"/>
    <s v="discount not allowed"/>
    <s v="DISCOUNT NOT ALLOWED"/>
    <s v="Discount Not Allowed"/>
    <s v="03/12/23"/>
  </r>
  <r>
    <s v="TXN_6963438"/>
    <s v="CUST_11"/>
    <x v="2"/>
    <x v="117"/>
    <x v="15"/>
    <x v="5"/>
    <n v="92.5"/>
    <x v="2"/>
    <x v="0"/>
    <x v="330"/>
    <x v="1"/>
    <s v="DISCOUNT ALLOWED"/>
    <s v="discount allowed"/>
    <s v="DISCOUNT ALLOWED"/>
    <s v="Discount Allowed"/>
    <s v="23/04/24"/>
  </r>
  <r>
    <s v="TXN_7128121"/>
    <s v="CUST_15"/>
    <x v="4"/>
    <x v="118"/>
    <x v="15"/>
    <x v="5"/>
    <n v="92.5"/>
    <x v="1"/>
    <x v="1"/>
    <x v="167"/>
    <x v="1"/>
    <s v="DISCOUNT ALLOWED"/>
    <s v="discount allowed"/>
    <s v="DISCOUNT ALLOWED"/>
    <s v="Discount Allowed"/>
    <s v="16/04/22"/>
  </r>
  <r>
    <s v="TXN_7918707"/>
    <s v="CUST_01"/>
    <x v="1"/>
    <x v="121"/>
    <x v="15"/>
    <x v="5"/>
    <n v="92.5"/>
    <x v="2"/>
    <x v="1"/>
    <x v="945"/>
    <x v="1"/>
    <s v="DISCOUNT ALLOWED"/>
    <s v="discount allowed"/>
    <s v="DISCOUNT ALLOWED"/>
    <s v="Discount Allowed"/>
    <s v="10/03/22"/>
  </r>
  <r>
    <s v="TXN_8219228"/>
    <s v="CUST_17"/>
    <x v="6"/>
    <x v="120"/>
    <x v="15"/>
    <x v="5"/>
    <n v="92.5"/>
    <x v="1"/>
    <x v="0"/>
    <x v="316"/>
    <x v="0"/>
    <s v="DISCOUNT NOT ALLOWED"/>
    <s v="discount not allowed"/>
    <s v="DISCOUNT NOT ALLOWED"/>
    <s v="Discount Not Allowed"/>
    <s v="27/05/22"/>
  </r>
  <r>
    <s v="TXN_8469057"/>
    <s v="CUST_06"/>
    <x v="4"/>
    <x v="118"/>
    <x v="15"/>
    <x v="5"/>
    <n v="92.5"/>
    <x v="1"/>
    <x v="1"/>
    <x v="366"/>
    <x v="0"/>
    <s v="DISCOUNT NOT ALLOWED"/>
    <s v="discount not allowed"/>
    <s v="DISCOUNT NOT ALLOWED"/>
    <s v="Discount Not Allowed"/>
    <s v="29/11/24"/>
  </r>
  <r>
    <s v="TXN_1157052"/>
    <s v="CUST_24"/>
    <x v="3"/>
    <x v="95"/>
    <x v="12"/>
    <x v="6"/>
    <n v="92"/>
    <x v="2"/>
    <x v="0"/>
    <x v="578"/>
    <x v="1"/>
    <s v="DISCOUNT ALLOWED"/>
    <s v="discount allowed"/>
    <s v="DISCOUNT ALLOWED"/>
    <s v="Discount Allowed"/>
    <s v="02/11/22"/>
  </r>
  <r>
    <s v="TXN_1520722"/>
    <s v="CUST_16"/>
    <x v="7"/>
    <x v="96"/>
    <x v="12"/>
    <x v="6"/>
    <n v="92"/>
    <x v="1"/>
    <x v="0"/>
    <x v="77"/>
    <x v="1"/>
    <s v="DISCOUNT ALLOWED"/>
    <s v="discount allowed"/>
    <s v="DISCOUNT ALLOWED"/>
    <s v="Discount Allowed"/>
    <s v="29/01/24"/>
  </r>
  <r>
    <s v="TXN_1531616"/>
    <s v="CUST_04"/>
    <x v="4"/>
    <x v="94"/>
    <x v="12"/>
    <x v="6"/>
    <n v="92"/>
    <x v="1"/>
    <x v="1"/>
    <x v="519"/>
    <x v="1"/>
    <s v="DISCOUNT ALLOWED"/>
    <s v="discount allowed"/>
    <s v="DISCOUNT ALLOWED"/>
    <s v="Discount Allowed"/>
    <s v="08/03/23"/>
  </r>
  <r>
    <s v="TXN_1742336"/>
    <s v="CUST_08"/>
    <x v="7"/>
    <x v="96"/>
    <x v="12"/>
    <x v="6"/>
    <n v="92"/>
    <x v="2"/>
    <x v="0"/>
    <x v="468"/>
    <x v="0"/>
    <s v="DISCOUNT NOT ALLOWED"/>
    <s v="discount not allowed"/>
    <s v="DISCOUNT NOT ALLOWED"/>
    <s v="Discount Not Allowed"/>
    <s v="08/03/22"/>
  </r>
  <r>
    <s v="TXN_2018154"/>
    <s v="CUST_21"/>
    <x v="4"/>
    <x v="94"/>
    <x v="12"/>
    <x v="6"/>
    <n v="92"/>
    <x v="2"/>
    <x v="0"/>
    <x v="1066"/>
    <x v="1"/>
    <s v="DISCOUNT ALLOWED"/>
    <s v="discount allowed"/>
    <s v="DISCOUNT ALLOWED"/>
    <s v="Discount Allowed"/>
    <s v="09/11/22"/>
  </r>
  <r>
    <s v="TXN_2256891"/>
    <s v="CUST_08"/>
    <x v="0"/>
    <x v="98"/>
    <x v="12"/>
    <x v="6"/>
    <n v="92"/>
    <x v="1"/>
    <x v="0"/>
    <x v="1088"/>
    <x v="0"/>
    <s v="DISCOUNT NOT ALLOWED"/>
    <s v="discount not allowed"/>
    <s v="DISCOUNT NOT ALLOWED"/>
    <s v="Discount Not Allowed"/>
    <s v="26/03/22"/>
  </r>
  <r>
    <s v="TXN_2479039"/>
    <s v="CUST_16"/>
    <x v="4"/>
    <x v="94"/>
    <x v="12"/>
    <x v="6"/>
    <n v="92"/>
    <x v="2"/>
    <x v="1"/>
    <x v="77"/>
    <x v="1"/>
    <s v="DISCOUNT ALLOWED"/>
    <s v="discount allowed"/>
    <s v="DISCOUNT ALLOWED"/>
    <s v="Discount Allowed"/>
    <s v="29/01/24"/>
  </r>
  <r>
    <s v="TXN_2575540"/>
    <s v="CUST_17"/>
    <x v="4"/>
    <x v="94"/>
    <x v="12"/>
    <x v="6"/>
    <n v="92"/>
    <x v="2"/>
    <x v="0"/>
    <x v="720"/>
    <x v="1"/>
    <s v="DISCOUNT ALLOWED"/>
    <s v="discount allowed"/>
    <s v="DISCOUNT ALLOWED"/>
    <s v="Discount Allowed"/>
    <s v="19/07/24"/>
  </r>
  <r>
    <s v="TXN_2581258"/>
    <s v="CUST_14"/>
    <x v="5"/>
    <x v="97"/>
    <x v="12"/>
    <x v="6"/>
    <n v="92"/>
    <x v="2"/>
    <x v="0"/>
    <x v="254"/>
    <x v="0"/>
    <s v="DISCOUNT NOT ALLOWED"/>
    <s v="discount not allowed"/>
    <s v="DISCOUNT NOT ALLOWED"/>
    <s v="Discount Not Allowed"/>
    <s v="13/02/22"/>
  </r>
  <r>
    <s v="TXN_2880856"/>
    <s v="CUST_18"/>
    <x v="7"/>
    <x v="96"/>
    <x v="12"/>
    <x v="6"/>
    <n v="92"/>
    <x v="2"/>
    <x v="1"/>
    <x v="1082"/>
    <x v="0"/>
    <s v="DISCOUNT NOT ALLOWED"/>
    <s v="discount not allowed"/>
    <s v="DISCOUNT NOT ALLOWED"/>
    <s v="Discount Not Allowed"/>
    <s v="15/02/24"/>
  </r>
  <r>
    <s v="TXN_3080253"/>
    <s v="CUST_23"/>
    <x v="3"/>
    <x v="95"/>
    <x v="12"/>
    <x v="6"/>
    <n v="92"/>
    <x v="2"/>
    <x v="1"/>
    <x v="796"/>
    <x v="0"/>
    <s v="DISCOUNT NOT ALLOWED"/>
    <s v="discount not allowed"/>
    <s v="DISCOUNT NOT ALLOWED"/>
    <s v="Discount Not Allowed"/>
    <s v="14/03/23"/>
  </r>
  <r>
    <s v="TXN_3301108"/>
    <s v="CUST_19"/>
    <x v="4"/>
    <x v="94"/>
    <x v="12"/>
    <x v="6"/>
    <n v="92"/>
    <x v="1"/>
    <x v="1"/>
    <x v="303"/>
    <x v="1"/>
    <s v="DISCOUNT ALLOWED"/>
    <s v="discount allowed"/>
    <s v="DISCOUNT ALLOWED"/>
    <s v="Discount Allowed"/>
    <s v="22/12/24"/>
  </r>
  <r>
    <s v="TXN_3301574"/>
    <s v="CUST_11"/>
    <x v="1"/>
    <x v="99"/>
    <x v="12"/>
    <x v="6"/>
    <n v="92"/>
    <x v="0"/>
    <x v="0"/>
    <x v="382"/>
    <x v="1"/>
    <s v="DISCOUNT ALLOWED"/>
    <s v="discount allowed"/>
    <s v="DISCOUNT ALLOWED"/>
    <s v="Discount Allowed"/>
    <s v="25/07/22"/>
  </r>
  <r>
    <s v="TXN_3827138"/>
    <s v="CUST_01"/>
    <x v="4"/>
    <x v="94"/>
    <x v="12"/>
    <x v="6"/>
    <n v="92"/>
    <x v="0"/>
    <x v="1"/>
    <x v="734"/>
    <x v="1"/>
    <s v="DISCOUNT ALLOWED"/>
    <s v="discount allowed"/>
    <s v="DISCOUNT ALLOWED"/>
    <s v="Discount Allowed"/>
    <s v="11/08/23"/>
  </r>
  <r>
    <s v="TXN_3861803"/>
    <s v="CUST_13"/>
    <x v="4"/>
    <x v="94"/>
    <x v="12"/>
    <x v="6"/>
    <n v="92"/>
    <x v="1"/>
    <x v="1"/>
    <x v="751"/>
    <x v="1"/>
    <s v="DISCOUNT ALLOWED"/>
    <s v="discount allowed"/>
    <s v="DISCOUNT ALLOWED"/>
    <s v="Discount Allowed"/>
    <s v="04/01/23"/>
  </r>
  <r>
    <s v="TXN_4090239"/>
    <s v="CUST_08"/>
    <x v="7"/>
    <x v="96"/>
    <x v="12"/>
    <x v="6"/>
    <n v="92"/>
    <x v="2"/>
    <x v="0"/>
    <x v="507"/>
    <x v="0"/>
    <s v="DISCOUNT NOT ALLOWED"/>
    <s v="discount not allowed"/>
    <s v="DISCOUNT NOT ALLOWED"/>
    <s v="Discount Not Allowed"/>
    <s v="30/12/24"/>
  </r>
  <r>
    <s v="TXN_4105300"/>
    <s v="CUST_03"/>
    <x v="0"/>
    <x v="98"/>
    <x v="12"/>
    <x v="6"/>
    <n v="92"/>
    <x v="2"/>
    <x v="1"/>
    <x v="816"/>
    <x v="1"/>
    <s v="DISCOUNT ALLOWED"/>
    <s v="discount allowed"/>
    <s v="DISCOUNT ALLOWED"/>
    <s v="Discount Allowed"/>
    <s v="27/08/23"/>
  </r>
  <r>
    <s v="TXN_4147529"/>
    <s v="CUST_18"/>
    <x v="6"/>
    <x v="93"/>
    <x v="12"/>
    <x v="6"/>
    <n v="92"/>
    <x v="0"/>
    <x v="1"/>
    <x v="444"/>
    <x v="1"/>
    <s v="DISCOUNT ALLOWED"/>
    <s v="discount allowed"/>
    <s v="DISCOUNT ALLOWED"/>
    <s v="Discount Allowed"/>
    <s v="19/10/22"/>
  </r>
  <r>
    <s v="TXN_4211434"/>
    <s v="CUST_14"/>
    <x v="6"/>
    <x v="93"/>
    <x v="12"/>
    <x v="6"/>
    <n v="92"/>
    <x v="1"/>
    <x v="0"/>
    <x v="866"/>
    <x v="1"/>
    <s v="DISCOUNT ALLOWED"/>
    <s v="discount allowed"/>
    <s v="DISCOUNT ALLOWED"/>
    <s v="Discount Allowed"/>
    <s v="04/10/22"/>
  </r>
  <r>
    <s v="TXN_4435938"/>
    <s v="CUST_05"/>
    <x v="5"/>
    <x v="97"/>
    <x v="12"/>
    <x v="6"/>
    <n v="92"/>
    <x v="2"/>
    <x v="1"/>
    <x v="972"/>
    <x v="0"/>
    <s v="DISCOUNT NOT ALLOWED"/>
    <s v="discount not allowed"/>
    <s v="DISCOUNT NOT ALLOWED"/>
    <s v="Discount Not Allowed"/>
    <s v="06/08/23"/>
  </r>
  <r>
    <s v="TXN_5702123"/>
    <s v="CUST_21"/>
    <x v="4"/>
    <x v="94"/>
    <x v="12"/>
    <x v="6"/>
    <n v="92"/>
    <x v="1"/>
    <x v="1"/>
    <x v="816"/>
    <x v="0"/>
    <s v="DISCOUNT NOT ALLOWED"/>
    <s v="discount not allowed"/>
    <s v="DISCOUNT NOT ALLOWED"/>
    <s v="Discount Not Allowed"/>
    <s v="27/08/23"/>
  </r>
  <r>
    <s v="TXN_5740887"/>
    <s v="CUST_10"/>
    <x v="5"/>
    <x v="97"/>
    <x v="12"/>
    <x v="6"/>
    <n v="92"/>
    <x v="2"/>
    <x v="0"/>
    <x v="1072"/>
    <x v="0"/>
    <s v="DISCOUNT NOT ALLOWED"/>
    <s v="discount not allowed"/>
    <s v="DISCOUNT NOT ALLOWED"/>
    <s v="Discount Not Allowed"/>
    <s v="17/12/23"/>
  </r>
  <r>
    <s v="TXN_5893458"/>
    <s v="CUST_25"/>
    <x v="3"/>
    <x v="95"/>
    <x v="12"/>
    <x v="6"/>
    <n v="92"/>
    <x v="2"/>
    <x v="1"/>
    <x v="19"/>
    <x v="0"/>
    <s v="DISCOUNT NOT ALLOWED"/>
    <s v="discount not allowed"/>
    <s v="DISCOUNT NOT ALLOWED"/>
    <s v="Discount Not Allowed"/>
    <s v="13/08/23"/>
  </r>
  <r>
    <s v="TXN_6281250"/>
    <s v="CUST_04"/>
    <x v="7"/>
    <x v="96"/>
    <x v="12"/>
    <x v="6"/>
    <n v="92"/>
    <x v="1"/>
    <x v="1"/>
    <x v="130"/>
    <x v="0"/>
    <s v="DISCOUNT NOT ALLOWED"/>
    <s v="discount not allowed"/>
    <s v="DISCOUNT NOT ALLOWED"/>
    <s v="Discount Not Allowed"/>
    <s v="21/09/23"/>
  </r>
  <r>
    <s v="TXN_6473121"/>
    <s v="CUST_08"/>
    <x v="7"/>
    <x v="96"/>
    <x v="12"/>
    <x v="6"/>
    <n v="92"/>
    <x v="0"/>
    <x v="1"/>
    <x v="157"/>
    <x v="1"/>
    <s v="DISCOUNT ALLOWED"/>
    <s v="discount allowed"/>
    <s v="DISCOUNT ALLOWED"/>
    <s v="Discount Allowed"/>
    <s v="08/06/22"/>
  </r>
  <r>
    <s v="TXN_6754018"/>
    <s v="CUST_10"/>
    <x v="7"/>
    <x v="96"/>
    <x v="12"/>
    <x v="6"/>
    <n v="92"/>
    <x v="1"/>
    <x v="1"/>
    <x v="183"/>
    <x v="0"/>
    <s v="DISCOUNT NOT ALLOWED"/>
    <s v="discount not allowed"/>
    <s v="DISCOUNT NOT ALLOWED"/>
    <s v="Discount Not Allowed"/>
    <s v="31/12/23"/>
  </r>
  <r>
    <s v="TXN_7216595"/>
    <s v="CUST_14"/>
    <x v="0"/>
    <x v="98"/>
    <x v="12"/>
    <x v="6"/>
    <n v="92"/>
    <x v="0"/>
    <x v="1"/>
    <x v="197"/>
    <x v="1"/>
    <s v="DISCOUNT ALLOWED"/>
    <s v="discount allowed"/>
    <s v="DISCOUNT ALLOWED"/>
    <s v="Discount Allowed"/>
    <s v="01/09/22"/>
  </r>
  <r>
    <s v="TXN_7235714"/>
    <s v="CUST_06"/>
    <x v="6"/>
    <x v="93"/>
    <x v="12"/>
    <x v="6"/>
    <n v="92"/>
    <x v="2"/>
    <x v="0"/>
    <x v="227"/>
    <x v="1"/>
    <s v="DISCOUNT ALLOWED"/>
    <s v="discount allowed"/>
    <s v="DISCOUNT ALLOWED"/>
    <s v="Discount Allowed"/>
    <s v="12/06/24"/>
  </r>
  <r>
    <s v="TXN_7358431"/>
    <s v="CUST_13"/>
    <x v="3"/>
    <x v="95"/>
    <x v="12"/>
    <x v="6"/>
    <n v="92"/>
    <x v="1"/>
    <x v="1"/>
    <x v="586"/>
    <x v="0"/>
    <s v="DISCOUNT NOT ALLOWED"/>
    <s v="discount not allowed"/>
    <s v="DISCOUNT NOT ALLOWED"/>
    <s v="Discount Not Allowed"/>
    <s v="26/02/23"/>
  </r>
  <r>
    <s v="TXN_8334303"/>
    <s v="CUST_07"/>
    <x v="3"/>
    <x v="95"/>
    <x v="12"/>
    <x v="6"/>
    <n v="92"/>
    <x v="1"/>
    <x v="0"/>
    <x v="916"/>
    <x v="1"/>
    <s v="DISCOUNT ALLOWED"/>
    <s v="discount allowed"/>
    <s v="DISCOUNT ALLOWED"/>
    <s v="Discount Allowed"/>
    <s v="13/10/24"/>
  </r>
  <r>
    <s v="TXN_8370135"/>
    <s v="CUST_25"/>
    <x v="5"/>
    <x v="97"/>
    <x v="12"/>
    <x v="6"/>
    <n v="92"/>
    <x v="2"/>
    <x v="0"/>
    <x v="488"/>
    <x v="0"/>
    <s v="DISCOUNT NOT ALLOWED"/>
    <s v="discount not allowed"/>
    <s v="DISCOUNT NOT ALLOWED"/>
    <s v="Discount Not Allowed"/>
    <s v="30/01/24"/>
  </r>
  <r>
    <s v="TXN_8540228"/>
    <s v="CUST_11"/>
    <x v="7"/>
    <x v="96"/>
    <x v="12"/>
    <x v="6"/>
    <n v="92"/>
    <x v="0"/>
    <x v="1"/>
    <x v="345"/>
    <x v="0"/>
    <s v="DISCOUNT NOT ALLOWED"/>
    <s v="discount not allowed"/>
    <s v="DISCOUNT NOT ALLOWED"/>
    <s v="Discount Not Allowed"/>
    <s v="12/05/24"/>
  </r>
  <r>
    <s v="TXN_8653690"/>
    <s v="CUST_18"/>
    <x v="7"/>
    <x v="96"/>
    <x v="12"/>
    <x v="6"/>
    <n v="92"/>
    <x v="2"/>
    <x v="1"/>
    <x v="512"/>
    <x v="0"/>
    <s v="DISCOUNT NOT ALLOWED"/>
    <s v="discount not allowed"/>
    <s v="DISCOUNT NOT ALLOWED"/>
    <s v="Discount Not Allowed"/>
    <s v="24/06/22"/>
  </r>
  <r>
    <s v="TXN_8705051"/>
    <s v="CUST_07"/>
    <x v="3"/>
    <x v="95"/>
    <x v="12"/>
    <x v="6"/>
    <n v="92"/>
    <x v="1"/>
    <x v="0"/>
    <x v="746"/>
    <x v="0"/>
    <s v="DISCOUNT NOT ALLOWED"/>
    <s v="discount not allowed"/>
    <s v="DISCOUNT NOT ALLOWED"/>
    <s v="Discount Not Allowed"/>
    <s v="20/01/24"/>
  </r>
  <r>
    <s v="TXN_8804518"/>
    <s v="CUST_02"/>
    <x v="0"/>
    <x v="98"/>
    <x v="12"/>
    <x v="6"/>
    <n v="92"/>
    <x v="2"/>
    <x v="0"/>
    <x v="27"/>
    <x v="1"/>
    <s v="DISCOUNT ALLOWED"/>
    <s v="discount allowed"/>
    <s v="DISCOUNT ALLOWED"/>
    <s v="Discount Allowed"/>
    <s v="25/12/23"/>
  </r>
  <r>
    <s v="TXN_9238807"/>
    <s v="CUST_09"/>
    <x v="7"/>
    <x v="96"/>
    <x v="12"/>
    <x v="6"/>
    <n v="92"/>
    <x v="2"/>
    <x v="0"/>
    <x v="40"/>
    <x v="1"/>
    <s v="DISCOUNT ALLOWED"/>
    <s v="discount allowed"/>
    <s v="DISCOUNT ALLOWED"/>
    <s v="Discount Allowed"/>
    <s v="24/08/22"/>
  </r>
  <r>
    <s v="TXN_9415292"/>
    <s v="CUST_09"/>
    <x v="4"/>
    <x v="94"/>
    <x v="12"/>
    <x v="6"/>
    <n v="92"/>
    <x v="1"/>
    <x v="1"/>
    <x v="211"/>
    <x v="0"/>
    <s v="DISCOUNT NOT ALLOWED"/>
    <s v="discount not allowed"/>
    <s v="DISCOUNT NOT ALLOWED"/>
    <s v="Discount Not Allowed"/>
    <s v="12/09/22"/>
  </r>
  <r>
    <s v="TXN_9491535"/>
    <s v="CUST_04"/>
    <x v="5"/>
    <x v="97"/>
    <x v="12"/>
    <x v="6"/>
    <n v="92"/>
    <x v="2"/>
    <x v="0"/>
    <x v="572"/>
    <x v="1"/>
    <s v="DISCOUNT ALLOWED"/>
    <s v="discount allowed"/>
    <s v="DISCOUNT ALLOWED"/>
    <s v="Discount Allowed"/>
    <s v="17/02/23"/>
  </r>
  <r>
    <s v="TXN_9619188"/>
    <s v="CUST_06"/>
    <x v="4"/>
    <x v="94"/>
    <x v="12"/>
    <x v="6"/>
    <n v="92"/>
    <x v="1"/>
    <x v="1"/>
    <x v="962"/>
    <x v="0"/>
    <s v="DISCOUNT NOT ALLOWED"/>
    <s v="discount not allowed"/>
    <s v="DISCOUNT NOT ALLOWED"/>
    <s v="Discount Not Allowed"/>
    <s v="04/01/24"/>
  </r>
  <r>
    <s v="TXN_1413741"/>
    <s v="CUST_13"/>
    <x v="1"/>
    <x v="59"/>
    <x v="7"/>
    <x v="7"/>
    <n v="91.5"/>
    <x v="2"/>
    <x v="1"/>
    <x v="252"/>
    <x v="1"/>
    <s v="DISCOUNT ALLOWED"/>
    <s v="discount allowed"/>
    <s v="DISCOUNT ALLOWED"/>
    <s v="Discount Allowed"/>
    <s v="14/04/23"/>
  </r>
  <r>
    <s v="TXN_1614532"/>
    <s v="CUST_05"/>
    <x v="0"/>
    <x v="57"/>
    <x v="7"/>
    <x v="7"/>
    <n v="91.5"/>
    <x v="1"/>
    <x v="1"/>
    <x v="544"/>
    <x v="0"/>
    <s v="DISCOUNT NOT ALLOWED"/>
    <s v="discount not allowed"/>
    <s v="DISCOUNT NOT ALLOWED"/>
    <s v="Discount Not Allowed"/>
    <s v="17/07/23"/>
  </r>
  <r>
    <s v="TXN_2002942"/>
    <s v="CUST_02"/>
    <x v="0"/>
    <x v="57"/>
    <x v="7"/>
    <x v="7"/>
    <n v="91.5"/>
    <x v="0"/>
    <x v="1"/>
    <x v="36"/>
    <x v="0"/>
    <s v="DISCOUNT NOT ALLOWED"/>
    <s v="discount not allowed"/>
    <s v="DISCOUNT NOT ALLOWED"/>
    <s v="Discount Not Allowed"/>
    <s v="19/01/23"/>
  </r>
  <r>
    <s v="TXN_2056215"/>
    <s v="CUST_24"/>
    <x v="4"/>
    <x v="53"/>
    <x v="7"/>
    <x v="7"/>
    <n v="91.5"/>
    <x v="1"/>
    <x v="0"/>
    <x v="539"/>
    <x v="1"/>
    <s v="DISCOUNT ALLOWED"/>
    <s v="discount allowed"/>
    <s v="DISCOUNT ALLOWED"/>
    <s v="Discount Allowed"/>
    <s v="13/02/23"/>
  </r>
  <r>
    <s v="TXN_2289344"/>
    <s v="CUST_07"/>
    <x v="6"/>
    <x v="58"/>
    <x v="7"/>
    <x v="7"/>
    <n v="91.5"/>
    <x v="0"/>
    <x v="1"/>
    <x v="110"/>
    <x v="1"/>
    <s v="DISCOUNT ALLOWED"/>
    <s v="discount allowed"/>
    <s v="DISCOUNT ALLOWED"/>
    <s v="Discount Allowed"/>
    <s v="27/07/24"/>
  </r>
  <r>
    <s v="TXN_2377075"/>
    <s v="CUST_05"/>
    <x v="5"/>
    <x v="54"/>
    <x v="7"/>
    <x v="7"/>
    <n v="91.5"/>
    <x v="0"/>
    <x v="1"/>
    <x v="521"/>
    <x v="1"/>
    <s v="DISCOUNT ALLOWED"/>
    <s v="discount allowed"/>
    <s v="DISCOUNT ALLOWED"/>
    <s v="Discount Allowed"/>
    <s v="01/11/22"/>
  </r>
  <r>
    <s v="TXN_2739401"/>
    <s v="CUST_15"/>
    <x v="4"/>
    <x v="53"/>
    <x v="7"/>
    <x v="7"/>
    <n v="91.5"/>
    <x v="1"/>
    <x v="1"/>
    <x v="701"/>
    <x v="0"/>
    <s v="DISCOUNT NOT ALLOWED"/>
    <s v="discount not allowed"/>
    <s v="DISCOUNT NOT ALLOWED"/>
    <s v="Discount Not Allowed"/>
    <s v="16/04/23"/>
  </r>
  <r>
    <s v="TXN_3287970"/>
    <s v="CUST_13"/>
    <x v="0"/>
    <x v="57"/>
    <x v="7"/>
    <x v="7"/>
    <n v="91.5"/>
    <x v="0"/>
    <x v="1"/>
    <x v="352"/>
    <x v="1"/>
    <s v="DISCOUNT ALLOWED"/>
    <s v="discount allowed"/>
    <s v="DISCOUNT ALLOWED"/>
    <s v="Discount Allowed"/>
    <s v="11/03/24"/>
  </r>
  <r>
    <s v="TXN_3319577"/>
    <s v="CUST_12"/>
    <x v="4"/>
    <x v="53"/>
    <x v="7"/>
    <x v="7"/>
    <n v="91.5"/>
    <x v="1"/>
    <x v="1"/>
    <x v="1076"/>
    <x v="0"/>
    <s v="DISCOUNT NOT ALLOWED"/>
    <s v="discount not allowed"/>
    <s v="DISCOUNT NOT ALLOWED"/>
    <s v="Discount Not Allowed"/>
    <s v="26/11/24"/>
  </r>
  <r>
    <s v="TXN_4565790"/>
    <s v="CUST_11"/>
    <x v="4"/>
    <x v="53"/>
    <x v="7"/>
    <x v="7"/>
    <n v="91.5"/>
    <x v="0"/>
    <x v="1"/>
    <x v="605"/>
    <x v="0"/>
    <s v="DISCOUNT NOT ALLOWED"/>
    <s v="discount not allowed"/>
    <s v="DISCOUNT NOT ALLOWED"/>
    <s v="Discount Not Allowed"/>
    <s v="27/12/22"/>
  </r>
  <r>
    <s v="TXN_4879732"/>
    <s v="CUST_21"/>
    <x v="0"/>
    <x v="57"/>
    <x v="7"/>
    <x v="7"/>
    <n v="91.5"/>
    <x v="1"/>
    <x v="0"/>
    <x v="228"/>
    <x v="1"/>
    <s v="DISCOUNT ALLOWED"/>
    <s v="discount allowed"/>
    <s v="DISCOUNT ALLOWED"/>
    <s v="Discount Allowed"/>
    <s v="27/02/22"/>
  </r>
  <r>
    <s v="TXN_6279943"/>
    <s v="CUST_23"/>
    <x v="4"/>
    <x v="53"/>
    <x v="7"/>
    <x v="7"/>
    <n v="91.5"/>
    <x v="2"/>
    <x v="1"/>
    <x v="224"/>
    <x v="1"/>
    <s v="DISCOUNT ALLOWED"/>
    <s v="discount allowed"/>
    <s v="DISCOUNT ALLOWED"/>
    <s v="Discount Allowed"/>
    <s v="10/06/23"/>
  </r>
  <r>
    <s v="TXN_7116689"/>
    <s v="CUST_12"/>
    <x v="1"/>
    <x v="59"/>
    <x v="7"/>
    <x v="7"/>
    <n v="91.5"/>
    <x v="1"/>
    <x v="1"/>
    <x v="809"/>
    <x v="1"/>
    <s v="DISCOUNT ALLOWED"/>
    <s v="discount allowed"/>
    <s v="DISCOUNT ALLOWED"/>
    <s v="Discount Allowed"/>
    <s v="31/08/22"/>
  </r>
  <r>
    <s v="TXN_7350444"/>
    <s v="CUST_14"/>
    <x v="0"/>
    <x v="57"/>
    <x v="7"/>
    <x v="7"/>
    <n v="91.5"/>
    <x v="2"/>
    <x v="0"/>
    <x v="519"/>
    <x v="0"/>
    <s v="DISCOUNT NOT ALLOWED"/>
    <s v="discount not allowed"/>
    <s v="DISCOUNT NOT ALLOWED"/>
    <s v="Discount Not Allowed"/>
    <s v="08/03/23"/>
  </r>
  <r>
    <s v="TXN_7824771"/>
    <s v="CUST_24"/>
    <x v="2"/>
    <x v="56"/>
    <x v="7"/>
    <x v="7"/>
    <n v="91.5"/>
    <x v="0"/>
    <x v="0"/>
    <x v="27"/>
    <x v="1"/>
    <s v="DISCOUNT ALLOWED"/>
    <s v="discount allowed"/>
    <s v="DISCOUNT ALLOWED"/>
    <s v="Discount Allowed"/>
    <s v="25/12/23"/>
  </r>
  <r>
    <s v="TXN_7892617"/>
    <s v="CUST_08"/>
    <x v="3"/>
    <x v="55"/>
    <x v="7"/>
    <x v="7"/>
    <n v="91.5"/>
    <x v="2"/>
    <x v="0"/>
    <x v="69"/>
    <x v="1"/>
    <s v="DISCOUNT ALLOWED"/>
    <s v="discount allowed"/>
    <s v="DISCOUNT ALLOWED"/>
    <s v="Discount Allowed"/>
    <s v="14/11/23"/>
  </r>
  <r>
    <s v="TXN_8197865"/>
    <s v="CUST_10"/>
    <x v="0"/>
    <x v="57"/>
    <x v="7"/>
    <x v="7"/>
    <n v="91.5"/>
    <x v="0"/>
    <x v="0"/>
    <x v="524"/>
    <x v="0"/>
    <s v="DISCOUNT NOT ALLOWED"/>
    <s v="discount not allowed"/>
    <s v="DISCOUNT NOT ALLOWED"/>
    <s v="Discount Not Allowed"/>
    <s v="05/01/24"/>
  </r>
  <r>
    <s v="TXN_9265726"/>
    <s v="CUST_21"/>
    <x v="4"/>
    <x v="53"/>
    <x v="7"/>
    <x v="7"/>
    <n v="91.5"/>
    <x v="0"/>
    <x v="1"/>
    <x v="608"/>
    <x v="1"/>
    <s v="DISCOUNT ALLOWED"/>
    <s v="discount allowed"/>
    <s v="DISCOUNT ALLOWED"/>
    <s v="Discount Allowed"/>
    <s v="19/11/22"/>
  </r>
  <r>
    <s v="TXN_1076574"/>
    <s v="CUST_16"/>
    <x v="6"/>
    <x v="162"/>
    <x v="20"/>
    <x v="2"/>
    <n v="88"/>
    <x v="1"/>
    <x v="1"/>
    <x v="105"/>
    <x v="0"/>
    <s v="DISCOUNT NOT ALLOWED"/>
    <s v="discount not allowed"/>
    <s v="DISCOUNT NOT ALLOWED"/>
    <s v="Discount Not Allowed"/>
    <s v="19/09/24"/>
  </r>
  <r>
    <s v="TXN_1707962"/>
    <s v="CUST_12"/>
    <x v="6"/>
    <x v="162"/>
    <x v="20"/>
    <x v="2"/>
    <n v="88"/>
    <x v="2"/>
    <x v="0"/>
    <x v="993"/>
    <x v="0"/>
    <s v="DISCOUNT NOT ALLOWED"/>
    <s v="discount not allowed"/>
    <s v="DISCOUNT NOT ALLOWED"/>
    <s v="Discount Not Allowed"/>
    <s v="20/08/22"/>
  </r>
  <r>
    <s v="TXN_2372678"/>
    <s v="CUST_11"/>
    <x v="2"/>
    <x v="161"/>
    <x v="20"/>
    <x v="2"/>
    <n v="88"/>
    <x v="0"/>
    <x v="0"/>
    <x v="96"/>
    <x v="1"/>
    <s v="DISCOUNT ALLOWED"/>
    <s v="discount allowed"/>
    <s v="DISCOUNT ALLOWED"/>
    <s v="Discount Allowed"/>
    <s v="11/04/23"/>
  </r>
  <r>
    <s v="TXN_2458089"/>
    <s v="CUST_16"/>
    <x v="3"/>
    <x v="164"/>
    <x v="20"/>
    <x v="2"/>
    <n v="88"/>
    <x v="2"/>
    <x v="1"/>
    <x v="795"/>
    <x v="0"/>
    <s v="DISCOUNT NOT ALLOWED"/>
    <s v="discount not allowed"/>
    <s v="DISCOUNT NOT ALLOWED"/>
    <s v="Discount Not Allowed"/>
    <s v="23/10/23"/>
  </r>
  <r>
    <s v="TXN_2481299"/>
    <s v="CUST_21"/>
    <x v="3"/>
    <x v="164"/>
    <x v="20"/>
    <x v="2"/>
    <n v="88"/>
    <x v="2"/>
    <x v="1"/>
    <x v="996"/>
    <x v="1"/>
    <s v="DISCOUNT ALLOWED"/>
    <s v="discount allowed"/>
    <s v="DISCOUNT ALLOWED"/>
    <s v="Discount Allowed"/>
    <s v="27/04/23"/>
  </r>
  <r>
    <s v="TXN_2585207"/>
    <s v="CUST_10"/>
    <x v="6"/>
    <x v="162"/>
    <x v="20"/>
    <x v="2"/>
    <n v="88"/>
    <x v="2"/>
    <x v="0"/>
    <x v="897"/>
    <x v="1"/>
    <s v="DISCOUNT ALLOWED"/>
    <s v="discount allowed"/>
    <s v="DISCOUNT ALLOWED"/>
    <s v="Discount Allowed"/>
    <s v="03/10/22"/>
  </r>
  <r>
    <s v="TXN_2838184"/>
    <s v="CUST_21"/>
    <x v="6"/>
    <x v="162"/>
    <x v="20"/>
    <x v="2"/>
    <n v="88"/>
    <x v="2"/>
    <x v="0"/>
    <x v="545"/>
    <x v="1"/>
    <s v="DISCOUNT ALLOWED"/>
    <s v="discount allowed"/>
    <s v="DISCOUNT ALLOWED"/>
    <s v="Discount Allowed"/>
    <s v="15/03/22"/>
  </r>
  <r>
    <s v="TXN_3110652"/>
    <s v="CUST_07"/>
    <x v="4"/>
    <x v="163"/>
    <x v="20"/>
    <x v="2"/>
    <n v="88"/>
    <x v="2"/>
    <x v="1"/>
    <x v="519"/>
    <x v="0"/>
    <s v="DISCOUNT NOT ALLOWED"/>
    <s v="discount not allowed"/>
    <s v="DISCOUNT NOT ALLOWED"/>
    <s v="Discount Not Allowed"/>
    <s v="08/03/23"/>
  </r>
  <r>
    <s v="TXN_3290537"/>
    <s v="CUST_08"/>
    <x v="6"/>
    <x v="162"/>
    <x v="20"/>
    <x v="2"/>
    <n v="88"/>
    <x v="0"/>
    <x v="0"/>
    <x v="902"/>
    <x v="1"/>
    <s v="DISCOUNT ALLOWED"/>
    <s v="discount allowed"/>
    <s v="DISCOUNT ALLOWED"/>
    <s v="Discount Allowed"/>
    <s v="29/08/24"/>
  </r>
  <r>
    <s v="TXN_3598923"/>
    <s v="CUST_16"/>
    <x v="6"/>
    <x v="162"/>
    <x v="20"/>
    <x v="2"/>
    <n v="88"/>
    <x v="1"/>
    <x v="0"/>
    <x v="456"/>
    <x v="0"/>
    <s v="DISCOUNT NOT ALLOWED"/>
    <s v="discount not allowed"/>
    <s v="DISCOUNT NOT ALLOWED"/>
    <s v="Discount Not Allowed"/>
    <s v="18/07/24"/>
  </r>
  <r>
    <s v="TXN_3633144"/>
    <s v="CUST_24"/>
    <x v="0"/>
    <x v="174"/>
    <x v="20"/>
    <x v="2"/>
    <n v="88"/>
    <x v="1"/>
    <x v="0"/>
    <x v="793"/>
    <x v="0"/>
    <s v="DISCOUNT NOT ALLOWED"/>
    <s v="discount not allowed"/>
    <s v="DISCOUNT NOT ALLOWED"/>
    <s v="Discount Not Allowed"/>
    <s v="01/03/24"/>
  </r>
  <r>
    <s v="TXN_3753292"/>
    <s v="CUST_17"/>
    <x v="5"/>
    <x v="160"/>
    <x v="20"/>
    <x v="2"/>
    <n v="88"/>
    <x v="2"/>
    <x v="0"/>
    <x v="833"/>
    <x v="1"/>
    <s v="DISCOUNT ALLOWED"/>
    <s v="discount allowed"/>
    <s v="DISCOUNT ALLOWED"/>
    <s v="Discount Allowed"/>
    <s v="22/05/24"/>
  </r>
  <r>
    <s v="TXN_3842407"/>
    <s v="CUST_08"/>
    <x v="2"/>
    <x v="161"/>
    <x v="20"/>
    <x v="2"/>
    <n v="88"/>
    <x v="0"/>
    <x v="1"/>
    <x v="361"/>
    <x v="0"/>
    <s v="DISCOUNT NOT ALLOWED"/>
    <s v="discount not allowed"/>
    <s v="DISCOUNT NOT ALLOWED"/>
    <s v="Discount Not Allowed"/>
    <s v="17/12/22"/>
  </r>
  <r>
    <s v="TXN_3922319"/>
    <s v="CUST_17"/>
    <x v="0"/>
    <x v="174"/>
    <x v="20"/>
    <x v="2"/>
    <n v="88"/>
    <x v="2"/>
    <x v="1"/>
    <x v="79"/>
    <x v="0"/>
    <s v="DISCOUNT NOT ALLOWED"/>
    <s v="discount not allowed"/>
    <s v="DISCOUNT NOT ALLOWED"/>
    <s v="Discount Not Allowed"/>
    <s v="07/04/23"/>
  </r>
  <r>
    <s v="TXN_4299995"/>
    <s v="CUST_22"/>
    <x v="2"/>
    <x v="161"/>
    <x v="20"/>
    <x v="2"/>
    <n v="88"/>
    <x v="2"/>
    <x v="1"/>
    <x v="385"/>
    <x v="1"/>
    <s v="DISCOUNT ALLOWED"/>
    <s v="discount allowed"/>
    <s v="DISCOUNT ALLOWED"/>
    <s v="Discount Allowed"/>
    <s v="28/06/22"/>
  </r>
  <r>
    <s v="TXN_5156689"/>
    <s v="CUST_04"/>
    <x v="6"/>
    <x v="162"/>
    <x v="20"/>
    <x v="2"/>
    <n v="88"/>
    <x v="0"/>
    <x v="0"/>
    <x v="564"/>
    <x v="0"/>
    <s v="DISCOUNT NOT ALLOWED"/>
    <s v="discount not allowed"/>
    <s v="DISCOUNT NOT ALLOWED"/>
    <s v="Discount Not Allowed"/>
    <s v="31/01/23"/>
  </r>
  <r>
    <s v="TXN_5161250"/>
    <s v="CUST_12"/>
    <x v="2"/>
    <x v="161"/>
    <x v="20"/>
    <x v="2"/>
    <n v="88"/>
    <x v="1"/>
    <x v="0"/>
    <x v="26"/>
    <x v="1"/>
    <s v="DISCOUNT ALLOWED"/>
    <s v="discount allowed"/>
    <s v="DISCOUNT ALLOWED"/>
    <s v="Discount Allowed"/>
    <s v="31/12/24"/>
  </r>
  <r>
    <s v="TXN_5210678"/>
    <s v="CUST_05"/>
    <x v="0"/>
    <x v="174"/>
    <x v="20"/>
    <x v="2"/>
    <n v="88"/>
    <x v="2"/>
    <x v="1"/>
    <x v="1067"/>
    <x v="1"/>
    <s v="DISCOUNT ALLOWED"/>
    <s v="discount allowed"/>
    <s v="DISCOUNT ALLOWED"/>
    <s v="Discount Allowed"/>
    <s v="31/10/23"/>
  </r>
  <r>
    <s v="TXN_5210938"/>
    <s v="CUST_10"/>
    <x v="1"/>
    <x v="175"/>
    <x v="20"/>
    <x v="2"/>
    <n v="88"/>
    <x v="2"/>
    <x v="1"/>
    <x v="760"/>
    <x v="0"/>
    <s v="DISCOUNT NOT ALLOWED"/>
    <s v="discount not allowed"/>
    <s v="DISCOUNT NOT ALLOWED"/>
    <s v="Discount Not Allowed"/>
    <s v="30/11/22"/>
  </r>
  <r>
    <s v="TXN_5252548"/>
    <s v="CUST_03"/>
    <x v="5"/>
    <x v="160"/>
    <x v="20"/>
    <x v="2"/>
    <n v="88"/>
    <x v="2"/>
    <x v="1"/>
    <x v="956"/>
    <x v="1"/>
    <s v="DISCOUNT ALLOWED"/>
    <s v="discount allowed"/>
    <s v="DISCOUNT ALLOWED"/>
    <s v="Discount Allowed"/>
    <s v="28/12/22"/>
  </r>
  <r>
    <s v="TXN_5581558"/>
    <s v="CUST_09"/>
    <x v="6"/>
    <x v="162"/>
    <x v="20"/>
    <x v="2"/>
    <n v="88"/>
    <x v="0"/>
    <x v="1"/>
    <x v="1069"/>
    <x v="0"/>
    <s v="DISCOUNT NOT ALLOWED"/>
    <s v="discount not allowed"/>
    <s v="DISCOUNT NOT ALLOWED"/>
    <s v="Discount Not Allowed"/>
    <s v="22/09/22"/>
  </r>
  <r>
    <s v="TXN_5721774"/>
    <s v="CUST_07"/>
    <x v="4"/>
    <x v="163"/>
    <x v="20"/>
    <x v="2"/>
    <n v="88"/>
    <x v="2"/>
    <x v="0"/>
    <x v="884"/>
    <x v="0"/>
    <s v="DISCOUNT NOT ALLOWED"/>
    <s v="discount not allowed"/>
    <s v="DISCOUNT NOT ALLOWED"/>
    <s v="Discount Not Allowed"/>
    <s v="13/01/24"/>
  </r>
  <r>
    <s v="TXN_5830803"/>
    <s v="CUST_13"/>
    <x v="4"/>
    <x v="163"/>
    <x v="20"/>
    <x v="2"/>
    <n v="88"/>
    <x v="1"/>
    <x v="0"/>
    <x v="1057"/>
    <x v="0"/>
    <s v="DISCOUNT NOT ALLOWED"/>
    <s v="discount not allowed"/>
    <s v="DISCOUNT NOT ALLOWED"/>
    <s v="Discount Not Allowed"/>
    <s v="19/03/23"/>
  </r>
  <r>
    <s v="TXN_6283478"/>
    <s v="CUST_12"/>
    <x v="4"/>
    <x v="163"/>
    <x v="20"/>
    <x v="2"/>
    <n v="88"/>
    <x v="2"/>
    <x v="0"/>
    <x v="205"/>
    <x v="0"/>
    <s v="DISCOUNT NOT ALLOWED"/>
    <s v="discount not allowed"/>
    <s v="DISCOUNT NOT ALLOWED"/>
    <s v="Discount Not Allowed"/>
    <s v="11/06/22"/>
  </r>
  <r>
    <s v="TXN_6429558"/>
    <s v="CUST_05"/>
    <x v="1"/>
    <x v="175"/>
    <x v="20"/>
    <x v="2"/>
    <n v="88"/>
    <x v="1"/>
    <x v="0"/>
    <x v="100"/>
    <x v="1"/>
    <s v="DISCOUNT ALLOWED"/>
    <s v="discount allowed"/>
    <s v="DISCOUNT ALLOWED"/>
    <s v="Discount Allowed"/>
    <s v="18/02/24"/>
  </r>
  <r>
    <s v="TXN_6496740"/>
    <s v="CUST_24"/>
    <x v="4"/>
    <x v="163"/>
    <x v="20"/>
    <x v="2"/>
    <n v="88"/>
    <x v="1"/>
    <x v="0"/>
    <x v="949"/>
    <x v="1"/>
    <s v="DISCOUNT ALLOWED"/>
    <s v="discount allowed"/>
    <s v="DISCOUNT ALLOWED"/>
    <s v="Discount Allowed"/>
    <s v="11/02/23"/>
  </r>
  <r>
    <s v="TXN_6651579"/>
    <s v="CUST_02"/>
    <x v="2"/>
    <x v="161"/>
    <x v="20"/>
    <x v="2"/>
    <n v="88"/>
    <x v="2"/>
    <x v="0"/>
    <x v="1089"/>
    <x v="1"/>
    <s v="DISCOUNT ALLOWED"/>
    <s v="discount allowed"/>
    <s v="DISCOUNT ALLOWED"/>
    <s v="Discount Allowed"/>
    <s v="16/10/24"/>
  </r>
  <r>
    <s v="TXN_6677921"/>
    <s v="CUST_01"/>
    <x v="5"/>
    <x v="160"/>
    <x v="20"/>
    <x v="2"/>
    <n v="88"/>
    <x v="0"/>
    <x v="0"/>
    <x v="729"/>
    <x v="0"/>
    <s v="DISCOUNT NOT ALLOWED"/>
    <s v="discount not allowed"/>
    <s v="DISCOUNT NOT ALLOWED"/>
    <s v="Discount Not Allowed"/>
    <s v="07/12/24"/>
  </r>
  <r>
    <s v="TXN_6852196"/>
    <s v="CUST_18"/>
    <x v="6"/>
    <x v="162"/>
    <x v="20"/>
    <x v="2"/>
    <n v="88"/>
    <x v="2"/>
    <x v="0"/>
    <x v="877"/>
    <x v="1"/>
    <s v="DISCOUNT ALLOWED"/>
    <s v="discount allowed"/>
    <s v="DISCOUNT ALLOWED"/>
    <s v="Discount Allowed"/>
    <s v="15/02/22"/>
  </r>
  <r>
    <s v="TXN_6923419"/>
    <s v="CUST_17"/>
    <x v="2"/>
    <x v="161"/>
    <x v="20"/>
    <x v="2"/>
    <n v="88"/>
    <x v="0"/>
    <x v="0"/>
    <x v="385"/>
    <x v="0"/>
    <s v="DISCOUNT NOT ALLOWED"/>
    <s v="discount not allowed"/>
    <s v="DISCOUNT NOT ALLOWED"/>
    <s v="Discount Not Allowed"/>
    <s v="28/06/22"/>
  </r>
  <r>
    <s v="TXN_7007814"/>
    <s v="CUST_16"/>
    <x v="6"/>
    <x v="162"/>
    <x v="20"/>
    <x v="2"/>
    <n v="88"/>
    <x v="0"/>
    <x v="1"/>
    <x v="324"/>
    <x v="1"/>
    <s v="DISCOUNT ALLOWED"/>
    <s v="discount allowed"/>
    <s v="DISCOUNT ALLOWED"/>
    <s v="Discount Allowed"/>
    <s v="25/03/23"/>
  </r>
  <r>
    <s v="TXN_7085000"/>
    <s v="CUST_01"/>
    <x v="5"/>
    <x v="160"/>
    <x v="20"/>
    <x v="2"/>
    <n v="88"/>
    <x v="1"/>
    <x v="0"/>
    <x v="237"/>
    <x v="1"/>
    <s v="DISCOUNT ALLOWED"/>
    <s v="discount allowed"/>
    <s v="DISCOUNT ALLOWED"/>
    <s v="Discount Allowed"/>
    <s v="23/07/22"/>
  </r>
  <r>
    <s v="TXN_7186993"/>
    <s v="CUST_02"/>
    <x v="6"/>
    <x v="162"/>
    <x v="20"/>
    <x v="2"/>
    <n v="88"/>
    <x v="2"/>
    <x v="0"/>
    <x v="651"/>
    <x v="0"/>
    <s v="DISCOUNT NOT ALLOWED"/>
    <s v="discount not allowed"/>
    <s v="DISCOUNT NOT ALLOWED"/>
    <s v="Discount Not Allowed"/>
    <s v="01/05/22"/>
  </r>
  <r>
    <s v="TXN_7187748"/>
    <s v="CUST_18"/>
    <x v="3"/>
    <x v="164"/>
    <x v="20"/>
    <x v="2"/>
    <n v="88"/>
    <x v="1"/>
    <x v="0"/>
    <x v="1055"/>
    <x v="1"/>
    <s v="DISCOUNT ALLOWED"/>
    <s v="discount allowed"/>
    <s v="DISCOUNT ALLOWED"/>
    <s v="Discount Allowed"/>
    <s v="07/04/24"/>
  </r>
  <r>
    <s v="TXN_7282686"/>
    <s v="CUST_15"/>
    <x v="4"/>
    <x v="163"/>
    <x v="20"/>
    <x v="2"/>
    <n v="88"/>
    <x v="0"/>
    <x v="1"/>
    <x v="1045"/>
    <x v="1"/>
    <s v="DISCOUNT ALLOWED"/>
    <s v="discount allowed"/>
    <s v="DISCOUNT ALLOWED"/>
    <s v="Discount Allowed"/>
    <s v="15/11/22"/>
  </r>
  <r>
    <s v="TXN_7402104"/>
    <s v="CUST_03"/>
    <x v="6"/>
    <x v="162"/>
    <x v="20"/>
    <x v="2"/>
    <n v="88"/>
    <x v="2"/>
    <x v="0"/>
    <x v="253"/>
    <x v="0"/>
    <s v="DISCOUNT NOT ALLOWED"/>
    <s v="discount not allowed"/>
    <s v="DISCOUNT NOT ALLOWED"/>
    <s v="Discount Not Allowed"/>
    <s v="31/07/24"/>
  </r>
  <r>
    <s v="TXN_7502019"/>
    <s v="CUST_07"/>
    <x v="4"/>
    <x v="163"/>
    <x v="20"/>
    <x v="2"/>
    <n v="88"/>
    <x v="0"/>
    <x v="1"/>
    <x v="485"/>
    <x v="0"/>
    <s v="DISCOUNT NOT ALLOWED"/>
    <s v="discount not allowed"/>
    <s v="DISCOUNT NOT ALLOWED"/>
    <s v="Discount Not Allowed"/>
    <s v="05/01/23"/>
  </r>
  <r>
    <s v="TXN_7684251"/>
    <s v="CUST_23"/>
    <x v="4"/>
    <x v="163"/>
    <x v="20"/>
    <x v="2"/>
    <n v="88"/>
    <x v="0"/>
    <x v="1"/>
    <x v="130"/>
    <x v="1"/>
    <s v="DISCOUNT ALLOWED"/>
    <s v="discount allowed"/>
    <s v="DISCOUNT ALLOWED"/>
    <s v="Discount Allowed"/>
    <s v="21/09/23"/>
  </r>
  <r>
    <s v="TXN_7959866"/>
    <s v="CUST_06"/>
    <x v="6"/>
    <x v="162"/>
    <x v="20"/>
    <x v="2"/>
    <n v="88"/>
    <x v="1"/>
    <x v="1"/>
    <x v="492"/>
    <x v="1"/>
    <s v="DISCOUNT ALLOWED"/>
    <s v="discount allowed"/>
    <s v="DISCOUNT ALLOWED"/>
    <s v="Discount Allowed"/>
    <s v="29/03/24"/>
  </r>
  <r>
    <s v="TXN_7974643"/>
    <s v="CUST_04"/>
    <x v="5"/>
    <x v="160"/>
    <x v="20"/>
    <x v="2"/>
    <n v="88"/>
    <x v="1"/>
    <x v="1"/>
    <x v="969"/>
    <x v="0"/>
    <s v="DISCOUNT NOT ALLOWED"/>
    <s v="discount not allowed"/>
    <s v="DISCOUNT NOT ALLOWED"/>
    <s v="Discount Not Allowed"/>
    <s v="27/06/23"/>
  </r>
  <r>
    <s v="TXN_8292411"/>
    <s v="CUST_10"/>
    <x v="6"/>
    <x v="162"/>
    <x v="20"/>
    <x v="2"/>
    <n v="88"/>
    <x v="1"/>
    <x v="1"/>
    <x v="30"/>
    <x v="1"/>
    <s v="DISCOUNT ALLOWED"/>
    <s v="discount allowed"/>
    <s v="DISCOUNT ALLOWED"/>
    <s v="Discount Allowed"/>
    <s v="29/05/24"/>
  </r>
  <r>
    <s v="TXN_8754458"/>
    <s v="CUST_18"/>
    <x v="4"/>
    <x v="163"/>
    <x v="20"/>
    <x v="2"/>
    <n v="88"/>
    <x v="2"/>
    <x v="1"/>
    <x v="1029"/>
    <x v="0"/>
    <s v="DISCOUNT NOT ALLOWED"/>
    <s v="discount not allowed"/>
    <s v="DISCOUNT NOT ALLOWED"/>
    <s v="Discount Not Allowed"/>
    <s v="03/01/24"/>
  </r>
  <r>
    <s v="TXN_8908031"/>
    <s v="CUST_25"/>
    <x v="3"/>
    <x v="164"/>
    <x v="20"/>
    <x v="2"/>
    <n v="88"/>
    <x v="1"/>
    <x v="0"/>
    <x v="226"/>
    <x v="0"/>
    <s v="DISCOUNT NOT ALLOWED"/>
    <s v="discount not allowed"/>
    <s v="DISCOUNT NOT ALLOWED"/>
    <s v="Discount Not Allowed"/>
    <s v="20/01/23"/>
  </r>
  <r>
    <s v="TXN_8926018"/>
    <s v="CUST_11"/>
    <x v="2"/>
    <x v="161"/>
    <x v="20"/>
    <x v="2"/>
    <n v="88"/>
    <x v="2"/>
    <x v="0"/>
    <x v="518"/>
    <x v="0"/>
    <s v="DISCOUNT NOT ALLOWED"/>
    <s v="discount not allowed"/>
    <s v="DISCOUNT NOT ALLOWED"/>
    <s v="Discount Not Allowed"/>
    <s v="04/09/23"/>
  </r>
  <r>
    <s v="TXN_9373460"/>
    <s v="CUST_14"/>
    <x v="5"/>
    <x v="160"/>
    <x v="20"/>
    <x v="2"/>
    <n v="88"/>
    <x v="0"/>
    <x v="1"/>
    <x v="649"/>
    <x v="1"/>
    <s v="DISCOUNT ALLOWED"/>
    <s v="discount allowed"/>
    <s v="DISCOUNT ALLOWED"/>
    <s v="Discount Allowed"/>
    <s v="11/06/23"/>
  </r>
  <r>
    <s v="TXN_9989291"/>
    <s v="CUST_06"/>
    <x v="5"/>
    <x v="160"/>
    <x v="20"/>
    <x v="2"/>
    <n v="88"/>
    <x v="0"/>
    <x v="1"/>
    <x v="357"/>
    <x v="0"/>
    <s v="DISCOUNT NOT ALLOWED"/>
    <s v="discount not allowed"/>
    <s v="DISCOUNT NOT ALLOWED"/>
    <s v="Discount Not Allowed"/>
    <s v="09/07/23"/>
  </r>
  <r>
    <s v="TXN_1017199"/>
    <s v="CUST_02"/>
    <x v="5"/>
    <x v="159"/>
    <x v="19"/>
    <x v="3"/>
    <n v="87.5"/>
    <x v="1"/>
    <x v="1"/>
    <x v="944"/>
    <x v="1"/>
    <s v="DISCOUNT ALLOWED"/>
    <s v="discount allowed"/>
    <s v="DISCOUNT ALLOWED"/>
    <s v="Discount Allowed"/>
    <s v="14/01/24"/>
  </r>
  <r>
    <s v="TXN_1126918"/>
    <s v="CUST_06"/>
    <x v="2"/>
    <x v="158"/>
    <x v="19"/>
    <x v="3"/>
    <n v="87.5"/>
    <x v="1"/>
    <x v="0"/>
    <x v="622"/>
    <x v="0"/>
    <s v="DISCOUNT NOT ALLOWED"/>
    <s v="discount not allowed"/>
    <s v="DISCOUNT NOT ALLOWED"/>
    <s v="Discount Not Allowed"/>
    <s v="23/10/22"/>
  </r>
  <r>
    <s v="TXN_1185788"/>
    <s v="CUST_11"/>
    <x v="0"/>
    <x v="154"/>
    <x v="19"/>
    <x v="3"/>
    <n v="87.5"/>
    <x v="0"/>
    <x v="0"/>
    <x v="402"/>
    <x v="1"/>
    <s v="DISCOUNT ALLOWED"/>
    <s v="discount allowed"/>
    <s v="DISCOUNT ALLOWED"/>
    <s v="Discount Allowed"/>
    <s v="07/09/23"/>
  </r>
  <r>
    <s v="TXN_1684657"/>
    <s v="CUST_22"/>
    <x v="0"/>
    <x v="154"/>
    <x v="19"/>
    <x v="3"/>
    <n v="87.5"/>
    <x v="0"/>
    <x v="0"/>
    <x v="630"/>
    <x v="0"/>
    <s v="DISCOUNT NOT ALLOWED"/>
    <s v="discount not allowed"/>
    <s v="DISCOUNT NOT ALLOWED"/>
    <s v="Discount Not Allowed"/>
    <s v="10/07/24"/>
  </r>
  <r>
    <s v="TXN_1795312"/>
    <s v="CUST_20"/>
    <x v="5"/>
    <x v="159"/>
    <x v="19"/>
    <x v="3"/>
    <n v="87.5"/>
    <x v="2"/>
    <x v="0"/>
    <x v="884"/>
    <x v="1"/>
    <s v="DISCOUNT ALLOWED"/>
    <s v="discount allowed"/>
    <s v="DISCOUNT ALLOWED"/>
    <s v="Discount Allowed"/>
    <s v="13/01/24"/>
  </r>
  <r>
    <s v="TXN_2084347"/>
    <s v="CUST_07"/>
    <x v="0"/>
    <x v="154"/>
    <x v="19"/>
    <x v="3"/>
    <n v="87.5"/>
    <x v="2"/>
    <x v="1"/>
    <x v="741"/>
    <x v="0"/>
    <s v="DISCOUNT NOT ALLOWED"/>
    <s v="discount not allowed"/>
    <s v="DISCOUNT NOT ALLOWED"/>
    <s v="Discount Not Allowed"/>
    <s v="22/11/22"/>
  </r>
  <r>
    <s v="TXN_2841201"/>
    <s v="CUST_11"/>
    <x v="4"/>
    <x v="155"/>
    <x v="19"/>
    <x v="3"/>
    <n v="87.5"/>
    <x v="0"/>
    <x v="0"/>
    <x v="449"/>
    <x v="1"/>
    <s v="DISCOUNT ALLOWED"/>
    <s v="discount allowed"/>
    <s v="DISCOUNT ALLOWED"/>
    <s v="Discount Allowed"/>
    <s v="27/03/22"/>
  </r>
  <r>
    <s v="TXN_3147080"/>
    <s v="CUST_22"/>
    <x v="3"/>
    <x v="157"/>
    <x v="19"/>
    <x v="3"/>
    <n v="87.5"/>
    <x v="0"/>
    <x v="1"/>
    <x v="347"/>
    <x v="0"/>
    <s v="DISCOUNT NOT ALLOWED"/>
    <s v="discount not allowed"/>
    <s v="DISCOUNT NOT ALLOWED"/>
    <s v="Discount Not Allowed"/>
    <s v="11/12/24"/>
  </r>
  <r>
    <s v="TXN_3226837"/>
    <s v="CUST_21"/>
    <x v="0"/>
    <x v="154"/>
    <x v="19"/>
    <x v="3"/>
    <n v="87.5"/>
    <x v="1"/>
    <x v="1"/>
    <x v="527"/>
    <x v="0"/>
    <s v="DISCOUNT NOT ALLOWED"/>
    <s v="discount not allowed"/>
    <s v="DISCOUNT NOT ALLOWED"/>
    <s v="Discount Not Allowed"/>
    <s v="20/08/23"/>
  </r>
  <r>
    <s v="TXN_3404251"/>
    <s v="CUST_10"/>
    <x v="7"/>
    <x v="153"/>
    <x v="19"/>
    <x v="3"/>
    <n v="87.5"/>
    <x v="1"/>
    <x v="1"/>
    <x v="63"/>
    <x v="1"/>
    <s v="DISCOUNT ALLOWED"/>
    <s v="discount allowed"/>
    <s v="DISCOUNT ALLOWED"/>
    <s v="Discount Allowed"/>
    <s v="02/04/24"/>
  </r>
  <r>
    <s v="TXN_3424571"/>
    <s v="CUST_09"/>
    <x v="0"/>
    <x v="154"/>
    <x v="19"/>
    <x v="3"/>
    <n v="87.5"/>
    <x v="2"/>
    <x v="0"/>
    <x v="392"/>
    <x v="0"/>
    <s v="DISCOUNT NOT ALLOWED"/>
    <s v="discount not allowed"/>
    <s v="DISCOUNT NOT ALLOWED"/>
    <s v="Discount Not Allowed"/>
    <s v="13/01/23"/>
  </r>
  <r>
    <s v="TXN_4251687"/>
    <s v="CUST_25"/>
    <x v="6"/>
    <x v="152"/>
    <x v="19"/>
    <x v="3"/>
    <n v="87.5"/>
    <x v="1"/>
    <x v="1"/>
    <x v="772"/>
    <x v="0"/>
    <s v="DISCOUNT NOT ALLOWED"/>
    <s v="discount not allowed"/>
    <s v="DISCOUNT NOT ALLOWED"/>
    <s v="Discount Not Allowed"/>
    <s v="19/07/22"/>
  </r>
  <r>
    <s v="TXN_4454069"/>
    <s v="CUST_21"/>
    <x v="5"/>
    <x v="159"/>
    <x v="19"/>
    <x v="3"/>
    <n v="87.5"/>
    <x v="0"/>
    <x v="1"/>
    <x v="143"/>
    <x v="0"/>
    <s v="DISCOUNT NOT ALLOWED"/>
    <s v="discount not allowed"/>
    <s v="DISCOUNT NOT ALLOWED"/>
    <s v="Discount Not Allowed"/>
    <s v="23/08/23"/>
  </r>
  <r>
    <s v="TXN_4575373"/>
    <s v="CUST_05"/>
    <x v="4"/>
    <x v="155"/>
    <x v="19"/>
    <x v="3"/>
    <n v="87.5"/>
    <x v="0"/>
    <x v="0"/>
    <x v="44"/>
    <x v="0"/>
    <s v="DISCOUNT NOT ALLOWED"/>
    <s v="discount not allowed"/>
    <s v="DISCOUNT NOT ALLOWED"/>
    <s v="Discount Not Allowed"/>
    <s v="02/10/22"/>
  </r>
  <r>
    <s v="TXN_4584080"/>
    <s v="CUST_20"/>
    <x v="3"/>
    <x v="157"/>
    <x v="19"/>
    <x v="3"/>
    <n v="87.5"/>
    <x v="1"/>
    <x v="1"/>
    <x v="1013"/>
    <x v="0"/>
    <s v="DISCOUNT NOT ALLOWED"/>
    <s v="discount not allowed"/>
    <s v="DISCOUNT NOT ALLOWED"/>
    <s v="Discount Not Allowed"/>
    <s v="03/08/23"/>
  </r>
  <r>
    <s v="TXN_4730708"/>
    <s v="CUST_12"/>
    <x v="2"/>
    <x v="158"/>
    <x v="19"/>
    <x v="3"/>
    <n v="87.5"/>
    <x v="0"/>
    <x v="1"/>
    <x v="671"/>
    <x v="0"/>
    <s v="DISCOUNT NOT ALLOWED"/>
    <s v="discount not allowed"/>
    <s v="DISCOUNT NOT ALLOWED"/>
    <s v="Discount Not Allowed"/>
    <s v="09/08/24"/>
  </r>
  <r>
    <s v="TXN_4909298"/>
    <s v="CUST_13"/>
    <x v="0"/>
    <x v="154"/>
    <x v="19"/>
    <x v="3"/>
    <n v="87.5"/>
    <x v="2"/>
    <x v="0"/>
    <x v="44"/>
    <x v="1"/>
    <s v="DISCOUNT ALLOWED"/>
    <s v="discount allowed"/>
    <s v="DISCOUNT ALLOWED"/>
    <s v="Discount Allowed"/>
    <s v="02/10/22"/>
  </r>
  <r>
    <s v="TXN_4915355"/>
    <s v="CUST_14"/>
    <x v="5"/>
    <x v="159"/>
    <x v="19"/>
    <x v="3"/>
    <n v="87.5"/>
    <x v="1"/>
    <x v="0"/>
    <x v="222"/>
    <x v="1"/>
    <s v="DISCOUNT ALLOWED"/>
    <s v="discount allowed"/>
    <s v="DISCOUNT ALLOWED"/>
    <s v="Discount Allowed"/>
    <s v="13/12/22"/>
  </r>
  <r>
    <s v="TXN_4974375"/>
    <s v="CUST_18"/>
    <x v="3"/>
    <x v="157"/>
    <x v="19"/>
    <x v="3"/>
    <n v="87.5"/>
    <x v="1"/>
    <x v="1"/>
    <x v="365"/>
    <x v="1"/>
    <s v="DISCOUNT ALLOWED"/>
    <s v="discount allowed"/>
    <s v="DISCOUNT ALLOWED"/>
    <s v="Discount Allowed"/>
    <s v="19/03/22"/>
  </r>
  <r>
    <s v="TXN_5035012"/>
    <s v="CUST_03"/>
    <x v="7"/>
    <x v="153"/>
    <x v="19"/>
    <x v="3"/>
    <n v="87.5"/>
    <x v="2"/>
    <x v="1"/>
    <x v="952"/>
    <x v="0"/>
    <s v="DISCOUNT NOT ALLOWED"/>
    <s v="discount not allowed"/>
    <s v="DISCOUNT NOT ALLOWED"/>
    <s v="Discount Not Allowed"/>
    <s v="27/11/24"/>
  </r>
  <r>
    <s v="TXN_5150250"/>
    <s v="CUST_09"/>
    <x v="2"/>
    <x v="158"/>
    <x v="19"/>
    <x v="3"/>
    <n v="87.5"/>
    <x v="2"/>
    <x v="0"/>
    <x v="31"/>
    <x v="1"/>
    <s v="DISCOUNT ALLOWED"/>
    <s v="discount allowed"/>
    <s v="DISCOUNT ALLOWED"/>
    <s v="Discount Allowed"/>
    <s v="05/07/22"/>
  </r>
  <r>
    <s v="TXN_5410292"/>
    <s v="CUST_18"/>
    <x v="5"/>
    <x v="159"/>
    <x v="19"/>
    <x v="3"/>
    <n v="87.5"/>
    <x v="2"/>
    <x v="0"/>
    <x v="625"/>
    <x v="0"/>
    <s v="DISCOUNT NOT ALLOWED"/>
    <s v="discount not allowed"/>
    <s v="DISCOUNT NOT ALLOWED"/>
    <s v="Discount Not Allowed"/>
    <s v="13/11/22"/>
  </r>
  <r>
    <s v="TXN_5451832"/>
    <s v="CUST_06"/>
    <x v="3"/>
    <x v="157"/>
    <x v="19"/>
    <x v="3"/>
    <n v="87.5"/>
    <x v="2"/>
    <x v="0"/>
    <x v="341"/>
    <x v="0"/>
    <s v="DISCOUNT NOT ALLOWED"/>
    <s v="discount not allowed"/>
    <s v="DISCOUNT NOT ALLOWED"/>
    <s v="Discount Not Allowed"/>
    <s v="12/07/24"/>
  </r>
  <r>
    <s v="TXN_5453940"/>
    <s v="CUST_25"/>
    <x v="2"/>
    <x v="158"/>
    <x v="19"/>
    <x v="3"/>
    <n v="87.5"/>
    <x v="0"/>
    <x v="0"/>
    <x v="1032"/>
    <x v="0"/>
    <s v="DISCOUNT NOT ALLOWED"/>
    <s v="discount not allowed"/>
    <s v="DISCOUNT NOT ALLOWED"/>
    <s v="Discount Not Allowed"/>
    <s v="30/03/23"/>
  </r>
  <r>
    <s v="TXN_5469699"/>
    <s v="CUST_01"/>
    <x v="0"/>
    <x v="154"/>
    <x v="19"/>
    <x v="3"/>
    <n v="87.5"/>
    <x v="2"/>
    <x v="0"/>
    <x v="859"/>
    <x v="0"/>
    <s v="DISCOUNT NOT ALLOWED"/>
    <s v="discount not allowed"/>
    <s v="DISCOUNT NOT ALLOWED"/>
    <s v="Discount Not Allowed"/>
    <s v="21/01/23"/>
  </r>
  <r>
    <s v="TXN_5834615"/>
    <s v="CUST_03"/>
    <x v="0"/>
    <x v="154"/>
    <x v="19"/>
    <x v="3"/>
    <n v="87.5"/>
    <x v="1"/>
    <x v="1"/>
    <x v="272"/>
    <x v="0"/>
    <s v="DISCOUNT NOT ALLOWED"/>
    <s v="discount not allowed"/>
    <s v="DISCOUNT NOT ALLOWED"/>
    <s v="Discount Not Allowed"/>
    <s v="08/04/22"/>
  </r>
  <r>
    <s v="TXN_6147473"/>
    <s v="CUST_25"/>
    <x v="7"/>
    <x v="153"/>
    <x v="19"/>
    <x v="3"/>
    <n v="87.5"/>
    <x v="0"/>
    <x v="1"/>
    <x v="875"/>
    <x v="0"/>
    <s v="DISCOUNT NOT ALLOWED"/>
    <s v="discount not allowed"/>
    <s v="DISCOUNT NOT ALLOWED"/>
    <s v="Discount Not Allowed"/>
    <s v="08/09/23"/>
  </r>
  <r>
    <s v="TXN_6376057"/>
    <s v="CUST_18"/>
    <x v="5"/>
    <x v="159"/>
    <x v="19"/>
    <x v="3"/>
    <n v="87.5"/>
    <x v="0"/>
    <x v="1"/>
    <x v="1062"/>
    <x v="1"/>
    <s v="DISCOUNT ALLOWED"/>
    <s v="discount allowed"/>
    <s v="DISCOUNT ALLOWED"/>
    <s v="Discount Allowed"/>
    <s v="11/10/23"/>
  </r>
  <r>
    <s v="TXN_8546325"/>
    <s v="CUST_19"/>
    <x v="3"/>
    <x v="157"/>
    <x v="19"/>
    <x v="3"/>
    <n v="87.5"/>
    <x v="0"/>
    <x v="1"/>
    <x v="872"/>
    <x v="0"/>
    <s v="DISCOUNT NOT ALLOWED"/>
    <s v="discount not allowed"/>
    <s v="DISCOUNT NOT ALLOWED"/>
    <s v="Discount Not Allowed"/>
    <s v="07/06/24"/>
  </r>
  <r>
    <s v="TXN_8705070"/>
    <s v="CUST_03"/>
    <x v="7"/>
    <x v="153"/>
    <x v="19"/>
    <x v="3"/>
    <n v="87.5"/>
    <x v="0"/>
    <x v="0"/>
    <x v="232"/>
    <x v="0"/>
    <s v="DISCOUNT NOT ALLOWED"/>
    <s v="discount not allowed"/>
    <s v="DISCOUNT NOT ALLOWED"/>
    <s v="Discount Not Allowed"/>
    <s v="28/02/22"/>
  </r>
  <r>
    <s v="TXN_8747801"/>
    <s v="CUST_12"/>
    <x v="3"/>
    <x v="157"/>
    <x v="19"/>
    <x v="3"/>
    <n v="87.5"/>
    <x v="0"/>
    <x v="1"/>
    <x v="829"/>
    <x v="1"/>
    <s v="DISCOUNT ALLOWED"/>
    <s v="discount allowed"/>
    <s v="DISCOUNT ALLOWED"/>
    <s v="Discount Allowed"/>
    <s v="29/06/23"/>
  </r>
  <r>
    <s v="TXN_8831675"/>
    <s v="CUST_14"/>
    <x v="0"/>
    <x v="154"/>
    <x v="19"/>
    <x v="3"/>
    <n v="87.5"/>
    <x v="2"/>
    <x v="1"/>
    <x v="319"/>
    <x v="0"/>
    <s v="DISCOUNT NOT ALLOWED"/>
    <s v="discount not allowed"/>
    <s v="DISCOUNT NOT ALLOWED"/>
    <s v="Discount Not Allowed"/>
    <s v="22/12/23"/>
  </r>
  <r>
    <s v="TXN_9122970"/>
    <s v="CUST_18"/>
    <x v="4"/>
    <x v="155"/>
    <x v="19"/>
    <x v="3"/>
    <n v="87.5"/>
    <x v="2"/>
    <x v="0"/>
    <x v="23"/>
    <x v="1"/>
    <s v="DISCOUNT ALLOWED"/>
    <s v="discount allowed"/>
    <s v="DISCOUNT ALLOWED"/>
    <s v="Discount Allowed"/>
    <s v="31/08/24"/>
  </r>
  <r>
    <s v="TXN_9262610"/>
    <s v="CUST_17"/>
    <x v="7"/>
    <x v="153"/>
    <x v="19"/>
    <x v="3"/>
    <n v="87.5"/>
    <x v="0"/>
    <x v="1"/>
    <x v="133"/>
    <x v="1"/>
    <s v="DISCOUNT ALLOWED"/>
    <s v="discount allowed"/>
    <s v="DISCOUNT ALLOWED"/>
    <s v="Discount Allowed"/>
    <s v="17/01/24"/>
  </r>
  <r>
    <s v="TXN_9445661"/>
    <s v="CUST_08"/>
    <x v="4"/>
    <x v="155"/>
    <x v="19"/>
    <x v="3"/>
    <n v="87.5"/>
    <x v="1"/>
    <x v="0"/>
    <x v="910"/>
    <x v="0"/>
    <s v="DISCOUNT NOT ALLOWED"/>
    <s v="discount not allowed"/>
    <s v="DISCOUNT NOT ALLOWED"/>
    <s v="Discount Not Allowed"/>
    <s v="20/01/22"/>
  </r>
  <r>
    <s v="TXN_9964258"/>
    <s v="CUST_23"/>
    <x v="5"/>
    <x v="159"/>
    <x v="19"/>
    <x v="3"/>
    <n v="87.5"/>
    <x v="0"/>
    <x v="0"/>
    <x v="823"/>
    <x v="0"/>
    <s v="DISCOUNT NOT ALLOWED"/>
    <s v="discount not allowed"/>
    <s v="DISCOUNT NOT ALLOWED"/>
    <s v="Discount Not Allowed"/>
    <s v="17/09/22"/>
  </r>
  <r>
    <s v="TXN_9974657"/>
    <s v="CUST_15"/>
    <x v="7"/>
    <x v="153"/>
    <x v="19"/>
    <x v="3"/>
    <n v="87.5"/>
    <x v="0"/>
    <x v="1"/>
    <x v="950"/>
    <x v="0"/>
    <s v="DISCOUNT NOT ALLOWED"/>
    <s v="discount not allowed"/>
    <s v="DISCOUNT NOT ALLOWED"/>
    <s v="Discount Not Allowed"/>
    <s v="20/09/22"/>
  </r>
  <r>
    <s v="TXN_1014375"/>
    <s v="CUST_17"/>
    <x v="4"/>
    <x v="66"/>
    <x v="8"/>
    <x v="7"/>
    <n v="87"/>
    <x v="0"/>
    <x v="0"/>
    <x v="315"/>
    <x v="1"/>
    <s v="DISCOUNT ALLOWED"/>
    <s v="discount allowed"/>
    <s v="DISCOUNT ALLOWED"/>
    <s v="Discount Allowed"/>
    <s v="28/09/23"/>
  </r>
  <r>
    <s v="TXN_1197801"/>
    <s v="CUST_14"/>
    <x v="7"/>
    <x v="63"/>
    <x v="8"/>
    <x v="7"/>
    <n v="87"/>
    <x v="1"/>
    <x v="1"/>
    <x v="279"/>
    <x v="1"/>
    <s v="DISCOUNT ALLOWED"/>
    <s v="discount allowed"/>
    <s v="DISCOUNT ALLOWED"/>
    <s v="Discount Allowed"/>
    <s v="06/01/23"/>
  </r>
  <r>
    <s v="TXN_1294411"/>
    <s v="CUST_04"/>
    <x v="4"/>
    <x v="66"/>
    <x v="8"/>
    <x v="7"/>
    <n v="87"/>
    <x v="0"/>
    <x v="1"/>
    <x v="130"/>
    <x v="0"/>
    <s v="DISCOUNT NOT ALLOWED"/>
    <s v="discount not allowed"/>
    <s v="DISCOUNT NOT ALLOWED"/>
    <s v="Discount Not Allowed"/>
    <s v="21/09/23"/>
  </r>
  <r>
    <s v="TXN_1949980"/>
    <s v="CUST_22"/>
    <x v="1"/>
    <x v="64"/>
    <x v="8"/>
    <x v="7"/>
    <n v="87"/>
    <x v="2"/>
    <x v="0"/>
    <x v="92"/>
    <x v="0"/>
    <s v="DISCOUNT NOT ALLOWED"/>
    <s v="discount not allowed"/>
    <s v="DISCOUNT NOT ALLOWED"/>
    <s v="Discount Not Allowed"/>
    <s v="03/03/24"/>
  </r>
  <r>
    <s v="TXN_2014213"/>
    <s v="CUST_24"/>
    <x v="4"/>
    <x v="66"/>
    <x v="8"/>
    <x v="7"/>
    <n v="87"/>
    <x v="2"/>
    <x v="0"/>
    <x v="485"/>
    <x v="1"/>
    <s v="DISCOUNT ALLOWED"/>
    <s v="discount allowed"/>
    <s v="DISCOUNT ALLOWED"/>
    <s v="Discount Allowed"/>
    <s v="05/01/23"/>
  </r>
  <r>
    <s v="TXN_2033155"/>
    <s v="CUST_21"/>
    <x v="4"/>
    <x v="66"/>
    <x v="8"/>
    <x v="7"/>
    <n v="87"/>
    <x v="0"/>
    <x v="0"/>
    <x v="637"/>
    <x v="0"/>
    <s v="DISCOUNT NOT ALLOWED"/>
    <s v="discount not allowed"/>
    <s v="DISCOUNT NOT ALLOWED"/>
    <s v="Discount Not Allowed"/>
    <s v="29/05/23"/>
  </r>
  <r>
    <s v="TXN_2377286"/>
    <s v="CUST_04"/>
    <x v="7"/>
    <x v="63"/>
    <x v="8"/>
    <x v="7"/>
    <n v="87"/>
    <x v="2"/>
    <x v="0"/>
    <x v="290"/>
    <x v="0"/>
    <s v="DISCOUNT NOT ALLOWED"/>
    <s v="discount not allowed"/>
    <s v="DISCOUNT NOT ALLOWED"/>
    <s v="Discount Not Allowed"/>
    <s v="30/09/23"/>
  </r>
  <r>
    <s v="TXN_2585566"/>
    <s v="CUST_06"/>
    <x v="5"/>
    <x v="67"/>
    <x v="8"/>
    <x v="7"/>
    <n v="87"/>
    <x v="0"/>
    <x v="1"/>
    <x v="994"/>
    <x v="1"/>
    <s v="DISCOUNT ALLOWED"/>
    <s v="discount allowed"/>
    <s v="DISCOUNT ALLOWED"/>
    <s v="Discount Allowed"/>
    <s v="10/03/24"/>
  </r>
  <r>
    <s v="TXN_2823557"/>
    <s v="CUST_05"/>
    <x v="4"/>
    <x v="66"/>
    <x v="8"/>
    <x v="7"/>
    <n v="87"/>
    <x v="1"/>
    <x v="1"/>
    <x v="164"/>
    <x v="1"/>
    <s v="DISCOUNT ALLOWED"/>
    <s v="discount allowed"/>
    <s v="DISCOUNT ALLOWED"/>
    <s v="Discount Allowed"/>
    <s v="26/01/22"/>
  </r>
  <r>
    <s v="TXN_4043491"/>
    <s v="CUST_02"/>
    <x v="4"/>
    <x v="66"/>
    <x v="8"/>
    <x v="7"/>
    <n v="87"/>
    <x v="2"/>
    <x v="1"/>
    <x v="819"/>
    <x v="1"/>
    <s v="DISCOUNT ALLOWED"/>
    <s v="discount allowed"/>
    <s v="DISCOUNT ALLOWED"/>
    <s v="Discount Allowed"/>
    <s v="11/07/23"/>
  </r>
  <r>
    <s v="TXN_5510641"/>
    <s v="CUST_14"/>
    <x v="7"/>
    <x v="63"/>
    <x v="8"/>
    <x v="7"/>
    <n v="87"/>
    <x v="1"/>
    <x v="0"/>
    <x v="126"/>
    <x v="0"/>
    <s v="DISCOUNT NOT ALLOWED"/>
    <s v="discount not allowed"/>
    <s v="DISCOUNT NOT ALLOWED"/>
    <s v="Discount Not Allowed"/>
    <s v="21/10/23"/>
  </r>
  <r>
    <s v="TXN_5521089"/>
    <s v="CUST_13"/>
    <x v="0"/>
    <x v="61"/>
    <x v="8"/>
    <x v="7"/>
    <n v="87"/>
    <x v="0"/>
    <x v="1"/>
    <x v="191"/>
    <x v="1"/>
    <s v="DISCOUNT ALLOWED"/>
    <s v="discount allowed"/>
    <s v="DISCOUNT ALLOWED"/>
    <s v="Discount Allowed"/>
    <s v="21/06/24"/>
  </r>
  <r>
    <s v="TXN_5563947"/>
    <s v="CUST_01"/>
    <x v="4"/>
    <x v="66"/>
    <x v="8"/>
    <x v="7"/>
    <n v="87"/>
    <x v="0"/>
    <x v="1"/>
    <x v="885"/>
    <x v="0"/>
    <s v="DISCOUNT NOT ALLOWED"/>
    <s v="discount not allowed"/>
    <s v="DISCOUNT NOT ALLOWED"/>
    <s v="Discount Not Allowed"/>
    <s v="02/06/22"/>
  </r>
  <r>
    <s v="TXN_6093600"/>
    <s v="CUST_09"/>
    <x v="5"/>
    <x v="67"/>
    <x v="8"/>
    <x v="7"/>
    <n v="87"/>
    <x v="2"/>
    <x v="0"/>
    <x v="763"/>
    <x v="0"/>
    <s v="DISCOUNT NOT ALLOWED"/>
    <s v="discount not allowed"/>
    <s v="DISCOUNT NOT ALLOWED"/>
    <s v="Discount Not Allowed"/>
    <s v="21/09/24"/>
  </r>
  <r>
    <s v="TXN_6104935"/>
    <s v="CUST_18"/>
    <x v="1"/>
    <x v="64"/>
    <x v="8"/>
    <x v="7"/>
    <n v="87"/>
    <x v="1"/>
    <x v="0"/>
    <x v="800"/>
    <x v="1"/>
    <s v="DISCOUNT ALLOWED"/>
    <s v="discount allowed"/>
    <s v="DISCOUNT ALLOWED"/>
    <s v="Discount Allowed"/>
    <s v="06/05/22"/>
  </r>
  <r>
    <s v="TXN_6179212"/>
    <s v="CUST_05"/>
    <x v="0"/>
    <x v="61"/>
    <x v="8"/>
    <x v="7"/>
    <n v="87"/>
    <x v="0"/>
    <x v="0"/>
    <x v="193"/>
    <x v="0"/>
    <s v="DISCOUNT NOT ALLOWED"/>
    <s v="discount not allowed"/>
    <s v="DISCOUNT NOT ALLOWED"/>
    <s v="Discount Not Allowed"/>
    <s v="08/01/22"/>
  </r>
  <r>
    <s v="TXN_6730670"/>
    <s v="CUST_22"/>
    <x v="0"/>
    <x v="61"/>
    <x v="8"/>
    <x v="7"/>
    <n v="87"/>
    <x v="0"/>
    <x v="0"/>
    <x v="947"/>
    <x v="0"/>
    <s v="DISCOUNT NOT ALLOWED"/>
    <s v="discount not allowed"/>
    <s v="DISCOUNT NOT ALLOWED"/>
    <s v="Discount Not Allowed"/>
    <s v="28/09/22"/>
  </r>
  <r>
    <s v="TXN_7014970"/>
    <s v="CUST_13"/>
    <x v="4"/>
    <x v="66"/>
    <x v="8"/>
    <x v="7"/>
    <n v="87"/>
    <x v="1"/>
    <x v="1"/>
    <x v="273"/>
    <x v="1"/>
    <s v="DISCOUNT ALLOWED"/>
    <s v="discount allowed"/>
    <s v="DISCOUNT ALLOWED"/>
    <s v="Discount Allowed"/>
    <s v="12/08/23"/>
  </r>
  <r>
    <s v="TXN_7059698"/>
    <s v="CUST_12"/>
    <x v="5"/>
    <x v="67"/>
    <x v="8"/>
    <x v="7"/>
    <n v="87"/>
    <x v="0"/>
    <x v="0"/>
    <x v="428"/>
    <x v="0"/>
    <s v="DISCOUNT NOT ALLOWED"/>
    <s v="discount not allowed"/>
    <s v="DISCOUNT NOT ALLOWED"/>
    <s v="Discount Not Allowed"/>
    <s v="01/05/23"/>
  </r>
  <r>
    <s v="TXN_7188615"/>
    <s v="CUST_09"/>
    <x v="0"/>
    <x v="61"/>
    <x v="8"/>
    <x v="7"/>
    <n v="87"/>
    <x v="0"/>
    <x v="0"/>
    <x v="382"/>
    <x v="0"/>
    <s v="DISCOUNT NOT ALLOWED"/>
    <s v="discount not allowed"/>
    <s v="DISCOUNT NOT ALLOWED"/>
    <s v="Discount Not Allowed"/>
    <s v="25/07/22"/>
  </r>
  <r>
    <s v="TXN_7224530"/>
    <s v="CUST_08"/>
    <x v="6"/>
    <x v="62"/>
    <x v="8"/>
    <x v="7"/>
    <n v="87"/>
    <x v="2"/>
    <x v="0"/>
    <x v="265"/>
    <x v="1"/>
    <s v="DISCOUNT ALLOWED"/>
    <s v="discount allowed"/>
    <s v="DISCOUNT ALLOWED"/>
    <s v="Discount Allowed"/>
    <s v="30/06/24"/>
  </r>
  <r>
    <s v="TXN_7356793"/>
    <s v="CUST_18"/>
    <x v="1"/>
    <x v="64"/>
    <x v="8"/>
    <x v="7"/>
    <n v="87"/>
    <x v="2"/>
    <x v="1"/>
    <x v="910"/>
    <x v="0"/>
    <s v="DISCOUNT NOT ALLOWED"/>
    <s v="discount not allowed"/>
    <s v="DISCOUNT NOT ALLOWED"/>
    <s v="Discount Not Allowed"/>
    <s v="20/01/22"/>
  </r>
  <r>
    <s v="TXN_7487450"/>
    <s v="CUST_13"/>
    <x v="6"/>
    <x v="62"/>
    <x v="8"/>
    <x v="7"/>
    <n v="87"/>
    <x v="1"/>
    <x v="1"/>
    <x v="285"/>
    <x v="0"/>
    <s v="DISCOUNT NOT ALLOWED"/>
    <s v="discount not allowed"/>
    <s v="DISCOUNT NOT ALLOWED"/>
    <s v="Discount Not Allowed"/>
    <s v="12/03/22"/>
  </r>
  <r>
    <s v="TXN_7779819"/>
    <s v="CUST_08"/>
    <x v="2"/>
    <x v="68"/>
    <x v="8"/>
    <x v="7"/>
    <n v="87"/>
    <x v="0"/>
    <x v="0"/>
    <x v="799"/>
    <x v="1"/>
    <s v="DISCOUNT ALLOWED"/>
    <s v="discount allowed"/>
    <s v="DISCOUNT ALLOWED"/>
    <s v="Discount Allowed"/>
    <s v="30/10/24"/>
  </r>
  <r>
    <s v="TXN_7901897"/>
    <s v="CUST_06"/>
    <x v="2"/>
    <x v="68"/>
    <x v="8"/>
    <x v="7"/>
    <n v="87"/>
    <x v="1"/>
    <x v="0"/>
    <x v="815"/>
    <x v="0"/>
    <s v="DISCOUNT NOT ALLOWED"/>
    <s v="discount not allowed"/>
    <s v="DISCOUNT NOT ALLOWED"/>
    <s v="Discount Not Allowed"/>
    <s v="28/02/23"/>
  </r>
  <r>
    <s v="TXN_8588818"/>
    <s v="CUST_17"/>
    <x v="5"/>
    <x v="67"/>
    <x v="8"/>
    <x v="7"/>
    <n v="87"/>
    <x v="2"/>
    <x v="1"/>
    <x v="611"/>
    <x v="1"/>
    <s v="DISCOUNT ALLOWED"/>
    <s v="discount allowed"/>
    <s v="DISCOUNT ALLOWED"/>
    <s v="Discount Allowed"/>
    <s v="18/12/22"/>
  </r>
  <r>
    <s v="TXN_8876899"/>
    <s v="CUST_22"/>
    <x v="3"/>
    <x v="65"/>
    <x v="8"/>
    <x v="7"/>
    <n v="87"/>
    <x v="2"/>
    <x v="0"/>
    <x v="179"/>
    <x v="0"/>
    <s v="DISCOUNT NOT ALLOWED"/>
    <s v="discount not allowed"/>
    <s v="DISCOUNT NOT ALLOWED"/>
    <s v="Discount Not Allowed"/>
    <s v="05/09/22"/>
  </r>
  <r>
    <s v="TXN_9209672"/>
    <s v="CUST_05"/>
    <x v="2"/>
    <x v="68"/>
    <x v="8"/>
    <x v="7"/>
    <n v="87"/>
    <x v="1"/>
    <x v="0"/>
    <x v="938"/>
    <x v="0"/>
    <s v="DISCOUNT NOT ALLOWED"/>
    <s v="discount not allowed"/>
    <s v="DISCOUNT NOT ALLOWED"/>
    <s v="Discount Not Allowed"/>
    <s v="05/06/24"/>
  </r>
  <r>
    <s v="TXN_9641889"/>
    <s v="CUST_03"/>
    <x v="7"/>
    <x v="63"/>
    <x v="8"/>
    <x v="7"/>
    <n v="87"/>
    <x v="2"/>
    <x v="0"/>
    <x v="412"/>
    <x v="1"/>
    <s v="DISCOUNT ALLOWED"/>
    <s v="discount allowed"/>
    <s v="DISCOUNT ALLOWED"/>
    <s v="Discount Allowed"/>
    <s v="17/10/22"/>
  </r>
  <r>
    <s v="TXN_9757864"/>
    <s v="CUST_24"/>
    <x v="6"/>
    <x v="62"/>
    <x v="8"/>
    <x v="7"/>
    <n v="87"/>
    <x v="1"/>
    <x v="1"/>
    <x v="152"/>
    <x v="1"/>
    <s v="DISCOUNT ALLOWED"/>
    <s v="discount allowed"/>
    <s v="DISCOUNT ALLOWED"/>
    <s v="Discount Allowed"/>
    <s v="10/02/22"/>
  </r>
  <r>
    <s v="TXN_9995284"/>
    <s v="CUST_07"/>
    <x v="4"/>
    <x v="66"/>
    <x v="8"/>
    <x v="7"/>
    <n v="87"/>
    <x v="1"/>
    <x v="0"/>
    <x v="303"/>
    <x v="1"/>
    <s v="DISCOUNT ALLOWED"/>
    <s v="discount allowed"/>
    <s v="DISCOUNT ALLOWED"/>
    <s v="Discount Allowed"/>
    <s v="22/12/24"/>
  </r>
  <r>
    <s v="TXN_1041912"/>
    <s v="CUST_18"/>
    <x v="1"/>
    <x v="105"/>
    <x v="13"/>
    <x v="6"/>
    <n v="86"/>
    <x v="1"/>
    <x v="1"/>
    <x v="652"/>
    <x v="1"/>
    <s v="DISCOUNT ALLOWED"/>
    <s v="discount allowed"/>
    <s v="DISCOUNT ALLOWED"/>
    <s v="Discount Allowed"/>
    <s v="12/11/23"/>
  </r>
  <r>
    <s v="TXN_1140976"/>
    <s v="CUST_06"/>
    <x v="6"/>
    <x v="104"/>
    <x v="13"/>
    <x v="6"/>
    <n v="86"/>
    <x v="2"/>
    <x v="1"/>
    <x v="24"/>
    <x v="0"/>
    <s v="DISCOUNT NOT ALLOWED"/>
    <s v="discount not allowed"/>
    <s v="DISCOUNT NOT ALLOWED"/>
    <s v="Discount Not Allowed"/>
    <s v="01/05/24"/>
  </r>
  <r>
    <s v="TXN_1744322"/>
    <s v="CUST_07"/>
    <x v="7"/>
    <x v="106"/>
    <x v="13"/>
    <x v="6"/>
    <n v="86"/>
    <x v="2"/>
    <x v="1"/>
    <x v="95"/>
    <x v="1"/>
    <s v="DISCOUNT ALLOWED"/>
    <s v="discount allowed"/>
    <s v="DISCOUNT ALLOWED"/>
    <s v="Discount Allowed"/>
    <s v="07/06/23"/>
  </r>
  <r>
    <s v="TXN_2706063"/>
    <s v="CUST_15"/>
    <x v="3"/>
    <x v="103"/>
    <x v="13"/>
    <x v="6"/>
    <n v="86"/>
    <x v="1"/>
    <x v="0"/>
    <x v="597"/>
    <x v="0"/>
    <s v="DISCOUNT NOT ALLOWED"/>
    <s v="discount not allowed"/>
    <s v="DISCOUNT NOT ALLOWED"/>
    <s v="Discount Not Allowed"/>
    <s v="10/09/22"/>
  </r>
  <r>
    <s v="TXN_2731024"/>
    <s v="CUST_01"/>
    <x v="1"/>
    <x v="105"/>
    <x v="13"/>
    <x v="6"/>
    <n v="86"/>
    <x v="1"/>
    <x v="0"/>
    <x v="543"/>
    <x v="0"/>
    <s v="DISCOUNT NOT ALLOWED"/>
    <s v="discount not allowed"/>
    <s v="DISCOUNT NOT ALLOWED"/>
    <s v="Discount Not Allowed"/>
    <s v="17/11/22"/>
  </r>
  <r>
    <s v="TXN_2912595"/>
    <s v="CUST_11"/>
    <x v="6"/>
    <x v="104"/>
    <x v="13"/>
    <x v="6"/>
    <n v="86"/>
    <x v="0"/>
    <x v="0"/>
    <x v="412"/>
    <x v="0"/>
    <s v="DISCOUNT NOT ALLOWED"/>
    <s v="discount not allowed"/>
    <s v="DISCOUNT NOT ALLOWED"/>
    <s v="Discount Not Allowed"/>
    <s v="17/10/22"/>
  </r>
  <r>
    <s v="TXN_3476786"/>
    <s v="CUST_07"/>
    <x v="1"/>
    <x v="105"/>
    <x v="13"/>
    <x v="6"/>
    <n v="86"/>
    <x v="0"/>
    <x v="1"/>
    <x v="305"/>
    <x v="0"/>
    <s v="DISCOUNT NOT ALLOWED"/>
    <s v="discount not allowed"/>
    <s v="DISCOUNT NOT ALLOWED"/>
    <s v="Discount Not Allowed"/>
    <s v="21/05/23"/>
  </r>
  <r>
    <s v="TXN_3503821"/>
    <s v="CUST_23"/>
    <x v="4"/>
    <x v="107"/>
    <x v="13"/>
    <x v="6"/>
    <n v="86"/>
    <x v="1"/>
    <x v="1"/>
    <x v="888"/>
    <x v="1"/>
    <s v="DISCOUNT ALLOWED"/>
    <s v="discount allowed"/>
    <s v="DISCOUNT ALLOWED"/>
    <s v="Discount Allowed"/>
    <s v="10/08/23"/>
  </r>
  <r>
    <s v="TXN_3818660"/>
    <s v="CUST_12"/>
    <x v="4"/>
    <x v="107"/>
    <x v="13"/>
    <x v="6"/>
    <n v="86"/>
    <x v="1"/>
    <x v="1"/>
    <x v="394"/>
    <x v="0"/>
    <s v="DISCOUNT NOT ALLOWED"/>
    <s v="discount not allowed"/>
    <s v="DISCOUNT NOT ALLOWED"/>
    <s v="Discount Not Allowed"/>
    <s v="13/12/24"/>
  </r>
  <r>
    <s v="TXN_3840023"/>
    <s v="CUST_24"/>
    <x v="7"/>
    <x v="106"/>
    <x v="13"/>
    <x v="6"/>
    <n v="86"/>
    <x v="1"/>
    <x v="0"/>
    <x v="988"/>
    <x v="1"/>
    <s v="DISCOUNT ALLOWED"/>
    <s v="discount allowed"/>
    <s v="DISCOUNT ALLOWED"/>
    <s v="Discount Allowed"/>
    <s v="06/04/22"/>
  </r>
  <r>
    <s v="TXN_4430201"/>
    <s v="CUST_25"/>
    <x v="2"/>
    <x v="108"/>
    <x v="13"/>
    <x v="6"/>
    <n v="86"/>
    <x v="2"/>
    <x v="1"/>
    <x v="664"/>
    <x v="1"/>
    <s v="DISCOUNT ALLOWED"/>
    <s v="discount allowed"/>
    <s v="DISCOUNT ALLOWED"/>
    <s v="Discount Allowed"/>
    <s v="03/11/23"/>
  </r>
  <r>
    <s v="TXN_4721517"/>
    <s v="CUST_12"/>
    <x v="6"/>
    <x v="104"/>
    <x v="13"/>
    <x v="6"/>
    <n v="86"/>
    <x v="0"/>
    <x v="0"/>
    <x v="797"/>
    <x v="0"/>
    <s v="DISCOUNT NOT ALLOWED"/>
    <s v="discount not allowed"/>
    <s v="DISCOUNT NOT ALLOWED"/>
    <s v="Discount Not Allowed"/>
    <s v="24/01/22"/>
  </r>
  <r>
    <s v="TXN_4750878"/>
    <s v="CUST_24"/>
    <x v="5"/>
    <x v="102"/>
    <x v="13"/>
    <x v="6"/>
    <n v="86"/>
    <x v="1"/>
    <x v="0"/>
    <x v="1090"/>
    <x v="1"/>
    <s v="DISCOUNT ALLOWED"/>
    <s v="discount allowed"/>
    <s v="DISCOUNT ALLOWED"/>
    <s v="Discount Allowed"/>
    <s v="23/11/23"/>
  </r>
  <r>
    <s v="TXN_4848504"/>
    <s v="CUST_07"/>
    <x v="2"/>
    <x v="108"/>
    <x v="13"/>
    <x v="6"/>
    <n v="86"/>
    <x v="2"/>
    <x v="0"/>
    <x v="279"/>
    <x v="1"/>
    <s v="DISCOUNT ALLOWED"/>
    <s v="discount allowed"/>
    <s v="DISCOUNT ALLOWED"/>
    <s v="Discount Allowed"/>
    <s v="06/01/23"/>
  </r>
  <r>
    <s v="TXN_4864903"/>
    <s v="CUST_10"/>
    <x v="4"/>
    <x v="107"/>
    <x v="13"/>
    <x v="6"/>
    <n v="86"/>
    <x v="2"/>
    <x v="0"/>
    <x v="695"/>
    <x v="0"/>
    <s v="DISCOUNT NOT ALLOWED"/>
    <s v="discount not allowed"/>
    <s v="DISCOUNT NOT ALLOWED"/>
    <s v="Discount Not Allowed"/>
    <s v="19/08/23"/>
  </r>
  <r>
    <s v="TXN_5002416"/>
    <s v="CUST_10"/>
    <x v="5"/>
    <x v="102"/>
    <x v="13"/>
    <x v="6"/>
    <n v="86"/>
    <x v="0"/>
    <x v="0"/>
    <x v="38"/>
    <x v="0"/>
    <s v="DISCOUNT NOT ALLOWED"/>
    <s v="discount not allowed"/>
    <s v="DISCOUNT NOT ALLOWED"/>
    <s v="Discount Not Allowed"/>
    <s v="18/02/22"/>
  </r>
  <r>
    <s v="TXN_5383494"/>
    <s v="CUST_15"/>
    <x v="3"/>
    <x v="103"/>
    <x v="13"/>
    <x v="6"/>
    <n v="86"/>
    <x v="1"/>
    <x v="1"/>
    <x v="889"/>
    <x v="1"/>
    <s v="DISCOUNT ALLOWED"/>
    <s v="discount allowed"/>
    <s v="DISCOUNT ALLOWED"/>
    <s v="Discount Allowed"/>
    <s v="10/10/24"/>
  </r>
  <r>
    <s v="TXN_5751953"/>
    <s v="CUST_20"/>
    <x v="4"/>
    <x v="107"/>
    <x v="13"/>
    <x v="6"/>
    <n v="86"/>
    <x v="2"/>
    <x v="1"/>
    <x v="1006"/>
    <x v="0"/>
    <s v="DISCOUNT NOT ALLOWED"/>
    <s v="discount not allowed"/>
    <s v="DISCOUNT NOT ALLOWED"/>
    <s v="Discount Not Allowed"/>
    <s v="09/06/23"/>
  </r>
  <r>
    <s v="TXN_5856430"/>
    <s v="CUST_24"/>
    <x v="7"/>
    <x v="106"/>
    <x v="13"/>
    <x v="6"/>
    <n v="86"/>
    <x v="0"/>
    <x v="1"/>
    <x v="192"/>
    <x v="0"/>
    <s v="DISCOUNT NOT ALLOWED"/>
    <s v="discount not allowed"/>
    <s v="DISCOUNT NOT ALLOWED"/>
    <s v="Discount Not Allowed"/>
    <s v="17/05/24"/>
  </r>
  <r>
    <s v="TXN_6030067"/>
    <s v="CUST_11"/>
    <x v="0"/>
    <x v="116"/>
    <x v="13"/>
    <x v="6"/>
    <n v="86"/>
    <x v="1"/>
    <x v="0"/>
    <x v="545"/>
    <x v="0"/>
    <s v="DISCOUNT NOT ALLOWED"/>
    <s v="discount not allowed"/>
    <s v="DISCOUNT NOT ALLOWED"/>
    <s v="Discount Not Allowed"/>
    <s v="15/03/22"/>
  </r>
  <r>
    <s v="TXN_6383303"/>
    <s v="CUST_04"/>
    <x v="3"/>
    <x v="103"/>
    <x v="13"/>
    <x v="6"/>
    <n v="86"/>
    <x v="1"/>
    <x v="1"/>
    <x v="67"/>
    <x v="1"/>
    <s v="DISCOUNT ALLOWED"/>
    <s v="discount allowed"/>
    <s v="DISCOUNT ALLOWED"/>
    <s v="Discount Allowed"/>
    <s v="18/08/22"/>
  </r>
  <r>
    <s v="TXN_6562987"/>
    <s v="CUST_20"/>
    <x v="6"/>
    <x v="104"/>
    <x v="13"/>
    <x v="6"/>
    <n v="86"/>
    <x v="1"/>
    <x v="1"/>
    <x v="1047"/>
    <x v="1"/>
    <s v="DISCOUNT ALLOWED"/>
    <s v="discount allowed"/>
    <s v="DISCOUNT ALLOWED"/>
    <s v="Discount Allowed"/>
    <s v="19/06/24"/>
  </r>
  <r>
    <s v="TXN_7639348"/>
    <s v="CUST_17"/>
    <x v="3"/>
    <x v="103"/>
    <x v="13"/>
    <x v="6"/>
    <n v="86"/>
    <x v="2"/>
    <x v="0"/>
    <x v="224"/>
    <x v="1"/>
    <s v="DISCOUNT ALLOWED"/>
    <s v="discount allowed"/>
    <s v="DISCOUNT ALLOWED"/>
    <s v="Discount Allowed"/>
    <s v="10/06/23"/>
  </r>
  <r>
    <s v="TXN_7844000"/>
    <s v="CUST_24"/>
    <x v="3"/>
    <x v="103"/>
    <x v="13"/>
    <x v="6"/>
    <n v="86"/>
    <x v="0"/>
    <x v="0"/>
    <x v="120"/>
    <x v="1"/>
    <s v="DISCOUNT ALLOWED"/>
    <s v="discount allowed"/>
    <s v="DISCOUNT ALLOWED"/>
    <s v="Discount Allowed"/>
    <s v="10/05/22"/>
  </r>
  <r>
    <s v="TXN_7978593"/>
    <s v="CUST_19"/>
    <x v="5"/>
    <x v="102"/>
    <x v="13"/>
    <x v="6"/>
    <n v="86"/>
    <x v="2"/>
    <x v="0"/>
    <x v="721"/>
    <x v="1"/>
    <s v="DISCOUNT ALLOWED"/>
    <s v="discount allowed"/>
    <s v="DISCOUNT ALLOWED"/>
    <s v="Discount Allowed"/>
    <s v="03/07/24"/>
  </r>
  <r>
    <s v="TXN_8111132"/>
    <s v="CUST_12"/>
    <x v="7"/>
    <x v="106"/>
    <x v="13"/>
    <x v="6"/>
    <n v="86"/>
    <x v="0"/>
    <x v="0"/>
    <x v="995"/>
    <x v="1"/>
    <s v="DISCOUNT ALLOWED"/>
    <s v="discount allowed"/>
    <s v="DISCOUNT ALLOWED"/>
    <s v="Discount Allowed"/>
    <s v="16/06/22"/>
  </r>
  <r>
    <s v="TXN_8190713"/>
    <s v="CUST_02"/>
    <x v="4"/>
    <x v="107"/>
    <x v="13"/>
    <x v="6"/>
    <n v="86"/>
    <x v="1"/>
    <x v="0"/>
    <x v="263"/>
    <x v="0"/>
    <s v="DISCOUNT NOT ALLOWED"/>
    <s v="discount not allowed"/>
    <s v="DISCOUNT NOT ALLOWED"/>
    <s v="Discount Not Allowed"/>
    <s v="09/06/24"/>
  </r>
  <r>
    <s v="TXN_8262363"/>
    <s v="CUST_18"/>
    <x v="5"/>
    <x v="102"/>
    <x v="13"/>
    <x v="6"/>
    <n v="86"/>
    <x v="1"/>
    <x v="0"/>
    <x v="539"/>
    <x v="1"/>
    <s v="DISCOUNT ALLOWED"/>
    <s v="discount allowed"/>
    <s v="DISCOUNT ALLOWED"/>
    <s v="Discount Allowed"/>
    <s v="13/02/23"/>
  </r>
  <r>
    <s v="TXN_8402938"/>
    <s v="CUST_24"/>
    <x v="3"/>
    <x v="103"/>
    <x v="13"/>
    <x v="6"/>
    <n v="86"/>
    <x v="2"/>
    <x v="0"/>
    <x v="713"/>
    <x v="1"/>
    <s v="DISCOUNT ALLOWED"/>
    <s v="discount allowed"/>
    <s v="DISCOUNT ALLOWED"/>
    <s v="Discount Allowed"/>
    <s v="29/07/22"/>
  </r>
  <r>
    <s v="TXN_8454618"/>
    <s v="CUST_18"/>
    <x v="7"/>
    <x v="106"/>
    <x v="13"/>
    <x v="6"/>
    <n v="86"/>
    <x v="0"/>
    <x v="1"/>
    <x v="56"/>
    <x v="0"/>
    <s v="DISCOUNT NOT ALLOWED"/>
    <s v="discount not allowed"/>
    <s v="DISCOUNT NOT ALLOWED"/>
    <s v="Discount Not Allowed"/>
    <s v="16/04/24"/>
  </r>
  <r>
    <s v="TXN_9355349"/>
    <s v="CUST_19"/>
    <x v="3"/>
    <x v="103"/>
    <x v="13"/>
    <x v="6"/>
    <n v="86"/>
    <x v="1"/>
    <x v="0"/>
    <x v="826"/>
    <x v="0"/>
    <s v="DISCOUNT NOT ALLOWED"/>
    <s v="discount not allowed"/>
    <s v="DISCOUNT NOT ALLOWED"/>
    <s v="Discount Not Allowed"/>
    <s v="03/08/22"/>
  </r>
  <r>
    <s v="TXN_9558785"/>
    <s v="CUST_05"/>
    <x v="2"/>
    <x v="108"/>
    <x v="13"/>
    <x v="6"/>
    <n v="86"/>
    <x v="1"/>
    <x v="0"/>
    <x v="50"/>
    <x v="1"/>
    <s v="DISCOUNT ALLOWED"/>
    <s v="discount allowed"/>
    <s v="DISCOUNT ALLOWED"/>
    <s v="Discount Allowed"/>
    <s v="17/01/22"/>
  </r>
  <r>
    <s v="TXN_9581850"/>
    <s v="CUST_16"/>
    <x v="1"/>
    <x v="105"/>
    <x v="13"/>
    <x v="6"/>
    <n v="86"/>
    <x v="1"/>
    <x v="0"/>
    <x v="832"/>
    <x v="0"/>
    <s v="DISCOUNT NOT ALLOWED"/>
    <s v="discount not allowed"/>
    <s v="DISCOUNT NOT ALLOWED"/>
    <s v="Discount Not Allowed"/>
    <s v="27/08/22"/>
  </r>
  <r>
    <s v="TXN_9601795"/>
    <s v="CUST_16"/>
    <x v="1"/>
    <x v="105"/>
    <x v="13"/>
    <x v="6"/>
    <n v="86"/>
    <x v="2"/>
    <x v="0"/>
    <x v="946"/>
    <x v="0"/>
    <s v="DISCOUNT NOT ALLOWED"/>
    <s v="discount not allowed"/>
    <s v="DISCOUNT NOT ALLOWED"/>
    <s v="Discount Not Allowed"/>
    <s v="25/11/24"/>
  </r>
  <r>
    <s v="TXN_1248793"/>
    <s v="CUST_20"/>
    <x v="7"/>
    <x v="170"/>
    <x v="21"/>
    <x v="1"/>
    <n v="85.5"/>
    <x v="1"/>
    <x v="1"/>
    <x v="897"/>
    <x v="1"/>
    <s v="DISCOUNT ALLOWED"/>
    <s v="discount allowed"/>
    <s v="DISCOUNT ALLOWED"/>
    <s v="Discount Allowed"/>
    <s v="03/10/22"/>
  </r>
  <r>
    <s v="TXN_1962874"/>
    <s v="CUST_03"/>
    <x v="4"/>
    <x v="166"/>
    <x v="21"/>
    <x v="1"/>
    <n v="85.5"/>
    <x v="1"/>
    <x v="1"/>
    <x v="882"/>
    <x v="0"/>
    <s v="DISCOUNT NOT ALLOWED"/>
    <s v="discount not allowed"/>
    <s v="DISCOUNT NOT ALLOWED"/>
    <s v="Discount Not Allowed"/>
    <s v="27/07/23"/>
  </r>
  <r>
    <s v="TXN_2108164"/>
    <s v="CUST_18"/>
    <x v="4"/>
    <x v="166"/>
    <x v="21"/>
    <x v="1"/>
    <n v="85.5"/>
    <x v="1"/>
    <x v="0"/>
    <x v="806"/>
    <x v="0"/>
    <s v="DISCOUNT NOT ALLOWED"/>
    <s v="discount not allowed"/>
    <s v="DISCOUNT NOT ALLOWED"/>
    <s v="Discount Not Allowed"/>
    <s v="27/06/22"/>
  </r>
  <r>
    <s v="TXN_2285948"/>
    <s v="CUST_19"/>
    <x v="5"/>
    <x v="167"/>
    <x v="21"/>
    <x v="1"/>
    <n v="85.5"/>
    <x v="1"/>
    <x v="1"/>
    <x v="375"/>
    <x v="0"/>
    <s v="DISCOUNT NOT ALLOWED"/>
    <s v="discount not allowed"/>
    <s v="DISCOUNT NOT ALLOWED"/>
    <s v="Discount Not Allowed"/>
    <s v="02/07/22"/>
  </r>
  <r>
    <s v="TXN_2300142"/>
    <s v="CUST_18"/>
    <x v="7"/>
    <x v="170"/>
    <x v="21"/>
    <x v="1"/>
    <n v="85.5"/>
    <x v="1"/>
    <x v="0"/>
    <x v="538"/>
    <x v="0"/>
    <s v="DISCOUNT NOT ALLOWED"/>
    <s v="discount not allowed"/>
    <s v="DISCOUNT NOT ALLOWED"/>
    <s v="Discount Not Allowed"/>
    <s v="16/07/24"/>
  </r>
  <r>
    <s v="TXN_2796969"/>
    <s v="CUST_08"/>
    <x v="5"/>
    <x v="167"/>
    <x v="21"/>
    <x v="1"/>
    <n v="85.5"/>
    <x v="1"/>
    <x v="0"/>
    <x v="914"/>
    <x v="0"/>
    <s v="DISCOUNT NOT ALLOWED"/>
    <s v="discount not allowed"/>
    <s v="DISCOUNT NOT ALLOWED"/>
    <s v="Discount Not Allowed"/>
    <s v="16/12/23"/>
  </r>
  <r>
    <s v="TXN_4041720"/>
    <s v="CUST_03"/>
    <x v="2"/>
    <x v="171"/>
    <x v="21"/>
    <x v="1"/>
    <n v="85.5"/>
    <x v="2"/>
    <x v="1"/>
    <x v="418"/>
    <x v="0"/>
    <s v="DISCOUNT NOT ALLOWED"/>
    <s v="discount not allowed"/>
    <s v="DISCOUNT NOT ALLOWED"/>
    <s v="Discount Not Allowed"/>
    <s v="29/09/24"/>
  </r>
  <r>
    <s v="TXN_4634145"/>
    <s v="CUST_02"/>
    <x v="3"/>
    <x v="173"/>
    <x v="21"/>
    <x v="1"/>
    <n v="85.5"/>
    <x v="1"/>
    <x v="1"/>
    <x v="236"/>
    <x v="1"/>
    <s v="DISCOUNT ALLOWED"/>
    <s v="discount allowed"/>
    <s v="DISCOUNT ALLOWED"/>
    <s v="Discount Allowed"/>
    <s v="07/11/24"/>
  </r>
  <r>
    <s v="TXN_6483684"/>
    <s v="CUST_10"/>
    <x v="7"/>
    <x v="170"/>
    <x v="21"/>
    <x v="1"/>
    <n v="85.5"/>
    <x v="1"/>
    <x v="1"/>
    <x v="64"/>
    <x v="0"/>
    <s v="DISCOUNT NOT ALLOWED"/>
    <s v="discount not allowed"/>
    <s v="DISCOUNT NOT ALLOWED"/>
    <s v="Discount Not Allowed"/>
    <s v="09/03/24"/>
  </r>
  <r>
    <s v="TXN_6681572"/>
    <s v="CUST_12"/>
    <x v="5"/>
    <x v="167"/>
    <x v="21"/>
    <x v="1"/>
    <n v="85.5"/>
    <x v="1"/>
    <x v="1"/>
    <x v="871"/>
    <x v="1"/>
    <s v="DISCOUNT ALLOWED"/>
    <s v="discount allowed"/>
    <s v="DISCOUNT ALLOWED"/>
    <s v="Discount Allowed"/>
    <s v="17/03/24"/>
  </r>
  <r>
    <s v="TXN_8182802"/>
    <s v="CUST_03"/>
    <x v="7"/>
    <x v="170"/>
    <x v="21"/>
    <x v="1"/>
    <n v="85.5"/>
    <x v="2"/>
    <x v="0"/>
    <x v="1057"/>
    <x v="1"/>
    <s v="DISCOUNT ALLOWED"/>
    <s v="discount allowed"/>
    <s v="DISCOUNT ALLOWED"/>
    <s v="Discount Allowed"/>
    <s v="19/03/23"/>
  </r>
  <r>
    <s v="TXN_8357441"/>
    <s v="CUST_12"/>
    <x v="4"/>
    <x v="166"/>
    <x v="21"/>
    <x v="1"/>
    <n v="85.5"/>
    <x v="1"/>
    <x v="1"/>
    <x v="368"/>
    <x v="1"/>
    <s v="DISCOUNT ALLOWED"/>
    <s v="discount allowed"/>
    <s v="DISCOUNT ALLOWED"/>
    <s v="Discount Allowed"/>
    <s v="12/06/22"/>
  </r>
  <r>
    <s v="TXN_8363775"/>
    <s v="CUST_22"/>
    <x v="6"/>
    <x v="172"/>
    <x v="21"/>
    <x v="1"/>
    <n v="85.5"/>
    <x v="1"/>
    <x v="0"/>
    <x v="616"/>
    <x v="0"/>
    <s v="DISCOUNT NOT ALLOWED"/>
    <s v="discount not allowed"/>
    <s v="DISCOUNT NOT ALLOWED"/>
    <s v="Discount Not Allowed"/>
    <s v="17/08/23"/>
  </r>
  <r>
    <s v="TXN_8418594"/>
    <s v="CUST_23"/>
    <x v="4"/>
    <x v="166"/>
    <x v="21"/>
    <x v="1"/>
    <n v="85.5"/>
    <x v="2"/>
    <x v="1"/>
    <x v="307"/>
    <x v="1"/>
    <s v="DISCOUNT ALLOWED"/>
    <s v="discount allowed"/>
    <s v="DISCOUNT ALLOWED"/>
    <s v="Discount Allowed"/>
    <s v="10/12/24"/>
  </r>
  <r>
    <s v="TXN_8574907"/>
    <s v="CUST_14"/>
    <x v="7"/>
    <x v="170"/>
    <x v="21"/>
    <x v="1"/>
    <n v="85.5"/>
    <x v="0"/>
    <x v="1"/>
    <x v="275"/>
    <x v="0"/>
    <s v="DISCOUNT NOT ALLOWED"/>
    <s v="discount not allowed"/>
    <s v="DISCOUNT NOT ALLOWED"/>
    <s v="Discount Not Allowed"/>
    <s v="16/06/24"/>
  </r>
  <r>
    <s v="TXN_8984720"/>
    <s v="CUST_06"/>
    <x v="6"/>
    <x v="172"/>
    <x v="21"/>
    <x v="1"/>
    <n v="85.5"/>
    <x v="2"/>
    <x v="0"/>
    <x v="601"/>
    <x v="1"/>
    <s v="DISCOUNT ALLOWED"/>
    <s v="discount allowed"/>
    <s v="DISCOUNT ALLOWED"/>
    <s v="Discount Allowed"/>
    <s v="26/01/24"/>
  </r>
  <r>
    <s v="TXN_9414771"/>
    <s v="CUST_07"/>
    <x v="3"/>
    <x v="173"/>
    <x v="21"/>
    <x v="1"/>
    <n v="85.5"/>
    <x v="1"/>
    <x v="1"/>
    <x v="500"/>
    <x v="0"/>
    <s v="DISCOUNT NOT ALLOWED"/>
    <s v="discount not allowed"/>
    <s v="DISCOUNT NOT ALLOWED"/>
    <s v="Discount Not Allowed"/>
    <s v="16/06/23"/>
  </r>
  <r>
    <s v="TXN_1692396"/>
    <s v="CUST_03"/>
    <x v="5"/>
    <x v="128"/>
    <x v="16"/>
    <x v="5"/>
    <n v="85"/>
    <x v="0"/>
    <x v="1"/>
    <x v="258"/>
    <x v="1"/>
    <s v="DISCOUNT ALLOWED"/>
    <s v="discount allowed"/>
    <s v="DISCOUNT ALLOWED"/>
    <s v="Discount Allowed"/>
    <s v="04/12/24"/>
  </r>
  <r>
    <s v="TXN_2128173"/>
    <s v="CUST_22"/>
    <x v="5"/>
    <x v="128"/>
    <x v="16"/>
    <x v="5"/>
    <n v="85"/>
    <x v="2"/>
    <x v="0"/>
    <x v="823"/>
    <x v="0"/>
    <s v="DISCOUNT NOT ALLOWED"/>
    <s v="discount not allowed"/>
    <s v="DISCOUNT NOT ALLOWED"/>
    <s v="Discount Not Allowed"/>
    <s v="17/09/22"/>
  </r>
  <r>
    <s v="TXN_3778032"/>
    <s v="CUST_01"/>
    <x v="5"/>
    <x v="128"/>
    <x v="16"/>
    <x v="5"/>
    <n v="85"/>
    <x v="1"/>
    <x v="0"/>
    <x v="457"/>
    <x v="0"/>
    <s v="DISCOUNT NOT ALLOWED"/>
    <s v="discount not allowed"/>
    <s v="DISCOUNT NOT ALLOWED"/>
    <s v="Discount Not Allowed"/>
    <s v="21/01/22"/>
  </r>
  <r>
    <s v="TXN_3992626"/>
    <s v="CUST_11"/>
    <x v="3"/>
    <x v="142"/>
    <x v="16"/>
    <x v="5"/>
    <n v="85"/>
    <x v="2"/>
    <x v="0"/>
    <x v="894"/>
    <x v="0"/>
    <s v="DISCOUNT NOT ALLOWED"/>
    <s v="discount not allowed"/>
    <s v="DISCOUNT NOT ALLOWED"/>
    <s v="Discount Not Allowed"/>
    <s v="30/08/22"/>
  </r>
  <r>
    <s v="TXN_4287831"/>
    <s v="CUST_22"/>
    <x v="6"/>
    <x v="132"/>
    <x v="16"/>
    <x v="5"/>
    <n v="85"/>
    <x v="0"/>
    <x v="0"/>
    <x v="732"/>
    <x v="0"/>
    <s v="DISCOUNT NOT ALLOWED"/>
    <s v="discount not allowed"/>
    <s v="DISCOUNT NOT ALLOWED"/>
    <s v="Discount Not Allowed"/>
    <s v="17/08/24"/>
  </r>
  <r>
    <s v="TXN_4765966"/>
    <s v="CUST_18"/>
    <x v="5"/>
    <x v="128"/>
    <x v="16"/>
    <x v="5"/>
    <n v="85"/>
    <x v="1"/>
    <x v="0"/>
    <x v="578"/>
    <x v="0"/>
    <s v="DISCOUNT NOT ALLOWED"/>
    <s v="discount not allowed"/>
    <s v="DISCOUNT NOT ALLOWED"/>
    <s v="Discount Not Allowed"/>
    <s v="02/11/22"/>
  </r>
  <r>
    <s v="TXN_4832058"/>
    <s v="CUST_23"/>
    <x v="6"/>
    <x v="132"/>
    <x v="16"/>
    <x v="5"/>
    <n v="85"/>
    <x v="2"/>
    <x v="0"/>
    <x v="371"/>
    <x v="0"/>
    <s v="DISCOUNT NOT ALLOWED"/>
    <s v="discount not allowed"/>
    <s v="DISCOUNT NOT ALLOWED"/>
    <s v="Discount Not Allowed"/>
    <s v="05/07/23"/>
  </r>
  <r>
    <s v="TXN_5186312"/>
    <s v="CUST_01"/>
    <x v="3"/>
    <x v="142"/>
    <x v="16"/>
    <x v="5"/>
    <n v="85"/>
    <x v="2"/>
    <x v="1"/>
    <x v="718"/>
    <x v="1"/>
    <s v="DISCOUNT ALLOWED"/>
    <s v="discount allowed"/>
    <s v="DISCOUNT ALLOWED"/>
    <s v="Discount Allowed"/>
    <s v="21/11/23"/>
  </r>
  <r>
    <s v="TXN_5196670"/>
    <s v="CUST_18"/>
    <x v="7"/>
    <x v="133"/>
    <x v="16"/>
    <x v="5"/>
    <n v="85"/>
    <x v="1"/>
    <x v="1"/>
    <x v="689"/>
    <x v="1"/>
    <s v="DISCOUNT ALLOWED"/>
    <s v="discount allowed"/>
    <s v="DISCOUNT ALLOWED"/>
    <s v="Discount Allowed"/>
    <s v="07/09/22"/>
  </r>
  <r>
    <s v="TXN_6439601"/>
    <s v="CUST_09"/>
    <x v="0"/>
    <x v="151"/>
    <x v="16"/>
    <x v="5"/>
    <n v="85"/>
    <x v="2"/>
    <x v="0"/>
    <x v="810"/>
    <x v="1"/>
    <s v="DISCOUNT ALLOWED"/>
    <s v="discount allowed"/>
    <s v="DISCOUNT ALLOWED"/>
    <s v="Discount Allowed"/>
    <s v="16/11/23"/>
  </r>
  <r>
    <s v="TXN_6837191"/>
    <s v="CUST_20"/>
    <x v="4"/>
    <x v="130"/>
    <x v="16"/>
    <x v="5"/>
    <n v="85"/>
    <x v="0"/>
    <x v="1"/>
    <x v="102"/>
    <x v="0"/>
    <s v="DISCOUNT NOT ALLOWED"/>
    <s v="discount not allowed"/>
    <s v="DISCOUNT NOT ALLOWED"/>
    <s v="Discount Not Allowed"/>
    <s v="31/03/23"/>
  </r>
  <r>
    <s v="TXN_6850372"/>
    <s v="CUST_02"/>
    <x v="1"/>
    <x v="129"/>
    <x v="16"/>
    <x v="5"/>
    <n v="85"/>
    <x v="0"/>
    <x v="1"/>
    <x v="775"/>
    <x v="1"/>
    <s v="DISCOUNT ALLOWED"/>
    <s v="discount allowed"/>
    <s v="DISCOUNT ALLOWED"/>
    <s v="Discount Allowed"/>
    <s v="31/03/24"/>
  </r>
  <r>
    <s v="TXN_7020797"/>
    <s v="CUST_22"/>
    <x v="4"/>
    <x v="130"/>
    <x v="16"/>
    <x v="5"/>
    <n v="85"/>
    <x v="0"/>
    <x v="1"/>
    <x v="29"/>
    <x v="0"/>
    <s v="DISCOUNT NOT ALLOWED"/>
    <s v="discount not allowed"/>
    <s v="DISCOUNT NOT ALLOWED"/>
    <s v="Discount Not Allowed"/>
    <s v="20/04/24"/>
  </r>
  <r>
    <s v="TXN_7759967"/>
    <s v="CUST_13"/>
    <x v="6"/>
    <x v="132"/>
    <x v="16"/>
    <x v="5"/>
    <n v="85"/>
    <x v="2"/>
    <x v="0"/>
    <x v="1029"/>
    <x v="1"/>
    <s v="DISCOUNT ALLOWED"/>
    <s v="discount allowed"/>
    <s v="DISCOUNT ALLOWED"/>
    <s v="Discount Allowed"/>
    <s v="03/01/24"/>
  </r>
  <r>
    <s v="TXN_8044366"/>
    <s v="CUST_22"/>
    <x v="4"/>
    <x v="130"/>
    <x v="16"/>
    <x v="5"/>
    <n v="85"/>
    <x v="0"/>
    <x v="0"/>
    <x v="277"/>
    <x v="0"/>
    <s v="DISCOUNT NOT ALLOWED"/>
    <s v="discount not allowed"/>
    <s v="DISCOUNT NOT ALLOWED"/>
    <s v="Discount Not Allowed"/>
    <s v="02/02/23"/>
  </r>
  <r>
    <s v="TXN_8046576"/>
    <s v="CUST_13"/>
    <x v="7"/>
    <x v="133"/>
    <x v="16"/>
    <x v="5"/>
    <n v="85"/>
    <x v="2"/>
    <x v="0"/>
    <x v="823"/>
    <x v="0"/>
    <s v="DISCOUNT NOT ALLOWED"/>
    <s v="discount not allowed"/>
    <s v="DISCOUNT NOT ALLOWED"/>
    <s v="Discount Not Allowed"/>
    <s v="17/09/22"/>
  </r>
  <r>
    <s v="TXN_8080510"/>
    <s v="CUST_21"/>
    <x v="7"/>
    <x v="133"/>
    <x v="16"/>
    <x v="5"/>
    <n v="85"/>
    <x v="2"/>
    <x v="0"/>
    <x v="932"/>
    <x v="0"/>
    <s v="DISCOUNT NOT ALLOWED"/>
    <s v="discount not allowed"/>
    <s v="DISCOUNT NOT ALLOWED"/>
    <s v="Discount Not Allowed"/>
    <s v="22/04/22"/>
  </r>
  <r>
    <s v="TXN_8831976"/>
    <s v="CUST_19"/>
    <x v="2"/>
    <x v="131"/>
    <x v="16"/>
    <x v="5"/>
    <n v="85"/>
    <x v="1"/>
    <x v="1"/>
    <x v="585"/>
    <x v="0"/>
    <s v="DISCOUNT NOT ALLOWED"/>
    <s v="discount not allowed"/>
    <s v="DISCOUNT NOT ALLOWED"/>
    <s v="Discount Not Allowed"/>
    <s v="15/07/22"/>
  </r>
  <r>
    <s v="TXN_1490410"/>
    <s v="CUST_20"/>
    <x v="7"/>
    <x v="146"/>
    <x v="18"/>
    <x v="4"/>
    <n v="84"/>
    <x v="0"/>
    <x v="1"/>
    <x v="465"/>
    <x v="0"/>
    <s v="DISCOUNT NOT ALLOWED"/>
    <s v="discount not allowed"/>
    <s v="DISCOUNT NOT ALLOWED"/>
    <s v="Discount Not Allowed"/>
    <s v="22/08/22"/>
  </r>
  <r>
    <s v="TXN_1602301"/>
    <s v="CUST_21"/>
    <x v="6"/>
    <x v="145"/>
    <x v="18"/>
    <x v="4"/>
    <n v="84"/>
    <x v="2"/>
    <x v="1"/>
    <x v="825"/>
    <x v="0"/>
    <s v="DISCOUNT NOT ALLOWED"/>
    <s v="discount not allowed"/>
    <s v="DISCOUNT NOT ALLOWED"/>
    <s v="Discount Not Allowed"/>
    <s v="26/08/23"/>
  </r>
  <r>
    <s v="TXN_2092821"/>
    <s v="CUST_21"/>
    <x v="5"/>
    <x v="143"/>
    <x v="18"/>
    <x v="4"/>
    <n v="84"/>
    <x v="1"/>
    <x v="1"/>
    <x v="1090"/>
    <x v="1"/>
    <s v="DISCOUNT ALLOWED"/>
    <s v="discount allowed"/>
    <s v="DISCOUNT ALLOWED"/>
    <s v="Discount Allowed"/>
    <s v="23/11/23"/>
  </r>
  <r>
    <s v="TXN_2163609"/>
    <s v="CUST_25"/>
    <x v="0"/>
    <x v="150"/>
    <x v="18"/>
    <x v="4"/>
    <n v="84"/>
    <x v="2"/>
    <x v="1"/>
    <x v="1052"/>
    <x v="1"/>
    <s v="DISCOUNT ALLOWED"/>
    <s v="discount allowed"/>
    <s v="DISCOUNT ALLOWED"/>
    <s v="Discount Allowed"/>
    <s v="18/09/23"/>
  </r>
  <r>
    <s v="TXN_3766245"/>
    <s v="CUST_01"/>
    <x v="1"/>
    <x v="149"/>
    <x v="18"/>
    <x v="4"/>
    <n v="84"/>
    <x v="2"/>
    <x v="1"/>
    <x v="446"/>
    <x v="0"/>
    <s v="DISCOUNT NOT ALLOWED"/>
    <s v="discount not allowed"/>
    <s v="DISCOUNT NOT ALLOWED"/>
    <s v="Discount Not Allowed"/>
    <s v="12/09/24"/>
  </r>
  <r>
    <s v="TXN_4214690"/>
    <s v="CUST_06"/>
    <x v="5"/>
    <x v="143"/>
    <x v="18"/>
    <x v="4"/>
    <n v="84"/>
    <x v="1"/>
    <x v="0"/>
    <x v="461"/>
    <x v="1"/>
    <s v="DISCOUNT ALLOWED"/>
    <s v="discount allowed"/>
    <s v="DISCOUNT ALLOWED"/>
    <s v="Discount Allowed"/>
    <s v="01/11/23"/>
  </r>
  <r>
    <s v="TXN_4405059"/>
    <s v="CUST_21"/>
    <x v="4"/>
    <x v="147"/>
    <x v="18"/>
    <x v="4"/>
    <n v="84"/>
    <x v="0"/>
    <x v="0"/>
    <x v="105"/>
    <x v="1"/>
    <s v="DISCOUNT ALLOWED"/>
    <s v="discount allowed"/>
    <s v="DISCOUNT ALLOWED"/>
    <s v="Discount Allowed"/>
    <s v="19/09/24"/>
  </r>
  <r>
    <s v="TXN_4937757"/>
    <s v="CUST_11"/>
    <x v="0"/>
    <x v="150"/>
    <x v="18"/>
    <x v="4"/>
    <n v="84"/>
    <x v="1"/>
    <x v="0"/>
    <x v="934"/>
    <x v="1"/>
    <s v="DISCOUNT ALLOWED"/>
    <s v="discount allowed"/>
    <s v="DISCOUNT ALLOWED"/>
    <s v="Discount Allowed"/>
    <s v="27/05/24"/>
  </r>
  <r>
    <s v="TXN_5167298"/>
    <s v="CUST_04"/>
    <x v="2"/>
    <x v="148"/>
    <x v="18"/>
    <x v="4"/>
    <n v="84"/>
    <x v="1"/>
    <x v="0"/>
    <x v="440"/>
    <x v="1"/>
    <s v="DISCOUNT ALLOWED"/>
    <s v="discount allowed"/>
    <s v="DISCOUNT ALLOWED"/>
    <s v="Discount Allowed"/>
    <s v="30/12/23"/>
  </r>
  <r>
    <s v="TXN_5358328"/>
    <s v="CUST_20"/>
    <x v="2"/>
    <x v="148"/>
    <x v="18"/>
    <x v="4"/>
    <n v="84"/>
    <x v="1"/>
    <x v="0"/>
    <x v="378"/>
    <x v="0"/>
    <s v="DISCOUNT NOT ALLOWED"/>
    <s v="discount not allowed"/>
    <s v="DISCOUNT NOT ALLOWED"/>
    <s v="Discount Not Allowed"/>
    <s v="29/04/23"/>
  </r>
  <r>
    <s v="TXN_5747894"/>
    <s v="CUST_14"/>
    <x v="1"/>
    <x v="149"/>
    <x v="18"/>
    <x v="4"/>
    <n v="84"/>
    <x v="2"/>
    <x v="0"/>
    <x v="66"/>
    <x v="0"/>
    <s v="DISCOUNT NOT ALLOWED"/>
    <s v="discount not allowed"/>
    <s v="DISCOUNT NOT ALLOWED"/>
    <s v="Discount Not Allowed"/>
    <s v="25/09/24"/>
  </r>
  <r>
    <s v="TXN_5839296"/>
    <s v="CUST_11"/>
    <x v="1"/>
    <x v="149"/>
    <x v="18"/>
    <x v="4"/>
    <n v="84"/>
    <x v="1"/>
    <x v="0"/>
    <x v="401"/>
    <x v="0"/>
    <s v="DISCOUNT NOT ALLOWED"/>
    <s v="discount not allowed"/>
    <s v="DISCOUNT NOT ALLOWED"/>
    <s v="Discount Not Allowed"/>
    <s v="25/08/23"/>
  </r>
  <r>
    <s v="TXN_5973228"/>
    <s v="CUST_12"/>
    <x v="1"/>
    <x v="149"/>
    <x v="18"/>
    <x v="4"/>
    <n v="84"/>
    <x v="0"/>
    <x v="0"/>
    <x v="27"/>
    <x v="1"/>
    <s v="DISCOUNT ALLOWED"/>
    <s v="discount allowed"/>
    <s v="DISCOUNT ALLOWED"/>
    <s v="Discount Allowed"/>
    <s v="25/12/23"/>
  </r>
  <r>
    <s v="TXN_6219185"/>
    <s v="CUST_10"/>
    <x v="7"/>
    <x v="146"/>
    <x v="18"/>
    <x v="4"/>
    <n v="84"/>
    <x v="1"/>
    <x v="1"/>
    <x v="48"/>
    <x v="0"/>
    <s v="DISCOUNT NOT ALLOWED"/>
    <s v="discount not allowed"/>
    <s v="DISCOUNT NOT ALLOWED"/>
    <s v="Discount Not Allowed"/>
    <s v="03/12/22"/>
  </r>
  <r>
    <s v="TXN_6234812"/>
    <s v="CUST_06"/>
    <x v="6"/>
    <x v="145"/>
    <x v="18"/>
    <x v="4"/>
    <n v="84"/>
    <x v="2"/>
    <x v="1"/>
    <x v="757"/>
    <x v="1"/>
    <s v="DISCOUNT ALLOWED"/>
    <s v="discount allowed"/>
    <s v="DISCOUNT ALLOWED"/>
    <s v="Discount Allowed"/>
    <s v="08/09/24"/>
  </r>
  <r>
    <s v="TXN_6974117"/>
    <s v="CUST_25"/>
    <x v="1"/>
    <x v="149"/>
    <x v="18"/>
    <x v="4"/>
    <n v="84"/>
    <x v="0"/>
    <x v="0"/>
    <x v="1063"/>
    <x v="0"/>
    <s v="DISCOUNT NOT ALLOWED"/>
    <s v="discount not allowed"/>
    <s v="DISCOUNT NOT ALLOWED"/>
    <s v="Discount Not Allowed"/>
    <s v="13/06/23"/>
  </r>
  <r>
    <s v="TXN_7107246"/>
    <s v="CUST_22"/>
    <x v="7"/>
    <x v="146"/>
    <x v="18"/>
    <x v="4"/>
    <n v="84"/>
    <x v="2"/>
    <x v="0"/>
    <x v="726"/>
    <x v="1"/>
    <s v="DISCOUNT ALLOWED"/>
    <s v="discount allowed"/>
    <s v="DISCOUNT ALLOWED"/>
    <s v="Discount Allowed"/>
    <s v="20/05/22"/>
  </r>
  <r>
    <s v="TXN_7355536"/>
    <s v="CUST_22"/>
    <x v="7"/>
    <x v="146"/>
    <x v="18"/>
    <x v="4"/>
    <n v="84"/>
    <x v="0"/>
    <x v="0"/>
    <x v="751"/>
    <x v="1"/>
    <s v="DISCOUNT ALLOWED"/>
    <s v="discount allowed"/>
    <s v="DISCOUNT ALLOWED"/>
    <s v="Discount Allowed"/>
    <s v="04/01/23"/>
  </r>
  <r>
    <s v="TXN_7516568"/>
    <s v="CUST_24"/>
    <x v="0"/>
    <x v="150"/>
    <x v="18"/>
    <x v="4"/>
    <n v="84"/>
    <x v="0"/>
    <x v="1"/>
    <x v="487"/>
    <x v="1"/>
    <s v="DISCOUNT ALLOWED"/>
    <s v="discount allowed"/>
    <s v="DISCOUNT ALLOWED"/>
    <s v="Discount Allowed"/>
    <s v="06/02/22"/>
  </r>
  <r>
    <s v="TXN_8768729"/>
    <s v="CUST_19"/>
    <x v="1"/>
    <x v="149"/>
    <x v="18"/>
    <x v="4"/>
    <n v="84"/>
    <x v="2"/>
    <x v="0"/>
    <x v="122"/>
    <x v="0"/>
    <s v="DISCOUNT NOT ALLOWED"/>
    <s v="discount not allowed"/>
    <s v="DISCOUNT NOT ALLOWED"/>
    <s v="Discount Not Allowed"/>
    <s v="09/04/22"/>
  </r>
  <r>
    <s v="TXN_9442074"/>
    <s v="CUST_06"/>
    <x v="3"/>
    <x v="144"/>
    <x v="18"/>
    <x v="4"/>
    <n v="84"/>
    <x v="2"/>
    <x v="0"/>
    <x v="292"/>
    <x v="1"/>
    <s v="DISCOUNT ALLOWED"/>
    <s v="discount allowed"/>
    <s v="DISCOUNT ALLOWED"/>
    <s v="Discount Allowed"/>
    <s v="24/10/23"/>
  </r>
  <r>
    <s v="TXN_9775877"/>
    <s v="CUST_11"/>
    <x v="0"/>
    <x v="150"/>
    <x v="18"/>
    <x v="4"/>
    <n v="84"/>
    <x v="2"/>
    <x v="0"/>
    <x v="1041"/>
    <x v="0"/>
    <s v="DISCOUNT NOT ALLOWED"/>
    <s v="discount not allowed"/>
    <s v="DISCOUNT NOT ALLOWED"/>
    <s v="Discount Not Allowed"/>
    <s v="06/03/23"/>
  </r>
  <r>
    <s v="TXN_1020775"/>
    <s v="CUST_06"/>
    <x v="7"/>
    <x v="72"/>
    <x v="9"/>
    <x v="7"/>
    <n v="82.5"/>
    <x v="1"/>
    <x v="1"/>
    <x v="584"/>
    <x v="0"/>
    <s v="DISCOUNT NOT ALLOWED"/>
    <s v="discount not allowed"/>
    <s v="DISCOUNT NOT ALLOWED"/>
    <s v="Discount Not Allowed"/>
    <s v="08/04/23"/>
  </r>
  <r>
    <s v="TXN_1051037"/>
    <s v="CUST_14"/>
    <x v="7"/>
    <x v="72"/>
    <x v="9"/>
    <x v="7"/>
    <n v="82.5"/>
    <x v="2"/>
    <x v="1"/>
    <x v="841"/>
    <x v="0"/>
    <s v="DISCOUNT NOT ALLOWED"/>
    <s v="discount not allowed"/>
    <s v="DISCOUNT NOT ALLOWED"/>
    <s v="Discount Not Allowed"/>
    <s v="14/06/23"/>
  </r>
  <r>
    <s v="TXN_1235721"/>
    <s v="CUST_20"/>
    <x v="5"/>
    <x v="75"/>
    <x v="9"/>
    <x v="7"/>
    <n v="82.5"/>
    <x v="2"/>
    <x v="1"/>
    <x v="1059"/>
    <x v="1"/>
    <s v="DISCOUNT ALLOWED"/>
    <s v="discount allowed"/>
    <s v="DISCOUNT ALLOWED"/>
    <s v="Discount Allowed"/>
    <s v="24/02/24"/>
  </r>
  <r>
    <s v="TXN_1565935"/>
    <s v="CUST_21"/>
    <x v="0"/>
    <x v="73"/>
    <x v="9"/>
    <x v="7"/>
    <n v="82.5"/>
    <x v="1"/>
    <x v="0"/>
    <x v="829"/>
    <x v="0"/>
    <s v="DISCOUNT NOT ALLOWED"/>
    <s v="discount not allowed"/>
    <s v="DISCOUNT NOT ALLOWED"/>
    <s v="Discount Not Allowed"/>
    <s v="29/06/23"/>
  </r>
  <r>
    <s v="TXN_1669239"/>
    <s v="CUST_14"/>
    <x v="4"/>
    <x v="101"/>
    <x v="9"/>
    <x v="7"/>
    <n v="82.5"/>
    <x v="0"/>
    <x v="1"/>
    <x v="1016"/>
    <x v="0"/>
    <s v="DISCOUNT NOT ALLOWED"/>
    <s v="discount not allowed"/>
    <s v="DISCOUNT NOT ALLOWED"/>
    <s v="Discount Not Allowed"/>
    <s v="14/03/24"/>
  </r>
  <r>
    <s v="TXN_1862964"/>
    <s v="CUST_01"/>
    <x v="6"/>
    <x v="70"/>
    <x v="9"/>
    <x v="7"/>
    <n v="82.5"/>
    <x v="1"/>
    <x v="1"/>
    <x v="54"/>
    <x v="0"/>
    <s v="DISCOUNT NOT ALLOWED"/>
    <s v="discount not allowed"/>
    <s v="DISCOUNT NOT ALLOWED"/>
    <s v="Discount Not Allowed"/>
    <s v="23/02/23"/>
  </r>
  <r>
    <s v="TXN_1998771"/>
    <s v="CUST_25"/>
    <x v="0"/>
    <x v="73"/>
    <x v="9"/>
    <x v="7"/>
    <n v="82.5"/>
    <x v="0"/>
    <x v="0"/>
    <x v="236"/>
    <x v="1"/>
    <s v="DISCOUNT ALLOWED"/>
    <s v="discount allowed"/>
    <s v="DISCOUNT ALLOWED"/>
    <s v="Discount Allowed"/>
    <s v="07/11/24"/>
  </r>
  <r>
    <s v="TXN_2159886"/>
    <s v="CUST_23"/>
    <x v="3"/>
    <x v="74"/>
    <x v="9"/>
    <x v="7"/>
    <n v="82.5"/>
    <x v="1"/>
    <x v="1"/>
    <x v="454"/>
    <x v="1"/>
    <s v="DISCOUNT ALLOWED"/>
    <s v="discount allowed"/>
    <s v="DISCOUNT ALLOWED"/>
    <s v="Discount Allowed"/>
    <s v="19/04/24"/>
  </r>
  <r>
    <s v="TXN_2194494"/>
    <s v="CUST_13"/>
    <x v="4"/>
    <x v="101"/>
    <x v="9"/>
    <x v="7"/>
    <n v="82.5"/>
    <x v="1"/>
    <x v="0"/>
    <x v="723"/>
    <x v="0"/>
    <s v="DISCOUNT NOT ALLOWED"/>
    <s v="discount not allowed"/>
    <s v="DISCOUNT NOT ALLOWED"/>
    <s v="Discount Not Allowed"/>
    <s v="05/05/24"/>
  </r>
  <r>
    <s v="TXN_2412802"/>
    <s v="CUST_23"/>
    <x v="0"/>
    <x v="73"/>
    <x v="9"/>
    <x v="7"/>
    <n v="82.5"/>
    <x v="0"/>
    <x v="0"/>
    <x v="21"/>
    <x v="1"/>
    <s v="DISCOUNT ALLOWED"/>
    <s v="discount allowed"/>
    <s v="DISCOUNT ALLOWED"/>
    <s v="Discount Allowed"/>
    <s v="20/05/23"/>
  </r>
  <r>
    <s v="TXN_2513356"/>
    <s v="CUST_06"/>
    <x v="6"/>
    <x v="70"/>
    <x v="9"/>
    <x v="7"/>
    <n v="82.5"/>
    <x v="2"/>
    <x v="1"/>
    <x v="553"/>
    <x v="0"/>
    <s v="DISCOUNT NOT ALLOWED"/>
    <s v="discount not allowed"/>
    <s v="DISCOUNT NOT ALLOWED"/>
    <s v="Discount Not Allowed"/>
    <s v="04/08/24"/>
  </r>
  <r>
    <s v="TXN_2746396"/>
    <s v="CUST_11"/>
    <x v="0"/>
    <x v="73"/>
    <x v="9"/>
    <x v="7"/>
    <n v="82.5"/>
    <x v="1"/>
    <x v="0"/>
    <x v="32"/>
    <x v="1"/>
    <s v="DISCOUNT ALLOWED"/>
    <s v="discount allowed"/>
    <s v="DISCOUNT ALLOWED"/>
    <s v="Discount Allowed"/>
    <s v="24/08/23"/>
  </r>
  <r>
    <s v="TXN_3851282"/>
    <s v="CUST_23"/>
    <x v="0"/>
    <x v="73"/>
    <x v="9"/>
    <x v="7"/>
    <n v="82.5"/>
    <x v="1"/>
    <x v="0"/>
    <x v="19"/>
    <x v="1"/>
    <s v="DISCOUNT ALLOWED"/>
    <s v="discount allowed"/>
    <s v="DISCOUNT ALLOWED"/>
    <s v="Discount Allowed"/>
    <s v="13/08/23"/>
  </r>
  <r>
    <s v="TXN_4431120"/>
    <s v="CUST_24"/>
    <x v="4"/>
    <x v="101"/>
    <x v="9"/>
    <x v="7"/>
    <n v="82.5"/>
    <x v="2"/>
    <x v="1"/>
    <x v="530"/>
    <x v="1"/>
    <s v="DISCOUNT ALLOWED"/>
    <s v="discount allowed"/>
    <s v="DISCOUNT ALLOWED"/>
    <s v="Discount Allowed"/>
    <s v="25/10/22"/>
  </r>
  <r>
    <s v="TXN_4515690"/>
    <s v="CUST_13"/>
    <x v="0"/>
    <x v="73"/>
    <x v="9"/>
    <x v="7"/>
    <n v="82.5"/>
    <x v="0"/>
    <x v="0"/>
    <x v="351"/>
    <x v="0"/>
    <s v="DISCOUNT NOT ALLOWED"/>
    <s v="discount not allowed"/>
    <s v="DISCOUNT NOT ALLOWED"/>
    <s v="Discount Not Allowed"/>
    <s v="24/01/23"/>
  </r>
  <r>
    <s v="TXN_4635088"/>
    <s v="CUST_11"/>
    <x v="0"/>
    <x v="73"/>
    <x v="9"/>
    <x v="7"/>
    <n v="82.5"/>
    <x v="0"/>
    <x v="1"/>
    <x v="93"/>
    <x v="0"/>
    <s v="DISCOUNT NOT ALLOWED"/>
    <s v="discount not allowed"/>
    <s v="DISCOUNT NOT ALLOWED"/>
    <s v="Discount Not Allowed"/>
    <s v="08/12/22"/>
  </r>
  <r>
    <s v="TXN_4859949"/>
    <s v="CUST_16"/>
    <x v="3"/>
    <x v="74"/>
    <x v="9"/>
    <x v="7"/>
    <n v="82.5"/>
    <x v="2"/>
    <x v="1"/>
    <x v="874"/>
    <x v="1"/>
    <s v="DISCOUNT ALLOWED"/>
    <s v="discount allowed"/>
    <s v="DISCOUNT ALLOWED"/>
    <s v="Discount Allowed"/>
    <s v="06/09/24"/>
  </r>
  <r>
    <s v="TXN_4975949"/>
    <s v="CUST_23"/>
    <x v="7"/>
    <x v="72"/>
    <x v="9"/>
    <x v="7"/>
    <n v="82.5"/>
    <x v="1"/>
    <x v="0"/>
    <x v="945"/>
    <x v="1"/>
    <s v="DISCOUNT ALLOWED"/>
    <s v="discount allowed"/>
    <s v="DISCOUNT ALLOWED"/>
    <s v="Discount Allowed"/>
    <s v="10/03/22"/>
  </r>
  <r>
    <s v="TXN_5178964"/>
    <s v="CUST_14"/>
    <x v="1"/>
    <x v="71"/>
    <x v="9"/>
    <x v="7"/>
    <n v="82.5"/>
    <x v="1"/>
    <x v="1"/>
    <x v="69"/>
    <x v="1"/>
    <s v="DISCOUNT ALLOWED"/>
    <s v="discount allowed"/>
    <s v="DISCOUNT ALLOWED"/>
    <s v="Discount Allowed"/>
    <s v="14/11/23"/>
  </r>
  <r>
    <s v="TXN_5782507"/>
    <s v="CUST_21"/>
    <x v="0"/>
    <x v="73"/>
    <x v="9"/>
    <x v="7"/>
    <n v="82.5"/>
    <x v="0"/>
    <x v="1"/>
    <x v="309"/>
    <x v="1"/>
    <s v="DISCOUNT ALLOWED"/>
    <s v="discount allowed"/>
    <s v="DISCOUNT ALLOWED"/>
    <s v="Discount Allowed"/>
    <s v="02/10/24"/>
  </r>
  <r>
    <s v="TXN_6582263"/>
    <s v="CUST_12"/>
    <x v="3"/>
    <x v="74"/>
    <x v="9"/>
    <x v="7"/>
    <n v="82.5"/>
    <x v="1"/>
    <x v="0"/>
    <x v="887"/>
    <x v="1"/>
    <s v="DISCOUNT ALLOWED"/>
    <s v="discount allowed"/>
    <s v="DISCOUNT ALLOWED"/>
    <s v="Discount Allowed"/>
    <s v="03/04/22"/>
  </r>
  <r>
    <s v="TXN_6886294"/>
    <s v="CUST_16"/>
    <x v="0"/>
    <x v="73"/>
    <x v="9"/>
    <x v="7"/>
    <n v="82.5"/>
    <x v="0"/>
    <x v="0"/>
    <x v="1010"/>
    <x v="1"/>
    <s v="DISCOUNT ALLOWED"/>
    <s v="discount allowed"/>
    <s v="DISCOUNT ALLOWED"/>
    <s v="Discount Allowed"/>
    <s v="30/10/23"/>
  </r>
  <r>
    <s v="TXN_7272612"/>
    <s v="CUST_24"/>
    <x v="3"/>
    <x v="74"/>
    <x v="9"/>
    <x v="7"/>
    <n v="82.5"/>
    <x v="1"/>
    <x v="1"/>
    <x v="110"/>
    <x v="0"/>
    <s v="DISCOUNT NOT ALLOWED"/>
    <s v="discount not allowed"/>
    <s v="DISCOUNT NOT ALLOWED"/>
    <s v="Discount Not Allowed"/>
    <s v="27/07/24"/>
  </r>
  <r>
    <s v="TXN_7347397"/>
    <s v="CUST_24"/>
    <x v="0"/>
    <x v="73"/>
    <x v="9"/>
    <x v="7"/>
    <n v="82.5"/>
    <x v="1"/>
    <x v="1"/>
    <x v="516"/>
    <x v="1"/>
    <s v="DISCOUNT ALLOWED"/>
    <s v="discount allowed"/>
    <s v="DISCOUNT ALLOWED"/>
    <s v="Discount Allowed"/>
    <s v="28/12/23"/>
  </r>
  <r>
    <s v="TXN_7744488"/>
    <s v="CUST_09"/>
    <x v="1"/>
    <x v="71"/>
    <x v="9"/>
    <x v="7"/>
    <n v="82.5"/>
    <x v="1"/>
    <x v="0"/>
    <x v="145"/>
    <x v="1"/>
    <s v="DISCOUNT ALLOWED"/>
    <s v="discount allowed"/>
    <s v="DISCOUNT ALLOWED"/>
    <s v="Discount Allowed"/>
    <s v="31/07/23"/>
  </r>
  <r>
    <s v="TXN_7944224"/>
    <s v="CUST_15"/>
    <x v="1"/>
    <x v="71"/>
    <x v="9"/>
    <x v="7"/>
    <n v="82.5"/>
    <x v="1"/>
    <x v="0"/>
    <x v="921"/>
    <x v="0"/>
    <s v="DISCOUNT NOT ALLOWED"/>
    <s v="discount not allowed"/>
    <s v="DISCOUNT NOT ALLOWED"/>
    <s v="Discount Not Allowed"/>
    <s v="11/09/23"/>
  </r>
  <r>
    <s v="TXN_8363763"/>
    <s v="CUST_05"/>
    <x v="0"/>
    <x v="73"/>
    <x v="9"/>
    <x v="7"/>
    <n v="82.5"/>
    <x v="0"/>
    <x v="1"/>
    <x v="779"/>
    <x v="0"/>
    <s v="DISCOUNT NOT ALLOWED"/>
    <s v="discount not allowed"/>
    <s v="DISCOUNT NOT ALLOWED"/>
    <s v="Discount Not Allowed"/>
    <s v="10/01/23"/>
  </r>
  <r>
    <s v="TXN_8471690"/>
    <s v="CUST_11"/>
    <x v="5"/>
    <x v="75"/>
    <x v="9"/>
    <x v="7"/>
    <n v="82.5"/>
    <x v="2"/>
    <x v="0"/>
    <x v="587"/>
    <x v="1"/>
    <s v="DISCOUNT ALLOWED"/>
    <s v="discount allowed"/>
    <s v="DISCOUNT ALLOWED"/>
    <s v="Discount Allowed"/>
    <s v="05/04/22"/>
  </r>
  <r>
    <s v="TXN_8838987"/>
    <s v="CUST_25"/>
    <x v="3"/>
    <x v="74"/>
    <x v="9"/>
    <x v="7"/>
    <n v="82.5"/>
    <x v="1"/>
    <x v="1"/>
    <x v="420"/>
    <x v="1"/>
    <s v="DISCOUNT ALLOWED"/>
    <s v="discount allowed"/>
    <s v="DISCOUNT ALLOWED"/>
    <s v="Discount Allowed"/>
    <s v="28/09/24"/>
  </r>
  <r>
    <s v="TXN_9233461"/>
    <s v="CUST_07"/>
    <x v="1"/>
    <x v="71"/>
    <x v="9"/>
    <x v="7"/>
    <n v="82.5"/>
    <x v="0"/>
    <x v="0"/>
    <x v="379"/>
    <x v="1"/>
    <s v="DISCOUNT ALLOWED"/>
    <s v="discount allowed"/>
    <s v="DISCOUNT ALLOWED"/>
    <s v="Discount Allowed"/>
    <s v="15/03/24"/>
  </r>
  <r>
    <s v="TXN_9340588"/>
    <s v="CUST_12"/>
    <x v="6"/>
    <x v="70"/>
    <x v="9"/>
    <x v="7"/>
    <n v="82.5"/>
    <x v="1"/>
    <x v="1"/>
    <x v="445"/>
    <x v="0"/>
    <s v="DISCOUNT NOT ALLOWED"/>
    <s v="discount not allowed"/>
    <s v="DISCOUNT NOT ALLOWED"/>
    <s v="Discount Not Allowed"/>
    <s v="02/10/23"/>
  </r>
  <r>
    <s v="TXN_1009738"/>
    <s v="CUST_06"/>
    <x v="6"/>
    <x v="6"/>
    <x v="0"/>
    <x v="8"/>
    <n v="82"/>
    <x v="0"/>
    <x v="1"/>
    <x v="714"/>
    <x v="0"/>
    <s v="DISCOUNT NOT ALLOWED"/>
    <s v="discount not allowed"/>
    <s v="DISCOUNT NOT ALLOWED"/>
    <s v="Discount Not Allowed"/>
    <s v="23/04/23"/>
  </r>
  <r>
    <s v="TXN_1624550"/>
    <s v="CUST_19"/>
    <x v="5"/>
    <x v="5"/>
    <x v="0"/>
    <x v="8"/>
    <n v="82"/>
    <x v="0"/>
    <x v="1"/>
    <x v="901"/>
    <x v="0"/>
    <s v="DISCOUNT NOT ALLOWED"/>
    <s v="discount not allowed"/>
    <s v="DISCOUNT NOT ALLOWED"/>
    <s v="Discount Not Allowed"/>
    <s v="28/07/24"/>
  </r>
  <r>
    <s v="TXN_1766741"/>
    <s v="CUST_08"/>
    <x v="4"/>
    <x v="4"/>
    <x v="0"/>
    <x v="8"/>
    <n v="82"/>
    <x v="1"/>
    <x v="0"/>
    <x v="642"/>
    <x v="1"/>
    <s v="DISCOUNT ALLOWED"/>
    <s v="discount allowed"/>
    <s v="DISCOUNT ALLOWED"/>
    <s v="Discount Allowed"/>
    <s v="22/06/22"/>
  </r>
  <r>
    <s v="TXN_1770062"/>
    <s v="CUST_05"/>
    <x v="2"/>
    <x v="2"/>
    <x v="0"/>
    <x v="8"/>
    <n v="82"/>
    <x v="1"/>
    <x v="1"/>
    <x v="815"/>
    <x v="1"/>
    <s v="DISCOUNT ALLOWED"/>
    <s v="discount allowed"/>
    <s v="DISCOUNT ALLOWED"/>
    <s v="Discount Allowed"/>
    <s v="28/02/23"/>
  </r>
  <r>
    <s v="TXN_1962372"/>
    <s v="CUST_21"/>
    <x v="7"/>
    <x v="7"/>
    <x v="0"/>
    <x v="8"/>
    <n v="82"/>
    <x v="0"/>
    <x v="1"/>
    <x v="603"/>
    <x v="1"/>
    <s v="DISCOUNT ALLOWED"/>
    <s v="discount allowed"/>
    <s v="DISCOUNT ALLOWED"/>
    <s v="Discount Allowed"/>
    <s v="25/07/23"/>
  </r>
  <r>
    <s v="TXN_2182761"/>
    <s v="CUST_16"/>
    <x v="5"/>
    <x v="5"/>
    <x v="0"/>
    <x v="8"/>
    <n v="82"/>
    <x v="1"/>
    <x v="0"/>
    <x v="942"/>
    <x v="1"/>
    <s v="DISCOUNT ALLOWED"/>
    <s v="discount allowed"/>
    <s v="DISCOUNT ALLOWED"/>
    <s v="Discount Allowed"/>
    <s v="05/08/23"/>
  </r>
  <r>
    <s v="TXN_2456641"/>
    <s v="CUST_15"/>
    <x v="1"/>
    <x v="1"/>
    <x v="0"/>
    <x v="8"/>
    <n v="82"/>
    <x v="1"/>
    <x v="0"/>
    <x v="314"/>
    <x v="0"/>
    <s v="DISCOUNT NOT ALLOWED"/>
    <s v="discount not allowed"/>
    <s v="DISCOUNT NOT ALLOWED"/>
    <s v="Discount Not Allowed"/>
    <s v="04/05/22"/>
  </r>
  <r>
    <s v="TXN_2485793"/>
    <s v="CUST_20"/>
    <x v="1"/>
    <x v="1"/>
    <x v="0"/>
    <x v="8"/>
    <n v="82"/>
    <x v="1"/>
    <x v="1"/>
    <x v="95"/>
    <x v="1"/>
    <s v="DISCOUNT ALLOWED"/>
    <s v="discount allowed"/>
    <s v="DISCOUNT ALLOWED"/>
    <s v="Discount Allowed"/>
    <s v="07/06/23"/>
  </r>
  <r>
    <s v="TXN_3314885"/>
    <s v="CUST_23"/>
    <x v="5"/>
    <x v="5"/>
    <x v="0"/>
    <x v="8"/>
    <n v="82"/>
    <x v="2"/>
    <x v="0"/>
    <x v="133"/>
    <x v="1"/>
    <s v="DISCOUNT ALLOWED"/>
    <s v="discount allowed"/>
    <s v="DISCOUNT ALLOWED"/>
    <s v="Discount Allowed"/>
    <s v="17/01/24"/>
  </r>
  <r>
    <s v="TXN_3941354"/>
    <s v="CUST_22"/>
    <x v="5"/>
    <x v="5"/>
    <x v="0"/>
    <x v="8"/>
    <n v="82"/>
    <x v="0"/>
    <x v="0"/>
    <x v="907"/>
    <x v="0"/>
    <s v="DISCOUNT NOT ALLOWED"/>
    <s v="discount not allowed"/>
    <s v="DISCOUNT NOT ALLOWED"/>
    <s v="Discount Not Allowed"/>
    <s v="09/04/23"/>
  </r>
  <r>
    <s v="TXN_4005322"/>
    <s v="CUST_03"/>
    <x v="3"/>
    <x v="3"/>
    <x v="0"/>
    <x v="8"/>
    <n v="82"/>
    <x v="1"/>
    <x v="0"/>
    <x v="717"/>
    <x v="1"/>
    <s v="DISCOUNT ALLOWED"/>
    <s v="discount allowed"/>
    <s v="DISCOUNT ALLOWED"/>
    <s v="Discount Allowed"/>
    <s v="15/05/22"/>
  </r>
  <r>
    <s v="TXN_4212096"/>
    <s v="CUST_19"/>
    <x v="1"/>
    <x v="1"/>
    <x v="0"/>
    <x v="8"/>
    <n v="82"/>
    <x v="0"/>
    <x v="0"/>
    <x v="1089"/>
    <x v="1"/>
    <s v="DISCOUNT ALLOWED"/>
    <s v="discount allowed"/>
    <s v="DISCOUNT ALLOWED"/>
    <s v="Discount Allowed"/>
    <s v="16/10/24"/>
  </r>
  <r>
    <s v="TXN_4505972"/>
    <s v="CUST_25"/>
    <x v="1"/>
    <x v="1"/>
    <x v="0"/>
    <x v="8"/>
    <n v="82"/>
    <x v="2"/>
    <x v="1"/>
    <x v="832"/>
    <x v="1"/>
    <s v="DISCOUNT ALLOWED"/>
    <s v="discount allowed"/>
    <s v="DISCOUNT ALLOWED"/>
    <s v="Discount Allowed"/>
    <s v="27/08/22"/>
  </r>
  <r>
    <s v="TXN_4989586"/>
    <s v="CUST_01"/>
    <x v="4"/>
    <x v="4"/>
    <x v="0"/>
    <x v="8"/>
    <n v="82"/>
    <x v="1"/>
    <x v="0"/>
    <x v="474"/>
    <x v="1"/>
    <s v="DISCOUNT ALLOWED"/>
    <s v="discount allowed"/>
    <s v="DISCOUNT ALLOWED"/>
    <s v="Discount Allowed"/>
    <s v="24/02/23"/>
  </r>
  <r>
    <s v="TXN_5062634"/>
    <s v="CUST_04"/>
    <x v="7"/>
    <x v="7"/>
    <x v="0"/>
    <x v="8"/>
    <n v="82"/>
    <x v="2"/>
    <x v="0"/>
    <x v="924"/>
    <x v="1"/>
    <s v="DISCOUNT ALLOWED"/>
    <s v="discount allowed"/>
    <s v="DISCOUNT ALLOWED"/>
    <s v="Discount Allowed"/>
    <s v="06/07/23"/>
  </r>
  <r>
    <s v="TXN_5134226"/>
    <s v="CUST_24"/>
    <x v="3"/>
    <x v="3"/>
    <x v="0"/>
    <x v="8"/>
    <n v="82"/>
    <x v="0"/>
    <x v="0"/>
    <x v="593"/>
    <x v="1"/>
    <s v="DISCOUNT ALLOWED"/>
    <s v="discount allowed"/>
    <s v="DISCOUNT ALLOWED"/>
    <s v="Discount Allowed"/>
    <s v="10/07/22"/>
  </r>
  <r>
    <s v="TXN_5246508"/>
    <s v="CUST_02"/>
    <x v="5"/>
    <x v="5"/>
    <x v="0"/>
    <x v="8"/>
    <n v="82"/>
    <x v="2"/>
    <x v="1"/>
    <x v="263"/>
    <x v="1"/>
    <s v="DISCOUNT ALLOWED"/>
    <s v="discount allowed"/>
    <s v="DISCOUNT ALLOWED"/>
    <s v="Discount Allowed"/>
    <s v="09/06/24"/>
  </r>
  <r>
    <s v="TXN_6554226"/>
    <s v="CUST_04"/>
    <x v="1"/>
    <x v="1"/>
    <x v="0"/>
    <x v="8"/>
    <n v="82"/>
    <x v="0"/>
    <x v="1"/>
    <x v="75"/>
    <x v="1"/>
    <s v="DISCOUNT ALLOWED"/>
    <s v="discount allowed"/>
    <s v="DISCOUNT ALLOWED"/>
    <s v="Discount Allowed"/>
    <s v="02/01/22"/>
  </r>
  <r>
    <s v="TXN_7037057"/>
    <s v="CUST_09"/>
    <x v="5"/>
    <x v="5"/>
    <x v="0"/>
    <x v="8"/>
    <n v="82"/>
    <x v="0"/>
    <x v="0"/>
    <x v="168"/>
    <x v="1"/>
    <s v="DISCOUNT ALLOWED"/>
    <s v="discount allowed"/>
    <s v="DISCOUNT ALLOWED"/>
    <s v="Discount Allowed"/>
    <s v="29/06/22"/>
  </r>
  <r>
    <s v="TXN_7044349"/>
    <s v="CUST_01"/>
    <x v="4"/>
    <x v="4"/>
    <x v="0"/>
    <x v="8"/>
    <n v="82"/>
    <x v="2"/>
    <x v="1"/>
    <x v="932"/>
    <x v="1"/>
    <s v="DISCOUNT ALLOWED"/>
    <s v="discount allowed"/>
    <s v="DISCOUNT ALLOWED"/>
    <s v="Discount Allowed"/>
    <s v="22/04/22"/>
  </r>
  <r>
    <s v="TXN_7061932"/>
    <s v="CUST_07"/>
    <x v="2"/>
    <x v="2"/>
    <x v="0"/>
    <x v="8"/>
    <n v="82"/>
    <x v="0"/>
    <x v="1"/>
    <x v="1038"/>
    <x v="1"/>
    <s v="DISCOUNT ALLOWED"/>
    <s v="discount allowed"/>
    <s v="DISCOUNT ALLOWED"/>
    <s v="Discount Allowed"/>
    <s v="07/07/23"/>
  </r>
  <r>
    <s v="TXN_7683878"/>
    <s v="CUST_21"/>
    <x v="7"/>
    <x v="7"/>
    <x v="0"/>
    <x v="8"/>
    <n v="82"/>
    <x v="2"/>
    <x v="1"/>
    <x v="336"/>
    <x v="1"/>
    <s v="DISCOUNT ALLOWED"/>
    <s v="discount allowed"/>
    <s v="DISCOUNT ALLOWED"/>
    <s v="Discount Allowed"/>
    <s v="05/11/24"/>
  </r>
  <r>
    <s v="TXN_7791537"/>
    <s v="CUST_24"/>
    <x v="1"/>
    <x v="1"/>
    <x v="0"/>
    <x v="8"/>
    <n v="82"/>
    <x v="2"/>
    <x v="0"/>
    <x v="930"/>
    <x v="1"/>
    <s v="DISCOUNT ALLOWED"/>
    <s v="discount allowed"/>
    <s v="DISCOUNT ALLOWED"/>
    <s v="Discount Allowed"/>
    <s v="05/02/24"/>
  </r>
  <r>
    <s v="TXN_8377623"/>
    <s v="CUST_15"/>
    <x v="1"/>
    <x v="1"/>
    <x v="0"/>
    <x v="8"/>
    <n v="82"/>
    <x v="2"/>
    <x v="1"/>
    <x v="372"/>
    <x v="0"/>
    <s v="DISCOUNT NOT ALLOWED"/>
    <s v="discount not allowed"/>
    <s v="DISCOUNT NOT ALLOWED"/>
    <s v="Discount Not Allowed"/>
    <s v="17/07/24"/>
  </r>
  <r>
    <s v="TXN_8689221"/>
    <s v="CUST_07"/>
    <x v="5"/>
    <x v="5"/>
    <x v="0"/>
    <x v="8"/>
    <n v="82"/>
    <x v="2"/>
    <x v="0"/>
    <x v="287"/>
    <x v="0"/>
    <s v="DISCOUNT NOT ALLOWED"/>
    <s v="discount not allowed"/>
    <s v="DISCOUNT NOT ALLOWED"/>
    <s v="Discount Not Allowed"/>
    <s v="22/04/23"/>
  </r>
  <r>
    <s v="TXN_9024754"/>
    <s v="CUST_06"/>
    <x v="2"/>
    <x v="2"/>
    <x v="0"/>
    <x v="8"/>
    <n v="82"/>
    <x v="0"/>
    <x v="0"/>
    <x v="866"/>
    <x v="0"/>
    <s v="DISCOUNT NOT ALLOWED"/>
    <s v="discount not allowed"/>
    <s v="DISCOUNT NOT ALLOWED"/>
    <s v="Discount Not Allowed"/>
    <s v="04/10/22"/>
  </r>
  <r>
    <s v="TXN_9463668"/>
    <s v="CUST_05"/>
    <x v="5"/>
    <x v="5"/>
    <x v="0"/>
    <x v="8"/>
    <n v="82"/>
    <x v="2"/>
    <x v="0"/>
    <x v="453"/>
    <x v="0"/>
    <s v="DISCOUNT NOT ALLOWED"/>
    <s v="discount not allowed"/>
    <s v="DISCOUNT NOT ALLOWED"/>
    <s v="Discount Not Allowed"/>
    <s v="26/06/22"/>
  </r>
  <r>
    <s v="TXN_9583903"/>
    <s v="CUST_19"/>
    <x v="1"/>
    <x v="1"/>
    <x v="0"/>
    <x v="8"/>
    <n v="82"/>
    <x v="1"/>
    <x v="0"/>
    <x v="724"/>
    <x v="0"/>
    <s v="DISCOUNT NOT ALLOWED"/>
    <s v="discount not allowed"/>
    <s v="DISCOUNT NOT ALLOWED"/>
    <s v="Discount Not Allowed"/>
    <s v="08/10/24"/>
  </r>
  <r>
    <s v="TXN_9964153"/>
    <s v="CUST_07"/>
    <x v="7"/>
    <x v="7"/>
    <x v="0"/>
    <x v="8"/>
    <n v="82"/>
    <x v="1"/>
    <x v="0"/>
    <x v="637"/>
    <x v="0"/>
    <s v="DISCOUNT NOT ALLOWED"/>
    <s v="discount not allowed"/>
    <s v="DISCOUNT NOT ALLOWED"/>
    <s v="Discount Not Allowed"/>
    <s v="29/05/23"/>
  </r>
  <r>
    <s v="TXN_1156192"/>
    <s v="CUST_07"/>
    <x v="4"/>
    <x v="109"/>
    <x v="14"/>
    <x v="6"/>
    <n v="80"/>
    <x v="2"/>
    <x v="1"/>
    <x v="876"/>
    <x v="1"/>
    <s v="DISCOUNT ALLOWED"/>
    <s v="discount allowed"/>
    <s v="DISCOUNT ALLOWED"/>
    <s v="Discount Allowed"/>
    <s v="17/02/24"/>
  </r>
  <r>
    <s v="TXN_1289036"/>
    <s v="CUST_06"/>
    <x v="0"/>
    <x v="115"/>
    <x v="14"/>
    <x v="6"/>
    <n v="80"/>
    <x v="1"/>
    <x v="1"/>
    <x v="766"/>
    <x v="0"/>
    <s v="DISCOUNT NOT ALLOWED"/>
    <s v="discount not allowed"/>
    <s v="DISCOUNT NOT ALLOWED"/>
    <s v="Discount Not Allowed"/>
    <s v="09/12/22"/>
  </r>
  <r>
    <s v="TXN_1386229"/>
    <s v="CUST_08"/>
    <x v="6"/>
    <x v="112"/>
    <x v="14"/>
    <x v="6"/>
    <n v="80"/>
    <x v="2"/>
    <x v="0"/>
    <x v="233"/>
    <x v="0"/>
    <s v="DISCOUNT NOT ALLOWED"/>
    <s v="discount not allowed"/>
    <s v="DISCOUNT NOT ALLOWED"/>
    <s v="Discount Not Allowed"/>
    <s v="02/04/23"/>
  </r>
  <r>
    <s v="TXN_1411832"/>
    <s v="CUST_13"/>
    <x v="4"/>
    <x v="176"/>
    <x v="22"/>
    <x v="0"/>
    <n v="80"/>
    <x v="1"/>
    <x v="0"/>
    <x v="404"/>
    <x v="0"/>
    <s v="DISCOUNT NOT ALLOWED"/>
    <s v="discount not allowed"/>
    <s v="DISCOUNT NOT ALLOWED"/>
    <s v="Discount Not Allowed"/>
    <s v="23/11/22"/>
  </r>
  <r>
    <s v="TXN_1483524"/>
    <s v="CUST_22"/>
    <x v="5"/>
    <x v="111"/>
    <x v="14"/>
    <x v="6"/>
    <n v="80"/>
    <x v="1"/>
    <x v="0"/>
    <x v="460"/>
    <x v="1"/>
    <s v="DISCOUNT ALLOWED"/>
    <s v="discount allowed"/>
    <s v="DISCOUNT ALLOWED"/>
    <s v="Discount Allowed"/>
    <s v="11/03/23"/>
  </r>
  <r>
    <s v="TXN_1499023"/>
    <s v="CUST_18"/>
    <x v="0"/>
    <x v="115"/>
    <x v="14"/>
    <x v="6"/>
    <n v="80"/>
    <x v="2"/>
    <x v="0"/>
    <x v="762"/>
    <x v="0"/>
    <s v="DISCOUNT NOT ALLOWED"/>
    <s v="discount not allowed"/>
    <s v="DISCOUNT NOT ALLOWED"/>
    <s v="Discount Not Allowed"/>
    <s v="04/05/24"/>
  </r>
  <r>
    <s v="TXN_1595881"/>
    <s v="CUST_12"/>
    <x v="3"/>
    <x v="177"/>
    <x v="22"/>
    <x v="0"/>
    <n v="80"/>
    <x v="1"/>
    <x v="0"/>
    <x v="244"/>
    <x v="1"/>
    <s v="DISCOUNT ALLOWED"/>
    <s v="discount allowed"/>
    <s v="DISCOUNT ALLOWED"/>
    <s v="Discount Allowed"/>
    <s v="22/02/23"/>
  </r>
  <r>
    <s v="TXN_1847488"/>
    <s v="CUST_08"/>
    <x v="4"/>
    <x v="176"/>
    <x v="22"/>
    <x v="0"/>
    <n v="80"/>
    <x v="0"/>
    <x v="1"/>
    <x v="945"/>
    <x v="0"/>
    <s v="DISCOUNT NOT ALLOWED"/>
    <s v="discount not allowed"/>
    <s v="DISCOUNT NOT ALLOWED"/>
    <s v="Discount Not Allowed"/>
    <s v="10/03/22"/>
  </r>
  <r>
    <s v="TXN_1904948"/>
    <s v="CUST_18"/>
    <x v="1"/>
    <x v="114"/>
    <x v="14"/>
    <x v="6"/>
    <n v="80"/>
    <x v="2"/>
    <x v="1"/>
    <x v="884"/>
    <x v="1"/>
    <s v="DISCOUNT ALLOWED"/>
    <s v="discount allowed"/>
    <s v="DISCOUNT ALLOWED"/>
    <s v="Discount Allowed"/>
    <s v="13/01/24"/>
  </r>
  <r>
    <s v="TXN_2084124"/>
    <s v="CUST_09"/>
    <x v="5"/>
    <x v="111"/>
    <x v="14"/>
    <x v="6"/>
    <n v="80"/>
    <x v="2"/>
    <x v="0"/>
    <x v="930"/>
    <x v="1"/>
    <s v="DISCOUNT ALLOWED"/>
    <s v="discount allowed"/>
    <s v="DISCOUNT ALLOWED"/>
    <s v="Discount Allowed"/>
    <s v="05/02/24"/>
  </r>
  <r>
    <s v="TXN_2130078"/>
    <s v="CUST_05"/>
    <x v="4"/>
    <x v="109"/>
    <x v="14"/>
    <x v="6"/>
    <n v="80"/>
    <x v="2"/>
    <x v="1"/>
    <x v="486"/>
    <x v="0"/>
    <s v="DISCOUNT NOT ALLOWED"/>
    <s v="discount not allowed"/>
    <s v="DISCOUNT NOT ALLOWED"/>
    <s v="Discount Not Allowed"/>
    <s v="21/10/22"/>
  </r>
  <r>
    <s v="TXN_2248111"/>
    <s v="CUST_20"/>
    <x v="2"/>
    <x v="178"/>
    <x v="22"/>
    <x v="0"/>
    <n v="80"/>
    <x v="0"/>
    <x v="1"/>
    <x v="416"/>
    <x v="1"/>
    <s v="DISCOUNT ALLOWED"/>
    <s v="discount allowed"/>
    <s v="DISCOUNT ALLOWED"/>
    <s v="Discount Allowed"/>
    <s v="25/05/24"/>
  </r>
  <r>
    <s v="TXN_2258785"/>
    <s v="CUST_16"/>
    <x v="3"/>
    <x v="177"/>
    <x v="22"/>
    <x v="0"/>
    <n v="80"/>
    <x v="1"/>
    <x v="1"/>
    <x v="392"/>
    <x v="0"/>
    <s v="DISCOUNT NOT ALLOWED"/>
    <s v="discount not allowed"/>
    <s v="DISCOUNT NOT ALLOWED"/>
    <s v="Discount Not Allowed"/>
    <s v="13/01/23"/>
  </r>
  <r>
    <s v="TXN_2271740"/>
    <s v="CUST_01"/>
    <x v="2"/>
    <x v="113"/>
    <x v="14"/>
    <x v="6"/>
    <n v="80"/>
    <x v="0"/>
    <x v="1"/>
    <x v="279"/>
    <x v="0"/>
    <s v="DISCOUNT NOT ALLOWED"/>
    <s v="discount not allowed"/>
    <s v="DISCOUNT NOT ALLOWED"/>
    <s v="Discount Not Allowed"/>
    <s v="06/01/23"/>
  </r>
  <r>
    <s v="TXN_2621955"/>
    <s v="CUST_06"/>
    <x v="3"/>
    <x v="126"/>
    <x v="14"/>
    <x v="6"/>
    <n v="80"/>
    <x v="0"/>
    <x v="1"/>
    <x v="121"/>
    <x v="1"/>
    <s v="DISCOUNT ALLOWED"/>
    <s v="discount allowed"/>
    <s v="DISCOUNT ALLOWED"/>
    <s v="Discount Allowed"/>
    <s v="21/08/24"/>
  </r>
  <r>
    <s v="TXN_2634868"/>
    <s v="CUST_13"/>
    <x v="7"/>
    <x v="110"/>
    <x v="14"/>
    <x v="6"/>
    <n v="80"/>
    <x v="1"/>
    <x v="1"/>
    <x v="484"/>
    <x v="0"/>
    <s v="DISCOUNT NOT ALLOWED"/>
    <s v="discount not allowed"/>
    <s v="DISCOUNT NOT ALLOWED"/>
    <s v="Discount Not Allowed"/>
    <s v="26/06/24"/>
  </r>
  <r>
    <s v="TXN_3395288"/>
    <s v="CUST_21"/>
    <x v="3"/>
    <x v="177"/>
    <x v="22"/>
    <x v="0"/>
    <n v="80"/>
    <x v="1"/>
    <x v="0"/>
    <x v="716"/>
    <x v="0"/>
    <s v="DISCOUNT NOT ALLOWED"/>
    <s v="discount not allowed"/>
    <s v="DISCOUNT NOT ALLOWED"/>
    <s v="Discount Not Allowed"/>
    <s v="19/05/22"/>
  </r>
  <r>
    <s v="TXN_3919101"/>
    <s v="CUST_18"/>
    <x v="0"/>
    <x v="115"/>
    <x v="14"/>
    <x v="6"/>
    <n v="80"/>
    <x v="0"/>
    <x v="0"/>
    <x v="836"/>
    <x v="0"/>
    <s v="DISCOUNT NOT ALLOWED"/>
    <s v="discount not allowed"/>
    <s v="DISCOUNT NOT ALLOWED"/>
    <s v="Discount Not Allowed"/>
    <s v="22/05/22"/>
  </r>
  <r>
    <s v="TXN_3966618"/>
    <s v="CUST_08"/>
    <x v="2"/>
    <x v="113"/>
    <x v="14"/>
    <x v="6"/>
    <n v="80"/>
    <x v="0"/>
    <x v="0"/>
    <x v="697"/>
    <x v="1"/>
    <s v="DISCOUNT ALLOWED"/>
    <s v="discount allowed"/>
    <s v="DISCOUNT ALLOWED"/>
    <s v="Discount Allowed"/>
    <s v="14/08/22"/>
  </r>
  <r>
    <s v="TXN_3969038"/>
    <s v="CUST_20"/>
    <x v="7"/>
    <x v="110"/>
    <x v="14"/>
    <x v="6"/>
    <n v="80"/>
    <x v="2"/>
    <x v="0"/>
    <x v="760"/>
    <x v="0"/>
    <s v="DISCOUNT NOT ALLOWED"/>
    <s v="discount not allowed"/>
    <s v="DISCOUNT NOT ALLOWED"/>
    <s v="Discount Not Allowed"/>
    <s v="30/11/22"/>
  </r>
  <r>
    <s v="TXN_4102079"/>
    <s v="CUST_15"/>
    <x v="7"/>
    <x v="110"/>
    <x v="14"/>
    <x v="6"/>
    <n v="80"/>
    <x v="2"/>
    <x v="1"/>
    <x v="565"/>
    <x v="0"/>
    <s v="DISCOUNT NOT ALLOWED"/>
    <s v="discount not allowed"/>
    <s v="DISCOUNT NOT ALLOWED"/>
    <s v="Discount Not Allowed"/>
    <s v="15/02/23"/>
  </r>
  <r>
    <s v="TXN_4433161"/>
    <s v="CUST_21"/>
    <x v="0"/>
    <x v="115"/>
    <x v="14"/>
    <x v="6"/>
    <n v="80"/>
    <x v="2"/>
    <x v="1"/>
    <x v="993"/>
    <x v="1"/>
    <s v="DISCOUNT ALLOWED"/>
    <s v="discount allowed"/>
    <s v="DISCOUNT ALLOWED"/>
    <s v="Discount Allowed"/>
    <s v="20/08/22"/>
  </r>
  <r>
    <s v="TXN_4674977"/>
    <s v="CUST_15"/>
    <x v="0"/>
    <x v="115"/>
    <x v="14"/>
    <x v="6"/>
    <n v="80"/>
    <x v="1"/>
    <x v="1"/>
    <x v="808"/>
    <x v="1"/>
    <s v="DISCOUNT ALLOWED"/>
    <s v="discount allowed"/>
    <s v="DISCOUNT ALLOWED"/>
    <s v="Discount Allowed"/>
    <s v="07/03/23"/>
  </r>
  <r>
    <s v="TXN_4751499"/>
    <s v="CUST_13"/>
    <x v="0"/>
    <x v="179"/>
    <x v="22"/>
    <x v="0"/>
    <n v="80"/>
    <x v="1"/>
    <x v="1"/>
    <x v="259"/>
    <x v="1"/>
    <s v="DISCOUNT ALLOWED"/>
    <s v="discount allowed"/>
    <s v="DISCOUNT ALLOWED"/>
    <s v="Discount Allowed"/>
    <s v="11/07/24"/>
  </r>
  <r>
    <s v="TXN_4792614"/>
    <s v="CUST_19"/>
    <x v="1"/>
    <x v="180"/>
    <x v="22"/>
    <x v="0"/>
    <n v="80"/>
    <x v="0"/>
    <x v="0"/>
    <x v="932"/>
    <x v="0"/>
    <s v="DISCOUNT NOT ALLOWED"/>
    <s v="discount not allowed"/>
    <s v="DISCOUNT NOT ALLOWED"/>
    <s v="Discount Not Allowed"/>
    <s v="22/04/22"/>
  </r>
  <r>
    <s v="TXN_4863238"/>
    <s v="CUST_13"/>
    <x v="4"/>
    <x v="109"/>
    <x v="14"/>
    <x v="6"/>
    <n v="80"/>
    <x v="2"/>
    <x v="1"/>
    <x v="511"/>
    <x v="1"/>
    <s v="DISCOUNT ALLOWED"/>
    <s v="discount allowed"/>
    <s v="DISCOUNT ALLOWED"/>
    <s v="Discount Allowed"/>
    <s v="16/11/22"/>
  </r>
  <r>
    <s v="TXN_5115935"/>
    <s v="CUST_05"/>
    <x v="2"/>
    <x v="113"/>
    <x v="14"/>
    <x v="6"/>
    <n v="80"/>
    <x v="2"/>
    <x v="0"/>
    <x v="997"/>
    <x v="1"/>
    <s v="DISCOUNT ALLOWED"/>
    <s v="discount allowed"/>
    <s v="DISCOUNT ALLOWED"/>
    <s v="Discount Allowed"/>
    <s v="31/07/22"/>
  </r>
  <r>
    <s v="TXN_5404376"/>
    <s v="CUST_02"/>
    <x v="2"/>
    <x v="113"/>
    <x v="14"/>
    <x v="6"/>
    <n v="80"/>
    <x v="2"/>
    <x v="0"/>
    <x v="602"/>
    <x v="0"/>
    <s v="DISCOUNT NOT ALLOWED"/>
    <s v="discount not allowed"/>
    <s v="DISCOUNT NOT ALLOWED"/>
    <s v="Discount Not Allowed"/>
    <s v="22/01/24"/>
  </r>
  <r>
    <s v="TXN_5537108"/>
    <s v="CUST_09"/>
    <x v="2"/>
    <x v="113"/>
    <x v="14"/>
    <x v="6"/>
    <n v="80"/>
    <x v="2"/>
    <x v="0"/>
    <x v="234"/>
    <x v="0"/>
    <s v="DISCOUNT NOT ALLOWED"/>
    <s v="discount not allowed"/>
    <s v="DISCOUNT NOT ALLOWED"/>
    <s v="Discount Not Allowed"/>
    <s v="16/01/22"/>
  </r>
  <r>
    <s v="TXN_5594869"/>
    <s v="CUST_17"/>
    <x v="2"/>
    <x v="113"/>
    <x v="14"/>
    <x v="6"/>
    <n v="80"/>
    <x v="1"/>
    <x v="0"/>
    <x v="79"/>
    <x v="1"/>
    <s v="DISCOUNT ALLOWED"/>
    <s v="discount allowed"/>
    <s v="DISCOUNT ALLOWED"/>
    <s v="Discount Allowed"/>
    <s v="07/04/23"/>
  </r>
  <r>
    <s v="TXN_5684003"/>
    <s v="CUST_14"/>
    <x v="0"/>
    <x v="115"/>
    <x v="14"/>
    <x v="6"/>
    <n v="80"/>
    <x v="0"/>
    <x v="0"/>
    <x v="491"/>
    <x v="0"/>
    <s v="DISCOUNT NOT ALLOWED"/>
    <s v="discount not allowed"/>
    <s v="DISCOUNT NOT ALLOWED"/>
    <s v="Discount Not Allowed"/>
    <s v="01/01/23"/>
  </r>
  <r>
    <s v="TXN_5695976"/>
    <s v="CUST_09"/>
    <x v="3"/>
    <x v="177"/>
    <x v="22"/>
    <x v="0"/>
    <n v="80"/>
    <x v="1"/>
    <x v="1"/>
    <x v="230"/>
    <x v="0"/>
    <s v="DISCOUNT NOT ALLOWED"/>
    <s v="discount not allowed"/>
    <s v="DISCOUNT NOT ALLOWED"/>
    <s v="Discount Not Allowed"/>
    <s v="19/09/22"/>
  </r>
  <r>
    <s v="TXN_5936964"/>
    <s v="CUST_04"/>
    <x v="0"/>
    <x v="179"/>
    <x v="22"/>
    <x v="0"/>
    <n v="80"/>
    <x v="2"/>
    <x v="0"/>
    <x v="384"/>
    <x v="0"/>
    <s v="DISCOUNT NOT ALLOWED"/>
    <s v="discount not allowed"/>
    <s v="DISCOUNT NOT ALLOWED"/>
    <s v="Discount Not Allowed"/>
    <s v="12/11/24"/>
  </r>
  <r>
    <s v="TXN_5978239"/>
    <s v="CUST_07"/>
    <x v="3"/>
    <x v="177"/>
    <x v="22"/>
    <x v="0"/>
    <n v="80"/>
    <x v="1"/>
    <x v="0"/>
    <x v="212"/>
    <x v="1"/>
    <s v="DISCOUNT ALLOWED"/>
    <s v="discount allowed"/>
    <s v="DISCOUNT ALLOWED"/>
    <s v="Discount Allowed"/>
    <s v="10/12/22"/>
  </r>
  <r>
    <s v="TXN_6125814"/>
    <s v="CUST_14"/>
    <x v="0"/>
    <x v="115"/>
    <x v="14"/>
    <x v="6"/>
    <n v="80"/>
    <x v="1"/>
    <x v="1"/>
    <x v="153"/>
    <x v="1"/>
    <s v="DISCOUNT ALLOWED"/>
    <s v="discount allowed"/>
    <s v="DISCOUNT ALLOWED"/>
    <s v="Discount Allowed"/>
    <s v="28/05/23"/>
  </r>
  <r>
    <s v="TXN_6161257"/>
    <s v="CUST_02"/>
    <x v="0"/>
    <x v="115"/>
    <x v="14"/>
    <x v="6"/>
    <n v="80"/>
    <x v="0"/>
    <x v="0"/>
    <x v="229"/>
    <x v="0"/>
    <s v="DISCOUNT NOT ALLOWED"/>
    <s v="discount not allowed"/>
    <s v="DISCOUNT NOT ALLOWED"/>
    <s v="Discount Not Allowed"/>
    <s v="16/03/24"/>
  </r>
  <r>
    <s v="TXN_6183279"/>
    <s v="CUST_06"/>
    <x v="4"/>
    <x v="109"/>
    <x v="14"/>
    <x v="6"/>
    <n v="80"/>
    <x v="2"/>
    <x v="0"/>
    <x v="955"/>
    <x v="1"/>
    <s v="DISCOUNT ALLOWED"/>
    <s v="discount allowed"/>
    <s v="DISCOUNT ALLOWED"/>
    <s v="Discount Allowed"/>
    <s v="21/12/24"/>
  </r>
  <r>
    <s v="TXN_6457805"/>
    <s v="CUST_12"/>
    <x v="5"/>
    <x v="111"/>
    <x v="14"/>
    <x v="6"/>
    <n v="80"/>
    <x v="1"/>
    <x v="0"/>
    <x v="398"/>
    <x v="0"/>
    <s v="DISCOUNT NOT ALLOWED"/>
    <s v="discount not allowed"/>
    <s v="DISCOUNT NOT ALLOWED"/>
    <s v="Discount Not Allowed"/>
    <s v="27/02/24"/>
  </r>
  <r>
    <s v="TXN_6492555"/>
    <s v="CUST_13"/>
    <x v="0"/>
    <x v="115"/>
    <x v="14"/>
    <x v="6"/>
    <n v="80"/>
    <x v="2"/>
    <x v="1"/>
    <x v="631"/>
    <x v="0"/>
    <s v="DISCOUNT NOT ALLOWED"/>
    <s v="discount not allowed"/>
    <s v="DISCOUNT NOT ALLOWED"/>
    <s v="Discount Not Allowed"/>
    <s v="05/09/24"/>
  </r>
  <r>
    <s v="TXN_6616600"/>
    <s v="CUST_17"/>
    <x v="4"/>
    <x v="109"/>
    <x v="14"/>
    <x v="6"/>
    <n v="80"/>
    <x v="0"/>
    <x v="1"/>
    <x v="481"/>
    <x v="1"/>
    <s v="DISCOUNT ALLOWED"/>
    <s v="discount allowed"/>
    <s v="DISCOUNT ALLOWED"/>
    <s v="Discount Allowed"/>
    <s v="20/11/22"/>
  </r>
  <r>
    <s v="TXN_6999998"/>
    <s v="CUST_11"/>
    <x v="0"/>
    <x v="115"/>
    <x v="14"/>
    <x v="6"/>
    <n v="80"/>
    <x v="2"/>
    <x v="0"/>
    <x v="833"/>
    <x v="1"/>
    <s v="DISCOUNT ALLOWED"/>
    <s v="discount allowed"/>
    <s v="DISCOUNT ALLOWED"/>
    <s v="Discount Allowed"/>
    <s v="22/05/24"/>
  </r>
  <r>
    <s v="TXN_7014731"/>
    <s v="CUST_11"/>
    <x v="6"/>
    <x v="112"/>
    <x v="14"/>
    <x v="6"/>
    <n v="80"/>
    <x v="2"/>
    <x v="1"/>
    <x v="877"/>
    <x v="0"/>
    <s v="DISCOUNT NOT ALLOWED"/>
    <s v="discount not allowed"/>
    <s v="DISCOUNT NOT ALLOWED"/>
    <s v="Discount Not Allowed"/>
    <s v="15/02/22"/>
  </r>
  <r>
    <s v="TXN_7021336"/>
    <s v="CUST_25"/>
    <x v="1"/>
    <x v="180"/>
    <x v="22"/>
    <x v="0"/>
    <n v="80"/>
    <x v="0"/>
    <x v="0"/>
    <x v="743"/>
    <x v="1"/>
    <s v="DISCOUNT ALLOWED"/>
    <s v="discount allowed"/>
    <s v="DISCOUNT ALLOWED"/>
    <s v="Discount Allowed"/>
    <s v="03/07/22"/>
  </r>
  <r>
    <s v="TXN_7315605"/>
    <s v="CUST_13"/>
    <x v="4"/>
    <x v="176"/>
    <x v="22"/>
    <x v="0"/>
    <n v="80"/>
    <x v="1"/>
    <x v="1"/>
    <x v="968"/>
    <x v="0"/>
    <s v="DISCOUNT NOT ALLOWED"/>
    <s v="discount not allowed"/>
    <s v="DISCOUNT NOT ALLOWED"/>
    <s v="Discount Not Allowed"/>
    <s v="17/08/22"/>
  </r>
  <r>
    <s v="TXN_7385950"/>
    <s v="CUST_07"/>
    <x v="7"/>
    <x v="181"/>
    <x v="22"/>
    <x v="0"/>
    <n v="80"/>
    <x v="0"/>
    <x v="1"/>
    <x v="767"/>
    <x v="1"/>
    <s v="DISCOUNT ALLOWED"/>
    <s v="discount allowed"/>
    <s v="DISCOUNT ALLOWED"/>
    <s v="Discount Allowed"/>
    <s v="24/07/22"/>
  </r>
  <r>
    <s v="TXN_7432361"/>
    <s v="CUST_24"/>
    <x v="6"/>
    <x v="182"/>
    <x v="22"/>
    <x v="0"/>
    <n v="80"/>
    <x v="2"/>
    <x v="0"/>
    <x v="376"/>
    <x v="0"/>
    <s v="DISCOUNT NOT ALLOWED"/>
    <s v="discount not allowed"/>
    <s v="DISCOUNT NOT ALLOWED"/>
    <s v="Discount Not Allowed"/>
    <s v="28/10/23"/>
  </r>
  <r>
    <s v="TXN_7493896"/>
    <s v="CUST_11"/>
    <x v="5"/>
    <x v="111"/>
    <x v="14"/>
    <x v="6"/>
    <n v="80"/>
    <x v="1"/>
    <x v="1"/>
    <x v="729"/>
    <x v="1"/>
    <s v="DISCOUNT ALLOWED"/>
    <s v="discount allowed"/>
    <s v="DISCOUNT ALLOWED"/>
    <s v="Discount Allowed"/>
    <s v="07/12/24"/>
  </r>
  <r>
    <s v="TXN_7691237"/>
    <s v="CUST_01"/>
    <x v="5"/>
    <x v="111"/>
    <x v="14"/>
    <x v="6"/>
    <n v="80"/>
    <x v="1"/>
    <x v="1"/>
    <x v="753"/>
    <x v="0"/>
    <s v="DISCOUNT NOT ALLOWED"/>
    <s v="discount not allowed"/>
    <s v="DISCOUNT NOT ALLOWED"/>
    <s v="Discount Not Allowed"/>
    <s v="12/01/25"/>
  </r>
  <r>
    <s v="TXN_7695762"/>
    <s v="CUST_22"/>
    <x v="1"/>
    <x v="180"/>
    <x v="22"/>
    <x v="0"/>
    <n v="80"/>
    <x v="1"/>
    <x v="0"/>
    <x v="941"/>
    <x v="0"/>
    <s v="DISCOUNT NOT ALLOWED"/>
    <s v="discount not allowed"/>
    <s v="DISCOUNT NOT ALLOWED"/>
    <s v="Discount Not Allowed"/>
    <s v="15/06/22"/>
  </r>
  <r>
    <s v="TXN_7760130"/>
    <s v="CUST_12"/>
    <x v="7"/>
    <x v="110"/>
    <x v="14"/>
    <x v="6"/>
    <n v="80"/>
    <x v="2"/>
    <x v="0"/>
    <x v="628"/>
    <x v="1"/>
    <s v="DISCOUNT ALLOWED"/>
    <s v="discount allowed"/>
    <s v="DISCOUNT ALLOWED"/>
    <s v="Discount Allowed"/>
    <s v="25/01/24"/>
  </r>
  <r>
    <s v="TXN_7818602"/>
    <s v="CUST_19"/>
    <x v="1"/>
    <x v="114"/>
    <x v="14"/>
    <x v="6"/>
    <n v="80"/>
    <x v="2"/>
    <x v="0"/>
    <x v="435"/>
    <x v="1"/>
    <s v="DISCOUNT ALLOWED"/>
    <s v="discount allowed"/>
    <s v="DISCOUNT ALLOWED"/>
    <s v="Discount Allowed"/>
    <s v="26/10/23"/>
  </r>
  <r>
    <s v="TXN_7925229"/>
    <s v="CUST_10"/>
    <x v="0"/>
    <x v="179"/>
    <x v="22"/>
    <x v="0"/>
    <n v="80"/>
    <x v="0"/>
    <x v="0"/>
    <x v="542"/>
    <x v="1"/>
    <s v="DISCOUNT ALLOWED"/>
    <s v="discount allowed"/>
    <s v="DISCOUNT ALLOWED"/>
    <s v="Discount Allowed"/>
    <s v="28/08/23"/>
  </r>
  <r>
    <s v="TXN_7940060"/>
    <s v="CUST_16"/>
    <x v="4"/>
    <x v="176"/>
    <x v="22"/>
    <x v="0"/>
    <n v="80"/>
    <x v="0"/>
    <x v="0"/>
    <x v="115"/>
    <x v="0"/>
    <s v="DISCOUNT NOT ALLOWED"/>
    <s v="discount not allowed"/>
    <s v="DISCOUNT NOT ALLOWED"/>
    <s v="Discount Not Allowed"/>
    <s v="21/08/22"/>
  </r>
  <r>
    <s v="TXN_7978734"/>
    <s v="CUST_23"/>
    <x v="1"/>
    <x v="180"/>
    <x v="22"/>
    <x v="0"/>
    <n v="80"/>
    <x v="0"/>
    <x v="0"/>
    <x v="148"/>
    <x v="0"/>
    <s v="DISCOUNT NOT ALLOWED"/>
    <s v="discount not allowed"/>
    <s v="DISCOUNT NOT ALLOWED"/>
    <s v="Discount Not Allowed"/>
    <s v="10/01/24"/>
  </r>
  <r>
    <s v="TXN_8044037"/>
    <s v="CUST_12"/>
    <x v="0"/>
    <x v="179"/>
    <x v="22"/>
    <x v="0"/>
    <n v="80"/>
    <x v="0"/>
    <x v="1"/>
    <x v="910"/>
    <x v="0"/>
    <s v="DISCOUNT NOT ALLOWED"/>
    <s v="discount not allowed"/>
    <s v="DISCOUNT NOT ALLOWED"/>
    <s v="Discount Not Allowed"/>
    <s v="20/01/22"/>
  </r>
  <r>
    <s v="TXN_8095536"/>
    <s v="CUST_20"/>
    <x v="6"/>
    <x v="112"/>
    <x v="14"/>
    <x v="6"/>
    <n v="80"/>
    <x v="2"/>
    <x v="0"/>
    <x v="555"/>
    <x v="0"/>
    <s v="DISCOUNT NOT ALLOWED"/>
    <s v="discount not allowed"/>
    <s v="DISCOUNT NOT ALLOWED"/>
    <s v="Discount Not Allowed"/>
    <s v="28/08/24"/>
  </r>
  <r>
    <s v="TXN_8103030"/>
    <s v="CUST_01"/>
    <x v="2"/>
    <x v="113"/>
    <x v="14"/>
    <x v="6"/>
    <n v="80"/>
    <x v="1"/>
    <x v="0"/>
    <x v="522"/>
    <x v="0"/>
    <s v="DISCOUNT NOT ALLOWED"/>
    <s v="discount not allowed"/>
    <s v="DISCOUNT NOT ALLOWED"/>
    <s v="Discount Not Allowed"/>
    <s v="27/08/24"/>
  </r>
  <r>
    <s v="TXN_8131304"/>
    <s v="CUST_24"/>
    <x v="2"/>
    <x v="113"/>
    <x v="14"/>
    <x v="6"/>
    <n v="80"/>
    <x v="2"/>
    <x v="1"/>
    <x v="853"/>
    <x v="0"/>
    <s v="DISCOUNT NOT ALLOWED"/>
    <s v="discount not allowed"/>
    <s v="DISCOUNT NOT ALLOWED"/>
    <s v="Discount Not Allowed"/>
    <s v="12/08/24"/>
  </r>
  <r>
    <s v="TXN_8255668"/>
    <s v="CUST_22"/>
    <x v="0"/>
    <x v="115"/>
    <x v="14"/>
    <x v="6"/>
    <n v="80"/>
    <x v="0"/>
    <x v="1"/>
    <x v="568"/>
    <x v="1"/>
    <s v="DISCOUNT ALLOWED"/>
    <s v="discount allowed"/>
    <s v="DISCOUNT ALLOWED"/>
    <s v="Discount Allowed"/>
    <s v="07/09/24"/>
  </r>
  <r>
    <s v="TXN_8852595"/>
    <s v="CUST_20"/>
    <x v="3"/>
    <x v="126"/>
    <x v="14"/>
    <x v="6"/>
    <n v="80"/>
    <x v="0"/>
    <x v="1"/>
    <x v="124"/>
    <x v="0"/>
    <s v="DISCOUNT NOT ALLOWED"/>
    <s v="discount not allowed"/>
    <s v="DISCOUNT NOT ALLOWED"/>
    <s v="Discount Not Allowed"/>
    <s v="19/04/22"/>
  </r>
  <r>
    <s v="TXN_8910219"/>
    <s v="CUST_19"/>
    <x v="2"/>
    <x v="178"/>
    <x v="22"/>
    <x v="0"/>
    <n v="80"/>
    <x v="0"/>
    <x v="0"/>
    <x v="497"/>
    <x v="1"/>
    <s v="DISCOUNT ALLOWED"/>
    <s v="discount allowed"/>
    <s v="DISCOUNT ALLOWED"/>
    <s v="Discount Allowed"/>
    <s v="18/08/23"/>
  </r>
  <r>
    <s v="TXN_9013444"/>
    <s v="CUST_12"/>
    <x v="4"/>
    <x v="176"/>
    <x v="22"/>
    <x v="0"/>
    <n v="80"/>
    <x v="2"/>
    <x v="0"/>
    <x v="87"/>
    <x v="0"/>
    <s v="DISCOUNT NOT ALLOWED"/>
    <s v="discount not allowed"/>
    <s v="DISCOUNT NOT ALLOWED"/>
    <s v="Discount Not Allowed"/>
    <s v="23/07/23"/>
  </r>
  <r>
    <s v="TXN_9013787"/>
    <s v="CUST_19"/>
    <x v="7"/>
    <x v="110"/>
    <x v="14"/>
    <x v="6"/>
    <n v="80"/>
    <x v="1"/>
    <x v="1"/>
    <x v="705"/>
    <x v="0"/>
    <s v="DISCOUNT NOT ALLOWED"/>
    <s v="discount not allowed"/>
    <s v="DISCOUNT NOT ALLOWED"/>
    <s v="Discount Not Allowed"/>
    <s v="27/10/24"/>
  </r>
  <r>
    <s v="TXN_9229474"/>
    <s v="CUST_22"/>
    <x v="1"/>
    <x v="114"/>
    <x v="14"/>
    <x v="6"/>
    <n v="80"/>
    <x v="0"/>
    <x v="1"/>
    <x v="219"/>
    <x v="0"/>
    <s v="DISCOUNT NOT ALLOWED"/>
    <s v="discount not allowed"/>
    <s v="DISCOUNT NOT ALLOWED"/>
    <s v="Discount Not Allowed"/>
    <s v="23/05/23"/>
  </r>
  <r>
    <s v="TXN_9331642"/>
    <s v="CUST_12"/>
    <x v="7"/>
    <x v="110"/>
    <x v="14"/>
    <x v="6"/>
    <n v="80"/>
    <x v="2"/>
    <x v="0"/>
    <x v="987"/>
    <x v="1"/>
    <s v="DISCOUNT ALLOWED"/>
    <s v="discount allowed"/>
    <s v="DISCOUNT ALLOWED"/>
    <s v="Discount Allowed"/>
    <s v="06/07/22"/>
  </r>
  <r>
    <s v="TXN_9556376"/>
    <s v="CUST_04"/>
    <x v="6"/>
    <x v="112"/>
    <x v="14"/>
    <x v="6"/>
    <n v="80"/>
    <x v="2"/>
    <x v="0"/>
    <x v="819"/>
    <x v="0"/>
    <s v="DISCOUNT NOT ALLOWED"/>
    <s v="discount not allowed"/>
    <s v="DISCOUNT NOT ALLOWED"/>
    <s v="Discount Not Allowed"/>
    <s v="11/07/23"/>
  </r>
  <r>
    <s v="TXN_9560804"/>
    <s v="CUST_23"/>
    <x v="3"/>
    <x v="126"/>
    <x v="14"/>
    <x v="6"/>
    <n v="80"/>
    <x v="0"/>
    <x v="0"/>
    <x v="967"/>
    <x v="0"/>
    <s v="DISCOUNT NOT ALLOWED"/>
    <s v="discount not allowed"/>
    <s v="DISCOUNT NOT ALLOWED"/>
    <s v="Discount Not Allowed"/>
    <s v="15/04/24"/>
  </r>
  <r>
    <s v="TXN_9622632"/>
    <s v="CUST_02"/>
    <x v="2"/>
    <x v="113"/>
    <x v="14"/>
    <x v="6"/>
    <n v="80"/>
    <x v="2"/>
    <x v="1"/>
    <x v="278"/>
    <x v="1"/>
    <s v="DISCOUNT ALLOWED"/>
    <s v="discount allowed"/>
    <s v="DISCOUNT ALLOWED"/>
    <s v="Discount Allowed"/>
    <s v="26/12/24"/>
  </r>
  <r>
    <s v="TXN_9627402"/>
    <s v="CUST_04"/>
    <x v="3"/>
    <x v="177"/>
    <x v="22"/>
    <x v="0"/>
    <n v="80"/>
    <x v="1"/>
    <x v="0"/>
    <x v="7"/>
    <x v="0"/>
    <s v="DISCOUNT NOT ALLOWED"/>
    <s v="discount not allowed"/>
    <s v="DISCOUNT NOT ALLOWED"/>
    <s v="Discount Not Allowed"/>
    <s v="23/02/22"/>
  </r>
  <r>
    <s v="TXN_9665364"/>
    <s v="CUST_13"/>
    <x v="3"/>
    <x v="126"/>
    <x v="14"/>
    <x v="6"/>
    <n v="80"/>
    <x v="0"/>
    <x v="0"/>
    <x v="8"/>
    <x v="1"/>
    <s v="DISCOUNT ALLOWED"/>
    <s v="discount allowed"/>
    <s v="DISCOUNT ALLOWED"/>
    <s v="Discount Allowed"/>
    <s v="04/01/25"/>
  </r>
  <r>
    <s v="TXN_9697733"/>
    <s v="CUST_13"/>
    <x v="1"/>
    <x v="180"/>
    <x v="22"/>
    <x v="0"/>
    <n v="80"/>
    <x v="1"/>
    <x v="0"/>
    <x v="138"/>
    <x v="0"/>
    <s v="DISCOUNT NOT ALLOWED"/>
    <s v="discount not allowed"/>
    <s v="DISCOUNT NOT ALLOWED"/>
    <s v="Discount Not Allowed"/>
    <s v="10/02/24"/>
  </r>
  <r>
    <s v="TXN_9711658"/>
    <s v="CUST_09"/>
    <x v="5"/>
    <x v="111"/>
    <x v="14"/>
    <x v="6"/>
    <n v="80"/>
    <x v="2"/>
    <x v="0"/>
    <x v="381"/>
    <x v="1"/>
    <s v="DISCOUNT ALLOWED"/>
    <s v="discount allowed"/>
    <s v="DISCOUNT ALLOWED"/>
    <s v="Discount Allowed"/>
    <s v="06/03/22"/>
  </r>
  <r>
    <s v="TXN_9870030"/>
    <s v="CUST_23"/>
    <x v="0"/>
    <x v="115"/>
    <x v="14"/>
    <x v="6"/>
    <n v="80"/>
    <x v="0"/>
    <x v="0"/>
    <x v="1073"/>
    <x v="0"/>
    <s v="DISCOUNT NOT ALLOWED"/>
    <s v="discount not allowed"/>
    <s v="DISCOUNT NOT ALLOWED"/>
    <s v="Discount Not Allowed"/>
    <s v="02/08/22"/>
  </r>
  <r>
    <s v="TXN_9972948"/>
    <s v="CUST_02"/>
    <x v="0"/>
    <x v="115"/>
    <x v="14"/>
    <x v="6"/>
    <n v="80"/>
    <x v="2"/>
    <x v="0"/>
    <x v="65"/>
    <x v="0"/>
    <s v="DISCOUNT NOT ALLOWED"/>
    <s v="discount not allowed"/>
    <s v="DISCOUNT NOT ALLOWED"/>
    <s v="Discount Not Allowed"/>
    <s v="02/09/24"/>
  </r>
  <r>
    <s v="TXN_9980622"/>
    <s v="CUST_06"/>
    <x v="4"/>
    <x v="109"/>
    <x v="14"/>
    <x v="6"/>
    <n v="80"/>
    <x v="0"/>
    <x v="1"/>
    <x v="160"/>
    <x v="1"/>
    <s v="DISCOUNT ALLOWED"/>
    <s v="discount allowed"/>
    <s v="DISCOUNT ALLOWED"/>
    <s v="Discount Allowed"/>
    <s v="20/02/23"/>
  </r>
  <r>
    <s v="TXN_1011892"/>
    <s v="CUST_08"/>
    <x v="2"/>
    <x v="9"/>
    <x v="1"/>
    <x v="8"/>
    <n v="79"/>
    <x v="2"/>
    <x v="0"/>
    <x v="816"/>
    <x v="0"/>
    <s v="DISCOUNT NOT ALLOWED"/>
    <s v="discount not allowed"/>
    <s v="DISCOUNT NOT ALLOWED"/>
    <s v="Discount Not Allowed"/>
    <s v="27/08/23"/>
  </r>
  <r>
    <s v="TXN_1105856"/>
    <s v="CUST_08"/>
    <x v="2"/>
    <x v="9"/>
    <x v="1"/>
    <x v="8"/>
    <n v="79"/>
    <x v="1"/>
    <x v="1"/>
    <x v="774"/>
    <x v="0"/>
    <s v="DISCOUNT NOT ALLOWED"/>
    <s v="discount not allowed"/>
    <s v="DISCOUNT NOT ALLOWED"/>
    <s v="Discount Not Allowed"/>
    <s v="17/04/22"/>
  </r>
  <r>
    <s v="TXN_1248451"/>
    <s v="CUST_06"/>
    <x v="1"/>
    <x v="8"/>
    <x v="1"/>
    <x v="8"/>
    <n v="79"/>
    <x v="2"/>
    <x v="0"/>
    <x v="1076"/>
    <x v="1"/>
    <s v="DISCOUNT ALLOWED"/>
    <s v="discount allowed"/>
    <s v="DISCOUNT ALLOWED"/>
    <s v="Discount Allowed"/>
    <s v="26/11/24"/>
  </r>
  <r>
    <s v="TXN_1266241"/>
    <s v="CUST_25"/>
    <x v="2"/>
    <x v="9"/>
    <x v="1"/>
    <x v="8"/>
    <n v="79"/>
    <x v="0"/>
    <x v="1"/>
    <x v="1091"/>
    <x v="1"/>
    <s v="DISCOUNT ALLOWED"/>
    <s v="discount allowed"/>
    <s v="DISCOUNT ALLOWED"/>
    <s v="Discount Allowed"/>
    <s v="06/01/22"/>
  </r>
  <r>
    <s v="TXN_1490052"/>
    <s v="CUST_18"/>
    <x v="2"/>
    <x v="9"/>
    <x v="1"/>
    <x v="8"/>
    <n v="79"/>
    <x v="1"/>
    <x v="1"/>
    <x v="746"/>
    <x v="1"/>
    <s v="DISCOUNT ALLOWED"/>
    <s v="discount allowed"/>
    <s v="DISCOUNT ALLOWED"/>
    <s v="Discount Allowed"/>
    <s v="20/01/24"/>
  </r>
  <r>
    <s v="TXN_2069389"/>
    <s v="CUST_01"/>
    <x v="1"/>
    <x v="8"/>
    <x v="1"/>
    <x v="8"/>
    <n v="79"/>
    <x v="1"/>
    <x v="0"/>
    <x v="1070"/>
    <x v="0"/>
    <s v="DISCOUNT NOT ALLOWED"/>
    <s v="discount not allowed"/>
    <s v="DISCOUNT NOT ALLOWED"/>
    <s v="Discount Not Allowed"/>
    <s v="29/02/24"/>
  </r>
  <r>
    <s v="TXN_2208386"/>
    <s v="CUST_22"/>
    <x v="4"/>
    <x v="11"/>
    <x v="1"/>
    <x v="8"/>
    <n v="79"/>
    <x v="2"/>
    <x v="0"/>
    <x v="353"/>
    <x v="1"/>
    <s v="DISCOUNT ALLOWED"/>
    <s v="discount allowed"/>
    <s v="DISCOUNT ALLOWED"/>
    <s v="Discount Allowed"/>
    <s v="30/08/23"/>
  </r>
  <r>
    <s v="TXN_2315468"/>
    <s v="CUST_24"/>
    <x v="2"/>
    <x v="9"/>
    <x v="1"/>
    <x v="8"/>
    <n v="79"/>
    <x v="1"/>
    <x v="1"/>
    <x v="677"/>
    <x v="1"/>
    <s v="DISCOUNT ALLOWED"/>
    <s v="discount allowed"/>
    <s v="DISCOUNT ALLOWED"/>
    <s v="Discount Allowed"/>
    <s v="23/06/23"/>
  </r>
  <r>
    <s v="TXN_2387517"/>
    <s v="CUST_19"/>
    <x v="0"/>
    <x v="14"/>
    <x v="1"/>
    <x v="8"/>
    <n v="79"/>
    <x v="0"/>
    <x v="0"/>
    <x v="289"/>
    <x v="1"/>
    <s v="DISCOUNT ALLOWED"/>
    <s v="discount allowed"/>
    <s v="DISCOUNT ALLOWED"/>
    <s v="Discount Allowed"/>
    <s v="04/03/22"/>
  </r>
  <r>
    <s v="TXN_3030052"/>
    <s v="CUST_13"/>
    <x v="4"/>
    <x v="11"/>
    <x v="1"/>
    <x v="8"/>
    <n v="79"/>
    <x v="1"/>
    <x v="0"/>
    <x v="487"/>
    <x v="0"/>
    <s v="DISCOUNT NOT ALLOWED"/>
    <s v="discount not allowed"/>
    <s v="DISCOUNT NOT ALLOWED"/>
    <s v="Discount Not Allowed"/>
    <s v="06/02/22"/>
  </r>
  <r>
    <s v="TXN_3215453"/>
    <s v="CUST_06"/>
    <x v="7"/>
    <x v="10"/>
    <x v="1"/>
    <x v="8"/>
    <n v="79"/>
    <x v="2"/>
    <x v="1"/>
    <x v="488"/>
    <x v="0"/>
    <s v="DISCOUNT NOT ALLOWED"/>
    <s v="discount not allowed"/>
    <s v="DISCOUNT NOT ALLOWED"/>
    <s v="Discount Not Allowed"/>
    <s v="30/01/24"/>
  </r>
  <r>
    <s v="TXN_3624008"/>
    <s v="CUST_09"/>
    <x v="4"/>
    <x v="11"/>
    <x v="1"/>
    <x v="8"/>
    <n v="79"/>
    <x v="0"/>
    <x v="1"/>
    <x v="694"/>
    <x v="1"/>
    <s v="DISCOUNT ALLOWED"/>
    <s v="discount allowed"/>
    <s v="DISCOUNT ALLOWED"/>
    <s v="Discount Allowed"/>
    <s v="28/01/23"/>
  </r>
  <r>
    <s v="TXN_3965941"/>
    <s v="CUST_06"/>
    <x v="5"/>
    <x v="13"/>
    <x v="1"/>
    <x v="8"/>
    <n v="79"/>
    <x v="2"/>
    <x v="0"/>
    <x v="498"/>
    <x v="0"/>
    <s v="DISCOUNT NOT ALLOWED"/>
    <s v="discount not allowed"/>
    <s v="DISCOUNT NOT ALLOWED"/>
    <s v="Discount Not Allowed"/>
    <s v="19/08/22"/>
  </r>
  <r>
    <s v="TXN_4164947"/>
    <s v="CUST_09"/>
    <x v="2"/>
    <x v="9"/>
    <x v="1"/>
    <x v="8"/>
    <n v="79"/>
    <x v="0"/>
    <x v="0"/>
    <x v="962"/>
    <x v="1"/>
    <s v="DISCOUNT ALLOWED"/>
    <s v="discount allowed"/>
    <s v="DISCOUNT ALLOWED"/>
    <s v="Discount Allowed"/>
    <s v="04/01/24"/>
  </r>
  <r>
    <s v="TXN_4192202"/>
    <s v="CUST_07"/>
    <x v="0"/>
    <x v="14"/>
    <x v="1"/>
    <x v="8"/>
    <n v="79"/>
    <x v="2"/>
    <x v="1"/>
    <x v="157"/>
    <x v="1"/>
    <s v="DISCOUNT ALLOWED"/>
    <s v="discount allowed"/>
    <s v="DISCOUNT ALLOWED"/>
    <s v="Discount Allowed"/>
    <s v="08/06/22"/>
  </r>
  <r>
    <s v="TXN_4400958"/>
    <s v="CUST_23"/>
    <x v="0"/>
    <x v="14"/>
    <x v="1"/>
    <x v="8"/>
    <n v="79"/>
    <x v="0"/>
    <x v="0"/>
    <x v="391"/>
    <x v="1"/>
    <s v="DISCOUNT ALLOWED"/>
    <s v="discount allowed"/>
    <s v="DISCOUNT ALLOWED"/>
    <s v="Discount Allowed"/>
    <s v="08/07/22"/>
  </r>
  <r>
    <s v="TXN_4533445"/>
    <s v="CUST_07"/>
    <x v="1"/>
    <x v="8"/>
    <x v="1"/>
    <x v="8"/>
    <n v="79"/>
    <x v="1"/>
    <x v="0"/>
    <x v="523"/>
    <x v="1"/>
    <s v="DISCOUNT ALLOWED"/>
    <s v="discount allowed"/>
    <s v="DISCOUNT ALLOWED"/>
    <s v="Discount Allowed"/>
    <s v="02/02/24"/>
  </r>
  <r>
    <s v="TXN_4555264"/>
    <s v="CUST_18"/>
    <x v="3"/>
    <x v="12"/>
    <x v="1"/>
    <x v="8"/>
    <n v="79"/>
    <x v="0"/>
    <x v="0"/>
    <x v="67"/>
    <x v="1"/>
    <s v="DISCOUNT ALLOWED"/>
    <s v="discount allowed"/>
    <s v="DISCOUNT ALLOWED"/>
    <s v="Discount Allowed"/>
    <s v="18/08/22"/>
  </r>
  <r>
    <s v="TXN_4703862"/>
    <s v="CUST_11"/>
    <x v="1"/>
    <x v="8"/>
    <x v="1"/>
    <x v="8"/>
    <n v="79"/>
    <x v="0"/>
    <x v="1"/>
    <x v="591"/>
    <x v="1"/>
    <s v="DISCOUNT ALLOWED"/>
    <s v="discount allowed"/>
    <s v="DISCOUNT ALLOWED"/>
    <s v="Discount Allowed"/>
    <s v="11/11/22"/>
  </r>
  <r>
    <s v="TXN_6257706"/>
    <s v="CUST_19"/>
    <x v="1"/>
    <x v="8"/>
    <x v="1"/>
    <x v="8"/>
    <n v="79"/>
    <x v="1"/>
    <x v="0"/>
    <x v="50"/>
    <x v="1"/>
    <s v="DISCOUNT ALLOWED"/>
    <s v="discount allowed"/>
    <s v="DISCOUNT ALLOWED"/>
    <s v="Discount Allowed"/>
    <s v="17/01/22"/>
  </r>
  <r>
    <s v="TXN_6275399"/>
    <s v="CUST_03"/>
    <x v="2"/>
    <x v="9"/>
    <x v="1"/>
    <x v="8"/>
    <n v="79"/>
    <x v="1"/>
    <x v="0"/>
    <x v="1074"/>
    <x v="1"/>
    <s v="DISCOUNT ALLOWED"/>
    <s v="discount allowed"/>
    <s v="DISCOUNT ALLOWED"/>
    <s v="Discount Allowed"/>
    <s v="31/05/24"/>
  </r>
  <r>
    <s v="TXN_6666458"/>
    <s v="CUST_21"/>
    <x v="2"/>
    <x v="9"/>
    <x v="1"/>
    <x v="8"/>
    <n v="79"/>
    <x v="0"/>
    <x v="1"/>
    <x v="846"/>
    <x v="0"/>
    <s v="DISCOUNT NOT ALLOWED"/>
    <s v="discount not allowed"/>
    <s v="DISCOUNT NOT ALLOWED"/>
    <s v="Discount Not Allowed"/>
    <s v="29/03/23"/>
  </r>
  <r>
    <s v="TXN_7000051"/>
    <s v="CUST_10"/>
    <x v="2"/>
    <x v="9"/>
    <x v="1"/>
    <x v="8"/>
    <n v="79"/>
    <x v="1"/>
    <x v="1"/>
    <x v="519"/>
    <x v="1"/>
    <s v="DISCOUNT ALLOWED"/>
    <s v="discount allowed"/>
    <s v="DISCOUNT ALLOWED"/>
    <s v="Discount Allowed"/>
    <s v="08/03/23"/>
  </r>
  <r>
    <s v="TXN_7439015"/>
    <s v="CUST_17"/>
    <x v="1"/>
    <x v="8"/>
    <x v="1"/>
    <x v="8"/>
    <n v="79"/>
    <x v="1"/>
    <x v="1"/>
    <x v="267"/>
    <x v="1"/>
    <s v="DISCOUNT ALLOWED"/>
    <s v="discount allowed"/>
    <s v="DISCOUNT ALLOWED"/>
    <s v="Discount Allowed"/>
    <s v="18/09/24"/>
  </r>
  <r>
    <s v="TXN_7560356"/>
    <s v="CUST_14"/>
    <x v="7"/>
    <x v="10"/>
    <x v="1"/>
    <x v="8"/>
    <n v="79"/>
    <x v="2"/>
    <x v="0"/>
    <x v="247"/>
    <x v="0"/>
    <s v="DISCOUNT NOT ALLOWED"/>
    <s v="discount not allowed"/>
    <s v="DISCOUNT NOT ALLOWED"/>
    <s v="Discount Not Allowed"/>
    <s v="24/05/24"/>
  </r>
  <r>
    <s v="TXN_7582930"/>
    <s v="CUST_01"/>
    <x v="7"/>
    <x v="10"/>
    <x v="1"/>
    <x v="8"/>
    <n v="79"/>
    <x v="2"/>
    <x v="0"/>
    <x v="1021"/>
    <x v="0"/>
    <s v="DISCOUNT NOT ALLOWED"/>
    <s v="discount not allowed"/>
    <s v="DISCOUNT NOT ALLOWED"/>
    <s v="Discount Not Allowed"/>
    <s v="27/09/23"/>
  </r>
  <r>
    <s v="TXN_8074184"/>
    <s v="CUST_04"/>
    <x v="0"/>
    <x v="14"/>
    <x v="1"/>
    <x v="8"/>
    <n v="79"/>
    <x v="1"/>
    <x v="0"/>
    <x v="261"/>
    <x v="0"/>
    <s v="DISCOUNT NOT ALLOWED"/>
    <s v="discount not allowed"/>
    <s v="DISCOUNT NOT ALLOWED"/>
    <s v="Discount Not Allowed"/>
    <s v="14/05/24"/>
  </r>
  <r>
    <s v="TXN_9145017"/>
    <s v="CUST_15"/>
    <x v="2"/>
    <x v="9"/>
    <x v="1"/>
    <x v="8"/>
    <n v="79"/>
    <x v="2"/>
    <x v="1"/>
    <x v="992"/>
    <x v="1"/>
    <s v="DISCOUNT ALLOWED"/>
    <s v="discount allowed"/>
    <s v="DISCOUNT ALLOWED"/>
    <s v="Discount Allowed"/>
    <s v="30/09/22"/>
  </r>
  <r>
    <s v="TXN_1237218"/>
    <s v="CUST_10"/>
    <x v="5"/>
    <x v="81"/>
    <x v="10"/>
    <x v="7"/>
    <n v="78"/>
    <x v="1"/>
    <x v="1"/>
    <x v="541"/>
    <x v="1"/>
    <s v="DISCOUNT ALLOWED"/>
    <s v="discount allowed"/>
    <s v="DISCOUNT ALLOWED"/>
    <s v="Discount Allowed"/>
    <s v="21/11/22"/>
  </r>
  <r>
    <s v="TXN_1321886"/>
    <s v="CUST_21"/>
    <x v="5"/>
    <x v="81"/>
    <x v="10"/>
    <x v="7"/>
    <n v="78"/>
    <x v="2"/>
    <x v="0"/>
    <x v="568"/>
    <x v="0"/>
    <s v="DISCOUNT NOT ALLOWED"/>
    <s v="discount not allowed"/>
    <s v="DISCOUNT NOT ALLOWED"/>
    <s v="Discount Not Allowed"/>
    <s v="07/09/24"/>
  </r>
  <r>
    <s v="TXN_1877576"/>
    <s v="CUST_17"/>
    <x v="2"/>
    <x v="77"/>
    <x v="10"/>
    <x v="7"/>
    <n v="78"/>
    <x v="0"/>
    <x v="0"/>
    <x v="464"/>
    <x v="0"/>
    <s v="DISCOUNT NOT ALLOWED"/>
    <s v="discount not allowed"/>
    <s v="DISCOUNT NOT ALLOWED"/>
    <s v="Discount Not Allowed"/>
    <s v="13/01/22"/>
  </r>
  <r>
    <s v="TXN_2175264"/>
    <s v="CUST_19"/>
    <x v="3"/>
    <x v="80"/>
    <x v="10"/>
    <x v="7"/>
    <n v="78"/>
    <x v="0"/>
    <x v="1"/>
    <x v="772"/>
    <x v="0"/>
    <s v="DISCOUNT NOT ALLOWED"/>
    <s v="discount not allowed"/>
    <s v="DISCOUNT NOT ALLOWED"/>
    <s v="Discount Not Allowed"/>
    <s v="19/07/22"/>
  </r>
  <r>
    <s v="TXN_2294583"/>
    <s v="CUST_08"/>
    <x v="3"/>
    <x v="80"/>
    <x v="10"/>
    <x v="7"/>
    <n v="78"/>
    <x v="1"/>
    <x v="1"/>
    <x v="673"/>
    <x v="1"/>
    <s v="DISCOUNT ALLOWED"/>
    <s v="discount allowed"/>
    <s v="DISCOUNT ALLOWED"/>
    <s v="Discount Allowed"/>
    <s v="12/02/23"/>
  </r>
  <r>
    <s v="TXN_2387294"/>
    <s v="CUST_16"/>
    <x v="1"/>
    <x v="78"/>
    <x v="10"/>
    <x v="7"/>
    <n v="78"/>
    <x v="0"/>
    <x v="0"/>
    <x v="428"/>
    <x v="1"/>
    <s v="DISCOUNT ALLOWED"/>
    <s v="discount allowed"/>
    <s v="DISCOUNT ALLOWED"/>
    <s v="Discount Allowed"/>
    <s v="01/05/23"/>
  </r>
  <r>
    <s v="TXN_2447120"/>
    <s v="CUST_12"/>
    <x v="1"/>
    <x v="78"/>
    <x v="10"/>
    <x v="7"/>
    <n v="78"/>
    <x v="0"/>
    <x v="0"/>
    <x v="209"/>
    <x v="0"/>
    <s v="DISCOUNT NOT ALLOWED"/>
    <s v="discount not allowed"/>
    <s v="DISCOUNT NOT ALLOWED"/>
    <s v="Discount Not Allowed"/>
    <s v="01/07/23"/>
  </r>
  <r>
    <s v="TXN_2734987"/>
    <s v="CUST_21"/>
    <x v="5"/>
    <x v="81"/>
    <x v="10"/>
    <x v="7"/>
    <n v="78"/>
    <x v="2"/>
    <x v="1"/>
    <x v="1074"/>
    <x v="0"/>
    <s v="DISCOUNT NOT ALLOWED"/>
    <s v="discount not allowed"/>
    <s v="DISCOUNT NOT ALLOWED"/>
    <s v="Discount Not Allowed"/>
    <s v="31/05/24"/>
  </r>
  <r>
    <s v="TXN_2861834"/>
    <s v="CUST_25"/>
    <x v="7"/>
    <x v="83"/>
    <x v="10"/>
    <x v="7"/>
    <n v="78"/>
    <x v="1"/>
    <x v="0"/>
    <x v="1"/>
    <x v="1"/>
    <s v="DISCOUNT ALLOWED"/>
    <s v="discount allowed"/>
    <s v="DISCOUNT ALLOWED"/>
    <s v="Discount Allowed"/>
    <s v="01/04/23"/>
  </r>
  <r>
    <s v="TXN_3582606"/>
    <s v="CUST_08"/>
    <x v="2"/>
    <x v="77"/>
    <x v="10"/>
    <x v="7"/>
    <n v="78"/>
    <x v="1"/>
    <x v="0"/>
    <x v="373"/>
    <x v="1"/>
    <s v="DISCOUNT ALLOWED"/>
    <s v="discount allowed"/>
    <s v="DISCOUNT ALLOWED"/>
    <s v="Discount Allowed"/>
    <s v="23/09/24"/>
  </r>
  <r>
    <s v="TXN_3943280"/>
    <s v="CUST_12"/>
    <x v="5"/>
    <x v="81"/>
    <x v="10"/>
    <x v="7"/>
    <n v="78"/>
    <x v="1"/>
    <x v="1"/>
    <x v="635"/>
    <x v="1"/>
    <s v="DISCOUNT ALLOWED"/>
    <s v="discount allowed"/>
    <s v="DISCOUNT ALLOWED"/>
    <s v="Discount Allowed"/>
    <s v="26/11/23"/>
  </r>
  <r>
    <s v="TXN_4721128"/>
    <s v="CUST_22"/>
    <x v="5"/>
    <x v="81"/>
    <x v="10"/>
    <x v="7"/>
    <n v="78"/>
    <x v="1"/>
    <x v="1"/>
    <x v="761"/>
    <x v="0"/>
    <s v="DISCOUNT NOT ALLOWED"/>
    <s v="discount not allowed"/>
    <s v="DISCOUNT NOT ALLOWED"/>
    <s v="Discount Not Allowed"/>
    <s v="08/07/23"/>
  </r>
  <r>
    <s v="TXN_5246659"/>
    <s v="CUST_25"/>
    <x v="6"/>
    <x v="82"/>
    <x v="10"/>
    <x v="7"/>
    <n v="78"/>
    <x v="0"/>
    <x v="0"/>
    <x v="544"/>
    <x v="1"/>
    <s v="DISCOUNT ALLOWED"/>
    <s v="discount allowed"/>
    <s v="DISCOUNT ALLOWED"/>
    <s v="Discount Allowed"/>
    <s v="17/07/23"/>
  </r>
  <r>
    <s v="TXN_5476321"/>
    <s v="CUST_02"/>
    <x v="6"/>
    <x v="82"/>
    <x v="10"/>
    <x v="7"/>
    <n v="78"/>
    <x v="2"/>
    <x v="0"/>
    <x v="749"/>
    <x v="1"/>
    <s v="DISCOUNT ALLOWED"/>
    <s v="discount allowed"/>
    <s v="DISCOUNT ALLOWED"/>
    <s v="Discount Allowed"/>
    <s v="24/04/23"/>
  </r>
  <r>
    <s v="TXN_5798687"/>
    <s v="CUST_03"/>
    <x v="1"/>
    <x v="78"/>
    <x v="10"/>
    <x v="7"/>
    <n v="78"/>
    <x v="0"/>
    <x v="0"/>
    <x v="379"/>
    <x v="1"/>
    <s v="DISCOUNT ALLOWED"/>
    <s v="discount allowed"/>
    <s v="DISCOUNT ALLOWED"/>
    <s v="Discount Allowed"/>
    <s v="15/03/24"/>
  </r>
  <r>
    <s v="TXN_6576319"/>
    <s v="CUST_24"/>
    <x v="0"/>
    <x v="84"/>
    <x v="10"/>
    <x v="7"/>
    <n v="78"/>
    <x v="1"/>
    <x v="1"/>
    <x v="567"/>
    <x v="1"/>
    <s v="DISCOUNT ALLOWED"/>
    <s v="discount allowed"/>
    <s v="DISCOUNT ALLOWED"/>
    <s v="Discount Allowed"/>
    <s v="01/03/22"/>
  </r>
  <r>
    <s v="TXN_6770695"/>
    <s v="CUST_21"/>
    <x v="2"/>
    <x v="77"/>
    <x v="10"/>
    <x v="7"/>
    <n v="78"/>
    <x v="1"/>
    <x v="1"/>
    <x v="295"/>
    <x v="1"/>
    <s v="DISCOUNT ALLOWED"/>
    <s v="discount allowed"/>
    <s v="DISCOUNT ALLOWED"/>
    <s v="Discount Allowed"/>
    <s v="31/03/22"/>
  </r>
  <r>
    <s v="TXN_6852631"/>
    <s v="CUST_24"/>
    <x v="1"/>
    <x v="78"/>
    <x v="10"/>
    <x v="7"/>
    <n v="78"/>
    <x v="2"/>
    <x v="1"/>
    <x v="965"/>
    <x v="0"/>
    <s v="DISCOUNT NOT ALLOWED"/>
    <s v="discount not allowed"/>
    <s v="DISCOUNT NOT ALLOWED"/>
    <s v="Discount Not Allowed"/>
    <s v="02/06/24"/>
  </r>
  <r>
    <s v="TXN_7516721"/>
    <s v="CUST_12"/>
    <x v="7"/>
    <x v="83"/>
    <x v="10"/>
    <x v="7"/>
    <n v="78"/>
    <x v="0"/>
    <x v="0"/>
    <x v="233"/>
    <x v="0"/>
    <s v="DISCOUNT NOT ALLOWED"/>
    <s v="discount not allowed"/>
    <s v="DISCOUNT NOT ALLOWED"/>
    <s v="Discount Not Allowed"/>
    <s v="02/04/23"/>
  </r>
  <r>
    <s v="TXN_7682765"/>
    <s v="CUST_16"/>
    <x v="5"/>
    <x v="81"/>
    <x v="10"/>
    <x v="7"/>
    <n v="78"/>
    <x v="1"/>
    <x v="0"/>
    <x v="990"/>
    <x v="1"/>
    <s v="DISCOUNT ALLOWED"/>
    <s v="discount allowed"/>
    <s v="DISCOUNT ALLOWED"/>
    <s v="Discount Allowed"/>
    <s v="29/07/23"/>
  </r>
  <r>
    <s v="TXN_8169977"/>
    <s v="CUST_09"/>
    <x v="4"/>
    <x v="79"/>
    <x v="10"/>
    <x v="7"/>
    <n v="78"/>
    <x v="2"/>
    <x v="0"/>
    <x v="989"/>
    <x v="0"/>
    <s v="DISCOUNT NOT ALLOWED"/>
    <s v="discount not allowed"/>
    <s v="DISCOUNT NOT ALLOWED"/>
    <s v="Discount Not Allowed"/>
    <s v="09/10/24"/>
  </r>
  <r>
    <s v="TXN_8209222"/>
    <s v="CUST_01"/>
    <x v="3"/>
    <x v="80"/>
    <x v="10"/>
    <x v="7"/>
    <n v="78"/>
    <x v="2"/>
    <x v="0"/>
    <x v="865"/>
    <x v="0"/>
    <s v="DISCOUNT NOT ALLOWED"/>
    <s v="discount not allowed"/>
    <s v="DISCOUNT NOT ALLOWED"/>
    <s v="Discount Not Allowed"/>
    <s v="03/04/23"/>
  </r>
  <r>
    <s v="TXN_8269434"/>
    <s v="CUST_11"/>
    <x v="6"/>
    <x v="82"/>
    <x v="10"/>
    <x v="7"/>
    <n v="78"/>
    <x v="1"/>
    <x v="1"/>
    <x v="920"/>
    <x v="1"/>
    <s v="DISCOUNT ALLOWED"/>
    <s v="discount allowed"/>
    <s v="DISCOUNT ALLOWED"/>
    <s v="Discount Allowed"/>
    <s v="03/07/23"/>
  </r>
  <r>
    <s v="TXN_8490314"/>
    <s v="CUST_24"/>
    <x v="5"/>
    <x v="81"/>
    <x v="10"/>
    <x v="7"/>
    <n v="78"/>
    <x v="1"/>
    <x v="1"/>
    <x v="526"/>
    <x v="1"/>
    <s v="DISCOUNT ALLOWED"/>
    <s v="discount allowed"/>
    <s v="DISCOUNT ALLOWED"/>
    <s v="Discount Allowed"/>
    <s v="28/12/24"/>
  </r>
  <r>
    <s v="TXN_8845178"/>
    <s v="CUST_15"/>
    <x v="2"/>
    <x v="77"/>
    <x v="10"/>
    <x v="7"/>
    <n v="78"/>
    <x v="0"/>
    <x v="1"/>
    <x v="773"/>
    <x v="0"/>
    <s v="DISCOUNT NOT ALLOWED"/>
    <s v="discount not allowed"/>
    <s v="DISCOUNT NOT ALLOWED"/>
    <s v="Discount Not Allowed"/>
    <s v="16/09/23"/>
  </r>
  <r>
    <s v="TXN_8936010"/>
    <s v="CUST_14"/>
    <x v="2"/>
    <x v="77"/>
    <x v="10"/>
    <x v="7"/>
    <n v="78"/>
    <x v="2"/>
    <x v="0"/>
    <x v="202"/>
    <x v="0"/>
    <s v="DISCOUNT NOT ALLOWED"/>
    <s v="discount not allowed"/>
    <s v="DISCOUNT NOT ALLOWED"/>
    <s v="Discount Not Allowed"/>
    <s v="10/04/24"/>
  </r>
  <r>
    <s v="TXN_8994247"/>
    <s v="CUST_02"/>
    <x v="7"/>
    <x v="83"/>
    <x v="10"/>
    <x v="7"/>
    <n v="78"/>
    <x v="0"/>
    <x v="0"/>
    <x v="1003"/>
    <x v="0"/>
    <s v="DISCOUNT NOT ALLOWED"/>
    <s v="discount not allowed"/>
    <s v="DISCOUNT NOT ALLOWED"/>
    <s v="Discount Not Allowed"/>
    <s v="09/09/24"/>
  </r>
  <r>
    <s v="TXN_9825203"/>
    <s v="CUST_20"/>
    <x v="2"/>
    <x v="77"/>
    <x v="10"/>
    <x v="7"/>
    <n v="78"/>
    <x v="0"/>
    <x v="1"/>
    <x v="701"/>
    <x v="0"/>
    <s v="DISCOUNT NOT ALLOWED"/>
    <s v="discount not allowed"/>
    <s v="DISCOUNT NOT ALLOWED"/>
    <s v="Discount Not Allowed"/>
    <s v="16/04/23"/>
  </r>
  <r>
    <s v="TXN_1021886"/>
    <s v="CUST_04"/>
    <x v="3"/>
    <x v="134"/>
    <x v="17"/>
    <x v="5"/>
    <n v="77.5"/>
    <x v="1"/>
    <x v="0"/>
    <x v="966"/>
    <x v="1"/>
    <s v="DISCOUNT ALLOWED"/>
    <s v="discount allowed"/>
    <s v="DISCOUNT ALLOWED"/>
    <s v="Discount Allowed"/>
    <s v="26/02/22"/>
  </r>
  <r>
    <s v="TXN_1203184"/>
    <s v="CUST_03"/>
    <x v="7"/>
    <x v="137"/>
    <x v="17"/>
    <x v="5"/>
    <n v="77.5"/>
    <x v="1"/>
    <x v="0"/>
    <x v="661"/>
    <x v="1"/>
    <s v="DISCOUNT ALLOWED"/>
    <s v="discount allowed"/>
    <s v="DISCOUNT ALLOWED"/>
    <s v="Discount Allowed"/>
    <s v="12/06/23"/>
  </r>
  <r>
    <s v="TXN_1408645"/>
    <s v="CUST_18"/>
    <x v="1"/>
    <x v="136"/>
    <x v="17"/>
    <x v="5"/>
    <n v="77.5"/>
    <x v="1"/>
    <x v="1"/>
    <x v="720"/>
    <x v="1"/>
    <s v="DISCOUNT ALLOWED"/>
    <s v="discount allowed"/>
    <s v="DISCOUNT ALLOWED"/>
    <s v="Discount Allowed"/>
    <s v="19/07/24"/>
  </r>
  <r>
    <s v="TXN_1468469"/>
    <s v="CUST_15"/>
    <x v="4"/>
    <x v="141"/>
    <x v="17"/>
    <x v="5"/>
    <n v="77.5"/>
    <x v="0"/>
    <x v="0"/>
    <x v="936"/>
    <x v="0"/>
    <s v="DISCOUNT NOT ALLOWED"/>
    <s v="discount not allowed"/>
    <s v="DISCOUNT NOT ALLOWED"/>
    <s v="Discount Not Allowed"/>
    <s v="25/01/22"/>
  </r>
  <r>
    <s v="TXN_1681837"/>
    <s v="CUST_13"/>
    <x v="7"/>
    <x v="137"/>
    <x v="17"/>
    <x v="5"/>
    <n v="77.5"/>
    <x v="2"/>
    <x v="1"/>
    <x v="80"/>
    <x v="0"/>
    <s v="DISCOUNT NOT ALLOWED"/>
    <s v="discount not allowed"/>
    <s v="DISCOUNT NOT ALLOWED"/>
    <s v="Discount Not Allowed"/>
    <s v="08/02/24"/>
  </r>
  <r>
    <s v="TXN_2043452"/>
    <s v="CUST_17"/>
    <x v="7"/>
    <x v="137"/>
    <x v="17"/>
    <x v="5"/>
    <n v="77.5"/>
    <x v="2"/>
    <x v="1"/>
    <x v="7"/>
    <x v="1"/>
    <s v="DISCOUNT ALLOWED"/>
    <s v="discount allowed"/>
    <s v="DISCOUNT ALLOWED"/>
    <s v="Discount Allowed"/>
    <s v="23/02/22"/>
  </r>
  <r>
    <s v="TXN_2093784"/>
    <s v="CUST_13"/>
    <x v="7"/>
    <x v="137"/>
    <x v="17"/>
    <x v="5"/>
    <n v="77.5"/>
    <x v="0"/>
    <x v="1"/>
    <x v="1063"/>
    <x v="1"/>
    <s v="DISCOUNT ALLOWED"/>
    <s v="discount allowed"/>
    <s v="DISCOUNT ALLOWED"/>
    <s v="Discount Allowed"/>
    <s v="13/06/23"/>
  </r>
  <r>
    <s v="TXN_2111257"/>
    <s v="CUST_11"/>
    <x v="2"/>
    <x v="135"/>
    <x v="17"/>
    <x v="5"/>
    <n v="77.5"/>
    <x v="0"/>
    <x v="0"/>
    <x v="826"/>
    <x v="0"/>
    <s v="DISCOUNT NOT ALLOWED"/>
    <s v="discount not allowed"/>
    <s v="DISCOUNT NOT ALLOWED"/>
    <s v="Discount Not Allowed"/>
    <s v="03/08/22"/>
  </r>
  <r>
    <s v="TXN_2370951"/>
    <s v="CUST_25"/>
    <x v="5"/>
    <x v="138"/>
    <x v="17"/>
    <x v="5"/>
    <n v="77.5"/>
    <x v="2"/>
    <x v="0"/>
    <x v="201"/>
    <x v="0"/>
    <s v="DISCOUNT NOT ALLOWED"/>
    <s v="discount not allowed"/>
    <s v="DISCOUNT NOT ALLOWED"/>
    <s v="Discount Not Allowed"/>
    <s v="25/04/23"/>
  </r>
  <r>
    <s v="TXN_2542045"/>
    <s v="CUST_24"/>
    <x v="7"/>
    <x v="137"/>
    <x v="17"/>
    <x v="5"/>
    <n v="77.5"/>
    <x v="1"/>
    <x v="1"/>
    <x v="810"/>
    <x v="0"/>
    <s v="DISCOUNT NOT ALLOWED"/>
    <s v="discount not allowed"/>
    <s v="DISCOUNT NOT ALLOWED"/>
    <s v="Discount Not Allowed"/>
    <s v="16/11/23"/>
  </r>
  <r>
    <s v="TXN_2605225"/>
    <s v="CUST_15"/>
    <x v="3"/>
    <x v="134"/>
    <x v="17"/>
    <x v="5"/>
    <n v="77.5"/>
    <x v="0"/>
    <x v="0"/>
    <x v="12"/>
    <x v="0"/>
    <s v="DISCOUNT NOT ALLOWED"/>
    <s v="discount not allowed"/>
    <s v="DISCOUNT NOT ALLOWED"/>
    <s v="Discount Not Allowed"/>
    <s v="23/07/24"/>
  </r>
  <r>
    <s v="TXN_2620396"/>
    <s v="CUST_10"/>
    <x v="1"/>
    <x v="136"/>
    <x v="17"/>
    <x v="5"/>
    <n v="77.5"/>
    <x v="2"/>
    <x v="0"/>
    <x v="676"/>
    <x v="1"/>
    <s v="DISCOUNT ALLOWED"/>
    <s v="discount allowed"/>
    <s v="DISCOUNT ALLOWED"/>
    <s v="Discount Allowed"/>
    <s v="08/05/23"/>
  </r>
  <r>
    <s v="TXN_3394998"/>
    <s v="CUST_18"/>
    <x v="1"/>
    <x v="136"/>
    <x v="17"/>
    <x v="5"/>
    <n v="77.5"/>
    <x v="0"/>
    <x v="0"/>
    <x v="257"/>
    <x v="0"/>
    <s v="DISCOUNT NOT ALLOWED"/>
    <s v="discount not allowed"/>
    <s v="DISCOUNT NOT ALLOWED"/>
    <s v="Discount Not Allowed"/>
    <s v="09/11/24"/>
  </r>
  <r>
    <s v="TXN_3424321"/>
    <s v="CUST_16"/>
    <x v="1"/>
    <x v="136"/>
    <x v="17"/>
    <x v="5"/>
    <n v="77.5"/>
    <x v="2"/>
    <x v="0"/>
    <x v="468"/>
    <x v="1"/>
    <s v="DISCOUNT ALLOWED"/>
    <s v="discount allowed"/>
    <s v="DISCOUNT ALLOWED"/>
    <s v="Discount Allowed"/>
    <s v="08/03/22"/>
  </r>
  <r>
    <s v="TXN_3731020"/>
    <s v="CUST_14"/>
    <x v="0"/>
    <x v="139"/>
    <x v="17"/>
    <x v="5"/>
    <n v="77.5"/>
    <x v="0"/>
    <x v="1"/>
    <x v="365"/>
    <x v="1"/>
    <s v="DISCOUNT ALLOWED"/>
    <s v="discount allowed"/>
    <s v="DISCOUNT ALLOWED"/>
    <s v="Discount Allowed"/>
    <s v="19/03/22"/>
  </r>
  <r>
    <s v="TXN_3792920"/>
    <s v="CUST_17"/>
    <x v="6"/>
    <x v="140"/>
    <x v="17"/>
    <x v="5"/>
    <n v="77.5"/>
    <x v="1"/>
    <x v="1"/>
    <x v="162"/>
    <x v="1"/>
    <s v="DISCOUNT ALLOWED"/>
    <s v="discount allowed"/>
    <s v="DISCOUNT ALLOWED"/>
    <s v="Discount Allowed"/>
    <s v="08/03/24"/>
  </r>
  <r>
    <s v="TXN_3870638"/>
    <s v="CUST_20"/>
    <x v="1"/>
    <x v="136"/>
    <x v="17"/>
    <x v="5"/>
    <n v="77.5"/>
    <x v="2"/>
    <x v="0"/>
    <x v="39"/>
    <x v="0"/>
    <s v="DISCOUNT NOT ALLOWED"/>
    <s v="discount not allowed"/>
    <s v="DISCOUNT NOT ALLOWED"/>
    <s v="Discount Not Allowed"/>
    <s v="10/01/25"/>
  </r>
  <r>
    <s v="TXN_4037099"/>
    <s v="CUST_05"/>
    <x v="7"/>
    <x v="137"/>
    <x v="17"/>
    <x v="5"/>
    <n v="77.5"/>
    <x v="1"/>
    <x v="0"/>
    <x v="1003"/>
    <x v="1"/>
    <s v="DISCOUNT ALLOWED"/>
    <s v="discount allowed"/>
    <s v="DISCOUNT ALLOWED"/>
    <s v="Discount Allowed"/>
    <s v="09/09/24"/>
  </r>
  <r>
    <s v="TXN_4620050"/>
    <s v="CUST_17"/>
    <x v="4"/>
    <x v="141"/>
    <x v="17"/>
    <x v="5"/>
    <n v="77.5"/>
    <x v="2"/>
    <x v="0"/>
    <x v="171"/>
    <x v="0"/>
    <s v="DISCOUNT NOT ALLOWED"/>
    <s v="discount not allowed"/>
    <s v="DISCOUNT NOT ALLOWED"/>
    <s v="Discount Not Allowed"/>
    <s v="30/07/24"/>
  </r>
  <r>
    <s v="TXN_4740770"/>
    <s v="CUST_09"/>
    <x v="4"/>
    <x v="141"/>
    <x v="17"/>
    <x v="5"/>
    <n v="77.5"/>
    <x v="0"/>
    <x v="1"/>
    <x v="955"/>
    <x v="0"/>
    <s v="DISCOUNT NOT ALLOWED"/>
    <s v="discount not allowed"/>
    <s v="DISCOUNT NOT ALLOWED"/>
    <s v="Discount Not Allowed"/>
    <s v="21/12/24"/>
  </r>
  <r>
    <s v="TXN_5859101"/>
    <s v="CUST_21"/>
    <x v="5"/>
    <x v="138"/>
    <x v="17"/>
    <x v="5"/>
    <n v="77.5"/>
    <x v="1"/>
    <x v="1"/>
    <x v="912"/>
    <x v="0"/>
    <s v="DISCOUNT NOT ALLOWED"/>
    <s v="discount not allowed"/>
    <s v="DISCOUNT NOT ALLOWED"/>
    <s v="Discount Not Allowed"/>
    <s v="19/01/24"/>
  </r>
  <r>
    <s v="TXN_6092112"/>
    <s v="CUST_23"/>
    <x v="3"/>
    <x v="134"/>
    <x v="17"/>
    <x v="5"/>
    <n v="77.5"/>
    <x v="0"/>
    <x v="0"/>
    <x v="798"/>
    <x v="0"/>
    <s v="DISCOUNT NOT ALLOWED"/>
    <s v="discount not allowed"/>
    <s v="DISCOUNT NOT ALLOWED"/>
    <s v="Discount Not Allowed"/>
    <s v="09/01/24"/>
  </r>
  <r>
    <s v="TXN_6329331"/>
    <s v="CUST_24"/>
    <x v="1"/>
    <x v="136"/>
    <x v="17"/>
    <x v="5"/>
    <n v="77.5"/>
    <x v="2"/>
    <x v="0"/>
    <x v="184"/>
    <x v="1"/>
    <s v="DISCOUNT ALLOWED"/>
    <s v="discount allowed"/>
    <s v="DISCOUNT ALLOWED"/>
    <s v="Discount Allowed"/>
    <s v="01/01/22"/>
  </r>
  <r>
    <s v="TXN_6383474"/>
    <s v="CUST_13"/>
    <x v="0"/>
    <x v="139"/>
    <x v="17"/>
    <x v="5"/>
    <n v="77.5"/>
    <x v="2"/>
    <x v="1"/>
    <x v="566"/>
    <x v="0"/>
    <s v="DISCOUNT NOT ALLOWED"/>
    <s v="discount not allowed"/>
    <s v="DISCOUNT NOT ALLOWED"/>
    <s v="Discount Not Allowed"/>
    <s v="16/11/24"/>
  </r>
  <r>
    <s v="TXN_6761654"/>
    <s v="CUST_10"/>
    <x v="6"/>
    <x v="140"/>
    <x v="17"/>
    <x v="5"/>
    <n v="77.5"/>
    <x v="2"/>
    <x v="0"/>
    <x v="685"/>
    <x v="0"/>
    <s v="DISCOUNT NOT ALLOWED"/>
    <s v="discount not allowed"/>
    <s v="DISCOUNT NOT ALLOWED"/>
    <s v="Discount Not Allowed"/>
    <s v="20/07/23"/>
  </r>
  <r>
    <s v="TXN_6981443"/>
    <s v="CUST_06"/>
    <x v="6"/>
    <x v="140"/>
    <x v="17"/>
    <x v="5"/>
    <n v="77.5"/>
    <x v="0"/>
    <x v="0"/>
    <x v="692"/>
    <x v="0"/>
    <s v="DISCOUNT NOT ALLOWED"/>
    <s v="discount not allowed"/>
    <s v="DISCOUNT NOT ALLOWED"/>
    <s v="Discount Not Allowed"/>
    <s v="23/06/22"/>
  </r>
  <r>
    <s v="TXN_7040885"/>
    <s v="CUST_12"/>
    <x v="2"/>
    <x v="135"/>
    <x v="17"/>
    <x v="5"/>
    <n v="77.5"/>
    <x v="2"/>
    <x v="0"/>
    <x v="761"/>
    <x v="1"/>
    <s v="DISCOUNT ALLOWED"/>
    <s v="discount allowed"/>
    <s v="DISCOUNT ALLOWED"/>
    <s v="Discount Allowed"/>
    <s v="08/07/23"/>
  </r>
  <r>
    <s v="TXN_7065551"/>
    <s v="CUST_04"/>
    <x v="3"/>
    <x v="134"/>
    <x v="17"/>
    <x v="5"/>
    <n v="77.5"/>
    <x v="0"/>
    <x v="1"/>
    <x v="935"/>
    <x v="0"/>
    <s v="DISCOUNT NOT ALLOWED"/>
    <s v="discount not allowed"/>
    <s v="DISCOUNT NOT ALLOWED"/>
    <s v="Discount Not Allowed"/>
    <s v="09/02/23"/>
  </r>
  <r>
    <s v="TXN_7122930"/>
    <s v="CUST_21"/>
    <x v="5"/>
    <x v="138"/>
    <x v="17"/>
    <x v="5"/>
    <n v="77.5"/>
    <x v="1"/>
    <x v="1"/>
    <x v="225"/>
    <x v="1"/>
    <s v="DISCOUNT ALLOWED"/>
    <s v="discount allowed"/>
    <s v="DISCOUNT ALLOWED"/>
    <s v="Discount Allowed"/>
    <s v="26/03/23"/>
  </r>
  <r>
    <s v="TXN_7683478"/>
    <s v="CUST_06"/>
    <x v="2"/>
    <x v="135"/>
    <x v="17"/>
    <x v="5"/>
    <n v="77.5"/>
    <x v="1"/>
    <x v="1"/>
    <x v="187"/>
    <x v="0"/>
    <s v="DISCOUNT NOT ALLOWED"/>
    <s v="discount not allowed"/>
    <s v="DISCOUNT NOT ALLOWED"/>
    <s v="Discount Not Allowed"/>
    <s v="18/02/23"/>
  </r>
  <r>
    <s v="TXN_8077020"/>
    <s v="CUST_13"/>
    <x v="1"/>
    <x v="136"/>
    <x v="17"/>
    <x v="5"/>
    <n v="77.5"/>
    <x v="2"/>
    <x v="1"/>
    <x v="949"/>
    <x v="1"/>
    <s v="DISCOUNT ALLOWED"/>
    <s v="discount allowed"/>
    <s v="DISCOUNT ALLOWED"/>
    <s v="Discount Allowed"/>
    <s v="11/02/23"/>
  </r>
  <r>
    <s v="TXN_8090678"/>
    <s v="CUST_08"/>
    <x v="5"/>
    <x v="138"/>
    <x v="17"/>
    <x v="5"/>
    <n v="77.5"/>
    <x v="0"/>
    <x v="0"/>
    <x v="24"/>
    <x v="0"/>
    <s v="DISCOUNT NOT ALLOWED"/>
    <s v="discount not allowed"/>
    <s v="DISCOUNT NOT ALLOWED"/>
    <s v="Discount Not Allowed"/>
    <s v="01/05/24"/>
  </r>
  <r>
    <s v="TXN_8127453"/>
    <s v="CUST_07"/>
    <x v="7"/>
    <x v="137"/>
    <x v="17"/>
    <x v="5"/>
    <n v="77.5"/>
    <x v="1"/>
    <x v="0"/>
    <x v="319"/>
    <x v="1"/>
    <s v="DISCOUNT ALLOWED"/>
    <s v="discount allowed"/>
    <s v="DISCOUNT ALLOWED"/>
    <s v="Discount Allowed"/>
    <s v="22/12/23"/>
  </r>
  <r>
    <s v="TXN_8186195"/>
    <s v="CUST_20"/>
    <x v="1"/>
    <x v="136"/>
    <x v="17"/>
    <x v="5"/>
    <n v="77.5"/>
    <x v="0"/>
    <x v="0"/>
    <x v="854"/>
    <x v="1"/>
    <s v="DISCOUNT ALLOWED"/>
    <s v="discount allowed"/>
    <s v="DISCOUNT ALLOWED"/>
    <s v="Discount Allowed"/>
    <s v="19/02/23"/>
  </r>
  <r>
    <s v="TXN_8219700"/>
    <s v="CUST_12"/>
    <x v="0"/>
    <x v="139"/>
    <x v="17"/>
    <x v="5"/>
    <n v="77.5"/>
    <x v="0"/>
    <x v="1"/>
    <x v="174"/>
    <x v="0"/>
    <s v="DISCOUNT NOT ALLOWED"/>
    <s v="discount not allowed"/>
    <s v="DISCOUNT NOT ALLOWED"/>
    <s v="Discount Not Allowed"/>
    <s v="29/11/22"/>
  </r>
  <r>
    <s v="TXN_8361498"/>
    <s v="CUST_14"/>
    <x v="4"/>
    <x v="141"/>
    <x v="17"/>
    <x v="5"/>
    <n v="77.5"/>
    <x v="2"/>
    <x v="0"/>
    <x v="893"/>
    <x v="0"/>
    <s v="DISCOUNT NOT ALLOWED"/>
    <s v="discount not allowed"/>
    <s v="DISCOUNT NOT ALLOWED"/>
    <s v="Discount Not Allowed"/>
    <s v="29/10/22"/>
  </r>
  <r>
    <s v="TXN_8574406"/>
    <s v="CUST_16"/>
    <x v="2"/>
    <x v="135"/>
    <x v="17"/>
    <x v="5"/>
    <n v="77.5"/>
    <x v="2"/>
    <x v="1"/>
    <x v="127"/>
    <x v="1"/>
    <s v="DISCOUNT ALLOWED"/>
    <s v="discount allowed"/>
    <s v="DISCOUNT ALLOWED"/>
    <s v="Discount Allowed"/>
    <s v="23/05/24"/>
  </r>
  <r>
    <s v="TXN_8667891"/>
    <s v="CUST_11"/>
    <x v="5"/>
    <x v="138"/>
    <x v="17"/>
    <x v="5"/>
    <n v="77.5"/>
    <x v="2"/>
    <x v="1"/>
    <x v="657"/>
    <x v="0"/>
    <s v="DISCOUNT NOT ALLOWED"/>
    <s v="discount not allowed"/>
    <s v="DISCOUNT NOT ALLOWED"/>
    <s v="Discount Not Allowed"/>
    <s v="22/03/22"/>
  </r>
  <r>
    <s v="TXN_9183177"/>
    <s v="CUST_24"/>
    <x v="1"/>
    <x v="136"/>
    <x v="17"/>
    <x v="5"/>
    <n v="77.5"/>
    <x v="1"/>
    <x v="1"/>
    <x v="731"/>
    <x v="1"/>
    <s v="DISCOUNT ALLOWED"/>
    <s v="discount allowed"/>
    <s v="DISCOUNT ALLOWED"/>
    <s v="Discount Allowed"/>
    <s v="09/07/24"/>
  </r>
  <r>
    <s v="TXN_9398224"/>
    <s v="CUST_18"/>
    <x v="5"/>
    <x v="138"/>
    <x v="17"/>
    <x v="5"/>
    <n v="77.5"/>
    <x v="0"/>
    <x v="1"/>
    <x v="556"/>
    <x v="1"/>
    <s v="DISCOUNT ALLOWED"/>
    <s v="discount allowed"/>
    <s v="DISCOUNT ALLOWED"/>
    <s v="Discount Allowed"/>
    <s v="16/02/24"/>
  </r>
  <r>
    <s v="TXN_1704261"/>
    <s v="CUST_19"/>
    <x v="3"/>
    <x v="164"/>
    <x v="20"/>
    <x v="3"/>
    <n v="77"/>
    <x v="1"/>
    <x v="0"/>
    <x v="571"/>
    <x v="1"/>
    <s v="DISCOUNT ALLOWED"/>
    <s v="discount allowed"/>
    <s v="DISCOUNT ALLOWED"/>
    <s v="Discount Allowed"/>
    <s v="01/08/23"/>
  </r>
  <r>
    <s v="TXN_2124243"/>
    <s v="CUST_23"/>
    <x v="6"/>
    <x v="162"/>
    <x v="20"/>
    <x v="3"/>
    <n v="77"/>
    <x v="2"/>
    <x v="1"/>
    <x v="654"/>
    <x v="0"/>
    <s v="DISCOUNT NOT ALLOWED"/>
    <s v="discount not allowed"/>
    <s v="DISCOUNT NOT ALLOWED"/>
    <s v="Discount Not Allowed"/>
    <s v="10/06/22"/>
  </r>
  <r>
    <s v="TXN_2284744"/>
    <s v="CUST_11"/>
    <x v="2"/>
    <x v="161"/>
    <x v="20"/>
    <x v="3"/>
    <n v="77"/>
    <x v="1"/>
    <x v="0"/>
    <x v="348"/>
    <x v="1"/>
    <s v="DISCOUNT ALLOWED"/>
    <s v="discount allowed"/>
    <s v="DISCOUNT ALLOWED"/>
    <s v="Discount Allowed"/>
    <s v="30/09/24"/>
  </r>
  <r>
    <s v="TXN_2316809"/>
    <s v="CUST_02"/>
    <x v="2"/>
    <x v="161"/>
    <x v="20"/>
    <x v="3"/>
    <n v="77"/>
    <x v="0"/>
    <x v="1"/>
    <x v="233"/>
    <x v="1"/>
    <s v="DISCOUNT ALLOWED"/>
    <s v="discount allowed"/>
    <s v="DISCOUNT ALLOWED"/>
    <s v="Discount Allowed"/>
    <s v="02/04/23"/>
  </r>
  <r>
    <s v="TXN_2839407"/>
    <s v="CUST_15"/>
    <x v="4"/>
    <x v="163"/>
    <x v="20"/>
    <x v="3"/>
    <n v="77"/>
    <x v="0"/>
    <x v="0"/>
    <x v="489"/>
    <x v="0"/>
    <s v="DISCOUNT NOT ALLOWED"/>
    <s v="discount not allowed"/>
    <s v="DISCOUNT NOT ALLOWED"/>
    <s v="Discount Not Allowed"/>
    <s v="12/01/22"/>
  </r>
  <r>
    <s v="TXN_4004830"/>
    <s v="CUST_24"/>
    <x v="4"/>
    <x v="163"/>
    <x v="20"/>
    <x v="3"/>
    <n v="77"/>
    <x v="1"/>
    <x v="1"/>
    <x v="263"/>
    <x v="1"/>
    <s v="DISCOUNT ALLOWED"/>
    <s v="discount allowed"/>
    <s v="DISCOUNT ALLOWED"/>
    <s v="Discount Allowed"/>
    <s v="09/06/24"/>
  </r>
  <r>
    <s v="TXN_4205627"/>
    <s v="CUST_21"/>
    <x v="5"/>
    <x v="160"/>
    <x v="20"/>
    <x v="3"/>
    <n v="77"/>
    <x v="0"/>
    <x v="0"/>
    <x v="176"/>
    <x v="0"/>
    <s v="DISCOUNT NOT ALLOWED"/>
    <s v="discount not allowed"/>
    <s v="DISCOUNT NOT ALLOWED"/>
    <s v="Discount Not Allowed"/>
    <s v="01/02/24"/>
  </r>
  <r>
    <s v="TXN_4268375"/>
    <s v="CUST_09"/>
    <x v="2"/>
    <x v="161"/>
    <x v="20"/>
    <x v="3"/>
    <n v="77"/>
    <x v="1"/>
    <x v="0"/>
    <x v="433"/>
    <x v="1"/>
    <s v="DISCOUNT ALLOWED"/>
    <s v="discount allowed"/>
    <s v="DISCOUNT ALLOWED"/>
    <s v="Discount Allowed"/>
    <s v="28/04/22"/>
  </r>
  <r>
    <s v="TXN_4286155"/>
    <s v="CUST_12"/>
    <x v="4"/>
    <x v="163"/>
    <x v="20"/>
    <x v="3"/>
    <n v="77"/>
    <x v="2"/>
    <x v="0"/>
    <x v="570"/>
    <x v="0"/>
    <s v="DISCOUNT NOT ALLOWED"/>
    <s v="discount not allowed"/>
    <s v="DISCOUNT NOT ALLOWED"/>
    <s v="Discount Not Allowed"/>
    <s v="03/01/25"/>
  </r>
  <r>
    <s v="TXN_5283369"/>
    <s v="CUST_06"/>
    <x v="6"/>
    <x v="162"/>
    <x v="20"/>
    <x v="3"/>
    <n v="77"/>
    <x v="2"/>
    <x v="0"/>
    <x v="56"/>
    <x v="1"/>
    <s v="DISCOUNT ALLOWED"/>
    <s v="discount allowed"/>
    <s v="DISCOUNT ALLOWED"/>
    <s v="Discount Allowed"/>
    <s v="16/04/24"/>
  </r>
  <r>
    <s v="TXN_5395458"/>
    <s v="CUST_14"/>
    <x v="4"/>
    <x v="163"/>
    <x v="20"/>
    <x v="3"/>
    <n v="77"/>
    <x v="2"/>
    <x v="0"/>
    <x v="141"/>
    <x v="0"/>
    <s v="DISCOUNT NOT ALLOWED"/>
    <s v="discount not allowed"/>
    <s v="DISCOUNT NOT ALLOWED"/>
    <s v="Discount Not Allowed"/>
    <s v="12/10/24"/>
  </r>
  <r>
    <s v="TXN_5569617"/>
    <s v="CUST_16"/>
    <x v="0"/>
    <x v="174"/>
    <x v="20"/>
    <x v="3"/>
    <n v="77"/>
    <x v="0"/>
    <x v="1"/>
    <x v="743"/>
    <x v="0"/>
    <s v="DISCOUNT NOT ALLOWED"/>
    <s v="discount not allowed"/>
    <s v="DISCOUNT NOT ALLOWED"/>
    <s v="Discount Not Allowed"/>
    <s v="03/07/22"/>
  </r>
  <r>
    <s v="TXN_5878279"/>
    <s v="CUST_02"/>
    <x v="2"/>
    <x v="161"/>
    <x v="20"/>
    <x v="3"/>
    <n v="77"/>
    <x v="1"/>
    <x v="0"/>
    <x v="534"/>
    <x v="0"/>
    <s v="DISCOUNT NOT ALLOWED"/>
    <s v="discount not allowed"/>
    <s v="DISCOUNT NOT ALLOWED"/>
    <s v="Discount Not Allowed"/>
    <s v="25/02/24"/>
  </r>
  <r>
    <s v="TXN_6175706"/>
    <s v="CUST_19"/>
    <x v="7"/>
    <x v="165"/>
    <x v="20"/>
    <x v="3"/>
    <n v="77"/>
    <x v="0"/>
    <x v="0"/>
    <x v="1043"/>
    <x v="0"/>
    <s v="DISCOUNT NOT ALLOWED"/>
    <s v="discount not allowed"/>
    <s v="DISCOUNT NOT ALLOWED"/>
    <s v="Discount Not Allowed"/>
    <s v="18/04/22"/>
  </r>
  <r>
    <s v="TXN_6622369"/>
    <s v="CUST_04"/>
    <x v="3"/>
    <x v="164"/>
    <x v="20"/>
    <x v="3"/>
    <n v="77"/>
    <x v="2"/>
    <x v="0"/>
    <x v="531"/>
    <x v="0"/>
    <s v="DISCOUNT NOT ALLOWED"/>
    <s v="discount not allowed"/>
    <s v="DISCOUNT NOT ALLOWED"/>
    <s v="Discount Not Allowed"/>
    <s v="08/10/23"/>
  </r>
  <r>
    <s v="TXN_6647013"/>
    <s v="CUST_02"/>
    <x v="3"/>
    <x v="164"/>
    <x v="20"/>
    <x v="3"/>
    <n v="77"/>
    <x v="2"/>
    <x v="1"/>
    <x v="1027"/>
    <x v="1"/>
    <s v="DISCOUNT ALLOWED"/>
    <s v="discount allowed"/>
    <s v="DISCOUNT ALLOWED"/>
    <s v="Discount Allowed"/>
    <s v="30/05/24"/>
  </r>
  <r>
    <s v="TXN_6977040"/>
    <s v="CUST_13"/>
    <x v="4"/>
    <x v="163"/>
    <x v="20"/>
    <x v="3"/>
    <n v="77"/>
    <x v="0"/>
    <x v="0"/>
    <x v="102"/>
    <x v="0"/>
    <s v="DISCOUNT NOT ALLOWED"/>
    <s v="discount not allowed"/>
    <s v="DISCOUNT NOT ALLOWED"/>
    <s v="Discount Not Allowed"/>
    <s v="31/03/23"/>
  </r>
  <r>
    <s v="TXN_7239144"/>
    <s v="CUST_21"/>
    <x v="4"/>
    <x v="163"/>
    <x v="20"/>
    <x v="3"/>
    <n v="77"/>
    <x v="1"/>
    <x v="0"/>
    <x v="582"/>
    <x v="1"/>
    <s v="DISCOUNT ALLOWED"/>
    <s v="discount allowed"/>
    <s v="DISCOUNT ALLOWED"/>
    <s v="Discount Allowed"/>
    <s v="15/10/23"/>
  </r>
  <r>
    <s v="TXN_7781176"/>
    <s v="CUST_05"/>
    <x v="2"/>
    <x v="161"/>
    <x v="20"/>
    <x v="3"/>
    <n v="77"/>
    <x v="0"/>
    <x v="0"/>
    <x v="839"/>
    <x v="1"/>
    <s v="DISCOUNT ALLOWED"/>
    <s v="discount allowed"/>
    <s v="DISCOUNT ALLOWED"/>
    <s v="Discount Allowed"/>
    <s v="18/11/22"/>
  </r>
  <r>
    <s v="TXN_8426341"/>
    <s v="CUST_05"/>
    <x v="6"/>
    <x v="162"/>
    <x v="20"/>
    <x v="3"/>
    <n v="77"/>
    <x v="2"/>
    <x v="0"/>
    <x v="991"/>
    <x v="1"/>
    <s v="DISCOUNT ALLOWED"/>
    <s v="discount allowed"/>
    <s v="DISCOUNT ALLOWED"/>
    <s v="Discount Allowed"/>
    <s v="08/02/23"/>
  </r>
  <r>
    <s v="TXN_8666461"/>
    <s v="CUST_20"/>
    <x v="4"/>
    <x v="163"/>
    <x v="20"/>
    <x v="3"/>
    <n v="77"/>
    <x v="2"/>
    <x v="1"/>
    <x v="884"/>
    <x v="0"/>
    <s v="DISCOUNT NOT ALLOWED"/>
    <s v="discount not allowed"/>
    <s v="DISCOUNT NOT ALLOWED"/>
    <s v="Discount Not Allowed"/>
    <s v="13/01/24"/>
  </r>
  <r>
    <s v="TXN_8756884"/>
    <s v="CUST_07"/>
    <x v="7"/>
    <x v="165"/>
    <x v="20"/>
    <x v="3"/>
    <n v="77"/>
    <x v="2"/>
    <x v="1"/>
    <x v="819"/>
    <x v="1"/>
    <s v="DISCOUNT ALLOWED"/>
    <s v="discount allowed"/>
    <s v="DISCOUNT ALLOWED"/>
    <s v="Discount Allowed"/>
    <s v="11/07/23"/>
  </r>
  <r>
    <s v="TXN_8796188"/>
    <s v="CUST_20"/>
    <x v="5"/>
    <x v="160"/>
    <x v="20"/>
    <x v="3"/>
    <n v="77"/>
    <x v="2"/>
    <x v="1"/>
    <x v="677"/>
    <x v="0"/>
    <s v="DISCOUNT NOT ALLOWED"/>
    <s v="discount not allowed"/>
    <s v="DISCOUNT NOT ALLOWED"/>
    <s v="Discount Not Allowed"/>
    <s v="23/06/23"/>
  </r>
  <r>
    <s v="TXN_8849165"/>
    <s v="CUST_25"/>
    <x v="6"/>
    <x v="162"/>
    <x v="20"/>
    <x v="3"/>
    <n v="77"/>
    <x v="0"/>
    <x v="0"/>
    <x v="958"/>
    <x v="0"/>
    <s v="DISCOUNT NOT ALLOWED"/>
    <s v="discount not allowed"/>
    <s v="DISCOUNT NOT ALLOWED"/>
    <s v="Discount Not Allowed"/>
    <s v="19/07/23"/>
  </r>
  <r>
    <s v="TXN_9535314"/>
    <s v="CUST_18"/>
    <x v="0"/>
    <x v="174"/>
    <x v="20"/>
    <x v="3"/>
    <n v="77"/>
    <x v="2"/>
    <x v="0"/>
    <x v="1049"/>
    <x v="0"/>
    <s v="DISCOUNT NOT ALLOWED"/>
    <s v="discount not allowed"/>
    <s v="DISCOUNT NOT ALLOWED"/>
    <s v="Discount Not Allowed"/>
    <s v="20/11/23"/>
  </r>
  <r>
    <s v="TXN_9648410"/>
    <s v="CUST_25"/>
    <x v="4"/>
    <x v="163"/>
    <x v="20"/>
    <x v="3"/>
    <n v="77"/>
    <x v="2"/>
    <x v="0"/>
    <x v="575"/>
    <x v="1"/>
    <s v="DISCOUNT ALLOWED"/>
    <s v="discount allowed"/>
    <s v="DISCOUNT ALLOWED"/>
    <s v="Discount Allowed"/>
    <s v="09/01/23"/>
  </r>
  <r>
    <s v="TXN_9830364"/>
    <s v="CUST_07"/>
    <x v="6"/>
    <x v="162"/>
    <x v="20"/>
    <x v="3"/>
    <n v="77"/>
    <x v="1"/>
    <x v="1"/>
    <x v="476"/>
    <x v="0"/>
    <s v="DISCOUNT NOT ALLOWED"/>
    <s v="discount not allowed"/>
    <s v="DISCOUNT NOT ALLOWED"/>
    <s v="Discount Not Allowed"/>
    <s v="04/04/24"/>
  </r>
  <r>
    <s v="TXN_1082353"/>
    <s v="CUST_02"/>
    <x v="7"/>
    <x v="21"/>
    <x v="2"/>
    <x v="8"/>
    <n v="76"/>
    <x v="1"/>
    <x v="1"/>
    <x v="485"/>
    <x v="0"/>
    <s v="DISCOUNT NOT ALLOWED"/>
    <s v="discount not allowed"/>
    <s v="DISCOUNT NOT ALLOWED"/>
    <s v="Discount Not Allowed"/>
    <s v="05/01/23"/>
  </r>
  <r>
    <s v="TXN_1367634"/>
    <s v="CUST_20"/>
    <x v="1"/>
    <x v="169"/>
    <x v="21"/>
    <x v="2"/>
    <n v="76"/>
    <x v="1"/>
    <x v="0"/>
    <x v="607"/>
    <x v="1"/>
    <s v="DISCOUNT ALLOWED"/>
    <s v="discount allowed"/>
    <s v="DISCOUNT ALLOWED"/>
    <s v="Discount Allowed"/>
    <s v="25/08/22"/>
  </r>
  <r>
    <s v="TXN_1441328"/>
    <s v="CUST_12"/>
    <x v="6"/>
    <x v="18"/>
    <x v="2"/>
    <x v="8"/>
    <n v="76"/>
    <x v="2"/>
    <x v="0"/>
    <x v="79"/>
    <x v="1"/>
    <s v="DISCOUNT ALLOWED"/>
    <s v="discount allowed"/>
    <s v="DISCOUNT ALLOWED"/>
    <s v="Discount Allowed"/>
    <s v="07/04/23"/>
  </r>
  <r>
    <s v="TXN_1611046"/>
    <s v="CUST_19"/>
    <x v="0"/>
    <x v="17"/>
    <x v="2"/>
    <x v="8"/>
    <n v="76"/>
    <x v="1"/>
    <x v="1"/>
    <x v="277"/>
    <x v="0"/>
    <s v="DISCOUNT NOT ALLOWED"/>
    <s v="discount not allowed"/>
    <s v="DISCOUNT NOT ALLOWED"/>
    <s v="Discount Not Allowed"/>
    <s v="02/02/23"/>
  </r>
  <r>
    <s v="TXN_1623314"/>
    <s v="CUST_20"/>
    <x v="7"/>
    <x v="170"/>
    <x v="21"/>
    <x v="2"/>
    <n v="76"/>
    <x v="0"/>
    <x v="1"/>
    <x v="278"/>
    <x v="0"/>
    <s v="DISCOUNT NOT ALLOWED"/>
    <s v="discount not allowed"/>
    <s v="DISCOUNT NOT ALLOWED"/>
    <s v="Discount Not Allowed"/>
    <s v="26/12/24"/>
  </r>
  <r>
    <s v="TXN_1665071"/>
    <s v="CUST_15"/>
    <x v="1"/>
    <x v="169"/>
    <x v="21"/>
    <x v="2"/>
    <n v="76"/>
    <x v="0"/>
    <x v="1"/>
    <x v="41"/>
    <x v="0"/>
    <s v="DISCOUNT NOT ALLOWED"/>
    <s v="discount not allowed"/>
    <s v="DISCOUNT NOT ALLOWED"/>
    <s v="Discount Not Allowed"/>
    <s v="15/05/24"/>
  </r>
  <r>
    <s v="TXN_1780281"/>
    <s v="CUST_16"/>
    <x v="4"/>
    <x v="22"/>
    <x v="2"/>
    <x v="8"/>
    <n v="76"/>
    <x v="1"/>
    <x v="0"/>
    <x v="729"/>
    <x v="0"/>
    <s v="DISCOUNT NOT ALLOWED"/>
    <s v="discount not allowed"/>
    <s v="DISCOUNT NOT ALLOWED"/>
    <s v="Discount Not Allowed"/>
    <s v="07/12/24"/>
  </r>
  <r>
    <s v="TXN_1999133"/>
    <s v="CUST_23"/>
    <x v="0"/>
    <x v="168"/>
    <x v="21"/>
    <x v="2"/>
    <n v="76"/>
    <x v="1"/>
    <x v="0"/>
    <x v="541"/>
    <x v="0"/>
    <s v="DISCOUNT NOT ALLOWED"/>
    <s v="discount not allowed"/>
    <s v="DISCOUNT NOT ALLOWED"/>
    <s v="Discount Not Allowed"/>
    <s v="21/11/22"/>
  </r>
  <r>
    <s v="TXN_2306841"/>
    <s v="CUST_04"/>
    <x v="2"/>
    <x v="20"/>
    <x v="2"/>
    <x v="8"/>
    <n v="76"/>
    <x v="1"/>
    <x v="1"/>
    <x v="1025"/>
    <x v="1"/>
    <s v="DISCOUNT ALLOWED"/>
    <s v="discount allowed"/>
    <s v="DISCOUNT ALLOWED"/>
    <s v="Discount Allowed"/>
    <s v="06/05/23"/>
  </r>
  <r>
    <s v="TXN_2474939"/>
    <s v="CUST_19"/>
    <x v="2"/>
    <x v="20"/>
    <x v="2"/>
    <x v="8"/>
    <n v="76"/>
    <x v="2"/>
    <x v="0"/>
    <x v="1029"/>
    <x v="0"/>
    <s v="DISCOUNT NOT ALLOWED"/>
    <s v="discount not allowed"/>
    <s v="DISCOUNT NOT ALLOWED"/>
    <s v="Discount Not Allowed"/>
    <s v="03/01/24"/>
  </r>
  <r>
    <s v="TXN_2530704"/>
    <s v="CUST_25"/>
    <x v="3"/>
    <x v="16"/>
    <x v="2"/>
    <x v="8"/>
    <n v="76"/>
    <x v="0"/>
    <x v="1"/>
    <x v="962"/>
    <x v="0"/>
    <s v="DISCOUNT NOT ALLOWED"/>
    <s v="discount not allowed"/>
    <s v="DISCOUNT NOT ALLOWED"/>
    <s v="Discount Not Allowed"/>
    <s v="04/01/24"/>
  </r>
  <r>
    <s v="TXN_2957368"/>
    <s v="CUST_23"/>
    <x v="3"/>
    <x v="16"/>
    <x v="2"/>
    <x v="8"/>
    <n v="76"/>
    <x v="0"/>
    <x v="0"/>
    <x v="234"/>
    <x v="1"/>
    <s v="DISCOUNT ALLOWED"/>
    <s v="discount allowed"/>
    <s v="DISCOUNT ALLOWED"/>
    <s v="Discount Allowed"/>
    <s v="16/01/22"/>
  </r>
  <r>
    <s v="TXN_2959732"/>
    <s v="CUST_14"/>
    <x v="3"/>
    <x v="16"/>
    <x v="2"/>
    <x v="8"/>
    <n v="76"/>
    <x v="1"/>
    <x v="1"/>
    <x v="504"/>
    <x v="1"/>
    <s v="DISCOUNT ALLOWED"/>
    <s v="discount allowed"/>
    <s v="DISCOUNT ALLOWED"/>
    <s v="Discount Allowed"/>
    <s v="12/02/22"/>
  </r>
  <r>
    <s v="TXN_3435518"/>
    <s v="CUST_10"/>
    <x v="4"/>
    <x v="166"/>
    <x v="21"/>
    <x v="2"/>
    <n v="76"/>
    <x v="0"/>
    <x v="0"/>
    <x v="34"/>
    <x v="0"/>
    <s v="DISCOUNT NOT ALLOWED"/>
    <s v="discount not allowed"/>
    <s v="DISCOUNT NOT ALLOWED"/>
    <s v="Discount Not Allowed"/>
    <s v="27/01/24"/>
  </r>
  <r>
    <s v="TXN_3470018"/>
    <s v="CUST_24"/>
    <x v="1"/>
    <x v="19"/>
    <x v="2"/>
    <x v="8"/>
    <n v="76"/>
    <x v="1"/>
    <x v="0"/>
    <x v="385"/>
    <x v="0"/>
    <s v="DISCOUNT NOT ALLOWED"/>
    <s v="discount not allowed"/>
    <s v="DISCOUNT NOT ALLOWED"/>
    <s v="Discount Not Allowed"/>
    <s v="28/06/22"/>
  </r>
  <r>
    <s v="TXN_3690471"/>
    <s v="CUST_05"/>
    <x v="0"/>
    <x v="17"/>
    <x v="2"/>
    <x v="8"/>
    <n v="76"/>
    <x v="0"/>
    <x v="1"/>
    <x v="928"/>
    <x v="0"/>
    <s v="DISCOUNT NOT ALLOWED"/>
    <s v="discount not allowed"/>
    <s v="DISCOUNT NOT ALLOWED"/>
    <s v="Discount Not Allowed"/>
    <s v="11/03/22"/>
  </r>
  <r>
    <s v="TXN_3748778"/>
    <s v="CUST_10"/>
    <x v="7"/>
    <x v="170"/>
    <x v="21"/>
    <x v="2"/>
    <n v="76"/>
    <x v="1"/>
    <x v="0"/>
    <x v="1087"/>
    <x v="0"/>
    <s v="DISCOUNT NOT ALLOWED"/>
    <s v="discount not allowed"/>
    <s v="DISCOUNT NOT ALLOWED"/>
    <s v="Discount Not Allowed"/>
    <s v="29/01/23"/>
  </r>
  <r>
    <s v="TXN_3984894"/>
    <s v="CUST_02"/>
    <x v="0"/>
    <x v="168"/>
    <x v="21"/>
    <x v="2"/>
    <n v="76"/>
    <x v="0"/>
    <x v="0"/>
    <x v="142"/>
    <x v="0"/>
    <s v="DISCOUNT NOT ALLOWED"/>
    <s v="discount not allowed"/>
    <s v="DISCOUNT NOT ALLOWED"/>
    <s v="Discount Not Allowed"/>
    <s v="02/08/24"/>
  </r>
  <r>
    <s v="TXN_4077794"/>
    <s v="CUST_19"/>
    <x v="3"/>
    <x v="16"/>
    <x v="2"/>
    <x v="8"/>
    <n v="76"/>
    <x v="1"/>
    <x v="1"/>
    <x v="171"/>
    <x v="1"/>
    <s v="DISCOUNT ALLOWED"/>
    <s v="discount allowed"/>
    <s v="DISCOUNT ALLOWED"/>
    <s v="Discount Allowed"/>
    <s v="30/07/24"/>
  </r>
  <r>
    <s v="TXN_4134539"/>
    <s v="CUST_18"/>
    <x v="5"/>
    <x v="167"/>
    <x v="21"/>
    <x v="2"/>
    <n v="76"/>
    <x v="2"/>
    <x v="0"/>
    <x v="838"/>
    <x v="0"/>
    <s v="DISCOUNT NOT ALLOWED"/>
    <s v="discount not allowed"/>
    <s v="DISCOUNT NOT ALLOWED"/>
    <s v="Discount Not Allowed"/>
    <s v="24/10/22"/>
  </r>
  <r>
    <s v="TXN_4238718"/>
    <s v="CUST_01"/>
    <x v="6"/>
    <x v="18"/>
    <x v="2"/>
    <x v="8"/>
    <n v="76"/>
    <x v="2"/>
    <x v="0"/>
    <x v="912"/>
    <x v="0"/>
    <s v="DISCOUNT NOT ALLOWED"/>
    <s v="discount not allowed"/>
    <s v="DISCOUNT NOT ALLOWED"/>
    <s v="Discount Not Allowed"/>
    <s v="19/01/24"/>
  </r>
  <r>
    <s v="TXN_4411366"/>
    <s v="CUST_09"/>
    <x v="0"/>
    <x v="168"/>
    <x v="21"/>
    <x v="2"/>
    <n v="76"/>
    <x v="2"/>
    <x v="1"/>
    <x v="751"/>
    <x v="1"/>
    <s v="DISCOUNT ALLOWED"/>
    <s v="discount allowed"/>
    <s v="DISCOUNT ALLOWED"/>
    <s v="Discount Allowed"/>
    <s v="04/01/23"/>
  </r>
  <r>
    <s v="TXN_4452566"/>
    <s v="CUST_15"/>
    <x v="1"/>
    <x v="169"/>
    <x v="21"/>
    <x v="2"/>
    <n v="76"/>
    <x v="0"/>
    <x v="1"/>
    <x v="892"/>
    <x v="0"/>
    <s v="DISCOUNT NOT ALLOWED"/>
    <s v="discount not allowed"/>
    <s v="DISCOUNT NOT ALLOWED"/>
    <s v="Discount Not Allowed"/>
    <s v="07/01/22"/>
  </r>
  <r>
    <s v="TXN_4491503"/>
    <s v="CUST_10"/>
    <x v="0"/>
    <x v="17"/>
    <x v="2"/>
    <x v="8"/>
    <n v="76"/>
    <x v="0"/>
    <x v="1"/>
    <x v="1074"/>
    <x v="0"/>
    <s v="DISCOUNT NOT ALLOWED"/>
    <s v="discount not allowed"/>
    <s v="DISCOUNT NOT ALLOWED"/>
    <s v="Discount Not Allowed"/>
    <s v="31/05/24"/>
  </r>
  <r>
    <s v="TXN_4494003"/>
    <s v="CUST_02"/>
    <x v="5"/>
    <x v="15"/>
    <x v="2"/>
    <x v="8"/>
    <n v="76"/>
    <x v="1"/>
    <x v="1"/>
    <x v="874"/>
    <x v="0"/>
    <s v="DISCOUNT NOT ALLOWED"/>
    <s v="discount not allowed"/>
    <s v="DISCOUNT NOT ALLOWED"/>
    <s v="Discount Not Allowed"/>
    <s v="06/09/24"/>
  </r>
  <r>
    <s v="TXN_4709320"/>
    <s v="CUST_14"/>
    <x v="3"/>
    <x v="16"/>
    <x v="2"/>
    <x v="8"/>
    <n v="76"/>
    <x v="0"/>
    <x v="1"/>
    <x v="447"/>
    <x v="0"/>
    <s v="DISCOUNT NOT ALLOWED"/>
    <s v="discount not allowed"/>
    <s v="DISCOUNT NOT ALLOWED"/>
    <s v="Discount Not Allowed"/>
    <s v="08/01/24"/>
  </r>
  <r>
    <s v="TXN_4993247"/>
    <s v="CUST_23"/>
    <x v="5"/>
    <x v="15"/>
    <x v="2"/>
    <x v="8"/>
    <n v="76"/>
    <x v="2"/>
    <x v="0"/>
    <x v="840"/>
    <x v="0"/>
    <s v="DISCOUNT NOT ALLOWED"/>
    <s v="discount not allowed"/>
    <s v="DISCOUNT NOT ALLOWED"/>
    <s v="Discount Not Allowed"/>
    <s v="07/03/22"/>
  </r>
  <r>
    <s v="TXN_5383343"/>
    <s v="CUST_10"/>
    <x v="7"/>
    <x v="21"/>
    <x v="2"/>
    <x v="8"/>
    <n v="76"/>
    <x v="1"/>
    <x v="1"/>
    <x v="439"/>
    <x v="1"/>
    <s v="DISCOUNT ALLOWED"/>
    <s v="discount allowed"/>
    <s v="DISCOUNT ALLOWED"/>
    <s v="Discount Allowed"/>
    <s v="19/10/24"/>
  </r>
  <r>
    <s v="TXN_5389189"/>
    <s v="CUST_04"/>
    <x v="1"/>
    <x v="169"/>
    <x v="21"/>
    <x v="2"/>
    <n v="76"/>
    <x v="1"/>
    <x v="1"/>
    <x v="355"/>
    <x v="1"/>
    <s v="DISCOUNT ALLOWED"/>
    <s v="discount allowed"/>
    <s v="DISCOUNT ALLOWED"/>
    <s v="Discount Allowed"/>
    <s v="23/12/24"/>
  </r>
  <r>
    <s v="TXN_5597194"/>
    <s v="CUST_12"/>
    <x v="0"/>
    <x v="17"/>
    <x v="2"/>
    <x v="8"/>
    <n v="76"/>
    <x v="1"/>
    <x v="0"/>
    <x v="1052"/>
    <x v="1"/>
    <s v="DISCOUNT ALLOWED"/>
    <s v="discount allowed"/>
    <s v="DISCOUNT ALLOWED"/>
    <s v="Discount Allowed"/>
    <s v="18/09/23"/>
  </r>
  <r>
    <s v="TXN_5628115"/>
    <s v="CUST_08"/>
    <x v="0"/>
    <x v="17"/>
    <x v="2"/>
    <x v="8"/>
    <n v="76"/>
    <x v="0"/>
    <x v="0"/>
    <x v="19"/>
    <x v="1"/>
    <s v="DISCOUNT ALLOWED"/>
    <s v="discount allowed"/>
    <s v="DISCOUNT ALLOWED"/>
    <s v="Discount Allowed"/>
    <s v="13/08/23"/>
  </r>
  <r>
    <s v="TXN_5635734"/>
    <s v="CUST_14"/>
    <x v="6"/>
    <x v="18"/>
    <x v="2"/>
    <x v="8"/>
    <n v="76"/>
    <x v="0"/>
    <x v="0"/>
    <x v="703"/>
    <x v="0"/>
    <s v="DISCOUNT NOT ALLOWED"/>
    <s v="discount not allowed"/>
    <s v="DISCOUNT NOT ALLOWED"/>
    <s v="Discount Not Allowed"/>
    <s v="31/01/24"/>
  </r>
  <r>
    <s v="TXN_5639217"/>
    <s v="CUST_16"/>
    <x v="6"/>
    <x v="18"/>
    <x v="2"/>
    <x v="8"/>
    <n v="76"/>
    <x v="2"/>
    <x v="1"/>
    <x v="31"/>
    <x v="0"/>
    <s v="DISCOUNT NOT ALLOWED"/>
    <s v="discount not allowed"/>
    <s v="DISCOUNT NOT ALLOWED"/>
    <s v="Discount Not Allowed"/>
    <s v="05/07/22"/>
  </r>
  <r>
    <s v="TXN_5704093"/>
    <s v="CUST_09"/>
    <x v="5"/>
    <x v="167"/>
    <x v="21"/>
    <x v="2"/>
    <n v="76"/>
    <x v="0"/>
    <x v="0"/>
    <x v="330"/>
    <x v="0"/>
    <s v="DISCOUNT NOT ALLOWED"/>
    <s v="discount not allowed"/>
    <s v="DISCOUNT NOT ALLOWED"/>
    <s v="Discount Not Allowed"/>
    <s v="23/04/24"/>
  </r>
  <r>
    <s v="TXN_6437443"/>
    <s v="CUST_24"/>
    <x v="7"/>
    <x v="170"/>
    <x v="21"/>
    <x v="2"/>
    <n v="76"/>
    <x v="0"/>
    <x v="1"/>
    <x v="1076"/>
    <x v="0"/>
    <s v="DISCOUNT NOT ALLOWED"/>
    <s v="discount not allowed"/>
    <s v="DISCOUNT NOT ALLOWED"/>
    <s v="Discount Not Allowed"/>
    <s v="26/11/24"/>
  </r>
  <r>
    <s v="TXN_6635815"/>
    <s v="CUST_03"/>
    <x v="3"/>
    <x v="16"/>
    <x v="2"/>
    <x v="8"/>
    <n v="76"/>
    <x v="1"/>
    <x v="1"/>
    <x v="1092"/>
    <x v="0"/>
    <s v="DISCOUNT NOT ALLOWED"/>
    <s v="discount not allowed"/>
    <s v="DISCOUNT NOT ALLOWED"/>
    <s v="Discount Not Allowed"/>
    <s v="05/02/22"/>
  </r>
  <r>
    <s v="TXN_6868890"/>
    <s v="CUST_15"/>
    <x v="0"/>
    <x v="17"/>
    <x v="2"/>
    <x v="8"/>
    <n v="76"/>
    <x v="0"/>
    <x v="1"/>
    <x v="485"/>
    <x v="0"/>
    <s v="DISCOUNT NOT ALLOWED"/>
    <s v="discount not allowed"/>
    <s v="DISCOUNT NOT ALLOWED"/>
    <s v="Discount Not Allowed"/>
    <s v="05/01/23"/>
  </r>
  <r>
    <s v="TXN_7026068"/>
    <s v="CUST_06"/>
    <x v="5"/>
    <x v="15"/>
    <x v="2"/>
    <x v="8"/>
    <n v="76"/>
    <x v="0"/>
    <x v="1"/>
    <x v="217"/>
    <x v="1"/>
    <s v="DISCOUNT ALLOWED"/>
    <s v="discount allowed"/>
    <s v="DISCOUNT ALLOWED"/>
    <s v="Discount Allowed"/>
    <s v="12/01/24"/>
  </r>
  <r>
    <s v="TXN_7039501"/>
    <s v="CUST_15"/>
    <x v="3"/>
    <x v="16"/>
    <x v="2"/>
    <x v="8"/>
    <n v="76"/>
    <x v="1"/>
    <x v="0"/>
    <x v="23"/>
    <x v="0"/>
    <s v="DISCOUNT NOT ALLOWED"/>
    <s v="discount not allowed"/>
    <s v="DISCOUNT NOT ALLOWED"/>
    <s v="Discount Not Allowed"/>
    <s v="31/08/24"/>
  </r>
  <r>
    <s v="TXN_7394333"/>
    <s v="CUST_13"/>
    <x v="7"/>
    <x v="170"/>
    <x v="21"/>
    <x v="2"/>
    <n v="76"/>
    <x v="0"/>
    <x v="0"/>
    <x v="393"/>
    <x v="1"/>
    <s v="DISCOUNT ALLOWED"/>
    <s v="discount allowed"/>
    <s v="DISCOUNT ALLOWED"/>
    <s v="Discount Allowed"/>
    <s v="18/10/22"/>
  </r>
  <r>
    <s v="TXN_7480606"/>
    <s v="CUST_23"/>
    <x v="6"/>
    <x v="18"/>
    <x v="2"/>
    <x v="8"/>
    <n v="76"/>
    <x v="0"/>
    <x v="1"/>
    <x v="441"/>
    <x v="0"/>
    <s v="DISCOUNT NOT ALLOWED"/>
    <s v="discount not allowed"/>
    <s v="DISCOUNT NOT ALLOWED"/>
    <s v="Discount Not Allowed"/>
    <s v="09/05/22"/>
  </r>
  <r>
    <s v="TXN_8210536"/>
    <s v="CUST_02"/>
    <x v="3"/>
    <x v="16"/>
    <x v="2"/>
    <x v="8"/>
    <n v="76"/>
    <x v="0"/>
    <x v="1"/>
    <x v="625"/>
    <x v="0"/>
    <s v="DISCOUNT NOT ALLOWED"/>
    <s v="discount not allowed"/>
    <s v="DISCOUNT NOT ALLOWED"/>
    <s v="Discount Not Allowed"/>
    <s v="13/11/22"/>
  </r>
  <r>
    <s v="TXN_8321017"/>
    <s v="CUST_02"/>
    <x v="5"/>
    <x v="15"/>
    <x v="2"/>
    <x v="8"/>
    <n v="76"/>
    <x v="1"/>
    <x v="1"/>
    <x v="694"/>
    <x v="1"/>
    <s v="DISCOUNT ALLOWED"/>
    <s v="discount allowed"/>
    <s v="DISCOUNT ALLOWED"/>
    <s v="Discount Allowed"/>
    <s v="28/01/23"/>
  </r>
  <r>
    <s v="TXN_8883302"/>
    <s v="CUST_23"/>
    <x v="4"/>
    <x v="22"/>
    <x v="2"/>
    <x v="8"/>
    <n v="76"/>
    <x v="1"/>
    <x v="1"/>
    <x v="972"/>
    <x v="0"/>
    <s v="DISCOUNT NOT ALLOWED"/>
    <s v="discount not allowed"/>
    <s v="DISCOUNT NOT ALLOWED"/>
    <s v="Discount Not Allowed"/>
    <s v="06/08/23"/>
  </r>
  <r>
    <s v="TXN_8919663"/>
    <s v="CUST_21"/>
    <x v="5"/>
    <x v="167"/>
    <x v="21"/>
    <x v="2"/>
    <n v="76"/>
    <x v="1"/>
    <x v="1"/>
    <x v="641"/>
    <x v="1"/>
    <s v="DISCOUNT ALLOWED"/>
    <s v="discount allowed"/>
    <s v="DISCOUNT ALLOWED"/>
    <s v="Discount Allowed"/>
    <s v="09/01/22"/>
  </r>
  <r>
    <s v="TXN_9065245"/>
    <s v="CUST_02"/>
    <x v="4"/>
    <x v="22"/>
    <x v="2"/>
    <x v="8"/>
    <n v="76"/>
    <x v="0"/>
    <x v="1"/>
    <x v="994"/>
    <x v="0"/>
    <s v="DISCOUNT NOT ALLOWED"/>
    <s v="discount not allowed"/>
    <s v="DISCOUNT NOT ALLOWED"/>
    <s v="Discount Not Allowed"/>
    <s v="10/03/24"/>
  </r>
  <r>
    <s v="TXN_9181921"/>
    <s v="CUST_16"/>
    <x v="2"/>
    <x v="20"/>
    <x v="2"/>
    <x v="8"/>
    <n v="76"/>
    <x v="1"/>
    <x v="1"/>
    <x v="322"/>
    <x v="1"/>
    <s v="DISCOUNT ALLOWED"/>
    <s v="discount allowed"/>
    <s v="DISCOUNT ALLOWED"/>
    <s v="Discount Allowed"/>
    <s v="22/06/23"/>
  </r>
  <r>
    <s v="TXN_9235754"/>
    <s v="CUST_10"/>
    <x v="5"/>
    <x v="15"/>
    <x v="2"/>
    <x v="8"/>
    <n v="76"/>
    <x v="0"/>
    <x v="0"/>
    <x v="169"/>
    <x v="0"/>
    <s v="DISCOUNT NOT ALLOWED"/>
    <s v="discount not allowed"/>
    <s v="DISCOUNT NOT ALLOWED"/>
    <s v="Discount Not Allowed"/>
    <s v="03/05/24"/>
  </r>
  <r>
    <s v="TXN_9659532"/>
    <s v="CUST_21"/>
    <x v="2"/>
    <x v="171"/>
    <x v="21"/>
    <x v="2"/>
    <n v="76"/>
    <x v="1"/>
    <x v="1"/>
    <x v="459"/>
    <x v="1"/>
    <s v="DISCOUNT ALLOWED"/>
    <s v="discount allowed"/>
    <s v="DISCOUNT ALLOWED"/>
    <s v="Discount Allowed"/>
    <s v="08/01/23"/>
  </r>
  <r>
    <s v="TXN_9662222"/>
    <s v="CUST_10"/>
    <x v="6"/>
    <x v="18"/>
    <x v="2"/>
    <x v="8"/>
    <n v="76"/>
    <x v="1"/>
    <x v="0"/>
    <x v="640"/>
    <x v="0"/>
    <s v="DISCOUNT NOT ALLOWED"/>
    <s v="discount not allowed"/>
    <s v="DISCOUNT NOT ALLOWED"/>
    <s v="Discount Not Allowed"/>
    <s v="26/09/24"/>
  </r>
  <r>
    <s v="TXN_9702329"/>
    <s v="CUST_15"/>
    <x v="3"/>
    <x v="16"/>
    <x v="2"/>
    <x v="8"/>
    <n v="76"/>
    <x v="2"/>
    <x v="1"/>
    <x v="134"/>
    <x v="1"/>
    <s v="DISCOUNT ALLOWED"/>
    <s v="discount allowed"/>
    <s v="DISCOUNT ALLOWED"/>
    <s v="Discount Allowed"/>
    <s v="11/02/22"/>
  </r>
  <r>
    <s v="TXN_9750559"/>
    <s v="CUST_18"/>
    <x v="7"/>
    <x v="21"/>
    <x v="2"/>
    <x v="8"/>
    <n v="76"/>
    <x v="1"/>
    <x v="0"/>
    <x v="351"/>
    <x v="1"/>
    <s v="DISCOUNT ALLOWED"/>
    <s v="discount allowed"/>
    <s v="DISCOUNT ALLOWED"/>
    <s v="Discount Allowed"/>
    <s v="24/01/23"/>
  </r>
  <r>
    <s v="TXN_9889424"/>
    <s v="CUST_04"/>
    <x v="6"/>
    <x v="18"/>
    <x v="2"/>
    <x v="8"/>
    <n v="76"/>
    <x v="2"/>
    <x v="1"/>
    <x v="8"/>
    <x v="0"/>
    <s v="DISCOUNT NOT ALLOWED"/>
    <s v="discount not allowed"/>
    <s v="DISCOUNT NOT ALLOWED"/>
    <s v="Discount Not Allowed"/>
    <s v="04/01/25"/>
  </r>
  <r>
    <s v="TXN_9978007"/>
    <s v="CUST_14"/>
    <x v="5"/>
    <x v="15"/>
    <x v="2"/>
    <x v="8"/>
    <n v="76"/>
    <x v="1"/>
    <x v="1"/>
    <x v="578"/>
    <x v="0"/>
    <s v="DISCOUNT NOT ALLOWED"/>
    <s v="discount not allowed"/>
    <s v="DISCOUNT NOT ALLOWED"/>
    <s v="Discount Not Allowed"/>
    <s v="02/11/22"/>
  </r>
  <r>
    <s v="TXN_1031335"/>
    <s v="CUST_21"/>
    <x v="5"/>
    <x v="159"/>
    <x v="19"/>
    <x v="4"/>
    <n v="75"/>
    <x v="1"/>
    <x v="1"/>
    <x v="982"/>
    <x v="0"/>
    <s v="DISCOUNT NOT ALLOWED"/>
    <s v="discount not allowed"/>
    <s v="DISCOUNT NOT ALLOWED"/>
    <s v="Discount Not Allowed"/>
    <s v="19/11/24"/>
  </r>
  <r>
    <s v="TXN_1056560"/>
    <s v="CUST_22"/>
    <x v="2"/>
    <x v="158"/>
    <x v="19"/>
    <x v="4"/>
    <n v="75"/>
    <x v="1"/>
    <x v="1"/>
    <x v="598"/>
    <x v="1"/>
    <s v="DISCOUNT ALLOWED"/>
    <s v="discount allowed"/>
    <s v="DISCOUNT ALLOWED"/>
    <s v="Discount Allowed"/>
    <s v="06/03/24"/>
  </r>
  <r>
    <s v="TXN_1701594"/>
    <s v="CUST_01"/>
    <x v="0"/>
    <x v="154"/>
    <x v="19"/>
    <x v="4"/>
    <n v="75"/>
    <x v="2"/>
    <x v="0"/>
    <x v="350"/>
    <x v="1"/>
    <s v="DISCOUNT ALLOWED"/>
    <s v="discount allowed"/>
    <s v="DISCOUNT ALLOWED"/>
    <s v="Discount Allowed"/>
    <s v="15/01/22"/>
  </r>
  <r>
    <s v="TXN_2721068"/>
    <s v="CUST_15"/>
    <x v="5"/>
    <x v="159"/>
    <x v="19"/>
    <x v="4"/>
    <n v="75"/>
    <x v="1"/>
    <x v="1"/>
    <x v="650"/>
    <x v="0"/>
    <s v="DISCOUNT NOT ALLOWED"/>
    <s v="discount not allowed"/>
    <s v="DISCOUNT NOT ALLOWED"/>
    <s v="Discount Not Allowed"/>
    <s v="03/01/23"/>
  </r>
  <r>
    <s v="TXN_2985156"/>
    <s v="CUST_15"/>
    <x v="2"/>
    <x v="158"/>
    <x v="19"/>
    <x v="4"/>
    <n v="75"/>
    <x v="0"/>
    <x v="0"/>
    <x v="698"/>
    <x v="1"/>
    <s v="DISCOUNT ALLOWED"/>
    <s v="discount allowed"/>
    <s v="DISCOUNT ALLOWED"/>
    <s v="Discount Allowed"/>
    <s v="30/01/23"/>
  </r>
  <r>
    <s v="TXN_3634960"/>
    <s v="CUST_19"/>
    <x v="4"/>
    <x v="155"/>
    <x v="19"/>
    <x v="4"/>
    <n v="75"/>
    <x v="0"/>
    <x v="0"/>
    <x v="990"/>
    <x v="0"/>
    <s v="DISCOUNT NOT ALLOWED"/>
    <s v="discount not allowed"/>
    <s v="DISCOUNT NOT ALLOWED"/>
    <s v="Discount Not Allowed"/>
    <s v="29/07/23"/>
  </r>
  <r>
    <s v="TXN_3770345"/>
    <s v="CUST_25"/>
    <x v="0"/>
    <x v="154"/>
    <x v="19"/>
    <x v="4"/>
    <n v="75"/>
    <x v="0"/>
    <x v="0"/>
    <x v="155"/>
    <x v="1"/>
    <s v="DISCOUNT ALLOWED"/>
    <s v="discount allowed"/>
    <s v="DISCOUNT ALLOWED"/>
    <s v="Discount Allowed"/>
    <s v="19/02/22"/>
  </r>
  <r>
    <s v="TXN_4704137"/>
    <s v="CUST_03"/>
    <x v="4"/>
    <x v="155"/>
    <x v="19"/>
    <x v="4"/>
    <n v="75"/>
    <x v="2"/>
    <x v="1"/>
    <x v="423"/>
    <x v="0"/>
    <s v="DISCOUNT NOT ALLOWED"/>
    <s v="discount not allowed"/>
    <s v="DISCOUNT NOT ALLOWED"/>
    <s v="Discount Not Allowed"/>
    <s v="13/07/24"/>
  </r>
  <r>
    <s v="TXN_4743265"/>
    <s v="CUST_14"/>
    <x v="0"/>
    <x v="154"/>
    <x v="19"/>
    <x v="4"/>
    <n v="75"/>
    <x v="1"/>
    <x v="0"/>
    <x v="543"/>
    <x v="1"/>
    <s v="DISCOUNT ALLOWED"/>
    <s v="discount allowed"/>
    <s v="DISCOUNT ALLOWED"/>
    <s v="Discount Allowed"/>
    <s v="17/11/22"/>
  </r>
  <r>
    <s v="TXN_4996657"/>
    <s v="CUST_12"/>
    <x v="4"/>
    <x v="155"/>
    <x v="19"/>
    <x v="4"/>
    <n v="75"/>
    <x v="0"/>
    <x v="0"/>
    <x v="997"/>
    <x v="0"/>
    <s v="DISCOUNT NOT ALLOWED"/>
    <s v="discount not allowed"/>
    <s v="DISCOUNT NOT ALLOWED"/>
    <s v="Discount Not Allowed"/>
    <s v="31/07/22"/>
  </r>
  <r>
    <s v="TXN_5286530"/>
    <s v="CUST_01"/>
    <x v="6"/>
    <x v="152"/>
    <x v="19"/>
    <x v="4"/>
    <n v="75"/>
    <x v="0"/>
    <x v="1"/>
    <x v="443"/>
    <x v="1"/>
    <s v="DISCOUNT ALLOWED"/>
    <s v="discount allowed"/>
    <s v="DISCOUNT ALLOWED"/>
    <s v="Discount Allowed"/>
    <s v="28/02/24"/>
  </r>
  <r>
    <s v="TXN_5498711"/>
    <s v="CUST_20"/>
    <x v="2"/>
    <x v="158"/>
    <x v="19"/>
    <x v="4"/>
    <n v="75"/>
    <x v="2"/>
    <x v="0"/>
    <x v="355"/>
    <x v="1"/>
    <s v="DISCOUNT ALLOWED"/>
    <s v="discount allowed"/>
    <s v="DISCOUNT ALLOWED"/>
    <s v="Discount Allowed"/>
    <s v="23/12/24"/>
  </r>
  <r>
    <s v="TXN_5507888"/>
    <s v="CUST_23"/>
    <x v="3"/>
    <x v="157"/>
    <x v="19"/>
    <x v="4"/>
    <n v="75"/>
    <x v="2"/>
    <x v="1"/>
    <x v="1029"/>
    <x v="1"/>
    <s v="DISCOUNT ALLOWED"/>
    <s v="discount allowed"/>
    <s v="DISCOUNT ALLOWED"/>
    <s v="Discount Allowed"/>
    <s v="03/01/24"/>
  </r>
  <r>
    <s v="TXN_5714071"/>
    <s v="CUST_23"/>
    <x v="2"/>
    <x v="158"/>
    <x v="19"/>
    <x v="4"/>
    <n v="75"/>
    <x v="1"/>
    <x v="0"/>
    <x v="673"/>
    <x v="1"/>
    <s v="DISCOUNT ALLOWED"/>
    <s v="discount allowed"/>
    <s v="DISCOUNT ALLOWED"/>
    <s v="Discount Allowed"/>
    <s v="12/02/23"/>
  </r>
  <r>
    <s v="TXN_5747087"/>
    <s v="CUST_23"/>
    <x v="0"/>
    <x v="154"/>
    <x v="19"/>
    <x v="4"/>
    <n v="75"/>
    <x v="1"/>
    <x v="0"/>
    <x v="159"/>
    <x v="0"/>
    <s v="DISCOUNT NOT ALLOWED"/>
    <s v="discount not allowed"/>
    <s v="DISCOUNT NOT ALLOWED"/>
    <s v="Discount Not Allowed"/>
    <s v="07/12/22"/>
  </r>
  <r>
    <s v="TXN_5796919"/>
    <s v="CUST_09"/>
    <x v="0"/>
    <x v="154"/>
    <x v="19"/>
    <x v="4"/>
    <n v="75"/>
    <x v="0"/>
    <x v="0"/>
    <x v="493"/>
    <x v="0"/>
    <s v="DISCOUNT NOT ALLOWED"/>
    <s v="discount not allowed"/>
    <s v="DISCOUNT NOT ALLOWED"/>
    <s v="Discount Not Allowed"/>
    <s v="03/06/24"/>
  </r>
  <r>
    <s v="TXN_5939026"/>
    <s v="CUST_01"/>
    <x v="2"/>
    <x v="158"/>
    <x v="19"/>
    <x v="4"/>
    <n v="75"/>
    <x v="0"/>
    <x v="1"/>
    <x v="513"/>
    <x v="0"/>
    <s v="DISCOUNT NOT ALLOWED"/>
    <s v="discount not allowed"/>
    <s v="DISCOUNT NOT ALLOWED"/>
    <s v="Discount Not Allowed"/>
    <s v="01/07/24"/>
  </r>
  <r>
    <s v="TXN_6478731"/>
    <s v="CUST_15"/>
    <x v="2"/>
    <x v="158"/>
    <x v="19"/>
    <x v="4"/>
    <n v="75"/>
    <x v="0"/>
    <x v="0"/>
    <x v="683"/>
    <x v="0"/>
    <s v="DISCOUNT NOT ALLOWED"/>
    <s v="discount not allowed"/>
    <s v="DISCOUNT NOT ALLOWED"/>
    <s v="Discount Not Allowed"/>
    <s v="21/02/22"/>
  </r>
  <r>
    <s v="TXN_6868345"/>
    <s v="CUST_25"/>
    <x v="1"/>
    <x v="156"/>
    <x v="19"/>
    <x v="4"/>
    <n v="75"/>
    <x v="2"/>
    <x v="0"/>
    <x v="810"/>
    <x v="1"/>
    <s v="DISCOUNT ALLOWED"/>
    <s v="discount allowed"/>
    <s v="DISCOUNT ALLOWED"/>
    <s v="Discount Allowed"/>
    <s v="16/11/23"/>
  </r>
  <r>
    <s v="TXN_6950467"/>
    <s v="CUST_01"/>
    <x v="6"/>
    <x v="152"/>
    <x v="19"/>
    <x v="4"/>
    <n v="75"/>
    <x v="0"/>
    <x v="1"/>
    <x v="184"/>
    <x v="1"/>
    <s v="DISCOUNT ALLOWED"/>
    <s v="discount allowed"/>
    <s v="DISCOUNT ALLOWED"/>
    <s v="Discount Allowed"/>
    <s v="01/01/22"/>
  </r>
  <r>
    <s v="TXN_6964259"/>
    <s v="CUST_14"/>
    <x v="0"/>
    <x v="154"/>
    <x v="19"/>
    <x v="4"/>
    <n v="75"/>
    <x v="2"/>
    <x v="0"/>
    <x v="494"/>
    <x v="0"/>
    <s v="DISCOUNT NOT ALLOWED"/>
    <s v="discount not allowed"/>
    <s v="DISCOUNT NOT ALLOWED"/>
    <s v="Discount Not Allowed"/>
    <s v="29/09/23"/>
  </r>
  <r>
    <s v="TXN_7131796"/>
    <s v="CUST_14"/>
    <x v="2"/>
    <x v="158"/>
    <x v="19"/>
    <x v="4"/>
    <n v="75"/>
    <x v="2"/>
    <x v="0"/>
    <x v="799"/>
    <x v="1"/>
    <s v="DISCOUNT ALLOWED"/>
    <s v="discount allowed"/>
    <s v="DISCOUNT ALLOWED"/>
    <s v="Discount Allowed"/>
    <s v="30/10/24"/>
  </r>
  <r>
    <s v="TXN_7856927"/>
    <s v="CUST_10"/>
    <x v="7"/>
    <x v="153"/>
    <x v="19"/>
    <x v="4"/>
    <n v="75"/>
    <x v="0"/>
    <x v="0"/>
    <x v="155"/>
    <x v="1"/>
    <s v="DISCOUNT ALLOWED"/>
    <s v="discount allowed"/>
    <s v="DISCOUNT ALLOWED"/>
    <s v="Discount Allowed"/>
    <s v="19/02/22"/>
  </r>
  <r>
    <s v="TXN_8017386"/>
    <s v="CUST_24"/>
    <x v="5"/>
    <x v="159"/>
    <x v="19"/>
    <x v="4"/>
    <n v="75"/>
    <x v="1"/>
    <x v="0"/>
    <x v="96"/>
    <x v="1"/>
    <s v="DISCOUNT ALLOWED"/>
    <s v="discount allowed"/>
    <s v="DISCOUNT ALLOWED"/>
    <s v="Discount Allowed"/>
    <s v="11/04/23"/>
  </r>
  <r>
    <s v="TXN_8215831"/>
    <s v="CUST_02"/>
    <x v="3"/>
    <x v="157"/>
    <x v="19"/>
    <x v="4"/>
    <n v="75"/>
    <x v="1"/>
    <x v="1"/>
    <x v="409"/>
    <x v="0"/>
    <s v="DISCOUNT NOT ALLOWED"/>
    <s v="discount not allowed"/>
    <s v="DISCOUNT NOT ALLOWED"/>
    <s v="Discount Not Allowed"/>
    <s v="13/07/23"/>
  </r>
  <r>
    <s v="TXN_8376834"/>
    <s v="CUST_16"/>
    <x v="6"/>
    <x v="152"/>
    <x v="19"/>
    <x v="4"/>
    <n v="75"/>
    <x v="0"/>
    <x v="0"/>
    <x v="245"/>
    <x v="0"/>
    <s v="DISCOUNT NOT ALLOWED"/>
    <s v="discount not allowed"/>
    <s v="DISCOUNT NOT ALLOWED"/>
    <s v="Discount Not Allowed"/>
    <s v="03/02/23"/>
  </r>
  <r>
    <s v="TXN_8380333"/>
    <s v="CUST_23"/>
    <x v="1"/>
    <x v="156"/>
    <x v="19"/>
    <x v="4"/>
    <n v="75"/>
    <x v="1"/>
    <x v="1"/>
    <x v="1092"/>
    <x v="0"/>
    <s v="DISCOUNT NOT ALLOWED"/>
    <s v="discount not allowed"/>
    <s v="DISCOUNT NOT ALLOWED"/>
    <s v="Discount Not Allowed"/>
    <s v="05/02/22"/>
  </r>
  <r>
    <s v="TXN_8684883"/>
    <s v="CUST_01"/>
    <x v="6"/>
    <x v="152"/>
    <x v="19"/>
    <x v="4"/>
    <n v="75"/>
    <x v="1"/>
    <x v="0"/>
    <x v="1045"/>
    <x v="1"/>
    <s v="DISCOUNT ALLOWED"/>
    <s v="discount allowed"/>
    <s v="DISCOUNT ALLOWED"/>
    <s v="Discount Allowed"/>
    <s v="15/11/22"/>
  </r>
  <r>
    <s v="TXN_8928987"/>
    <s v="CUST_16"/>
    <x v="6"/>
    <x v="152"/>
    <x v="19"/>
    <x v="4"/>
    <n v="75"/>
    <x v="1"/>
    <x v="0"/>
    <x v="567"/>
    <x v="1"/>
    <s v="DISCOUNT ALLOWED"/>
    <s v="discount allowed"/>
    <s v="DISCOUNT ALLOWED"/>
    <s v="Discount Allowed"/>
    <s v="01/03/22"/>
  </r>
  <r>
    <s v="TXN_9293724"/>
    <s v="CUST_18"/>
    <x v="5"/>
    <x v="159"/>
    <x v="19"/>
    <x v="4"/>
    <n v="75"/>
    <x v="1"/>
    <x v="1"/>
    <x v="625"/>
    <x v="0"/>
    <s v="DISCOUNT NOT ALLOWED"/>
    <s v="discount not allowed"/>
    <s v="DISCOUNT NOT ALLOWED"/>
    <s v="Discount Not Allowed"/>
    <s v="13/11/22"/>
  </r>
  <r>
    <s v="TXN_9333754"/>
    <s v="CUST_09"/>
    <x v="7"/>
    <x v="153"/>
    <x v="19"/>
    <x v="4"/>
    <n v="75"/>
    <x v="2"/>
    <x v="0"/>
    <x v="848"/>
    <x v="1"/>
    <s v="DISCOUNT ALLOWED"/>
    <s v="discount allowed"/>
    <s v="DISCOUNT ALLOWED"/>
    <s v="Discount Allowed"/>
    <s v="22/10/22"/>
  </r>
  <r>
    <s v="TXN_9368743"/>
    <s v="CUST_24"/>
    <x v="7"/>
    <x v="153"/>
    <x v="19"/>
    <x v="4"/>
    <n v="75"/>
    <x v="0"/>
    <x v="0"/>
    <x v="978"/>
    <x v="0"/>
    <s v="DISCOUNT NOT ALLOWED"/>
    <s v="discount not allowed"/>
    <s v="DISCOUNT NOT ALLOWED"/>
    <s v="Discount Not Allowed"/>
    <s v="09/01/25"/>
  </r>
  <r>
    <s v="TXN_9532815"/>
    <s v="CUST_17"/>
    <x v="0"/>
    <x v="154"/>
    <x v="19"/>
    <x v="4"/>
    <n v="75"/>
    <x v="2"/>
    <x v="0"/>
    <x v="27"/>
    <x v="1"/>
    <s v="DISCOUNT ALLOWED"/>
    <s v="discount allowed"/>
    <s v="DISCOUNT ALLOWED"/>
    <s v="Discount Allowed"/>
    <s v="25/12/23"/>
  </r>
  <r>
    <s v="TXN_9612422"/>
    <s v="CUST_04"/>
    <x v="3"/>
    <x v="157"/>
    <x v="19"/>
    <x v="4"/>
    <n v="75"/>
    <x v="0"/>
    <x v="1"/>
    <x v="624"/>
    <x v="0"/>
    <s v="DISCOUNT NOT ALLOWED"/>
    <s v="discount not allowed"/>
    <s v="DISCOUNT NOT ALLOWED"/>
    <s v="Discount Not Allowed"/>
    <s v="30/01/22"/>
  </r>
  <r>
    <s v="TXN_9848727"/>
    <s v="CUST_05"/>
    <x v="5"/>
    <x v="159"/>
    <x v="19"/>
    <x v="4"/>
    <n v="75"/>
    <x v="0"/>
    <x v="1"/>
    <x v="549"/>
    <x v="1"/>
    <s v="DISCOUNT ALLOWED"/>
    <s v="discount allowed"/>
    <s v="DISCOUNT ALLOWED"/>
    <s v="Discount Allowed"/>
    <s v="18/03/23"/>
  </r>
  <r>
    <s v="TXN_9986809"/>
    <s v="CUST_10"/>
    <x v="1"/>
    <x v="156"/>
    <x v="19"/>
    <x v="4"/>
    <n v="75"/>
    <x v="2"/>
    <x v="0"/>
    <x v="993"/>
    <x v="1"/>
    <s v="DISCOUNT ALLOWED"/>
    <s v="discount allowed"/>
    <s v="DISCOUNT ALLOWED"/>
    <s v="Discount Allowed"/>
    <s v="20/08/22"/>
  </r>
  <r>
    <s v="TXN_1617887"/>
    <s v="CUST_19"/>
    <x v="2"/>
    <x v="117"/>
    <x v="15"/>
    <x v="6"/>
    <n v="74"/>
    <x v="0"/>
    <x v="0"/>
    <x v="472"/>
    <x v="1"/>
    <s v="DISCOUNT ALLOWED"/>
    <s v="discount allowed"/>
    <s v="DISCOUNT ALLOWED"/>
    <s v="Discount Allowed"/>
    <s v="29/10/23"/>
  </r>
  <r>
    <s v="TXN_2647450"/>
    <s v="CUST_22"/>
    <x v="6"/>
    <x v="120"/>
    <x v="15"/>
    <x v="6"/>
    <n v="74"/>
    <x v="2"/>
    <x v="0"/>
    <x v="783"/>
    <x v="1"/>
    <s v="DISCOUNT ALLOWED"/>
    <s v="discount allowed"/>
    <s v="DISCOUNT ALLOWED"/>
    <s v="Discount Allowed"/>
    <s v="04/02/23"/>
  </r>
  <r>
    <s v="TXN_3129751"/>
    <s v="CUST_17"/>
    <x v="5"/>
    <x v="122"/>
    <x v="15"/>
    <x v="6"/>
    <n v="74"/>
    <x v="2"/>
    <x v="1"/>
    <x v="584"/>
    <x v="0"/>
    <s v="DISCOUNT NOT ALLOWED"/>
    <s v="discount not allowed"/>
    <s v="DISCOUNT NOT ALLOWED"/>
    <s v="Discount Not Allowed"/>
    <s v="08/04/23"/>
  </r>
  <r>
    <s v="TXN_3841423"/>
    <s v="CUST_22"/>
    <x v="4"/>
    <x v="118"/>
    <x v="15"/>
    <x v="6"/>
    <n v="74"/>
    <x v="1"/>
    <x v="0"/>
    <x v="920"/>
    <x v="1"/>
    <s v="DISCOUNT ALLOWED"/>
    <s v="discount allowed"/>
    <s v="DISCOUNT ALLOWED"/>
    <s v="Discount Allowed"/>
    <s v="03/07/23"/>
  </r>
  <r>
    <s v="TXN_4030118"/>
    <s v="CUST_04"/>
    <x v="6"/>
    <x v="120"/>
    <x v="15"/>
    <x v="6"/>
    <n v="74"/>
    <x v="2"/>
    <x v="1"/>
    <x v="481"/>
    <x v="0"/>
    <s v="DISCOUNT NOT ALLOWED"/>
    <s v="discount not allowed"/>
    <s v="DISCOUNT NOT ALLOWED"/>
    <s v="Discount Not Allowed"/>
    <s v="20/11/22"/>
  </r>
  <r>
    <s v="TXN_4494180"/>
    <s v="CUST_19"/>
    <x v="2"/>
    <x v="117"/>
    <x v="15"/>
    <x v="6"/>
    <n v="74"/>
    <x v="2"/>
    <x v="0"/>
    <x v="285"/>
    <x v="1"/>
    <s v="DISCOUNT ALLOWED"/>
    <s v="discount allowed"/>
    <s v="DISCOUNT ALLOWED"/>
    <s v="Discount Allowed"/>
    <s v="12/03/22"/>
  </r>
  <r>
    <s v="TXN_4954384"/>
    <s v="CUST_13"/>
    <x v="6"/>
    <x v="120"/>
    <x v="15"/>
    <x v="6"/>
    <n v="74"/>
    <x v="0"/>
    <x v="1"/>
    <x v="450"/>
    <x v="1"/>
    <s v="DISCOUNT ALLOWED"/>
    <s v="discount allowed"/>
    <s v="DISCOUNT ALLOWED"/>
    <s v="Discount Allowed"/>
    <s v="21/03/23"/>
  </r>
  <r>
    <s v="TXN_5123517"/>
    <s v="CUST_12"/>
    <x v="4"/>
    <x v="118"/>
    <x v="15"/>
    <x v="6"/>
    <n v="74"/>
    <x v="1"/>
    <x v="0"/>
    <x v="394"/>
    <x v="1"/>
    <s v="DISCOUNT ALLOWED"/>
    <s v="discount allowed"/>
    <s v="DISCOUNT ALLOWED"/>
    <s v="Discount Allowed"/>
    <s v="13/12/24"/>
  </r>
  <r>
    <s v="TXN_5341621"/>
    <s v="CUST_16"/>
    <x v="4"/>
    <x v="118"/>
    <x v="15"/>
    <x v="6"/>
    <n v="74"/>
    <x v="2"/>
    <x v="1"/>
    <x v="987"/>
    <x v="0"/>
    <s v="DISCOUNT NOT ALLOWED"/>
    <s v="discount not allowed"/>
    <s v="DISCOUNT NOT ALLOWED"/>
    <s v="Discount Not Allowed"/>
    <s v="06/07/22"/>
  </r>
  <r>
    <s v="TXN_5401881"/>
    <s v="CUST_22"/>
    <x v="1"/>
    <x v="121"/>
    <x v="15"/>
    <x v="6"/>
    <n v="74"/>
    <x v="1"/>
    <x v="1"/>
    <x v="149"/>
    <x v="0"/>
    <s v="DISCOUNT NOT ALLOWED"/>
    <s v="discount not allowed"/>
    <s v="DISCOUNT NOT ALLOWED"/>
    <s v="Discount Not Allowed"/>
    <s v="13/06/22"/>
  </r>
  <r>
    <s v="TXN_6582789"/>
    <s v="CUST_24"/>
    <x v="6"/>
    <x v="120"/>
    <x v="15"/>
    <x v="6"/>
    <n v="74"/>
    <x v="0"/>
    <x v="0"/>
    <x v="388"/>
    <x v="1"/>
    <s v="DISCOUNT ALLOWED"/>
    <s v="discount allowed"/>
    <s v="DISCOUNT ALLOWED"/>
    <s v="Discount Allowed"/>
    <s v="23/01/23"/>
  </r>
  <r>
    <s v="TXN_6632197"/>
    <s v="CUST_07"/>
    <x v="6"/>
    <x v="120"/>
    <x v="15"/>
    <x v="6"/>
    <n v="74"/>
    <x v="1"/>
    <x v="0"/>
    <x v="186"/>
    <x v="1"/>
    <s v="DISCOUNT ALLOWED"/>
    <s v="discount allowed"/>
    <s v="DISCOUNT ALLOWED"/>
    <s v="Discount Allowed"/>
    <s v="15/09/22"/>
  </r>
  <r>
    <s v="TXN_7405371"/>
    <s v="CUST_06"/>
    <x v="4"/>
    <x v="118"/>
    <x v="15"/>
    <x v="6"/>
    <n v="74"/>
    <x v="0"/>
    <x v="1"/>
    <x v="86"/>
    <x v="0"/>
    <s v="DISCOUNT NOT ALLOWED"/>
    <s v="discount not allowed"/>
    <s v="DISCOUNT NOT ALLOWED"/>
    <s v="Discount Not Allowed"/>
    <s v="30/04/23"/>
  </r>
  <r>
    <s v="TXN_7910126"/>
    <s v="CUST_10"/>
    <x v="4"/>
    <x v="118"/>
    <x v="15"/>
    <x v="6"/>
    <n v="74"/>
    <x v="0"/>
    <x v="0"/>
    <x v="65"/>
    <x v="1"/>
    <s v="DISCOUNT ALLOWED"/>
    <s v="discount allowed"/>
    <s v="DISCOUNT ALLOWED"/>
    <s v="Discount Allowed"/>
    <s v="02/09/24"/>
  </r>
  <r>
    <s v="TXN_7955635"/>
    <s v="CUST_25"/>
    <x v="6"/>
    <x v="120"/>
    <x v="15"/>
    <x v="6"/>
    <n v="74"/>
    <x v="2"/>
    <x v="1"/>
    <x v="1057"/>
    <x v="0"/>
    <s v="DISCOUNT NOT ALLOWED"/>
    <s v="discount not allowed"/>
    <s v="DISCOUNT NOT ALLOWED"/>
    <s v="Discount Not Allowed"/>
    <s v="19/03/23"/>
  </r>
  <r>
    <s v="TXN_9180138"/>
    <s v="CUST_08"/>
    <x v="0"/>
    <x v="123"/>
    <x v="15"/>
    <x v="6"/>
    <n v="74"/>
    <x v="2"/>
    <x v="1"/>
    <x v="464"/>
    <x v="1"/>
    <s v="DISCOUNT ALLOWED"/>
    <s v="discount allowed"/>
    <s v="DISCOUNT ALLOWED"/>
    <s v="Discount Allowed"/>
    <s v="13/01/22"/>
  </r>
  <r>
    <s v="TXN_9686128"/>
    <s v="CUST_05"/>
    <x v="6"/>
    <x v="120"/>
    <x v="15"/>
    <x v="6"/>
    <n v="74"/>
    <x v="0"/>
    <x v="0"/>
    <x v="795"/>
    <x v="0"/>
    <s v="DISCOUNT NOT ALLOWED"/>
    <s v="discount not allowed"/>
    <s v="DISCOUNT NOT ALLOWED"/>
    <s v="Discount Not Allowed"/>
    <s v="23/10/23"/>
  </r>
  <r>
    <s v="TXN_1640128"/>
    <s v="CUST_16"/>
    <x v="4"/>
    <x v="87"/>
    <x v="11"/>
    <x v="7"/>
    <n v="73.5"/>
    <x v="0"/>
    <x v="0"/>
    <x v="927"/>
    <x v="1"/>
    <s v="DISCOUNT ALLOWED"/>
    <s v="discount allowed"/>
    <s v="DISCOUNT ALLOWED"/>
    <s v="Discount Allowed"/>
    <s v="28/10/24"/>
  </r>
  <r>
    <s v="TXN_2046485"/>
    <s v="CUST_10"/>
    <x v="7"/>
    <x v="86"/>
    <x v="11"/>
    <x v="7"/>
    <n v="73.5"/>
    <x v="0"/>
    <x v="1"/>
    <x v="415"/>
    <x v="1"/>
    <s v="DISCOUNT ALLOWED"/>
    <s v="discount allowed"/>
    <s v="DISCOUNT ALLOWED"/>
    <s v="Discount Allowed"/>
    <s v="09/12/24"/>
  </r>
  <r>
    <s v="TXN_2402093"/>
    <s v="CUST_24"/>
    <x v="6"/>
    <x v="88"/>
    <x v="11"/>
    <x v="7"/>
    <n v="73.5"/>
    <x v="1"/>
    <x v="0"/>
    <x v="551"/>
    <x v="1"/>
    <s v="DISCOUNT ALLOWED"/>
    <s v="discount allowed"/>
    <s v="DISCOUNT ALLOWED"/>
    <s v="Discount Allowed"/>
    <s v="01/12/24"/>
  </r>
  <r>
    <s v="TXN_3268265"/>
    <s v="CUST_24"/>
    <x v="4"/>
    <x v="87"/>
    <x v="11"/>
    <x v="7"/>
    <n v="73.5"/>
    <x v="2"/>
    <x v="0"/>
    <x v="779"/>
    <x v="1"/>
    <s v="DISCOUNT ALLOWED"/>
    <s v="discount allowed"/>
    <s v="DISCOUNT ALLOWED"/>
    <s v="Discount Allowed"/>
    <s v="10/01/23"/>
  </r>
  <r>
    <s v="TXN_3534253"/>
    <s v="CUST_14"/>
    <x v="7"/>
    <x v="86"/>
    <x v="11"/>
    <x v="7"/>
    <n v="73.5"/>
    <x v="0"/>
    <x v="0"/>
    <x v="801"/>
    <x v="0"/>
    <s v="DISCOUNT NOT ALLOWED"/>
    <s v="discount not allowed"/>
    <s v="DISCOUNT NOT ALLOWED"/>
    <s v="Discount Not Allowed"/>
    <s v="22/12/22"/>
  </r>
  <r>
    <s v="TXN_4533853"/>
    <s v="CUST_03"/>
    <x v="4"/>
    <x v="87"/>
    <x v="11"/>
    <x v="7"/>
    <n v="73.5"/>
    <x v="0"/>
    <x v="1"/>
    <x v="521"/>
    <x v="0"/>
    <s v="DISCOUNT NOT ALLOWED"/>
    <s v="discount not allowed"/>
    <s v="DISCOUNT NOT ALLOWED"/>
    <s v="Discount Not Allowed"/>
    <s v="01/11/22"/>
  </r>
  <r>
    <s v="TXN_5612697"/>
    <s v="CUST_22"/>
    <x v="6"/>
    <x v="88"/>
    <x v="11"/>
    <x v="7"/>
    <n v="73.5"/>
    <x v="2"/>
    <x v="0"/>
    <x v="358"/>
    <x v="1"/>
    <s v="DISCOUNT ALLOWED"/>
    <s v="discount allowed"/>
    <s v="DISCOUNT ALLOWED"/>
    <s v="Discount Allowed"/>
    <s v="01/10/22"/>
  </r>
  <r>
    <s v="TXN_5936172"/>
    <s v="CUST_22"/>
    <x v="4"/>
    <x v="87"/>
    <x v="11"/>
    <x v="7"/>
    <n v="73.5"/>
    <x v="0"/>
    <x v="0"/>
    <x v="1080"/>
    <x v="0"/>
    <s v="DISCOUNT NOT ALLOWED"/>
    <s v="discount not allowed"/>
    <s v="DISCOUNT NOT ALLOWED"/>
    <s v="Discount Not Allowed"/>
    <s v="13/01/25"/>
  </r>
  <r>
    <s v="TXN_6162123"/>
    <s v="CUST_22"/>
    <x v="4"/>
    <x v="87"/>
    <x v="11"/>
    <x v="7"/>
    <n v="73.5"/>
    <x v="1"/>
    <x v="1"/>
    <x v="535"/>
    <x v="1"/>
    <s v="DISCOUNT ALLOWED"/>
    <s v="discount allowed"/>
    <s v="DISCOUNT ALLOWED"/>
    <s v="Discount Allowed"/>
    <s v="06/07/24"/>
  </r>
  <r>
    <s v="TXN_7045491"/>
    <s v="CUST_17"/>
    <x v="1"/>
    <x v="89"/>
    <x v="11"/>
    <x v="7"/>
    <n v="73.5"/>
    <x v="1"/>
    <x v="0"/>
    <x v="1093"/>
    <x v="1"/>
    <s v="DISCOUNT ALLOWED"/>
    <s v="discount allowed"/>
    <s v="DISCOUNT ALLOWED"/>
    <s v="Discount Allowed"/>
    <s v="14/09/24"/>
  </r>
  <r>
    <s v="TXN_7081603"/>
    <s v="CUST_15"/>
    <x v="3"/>
    <x v="92"/>
    <x v="11"/>
    <x v="7"/>
    <n v="73.5"/>
    <x v="0"/>
    <x v="1"/>
    <x v="767"/>
    <x v="1"/>
    <s v="DISCOUNT ALLOWED"/>
    <s v="discount allowed"/>
    <s v="DISCOUNT ALLOWED"/>
    <s v="Discount Allowed"/>
    <s v="24/07/22"/>
  </r>
  <r>
    <s v="TXN_7128520"/>
    <s v="CUST_25"/>
    <x v="4"/>
    <x v="87"/>
    <x v="11"/>
    <x v="7"/>
    <n v="73.5"/>
    <x v="1"/>
    <x v="0"/>
    <x v="229"/>
    <x v="0"/>
    <s v="DISCOUNT NOT ALLOWED"/>
    <s v="discount not allowed"/>
    <s v="DISCOUNT NOT ALLOWED"/>
    <s v="Discount Not Allowed"/>
    <s v="16/03/24"/>
  </r>
  <r>
    <s v="TXN_8549366"/>
    <s v="CUST_03"/>
    <x v="4"/>
    <x v="87"/>
    <x v="11"/>
    <x v="7"/>
    <n v="73.5"/>
    <x v="0"/>
    <x v="1"/>
    <x v="1013"/>
    <x v="0"/>
    <s v="DISCOUNT NOT ALLOWED"/>
    <s v="discount not allowed"/>
    <s v="DISCOUNT NOT ALLOWED"/>
    <s v="Discount Not Allowed"/>
    <s v="03/08/23"/>
  </r>
  <r>
    <s v="TXN_8564216"/>
    <s v="CUST_24"/>
    <x v="7"/>
    <x v="86"/>
    <x v="11"/>
    <x v="7"/>
    <n v="73.5"/>
    <x v="2"/>
    <x v="1"/>
    <x v="1060"/>
    <x v="1"/>
    <s v="DISCOUNT ALLOWED"/>
    <s v="discount allowed"/>
    <s v="DISCOUNT ALLOWED"/>
    <s v="Discount Allowed"/>
    <s v="18/06/23"/>
  </r>
  <r>
    <s v="TXN_8645893"/>
    <s v="CUST_23"/>
    <x v="1"/>
    <x v="89"/>
    <x v="11"/>
    <x v="7"/>
    <n v="73.5"/>
    <x v="2"/>
    <x v="0"/>
    <x v="924"/>
    <x v="0"/>
    <s v="DISCOUNT NOT ALLOWED"/>
    <s v="discount not allowed"/>
    <s v="DISCOUNT NOT ALLOWED"/>
    <s v="Discount Not Allowed"/>
    <s v="06/07/23"/>
  </r>
  <r>
    <s v="TXN_8778726"/>
    <s v="CUST_22"/>
    <x v="4"/>
    <x v="87"/>
    <x v="11"/>
    <x v="7"/>
    <n v="73.5"/>
    <x v="2"/>
    <x v="0"/>
    <x v="896"/>
    <x v="1"/>
    <s v="DISCOUNT ALLOWED"/>
    <s v="discount allowed"/>
    <s v="DISCOUNT ALLOWED"/>
    <s v="Discount Allowed"/>
    <s v="14/02/22"/>
  </r>
  <r>
    <s v="TXN_8953962"/>
    <s v="CUST_18"/>
    <x v="6"/>
    <x v="88"/>
    <x v="11"/>
    <x v="7"/>
    <n v="73.5"/>
    <x v="1"/>
    <x v="1"/>
    <x v="165"/>
    <x v="1"/>
    <s v="DISCOUNT ALLOWED"/>
    <s v="discount allowed"/>
    <s v="DISCOUNT ALLOWED"/>
    <s v="Discount Allowed"/>
    <s v="18/04/23"/>
  </r>
  <r>
    <s v="TXN_9188139"/>
    <s v="CUST_05"/>
    <x v="4"/>
    <x v="87"/>
    <x v="11"/>
    <x v="7"/>
    <n v="73.5"/>
    <x v="2"/>
    <x v="1"/>
    <x v="901"/>
    <x v="1"/>
    <s v="DISCOUNT ALLOWED"/>
    <s v="discount allowed"/>
    <s v="DISCOUNT ALLOWED"/>
    <s v="Discount Allowed"/>
    <s v="28/07/24"/>
  </r>
  <r>
    <s v="TXN_1119796"/>
    <s v="CUST_07"/>
    <x v="4"/>
    <x v="27"/>
    <x v="3"/>
    <x v="8"/>
    <n v="73"/>
    <x v="1"/>
    <x v="0"/>
    <x v="590"/>
    <x v="0"/>
    <s v="DISCOUNT NOT ALLOWED"/>
    <s v="discount not allowed"/>
    <s v="DISCOUNT NOT ALLOWED"/>
    <s v="Discount Not Allowed"/>
    <s v="05/12/22"/>
  </r>
  <r>
    <s v="TXN_1375951"/>
    <s v="CUST_14"/>
    <x v="7"/>
    <x v="30"/>
    <x v="3"/>
    <x v="8"/>
    <n v="73"/>
    <x v="2"/>
    <x v="0"/>
    <x v="1094"/>
    <x v="0"/>
    <s v="DISCOUNT NOT ALLOWED"/>
    <s v="discount not allowed"/>
    <s v="DISCOUNT NOT ALLOWED"/>
    <s v="Discount Not Allowed"/>
    <s v="15/04/23"/>
  </r>
  <r>
    <s v="TXN_1565839"/>
    <s v="CUST_23"/>
    <x v="0"/>
    <x v="25"/>
    <x v="3"/>
    <x v="8"/>
    <n v="73"/>
    <x v="2"/>
    <x v="0"/>
    <x v="489"/>
    <x v="1"/>
    <s v="DISCOUNT ALLOWED"/>
    <s v="discount allowed"/>
    <s v="DISCOUNT ALLOWED"/>
    <s v="Discount Allowed"/>
    <s v="12/01/22"/>
  </r>
  <r>
    <s v="TXN_2540525"/>
    <s v="CUST_03"/>
    <x v="6"/>
    <x v="26"/>
    <x v="3"/>
    <x v="8"/>
    <n v="73"/>
    <x v="1"/>
    <x v="1"/>
    <x v="378"/>
    <x v="0"/>
    <s v="DISCOUNT NOT ALLOWED"/>
    <s v="discount not allowed"/>
    <s v="DISCOUNT NOT ALLOWED"/>
    <s v="Discount Not Allowed"/>
    <s v="29/04/23"/>
  </r>
  <r>
    <s v="TXN_2795990"/>
    <s v="CUST_03"/>
    <x v="5"/>
    <x v="28"/>
    <x v="3"/>
    <x v="8"/>
    <n v="73"/>
    <x v="0"/>
    <x v="1"/>
    <x v="264"/>
    <x v="0"/>
    <s v="DISCOUNT NOT ALLOWED"/>
    <s v="discount not allowed"/>
    <s v="DISCOUNT NOT ALLOWED"/>
    <s v="Discount Not Allowed"/>
    <s v="15/07/24"/>
  </r>
  <r>
    <s v="TXN_3019755"/>
    <s v="CUST_05"/>
    <x v="6"/>
    <x v="26"/>
    <x v="3"/>
    <x v="8"/>
    <n v="73"/>
    <x v="2"/>
    <x v="1"/>
    <x v="651"/>
    <x v="0"/>
    <s v="DISCOUNT NOT ALLOWED"/>
    <s v="discount not allowed"/>
    <s v="DISCOUNT NOT ALLOWED"/>
    <s v="Discount Not Allowed"/>
    <s v="01/05/22"/>
  </r>
  <r>
    <s v="TXN_3357122"/>
    <s v="CUST_05"/>
    <x v="3"/>
    <x v="24"/>
    <x v="3"/>
    <x v="8"/>
    <n v="73"/>
    <x v="2"/>
    <x v="0"/>
    <x v="794"/>
    <x v="0"/>
    <s v="DISCOUNT NOT ALLOWED"/>
    <s v="discount not allowed"/>
    <s v="DISCOUNT NOT ALLOWED"/>
    <s v="Discount Not Allowed"/>
    <s v="19/02/24"/>
  </r>
  <r>
    <s v="TXN_4127270"/>
    <s v="CUST_18"/>
    <x v="1"/>
    <x v="29"/>
    <x v="3"/>
    <x v="8"/>
    <n v="73"/>
    <x v="1"/>
    <x v="1"/>
    <x v="587"/>
    <x v="0"/>
    <s v="DISCOUNT NOT ALLOWED"/>
    <s v="discount not allowed"/>
    <s v="DISCOUNT NOT ALLOWED"/>
    <s v="Discount Not Allowed"/>
    <s v="05/04/22"/>
  </r>
  <r>
    <s v="TXN_4882373"/>
    <s v="CUST_22"/>
    <x v="0"/>
    <x v="25"/>
    <x v="3"/>
    <x v="8"/>
    <n v="73"/>
    <x v="2"/>
    <x v="1"/>
    <x v="457"/>
    <x v="1"/>
    <s v="DISCOUNT ALLOWED"/>
    <s v="discount allowed"/>
    <s v="DISCOUNT ALLOWED"/>
    <s v="Discount Allowed"/>
    <s v="21/01/22"/>
  </r>
  <r>
    <s v="TXN_5206226"/>
    <s v="CUST_15"/>
    <x v="3"/>
    <x v="24"/>
    <x v="3"/>
    <x v="8"/>
    <n v="73"/>
    <x v="0"/>
    <x v="1"/>
    <x v="236"/>
    <x v="0"/>
    <s v="DISCOUNT NOT ALLOWED"/>
    <s v="discount not allowed"/>
    <s v="DISCOUNT NOT ALLOWED"/>
    <s v="Discount Not Allowed"/>
    <s v="07/11/24"/>
  </r>
  <r>
    <s v="TXN_5268837"/>
    <s v="CUST_01"/>
    <x v="5"/>
    <x v="28"/>
    <x v="3"/>
    <x v="8"/>
    <n v="73"/>
    <x v="2"/>
    <x v="0"/>
    <x v="350"/>
    <x v="1"/>
    <s v="DISCOUNT ALLOWED"/>
    <s v="discount allowed"/>
    <s v="DISCOUNT ALLOWED"/>
    <s v="Discount Allowed"/>
    <s v="15/01/22"/>
  </r>
  <r>
    <s v="TXN_5506088"/>
    <s v="CUST_24"/>
    <x v="7"/>
    <x v="30"/>
    <x v="3"/>
    <x v="8"/>
    <n v="73"/>
    <x v="0"/>
    <x v="0"/>
    <x v="975"/>
    <x v="1"/>
    <s v="DISCOUNT ALLOWED"/>
    <s v="discount allowed"/>
    <s v="DISCOUNT ALLOWED"/>
    <s v="Discount Allowed"/>
    <s v="31/05/22"/>
  </r>
  <r>
    <s v="TXN_5703980"/>
    <s v="CUST_02"/>
    <x v="6"/>
    <x v="26"/>
    <x v="3"/>
    <x v="8"/>
    <n v="73"/>
    <x v="1"/>
    <x v="0"/>
    <x v="789"/>
    <x v="0"/>
    <s v="DISCOUNT NOT ALLOWED"/>
    <s v="discount not allowed"/>
    <s v="DISCOUNT NOT ALLOWED"/>
    <s v="Discount Not Allowed"/>
    <s v="24/09/23"/>
  </r>
  <r>
    <s v="TXN_5837003"/>
    <s v="CUST_19"/>
    <x v="0"/>
    <x v="25"/>
    <x v="3"/>
    <x v="8"/>
    <n v="73"/>
    <x v="2"/>
    <x v="0"/>
    <x v="720"/>
    <x v="1"/>
    <s v="DISCOUNT ALLOWED"/>
    <s v="discount allowed"/>
    <s v="DISCOUNT ALLOWED"/>
    <s v="Discount Allowed"/>
    <s v="19/07/24"/>
  </r>
  <r>
    <s v="TXN_6105571"/>
    <s v="CUST_25"/>
    <x v="5"/>
    <x v="28"/>
    <x v="3"/>
    <x v="8"/>
    <n v="73"/>
    <x v="2"/>
    <x v="0"/>
    <x v="417"/>
    <x v="1"/>
    <s v="DISCOUNT ALLOWED"/>
    <s v="discount allowed"/>
    <s v="DISCOUNT ALLOWED"/>
    <s v="Discount Allowed"/>
    <s v="17/10/24"/>
  </r>
  <r>
    <s v="TXN_6224076"/>
    <s v="CUST_08"/>
    <x v="5"/>
    <x v="28"/>
    <x v="3"/>
    <x v="8"/>
    <n v="73"/>
    <x v="0"/>
    <x v="1"/>
    <x v="148"/>
    <x v="1"/>
    <s v="DISCOUNT ALLOWED"/>
    <s v="discount allowed"/>
    <s v="DISCOUNT ALLOWED"/>
    <s v="Discount Allowed"/>
    <s v="10/01/24"/>
  </r>
  <r>
    <s v="TXN_6233251"/>
    <s v="CUST_08"/>
    <x v="2"/>
    <x v="23"/>
    <x v="3"/>
    <x v="8"/>
    <n v="73"/>
    <x v="0"/>
    <x v="0"/>
    <x v="1095"/>
    <x v="1"/>
    <s v="DISCOUNT ALLOWED"/>
    <s v="discount allowed"/>
    <s v="DISCOUNT ALLOWED"/>
    <s v="Discount Allowed"/>
    <s v="26/05/24"/>
  </r>
  <r>
    <s v="TXN_6280574"/>
    <s v="CUST_20"/>
    <x v="0"/>
    <x v="25"/>
    <x v="3"/>
    <x v="8"/>
    <n v="73"/>
    <x v="0"/>
    <x v="0"/>
    <x v="285"/>
    <x v="1"/>
    <s v="DISCOUNT ALLOWED"/>
    <s v="discount allowed"/>
    <s v="DISCOUNT ALLOWED"/>
    <s v="Discount Allowed"/>
    <s v="12/03/22"/>
  </r>
  <r>
    <s v="TXN_6577096"/>
    <s v="CUST_05"/>
    <x v="3"/>
    <x v="24"/>
    <x v="3"/>
    <x v="8"/>
    <n v="73"/>
    <x v="0"/>
    <x v="0"/>
    <x v="508"/>
    <x v="1"/>
    <s v="DISCOUNT ALLOWED"/>
    <s v="discount allowed"/>
    <s v="DISCOUNT ALLOWED"/>
    <s v="Discount Allowed"/>
    <s v="01/06/22"/>
  </r>
  <r>
    <s v="TXN_7165120"/>
    <s v="CUST_17"/>
    <x v="7"/>
    <x v="30"/>
    <x v="3"/>
    <x v="8"/>
    <n v="73"/>
    <x v="1"/>
    <x v="1"/>
    <x v="795"/>
    <x v="0"/>
    <s v="DISCOUNT NOT ALLOWED"/>
    <s v="discount not allowed"/>
    <s v="DISCOUNT NOT ALLOWED"/>
    <s v="Discount Not Allowed"/>
    <s v="23/10/23"/>
  </r>
  <r>
    <s v="TXN_7390310"/>
    <s v="CUST_23"/>
    <x v="6"/>
    <x v="26"/>
    <x v="3"/>
    <x v="8"/>
    <n v="73"/>
    <x v="2"/>
    <x v="1"/>
    <x v="977"/>
    <x v="0"/>
    <s v="DISCOUNT NOT ALLOWED"/>
    <s v="discount not allowed"/>
    <s v="DISCOUNT NOT ALLOWED"/>
    <s v="Discount Not Allowed"/>
    <s v="19/11/23"/>
  </r>
  <r>
    <s v="TXN_7428358"/>
    <s v="CUST_20"/>
    <x v="6"/>
    <x v="26"/>
    <x v="3"/>
    <x v="8"/>
    <n v="73"/>
    <x v="1"/>
    <x v="0"/>
    <x v="541"/>
    <x v="0"/>
    <s v="DISCOUNT NOT ALLOWED"/>
    <s v="discount not allowed"/>
    <s v="DISCOUNT NOT ALLOWED"/>
    <s v="Discount Not Allowed"/>
    <s v="21/11/22"/>
  </r>
  <r>
    <s v="TXN_7604627"/>
    <s v="CUST_09"/>
    <x v="3"/>
    <x v="24"/>
    <x v="3"/>
    <x v="8"/>
    <n v="73"/>
    <x v="1"/>
    <x v="0"/>
    <x v="216"/>
    <x v="1"/>
    <s v="DISCOUNT ALLOWED"/>
    <s v="discount allowed"/>
    <s v="DISCOUNT ALLOWED"/>
    <s v="Discount Allowed"/>
    <s v="19/04/23"/>
  </r>
  <r>
    <s v="TXN_7977213"/>
    <s v="CUST_09"/>
    <x v="4"/>
    <x v="27"/>
    <x v="3"/>
    <x v="8"/>
    <n v="73"/>
    <x v="0"/>
    <x v="0"/>
    <x v="102"/>
    <x v="0"/>
    <s v="DISCOUNT NOT ALLOWED"/>
    <s v="discount not allowed"/>
    <s v="DISCOUNT NOT ALLOWED"/>
    <s v="Discount Not Allowed"/>
    <s v="31/03/23"/>
  </r>
  <r>
    <s v="TXN_8025918"/>
    <s v="CUST_01"/>
    <x v="5"/>
    <x v="28"/>
    <x v="3"/>
    <x v="8"/>
    <n v="73"/>
    <x v="2"/>
    <x v="1"/>
    <x v="1069"/>
    <x v="0"/>
    <s v="DISCOUNT NOT ALLOWED"/>
    <s v="discount not allowed"/>
    <s v="DISCOUNT NOT ALLOWED"/>
    <s v="Discount Not Allowed"/>
    <s v="22/09/22"/>
  </r>
  <r>
    <s v="TXN_8278381"/>
    <s v="CUST_25"/>
    <x v="6"/>
    <x v="26"/>
    <x v="3"/>
    <x v="8"/>
    <n v="73"/>
    <x v="1"/>
    <x v="0"/>
    <x v="353"/>
    <x v="1"/>
    <s v="DISCOUNT ALLOWED"/>
    <s v="discount allowed"/>
    <s v="DISCOUNT ALLOWED"/>
    <s v="Discount Allowed"/>
    <s v="30/08/23"/>
  </r>
  <r>
    <s v="TXN_9141699"/>
    <s v="CUST_06"/>
    <x v="4"/>
    <x v="27"/>
    <x v="3"/>
    <x v="8"/>
    <n v="73"/>
    <x v="1"/>
    <x v="0"/>
    <x v="430"/>
    <x v="0"/>
    <s v="DISCOUNT NOT ALLOWED"/>
    <s v="discount not allowed"/>
    <s v="DISCOUNT NOT ALLOWED"/>
    <s v="Discount Not Allowed"/>
    <s v="04/05/23"/>
  </r>
  <r>
    <s v="TXN_9362588"/>
    <s v="CUST_09"/>
    <x v="4"/>
    <x v="27"/>
    <x v="3"/>
    <x v="8"/>
    <n v="73"/>
    <x v="2"/>
    <x v="0"/>
    <x v="482"/>
    <x v="0"/>
    <s v="DISCOUNT NOT ALLOWED"/>
    <s v="discount not allowed"/>
    <s v="DISCOUNT NOT ALLOWED"/>
    <s v="Discount Not Allowed"/>
    <s v="03/03/23"/>
  </r>
  <r>
    <s v="TXN_9655455"/>
    <s v="CUST_02"/>
    <x v="3"/>
    <x v="24"/>
    <x v="3"/>
    <x v="8"/>
    <n v="73"/>
    <x v="0"/>
    <x v="1"/>
    <x v="295"/>
    <x v="0"/>
    <s v="DISCOUNT NOT ALLOWED"/>
    <s v="discount not allowed"/>
    <s v="DISCOUNT NOT ALLOWED"/>
    <s v="Discount Not Allowed"/>
    <s v="31/03/22"/>
  </r>
  <r>
    <s v="TXN_9937951"/>
    <s v="CUST_25"/>
    <x v="0"/>
    <x v="25"/>
    <x v="3"/>
    <x v="8"/>
    <n v="73"/>
    <x v="1"/>
    <x v="0"/>
    <x v="950"/>
    <x v="1"/>
    <s v="DISCOUNT ALLOWED"/>
    <s v="discount allowed"/>
    <s v="DISCOUNT ALLOWED"/>
    <s v="Discount Allowed"/>
    <s v="20/09/22"/>
  </r>
  <r>
    <s v="TXN_9987791"/>
    <s v="CUST_08"/>
    <x v="0"/>
    <x v="25"/>
    <x v="3"/>
    <x v="8"/>
    <n v="73"/>
    <x v="0"/>
    <x v="1"/>
    <x v="984"/>
    <x v="1"/>
    <s v="DISCOUNT ALLOWED"/>
    <s v="discount allowed"/>
    <s v="DISCOUNT ALLOWED"/>
    <s v="Discount Allowed"/>
    <s v="07/10/22"/>
  </r>
  <r>
    <s v="TXN_1179280"/>
    <s v="CUST_01"/>
    <x v="4"/>
    <x v="176"/>
    <x v="22"/>
    <x v="1"/>
    <n v="72"/>
    <x v="2"/>
    <x v="1"/>
    <x v="445"/>
    <x v="0"/>
    <s v="DISCOUNT NOT ALLOWED"/>
    <s v="discount not allowed"/>
    <s v="DISCOUNT NOT ALLOWED"/>
    <s v="Discount Not Allowed"/>
    <s v="02/10/23"/>
  </r>
  <r>
    <s v="TXN_1207537"/>
    <s v="CUST_02"/>
    <x v="3"/>
    <x v="177"/>
    <x v="22"/>
    <x v="1"/>
    <n v="72"/>
    <x v="2"/>
    <x v="0"/>
    <x v="414"/>
    <x v="1"/>
    <s v="DISCOUNT ALLOWED"/>
    <s v="discount allowed"/>
    <s v="DISCOUNT ALLOWED"/>
    <s v="Discount Allowed"/>
    <s v="01/02/22"/>
  </r>
  <r>
    <s v="TXN_1690344"/>
    <s v="CUST_11"/>
    <x v="0"/>
    <x v="179"/>
    <x v="22"/>
    <x v="1"/>
    <n v="72"/>
    <x v="1"/>
    <x v="0"/>
    <x v="978"/>
    <x v="0"/>
    <s v="DISCOUNT NOT ALLOWED"/>
    <s v="discount not allowed"/>
    <s v="DISCOUNT NOT ALLOWED"/>
    <s v="Discount Not Allowed"/>
    <s v="09/01/25"/>
  </r>
  <r>
    <s v="TXN_1726200"/>
    <s v="CUST_20"/>
    <x v="0"/>
    <x v="179"/>
    <x v="22"/>
    <x v="1"/>
    <n v="72"/>
    <x v="1"/>
    <x v="1"/>
    <x v="710"/>
    <x v="1"/>
    <s v="DISCOUNT ALLOWED"/>
    <s v="discount allowed"/>
    <s v="DISCOUNT ALLOWED"/>
    <s v="Discount Allowed"/>
    <s v="05/08/24"/>
  </r>
  <r>
    <s v="TXN_2061240"/>
    <s v="CUST_09"/>
    <x v="5"/>
    <x v="183"/>
    <x v="22"/>
    <x v="1"/>
    <n v="72"/>
    <x v="1"/>
    <x v="1"/>
    <x v="700"/>
    <x v="0"/>
    <s v="DISCOUNT NOT ALLOWED"/>
    <s v="discount not allowed"/>
    <s v="DISCOUNT NOT ALLOWED"/>
    <s v="Discount Not Allowed"/>
    <s v="01/03/23"/>
  </r>
  <r>
    <s v="TXN_2076721"/>
    <s v="CUST_09"/>
    <x v="3"/>
    <x v="177"/>
    <x v="22"/>
    <x v="1"/>
    <n v="72"/>
    <x v="0"/>
    <x v="0"/>
    <x v="69"/>
    <x v="0"/>
    <s v="DISCOUNT NOT ALLOWED"/>
    <s v="discount not allowed"/>
    <s v="DISCOUNT NOT ALLOWED"/>
    <s v="Discount Not Allowed"/>
    <s v="14/11/23"/>
  </r>
  <r>
    <s v="TXN_3178975"/>
    <s v="CUST_16"/>
    <x v="4"/>
    <x v="176"/>
    <x v="22"/>
    <x v="1"/>
    <n v="72"/>
    <x v="2"/>
    <x v="0"/>
    <x v="419"/>
    <x v="0"/>
    <s v="DISCOUNT NOT ALLOWED"/>
    <s v="discount not allowed"/>
    <s v="DISCOUNT NOT ALLOWED"/>
    <s v="Discount Not Allowed"/>
    <s v="08/04/24"/>
  </r>
  <r>
    <s v="TXN_3316842"/>
    <s v="CUST_03"/>
    <x v="3"/>
    <x v="177"/>
    <x v="22"/>
    <x v="1"/>
    <n v="72"/>
    <x v="0"/>
    <x v="0"/>
    <x v="806"/>
    <x v="0"/>
    <s v="DISCOUNT NOT ALLOWED"/>
    <s v="discount not allowed"/>
    <s v="DISCOUNT NOT ALLOWED"/>
    <s v="Discount Not Allowed"/>
    <s v="27/06/22"/>
  </r>
  <r>
    <s v="TXN_4316339"/>
    <s v="CUST_07"/>
    <x v="3"/>
    <x v="177"/>
    <x v="22"/>
    <x v="1"/>
    <n v="72"/>
    <x v="0"/>
    <x v="0"/>
    <x v="694"/>
    <x v="1"/>
    <s v="DISCOUNT ALLOWED"/>
    <s v="discount allowed"/>
    <s v="DISCOUNT ALLOWED"/>
    <s v="Discount Allowed"/>
    <s v="28/01/23"/>
  </r>
  <r>
    <s v="TXN_4459526"/>
    <s v="CUST_11"/>
    <x v="0"/>
    <x v="179"/>
    <x v="22"/>
    <x v="1"/>
    <n v="72"/>
    <x v="1"/>
    <x v="1"/>
    <x v="957"/>
    <x v="0"/>
    <s v="DISCOUNT NOT ALLOWED"/>
    <s v="discount not allowed"/>
    <s v="DISCOUNT NOT ALLOWED"/>
    <s v="Discount Not Allowed"/>
    <s v="03/01/22"/>
  </r>
  <r>
    <s v="TXN_4539548"/>
    <s v="CUST_21"/>
    <x v="4"/>
    <x v="176"/>
    <x v="22"/>
    <x v="1"/>
    <n v="72"/>
    <x v="0"/>
    <x v="0"/>
    <x v="1096"/>
    <x v="0"/>
    <s v="DISCOUNT NOT ALLOWED"/>
    <s v="discount not allowed"/>
    <s v="DISCOUNT NOT ALLOWED"/>
    <s v="Discount Not Allowed"/>
    <s v="17/05/23"/>
  </r>
  <r>
    <s v="TXN_4834959"/>
    <s v="CUST_24"/>
    <x v="3"/>
    <x v="177"/>
    <x v="22"/>
    <x v="1"/>
    <n v="72"/>
    <x v="2"/>
    <x v="1"/>
    <x v="983"/>
    <x v="0"/>
    <s v="DISCOUNT NOT ALLOWED"/>
    <s v="discount not allowed"/>
    <s v="DISCOUNT NOT ALLOWED"/>
    <s v="Discount Not Allowed"/>
    <s v="22/01/23"/>
  </r>
  <r>
    <s v="TXN_4883150"/>
    <s v="CUST_04"/>
    <x v="0"/>
    <x v="179"/>
    <x v="22"/>
    <x v="1"/>
    <n v="72"/>
    <x v="1"/>
    <x v="0"/>
    <x v="399"/>
    <x v="0"/>
    <s v="DISCOUNT NOT ALLOWED"/>
    <s v="discount not allowed"/>
    <s v="DISCOUNT NOT ALLOWED"/>
    <s v="Discount Not Allowed"/>
    <s v="12/12/23"/>
  </r>
  <r>
    <s v="TXN_5060218"/>
    <s v="CUST_07"/>
    <x v="0"/>
    <x v="179"/>
    <x v="22"/>
    <x v="1"/>
    <n v="72"/>
    <x v="2"/>
    <x v="0"/>
    <x v="163"/>
    <x v="1"/>
    <s v="DISCOUNT ALLOWED"/>
    <s v="discount allowed"/>
    <s v="DISCOUNT ALLOWED"/>
    <s v="Discount Allowed"/>
    <s v="21/07/22"/>
  </r>
  <r>
    <s v="TXN_5381793"/>
    <s v="CUST_05"/>
    <x v="2"/>
    <x v="178"/>
    <x v="22"/>
    <x v="1"/>
    <n v="72"/>
    <x v="1"/>
    <x v="1"/>
    <x v="415"/>
    <x v="1"/>
    <s v="DISCOUNT ALLOWED"/>
    <s v="discount allowed"/>
    <s v="DISCOUNT ALLOWED"/>
    <s v="Discount Allowed"/>
    <s v="09/12/24"/>
  </r>
  <r>
    <s v="TXN_5410671"/>
    <s v="CUST_20"/>
    <x v="0"/>
    <x v="179"/>
    <x v="22"/>
    <x v="1"/>
    <n v="72"/>
    <x v="2"/>
    <x v="0"/>
    <x v="27"/>
    <x v="1"/>
    <s v="DISCOUNT ALLOWED"/>
    <s v="discount allowed"/>
    <s v="DISCOUNT ALLOWED"/>
    <s v="Discount Allowed"/>
    <s v="25/12/23"/>
  </r>
  <r>
    <s v="TXN_5838495"/>
    <s v="CUST_14"/>
    <x v="0"/>
    <x v="179"/>
    <x v="22"/>
    <x v="1"/>
    <n v="72"/>
    <x v="2"/>
    <x v="0"/>
    <x v="412"/>
    <x v="0"/>
    <s v="DISCOUNT NOT ALLOWED"/>
    <s v="discount not allowed"/>
    <s v="DISCOUNT NOT ALLOWED"/>
    <s v="Discount Not Allowed"/>
    <s v="17/10/22"/>
  </r>
  <r>
    <s v="TXN_6064627"/>
    <s v="CUST_01"/>
    <x v="1"/>
    <x v="180"/>
    <x v="22"/>
    <x v="1"/>
    <n v="72"/>
    <x v="1"/>
    <x v="0"/>
    <x v="115"/>
    <x v="1"/>
    <s v="DISCOUNT ALLOWED"/>
    <s v="discount allowed"/>
    <s v="DISCOUNT ALLOWED"/>
    <s v="Discount Allowed"/>
    <s v="21/08/22"/>
  </r>
  <r>
    <s v="TXN_6126205"/>
    <s v="CUST_25"/>
    <x v="6"/>
    <x v="182"/>
    <x v="22"/>
    <x v="1"/>
    <n v="72"/>
    <x v="0"/>
    <x v="1"/>
    <x v="1083"/>
    <x v="0"/>
    <s v="DISCOUNT NOT ALLOWED"/>
    <s v="discount not allowed"/>
    <s v="DISCOUNT NOT ALLOWED"/>
    <s v="Discount Not Allowed"/>
    <s v="23/04/22"/>
  </r>
  <r>
    <s v="TXN_6424495"/>
    <s v="CUST_06"/>
    <x v="6"/>
    <x v="182"/>
    <x v="22"/>
    <x v="1"/>
    <n v="72"/>
    <x v="0"/>
    <x v="1"/>
    <x v="305"/>
    <x v="0"/>
    <s v="DISCOUNT NOT ALLOWED"/>
    <s v="discount not allowed"/>
    <s v="DISCOUNT NOT ALLOWED"/>
    <s v="Discount Not Allowed"/>
    <s v="21/05/23"/>
  </r>
  <r>
    <s v="TXN_6461021"/>
    <s v="CUST_11"/>
    <x v="0"/>
    <x v="179"/>
    <x v="22"/>
    <x v="1"/>
    <n v="72"/>
    <x v="0"/>
    <x v="1"/>
    <x v="286"/>
    <x v="1"/>
    <s v="DISCOUNT ALLOWED"/>
    <s v="discount allowed"/>
    <s v="DISCOUNT ALLOWED"/>
    <s v="Discount Allowed"/>
    <s v="16/10/22"/>
  </r>
  <r>
    <s v="TXN_6981363"/>
    <s v="CUST_14"/>
    <x v="4"/>
    <x v="176"/>
    <x v="22"/>
    <x v="1"/>
    <n v="72"/>
    <x v="2"/>
    <x v="0"/>
    <x v="46"/>
    <x v="1"/>
    <s v="DISCOUNT ALLOWED"/>
    <s v="discount allowed"/>
    <s v="DISCOUNT ALLOWED"/>
    <s v="Discount Allowed"/>
    <s v="24/04/24"/>
  </r>
  <r>
    <s v="TXN_7918216"/>
    <s v="CUST_17"/>
    <x v="7"/>
    <x v="181"/>
    <x v="22"/>
    <x v="1"/>
    <n v="72"/>
    <x v="1"/>
    <x v="0"/>
    <x v="1008"/>
    <x v="1"/>
    <s v="DISCOUNT ALLOWED"/>
    <s v="discount allowed"/>
    <s v="DISCOUNT ALLOWED"/>
    <s v="Discount Allowed"/>
    <s v="25/10/24"/>
  </r>
  <r>
    <s v="TXN_8423309"/>
    <s v="CUST_16"/>
    <x v="6"/>
    <x v="182"/>
    <x v="22"/>
    <x v="1"/>
    <n v="72"/>
    <x v="2"/>
    <x v="0"/>
    <x v="103"/>
    <x v="0"/>
    <s v="DISCOUNT NOT ALLOWED"/>
    <s v="discount not allowed"/>
    <s v="DISCOUNT NOT ALLOWED"/>
    <s v="Discount Not Allowed"/>
    <s v="30/05/22"/>
  </r>
  <r>
    <s v="TXN_8539572"/>
    <s v="CUST_01"/>
    <x v="1"/>
    <x v="180"/>
    <x v="22"/>
    <x v="1"/>
    <n v="72"/>
    <x v="1"/>
    <x v="1"/>
    <x v="431"/>
    <x v="1"/>
    <s v="DISCOUNT ALLOWED"/>
    <s v="discount allowed"/>
    <s v="DISCOUNT ALLOWED"/>
    <s v="Discount Allowed"/>
    <s v="01/01/25"/>
  </r>
  <r>
    <s v="TXN_8776416"/>
    <s v="CUST_22"/>
    <x v="3"/>
    <x v="177"/>
    <x v="22"/>
    <x v="1"/>
    <n v="72"/>
    <x v="1"/>
    <x v="1"/>
    <x v="881"/>
    <x v="1"/>
    <s v="DISCOUNT ALLOWED"/>
    <s v="discount allowed"/>
    <s v="DISCOUNT ALLOWED"/>
    <s v="Discount Allowed"/>
    <s v="14/12/24"/>
  </r>
  <r>
    <s v="TXN_9906990"/>
    <s v="CUST_22"/>
    <x v="3"/>
    <x v="177"/>
    <x v="22"/>
    <x v="1"/>
    <n v="72"/>
    <x v="0"/>
    <x v="1"/>
    <x v="107"/>
    <x v="0"/>
    <s v="DISCOUNT NOT ALLOWED"/>
    <s v="discount not allowed"/>
    <s v="DISCOUNT NOT ALLOWED"/>
    <s v="Discount Not Allowed"/>
    <s v="11/07/22"/>
  </r>
  <r>
    <s v="TXN_1326495"/>
    <s v="CUST_16"/>
    <x v="2"/>
    <x v="32"/>
    <x v="4"/>
    <x v="8"/>
    <n v="70"/>
    <x v="1"/>
    <x v="1"/>
    <x v="484"/>
    <x v="1"/>
    <s v="DISCOUNT ALLOWED"/>
    <s v="discount allowed"/>
    <s v="DISCOUNT ALLOWED"/>
    <s v="Discount Allowed"/>
    <s v="26/06/24"/>
  </r>
  <r>
    <s v="TXN_1338239"/>
    <s v="CUST_17"/>
    <x v="0"/>
    <x v="150"/>
    <x v="18"/>
    <x v="5"/>
    <n v="70"/>
    <x v="0"/>
    <x v="0"/>
    <x v="979"/>
    <x v="1"/>
    <s v="DISCOUNT ALLOWED"/>
    <s v="discount allowed"/>
    <s v="DISCOUNT ALLOWED"/>
    <s v="Discount Allowed"/>
    <s v="11/01/24"/>
  </r>
  <r>
    <s v="TXN_1346294"/>
    <s v="CUST_02"/>
    <x v="1"/>
    <x v="149"/>
    <x v="18"/>
    <x v="5"/>
    <n v="70"/>
    <x v="2"/>
    <x v="1"/>
    <x v="1052"/>
    <x v="1"/>
    <s v="DISCOUNT ALLOWED"/>
    <s v="discount allowed"/>
    <s v="DISCOUNT ALLOWED"/>
    <s v="Discount Allowed"/>
    <s v="18/09/23"/>
  </r>
  <r>
    <s v="TXN_1433405"/>
    <s v="CUST_20"/>
    <x v="1"/>
    <x v="149"/>
    <x v="18"/>
    <x v="5"/>
    <n v="70"/>
    <x v="0"/>
    <x v="1"/>
    <x v="685"/>
    <x v="0"/>
    <s v="DISCOUNT NOT ALLOWED"/>
    <s v="discount not allowed"/>
    <s v="DISCOUNT NOT ALLOWED"/>
    <s v="Discount Not Allowed"/>
    <s v="20/07/23"/>
  </r>
  <r>
    <s v="TXN_1522116"/>
    <s v="CUST_11"/>
    <x v="7"/>
    <x v="146"/>
    <x v="18"/>
    <x v="5"/>
    <n v="70"/>
    <x v="2"/>
    <x v="0"/>
    <x v="103"/>
    <x v="0"/>
    <s v="DISCOUNT NOT ALLOWED"/>
    <s v="discount not allowed"/>
    <s v="DISCOUNT NOT ALLOWED"/>
    <s v="Discount Not Allowed"/>
    <s v="30/05/22"/>
  </r>
  <r>
    <s v="TXN_1821468"/>
    <s v="CUST_14"/>
    <x v="5"/>
    <x v="143"/>
    <x v="18"/>
    <x v="5"/>
    <n v="70"/>
    <x v="0"/>
    <x v="0"/>
    <x v="1094"/>
    <x v="0"/>
    <s v="DISCOUNT NOT ALLOWED"/>
    <s v="discount not allowed"/>
    <s v="DISCOUNT NOT ALLOWED"/>
    <s v="Discount Not Allowed"/>
    <s v="15/04/23"/>
  </r>
  <r>
    <s v="TXN_2491068"/>
    <s v="CUST_09"/>
    <x v="3"/>
    <x v="144"/>
    <x v="18"/>
    <x v="5"/>
    <n v="70"/>
    <x v="1"/>
    <x v="1"/>
    <x v="426"/>
    <x v="0"/>
    <s v="DISCOUNT NOT ALLOWED"/>
    <s v="discount not allowed"/>
    <s v="DISCOUNT NOT ALLOWED"/>
    <s v="Discount Not Allowed"/>
    <s v="29/12/22"/>
  </r>
  <r>
    <s v="TXN_2664086"/>
    <s v="CUST_15"/>
    <x v="5"/>
    <x v="143"/>
    <x v="18"/>
    <x v="5"/>
    <n v="70"/>
    <x v="2"/>
    <x v="0"/>
    <x v="712"/>
    <x v="1"/>
    <s v="DISCOUNT ALLOWED"/>
    <s v="discount allowed"/>
    <s v="DISCOUNT ALLOWED"/>
    <s v="Discount Allowed"/>
    <s v="30/04/22"/>
  </r>
  <r>
    <s v="TXN_2826177"/>
    <s v="CUST_14"/>
    <x v="5"/>
    <x v="35"/>
    <x v="4"/>
    <x v="8"/>
    <n v="70"/>
    <x v="1"/>
    <x v="0"/>
    <x v="162"/>
    <x v="1"/>
    <s v="DISCOUNT ALLOWED"/>
    <s v="discount allowed"/>
    <s v="DISCOUNT ALLOWED"/>
    <s v="Discount Allowed"/>
    <s v="08/03/24"/>
  </r>
  <r>
    <s v="TXN_2866213"/>
    <s v="CUST_24"/>
    <x v="2"/>
    <x v="32"/>
    <x v="4"/>
    <x v="8"/>
    <n v="70"/>
    <x v="1"/>
    <x v="1"/>
    <x v="207"/>
    <x v="0"/>
    <s v="DISCOUNT NOT ALLOWED"/>
    <s v="discount not allowed"/>
    <s v="DISCOUNT NOT ALLOWED"/>
    <s v="Discount Not Allowed"/>
    <s v="25/09/22"/>
  </r>
  <r>
    <s v="TXN_2983912"/>
    <s v="CUST_23"/>
    <x v="1"/>
    <x v="149"/>
    <x v="18"/>
    <x v="5"/>
    <n v="70"/>
    <x v="1"/>
    <x v="1"/>
    <x v="577"/>
    <x v="1"/>
    <s v="DISCOUNT ALLOWED"/>
    <s v="discount allowed"/>
    <s v="DISCOUNT ALLOWED"/>
    <s v="Discount Allowed"/>
    <s v="22/06/24"/>
  </r>
  <r>
    <s v="TXN_3339094"/>
    <s v="CUST_13"/>
    <x v="0"/>
    <x v="150"/>
    <x v="18"/>
    <x v="5"/>
    <n v="70"/>
    <x v="2"/>
    <x v="0"/>
    <x v="425"/>
    <x v="0"/>
    <s v="DISCOUNT NOT ALLOWED"/>
    <s v="discount not allowed"/>
    <s v="DISCOUNT NOT ALLOWED"/>
    <s v="Discount Not Allowed"/>
    <s v="12/08/22"/>
  </r>
  <r>
    <s v="TXN_3887868"/>
    <s v="CUST_25"/>
    <x v="0"/>
    <x v="31"/>
    <x v="4"/>
    <x v="8"/>
    <n v="70"/>
    <x v="0"/>
    <x v="1"/>
    <x v="390"/>
    <x v="0"/>
    <s v="DISCOUNT NOT ALLOWED"/>
    <s v="discount not allowed"/>
    <s v="DISCOUNT NOT ALLOWED"/>
    <s v="Discount Not Allowed"/>
    <s v="22/11/24"/>
  </r>
  <r>
    <s v="TXN_4091330"/>
    <s v="CUST_15"/>
    <x v="7"/>
    <x v="146"/>
    <x v="18"/>
    <x v="5"/>
    <n v="70"/>
    <x v="1"/>
    <x v="0"/>
    <x v="658"/>
    <x v="0"/>
    <s v="DISCOUNT NOT ALLOWED"/>
    <s v="discount not allowed"/>
    <s v="DISCOUNT NOT ALLOWED"/>
    <s v="Discount Not Allowed"/>
    <s v="29/09/22"/>
  </r>
  <r>
    <s v="TXN_4176444"/>
    <s v="CUST_14"/>
    <x v="3"/>
    <x v="52"/>
    <x v="4"/>
    <x v="8"/>
    <n v="70"/>
    <x v="0"/>
    <x v="1"/>
    <x v="1097"/>
    <x v="0"/>
    <s v="DISCOUNT NOT ALLOWED"/>
    <s v="discount not allowed"/>
    <s v="DISCOUNT NOT ALLOWED"/>
    <s v="Discount Not Allowed"/>
    <s v="15/10/22"/>
  </r>
  <r>
    <s v="TXN_4183197"/>
    <s v="CUST_14"/>
    <x v="5"/>
    <x v="35"/>
    <x v="4"/>
    <x v="8"/>
    <n v="70"/>
    <x v="0"/>
    <x v="1"/>
    <x v="918"/>
    <x v="1"/>
    <s v="DISCOUNT ALLOWED"/>
    <s v="discount allowed"/>
    <s v="DISCOUNT ALLOWED"/>
    <s v="Discount Allowed"/>
    <s v="17/09/23"/>
  </r>
  <r>
    <s v="TXN_4251424"/>
    <s v="CUST_24"/>
    <x v="6"/>
    <x v="145"/>
    <x v="18"/>
    <x v="5"/>
    <n v="70"/>
    <x v="0"/>
    <x v="1"/>
    <x v="780"/>
    <x v="0"/>
    <s v="DISCOUNT NOT ALLOWED"/>
    <s v="discount not allowed"/>
    <s v="DISCOUNT NOT ALLOWED"/>
    <s v="Discount Not Allowed"/>
    <s v="22/04/24"/>
  </r>
  <r>
    <s v="TXN_4601804"/>
    <s v="CUST_23"/>
    <x v="5"/>
    <x v="143"/>
    <x v="18"/>
    <x v="5"/>
    <n v="70"/>
    <x v="2"/>
    <x v="0"/>
    <x v="734"/>
    <x v="1"/>
    <s v="DISCOUNT ALLOWED"/>
    <s v="discount allowed"/>
    <s v="DISCOUNT ALLOWED"/>
    <s v="Discount Allowed"/>
    <s v="11/08/23"/>
  </r>
  <r>
    <s v="TXN_5220094"/>
    <s v="CUST_17"/>
    <x v="3"/>
    <x v="52"/>
    <x v="4"/>
    <x v="8"/>
    <n v="70"/>
    <x v="1"/>
    <x v="0"/>
    <x v="15"/>
    <x v="1"/>
    <s v="DISCOUNT ALLOWED"/>
    <s v="discount allowed"/>
    <s v="DISCOUNT ALLOWED"/>
    <s v="Discount Allowed"/>
    <s v="28/07/22"/>
  </r>
  <r>
    <s v="TXN_5247770"/>
    <s v="CUST_23"/>
    <x v="6"/>
    <x v="145"/>
    <x v="18"/>
    <x v="5"/>
    <n v="70"/>
    <x v="0"/>
    <x v="0"/>
    <x v="666"/>
    <x v="0"/>
    <s v="DISCOUNT NOT ALLOWED"/>
    <s v="discount not allowed"/>
    <s v="DISCOUNT NOT ALLOWED"/>
    <s v="Discount Not Allowed"/>
    <s v="19/12/23"/>
  </r>
  <r>
    <s v="TXN_5277964"/>
    <s v="CUST_03"/>
    <x v="3"/>
    <x v="144"/>
    <x v="18"/>
    <x v="5"/>
    <n v="70"/>
    <x v="1"/>
    <x v="1"/>
    <x v="694"/>
    <x v="0"/>
    <s v="DISCOUNT NOT ALLOWED"/>
    <s v="discount not allowed"/>
    <s v="DISCOUNT NOT ALLOWED"/>
    <s v="Discount Not Allowed"/>
    <s v="28/01/23"/>
  </r>
  <r>
    <s v="TXN_5437649"/>
    <s v="CUST_06"/>
    <x v="4"/>
    <x v="36"/>
    <x v="4"/>
    <x v="8"/>
    <n v="70"/>
    <x v="1"/>
    <x v="0"/>
    <x v="896"/>
    <x v="0"/>
    <s v="DISCOUNT NOT ALLOWED"/>
    <s v="discount not allowed"/>
    <s v="DISCOUNT NOT ALLOWED"/>
    <s v="Discount Not Allowed"/>
    <s v="14/02/22"/>
  </r>
  <r>
    <s v="TXN_5551793"/>
    <s v="CUST_03"/>
    <x v="0"/>
    <x v="150"/>
    <x v="18"/>
    <x v="5"/>
    <n v="70"/>
    <x v="1"/>
    <x v="0"/>
    <x v="455"/>
    <x v="1"/>
    <s v="DISCOUNT ALLOWED"/>
    <s v="discount allowed"/>
    <s v="DISCOUNT ALLOWED"/>
    <s v="Discount Allowed"/>
    <s v="06/04/24"/>
  </r>
  <r>
    <s v="TXN_5612604"/>
    <s v="CUST_03"/>
    <x v="1"/>
    <x v="149"/>
    <x v="18"/>
    <x v="5"/>
    <n v="70"/>
    <x v="0"/>
    <x v="0"/>
    <x v="437"/>
    <x v="0"/>
    <s v="DISCOUNT NOT ALLOWED"/>
    <s v="discount not allowed"/>
    <s v="DISCOUNT NOT ALLOWED"/>
    <s v="Discount Not Allowed"/>
    <s v="23/08/24"/>
  </r>
  <r>
    <s v="TXN_5750056"/>
    <s v="CUST_24"/>
    <x v="2"/>
    <x v="32"/>
    <x v="4"/>
    <x v="8"/>
    <n v="70"/>
    <x v="0"/>
    <x v="1"/>
    <x v="672"/>
    <x v="1"/>
    <s v="DISCOUNT ALLOWED"/>
    <s v="discount allowed"/>
    <s v="DISCOUNT ALLOWED"/>
    <s v="Discount Allowed"/>
    <s v="20/09/23"/>
  </r>
  <r>
    <s v="TXN_6162855"/>
    <s v="CUST_09"/>
    <x v="5"/>
    <x v="35"/>
    <x v="4"/>
    <x v="8"/>
    <n v="70"/>
    <x v="1"/>
    <x v="0"/>
    <x v="829"/>
    <x v="1"/>
    <s v="DISCOUNT ALLOWED"/>
    <s v="discount allowed"/>
    <s v="DISCOUNT ALLOWED"/>
    <s v="Discount Allowed"/>
    <s v="29/06/23"/>
  </r>
  <r>
    <s v="TXN_6429023"/>
    <s v="CUST_13"/>
    <x v="7"/>
    <x v="146"/>
    <x v="18"/>
    <x v="5"/>
    <n v="70"/>
    <x v="0"/>
    <x v="0"/>
    <x v="218"/>
    <x v="0"/>
    <s v="DISCOUNT NOT ALLOWED"/>
    <s v="discount not allowed"/>
    <s v="DISCOUNT NOT ALLOWED"/>
    <s v="Discount Not Allowed"/>
    <s v="06/10/22"/>
  </r>
  <r>
    <s v="TXN_6483370"/>
    <s v="CUST_25"/>
    <x v="4"/>
    <x v="36"/>
    <x v="4"/>
    <x v="8"/>
    <n v="70"/>
    <x v="2"/>
    <x v="0"/>
    <x v="748"/>
    <x v="0"/>
    <s v="DISCOUNT NOT ALLOWED"/>
    <s v="discount not allowed"/>
    <s v="DISCOUNT NOT ALLOWED"/>
    <s v="Discount Not Allowed"/>
    <s v="21/06/23"/>
  </r>
  <r>
    <s v="TXN_6636272"/>
    <s v="CUST_14"/>
    <x v="1"/>
    <x v="149"/>
    <x v="18"/>
    <x v="5"/>
    <n v="70"/>
    <x v="1"/>
    <x v="1"/>
    <x v="897"/>
    <x v="0"/>
    <s v="DISCOUNT NOT ALLOWED"/>
    <s v="discount not allowed"/>
    <s v="DISCOUNT NOT ALLOWED"/>
    <s v="Discount Not Allowed"/>
    <s v="03/10/22"/>
  </r>
  <r>
    <s v="TXN_6645010"/>
    <s v="CUST_12"/>
    <x v="4"/>
    <x v="36"/>
    <x v="4"/>
    <x v="8"/>
    <n v="70"/>
    <x v="1"/>
    <x v="1"/>
    <x v="753"/>
    <x v="1"/>
    <s v="DISCOUNT ALLOWED"/>
    <s v="discount allowed"/>
    <s v="DISCOUNT ALLOWED"/>
    <s v="Discount Allowed"/>
    <s v="12/01/25"/>
  </r>
  <r>
    <s v="TXN_6666804"/>
    <s v="CUST_05"/>
    <x v="0"/>
    <x v="150"/>
    <x v="18"/>
    <x v="5"/>
    <n v="70"/>
    <x v="1"/>
    <x v="0"/>
    <x v="345"/>
    <x v="1"/>
    <s v="DISCOUNT ALLOWED"/>
    <s v="discount allowed"/>
    <s v="DISCOUNT ALLOWED"/>
    <s v="Discount Allowed"/>
    <s v="12/05/24"/>
  </r>
  <r>
    <s v="TXN_6820017"/>
    <s v="CUST_05"/>
    <x v="5"/>
    <x v="35"/>
    <x v="4"/>
    <x v="8"/>
    <n v="70"/>
    <x v="0"/>
    <x v="0"/>
    <x v="785"/>
    <x v="1"/>
    <s v="DISCOUNT ALLOWED"/>
    <s v="discount allowed"/>
    <s v="DISCOUNT ALLOWED"/>
    <s v="Discount Allowed"/>
    <s v="30/03/22"/>
  </r>
  <r>
    <s v="TXN_6989569"/>
    <s v="CUST_11"/>
    <x v="0"/>
    <x v="31"/>
    <x v="4"/>
    <x v="8"/>
    <n v="70"/>
    <x v="2"/>
    <x v="1"/>
    <x v="50"/>
    <x v="0"/>
    <s v="DISCOUNT NOT ALLOWED"/>
    <s v="discount not allowed"/>
    <s v="DISCOUNT NOT ALLOWED"/>
    <s v="Discount Not Allowed"/>
    <s v="17/01/22"/>
  </r>
  <r>
    <s v="TXN_7186220"/>
    <s v="CUST_17"/>
    <x v="2"/>
    <x v="148"/>
    <x v="18"/>
    <x v="5"/>
    <n v="70"/>
    <x v="1"/>
    <x v="0"/>
    <x v="456"/>
    <x v="1"/>
    <s v="DISCOUNT ALLOWED"/>
    <s v="discount allowed"/>
    <s v="DISCOUNT ALLOWED"/>
    <s v="Discount Allowed"/>
    <s v="18/07/24"/>
  </r>
  <r>
    <s v="TXN_7324151"/>
    <s v="CUST_16"/>
    <x v="6"/>
    <x v="33"/>
    <x v="4"/>
    <x v="8"/>
    <n v="70"/>
    <x v="2"/>
    <x v="1"/>
    <x v="1098"/>
    <x v="0"/>
    <s v="DISCOUNT NOT ALLOWED"/>
    <s v="discount not allowed"/>
    <s v="DISCOUNT NOT ALLOWED"/>
    <s v="Discount Not Allowed"/>
    <s v="30/08/24"/>
  </r>
  <r>
    <s v="TXN_7406153"/>
    <s v="CUST_18"/>
    <x v="6"/>
    <x v="145"/>
    <x v="18"/>
    <x v="5"/>
    <n v="70"/>
    <x v="0"/>
    <x v="0"/>
    <x v="101"/>
    <x v="0"/>
    <s v="DISCOUNT NOT ALLOWED"/>
    <s v="discount not allowed"/>
    <s v="DISCOUNT NOT ALLOWED"/>
    <s v="Discount Not Allowed"/>
    <s v="10/08/24"/>
  </r>
  <r>
    <s v="TXN_7604093"/>
    <s v="CUST_09"/>
    <x v="4"/>
    <x v="147"/>
    <x v="18"/>
    <x v="5"/>
    <n v="70"/>
    <x v="2"/>
    <x v="1"/>
    <x v="487"/>
    <x v="0"/>
    <s v="DISCOUNT NOT ALLOWED"/>
    <s v="discount not allowed"/>
    <s v="DISCOUNT NOT ALLOWED"/>
    <s v="Discount Not Allowed"/>
    <s v="06/02/22"/>
  </r>
  <r>
    <s v="TXN_7755532"/>
    <s v="CUST_19"/>
    <x v="6"/>
    <x v="145"/>
    <x v="18"/>
    <x v="5"/>
    <n v="70"/>
    <x v="2"/>
    <x v="1"/>
    <x v="560"/>
    <x v="0"/>
    <s v="DISCOUNT NOT ALLOWED"/>
    <s v="discount not allowed"/>
    <s v="DISCOUNT NOT ALLOWED"/>
    <s v="Discount Not Allowed"/>
    <s v="20/04/22"/>
  </r>
  <r>
    <s v="TXN_7787171"/>
    <s v="CUST_02"/>
    <x v="1"/>
    <x v="149"/>
    <x v="18"/>
    <x v="5"/>
    <n v="70"/>
    <x v="0"/>
    <x v="1"/>
    <x v="535"/>
    <x v="0"/>
    <s v="DISCOUNT NOT ALLOWED"/>
    <s v="discount not allowed"/>
    <s v="DISCOUNT NOT ALLOWED"/>
    <s v="Discount Not Allowed"/>
    <s v="06/07/24"/>
  </r>
  <r>
    <s v="TXN_7818460"/>
    <s v="CUST_07"/>
    <x v="3"/>
    <x v="144"/>
    <x v="18"/>
    <x v="5"/>
    <n v="70"/>
    <x v="0"/>
    <x v="1"/>
    <x v="1067"/>
    <x v="0"/>
    <s v="DISCOUNT NOT ALLOWED"/>
    <s v="discount not allowed"/>
    <s v="DISCOUNT NOT ALLOWED"/>
    <s v="Discount Not Allowed"/>
    <s v="31/10/23"/>
  </r>
  <r>
    <s v="TXN_8114453"/>
    <s v="CUST_10"/>
    <x v="5"/>
    <x v="35"/>
    <x v="4"/>
    <x v="8"/>
    <n v="70"/>
    <x v="0"/>
    <x v="1"/>
    <x v="1075"/>
    <x v="0"/>
    <s v="DISCOUNT NOT ALLOWED"/>
    <s v="discount not allowed"/>
    <s v="DISCOUNT NOT ALLOWED"/>
    <s v="Discount Not Allowed"/>
    <s v="09/05/23"/>
  </r>
  <r>
    <s v="TXN_8123535"/>
    <s v="CUST_05"/>
    <x v="4"/>
    <x v="36"/>
    <x v="4"/>
    <x v="8"/>
    <n v="70"/>
    <x v="1"/>
    <x v="1"/>
    <x v="944"/>
    <x v="0"/>
    <s v="DISCOUNT NOT ALLOWED"/>
    <s v="discount not allowed"/>
    <s v="DISCOUNT NOT ALLOWED"/>
    <s v="Discount Not Allowed"/>
    <s v="14/01/24"/>
  </r>
  <r>
    <s v="TXN_8129465"/>
    <s v="CUST_01"/>
    <x v="6"/>
    <x v="145"/>
    <x v="18"/>
    <x v="5"/>
    <n v="70"/>
    <x v="1"/>
    <x v="1"/>
    <x v="1098"/>
    <x v="1"/>
    <s v="DISCOUNT ALLOWED"/>
    <s v="discount allowed"/>
    <s v="DISCOUNT ALLOWED"/>
    <s v="Discount Allowed"/>
    <s v="30/08/24"/>
  </r>
  <r>
    <s v="TXN_8152726"/>
    <s v="CUST_06"/>
    <x v="5"/>
    <x v="35"/>
    <x v="4"/>
    <x v="8"/>
    <n v="70"/>
    <x v="2"/>
    <x v="1"/>
    <x v="138"/>
    <x v="1"/>
    <s v="DISCOUNT ALLOWED"/>
    <s v="discount allowed"/>
    <s v="DISCOUNT ALLOWED"/>
    <s v="Discount Allowed"/>
    <s v="10/02/24"/>
  </r>
  <r>
    <s v="TXN_8598964"/>
    <s v="CUST_05"/>
    <x v="2"/>
    <x v="148"/>
    <x v="18"/>
    <x v="5"/>
    <n v="70"/>
    <x v="2"/>
    <x v="0"/>
    <x v="378"/>
    <x v="1"/>
    <s v="DISCOUNT ALLOWED"/>
    <s v="discount allowed"/>
    <s v="DISCOUNT ALLOWED"/>
    <s v="Discount Allowed"/>
    <s v="29/04/23"/>
  </r>
  <r>
    <s v="TXN_8863568"/>
    <s v="CUST_22"/>
    <x v="2"/>
    <x v="32"/>
    <x v="4"/>
    <x v="8"/>
    <n v="70"/>
    <x v="0"/>
    <x v="0"/>
    <x v="308"/>
    <x v="1"/>
    <s v="DISCOUNT ALLOWED"/>
    <s v="discount allowed"/>
    <s v="DISCOUNT ALLOWED"/>
    <s v="Discount Allowed"/>
    <s v="25/05/22"/>
  </r>
  <r>
    <s v="TXN_8926156"/>
    <s v="CUST_11"/>
    <x v="0"/>
    <x v="150"/>
    <x v="18"/>
    <x v="5"/>
    <n v="70"/>
    <x v="0"/>
    <x v="1"/>
    <x v="1079"/>
    <x v="1"/>
    <s v="DISCOUNT ALLOWED"/>
    <s v="discount allowed"/>
    <s v="DISCOUNT ALLOWED"/>
    <s v="Discount Allowed"/>
    <s v="15/01/25"/>
  </r>
  <r>
    <s v="TXN_9135173"/>
    <s v="CUST_13"/>
    <x v="6"/>
    <x v="33"/>
    <x v="4"/>
    <x v="8"/>
    <n v="70"/>
    <x v="1"/>
    <x v="0"/>
    <x v="308"/>
    <x v="0"/>
    <s v="DISCOUNT NOT ALLOWED"/>
    <s v="discount not allowed"/>
    <s v="DISCOUNT NOT ALLOWED"/>
    <s v="Discount Not Allowed"/>
    <s v="25/05/22"/>
  </r>
  <r>
    <s v="TXN_9175988"/>
    <s v="CUST_15"/>
    <x v="3"/>
    <x v="144"/>
    <x v="18"/>
    <x v="5"/>
    <n v="70"/>
    <x v="0"/>
    <x v="0"/>
    <x v="208"/>
    <x v="1"/>
    <s v="DISCOUNT ALLOWED"/>
    <s v="discount allowed"/>
    <s v="DISCOUNT ALLOWED"/>
    <s v="Discount Allowed"/>
    <s v="02/06/23"/>
  </r>
  <r>
    <s v="TXN_9532159"/>
    <s v="CUST_03"/>
    <x v="6"/>
    <x v="145"/>
    <x v="18"/>
    <x v="5"/>
    <n v="70"/>
    <x v="2"/>
    <x v="0"/>
    <x v="486"/>
    <x v="0"/>
    <s v="DISCOUNT NOT ALLOWED"/>
    <s v="discount not allowed"/>
    <s v="DISCOUNT NOT ALLOWED"/>
    <s v="Discount Not Allowed"/>
    <s v="21/10/22"/>
  </r>
  <r>
    <s v="TXN_9643570"/>
    <s v="CUST_08"/>
    <x v="4"/>
    <x v="36"/>
    <x v="4"/>
    <x v="8"/>
    <n v="70"/>
    <x v="0"/>
    <x v="0"/>
    <x v="156"/>
    <x v="0"/>
    <s v="DISCOUNT NOT ALLOWED"/>
    <s v="discount not allowed"/>
    <s v="DISCOUNT NOT ALLOWED"/>
    <s v="Discount Not Allowed"/>
    <s v="04/07/22"/>
  </r>
  <r>
    <s v="TXN_9649833"/>
    <s v="CUST_22"/>
    <x v="2"/>
    <x v="148"/>
    <x v="18"/>
    <x v="5"/>
    <n v="70"/>
    <x v="2"/>
    <x v="0"/>
    <x v="241"/>
    <x v="1"/>
    <s v="DISCOUNT ALLOWED"/>
    <s v="discount allowed"/>
    <s v="DISCOUNT ALLOWED"/>
    <s v="Discount Allowed"/>
    <s v="07/02/24"/>
  </r>
  <r>
    <s v="TXN_1349740"/>
    <s v="CUST_24"/>
    <x v="5"/>
    <x v="97"/>
    <x v="12"/>
    <x v="7"/>
    <n v="69"/>
    <x v="1"/>
    <x v="0"/>
    <x v="538"/>
    <x v="0"/>
    <s v="DISCOUNT NOT ALLOWED"/>
    <s v="discount not allowed"/>
    <s v="DISCOUNT NOT ALLOWED"/>
    <s v="Discount Not Allowed"/>
    <s v="16/07/24"/>
  </r>
  <r>
    <s v="TXN_1999080"/>
    <s v="CUST_08"/>
    <x v="4"/>
    <x v="94"/>
    <x v="12"/>
    <x v="7"/>
    <n v="69"/>
    <x v="0"/>
    <x v="0"/>
    <x v="473"/>
    <x v="1"/>
    <s v="DISCOUNT ALLOWED"/>
    <s v="discount allowed"/>
    <s v="DISCOUNT ALLOWED"/>
    <s v="Discount Allowed"/>
    <s v="02/12/24"/>
  </r>
  <r>
    <s v="TXN_2275327"/>
    <s v="CUST_08"/>
    <x v="7"/>
    <x v="96"/>
    <x v="12"/>
    <x v="7"/>
    <n v="69"/>
    <x v="1"/>
    <x v="1"/>
    <x v="246"/>
    <x v="0"/>
    <s v="DISCOUNT NOT ALLOWED"/>
    <s v="discount not allowed"/>
    <s v="DISCOUNT NOT ALLOWED"/>
    <s v="Discount Not Allowed"/>
    <s v="13/08/22"/>
  </r>
  <r>
    <s v="TXN_2438514"/>
    <s v="CUST_15"/>
    <x v="7"/>
    <x v="96"/>
    <x v="12"/>
    <x v="7"/>
    <n v="69"/>
    <x v="0"/>
    <x v="0"/>
    <x v="999"/>
    <x v="1"/>
    <s v="DISCOUNT ALLOWED"/>
    <s v="discount allowed"/>
    <s v="DISCOUNT ALLOWED"/>
    <s v="Discount Allowed"/>
    <s v="13/02/24"/>
  </r>
  <r>
    <s v="TXN_2659409"/>
    <s v="CUST_24"/>
    <x v="4"/>
    <x v="94"/>
    <x v="12"/>
    <x v="7"/>
    <n v="69"/>
    <x v="2"/>
    <x v="0"/>
    <x v="630"/>
    <x v="0"/>
    <s v="DISCOUNT NOT ALLOWED"/>
    <s v="discount not allowed"/>
    <s v="DISCOUNT NOT ALLOWED"/>
    <s v="Discount Not Allowed"/>
    <s v="10/07/24"/>
  </r>
  <r>
    <s v="TXN_2665357"/>
    <s v="CUST_15"/>
    <x v="3"/>
    <x v="95"/>
    <x v="12"/>
    <x v="7"/>
    <n v="69"/>
    <x v="1"/>
    <x v="0"/>
    <x v="1099"/>
    <x v="0"/>
    <s v="DISCOUNT NOT ALLOWED"/>
    <s v="discount not allowed"/>
    <s v="DISCOUNT NOT ALLOWED"/>
    <s v="Discount Not Allowed"/>
    <s v="24/12/22"/>
  </r>
  <r>
    <s v="TXN_2894843"/>
    <s v="CUST_05"/>
    <x v="4"/>
    <x v="94"/>
    <x v="12"/>
    <x v="7"/>
    <n v="69"/>
    <x v="2"/>
    <x v="1"/>
    <x v="346"/>
    <x v="0"/>
    <s v="DISCOUNT NOT ALLOWED"/>
    <s v="discount not allowed"/>
    <s v="DISCOUNT NOT ALLOWED"/>
    <s v="Discount Not Allowed"/>
    <s v="06/06/22"/>
  </r>
  <r>
    <s v="TXN_2994824"/>
    <s v="CUST_16"/>
    <x v="7"/>
    <x v="96"/>
    <x v="12"/>
    <x v="7"/>
    <n v="69"/>
    <x v="1"/>
    <x v="1"/>
    <x v="483"/>
    <x v="1"/>
    <s v="DISCOUNT ALLOWED"/>
    <s v="discount allowed"/>
    <s v="DISCOUNT ALLOWED"/>
    <s v="Discount Allowed"/>
    <s v="13/12/23"/>
  </r>
  <r>
    <s v="TXN_3290365"/>
    <s v="CUST_02"/>
    <x v="4"/>
    <x v="94"/>
    <x v="12"/>
    <x v="7"/>
    <n v="69"/>
    <x v="1"/>
    <x v="1"/>
    <x v="201"/>
    <x v="1"/>
    <s v="DISCOUNT ALLOWED"/>
    <s v="discount allowed"/>
    <s v="DISCOUNT ALLOWED"/>
    <s v="Discount Allowed"/>
    <s v="25/04/23"/>
  </r>
  <r>
    <s v="TXN_3422608"/>
    <s v="CUST_25"/>
    <x v="0"/>
    <x v="98"/>
    <x v="12"/>
    <x v="7"/>
    <n v="69"/>
    <x v="2"/>
    <x v="0"/>
    <x v="954"/>
    <x v="0"/>
    <s v="DISCOUNT NOT ALLOWED"/>
    <s v="discount not allowed"/>
    <s v="DISCOUNT NOT ALLOWED"/>
    <s v="Discount Not Allowed"/>
    <s v="02/04/22"/>
  </r>
  <r>
    <s v="TXN_3456177"/>
    <s v="CUST_01"/>
    <x v="3"/>
    <x v="95"/>
    <x v="12"/>
    <x v="7"/>
    <n v="69"/>
    <x v="2"/>
    <x v="0"/>
    <x v="677"/>
    <x v="1"/>
    <s v="DISCOUNT ALLOWED"/>
    <s v="discount allowed"/>
    <s v="DISCOUNT ALLOWED"/>
    <s v="Discount Allowed"/>
    <s v="23/06/23"/>
  </r>
  <r>
    <s v="TXN_3513732"/>
    <s v="CUST_11"/>
    <x v="3"/>
    <x v="95"/>
    <x v="12"/>
    <x v="7"/>
    <n v="69"/>
    <x v="2"/>
    <x v="0"/>
    <x v="846"/>
    <x v="1"/>
    <s v="DISCOUNT ALLOWED"/>
    <s v="discount allowed"/>
    <s v="DISCOUNT ALLOWED"/>
    <s v="Discount Allowed"/>
    <s v="29/03/23"/>
  </r>
  <r>
    <s v="TXN_3719328"/>
    <s v="CUST_12"/>
    <x v="0"/>
    <x v="98"/>
    <x v="12"/>
    <x v="7"/>
    <n v="69"/>
    <x v="2"/>
    <x v="1"/>
    <x v="717"/>
    <x v="1"/>
    <s v="DISCOUNT ALLOWED"/>
    <s v="discount allowed"/>
    <s v="DISCOUNT ALLOWED"/>
    <s v="Discount Allowed"/>
    <s v="15/05/22"/>
  </r>
  <r>
    <s v="TXN_3868370"/>
    <s v="CUST_10"/>
    <x v="5"/>
    <x v="97"/>
    <x v="12"/>
    <x v="7"/>
    <n v="69"/>
    <x v="2"/>
    <x v="0"/>
    <x v="241"/>
    <x v="0"/>
    <s v="DISCOUNT NOT ALLOWED"/>
    <s v="discount not allowed"/>
    <s v="DISCOUNT NOT ALLOWED"/>
    <s v="Discount Not Allowed"/>
    <s v="07/02/24"/>
  </r>
  <r>
    <s v="TXN_4068594"/>
    <s v="CUST_24"/>
    <x v="6"/>
    <x v="93"/>
    <x v="12"/>
    <x v="7"/>
    <n v="69"/>
    <x v="1"/>
    <x v="0"/>
    <x v="386"/>
    <x v="1"/>
    <s v="DISCOUNT ALLOWED"/>
    <s v="discount allowed"/>
    <s v="DISCOUNT ALLOWED"/>
    <s v="Discount Allowed"/>
    <s v="18/01/22"/>
  </r>
  <r>
    <s v="TXN_4287690"/>
    <s v="CUST_11"/>
    <x v="1"/>
    <x v="99"/>
    <x v="12"/>
    <x v="7"/>
    <n v="69"/>
    <x v="0"/>
    <x v="1"/>
    <x v="1100"/>
    <x v="1"/>
    <s v="DISCOUNT ALLOWED"/>
    <s v="discount allowed"/>
    <s v="DISCOUNT ALLOWED"/>
    <s v="Discount Allowed"/>
    <s v="08/12/23"/>
  </r>
  <r>
    <s v="TXN_4406496"/>
    <s v="CUST_18"/>
    <x v="5"/>
    <x v="97"/>
    <x v="12"/>
    <x v="7"/>
    <n v="69"/>
    <x v="2"/>
    <x v="1"/>
    <x v="890"/>
    <x v="0"/>
    <s v="DISCOUNT NOT ALLOWED"/>
    <s v="discount not allowed"/>
    <s v="DISCOUNT NOT ALLOWED"/>
    <s v="Discount Not Allowed"/>
    <s v="16/09/24"/>
  </r>
  <r>
    <s v="TXN_5109808"/>
    <s v="CUST_18"/>
    <x v="0"/>
    <x v="98"/>
    <x v="12"/>
    <x v="7"/>
    <n v="69"/>
    <x v="2"/>
    <x v="0"/>
    <x v="620"/>
    <x v="1"/>
    <s v="DISCOUNT ALLOWED"/>
    <s v="discount allowed"/>
    <s v="DISCOUNT ALLOWED"/>
    <s v="Discount Allowed"/>
    <s v="19/09/23"/>
  </r>
  <r>
    <s v="TXN_5219250"/>
    <s v="CUST_23"/>
    <x v="5"/>
    <x v="97"/>
    <x v="12"/>
    <x v="7"/>
    <n v="69"/>
    <x v="1"/>
    <x v="1"/>
    <x v="991"/>
    <x v="1"/>
    <s v="DISCOUNT ALLOWED"/>
    <s v="discount allowed"/>
    <s v="DISCOUNT ALLOWED"/>
    <s v="Discount Allowed"/>
    <s v="08/02/23"/>
  </r>
  <r>
    <s v="TXN_5250994"/>
    <s v="CUST_03"/>
    <x v="4"/>
    <x v="94"/>
    <x v="12"/>
    <x v="7"/>
    <n v="69"/>
    <x v="2"/>
    <x v="0"/>
    <x v="1101"/>
    <x v="0"/>
    <s v="DISCOUNT NOT ALLOWED"/>
    <s v="discount not allowed"/>
    <s v="DISCOUNT NOT ALLOWED"/>
    <s v="Discount Not Allowed"/>
    <s v="28/08/22"/>
  </r>
  <r>
    <s v="TXN_5338975"/>
    <s v="CUST_01"/>
    <x v="3"/>
    <x v="95"/>
    <x v="12"/>
    <x v="7"/>
    <n v="69"/>
    <x v="1"/>
    <x v="0"/>
    <x v="628"/>
    <x v="1"/>
    <s v="DISCOUNT ALLOWED"/>
    <s v="discount allowed"/>
    <s v="DISCOUNT ALLOWED"/>
    <s v="Discount Allowed"/>
    <s v="25/01/24"/>
  </r>
  <r>
    <s v="TXN_5362878"/>
    <s v="CUST_10"/>
    <x v="6"/>
    <x v="93"/>
    <x v="12"/>
    <x v="7"/>
    <n v="69"/>
    <x v="0"/>
    <x v="1"/>
    <x v="175"/>
    <x v="1"/>
    <s v="DISCOUNT ALLOWED"/>
    <s v="discount allowed"/>
    <s v="DISCOUNT ALLOWED"/>
    <s v="Discount Allowed"/>
    <s v="25/12/24"/>
  </r>
  <r>
    <s v="TXN_6124741"/>
    <s v="CUST_17"/>
    <x v="4"/>
    <x v="94"/>
    <x v="12"/>
    <x v="7"/>
    <n v="69"/>
    <x v="1"/>
    <x v="1"/>
    <x v="774"/>
    <x v="1"/>
    <s v="DISCOUNT ALLOWED"/>
    <s v="discount allowed"/>
    <s v="DISCOUNT ALLOWED"/>
    <s v="Discount Allowed"/>
    <s v="17/04/22"/>
  </r>
  <r>
    <s v="TXN_6564279"/>
    <s v="CUST_25"/>
    <x v="6"/>
    <x v="93"/>
    <x v="12"/>
    <x v="7"/>
    <n v="69"/>
    <x v="2"/>
    <x v="0"/>
    <x v="495"/>
    <x v="0"/>
    <s v="DISCOUNT NOT ALLOWED"/>
    <s v="discount not allowed"/>
    <s v="DISCOUNT NOT ALLOWED"/>
    <s v="Discount Not Allowed"/>
    <s v="02/02/22"/>
  </r>
  <r>
    <s v="TXN_6568701"/>
    <s v="CUST_08"/>
    <x v="7"/>
    <x v="96"/>
    <x v="12"/>
    <x v="7"/>
    <n v="69"/>
    <x v="0"/>
    <x v="0"/>
    <x v="125"/>
    <x v="1"/>
    <s v="DISCOUNT ALLOWED"/>
    <s v="discount allowed"/>
    <s v="DISCOUNT ALLOWED"/>
    <s v="Discount Allowed"/>
    <s v="18/03/22"/>
  </r>
  <r>
    <s v="TXN_6617081"/>
    <s v="CUST_10"/>
    <x v="5"/>
    <x v="97"/>
    <x v="12"/>
    <x v="7"/>
    <n v="69"/>
    <x v="1"/>
    <x v="1"/>
    <x v="536"/>
    <x v="0"/>
    <s v="DISCOUNT NOT ALLOWED"/>
    <s v="discount not allowed"/>
    <s v="DISCOUNT NOT ALLOWED"/>
    <s v="Discount Not Allowed"/>
    <s v="02/05/22"/>
  </r>
  <r>
    <s v="TXN_6688642"/>
    <s v="CUST_25"/>
    <x v="3"/>
    <x v="95"/>
    <x v="12"/>
    <x v="7"/>
    <n v="69"/>
    <x v="1"/>
    <x v="0"/>
    <x v="6"/>
    <x v="0"/>
    <s v="DISCOUNT NOT ALLOWED"/>
    <s v="discount not allowed"/>
    <s v="DISCOUNT NOT ALLOWED"/>
    <s v="Discount Not Allowed"/>
    <s v="20/12/23"/>
  </r>
  <r>
    <s v="TXN_6746331"/>
    <s v="CUST_11"/>
    <x v="3"/>
    <x v="95"/>
    <x v="12"/>
    <x v="7"/>
    <n v="69"/>
    <x v="0"/>
    <x v="1"/>
    <x v="240"/>
    <x v="0"/>
    <s v="DISCOUNT NOT ALLOWED"/>
    <s v="discount not allowed"/>
    <s v="DISCOUNT NOT ALLOWED"/>
    <s v="Discount Not Allowed"/>
    <s v="08/07/24"/>
  </r>
  <r>
    <s v="TXN_7283294"/>
    <s v="CUST_02"/>
    <x v="0"/>
    <x v="98"/>
    <x v="12"/>
    <x v="7"/>
    <n v="69"/>
    <x v="0"/>
    <x v="0"/>
    <x v="49"/>
    <x v="0"/>
    <s v="DISCOUNT NOT ALLOWED"/>
    <s v="discount not allowed"/>
    <s v="DISCOUNT NOT ALLOWED"/>
    <s v="Discount Not Allowed"/>
    <s v="14/09/22"/>
  </r>
  <r>
    <s v="TXN_7827422"/>
    <s v="CUST_03"/>
    <x v="7"/>
    <x v="96"/>
    <x v="12"/>
    <x v="7"/>
    <n v="69"/>
    <x v="0"/>
    <x v="1"/>
    <x v="435"/>
    <x v="1"/>
    <s v="DISCOUNT ALLOWED"/>
    <s v="discount allowed"/>
    <s v="DISCOUNT ALLOWED"/>
    <s v="Discount Allowed"/>
    <s v="26/10/23"/>
  </r>
  <r>
    <s v="TXN_9017295"/>
    <s v="CUST_04"/>
    <x v="0"/>
    <x v="98"/>
    <x v="12"/>
    <x v="7"/>
    <n v="69"/>
    <x v="2"/>
    <x v="0"/>
    <x v="688"/>
    <x v="0"/>
    <s v="DISCOUNT NOT ALLOWED"/>
    <s v="discount not allowed"/>
    <s v="DISCOUNT NOT ALLOWED"/>
    <s v="Discount Not Allowed"/>
    <s v="04/03/24"/>
  </r>
  <r>
    <s v="TXN_9066614"/>
    <s v="CUST_18"/>
    <x v="6"/>
    <x v="93"/>
    <x v="12"/>
    <x v="7"/>
    <n v="69"/>
    <x v="1"/>
    <x v="1"/>
    <x v="666"/>
    <x v="1"/>
    <s v="DISCOUNT ALLOWED"/>
    <s v="discount allowed"/>
    <s v="DISCOUNT ALLOWED"/>
    <s v="Discount Allowed"/>
    <s v="19/12/23"/>
  </r>
  <r>
    <s v="TXN_9922695"/>
    <s v="CUST_21"/>
    <x v="3"/>
    <x v="95"/>
    <x v="12"/>
    <x v="7"/>
    <n v="69"/>
    <x v="1"/>
    <x v="0"/>
    <x v="980"/>
    <x v="0"/>
    <s v="DISCOUNT NOT ALLOWED"/>
    <s v="discount not allowed"/>
    <s v="DISCOUNT NOT ALLOWED"/>
    <s v="Discount Not Allowed"/>
    <s v="05/05/23"/>
  </r>
  <r>
    <s v="TXN_9937190"/>
    <s v="CUST_23"/>
    <x v="4"/>
    <x v="94"/>
    <x v="12"/>
    <x v="7"/>
    <n v="69"/>
    <x v="0"/>
    <x v="1"/>
    <x v="213"/>
    <x v="0"/>
    <s v="DISCOUNT NOT ALLOWED"/>
    <s v="discount not allowed"/>
    <s v="DISCOUNT NOT ALLOWED"/>
    <s v="Discount Not Allowed"/>
    <s v="14/07/23"/>
  </r>
  <r>
    <s v="TXN_1394949"/>
    <s v="CUST_13"/>
    <x v="7"/>
    <x v="133"/>
    <x v="16"/>
    <x v="6"/>
    <n v="68"/>
    <x v="0"/>
    <x v="1"/>
    <x v="33"/>
    <x v="1"/>
    <s v="DISCOUNT ALLOWED"/>
    <s v="discount allowed"/>
    <s v="DISCOUNT ALLOWED"/>
    <s v="Discount Allowed"/>
    <s v="10/10/23"/>
  </r>
  <r>
    <s v="TXN_1448668"/>
    <s v="CUST_24"/>
    <x v="0"/>
    <x v="151"/>
    <x v="16"/>
    <x v="6"/>
    <n v="68"/>
    <x v="2"/>
    <x v="1"/>
    <x v="69"/>
    <x v="0"/>
    <s v="DISCOUNT NOT ALLOWED"/>
    <s v="discount not allowed"/>
    <s v="DISCOUNT NOT ALLOWED"/>
    <s v="Discount Not Allowed"/>
    <s v="14/11/23"/>
  </r>
  <r>
    <s v="TXN_2138805"/>
    <s v="CUST_07"/>
    <x v="6"/>
    <x v="132"/>
    <x v="16"/>
    <x v="6"/>
    <n v="68"/>
    <x v="2"/>
    <x v="0"/>
    <x v="512"/>
    <x v="0"/>
    <s v="DISCOUNT NOT ALLOWED"/>
    <s v="discount not allowed"/>
    <s v="DISCOUNT NOT ALLOWED"/>
    <s v="Discount Not Allowed"/>
    <s v="24/06/22"/>
  </r>
  <r>
    <s v="TXN_2222797"/>
    <s v="CUST_18"/>
    <x v="5"/>
    <x v="128"/>
    <x v="16"/>
    <x v="6"/>
    <n v="68"/>
    <x v="1"/>
    <x v="1"/>
    <x v="1025"/>
    <x v="0"/>
    <s v="DISCOUNT NOT ALLOWED"/>
    <s v="discount not allowed"/>
    <s v="DISCOUNT NOT ALLOWED"/>
    <s v="Discount Not Allowed"/>
    <s v="06/05/23"/>
  </r>
  <r>
    <s v="TXN_3133105"/>
    <s v="CUST_13"/>
    <x v="5"/>
    <x v="128"/>
    <x v="16"/>
    <x v="6"/>
    <n v="68"/>
    <x v="1"/>
    <x v="1"/>
    <x v="340"/>
    <x v="1"/>
    <s v="DISCOUNT ALLOWED"/>
    <s v="discount allowed"/>
    <s v="DISCOUNT ALLOWED"/>
    <s v="Discount Allowed"/>
    <s v="05/03/22"/>
  </r>
  <r>
    <s v="TXN_3340219"/>
    <s v="CUST_13"/>
    <x v="2"/>
    <x v="131"/>
    <x v="16"/>
    <x v="6"/>
    <n v="68"/>
    <x v="1"/>
    <x v="0"/>
    <x v="1075"/>
    <x v="0"/>
    <s v="DISCOUNT NOT ALLOWED"/>
    <s v="discount not allowed"/>
    <s v="DISCOUNT NOT ALLOWED"/>
    <s v="Discount Not Allowed"/>
    <s v="09/05/23"/>
  </r>
  <r>
    <s v="TXN_3443190"/>
    <s v="CUST_07"/>
    <x v="4"/>
    <x v="130"/>
    <x v="16"/>
    <x v="6"/>
    <n v="68"/>
    <x v="1"/>
    <x v="1"/>
    <x v="328"/>
    <x v="1"/>
    <s v="DISCOUNT ALLOWED"/>
    <s v="discount allowed"/>
    <s v="DISCOUNT ALLOWED"/>
    <s v="Discount Allowed"/>
    <s v="08/06/24"/>
  </r>
  <r>
    <s v="TXN_3671598"/>
    <s v="CUST_23"/>
    <x v="4"/>
    <x v="130"/>
    <x v="16"/>
    <x v="6"/>
    <n v="68"/>
    <x v="0"/>
    <x v="0"/>
    <x v="147"/>
    <x v="1"/>
    <s v="DISCOUNT ALLOWED"/>
    <s v="discount allowed"/>
    <s v="DISCOUNT ALLOWED"/>
    <s v="Discount Allowed"/>
    <s v="15/07/23"/>
  </r>
  <r>
    <s v="TXN_3710830"/>
    <s v="CUST_13"/>
    <x v="1"/>
    <x v="129"/>
    <x v="16"/>
    <x v="6"/>
    <n v="68"/>
    <x v="1"/>
    <x v="1"/>
    <x v="231"/>
    <x v="0"/>
    <s v="DISCOUNT NOT ALLOWED"/>
    <s v="discount not allowed"/>
    <s v="DISCOUNT NOT ALLOWED"/>
    <s v="Discount Not Allowed"/>
    <s v="04/01/22"/>
  </r>
  <r>
    <s v="TXN_4125241"/>
    <s v="CUST_12"/>
    <x v="4"/>
    <x v="130"/>
    <x v="16"/>
    <x v="6"/>
    <n v="68"/>
    <x v="1"/>
    <x v="1"/>
    <x v="194"/>
    <x v="1"/>
    <s v="DISCOUNT ALLOWED"/>
    <s v="discount allowed"/>
    <s v="DISCOUNT ALLOWED"/>
    <s v="Discount Allowed"/>
    <s v="25/12/22"/>
  </r>
  <r>
    <s v="TXN_4222025"/>
    <s v="CUST_02"/>
    <x v="5"/>
    <x v="128"/>
    <x v="16"/>
    <x v="6"/>
    <n v="68"/>
    <x v="0"/>
    <x v="0"/>
    <x v="449"/>
    <x v="0"/>
    <s v="DISCOUNT NOT ALLOWED"/>
    <s v="discount not allowed"/>
    <s v="DISCOUNT NOT ALLOWED"/>
    <s v="Discount Not Allowed"/>
    <s v="27/03/22"/>
  </r>
  <r>
    <s v="TXN_4363368"/>
    <s v="CUST_15"/>
    <x v="6"/>
    <x v="132"/>
    <x v="16"/>
    <x v="6"/>
    <n v="68"/>
    <x v="0"/>
    <x v="0"/>
    <x v="73"/>
    <x v="1"/>
    <s v="DISCOUNT ALLOWED"/>
    <s v="discount allowed"/>
    <s v="DISCOUNT ALLOWED"/>
    <s v="Discount Allowed"/>
    <s v="01/09/23"/>
  </r>
  <r>
    <s v="TXN_4677429"/>
    <s v="CUST_15"/>
    <x v="6"/>
    <x v="132"/>
    <x v="16"/>
    <x v="6"/>
    <n v="68"/>
    <x v="0"/>
    <x v="1"/>
    <x v="912"/>
    <x v="1"/>
    <s v="DISCOUNT ALLOWED"/>
    <s v="discount allowed"/>
    <s v="DISCOUNT ALLOWED"/>
    <s v="Discount Allowed"/>
    <s v="19/01/24"/>
  </r>
  <r>
    <s v="TXN_4869342"/>
    <s v="CUST_13"/>
    <x v="5"/>
    <x v="128"/>
    <x v="16"/>
    <x v="6"/>
    <n v="68"/>
    <x v="1"/>
    <x v="0"/>
    <x v="465"/>
    <x v="0"/>
    <s v="DISCOUNT NOT ALLOWED"/>
    <s v="discount not allowed"/>
    <s v="DISCOUNT NOT ALLOWED"/>
    <s v="Discount Not Allowed"/>
    <s v="22/08/22"/>
  </r>
  <r>
    <s v="TXN_5543371"/>
    <s v="CUST_15"/>
    <x v="0"/>
    <x v="151"/>
    <x v="16"/>
    <x v="6"/>
    <n v="68"/>
    <x v="2"/>
    <x v="0"/>
    <x v="321"/>
    <x v="1"/>
    <s v="DISCOUNT ALLOWED"/>
    <s v="discount allowed"/>
    <s v="DISCOUNT ALLOWED"/>
    <s v="Discount Allowed"/>
    <s v="28/03/24"/>
  </r>
  <r>
    <s v="TXN_5809744"/>
    <s v="CUST_18"/>
    <x v="4"/>
    <x v="130"/>
    <x v="16"/>
    <x v="6"/>
    <n v="68"/>
    <x v="1"/>
    <x v="1"/>
    <x v="1087"/>
    <x v="1"/>
    <s v="DISCOUNT ALLOWED"/>
    <s v="discount allowed"/>
    <s v="DISCOUNT ALLOWED"/>
    <s v="Discount Allowed"/>
    <s v="29/01/23"/>
  </r>
  <r>
    <s v="TXN_6237848"/>
    <s v="CUST_04"/>
    <x v="6"/>
    <x v="132"/>
    <x v="16"/>
    <x v="6"/>
    <n v="68"/>
    <x v="2"/>
    <x v="1"/>
    <x v="489"/>
    <x v="0"/>
    <s v="DISCOUNT NOT ALLOWED"/>
    <s v="discount not allowed"/>
    <s v="DISCOUNT NOT ALLOWED"/>
    <s v="Discount Not Allowed"/>
    <s v="12/01/22"/>
  </r>
  <r>
    <s v="TXN_7144545"/>
    <s v="CUST_23"/>
    <x v="4"/>
    <x v="130"/>
    <x v="16"/>
    <x v="6"/>
    <n v="68"/>
    <x v="2"/>
    <x v="0"/>
    <x v="759"/>
    <x v="1"/>
    <s v="DISCOUNT ALLOWED"/>
    <s v="discount allowed"/>
    <s v="DISCOUNT ALLOWED"/>
    <s v="Discount Allowed"/>
    <s v="08/05/24"/>
  </r>
  <r>
    <s v="TXN_7595380"/>
    <s v="CUST_06"/>
    <x v="2"/>
    <x v="131"/>
    <x v="16"/>
    <x v="6"/>
    <n v="68"/>
    <x v="1"/>
    <x v="1"/>
    <x v="625"/>
    <x v="0"/>
    <s v="DISCOUNT NOT ALLOWED"/>
    <s v="discount not allowed"/>
    <s v="DISCOUNT NOT ALLOWED"/>
    <s v="Discount Not Allowed"/>
    <s v="13/11/22"/>
  </r>
  <r>
    <s v="TXN_7624812"/>
    <s v="CUST_07"/>
    <x v="2"/>
    <x v="131"/>
    <x v="16"/>
    <x v="6"/>
    <n v="68"/>
    <x v="2"/>
    <x v="1"/>
    <x v="134"/>
    <x v="0"/>
    <s v="DISCOUNT NOT ALLOWED"/>
    <s v="discount not allowed"/>
    <s v="DISCOUNT NOT ALLOWED"/>
    <s v="Discount Not Allowed"/>
    <s v="11/02/22"/>
  </r>
  <r>
    <s v="TXN_9910150"/>
    <s v="CUST_08"/>
    <x v="5"/>
    <x v="128"/>
    <x v="16"/>
    <x v="6"/>
    <n v="68"/>
    <x v="0"/>
    <x v="0"/>
    <x v="739"/>
    <x v="1"/>
    <s v="DISCOUNT ALLOWED"/>
    <s v="discount allowed"/>
    <s v="DISCOUNT ALLOWED"/>
    <s v="Discount Allowed"/>
    <s v="23/05/22"/>
  </r>
  <r>
    <s v="TXN_1502529"/>
    <s v="CUST_01"/>
    <x v="0"/>
    <x v="40"/>
    <x v="5"/>
    <x v="8"/>
    <n v="67"/>
    <x v="2"/>
    <x v="0"/>
    <x v="1059"/>
    <x v="1"/>
    <s v="DISCOUNT ALLOWED"/>
    <s v="discount allowed"/>
    <s v="DISCOUNT ALLOWED"/>
    <s v="Discount Allowed"/>
    <s v="24/02/24"/>
  </r>
  <r>
    <s v="TXN_1673701"/>
    <s v="CUST_16"/>
    <x v="2"/>
    <x v="39"/>
    <x v="5"/>
    <x v="8"/>
    <n v="67"/>
    <x v="0"/>
    <x v="1"/>
    <x v="627"/>
    <x v="1"/>
    <s v="DISCOUNT ALLOWED"/>
    <s v="discount allowed"/>
    <s v="DISCOUNT ALLOWED"/>
    <s v="Discount Allowed"/>
    <s v="19/05/23"/>
  </r>
  <r>
    <s v="TXN_1841098"/>
    <s v="CUST_11"/>
    <x v="4"/>
    <x v="42"/>
    <x v="5"/>
    <x v="8"/>
    <n v="67"/>
    <x v="1"/>
    <x v="1"/>
    <x v="670"/>
    <x v="0"/>
    <s v="DISCOUNT NOT ALLOWED"/>
    <s v="discount not allowed"/>
    <s v="DISCOUNT NOT ALLOWED"/>
    <s v="Discount Not Allowed"/>
    <s v="22/10/23"/>
  </r>
  <r>
    <s v="TXN_1913469"/>
    <s v="CUST_20"/>
    <x v="5"/>
    <x v="38"/>
    <x v="5"/>
    <x v="8"/>
    <n v="67"/>
    <x v="0"/>
    <x v="0"/>
    <x v="230"/>
    <x v="0"/>
    <s v="DISCOUNT NOT ALLOWED"/>
    <s v="discount not allowed"/>
    <s v="DISCOUNT NOT ALLOWED"/>
    <s v="Discount Not Allowed"/>
    <s v="19/09/22"/>
  </r>
  <r>
    <s v="TXN_1938762"/>
    <s v="CUST_25"/>
    <x v="6"/>
    <x v="43"/>
    <x v="5"/>
    <x v="8"/>
    <n v="67"/>
    <x v="2"/>
    <x v="1"/>
    <x v="249"/>
    <x v="0"/>
    <s v="DISCOUNT NOT ALLOWED"/>
    <s v="discount not allowed"/>
    <s v="DISCOUNT NOT ALLOWED"/>
    <s v="Discount Not Allowed"/>
    <s v="12/04/24"/>
  </r>
  <r>
    <s v="TXN_1943582"/>
    <s v="CUST_04"/>
    <x v="6"/>
    <x v="43"/>
    <x v="5"/>
    <x v="8"/>
    <n v="67"/>
    <x v="1"/>
    <x v="0"/>
    <x v="239"/>
    <x v="0"/>
    <s v="DISCOUNT NOT ALLOWED"/>
    <s v="discount not allowed"/>
    <s v="DISCOUNT NOT ALLOWED"/>
    <s v="Discount Not Allowed"/>
    <s v="21/02/23"/>
  </r>
  <r>
    <s v="TXN_2088735"/>
    <s v="CUST_12"/>
    <x v="3"/>
    <x v="41"/>
    <x v="5"/>
    <x v="8"/>
    <n v="67"/>
    <x v="2"/>
    <x v="1"/>
    <x v="838"/>
    <x v="0"/>
    <s v="DISCOUNT NOT ALLOWED"/>
    <s v="discount not allowed"/>
    <s v="DISCOUNT NOT ALLOWED"/>
    <s v="Discount Not Allowed"/>
    <s v="24/10/22"/>
  </r>
  <r>
    <s v="TXN_2456405"/>
    <s v="CUST_13"/>
    <x v="4"/>
    <x v="42"/>
    <x v="5"/>
    <x v="8"/>
    <n v="67"/>
    <x v="0"/>
    <x v="0"/>
    <x v="529"/>
    <x v="1"/>
    <s v="DISCOUNT ALLOWED"/>
    <s v="discount allowed"/>
    <s v="DISCOUNT ALLOWED"/>
    <s v="Discount Allowed"/>
    <s v="28/04/23"/>
  </r>
  <r>
    <s v="TXN_2664061"/>
    <s v="CUST_17"/>
    <x v="5"/>
    <x v="38"/>
    <x v="5"/>
    <x v="8"/>
    <n v="67"/>
    <x v="2"/>
    <x v="1"/>
    <x v="413"/>
    <x v="0"/>
    <s v="DISCOUNT NOT ALLOWED"/>
    <s v="discount not allowed"/>
    <s v="DISCOUNT NOT ALLOWED"/>
    <s v="Discount Not Allowed"/>
    <s v="06/04/23"/>
  </r>
  <r>
    <s v="TXN_2686535"/>
    <s v="CUST_24"/>
    <x v="6"/>
    <x v="43"/>
    <x v="5"/>
    <x v="8"/>
    <n v="67"/>
    <x v="1"/>
    <x v="0"/>
    <x v="229"/>
    <x v="0"/>
    <s v="DISCOUNT NOT ALLOWED"/>
    <s v="discount not allowed"/>
    <s v="DISCOUNT NOT ALLOWED"/>
    <s v="Discount Not Allowed"/>
    <s v="16/03/24"/>
  </r>
  <r>
    <s v="TXN_3647376"/>
    <s v="CUST_11"/>
    <x v="6"/>
    <x v="43"/>
    <x v="5"/>
    <x v="8"/>
    <n v="67"/>
    <x v="1"/>
    <x v="1"/>
    <x v="919"/>
    <x v="1"/>
    <s v="DISCOUNT ALLOWED"/>
    <s v="discount allowed"/>
    <s v="DISCOUNT ALLOWED"/>
    <s v="Discount Allowed"/>
    <s v="11/04/22"/>
  </r>
  <r>
    <s v="TXN_3662714"/>
    <s v="CUST_13"/>
    <x v="2"/>
    <x v="39"/>
    <x v="5"/>
    <x v="8"/>
    <n v="67"/>
    <x v="2"/>
    <x v="0"/>
    <x v="587"/>
    <x v="0"/>
    <s v="DISCOUNT NOT ALLOWED"/>
    <s v="discount not allowed"/>
    <s v="DISCOUNT NOT ALLOWED"/>
    <s v="Discount Not Allowed"/>
    <s v="05/04/22"/>
  </r>
  <r>
    <s v="TXN_3743264"/>
    <s v="CUST_20"/>
    <x v="0"/>
    <x v="40"/>
    <x v="5"/>
    <x v="8"/>
    <n v="67"/>
    <x v="0"/>
    <x v="1"/>
    <x v="605"/>
    <x v="0"/>
    <s v="DISCOUNT NOT ALLOWED"/>
    <s v="discount not allowed"/>
    <s v="DISCOUNT NOT ALLOWED"/>
    <s v="Discount Not Allowed"/>
    <s v="27/12/22"/>
  </r>
  <r>
    <s v="TXN_4011164"/>
    <s v="CUST_08"/>
    <x v="4"/>
    <x v="42"/>
    <x v="5"/>
    <x v="8"/>
    <n v="67"/>
    <x v="2"/>
    <x v="1"/>
    <x v="878"/>
    <x v="0"/>
    <s v="DISCOUNT NOT ALLOWED"/>
    <s v="discount not allowed"/>
    <s v="DISCOUNT NOT ALLOWED"/>
    <s v="Discount Not Allowed"/>
    <s v="13/10/22"/>
  </r>
  <r>
    <s v="TXN_4078909"/>
    <s v="CUST_15"/>
    <x v="5"/>
    <x v="38"/>
    <x v="5"/>
    <x v="8"/>
    <n v="67"/>
    <x v="0"/>
    <x v="1"/>
    <x v="193"/>
    <x v="0"/>
    <s v="DISCOUNT NOT ALLOWED"/>
    <s v="discount not allowed"/>
    <s v="DISCOUNT NOT ALLOWED"/>
    <s v="Discount Not Allowed"/>
    <s v="08/01/22"/>
  </r>
  <r>
    <s v="TXN_4655797"/>
    <s v="CUST_16"/>
    <x v="7"/>
    <x v="44"/>
    <x v="5"/>
    <x v="8"/>
    <n v="67"/>
    <x v="0"/>
    <x v="1"/>
    <x v="24"/>
    <x v="0"/>
    <s v="DISCOUNT NOT ALLOWED"/>
    <s v="discount not allowed"/>
    <s v="DISCOUNT NOT ALLOWED"/>
    <s v="Discount Not Allowed"/>
    <s v="01/05/24"/>
  </r>
  <r>
    <s v="TXN_5117599"/>
    <s v="CUST_18"/>
    <x v="0"/>
    <x v="40"/>
    <x v="5"/>
    <x v="8"/>
    <n v="67"/>
    <x v="0"/>
    <x v="1"/>
    <x v="1018"/>
    <x v="1"/>
    <s v="DISCOUNT ALLOWED"/>
    <s v="discount allowed"/>
    <s v="DISCOUNT ALLOWED"/>
    <s v="Discount Allowed"/>
    <s v="13/09/24"/>
  </r>
  <r>
    <s v="TXN_5275020"/>
    <s v="CUST_17"/>
    <x v="3"/>
    <x v="41"/>
    <x v="5"/>
    <x v="8"/>
    <n v="67"/>
    <x v="2"/>
    <x v="0"/>
    <x v="201"/>
    <x v="1"/>
    <s v="DISCOUNT ALLOWED"/>
    <s v="discount allowed"/>
    <s v="DISCOUNT ALLOWED"/>
    <s v="Discount Allowed"/>
    <s v="25/04/23"/>
  </r>
  <r>
    <s v="TXN_5396051"/>
    <s v="CUST_08"/>
    <x v="3"/>
    <x v="41"/>
    <x v="5"/>
    <x v="8"/>
    <n v="67"/>
    <x v="1"/>
    <x v="1"/>
    <x v="106"/>
    <x v="1"/>
    <s v="DISCOUNT ALLOWED"/>
    <s v="discount allowed"/>
    <s v="DISCOUNT ALLOWED"/>
    <s v="Discount Allowed"/>
    <s v="01/09/24"/>
  </r>
  <r>
    <s v="TXN_5804265"/>
    <s v="CUST_11"/>
    <x v="6"/>
    <x v="43"/>
    <x v="5"/>
    <x v="8"/>
    <n v="67"/>
    <x v="0"/>
    <x v="0"/>
    <x v="214"/>
    <x v="1"/>
    <s v="DISCOUNT ALLOWED"/>
    <s v="discount allowed"/>
    <s v="DISCOUNT ALLOWED"/>
    <s v="Discount Allowed"/>
    <s v="18/01/25"/>
  </r>
  <r>
    <s v="TXN_5828470"/>
    <s v="CUST_09"/>
    <x v="3"/>
    <x v="41"/>
    <x v="5"/>
    <x v="8"/>
    <n v="67"/>
    <x v="2"/>
    <x v="0"/>
    <x v="543"/>
    <x v="0"/>
    <s v="DISCOUNT NOT ALLOWED"/>
    <s v="discount not allowed"/>
    <s v="DISCOUNT NOT ALLOWED"/>
    <s v="Discount Not Allowed"/>
    <s v="17/11/22"/>
  </r>
  <r>
    <s v="TXN_6374273"/>
    <s v="CUST_07"/>
    <x v="3"/>
    <x v="41"/>
    <x v="5"/>
    <x v="8"/>
    <n v="67"/>
    <x v="1"/>
    <x v="1"/>
    <x v="764"/>
    <x v="1"/>
    <s v="DISCOUNT ALLOWED"/>
    <s v="discount allowed"/>
    <s v="DISCOUNT ALLOWED"/>
    <s v="Discount Allowed"/>
    <s v="03/05/22"/>
  </r>
  <r>
    <s v="TXN_6657037"/>
    <s v="CUST_08"/>
    <x v="4"/>
    <x v="42"/>
    <x v="5"/>
    <x v="8"/>
    <n v="67"/>
    <x v="1"/>
    <x v="0"/>
    <x v="300"/>
    <x v="1"/>
    <s v="DISCOUNT ALLOWED"/>
    <s v="discount allowed"/>
    <s v="DISCOUNT ALLOWED"/>
    <s v="Discount Allowed"/>
    <s v="14/04/22"/>
  </r>
  <r>
    <s v="TXN_6850311"/>
    <s v="CUST_03"/>
    <x v="3"/>
    <x v="41"/>
    <x v="5"/>
    <x v="8"/>
    <n v="67"/>
    <x v="1"/>
    <x v="1"/>
    <x v="453"/>
    <x v="0"/>
    <s v="DISCOUNT NOT ALLOWED"/>
    <s v="discount not allowed"/>
    <s v="DISCOUNT NOT ALLOWED"/>
    <s v="Discount Not Allowed"/>
    <s v="26/06/22"/>
  </r>
  <r>
    <s v="TXN_7066735"/>
    <s v="CUST_10"/>
    <x v="1"/>
    <x v="37"/>
    <x v="5"/>
    <x v="8"/>
    <n v="67"/>
    <x v="1"/>
    <x v="0"/>
    <x v="742"/>
    <x v="0"/>
    <s v="DISCOUNT NOT ALLOWED"/>
    <s v="discount not allowed"/>
    <s v="DISCOUNT NOT ALLOWED"/>
    <s v="Discount Not Allowed"/>
    <s v="13/05/23"/>
  </r>
  <r>
    <s v="TXN_7102203"/>
    <s v="CUST_12"/>
    <x v="0"/>
    <x v="40"/>
    <x v="5"/>
    <x v="8"/>
    <n v="67"/>
    <x v="1"/>
    <x v="1"/>
    <x v="591"/>
    <x v="1"/>
    <s v="DISCOUNT ALLOWED"/>
    <s v="discount allowed"/>
    <s v="DISCOUNT ALLOWED"/>
    <s v="Discount Allowed"/>
    <s v="11/11/22"/>
  </r>
  <r>
    <s v="TXN_7410836"/>
    <s v="CUST_05"/>
    <x v="7"/>
    <x v="44"/>
    <x v="5"/>
    <x v="8"/>
    <n v="67"/>
    <x v="0"/>
    <x v="1"/>
    <x v="983"/>
    <x v="0"/>
    <s v="DISCOUNT NOT ALLOWED"/>
    <s v="discount not allowed"/>
    <s v="DISCOUNT NOT ALLOWED"/>
    <s v="Discount Not Allowed"/>
    <s v="22/01/23"/>
  </r>
  <r>
    <s v="TXN_7469530"/>
    <s v="CUST_03"/>
    <x v="6"/>
    <x v="43"/>
    <x v="5"/>
    <x v="8"/>
    <n v="67"/>
    <x v="1"/>
    <x v="1"/>
    <x v="940"/>
    <x v="1"/>
    <s v="DISCOUNT ALLOWED"/>
    <s v="discount allowed"/>
    <s v="DISCOUNT ALLOWED"/>
    <s v="Discount Allowed"/>
    <s v="21/08/23"/>
  </r>
  <r>
    <s v="TXN_7833408"/>
    <s v="CUST_10"/>
    <x v="7"/>
    <x v="44"/>
    <x v="5"/>
    <x v="8"/>
    <n v="67"/>
    <x v="0"/>
    <x v="1"/>
    <x v="502"/>
    <x v="1"/>
    <s v="DISCOUNT ALLOWED"/>
    <s v="discount allowed"/>
    <s v="DISCOUNT ALLOWED"/>
    <s v="Discount Allowed"/>
    <s v="20/09/24"/>
  </r>
  <r>
    <s v="TXN_7851596"/>
    <s v="CUST_12"/>
    <x v="5"/>
    <x v="38"/>
    <x v="5"/>
    <x v="8"/>
    <n v="67"/>
    <x v="2"/>
    <x v="1"/>
    <x v="320"/>
    <x v="0"/>
    <s v="DISCOUNT NOT ALLOWED"/>
    <s v="discount not allowed"/>
    <s v="DISCOUNT NOT ALLOWED"/>
    <s v="Discount Not Allowed"/>
    <s v="05/01/22"/>
  </r>
  <r>
    <s v="TXN_7991727"/>
    <s v="CUST_09"/>
    <x v="5"/>
    <x v="38"/>
    <x v="5"/>
    <x v="8"/>
    <n v="67"/>
    <x v="2"/>
    <x v="1"/>
    <x v="391"/>
    <x v="1"/>
    <s v="DISCOUNT ALLOWED"/>
    <s v="discount allowed"/>
    <s v="DISCOUNT ALLOWED"/>
    <s v="Discount Allowed"/>
    <s v="08/07/22"/>
  </r>
  <r>
    <s v="TXN_8377166"/>
    <s v="CUST_06"/>
    <x v="3"/>
    <x v="41"/>
    <x v="5"/>
    <x v="8"/>
    <n v="67"/>
    <x v="2"/>
    <x v="1"/>
    <x v="28"/>
    <x v="0"/>
    <s v="DISCOUNT NOT ALLOWED"/>
    <s v="discount not allowed"/>
    <s v="DISCOUNT NOT ALLOWED"/>
    <s v="Discount Not Allowed"/>
    <s v="27/03/24"/>
  </r>
  <r>
    <s v="TXN_8576669"/>
    <s v="CUST_24"/>
    <x v="3"/>
    <x v="41"/>
    <x v="5"/>
    <x v="8"/>
    <n v="67"/>
    <x v="0"/>
    <x v="0"/>
    <x v="343"/>
    <x v="1"/>
    <s v="DISCOUNT ALLOWED"/>
    <s v="discount allowed"/>
    <s v="DISCOUNT ALLOWED"/>
    <s v="Discount Allowed"/>
    <s v="27/06/24"/>
  </r>
  <r>
    <s v="TXN_8715323"/>
    <s v="CUST_09"/>
    <x v="3"/>
    <x v="41"/>
    <x v="5"/>
    <x v="8"/>
    <n v="67"/>
    <x v="2"/>
    <x v="1"/>
    <x v="51"/>
    <x v="0"/>
    <s v="DISCOUNT NOT ALLOWED"/>
    <s v="discount not allowed"/>
    <s v="DISCOUNT NOT ALLOWED"/>
    <s v="Discount Not Allowed"/>
    <s v="12/03/23"/>
  </r>
  <r>
    <s v="TXN_8932184"/>
    <s v="CUST_04"/>
    <x v="1"/>
    <x v="37"/>
    <x v="5"/>
    <x v="8"/>
    <n v="67"/>
    <x v="2"/>
    <x v="1"/>
    <x v="319"/>
    <x v="1"/>
    <s v="DISCOUNT ALLOWED"/>
    <s v="discount allowed"/>
    <s v="DISCOUNT ALLOWED"/>
    <s v="Discount Allowed"/>
    <s v="22/12/23"/>
  </r>
  <r>
    <s v="TXN_9671345"/>
    <s v="CUST_21"/>
    <x v="2"/>
    <x v="39"/>
    <x v="5"/>
    <x v="8"/>
    <n v="67"/>
    <x v="1"/>
    <x v="0"/>
    <x v="917"/>
    <x v="0"/>
    <s v="DISCOUNT NOT ALLOWED"/>
    <s v="discount not allowed"/>
    <s v="DISCOUNT NOT ALLOWED"/>
    <s v="Discount Not Allowed"/>
    <s v="13/09/22"/>
  </r>
  <r>
    <s v="TXN_9861694"/>
    <s v="CUST_10"/>
    <x v="1"/>
    <x v="37"/>
    <x v="5"/>
    <x v="8"/>
    <n v="67"/>
    <x v="0"/>
    <x v="1"/>
    <x v="571"/>
    <x v="0"/>
    <s v="DISCOUNT NOT ALLOWED"/>
    <s v="discount not allowed"/>
    <s v="DISCOUNT NOT ALLOWED"/>
    <s v="Discount Not Allowed"/>
    <s v="01/08/23"/>
  </r>
  <r>
    <s v="TXN_9891427"/>
    <s v="CUST_08"/>
    <x v="4"/>
    <x v="42"/>
    <x v="5"/>
    <x v="8"/>
    <n v="67"/>
    <x v="1"/>
    <x v="0"/>
    <x v="771"/>
    <x v="0"/>
    <s v="DISCOUNT NOT ALLOWED"/>
    <s v="discount not allowed"/>
    <s v="DISCOUNT NOT ALLOWED"/>
    <s v="Discount Not Allowed"/>
    <s v="24/07/24"/>
  </r>
  <r>
    <s v="TXN_1662299"/>
    <s v="CUST_04"/>
    <x v="1"/>
    <x v="169"/>
    <x v="21"/>
    <x v="3"/>
    <n v="66.5"/>
    <x v="0"/>
    <x v="0"/>
    <x v="575"/>
    <x v="1"/>
    <s v="DISCOUNT ALLOWED"/>
    <s v="discount allowed"/>
    <s v="DISCOUNT ALLOWED"/>
    <s v="Discount Allowed"/>
    <s v="09/01/23"/>
  </r>
  <r>
    <s v="TXN_2399606"/>
    <s v="CUST_15"/>
    <x v="1"/>
    <x v="169"/>
    <x v="21"/>
    <x v="3"/>
    <n v="66.5"/>
    <x v="1"/>
    <x v="0"/>
    <x v="237"/>
    <x v="0"/>
    <s v="DISCOUNT NOT ALLOWED"/>
    <s v="discount not allowed"/>
    <s v="DISCOUNT NOT ALLOWED"/>
    <s v="Discount Not Allowed"/>
    <s v="23/07/22"/>
  </r>
  <r>
    <s v="TXN_2472029"/>
    <s v="CUST_07"/>
    <x v="5"/>
    <x v="167"/>
    <x v="21"/>
    <x v="3"/>
    <n v="66.5"/>
    <x v="0"/>
    <x v="1"/>
    <x v="174"/>
    <x v="1"/>
    <s v="DISCOUNT ALLOWED"/>
    <s v="discount allowed"/>
    <s v="DISCOUNT ALLOWED"/>
    <s v="Discount Allowed"/>
    <s v="29/11/22"/>
  </r>
  <r>
    <s v="TXN_3467911"/>
    <s v="CUST_21"/>
    <x v="5"/>
    <x v="167"/>
    <x v="21"/>
    <x v="3"/>
    <n v="66.5"/>
    <x v="1"/>
    <x v="0"/>
    <x v="821"/>
    <x v="1"/>
    <s v="DISCOUNT ALLOWED"/>
    <s v="discount allowed"/>
    <s v="DISCOUNT ALLOWED"/>
    <s v="Discount Allowed"/>
    <s v="14/05/22"/>
  </r>
  <r>
    <s v="TXN_3869190"/>
    <s v="CUST_10"/>
    <x v="5"/>
    <x v="167"/>
    <x v="21"/>
    <x v="3"/>
    <n v="66.5"/>
    <x v="2"/>
    <x v="1"/>
    <x v="243"/>
    <x v="1"/>
    <s v="DISCOUNT ALLOWED"/>
    <s v="discount allowed"/>
    <s v="DISCOUNT ALLOWED"/>
    <s v="Discount Allowed"/>
    <s v="21/07/24"/>
  </r>
  <r>
    <s v="TXN_3989303"/>
    <s v="CUST_08"/>
    <x v="7"/>
    <x v="170"/>
    <x v="21"/>
    <x v="3"/>
    <n v="66.5"/>
    <x v="0"/>
    <x v="1"/>
    <x v="163"/>
    <x v="0"/>
    <s v="DISCOUNT NOT ALLOWED"/>
    <s v="discount not allowed"/>
    <s v="DISCOUNT NOT ALLOWED"/>
    <s v="Discount Not Allowed"/>
    <s v="21/07/22"/>
  </r>
  <r>
    <s v="TXN_4062425"/>
    <s v="CUST_04"/>
    <x v="5"/>
    <x v="167"/>
    <x v="21"/>
    <x v="3"/>
    <n v="66.5"/>
    <x v="0"/>
    <x v="1"/>
    <x v="191"/>
    <x v="0"/>
    <s v="DISCOUNT NOT ALLOWED"/>
    <s v="discount not allowed"/>
    <s v="DISCOUNT NOT ALLOWED"/>
    <s v="Discount Not Allowed"/>
    <s v="21/06/24"/>
  </r>
  <r>
    <s v="TXN_4323023"/>
    <s v="CUST_20"/>
    <x v="0"/>
    <x v="168"/>
    <x v="21"/>
    <x v="3"/>
    <n v="66.5"/>
    <x v="1"/>
    <x v="0"/>
    <x v="201"/>
    <x v="1"/>
    <s v="DISCOUNT ALLOWED"/>
    <s v="discount allowed"/>
    <s v="DISCOUNT ALLOWED"/>
    <s v="Discount Allowed"/>
    <s v="25/04/23"/>
  </r>
  <r>
    <s v="TXN_4349417"/>
    <s v="CUST_24"/>
    <x v="1"/>
    <x v="169"/>
    <x v="21"/>
    <x v="3"/>
    <n v="66.5"/>
    <x v="0"/>
    <x v="1"/>
    <x v="994"/>
    <x v="0"/>
    <s v="DISCOUNT NOT ALLOWED"/>
    <s v="discount not allowed"/>
    <s v="DISCOUNT NOT ALLOWED"/>
    <s v="Discount Not Allowed"/>
    <s v="10/03/24"/>
  </r>
  <r>
    <s v="TXN_4975771"/>
    <s v="CUST_21"/>
    <x v="4"/>
    <x v="166"/>
    <x v="21"/>
    <x v="3"/>
    <n v="66.5"/>
    <x v="0"/>
    <x v="0"/>
    <x v="368"/>
    <x v="1"/>
    <s v="DISCOUNT ALLOWED"/>
    <s v="discount allowed"/>
    <s v="DISCOUNT ALLOWED"/>
    <s v="Discount Allowed"/>
    <s v="12/06/22"/>
  </r>
  <r>
    <s v="TXN_5100476"/>
    <s v="CUST_08"/>
    <x v="4"/>
    <x v="166"/>
    <x v="21"/>
    <x v="3"/>
    <n v="66.5"/>
    <x v="1"/>
    <x v="0"/>
    <x v="318"/>
    <x v="0"/>
    <s v="DISCOUNT NOT ALLOWED"/>
    <s v="discount not allowed"/>
    <s v="DISCOUNT NOT ALLOWED"/>
    <s v="Discount Not Allowed"/>
    <s v="20/03/24"/>
  </r>
  <r>
    <s v="TXN_5520149"/>
    <s v="CUST_13"/>
    <x v="7"/>
    <x v="170"/>
    <x v="21"/>
    <x v="3"/>
    <n v="66.5"/>
    <x v="0"/>
    <x v="0"/>
    <x v="667"/>
    <x v="1"/>
    <s v="DISCOUNT ALLOWED"/>
    <s v="discount allowed"/>
    <s v="DISCOUNT ALLOWED"/>
    <s v="Discount Allowed"/>
    <s v="18/12/23"/>
  </r>
  <r>
    <s v="TXN_5937987"/>
    <s v="CUST_12"/>
    <x v="1"/>
    <x v="169"/>
    <x v="21"/>
    <x v="3"/>
    <n v="66.5"/>
    <x v="0"/>
    <x v="0"/>
    <x v="838"/>
    <x v="1"/>
    <s v="DISCOUNT ALLOWED"/>
    <s v="discount allowed"/>
    <s v="DISCOUNT ALLOWED"/>
    <s v="Discount Allowed"/>
    <s v="24/10/22"/>
  </r>
  <r>
    <s v="TXN_6040270"/>
    <s v="CUST_02"/>
    <x v="7"/>
    <x v="170"/>
    <x v="21"/>
    <x v="3"/>
    <n v="66.5"/>
    <x v="2"/>
    <x v="0"/>
    <x v="661"/>
    <x v="1"/>
    <s v="DISCOUNT ALLOWED"/>
    <s v="discount allowed"/>
    <s v="DISCOUNT ALLOWED"/>
    <s v="Discount Allowed"/>
    <s v="12/06/23"/>
  </r>
  <r>
    <s v="TXN_6667216"/>
    <s v="CUST_07"/>
    <x v="7"/>
    <x v="170"/>
    <x v="21"/>
    <x v="3"/>
    <n v="66.5"/>
    <x v="2"/>
    <x v="0"/>
    <x v="283"/>
    <x v="0"/>
    <s v="DISCOUNT NOT ALLOWED"/>
    <s v="discount not allowed"/>
    <s v="DISCOUNT NOT ALLOWED"/>
    <s v="Discount Not Allowed"/>
    <s v="15/01/23"/>
  </r>
  <r>
    <s v="TXN_6750796"/>
    <s v="CUST_09"/>
    <x v="0"/>
    <x v="168"/>
    <x v="21"/>
    <x v="3"/>
    <n v="66.5"/>
    <x v="0"/>
    <x v="1"/>
    <x v="724"/>
    <x v="1"/>
    <s v="DISCOUNT ALLOWED"/>
    <s v="discount allowed"/>
    <s v="DISCOUNT ALLOWED"/>
    <s v="Discount Allowed"/>
    <s v="08/10/24"/>
  </r>
  <r>
    <s v="TXN_7282375"/>
    <s v="CUST_17"/>
    <x v="1"/>
    <x v="169"/>
    <x v="21"/>
    <x v="3"/>
    <n v="66.5"/>
    <x v="2"/>
    <x v="0"/>
    <x v="787"/>
    <x v="0"/>
    <s v="DISCOUNT NOT ALLOWED"/>
    <s v="discount not allowed"/>
    <s v="DISCOUNT NOT ALLOWED"/>
    <s v="Discount Not Allowed"/>
    <s v="11/06/24"/>
  </r>
  <r>
    <s v="TXN_7306528"/>
    <s v="CUST_11"/>
    <x v="7"/>
    <x v="170"/>
    <x v="21"/>
    <x v="3"/>
    <n v="66.5"/>
    <x v="0"/>
    <x v="0"/>
    <x v="893"/>
    <x v="0"/>
    <s v="DISCOUNT NOT ALLOWED"/>
    <s v="discount not allowed"/>
    <s v="DISCOUNT NOT ALLOWED"/>
    <s v="Discount Not Allowed"/>
    <s v="29/10/22"/>
  </r>
  <r>
    <s v="TXN_7799286"/>
    <s v="CUST_11"/>
    <x v="5"/>
    <x v="167"/>
    <x v="21"/>
    <x v="3"/>
    <n v="66.5"/>
    <x v="1"/>
    <x v="1"/>
    <x v="478"/>
    <x v="0"/>
    <s v="DISCOUNT NOT ALLOWED"/>
    <s v="discount not allowed"/>
    <s v="DISCOUNT NOT ALLOWED"/>
    <s v="Discount Not Allowed"/>
    <s v="28/11/23"/>
  </r>
  <r>
    <s v="TXN_7967269"/>
    <s v="CUST_21"/>
    <x v="5"/>
    <x v="167"/>
    <x v="21"/>
    <x v="3"/>
    <n v="66.5"/>
    <x v="1"/>
    <x v="1"/>
    <x v="764"/>
    <x v="1"/>
    <s v="DISCOUNT ALLOWED"/>
    <s v="discount allowed"/>
    <s v="DISCOUNT ALLOWED"/>
    <s v="Discount Allowed"/>
    <s v="03/05/22"/>
  </r>
  <r>
    <s v="TXN_8027887"/>
    <s v="CUST_21"/>
    <x v="0"/>
    <x v="168"/>
    <x v="21"/>
    <x v="3"/>
    <n v="66.5"/>
    <x v="1"/>
    <x v="0"/>
    <x v="193"/>
    <x v="1"/>
    <s v="DISCOUNT ALLOWED"/>
    <s v="discount allowed"/>
    <s v="DISCOUNT ALLOWED"/>
    <s v="Discount Allowed"/>
    <s v="08/01/22"/>
  </r>
  <r>
    <s v="TXN_8242300"/>
    <s v="CUST_16"/>
    <x v="2"/>
    <x v="171"/>
    <x v="21"/>
    <x v="3"/>
    <n v="66.5"/>
    <x v="1"/>
    <x v="0"/>
    <x v="588"/>
    <x v="0"/>
    <s v="DISCOUNT NOT ALLOWED"/>
    <s v="discount not allowed"/>
    <s v="DISCOUNT NOT ALLOWED"/>
    <s v="Discount Not Allowed"/>
    <s v="10/01/22"/>
  </r>
  <r>
    <s v="TXN_8696709"/>
    <s v="CUST_12"/>
    <x v="7"/>
    <x v="170"/>
    <x v="21"/>
    <x v="3"/>
    <n v="66.5"/>
    <x v="1"/>
    <x v="0"/>
    <x v="597"/>
    <x v="0"/>
    <s v="DISCOUNT NOT ALLOWED"/>
    <s v="discount not allowed"/>
    <s v="DISCOUNT NOT ALLOWED"/>
    <s v="Discount Not Allowed"/>
    <s v="10/09/22"/>
  </r>
  <r>
    <s v="TXN_8742206"/>
    <s v="CUST_18"/>
    <x v="4"/>
    <x v="166"/>
    <x v="21"/>
    <x v="3"/>
    <n v="66.5"/>
    <x v="2"/>
    <x v="0"/>
    <x v="875"/>
    <x v="0"/>
    <s v="DISCOUNT NOT ALLOWED"/>
    <s v="discount not allowed"/>
    <s v="DISCOUNT NOT ALLOWED"/>
    <s v="Discount Not Allowed"/>
    <s v="08/09/23"/>
  </r>
  <r>
    <s v="TXN_8805325"/>
    <s v="CUST_04"/>
    <x v="7"/>
    <x v="170"/>
    <x v="21"/>
    <x v="3"/>
    <n v="66.5"/>
    <x v="1"/>
    <x v="1"/>
    <x v="1047"/>
    <x v="0"/>
    <s v="DISCOUNT NOT ALLOWED"/>
    <s v="discount not allowed"/>
    <s v="DISCOUNT NOT ALLOWED"/>
    <s v="Discount Not Allowed"/>
    <s v="19/06/24"/>
  </r>
  <r>
    <s v="TXN_9032953"/>
    <s v="CUST_23"/>
    <x v="1"/>
    <x v="169"/>
    <x v="21"/>
    <x v="3"/>
    <n v="66.5"/>
    <x v="2"/>
    <x v="1"/>
    <x v="124"/>
    <x v="0"/>
    <s v="DISCOUNT NOT ALLOWED"/>
    <s v="discount not allowed"/>
    <s v="DISCOUNT NOT ALLOWED"/>
    <s v="Discount Not Allowed"/>
    <s v="19/04/22"/>
  </r>
  <r>
    <s v="TXN_1199408"/>
    <s v="CUST_05"/>
    <x v="3"/>
    <x v="164"/>
    <x v="20"/>
    <x v="4"/>
    <n v="66"/>
    <x v="0"/>
    <x v="0"/>
    <x v="3"/>
    <x v="1"/>
    <s v="DISCOUNT ALLOWED"/>
    <s v="discount allowed"/>
    <s v="DISCOUNT ALLOWED"/>
    <s v="Discount Allowed"/>
    <s v="24/03/24"/>
  </r>
  <r>
    <s v="TXN_1248527"/>
    <s v="CUST_02"/>
    <x v="2"/>
    <x v="161"/>
    <x v="20"/>
    <x v="4"/>
    <n v="66"/>
    <x v="2"/>
    <x v="1"/>
    <x v="704"/>
    <x v="0"/>
    <s v="DISCOUNT NOT ALLOWED"/>
    <s v="discount not allowed"/>
    <s v="DISCOUNT NOT ALLOWED"/>
    <s v="Discount Not Allowed"/>
    <s v="02/03/24"/>
  </r>
  <r>
    <s v="TXN_1432870"/>
    <s v="CUST_14"/>
    <x v="0"/>
    <x v="174"/>
    <x v="20"/>
    <x v="4"/>
    <n v="66"/>
    <x v="2"/>
    <x v="1"/>
    <x v="833"/>
    <x v="0"/>
    <s v="DISCOUNT NOT ALLOWED"/>
    <s v="discount not allowed"/>
    <s v="DISCOUNT NOT ALLOWED"/>
    <s v="Discount Not Allowed"/>
    <s v="22/05/24"/>
  </r>
  <r>
    <s v="TXN_1460673"/>
    <s v="CUST_06"/>
    <x v="2"/>
    <x v="161"/>
    <x v="20"/>
    <x v="4"/>
    <n v="66"/>
    <x v="2"/>
    <x v="1"/>
    <x v="252"/>
    <x v="0"/>
    <s v="DISCOUNT NOT ALLOWED"/>
    <s v="discount not allowed"/>
    <s v="DISCOUNT NOT ALLOWED"/>
    <s v="Discount Not Allowed"/>
    <s v="14/04/23"/>
  </r>
  <r>
    <s v="TXN_1978173"/>
    <s v="CUST_18"/>
    <x v="6"/>
    <x v="162"/>
    <x v="20"/>
    <x v="4"/>
    <n v="66"/>
    <x v="2"/>
    <x v="0"/>
    <x v="42"/>
    <x v="0"/>
    <s v="DISCOUNT NOT ALLOWED"/>
    <s v="discount not allowed"/>
    <s v="DISCOUNT NOT ALLOWED"/>
    <s v="Discount Not Allowed"/>
    <s v="02/09/22"/>
  </r>
  <r>
    <s v="TXN_2815543"/>
    <s v="CUST_12"/>
    <x v="4"/>
    <x v="163"/>
    <x v="20"/>
    <x v="4"/>
    <n v="66"/>
    <x v="0"/>
    <x v="0"/>
    <x v="95"/>
    <x v="0"/>
    <s v="DISCOUNT NOT ALLOWED"/>
    <s v="discount not allowed"/>
    <s v="DISCOUNT NOT ALLOWED"/>
    <s v="Discount Not Allowed"/>
    <s v="07/06/23"/>
  </r>
  <r>
    <s v="TXN_3018500"/>
    <s v="CUST_11"/>
    <x v="4"/>
    <x v="163"/>
    <x v="20"/>
    <x v="4"/>
    <n v="66"/>
    <x v="1"/>
    <x v="1"/>
    <x v="1037"/>
    <x v="0"/>
    <s v="DISCOUNT NOT ALLOWED"/>
    <s v="discount not allowed"/>
    <s v="DISCOUNT NOT ALLOWED"/>
    <s v="Discount Not Allowed"/>
    <s v="24/05/23"/>
  </r>
  <r>
    <s v="TXN_3178675"/>
    <s v="CUST_14"/>
    <x v="2"/>
    <x v="161"/>
    <x v="20"/>
    <x v="4"/>
    <n v="66"/>
    <x v="1"/>
    <x v="1"/>
    <x v="534"/>
    <x v="1"/>
    <s v="DISCOUNT ALLOWED"/>
    <s v="discount allowed"/>
    <s v="DISCOUNT ALLOWED"/>
    <s v="Discount Allowed"/>
    <s v="25/02/24"/>
  </r>
  <r>
    <s v="TXN_3476954"/>
    <s v="CUST_23"/>
    <x v="3"/>
    <x v="164"/>
    <x v="20"/>
    <x v="4"/>
    <n v="66"/>
    <x v="2"/>
    <x v="1"/>
    <x v="169"/>
    <x v="1"/>
    <s v="DISCOUNT ALLOWED"/>
    <s v="discount allowed"/>
    <s v="DISCOUNT ALLOWED"/>
    <s v="Discount Allowed"/>
    <s v="03/05/24"/>
  </r>
  <r>
    <s v="TXN_4431438"/>
    <s v="CUST_05"/>
    <x v="2"/>
    <x v="161"/>
    <x v="20"/>
    <x v="4"/>
    <n v="66"/>
    <x v="2"/>
    <x v="0"/>
    <x v="183"/>
    <x v="1"/>
    <s v="DISCOUNT ALLOWED"/>
    <s v="discount allowed"/>
    <s v="DISCOUNT ALLOWED"/>
    <s v="Discount Allowed"/>
    <s v="31/12/23"/>
  </r>
  <r>
    <s v="TXN_5063217"/>
    <s v="CUST_03"/>
    <x v="7"/>
    <x v="165"/>
    <x v="20"/>
    <x v="4"/>
    <n v="66"/>
    <x v="0"/>
    <x v="1"/>
    <x v="661"/>
    <x v="1"/>
    <s v="DISCOUNT ALLOWED"/>
    <s v="discount allowed"/>
    <s v="DISCOUNT ALLOWED"/>
    <s v="Discount Allowed"/>
    <s v="12/06/23"/>
  </r>
  <r>
    <s v="TXN_5471275"/>
    <s v="CUST_14"/>
    <x v="4"/>
    <x v="163"/>
    <x v="20"/>
    <x v="4"/>
    <n v="66"/>
    <x v="1"/>
    <x v="0"/>
    <x v="586"/>
    <x v="1"/>
    <s v="DISCOUNT ALLOWED"/>
    <s v="discount allowed"/>
    <s v="DISCOUNT ALLOWED"/>
    <s v="Discount Allowed"/>
    <s v="26/02/23"/>
  </r>
  <r>
    <s v="TXN_6177742"/>
    <s v="CUST_07"/>
    <x v="4"/>
    <x v="163"/>
    <x v="20"/>
    <x v="4"/>
    <n v="66"/>
    <x v="0"/>
    <x v="0"/>
    <x v="798"/>
    <x v="0"/>
    <s v="DISCOUNT NOT ALLOWED"/>
    <s v="discount not allowed"/>
    <s v="DISCOUNT NOT ALLOWED"/>
    <s v="Discount Not Allowed"/>
    <s v="09/01/24"/>
  </r>
  <r>
    <s v="TXN_6452444"/>
    <s v="CUST_09"/>
    <x v="4"/>
    <x v="163"/>
    <x v="20"/>
    <x v="4"/>
    <n v="66"/>
    <x v="2"/>
    <x v="0"/>
    <x v="29"/>
    <x v="1"/>
    <s v="DISCOUNT ALLOWED"/>
    <s v="discount allowed"/>
    <s v="DISCOUNT ALLOWED"/>
    <s v="Discount Allowed"/>
    <s v="20/04/24"/>
  </r>
  <r>
    <s v="TXN_6696518"/>
    <s v="CUST_20"/>
    <x v="6"/>
    <x v="162"/>
    <x v="20"/>
    <x v="4"/>
    <n v="66"/>
    <x v="1"/>
    <x v="1"/>
    <x v="883"/>
    <x v="0"/>
    <s v="DISCOUNT NOT ALLOWED"/>
    <s v="discount not allowed"/>
    <s v="DISCOUNT NOT ALLOWED"/>
    <s v="Discount Not Allowed"/>
    <s v="20/10/24"/>
  </r>
  <r>
    <s v="TXN_7070493"/>
    <s v="CUST_10"/>
    <x v="6"/>
    <x v="162"/>
    <x v="20"/>
    <x v="4"/>
    <n v="66"/>
    <x v="0"/>
    <x v="1"/>
    <x v="562"/>
    <x v="1"/>
    <s v="DISCOUNT ALLOWED"/>
    <s v="discount allowed"/>
    <s v="DISCOUNT ALLOWED"/>
    <s v="Discount Allowed"/>
    <s v="06/08/24"/>
  </r>
  <r>
    <s v="TXN_7750901"/>
    <s v="CUST_09"/>
    <x v="4"/>
    <x v="163"/>
    <x v="20"/>
    <x v="4"/>
    <n v="66"/>
    <x v="2"/>
    <x v="1"/>
    <x v="112"/>
    <x v="0"/>
    <s v="DISCOUNT NOT ALLOWED"/>
    <s v="discount not allowed"/>
    <s v="DISCOUNT NOT ALLOWED"/>
    <s v="Discount Not Allowed"/>
    <s v="29/06/24"/>
  </r>
  <r>
    <s v="TXN_7797943"/>
    <s v="CUST_13"/>
    <x v="4"/>
    <x v="163"/>
    <x v="20"/>
    <x v="4"/>
    <n v="66"/>
    <x v="0"/>
    <x v="1"/>
    <x v="41"/>
    <x v="1"/>
    <s v="DISCOUNT ALLOWED"/>
    <s v="discount allowed"/>
    <s v="DISCOUNT ALLOWED"/>
    <s v="Discount Allowed"/>
    <s v="15/05/24"/>
  </r>
  <r>
    <s v="TXN_7801513"/>
    <s v="CUST_01"/>
    <x v="5"/>
    <x v="160"/>
    <x v="20"/>
    <x v="4"/>
    <n v="66"/>
    <x v="0"/>
    <x v="1"/>
    <x v="636"/>
    <x v="1"/>
    <s v="DISCOUNT ALLOWED"/>
    <s v="discount allowed"/>
    <s v="DISCOUNT ALLOWED"/>
    <s v="Discount Allowed"/>
    <s v="21/09/22"/>
  </r>
  <r>
    <s v="TXN_8064984"/>
    <s v="CUST_01"/>
    <x v="4"/>
    <x v="163"/>
    <x v="20"/>
    <x v="4"/>
    <n v="66"/>
    <x v="0"/>
    <x v="1"/>
    <x v="270"/>
    <x v="0"/>
    <s v="DISCOUNT NOT ALLOWED"/>
    <s v="discount not allowed"/>
    <s v="DISCOUNT NOT ALLOWED"/>
    <s v="Discount Not Allowed"/>
    <s v="08/11/23"/>
  </r>
  <r>
    <s v="TXN_8097956"/>
    <s v="CUST_21"/>
    <x v="4"/>
    <x v="163"/>
    <x v="20"/>
    <x v="4"/>
    <n v="66"/>
    <x v="0"/>
    <x v="1"/>
    <x v="816"/>
    <x v="0"/>
    <s v="DISCOUNT NOT ALLOWED"/>
    <s v="discount not allowed"/>
    <s v="DISCOUNT NOT ALLOWED"/>
    <s v="Discount Not Allowed"/>
    <s v="27/08/23"/>
  </r>
  <r>
    <s v="TXN_8405843"/>
    <s v="CUST_23"/>
    <x v="3"/>
    <x v="164"/>
    <x v="20"/>
    <x v="4"/>
    <n v="66"/>
    <x v="2"/>
    <x v="0"/>
    <x v="1091"/>
    <x v="1"/>
    <s v="DISCOUNT ALLOWED"/>
    <s v="discount allowed"/>
    <s v="DISCOUNT ALLOWED"/>
    <s v="Discount Allowed"/>
    <s v="06/01/22"/>
  </r>
  <r>
    <s v="TXN_8413369"/>
    <s v="CUST_23"/>
    <x v="6"/>
    <x v="162"/>
    <x v="20"/>
    <x v="4"/>
    <n v="66"/>
    <x v="2"/>
    <x v="0"/>
    <x v="64"/>
    <x v="1"/>
    <s v="DISCOUNT ALLOWED"/>
    <s v="discount allowed"/>
    <s v="DISCOUNT ALLOWED"/>
    <s v="Discount Allowed"/>
    <s v="09/03/24"/>
  </r>
  <r>
    <s v="TXN_8722597"/>
    <s v="CUST_01"/>
    <x v="5"/>
    <x v="160"/>
    <x v="20"/>
    <x v="4"/>
    <n v="66"/>
    <x v="1"/>
    <x v="0"/>
    <x v="799"/>
    <x v="0"/>
    <s v="DISCOUNT NOT ALLOWED"/>
    <s v="discount not allowed"/>
    <s v="DISCOUNT NOT ALLOWED"/>
    <s v="Discount Not Allowed"/>
    <s v="30/10/24"/>
  </r>
  <r>
    <s v="TXN_8724047"/>
    <s v="CUST_05"/>
    <x v="6"/>
    <x v="162"/>
    <x v="20"/>
    <x v="4"/>
    <n v="66"/>
    <x v="2"/>
    <x v="0"/>
    <x v="890"/>
    <x v="0"/>
    <s v="DISCOUNT NOT ALLOWED"/>
    <s v="discount not allowed"/>
    <s v="DISCOUNT NOT ALLOWED"/>
    <s v="Discount Not Allowed"/>
    <s v="16/09/24"/>
  </r>
  <r>
    <s v="TXN_8864012"/>
    <s v="CUST_11"/>
    <x v="2"/>
    <x v="161"/>
    <x v="20"/>
    <x v="4"/>
    <n v="66"/>
    <x v="0"/>
    <x v="0"/>
    <x v="20"/>
    <x v="1"/>
    <s v="DISCOUNT ALLOWED"/>
    <s v="discount allowed"/>
    <s v="DISCOUNT ALLOWED"/>
    <s v="Discount Allowed"/>
    <s v="24/12/24"/>
  </r>
  <r>
    <s v="TXN_8890505"/>
    <s v="CUST_21"/>
    <x v="4"/>
    <x v="163"/>
    <x v="20"/>
    <x v="4"/>
    <n v="66"/>
    <x v="0"/>
    <x v="1"/>
    <x v="541"/>
    <x v="0"/>
    <s v="DISCOUNT NOT ALLOWED"/>
    <s v="discount not allowed"/>
    <s v="DISCOUNT NOT ALLOWED"/>
    <s v="Discount Not Allowed"/>
    <s v="21/11/22"/>
  </r>
  <r>
    <s v="TXN_8990776"/>
    <s v="CUST_13"/>
    <x v="4"/>
    <x v="163"/>
    <x v="20"/>
    <x v="4"/>
    <n v="66"/>
    <x v="0"/>
    <x v="1"/>
    <x v="916"/>
    <x v="0"/>
    <s v="DISCOUNT NOT ALLOWED"/>
    <s v="discount not allowed"/>
    <s v="DISCOUNT NOT ALLOWED"/>
    <s v="Discount Not Allowed"/>
    <s v="13/10/24"/>
  </r>
  <r>
    <s v="TXN_9515378"/>
    <s v="CUST_09"/>
    <x v="3"/>
    <x v="164"/>
    <x v="20"/>
    <x v="4"/>
    <n v="66"/>
    <x v="2"/>
    <x v="0"/>
    <x v="669"/>
    <x v="1"/>
    <s v="DISCOUNT ALLOWED"/>
    <s v="discount allowed"/>
    <s v="DISCOUNT ALLOWED"/>
    <s v="Discount Allowed"/>
    <s v="23/01/22"/>
  </r>
  <r>
    <s v="TXN_9590838"/>
    <s v="CUST_13"/>
    <x v="5"/>
    <x v="160"/>
    <x v="20"/>
    <x v="4"/>
    <n v="66"/>
    <x v="0"/>
    <x v="1"/>
    <x v="756"/>
    <x v="0"/>
    <s v="DISCOUNT NOT ALLOWED"/>
    <s v="discount not allowed"/>
    <s v="DISCOUNT NOT ALLOWED"/>
    <s v="Discount Not Allowed"/>
    <s v="15/06/23"/>
  </r>
  <r>
    <s v="TXN_9824009"/>
    <s v="CUST_16"/>
    <x v="6"/>
    <x v="162"/>
    <x v="20"/>
    <x v="4"/>
    <n v="66"/>
    <x v="0"/>
    <x v="1"/>
    <x v="515"/>
    <x v="0"/>
    <s v="DISCOUNT NOT ALLOWED"/>
    <s v="discount not allowed"/>
    <s v="DISCOUNT NOT ALLOWED"/>
    <s v="Discount Not Allowed"/>
    <s v="16/01/25"/>
  </r>
  <r>
    <s v="TXN_9950204"/>
    <s v="CUST_02"/>
    <x v="5"/>
    <x v="160"/>
    <x v="20"/>
    <x v="4"/>
    <n v="66"/>
    <x v="0"/>
    <x v="1"/>
    <x v="1036"/>
    <x v="1"/>
    <s v="DISCOUNT ALLOWED"/>
    <s v="discount allowed"/>
    <s v="DISCOUNT ALLOWED"/>
    <s v="Discount Allowed"/>
    <s v="11/11/23"/>
  </r>
  <r>
    <s v="TXN_1063182"/>
    <s v="CUST_01"/>
    <x v="1"/>
    <x v="184"/>
    <x v="23"/>
    <x v="0"/>
    <n v="65"/>
    <x v="2"/>
    <x v="0"/>
    <x v="536"/>
    <x v="0"/>
    <s v="DISCOUNT NOT ALLOWED"/>
    <s v="discount not allowed"/>
    <s v="DISCOUNT NOT ALLOWED"/>
    <s v="Discount Not Allowed"/>
    <s v="02/05/22"/>
  </r>
  <r>
    <s v="TXN_1224026"/>
    <s v="CUST_01"/>
    <x v="4"/>
    <x v="185"/>
    <x v="23"/>
    <x v="0"/>
    <n v="65"/>
    <x v="1"/>
    <x v="1"/>
    <x v="412"/>
    <x v="0"/>
    <s v="DISCOUNT NOT ALLOWED"/>
    <s v="discount not allowed"/>
    <s v="DISCOUNT NOT ALLOWED"/>
    <s v="Discount Not Allowed"/>
    <s v="17/10/22"/>
  </r>
  <r>
    <s v="TXN_1465531"/>
    <s v="CUST_20"/>
    <x v="0"/>
    <x v="186"/>
    <x v="23"/>
    <x v="0"/>
    <n v="65"/>
    <x v="2"/>
    <x v="1"/>
    <x v="721"/>
    <x v="1"/>
    <s v="DISCOUNT ALLOWED"/>
    <s v="discount allowed"/>
    <s v="DISCOUNT ALLOWED"/>
    <s v="Discount Allowed"/>
    <s v="03/07/24"/>
  </r>
  <r>
    <s v="TXN_1814977"/>
    <s v="CUST_13"/>
    <x v="2"/>
    <x v="187"/>
    <x v="23"/>
    <x v="0"/>
    <n v="65"/>
    <x v="0"/>
    <x v="1"/>
    <x v="712"/>
    <x v="1"/>
    <s v="DISCOUNT ALLOWED"/>
    <s v="discount allowed"/>
    <s v="DISCOUNT ALLOWED"/>
    <s v="Discount Allowed"/>
    <s v="30/04/22"/>
  </r>
  <r>
    <s v="TXN_2035106"/>
    <s v="CUST_20"/>
    <x v="2"/>
    <x v="187"/>
    <x v="23"/>
    <x v="0"/>
    <n v="65"/>
    <x v="2"/>
    <x v="1"/>
    <x v="17"/>
    <x v="0"/>
    <s v="DISCOUNT NOT ALLOWED"/>
    <s v="discount not allowed"/>
    <s v="DISCOUNT NOT ALLOWED"/>
    <s v="Discount Not Allowed"/>
    <s v="24/02/22"/>
  </r>
  <r>
    <s v="TXN_2527115"/>
    <s v="CUST_22"/>
    <x v="1"/>
    <x v="184"/>
    <x v="23"/>
    <x v="0"/>
    <n v="65"/>
    <x v="0"/>
    <x v="0"/>
    <x v="744"/>
    <x v="0"/>
    <s v="DISCOUNT NOT ALLOWED"/>
    <s v="discount not allowed"/>
    <s v="DISCOUNT NOT ALLOWED"/>
    <s v="Discount Not Allowed"/>
    <s v="15/06/24"/>
  </r>
  <r>
    <s v="TXN_3270223"/>
    <s v="CUST_08"/>
    <x v="6"/>
    <x v="188"/>
    <x v="23"/>
    <x v="0"/>
    <n v="65"/>
    <x v="1"/>
    <x v="1"/>
    <x v="49"/>
    <x v="1"/>
    <s v="DISCOUNT ALLOWED"/>
    <s v="discount allowed"/>
    <s v="DISCOUNT ALLOWED"/>
    <s v="Discount Allowed"/>
    <s v="14/09/22"/>
  </r>
  <r>
    <s v="TXN_3956995"/>
    <s v="CUST_17"/>
    <x v="1"/>
    <x v="184"/>
    <x v="23"/>
    <x v="0"/>
    <n v="65"/>
    <x v="0"/>
    <x v="1"/>
    <x v="533"/>
    <x v="1"/>
    <s v="DISCOUNT ALLOWED"/>
    <s v="discount allowed"/>
    <s v="DISCOUNT ALLOWED"/>
    <s v="Discount Allowed"/>
    <s v="14/10/24"/>
  </r>
  <r>
    <s v="TXN_4294387"/>
    <s v="CUST_08"/>
    <x v="2"/>
    <x v="187"/>
    <x v="23"/>
    <x v="0"/>
    <n v="65"/>
    <x v="2"/>
    <x v="1"/>
    <x v="670"/>
    <x v="1"/>
    <s v="DISCOUNT ALLOWED"/>
    <s v="discount allowed"/>
    <s v="DISCOUNT ALLOWED"/>
    <s v="Discount Allowed"/>
    <s v="22/10/23"/>
  </r>
  <r>
    <s v="TXN_4759687"/>
    <s v="CUST_24"/>
    <x v="0"/>
    <x v="186"/>
    <x v="23"/>
    <x v="0"/>
    <n v="65"/>
    <x v="2"/>
    <x v="0"/>
    <x v="282"/>
    <x v="1"/>
    <s v="DISCOUNT ALLOWED"/>
    <s v="discount allowed"/>
    <s v="DISCOUNT ALLOWED"/>
    <s v="Discount Allowed"/>
    <s v="20/06/23"/>
  </r>
  <r>
    <s v="TXN_4802346"/>
    <s v="CUST_10"/>
    <x v="1"/>
    <x v="184"/>
    <x v="23"/>
    <x v="0"/>
    <n v="65"/>
    <x v="1"/>
    <x v="1"/>
    <x v="796"/>
    <x v="0"/>
    <s v="DISCOUNT NOT ALLOWED"/>
    <s v="discount not allowed"/>
    <s v="DISCOUNT NOT ALLOWED"/>
    <s v="Discount Not Allowed"/>
    <s v="14/03/23"/>
  </r>
  <r>
    <s v="TXN_5380026"/>
    <s v="CUST_08"/>
    <x v="2"/>
    <x v="187"/>
    <x v="23"/>
    <x v="0"/>
    <n v="65"/>
    <x v="2"/>
    <x v="0"/>
    <x v="391"/>
    <x v="0"/>
    <s v="DISCOUNT NOT ALLOWED"/>
    <s v="discount not allowed"/>
    <s v="DISCOUNT NOT ALLOWED"/>
    <s v="Discount Not Allowed"/>
    <s v="08/07/22"/>
  </r>
  <r>
    <s v="TXN_5707886"/>
    <s v="CUST_06"/>
    <x v="1"/>
    <x v="184"/>
    <x v="23"/>
    <x v="0"/>
    <n v="65"/>
    <x v="2"/>
    <x v="0"/>
    <x v="471"/>
    <x v="0"/>
    <s v="DISCOUNT NOT ALLOWED"/>
    <s v="discount not allowed"/>
    <s v="DISCOUNT NOT ALLOWED"/>
    <s v="Discount Not Allowed"/>
    <s v="12/05/22"/>
  </r>
  <r>
    <s v="TXN_5762983"/>
    <s v="CUST_24"/>
    <x v="2"/>
    <x v="187"/>
    <x v="23"/>
    <x v="0"/>
    <n v="65"/>
    <x v="2"/>
    <x v="0"/>
    <x v="147"/>
    <x v="0"/>
    <s v="DISCOUNT NOT ALLOWED"/>
    <s v="discount not allowed"/>
    <s v="DISCOUNT NOT ALLOWED"/>
    <s v="Discount Not Allowed"/>
    <s v="15/07/23"/>
  </r>
  <r>
    <s v="TXN_6637102"/>
    <s v="CUST_08"/>
    <x v="2"/>
    <x v="187"/>
    <x v="23"/>
    <x v="0"/>
    <n v="65"/>
    <x v="2"/>
    <x v="1"/>
    <x v="1053"/>
    <x v="0"/>
    <s v="DISCOUNT NOT ALLOWED"/>
    <s v="discount not allowed"/>
    <s v="DISCOUNT NOT ALLOWED"/>
    <s v="Discount Not Allowed"/>
    <s v="22/08/23"/>
  </r>
  <r>
    <s v="TXN_6707919"/>
    <s v="CUST_04"/>
    <x v="3"/>
    <x v="189"/>
    <x v="23"/>
    <x v="0"/>
    <n v="65"/>
    <x v="2"/>
    <x v="1"/>
    <x v="418"/>
    <x v="0"/>
    <s v="DISCOUNT NOT ALLOWED"/>
    <s v="discount not allowed"/>
    <s v="DISCOUNT NOT ALLOWED"/>
    <s v="Discount Not Allowed"/>
    <s v="29/09/24"/>
  </r>
  <r>
    <s v="TXN_6947858"/>
    <s v="CUST_22"/>
    <x v="1"/>
    <x v="184"/>
    <x v="23"/>
    <x v="0"/>
    <n v="65"/>
    <x v="0"/>
    <x v="0"/>
    <x v="292"/>
    <x v="1"/>
    <s v="DISCOUNT ALLOWED"/>
    <s v="discount allowed"/>
    <s v="DISCOUNT ALLOWED"/>
    <s v="Discount Allowed"/>
    <s v="24/10/23"/>
  </r>
  <r>
    <s v="TXN_7004172"/>
    <s v="CUST_12"/>
    <x v="2"/>
    <x v="187"/>
    <x v="23"/>
    <x v="0"/>
    <n v="65"/>
    <x v="1"/>
    <x v="1"/>
    <x v="627"/>
    <x v="1"/>
    <s v="DISCOUNT ALLOWED"/>
    <s v="discount allowed"/>
    <s v="DISCOUNT ALLOWED"/>
    <s v="Discount Allowed"/>
    <s v="19/05/23"/>
  </r>
  <r>
    <s v="TXN_7304590"/>
    <s v="CUST_19"/>
    <x v="5"/>
    <x v="190"/>
    <x v="23"/>
    <x v="0"/>
    <n v="65"/>
    <x v="1"/>
    <x v="1"/>
    <x v="821"/>
    <x v="0"/>
    <s v="DISCOUNT NOT ALLOWED"/>
    <s v="discount not allowed"/>
    <s v="DISCOUNT NOT ALLOWED"/>
    <s v="Discount Not Allowed"/>
    <s v="14/05/22"/>
  </r>
  <r>
    <s v="TXN_7487176"/>
    <s v="CUST_23"/>
    <x v="0"/>
    <x v="186"/>
    <x v="23"/>
    <x v="0"/>
    <n v="65"/>
    <x v="2"/>
    <x v="1"/>
    <x v="486"/>
    <x v="0"/>
    <s v="DISCOUNT NOT ALLOWED"/>
    <s v="discount not allowed"/>
    <s v="DISCOUNT NOT ALLOWED"/>
    <s v="Discount Not Allowed"/>
    <s v="21/10/22"/>
  </r>
  <r>
    <s v="TXN_7642752"/>
    <s v="CUST_01"/>
    <x v="6"/>
    <x v="188"/>
    <x v="23"/>
    <x v="0"/>
    <n v="65"/>
    <x v="1"/>
    <x v="0"/>
    <x v="1079"/>
    <x v="0"/>
    <s v="DISCOUNT NOT ALLOWED"/>
    <s v="discount not allowed"/>
    <s v="DISCOUNT NOT ALLOWED"/>
    <s v="Discount Not Allowed"/>
    <s v="15/01/25"/>
  </r>
  <r>
    <s v="TXN_7651965"/>
    <s v="CUST_06"/>
    <x v="6"/>
    <x v="188"/>
    <x v="23"/>
    <x v="0"/>
    <n v="65"/>
    <x v="0"/>
    <x v="0"/>
    <x v="337"/>
    <x v="1"/>
    <s v="DISCOUNT ALLOWED"/>
    <s v="discount allowed"/>
    <s v="DISCOUNT ALLOWED"/>
    <s v="Discount Allowed"/>
    <s v="20/08/24"/>
  </r>
  <r>
    <s v="TXN_7784402"/>
    <s v="CUST_20"/>
    <x v="2"/>
    <x v="187"/>
    <x v="23"/>
    <x v="0"/>
    <n v="65"/>
    <x v="1"/>
    <x v="1"/>
    <x v="14"/>
    <x v="1"/>
    <s v="DISCOUNT ALLOWED"/>
    <s v="discount allowed"/>
    <s v="DISCOUNT ALLOWED"/>
    <s v="Discount Allowed"/>
    <s v="07/06/22"/>
  </r>
  <r>
    <s v="TXN_8160360"/>
    <s v="CUST_13"/>
    <x v="2"/>
    <x v="187"/>
    <x v="23"/>
    <x v="0"/>
    <n v="65"/>
    <x v="0"/>
    <x v="1"/>
    <x v="841"/>
    <x v="1"/>
    <s v="DISCOUNT ALLOWED"/>
    <s v="discount allowed"/>
    <s v="DISCOUNT ALLOWED"/>
    <s v="Discount Allowed"/>
    <s v="14/06/23"/>
  </r>
  <r>
    <s v="TXN_8247054"/>
    <s v="CUST_15"/>
    <x v="2"/>
    <x v="187"/>
    <x v="23"/>
    <x v="0"/>
    <n v="65"/>
    <x v="0"/>
    <x v="1"/>
    <x v="978"/>
    <x v="1"/>
    <s v="DISCOUNT ALLOWED"/>
    <s v="discount allowed"/>
    <s v="DISCOUNT ALLOWED"/>
    <s v="Discount Allowed"/>
    <s v="09/01/25"/>
  </r>
  <r>
    <s v="TXN_8297254"/>
    <s v="CUST_06"/>
    <x v="1"/>
    <x v="184"/>
    <x v="23"/>
    <x v="0"/>
    <n v="65"/>
    <x v="1"/>
    <x v="1"/>
    <x v="193"/>
    <x v="0"/>
    <s v="DISCOUNT NOT ALLOWED"/>
    <s v="discount not allowed"/>
    <s v="DISCOUNT NOT ALLOWED"/>
    <s v="Discount Not Allowed"/>
    <s v="08/01/22"/>
  </r>
  <r>
    <s v="TXN_8335223"/>
    <s v="CUST_17"/>
    <x v="7"/>
    <x v="191"/>
    <x v="23"/>
    <x v="0"/>
    <n v="65"/>
    <x v="1"/>
    <x v="1"/>
    <x v="300"/>
    <x v="1"/>
    <s v="DISCOUNT ALLOWED"/>
    <s v="discount allowed"/>
    <s v="DISCOUNT ALLOWED"/>
    <s v="Discount Allowed"/>
    <s v="14/04/22"/>
  </r>
  <r>
    <s v="TXN_8430322"/>
    <s v="CUST_01"/>
    <x v="7"/>
    <x v="191"/>
    <x v="23"/>
    <x v="0"/>
    <n v="65"/>
    <x v="1"/>
    <x v="0"/>
    <x v="381"/>
    <x v="0"/>
    <s v="DISCOUNT NOT ALLOWED"/>
    <s v="discount not allowed"/>
    <s v="DISCOUNT NOT ALLOWED"/>
    <s v="Discount Not Allowed"/>
    <s v="06/03/22"/>
  </r>
  <r>
    <s v="TXN_8437474"/>
    <s v="CUST_20"/>
    <x v="6"/>
    <x v="188"/>
    <x v="23"/>
    <x v="0"/>
    <n v="65"/>
    <x v="1"/>
    <x v="1"/>
    <x v="308"/>
    <x v="1"/>
    <s v="DISCOUNT ALLOWED"/>
    <s v="discount allowed"/>
    <s v="DISCOUNT ALLOWED"/>
    <s v="Discount Allowed"/>
    <s v="25/05/22"/>
  </r>
  <r>
    <s v="TXN_8575100"/>
    <s v="CUST_16"/>
    <x v="2"/>
    <x v="187"/>
    <x v="23"/>
    <x v="0"/>
    <n v="65"/>
    <x v="1"/>
    <x v="1"/>
    <x v="812"/>
    <x v="0"/>
    <s v="DISCOUNT NOT ALLOWED"/>
    <s v="discount not allowed"/>
    <s v="DISCOUNT NOT ALLOWED"/>
    <s v="Discount Not Allowed"/>
    <s v="21/04/24"/>
  </r>
  <r>
    <s v="TXN_8592371"/>
    <s v="CUST_02"/>
    <x v="7"/>
    <x v="191"/>
    <x v="23"/>
    <x v="0"/>
    <n v="65"/>
    <x v="0"/>
    <x v="0"/>
    <x v="728"/>
    <x v="1"/>
    <s v="DISCOUNT ALLOWED"/>
    <s v="discount allowed"/>
    <s v="DISCOUNT ALLOWED"/>
    <s v="Discount Allowed"/>
    <s v="14/06/22"/>
  </r>
  <r>
    <s v="TXN_8653248"/>
    <s v="CUST_21"/>
    <x v="6"/>
    <x v="188"/>
    <x v="23"/>
    <x v="0"/>
    <n v="65"/>
    <x v="2"/>
    <x v="0"/>
    <x v="891"/>
    <x v="1"/>
    <s v="DISCOUNT ALLOWED"/>
    <s v="discount allowed"/>
    <s v="DISCOUNT ALLOWED"/>
    <s v="Discount Allowed"/>
    <s v="07/04/22"/>
  </r>
  <r>
    <s v="TXN_8750639"/>
    <s v="CUST_21"/>
    <x v="6"/>
    <x v="188"/>
    <x v="23"/>
    <x v="0"/>
    <n v="65"/>
    <x v="2"/>
    <x v="0"/>
    <x v="177"/>
    <x v="0"/>
    <s v="DISCOUNT NOT ALLOWED"/>
    <s v="discount not allowed"/>
    <s v="DISCOUNT NOT ALLOWED"/>
    <s v="Discount Not Allowed"/>
    <s v="14/06/24"/>
  </r>
  <r>
    <s v="TXN_9469341"/>
    <s v="CUST_14"/>
    <x v="0"/>
    <x v="186"/>
    <x v="23"/>
    <x v="0"/>
    <n v="65"/>
    <x v="1"/>
    <x v="0"/>
    <x v="892"/>
    <x v="0"/>
    <s v="DISCOUNT NOT ALLOWED"/>
    <s v="discount not allowed"/>
    <s v="DISCOUNT NOT ALLOWED"/>
    <s v="Discount Not Allowed"/>
    <s v="07/01/22"/>
  </r>
  <r>
    <s v="TXN_9536103"/>
    <s v="CUST_23"/>
    <x v="2"/>
    <x v="187"/>
    <x v="23"/>
    <x v="0"/>
    <n v="65"/>
    <x v="2"/>
    <x v="1"/>
    <x v="675"/>
    <x v="1"/>
    <s v="DISCOUNT ALLOWED"/>
    <s v="discount allowed"/>
    <s v="DISCOUNT ALLOWED"/>
    <s v="Discount Allowed"/>
    <s v="02/01/23"/>
  </r>
  <r>
    <s v="TXN_9827837"/>
    <s v="CUST_11"/>
    <x v="5"/>
    <x v="190"/>
    <x v="23"/>
    <x v="0"/>
    <n v="65"/>
    <x v="0"/>
    <x v="0"/>
    <x v="286"/>
    <x v="1"/>
    <s v="DISCOUNT ALLOWED"/>
    <s v="discount allowed"/>
    <s v="DISCOUNT ALLOWED"/>
    <s v="Discount Allowed"/>
    <s v="16/10/22"/>
  </r>
  <r>
    <s v="TXN_1097532"/>
    <s v="CUST_02"/>
    <x v="1"/>
    <x v="105"/>
    <x v="13"/>
    <x v="7"/>
    <n v="64.5"/>
    <x v="0"/>
    <x v="0"/>
    <x v="567"/>
    <x v="0"/>
    <s v="DISCOUNT NOT ALLOWED"/>
    <s v="discount not allowed"/>
    <s v="DISCOUNT NOT ALLOWED"/>
    <s v="Discount Not Allowed"/>
    <s v="01/03/22"/>
  </r>
  <r>
    <s v="TXN_1135577"/>
    <s v="CUST_20"/>
    <x v="1"/>
    <x v="105"/>
    <x v="13"/>
    <x v="7"/>
    <n v="64.5"/>
    <x v="2"/>
    <x v="1"/>
    <x v="542"/>
    <x v="0"/>
    <s v="DISCOUNT NOT ALLOWED"/>
    <s v="discount not allowed"/>
    <s v="DISCOUNT NOT ALLOWED"/>
    <s v="Discount Not Allowed"/>
    <s v="28/08/23"/>
  </r>
  <r>
    <s v="TXN_1178688"/>
    <s v="CUST_17"/>
    <x v="1"/>
    <x v="105"/>
    <x v="13"/>
    <x v="7"/>
    <n v="64.5"/>
    <x v="1"/>
    <x v="0"/>
    <x v="582"/>
    <x v="1"/>
    <s v="DISCOUNT ALLOWED"/>
    <s v="discount allowed"/>
    <s v="DISCOUNT ALLOWED"/>
    <s v="Discount Allowed"/>
    <s v="15/10/23"/>
  </r>
  <r>
    <s v="TXN_1190422"/>
    <s v="CUST_03"/>
    <x v="7"/>
    <x v="106"/>
    <x v="13"/>
    <x v="7"/>
    <n v="64.5"/>
    <x v="1"/>
    <x v="0"/>
    <x v="266"/>
    <x v="1"/>
    <s v="DISCOUNT ALLOWED"/>
    <s v="discount allowed"/>
    <s v="DISCOUNT ALLOWED"/>
    <s v="Discount Allowed"/>
    <s v="11/01/23"/>
  </r>
  <r>
    <s v="TXN_1398946"/>
    <s v="CUST_18"/>
    <x v="7"/>
    <x v="106"/>
    <x v="13"/>
    <x v="7"/>
    <n v="64.5"/>
    <x v="1"/>
    <x v="0"/>
    <x v="2"/>
    <x v="0"/>
    <s v="DISCOUNT NOT ALLOWED"/>
    <s v="discount not allowed"/>
    <s v="DISCOUNT NOT ALLOWED"/>
    <s v="Discount Not Allowed"/>
    <s v="04/11/22"/>
  </r>
  <r>
    <s v="TXN_1466500"/>
    <s v="CUST_12"/>
    <x v="4"/>
    <x v="107"/>
    <x v="13"/>
    <x v="7"/>
    <n v="64.5"/>
    <x v="0"/>
    <x v="1"/>
    <x v="625"/>
    <x v="0"/>
    <s v="DISCOUNT NOT ALLOWED"/>
    <s v="discount not allowed"/>
    <s v="DISCOUNT NOT ALLOWED"/>
    <s v="Discount Not Allowed"/>
    <s v="13/11/22"/>
  </r>
  <r>
    <s v="TXN_1495979"/>
    <s v="CUST_05"/>
    <x v="7"/>
    <x v="106"/>
    <x v="13"/>
    <x v="7"/>
    <n v="64.5"/>
    <x v="0"/>
    <x v="1"/>
    <x v="828"/>
    <x v="0"/>
    <s v="DISCOUNT NOT ALLOWED"/>
    <s v="discount not allowed"/>
    <s v="DISCOUNT NOT ALLOWED"/>
    <s v="Discount Not Allowed"/>
    <s v="16/01/23"/>
  </r>
  <r>
    <s v="TXN_1551643"/>
    <s v="CUST_23"/>
    <x v="6"/>
    <x v="104"/>
    <x v="13"/>
    <x v="7"/>
    <n v="64.5"/>
    <x v="2"/>
    <x v="1"/>
    <x v="1011"/>
    <x v="1"/>
    <s v="DISCOUNT ALLOWED"/>
    <s v="discount allowed"/>
    <s v="DISCOUNT ALLOWED"/>
    <s v="Discount Allowed"/>
    <s v="09/11/23"/>
  </r>
  <r>
    <s v="TXN_1588521"/>
    <s v="CUST_23"/>
    <x v="7"/>
    <x v="106"/>
    <x v="13"/>
    <x v="7"/>
    <n v="64.5"/>
    <x v="1"/>
    <x v="0"/>
    <x v="357"/>
    <x v="0"/>
    <s v="DISCOUNT NOT ALLOWED"/>
    <s v="discount not allowed"/>
    <s v="DISCOUNT NOT ALLOWED"/>
    <s v="Discount Not Allowed"/>
    <s v="09/07/23"/>
  </r>
  <r>
    <s v="TXN_2184078"/>
    <s v="CUST_07"/>
    <x v="3"/>
    <x v="103"/>
    <x v="13"/>
    <x v="7"/>
    <n v="64.5"/>
    <x v="2"/>
    <x v="0"/>
    <x v="792"/>
    <x v="0"/>
    <s v="DISCOUNT NOT ALLOWED"/>
    <s v="discount not allowed"/>
    <s v="DISCOUNT NOT ALLOWED"/>
    <s v="Discount Not Allowed"/>
    <s v="10/11/23"/>
  </r>
  <r>
    <s v="TXN_2445180"/>
    <s v="CUST_12"/>
    <x v="3"/>
    <x v="103"/>
    <x v="13"/>
    <x v="7"/>
    <n v="64.5"/>
    <x v="2"/>
    <x v="1"/>
    <x v="957"/>
    <x v="1"/>
    <s v="DISCOUNT ALLOWED"/>
    <s v="discount allowed"/>
    <s v="DISCOUNT ALLOWED"/>
    <s v="Discount Allowed"/>
    <s v="03/01/22"/>
  </r>
  <r>
    <s v="TXN_2727085"/>
    <s v="CUST_02"/>
    <x v="4"/>
    <x v="107"/>
    <x v="13"/>
    <x v="7"/>
    <n v="64.5"/>
    <x v="0"/>
    <x v="1"/>
    <x v="671"/>
    <x v="0"/>
    <s v="DISCOUNT NOT ALLOWED"/>
    <s v="discount not allowed"/>
    <s v="DISCOUNT NOT ALLOWED"/>
    <s v="Discount Not Allowed"/>
    <s v="09/08/24"/>
  </r>
  <r>
    <s v="TXN_2913551"/>
    <s v="CUST_25"/>
    <x v="6"/>
    <x v="104"/>
    <x v="13"/>
    <x v="7"/>
    <n v="64.5"/>
    <x v="1"/>
    <x v="1"/>
    <x v="712"/>
    <x v="1"/>
    <s v="DISCOUNT ALLOWED"/>
    <s v="discount allowed"/>
    <s v="DISCOUNT ALLOWED"/>
    <s v="Discount Allowed"/>
    <s v="30/04/22"/>
  </r>
  <r>
    <s v="TXN_2991101"/>
    <s v="CUST_18"/>
    <x v="5"/>
    <x v="102"/>
    <x v="13"/>
    <x v="7"/>
    <n v="64.5"/>
    <x v="2"/>
    <x v="0"/>
    <x v="855"/>
    <x v="0"/>
    <s v="DISCOUNT NOT ALLOWED"/>
    <s v="discount not allowed"/>
    <s v="DISCOUNT NOT ALLOWED"/>
    <s v="Discount Not Allowed"/>
    <s v="09/09/23"/>
  </r>
  <r>
    <s v="TXN_3224940"/>
    <s v="CUST_11"/>
    <x v="6"/>
    <x v="104"/>
    <x v="13"/>
    <x v="7"/>
    <n v="64.5"/>
    <x v="0"/>
    <x v="0"/>
    <x v="421"/>
    <x v="0"/>
    <s v="DISCOUNT NOT ALLOWED"/>
    <s v="discount not allowed"/>
    <s v="DISCOUNT NOT ALLOWED"/>
    <s v="Discount Not Allowed"/>
    <s v="29/04/24"/>
  </r>
  <r>
    <s v="TXN_3314427"/>
    <s v="CUST_03"/>
    <x v="3"/>
    <x v="103"/>
    <x v="13"/>
    <x v="7"/>
    <n v="64.5"/>
    <x v="2"/>
    <x v="1"/>
    <x v="189"/>
    <x v="0"/>
    <s v="DISCOUNT NOT ALLOWED"/>
    <s v="discount not allowed"/>
    <s v="DISCOUNT NOT ALLOWED"/>
    <s v="Discount Not Allowed"/>
    <s v="22/09/23"/>
  </r>
  <r>
    <s v="TXN_3358757"/>
    <s v="CUST_19"/>
    <x v="3"/>
    <x v="103"/>
    <x v="13"/>
    <x v="7"/>
    <n v="64.5"/>
    <x v="0"/>
    <x v="0"/>
    <x v="816"/>
    <x v="1"/>
    <s v="DISCOUNT ALLOWED"/>
    <s v="discount allowed"/>
    <s v="DISCOUNT ALLOWED"/>
    <s v="Discount Allowed"/>
    <s v="27/08/23"/>
  </r>
  <r>
    <s v="TXN_3392405"/>
    <s v="CUST_20"/>
    <x v="7"/>
    <x v="106"/>
    <x v="13"/>
    <x v="7"/>
    <n v="64.5"/>
    <x v="1"/>
    <x v="0"/>
    <x v="563"/>
    <x v="0"/>
    <s v="DISCOUNT NOT ALLOWED"/>
    <s v="discount not allowed"/>
    <s v="DISCOUNT NOT ALLOWED"/>
    <s v="Discount Not Allowed"/>
    <s v="03/10/24"/>
  </r>
  <r>
    <s v="TXN_3665903"/>
    <s v="CUST_21"/>
    <x v="6"/>
    <x v="104"/>
    <x v="13"/>
    <x v="7"/>
    <n v="64.5"/>
    <x v="0"/>
    <x v="0"/>
    <x v="281"/>
    <x v="1"/>
    <s v="DISCOUNT ALLOWED"/>
    <s v="discount allowed"/>
    <s v="DISCOUNT ALLOWED"/>
    <s v="Discount Allowed"/>
    <s v="06/02/23"/>
  </r>
  <r>
    <s v="TXN_3958510"/>
    <s v="CUST_10"/>
    <x v="7"/>
    <x v="106"/>
    <x v="13"/>
    <x v="7"/>
    <n v="64.5"/>
    <x v="2"/>
    <x v="0"/>
    <x v="782"/>
    <x v="1"/>
    <s v="DISCOUNT ALLOWED"/>
    <s v="discount allowed"/>
    <s v="DISCOUNT ALLOWED"/>
    <s v="Discount Allowed"/>
    <s v="13/09/23"/>
  </r>
  <r>
    <s v="TXN_3962481"/>
    <s v="CUST_13"/>
    <x v="5"/>
    <x v="102"/>
    <x v="13"/>
    <x v="7"/>
    <n v="64.5"/>
    <x v="2"/>
    <x v="1"/>
    <x v="523"/>
    <x v="0"/>
    <s v="DISCOUNT NOT ALLOWED"/>
    <s v="discount not allowed"/>
    <s v="DISCOUNT NOT ALLOWED"/>
    <s v="Discount Not Allowed"/>
    <s v="02/02/24"/>
  </r>
  <r>
    <s v="TXN_4066635"/>
    <s v="CUST_09"/>
    <x v="3"/>
    <x v="103"/>
    <x v="13"/>
    <x v="7"/>
    <n v="64.5"/>
    <x v="1"/>
    <x v="1"/>
    <x v="764"/>
    <x v="0"/>
    <s v="DISCOUNT NOT ALLOWED"/>
    <s v="discount not allowed"/>
    <s v="DISCOUNT NOT ALLOWED"/>
    <s v="Discount Not Allowed"/>
    <s v="03/05/22"/>
  </r>
  <r>
    <s v="TXN_4506615"/>
    <s v="CUST_10"/>
    <x v="3"/>
    <x v="103"/>
    <x v="13"/>
    <x v="7"/>
    <n v="64.5"/>
    <x v="2"/>
    <x v="1"/>
    <x v="1084"/>
    <x v="0"/>
    <s v="DISCOUNT NOT ALLOWED"/>
    <s v="discount not allowed"/>
    <s v="DISCOUNT NOT ALLOWED"/>
    <s v="Discount Not Allowed"/>
    <s v="29/05/22"/>
  </r>
  <r>
    <s v="TXN_4606507"/>
    <s v="CUST_22"/>
    <x v="3"/>
    <x v="103"/>
    <x v="13"/>
    <x v="7"/>
    <n v="64.5"/>
    <x v="1"/>
    <x v="1"/>
    <x v="542"/>
    <x v="1"/>
    <s v="DISCOUNT ALLOWED"/>
    <s v="discount allowed"/>
    <s v="DISCOUNT ALLOWED"/>
    <s v="Discount Allowed"/>
    <s v="28/08/23"/>
  </r>
  <r>
    <s v="TXN_4610549"/>
    <s v="CUST_24"/>
    <x v="1"/>
    <x v="105"/>
    <x v="13"/>
    <x v="7"/>
    <n v="64.5"/>
    <x v="2"/>
    <x v="1"/>
    <x v="579"/>
    <x v="0"/>
    <s v="DISCOUNT NOT ALLOWED"/>
    <s v="discount not allowed"/>
    <s v="DISCOUNT NOT ALLOWED"/>
    <s v="Discount Not Allowed"/>
    <s v="26/08/22"/>
  </r>
  <r>
    <s v="TXN_4657405"/>
    <s v="CUST_14"/>
    <x v="1"/>
    <x v="105"/>
    <x v="13"/>
    <x v="7"/>
    <n v="64.5"/>
    <x v="1"/>
    <x v="0"/>
    <x v="82"/>
    <x v="1"/>
    <s v="DISCOUNT ALLOWED"/>
    <s v="discount allowed"/>
    <s v="DISCOUNT ALLOWED"/>
    <s v="Discount Allowed"/>
    <s v="07/10/24"/>
  </r>
  <r>
    <s v="TXN_5224584"/>
    <s v="CUST_01"/>
    <x v="1"/>
    <x v="105"/>
    <x v="13"/>
    <x v="7"/>
    <n v="64.5"/>
    <x v="0"/>
    <x v="1"/>
    <x v="692"/>
    <x v="0"/>
    <s v="DISCOUNT NOT ALLOWED"/>
    <s v="discount not allowed"/>
    <s v="DISCOUNT NOT ALLOWED"/>
    <s v="Discount Not Allowed"/>
    <s v="23/06/22"/>
  </r>
  <r>
    <s v="TXN_5968294"/>
    <s v="CUST_09"/>
    <x v="5"/>
    <x v="102"/>
    <x v="13"/>
    <x v="7"/>
    <n v="64.5"/>
    <x v="0"/>
    <x v="0"/>
    <x v="736"/>
    <x v="1"/>
    <s v="DISCOUNT ALLOWED"/>
    <s v="discount allowed"/>
    <s v="DISCOUNT ALLOWED"/>
    <s v="Discount Allowed"/>
    <s v="13/05/24"/>
  </r>
  <r>
    <s v="TXN_5969171"/>
    <s v="CUST_03"/>
    <x v="4"/>
    <x v="107"/>
    <x v="13"/>
    <x v="7"/>
    <n v="64.5"/>
    <x v="0"/>
    <x v="0"/>
    <x v="251"/>
    <x v="0"/>
    <s v="DISCOUNT NOT ALLOWED"/>
    <s v="discount not allowed"/>
    <s v="DISCOUNT NOT ALLOWED"/>
    <s v="Discount Not Allowed"/>
    <s v="24/03/22"/>
  </r>
  <r>
    <s v="TXN_6083435"/>
    <s v="CUST_25"/>
    <x v="4"/>
    <x v="107"/>
    <x v="13"/>
    <x v="7"/>
    <n v="64.5"/>
    <x v="0"/>
    <x v="0"/>
    <x v="1015"/>
    <x v="1"/>
    <s v="DISCOUNT ALLOWED"/>
    <s v="discount allowed"/>
    <s v="DISCOUNT ALLOWED"/>
    <s v="Discount Allowed"/>
    <s v="31/08/23"/>
  </r>
  <r>
    <s v="TXN_6091754"/>
    <s v="CUST_05"/>
    <x v="6"/>
    <x v="104"/>
    <x v="13"/>
    <x v="7"/>
    <n v="64.5"/>
    <x v="2"/>
    <x v="1"/>
    <x v="493"/>
    <x v="0"/>
    <s v="DISCOUNT NOT ALLOWED"/>
    <s v="discount not allowed"/>
    <s v="DISCOUNT NOT ALLOWED"/>
    <s v="Discount Not Allowed"/>
    <s v="03/06/24"/>
  </r>
  <r>
    <s v="TXN_6442868"/>
    <s v="CUST_02"/>
    <x v="4"/>
    <x v="107"/>
    <x v="13"/>
    <x v="7"/>
    <n v="64.5"/>
    <x v="2"/>
    <x v="1"/>
    <x v="1063"/>
    <x v="0"/>
    <s v="DISCOUNT NOT ALLOWED"/>
    <s v="discount not allowed"/>
    <s v="DISCOUNT NOT ALLOWED"/>
    <s v="Discount Not Allowed"/>
    <s v="13/06/23"/>
  </r>
  <r>
    <s v="TXN_6754215"/>
    <s v="CUST_06"/>
    <x v="6"/>
    <x v="104"/>
    <x v="13"/>
    <x v="7"/>
    <n v="64.5"/>
    <x v="1"/>
    <x v="0"/>
    <x v="355"/>
    <x v="0"/>
    <s v="DISCOUNT NOT ALLOWED"/>
    <s v="discount not allowed"/>
    <s v="DISCOUNT NOT ALLOWED"/>
    <s v="Discount Not Allowed"/>
    <s v="23/12/24"/>
  </r>
  <r>
    <s v="TXN_7423131"/>
    <s v="CUST_08"/>
    <x v="7"/>
    <x v="106"/>
    <x v="13"/>
    <x v="7"/>
    <n v="64.5"/>
    <x v="0"/>
    <x v="0"/>
    <x v="875"/>
    <x v="1"/>
    <s v="DISCOUNT ALLOWED"/>
    <s v="discount allowed"/>
    <s v="DISCOUNT ALLOWED"/>
    <s v="Discount Allowed"/>
    <s v="08/09/23"/>
  </r>
  <r>
    <s v="TXN_7548856"/>
    <s v="CUST_23"/>
    <x v="1"/>
    <x v="105"/>
    <x v="13"/>
    <x v="7"/>
    <n v="64.5"/>
    <x v="1"/>
    <x v="0"/>
    <x v="275"/>
    <x v="0"/>
    <s v="DISCOUNT NOT ALLOWED"/>
    <s v="discount not allowed"/>
    <s v="DISCOUNT NOT ALLOWED"/>
    <s v="Discount Not Allowed"/>
    <s v="16/06/24"/>
  </r>
  <r>
    <s v="TXN_8175642"/>
    <s v="CUST_19"/>
    <x v="6"/>
    <x v="104"/>
    <x v="13"/>
    <x v="7"/>
    <n v="64.5"/>
    <x v="1"/>
    <x v="1"/>
    <x v="640"/>
    <x v="1"/>
    <s v="DISCOUNT ALLOWED"/>
    <s v="discount allowed"/>
    <s v="DISCOUNT ALLOWED"/>
    <s v="Discount Allowed"/>
    <s v="26/09/24"/>
  </r>
  <r>
    <s v="TXN_8180871"/>
    <s v="CUST_20"/>
    <x v="1"/>
    <x v="105"/>
    <x v="13"/>
    <x v="7"/>
    <n v="64.5"/>
    <x v="2"/>
    <x v="0"/>
    <x v="849"/>
    <x v="1"/>
    <s v="DISCOUNT ALLOWED"/>
    <s v="discount allowed"/>
    <s v="DISCOUNT ALLOWED"/>
    <s v="Discount Allowed"/>
    <s v="01/02/23"/>
  </r>
  <r>
    <s v="TXN_8219862"/>
    <s v="CUST_07"/>
    <x v="5"/>
    <x v="102"/>
    <x v="13"/>
    <x v="7"/>
    <n v="64.5"/>
    <x v="0"/>
    <x v="1"/>
    <x v="730"/>
    <x v="0"/>
    <s v="DISCOUNT NOT ALLOWED"/>
    <s v="discount not allowed"/>
    <s v="DISCOUNT NOT ALLOWED"/>
    <s v="Discount Not Allowed"/>
    <s v="11/08/22"/>
  </r>
  <r>
    <s v="TXN_8547248"/>
    <s v="CUST_12"/>
    <x v="1"/>
    <x v="105"/>
    <x v="13"/>
    <x v="7"/>
    <n v="64.5"/>
    <x v="0"/>
    <x v="0"/>
    <x v="168"/>
    <x v="1"/>
    <s v="DISCOUNT ALLOWED"/>
    <s v="discount allowed"/>
    <s v="DISCOUNT ALLOWED"/>
    <s v="Discount Allowed"/>
    <s v="29/06/22"/>
  </r>
  <r>
    <s v="TXN_8831168"/>
    <s v="CUST_25"/>
    <x v="5"/>
    <x v="102"/>
    <x v="13"/>
    <x v="7"/>
    <n v="64.5"/>
    <x v="1"/>
    <x v="0"/>
    <x v="652"/>
    <x v="1"/>
    <s v="DISCOUNT ALLOWED"/>
    <s v="discount allowed"/>
    <s v="DISCOUNT ALLOWED"/>
    <s v="Discount Allowed"/>
    <s v="12/11/23"/>
  </r>
  <r>
    <s v="TXN_8948545"/>
    <s v="CUST_01"/>
    <x v="1"/>
    <x v="105"/>
    <x v="13"/>
    <x v="7"/>
    <n v="64.5"/>
    <x v="0"/>
    <x v="0"/>
    <x v="850"/>
    <x v="0"/>
    <s v="DISCOUNT NOT ALLOWED"/>
    <s v="discount not allowed"/>
    <s v="DISCOUNT NOT ALLOWED"/>
    <s v="Discount Not Allowed"/>
    <s v="27/10/23"/>
  </r>
  <r>
    <s v="TXN_9602143"/>
    <s v="CUST_07"/>
    <x v="3"/>
    <x v="103"/>
    <x v="13"/>
    <x v="7"/>
    <n v="64.5"/>
    <x v="2"/>
    <x v="1"/>
    <x v="332"/>
    <x v="0"/>
    <s v="DISCOUNT NOT ALLOWED"/>
    <s v="discount not allowed"/>
    <s v="DISCOUNT NOT ALLOWED"/>
    <s v="Discount Not Allowed"/>
    <s v="01/08/22"/>
  </r>
  <r>
    <s v="TXN_9947407"/>
    <s v="CUST_01"/>
    <x v="6"/>
    <x v="104"/>
    <x v="13"/>
    <x v="7"/>
    <n v="64.5"/>
    <x v="0"/>
    <x v="0"/>
    <x v="1009"/>
    <x v="0"/>
    <s v="DISCOUNT NOT ALLOWED"/>
    <s v="discount not allowed"/>
    <s v="DISCOUNT NOT ALLOWED"/>
    <s v="Discount Not Allowed"/>
    <s v="24/09/24"/>
  </r>
  <r>
    <s v="TXN_1155401"/>
    <s v="CUST_06"/>
    <x v="0"/>
    <x v="47"/>
    <x v="6"/>
    <x v="8"/>
    <n v="64"/>
    <x v="0"/>
    <x v="1"/>
    <x v="729"/>
    <x v="0"/>
    <s v="DISCOUNT NOT ALLOWED"/>
    <s v="discount not allowed"/>
    <s v="DISCOUNT NOT ALLOWED"/>
    <s v="Discount Not Allowed"/>
    <s v="07/12/24"/>
  </r>
  <r>
    <s v="TXN_1205686"/>
    <s v="CUST_09"/>
    <x v="6"/>
    <x v="49"/>
    <x v="6"/>
    <x v="8"/>
    <n v="64"/>
    <x v="2"/>
    <x v="0"/>
    <x v="285"/>
    <x v="1"/>
    <s v="DISCOUNT ALLOWED"/>
    <s v="discount allowed"/>
    <s v="DISCOUNT ALLOWED"/>
    <s v="Discount Allowed"/>
    <s v="12/03/22"/>
  </r>
  <r>
    <s v="TXN_1456719"/>
    <s v="CUST_03"/>
    <x v="2"/>
    <x v="85"/>
    <x v="6"/>
    <x v="8"/>
    <n v="64"/>
    <x v="1"/>
    <x v="0"/>
    <x v="530"/>
    <x v="1"/>
    <s v="DISCOUNT ALLOWED"/>
    <s v="discount allowed"/>
    <s v="DISCOUNT ALLOWED"/>
    <s v="Discount Allowed"/>
    <s v="25/10/22"/>
  </r>
  <r>
    <s v="TXN_1516336"/>
    <s v="CUST_09"/>
    <x v="1"/>
    <x v="180"/>
    <x v="22"/>
    <x v="2"/>
    <n v="64"/>
    <x v="0"/>
    <x v="0"/>
    <x v="843"/>
    <x v="1"/>
    <s v="DISCOUNT ALLOWED"/>
    <s v="discount allowed"/>
    <s v="DISCOUNT ALLOWED"/>
    <s v="Discount Allowed"/>
    <s v="07/08/24"/>
  </r>
  <r>
    <s v="TXN_1555216"/>
    <s v="CUST_17"/>
    <x v="3"/>
    <x v="177"/>
    <x v="22"/>
    <x v="2"/>
    <n v="64"/>
    <x v="2"/>
    <x v="1"/>
    <x v="650"/>
    <x v="0"/>
    <s v="DISCOUNT NOT ALLOWED"/>
    <s v="discount not allowed"/>
    <s v="DISCOUNT NOT ALLOWED"/>
    <s v="Discount Not Allowed"/>
    <s v="03/01/23"/>
  </r>
  <r>
    <s v="TXN_2266101"/>
    <s v="CUST_15"/>
    <x v="7"/>
    <x v="45"/>
    <x v="6"/>
    <x v="8"/>
    <n v="64"/>
    <x v="0"/>
    <x v="1"/>
    <x v="77"/>
    <x v="0"/>
    <s v="DISCOUNT NOT ALLOWED"/>
    <s v="discount not allowed"/>
    <s v="DISCOUNT NOT ALLOWED"/>
    <s v="Discount Not Allowed"/>
    <s v="29/01/24"/>
  </r>
  <r>
    <s v="TXN_2328957"/>
    <s v="CUST_11"/>
    <x v="6"/>
    <x v="49"/>
    <x v="6"/>
    <x v="8"/>
    <n v="64"/>
    <x v="0"/>
    <x v="0"/>
    <x v="445"/>
    <x v="0"/>
    <s v="DISCOUNT NOT ALLOWED"/>
    <s v="discount not allowed"/>
    <s v="DISCOUNT NOT ALLOWED"/>
    <s v="Discount Not Allowed"/>
    <s v="02/10/23"/>
  </r>
  <r>
    <s v="TXN_2472483"/>
    <s v="CUST_21"/>
    <x v="5"/>
    <x v="48"/>
    <x v="6"/>
    <x v="8"/>
    <n v="64"/>
    <x v="2"/>
    <x v="0"/>
    <x v="870"/>
    <x v="1"/>
    <s v="DISCOUNT ALLOWED"/>
    <s v="discount allowed"/>
    <s v="DISCOUNT ALLOWED"/>
    <s v="Discount Allowed"/>
    <s v="18/09/22"/>
  </r>
  <r>
    <s v="TXN_2731981"/>
    <s v="CUST_05"/>
    <x v="3"/>
    <x v="177"/>
    <x v="22"/>
    <x v="2"/>
    <n v="64"/>
    <x v="2"/>
    <x v="0"/>
    <x v="432"/>
    <x v="1"/>
    <s v="DISCOUNT ALLOWED"/>
    <s v="discount allowed"/>
    <s v="DISCOUNT ALLOWED"/>
    <s v="Discount Allowed"/>
    <s v="06/10/24"/>
  </r>
  <r>
    <s v="TXN_2797985"/>
    <s v="CUST_21"/>
    <x v="5"/>
    <x v="48"/>
    <x v="6"/>
    <x v="8"/>
    <n v="64"/>
    <x v="0"/>
    <x v="1"/>
    <x v="388"/>
    <x v="1"/>
    <s v="DISCOUNT ALLOWED"/>
    <s v="discount allowed"/>
    <s v="DISCOUNT ALLOWED"/>
    <s v="Discount Allowed"/>
    <s v="23/01/23"/>
  </r>
  <r>
    <s v="TXN_3245407"/>
    <s v="CUST_16"/>
    <x v="0"/>
    <x v="179"/>
    <x v="22"/>
    <x v="2"/>
    <n v="64"/>
    <x v="0"/>
    <x v="1"/>
    <x v="369"/>
    <x v="1"/>
    <s v="DISCOUNT ALLOWED"/>
    <s v="discount allowed"/>
    <s v="DISCOUNT ALLOWED"/>
    <s v="Discount Allowed"/>
    <s v="05/10/23"/>
  </r>
  <r>
    <s v="TXN_3413079"/>
    <s v="CUST_23"/>
    <x v="1"/>
    <x v="50"/>
    <x v="6"/>
    <x v="8"/>
    <n v="64"/>
    <x v="1"/>
    <x v="0"/>
    <x v="354"/>
    <x v="1"/>
    <s v="DISCOUNT ALLOWED"/>
    <s v="discount allowed"/>
    <s v="DISCOUNT ALLOWED"/>
    <s v="Discount Allowed"/>
    <s v="02/05/23"/>
  </r>
  <r>
    <s v="TXN_3421464"/>
    <s v="CUST_07"/>
    <x v="0"/>
    <x v="179"/>
    <x v="22"/>
    <x v="2"/>
    <n v="64"/>
    <x v="0"/>
    <x v="0"/>
    <x v="491"/>
    <x v="1"/>
    <s v="DISCOUNT ALLOWED"/>
    <s v="discount allowed"/>
    <s v="DISCOUNT ALLOWED"/>
    <s v="Discount Allowed"/>
    <s v="01/01/23"/>
  </r>
  <r>
    <s v="TXN_3443251"/>
    <s v="CUST_10"/>
    <x v="2"/>
    <x v="178"/>
    <x v="22"/>
    <x v="2"/>
    <n v="64"/>
    <x v="0"/>
    <x v="0"/>
    <x v="1035"/>
    <x v="1"/>
    <s v="DISCOUNT ALLOWED"/>
    <s v="discount allowed"/>
    <s v="DISCOUNT ALLOWED"/>
    <s v="Discount Allowed"/>
    <s v="12/03/24"/>
  </r>
  <r>
    <s v="TXN_3518477"/>
    <s v="CUST_20"/>
    <x v="7"/>
    <x v="181"/>
    <x v="22"/>
    <x v="2"/>
    <n v="64"/>
    <x v="1"/>
    <x v="0"/>
    <x v="1102"/>
    <x v="0"/>
    <s v="DISCOUNT NOT ALLOWED"/>
    <s v="discount not allowed"/>
    <s v="DISCOUNT NOT ALLOWED"/>
    <s v="Discount Not Allowed"/>
    <s v="14/03/22"/>
  </r>
  <r>
    <s v="TXN_3816500"/>
    <s v="CUST_07"/>
    <x v="4"/>
    <x v="176"/>
    <x v="22"/>
    <x v="2"/>
    <n v="64"/>
    <x v="0"/>
    <x v="0"/>
    <x v="1064"/>
    <x v="1"/>
    <s v="DISCOUNT ALLOWED"/>
    <s v="discount allowed"/>
    <s v="DISCOUNT ALLOWED"/>
    <s v="Discount Allowed"/>
    <s v="16/02/22"/>
  </r>
  <r>
    <s v="TXN_4304514"/>
    <s v="CUST_10"/>
    <x v="2"/>
    <x v="178"/>
    <x v="22"/>
    <x v="2"/>
    <n v="64"/>
    <x v="1"/>
    <x v="0"/>
    <x v="295"/>
    <x v="0"/>
    <s v="DISCOUNT NOT ALLOWED"/>
    <s v="discount not allowed"/>
    <s v="DISCOUNT NOT ALLOWED"/>
    <s v="Discount Not Allowed"/>
    <s v="31/03/22"/>
  </r>
  <r>
    <s v="TXN_4332290"/>
    <s v="CUST_04"/>
    <x v="2"/>
    <x v="178"/>
    <x v="22"/>
    <x v="2"/>
    <n v="64"/>
    <x v="1"/>
    <x v="1"/>
    <x v="528"/>
    <x v="1"/>
    <s v="DISCOUNT ALLOWED"/>
    <s v="discount allowed"/>
    <s v="DISCOUNT ALLOWED"/>
    <s v="Discount Allowed"/>
    <s v="11/09/24"/>
  </r>
  <r>
    <s v="TXN_4363648"/>
    <s v="CUST_09"/>
    <x v="5"/>
    <x v="48"/>
    <x v="6"/>
    <x v="8"/>
    <n v="64"/>
    <x v="1"/>
    <x v="0"/>
    <x v="87"/>
    <x v="1"/>
    <s v="DISCOUNT ALLOWED"/>
    <s v="discount allowed"/>
    <s v="DISCOUNT ALLOWED"/>
    <s v="Discount Allowed"/>
    <s v="23/07/23"/>
  </r>
  <r>
    <s v="TXN_4639732"/>
    <s v="CUST_11"/>
    <x v="1"/>
    <x v="50"/>
    <x v="6"/>
    <x v="8"/>
    <n v="64"/>
    <x v="1"/>
    <x v="1"/>
    <x v="1021"/>
    <x v="0"/>
    <s v="DISCOUNT NOT ALLOWED"/>
    <s v="discount not allowed"/>
    <s v="DISCOUNT NOT ALLOWED"/>
    <s v="Discount Not Allowed"/>
    <s v="27/09/23"/>
  </r>
  <r>
    <s v="TXN_4675937"/>
    <s v="CUST_06"/>
    <x v="0"/>
    <x v="179"/>
    <x v="22"/>
    <x v="2"/>
    <n v="64"/>
    <x v="1"/>
    <x v="1"/>
    <x v="566"/>
    <x v="0"/>
    <s v="DISCOUNT NOT ALLOWED"/>
    <s v="discount not allowed"/>
    <s v="DISCOUNT NOT ALLOWED"/>
    <s v="Discount Not Allowed"/>
    <s v="16/11/24"/>
  </r>
  <r>
    <s v="TXN_5151843"/>
    <s v="CUST_16"/>
    <x v="2"/>
    <x v="85"/>
    <x v="6"/>
    <x v="8"/>
    <n v="64"/>
    <x v="1"/>
    <x v="0"/>
    <x v="935"/>
    <x v="1"/>
    <s v="DISCOUNT ALLOWED"/>
    <s v="discount allowed"/>
    <s v="DISCOUNT ALLOWED"/>
    <s v="Discount Allowed"/>
    <s v="09/02/23"/>
  </r>
  <r>
    <s v="TXN_5482525"/>
    <s v="CUST_08"/>
    <x v="0"/>
    <x v="179"/>
    <x v="22"/>
    <x v="2"/>
    <n v="64"/>
    <x v="2"/>
    <x v="0"/>
    <x v="359"/>
    <x v="1"/>
    <s v="DISCOUNT ALLOWED"/>
    <s v="discount allowed"/>
    <s v="DISCOUNT ALLOWED"/>
    <s v="Discount Allowed"/>
    <s v="09/08/22"/>
  </r>
  <r>
    <s v="TXN_5808902"/>
    <s v="CUST_08"/>
    <x v="7"/>
    <x v="181"/>
    <x v="22"/>
    <x v="2"/>
    <n v="64"/>
    <x v="0"/>
    <x v="1"/>
    <x v="759"/>
    <x v="1"/>
    <s v="DISCOUNT ALLOWED"/>
    <s v="discount allowed"/>
    <s v="DISCOUNT ALLOWED"/>
    <s v="Discount Allowed"/>
    <s v="08/05/24"/>
  </r>
  <r>
    <s v="TXN_5960646"/>
    <s v="CUST_21"/>
    <x v="1"/>
    <x v="180"/>
    <x v="22"/>
    <x v="2"/>
    <n v="64"/>
    <x v="0"/>
    <x v="0"/>
    <x v="429"/>
    <x v="1"/>
    <s v="DISCOUNT ALLOWED"/>
    <s v="discount allowed"/>
    <s v="DISCOUNT ALLOWED"/>
    <s v="Discount Allowed"/>
    <s v="18/03/24"/>
  </r>
  <r>
    <s v="TXN_6417585"/>
    <s v="CUST_05"/>
    <x v="5"/>
    <x v="48"/>
    <x v="6"/>
    <x v="8"/>
    <n v="64"/>
    <x v="1"/>
    <x v="1"/>
    <x v="991"/>
    <x v="1"/>
    <s v="DISCOUNT ALLOWED"/>
    <s v="discount allowed"/>
    <s v="DISCOUNT ALLOWED"/>
    <s v="Discount Allowed"/>
    <s v="08/02/23"/>
  </r>
  <r>
    <s v="TXN_6440331"/>
    <s v="CUST_17"/>
    <x v="0"/>
    <x v="47"/>
    <x v="6"/>
    <x v="8"/>
    <n v="64"/>
    <x v="2"/>
    <x v="1"/>
    <x v="295"/>
    <x v="1"/>
    <s v="DISCOUNT ALLOWED"/>
    <s v="discount allowed"/>
    <s v="DISCOUNT ALLOWED"/>
    <s v="Discount Allowed"/>
    <s v="31/03/22"/>
  </r>
  <r>
    <s v="TXN_6572288"/>
    <s v="CUST_09"/>
    <x v="3"/>
    <x v="177"/>
    <x v="22"/>
    <x v="2"/>
    <n v="64"/>
    <x v="2"/>
    <x v="1"/>
    <x v="700"/>
    <x v="1"/>
    <s v="DISCOUNT ALLOWED"/>
    <s v="discount allowed"/>
    <s v="DISCOUNT ALLOWED"/>
    <s v="Discount Allowed"/>
    <s v="01/03/23"/>
  </r>
  <r>
    <s v="TXN_6640803"/>
    <s v="CUST_17"/>
    <x v="7"/>
    <x v="181"/>
    <x v="22"/>
    <x v="2"/>
    <n v="64"/>
    <x v="0"/>
    <x v="0"/>
    <x v="867"/>
    <x v="1"/>
    <s v="DISCOUNT ALLOWED"/>
    <s v="discount allowed"/>
    <s v="DISCOUNT ALLOWED"/>
    <s v="Discount Allowed"/>
    <s v="09/09/22"/>
  </r>
  <r>
    <s v="TXN_6806342"/>
    <s v="CUST_02"/>
    <x v="2"/>
    <x v="178"/>
    <x v="22"/>
    <x v="2"/>
    <n v="64"/>
    <x v="0"/>
    <x v="1"/>
    <x v="246"/>
    <x v="1"/>
    <s v="DISCOUNT ALLOWED"/>
    <s v="discount allowed"/>
    <s v="DISCOUNT ALLOWED"/>
    <s v="Discount Allowed"/>
    <s v="13/08/22"/>
  </r>
  <r>
    <s v="TXN_6865387"/>
    <s v="CUST_09"/>
    <x v="6"/>
    <x v="182"/>
    <x v="22"/>
    <x v="2"/>
    <n v="64"/>
    <x v="2"/>
    <x v="0"/>
    <x v="159"/>
    <x v="1"/>
    <s v="DISCOUNT ALLOWED"/>
    <s v="discount allowed"/>
    <s v="DISCOUNT ALLOWED"/>
    <s v="Discount Allowed"/>
    <s v="07/12/22"/>
  </r>
  <r>
    <s v="TXN_6989369"/>
    <s v="CUST_12"/>
    <x v="5"/>
    <x v="48"/>
    <x v="6"/>
    <x v="8"/>
    <n v="64"/>
    <x v="0"/>
    <x v="1"/>
    <x v="167"/>
    <x v="0"/>
    <s v="DISCOUNT NOT ALLOWED"/>
    <s v="discount not allowed"/>
    <s v="DISCOUNT NOT ALLOWED"/>
    <s v="Discount Not Allowed"/>
    <s v="16/04/22"/>
  </r>
  <r>
    <s v="TXN_7166728"/>
    <s v="CUST_18"/>
    <x v="6"/>
    <x v="182"/>
    <x v="22"/>
    <x v="2"/>
    <n v="64"/>
    <x v="2"/>
    <x v="0"/>
    <x v="882"/>
    <x v="1"/>
    <s v="DISCOUNT ALLOWED"/>
    <s v="discount allowed"/>
    <s v="DISCOUNT ALLOWED"/>
    <s v="Discount Allowed"/>
    <s v="27/07/23"/>
  </r>
  <r>
    <s v="TXN_7473324"/>
    <s v="CUST_16"/>
    <x v="0"/>
    <x v="47"/>
    <x v="6"/>
    <x v="8"/>
    <n v="64"/>
    <x v="1"/>
    <x v="0"/>
    <x v="1092"/>
    <x v="1"/>
    <s v="DISCOUNT ALLOWED"/>
    <s v="discount allowed"/>
    <s v="DISCOUNT ALLOWED"/>
    <s v="Discount Allowed"/>
    <s v="05/02/22"/>
  </r>
  <r>
    <s v="TXN_7530536"/>
    <s v="CUST_07"/>
    <x v="0"/>
    <x v="179"/>
    <x v="22"/>
    <x v="2"/>
    <n v="64"/>
    <x v="2"/>
    <x v="1"/>
    <x v="170"/>
    <x v="1"/>
    <s v="DISCOUNT ALLOWED"/>
    <s v="discount allowed"/>
    <s v="DISCOUNT ALLOWED"/>
    <s v="Discount Allowed"/>
    <s v="10/05/24"/>
  </r>
  <r>
    <s v="TXN_8489525"/>
    <s v="CUST_12"/>
    <x v="6"/>
    <x v="49"/>
    <x v="6"/>
    <x v="8"/>
    <n v="64"/>
    <x v="2"/>
    <x v="1"/>
    <x v="672"/>
    <x v="1"/>
    <s v="DISCOUNT ALLOWED"/>
    <s v="discount allowed"/>
    <s v="DISCOUNT ALLOWED"/>
    <s v="Discount Allowed"/>
    <s v="20/09/23"/>
  </r>
  <r>
    <s v="TXN_8931910"/>
    <s v="CUST_15"/>
    <x v="6"/>
    <x v="49"/>
    <x v="6"/>
    <x v="8"/>
    <n v="64"/>
    <x v="0"/>
    <x v="1"/>
    <x v="1029"/>
    <x v="0"/>
    <s v="DISCOUNT NOT ALLOWED"/>
    <s v="discount not allowed"/>
    <s v="DISCOUNT NOT ALLOWED"/>
    <s v="Discount Not Allowed"/>
    <s v="03/01/24"/>
  </r>
  <r>
    <s v="TXN_9008414"/>
    <s v="CUST_23"/>
    <x v="5"/>
    <x v="48"/>
    <x v="6"/>
    <x v="8"/>
    <n v="64"/>
    <x v="1"/>
    <x v="0"/>
    <x v="109"/>
    <x v="1"/>
    <s v="DISCOUNT ALLOWED"/>
    <s v="discount allowed"/>
    <s v="DISCOUNT ALLOWED"/>
    <s v="Discount Allowed"/>
    <s v="05/06/22"/>
  </r>
  <r>
    <s v="TXN_9013941"/>
    <s v="CUST_22"/>
    <x v="0"/>
    <x v="47"/>
    <x v="6"/>
    <x v="8"/>
    <n v="64"/>
    <x v="1"/>
    <x v="0"/>
    <x v="879"/>
    <x v="1"/>
    <s v="DISCOUNT ALLOWED"/>
    <s v="discount allowed"/>
    <s v="DISCOUNT ALLOWED"/>
    <s v="Discount Allowed"/>
    <s v="12/07/22"/>
  </r>
  <r>
    <s v="TXN_9024860"/>
    <s v="CUST_04"/>
    <x v="6"/>
    <x v="49"/>
    <x v="6"/>
    <x v="8"/>
    <n v="64"/>
    <x v="0"/>
    <x v="0"/>
    <x v="955"/>
    <x v="1"/>
    <s v="DISCOUNT ALLOWED"/>
    <s v="discount allowed"/>
    <s v="DISCOUNT ALLOWED"/>
    <s v="Discount Allowed"/>
    <s v="21/12/24"/>
  </r>
  <r>
    <s v="TXN_9463303"/>
    <s v="CUST_25"/>
    <x v="6"/>
    <x v="49"/>
    <x v="6"/>
    <x v="8"/>
    <n v="64"/>
    <x v="1"/>
    <x v="0"/>
    <x v="1003"/>
    <x v="1"/>
    <s v="DISCOUNT ALLOWED"/>
    <s v="discount allowed"/>
    <s v="DISCOUNT ALLOWED"/>
    <s v="Discount Allowed"/>
    <s v="09/09/24"/>
  </r>
  <r>
    <s v="TXN_9592651"/>
    <s v="CUST_08"/>
    <x v="5"/>
    <x v="48"/>
    <x v="6"/>
    <x v="8"/>
    <n v="64"/>
    <x v="1"/>
    <x v="1"/>
    <x v="979"/>
    <x v="1"/>
    <s v="DISCOUNT ALLOWED"/>
    <s v="discount allowed"/>
    <s v="DISCOUNT ALLOWED"/>
    <s v="Discount Allowed"/>
    <s v="11/01/24"/>
  </r>
  <r>
    <s v="TXN_9727406"/>
    <s v="CUST_06"/>
    <x v="0"/>
    <x v="179"/>
    <x v="22"/>
    <x v="2"/>
    <n v="64"/>
    <x v="0"/>
    <x v="1"/>
    <x v="487"/>
    <x v="1"/>
    <s v="DISCOUNT ALLOWED"/>
    <s v="discount allowed"/>
    <s v="DISCOUNT ALLOWED"/>
    <s v="Discount Allowed"/>
    <s v="06/02/22"/>
  </r>
  <r>
    <s v="TXN_9749789"/>
    <s v="CUST_18"/>
    <x v="0"/>
    <x v="47"/>
    <x v="6"/>
    <x v="8"/>
    <n v="64"/>
    <x v="2"/>
    <x v="1"/>
    <x v="307"/>
    <x v="0"/>
    <s v="DISCOUNT NOT ALLOWED"/>
    <s v="discount not allowed"/>
    <s v="DISCOUNT NOT ALLOWED"/>
    <s v="Discount Not Allowed"/>
    <s v="10/12/24"/>
  </r>
  <r>
    <s v="TXN_9754957"/>
    <s v="CUST_21"/>
    <x v="6"/>
    <x v="49"/>
    <x v="6"/>
    <x v="8"/>
    <n v="64"/>
    <x v="1"/>
    <x v="0"/>
    <x v="380"/>
    <x v="0"/>
    <s v="DISCOUNT NOT ALLOWED"/>
    <s v="discount not allowed"/>
    <s v="DISCOUNT NOT ALLOWED"/>
    <s v="Discount Not Allowed"/>
    <s v="20/07/24"/>
  </r>
  <r>
    <s v="TXN_9960444"/>
    <s v="CUST_05"/>
    <x v="1"/>
    <x v="50"/>
    <x v="6"/>
    <x v="8"/>
    <n v="64"/>
    <x v="2"/>
    <x v="1"/>
    <x v="352"/>
    <x v="0"/>
    <s v="DISCOUNT NOT ALLOWED"/>
    <s v="discount not allowed"/>
    <s v="DISCOUNT NOT ALLOWED"/>
    <s v="Discount Not Allowed"/>
    <s v="11/03/24"/>
  </r>
  <r>
    <s v="TXN_1122145"/>
    <s v="CUST_06"/>
    <x v="5"/>
    <x v="159"/>
    <x v="19"/>
    <x v="5"/>
    <n v="62.5"/>
    <x v="0"/>
    <x v="1"/>
    <x v="323"/>
    <x v="0"/>
    <s v="DISCOUNT NOT ALLOWED"/>
    <s v="discount not allowed"/>
    <s v="DISCOUNT NOT ALLOWED"/>
    <s v="Discount Not Allowed"/>
    <s v="14/11/22"/>
  </r>
  <r>
    <s v="TXN_1224414"/>
    <s v="CUST_15"/>
    <x v="2"/>
    <x v="158"/>
    <x v="19"/>
    <x v="5"/>
    <n v="62.5"/>
    <x v="0"/>
    <x v="0"/>
    <x v="669"/>
    <x v="1"/>
    <s v="DISCOUNT ALLOWED"/>
    <s v="discount allowed"/>
    <s v="DISCOUNT ALLOWED"/>
    <s v="Discount Allowed"/>
    <s v="23/01/22"/>
  </r>
  <r>
    <s v="TXN_1884089"/>
    <s v="CUST_14"/>
    <x v="3"/>
    <x v="157"/>
    <x v="19"/>
    <x v="5"/>
    <n v="62.5"/>
    <x v="0"/>
    <x v="1"/>
    <x v="570"/>
    <x v="0"/>
    <s v="DISCOUNT NOT ALLOWED"/>
    <s v="discount not allowed"/>
    <s v="DISCOUNT NOT ALLOWED"/>
    <s v="Discount Not Allowed"/>
    <s v="03/01/25"/>
  </r>
  <r>
    <s v="TXN_2070726"/>
    <s v="CUST_22"/>
    <x v="0"/>
    <x v="154"/>
    <x v="19"/>
    <x v="5"/>
    <n v="62.5"/>
    <x v="0"/>
    <x v="1"/>
    <x v="184"/>
    <x v="0"/>
    <s v="DISCOUNT NOT ALLOWED"/>
    <s v="discount not allowed"/>
    <s v="DISCOUNT NOT ALLOWED"/>
    <s v="Discount Not Allowed"/>
    <s v="01/01/22"/>
  </r>
  <r>
    <s v="TXN_2073385"/>
    <s v="CUST_17"/>
    <x v="2"/>
    <x v="158"/>
    <x v="19"/>
    <x v="5"/>
    <n v="62.5"/>
    <x v="0"/>
    <x v="1"/>
    <x v="201"/>
    <x v="0"/>
    <s v="DISCOUNT NOT ALLOWED"/>
    <s v="discount not allowed"/>
    <s v="DISCOUNT NOT ALLOWED"/>
    <s v="Discount Not Allowed"/>
    <s v="25/04/23"/>
  </r>
  <r>
    <s v="TXN_2086962"/>
    <s v="CUST_13"/>
    <x v="4"/>
    <x v="155"/>
    <x v="19"/>
    <x v="5"/>
    <n v="62.5"/>
    <x v="2"/>
    <x v="1"/>
    <x v="988"/>
    <x v="0"/>
    <s v="DISCOUNT NOT ALLOWED"/>
    <s v="discount not allowed"/>
    <s v="DISCOUNT NOT ALLOWED"/>
    <s v="Discount Not Allowed"/>
    <s v="06/04/22"/>
  </r>
  <r>
    <s v="TXN_2408868"/>
    <s v="CUST_02"/>
    <x v="2"/>
    <x v="158"/>
    <x v="19"/>
    <x v="5"/>
    <n v="62.5"/>
    <x v="0"/>
    <x v="0"/>
    <x v="1033"/>
    <x v="1"/>
    <s v="DISCOUNT ALLOWED"/>
    <s v="discount allowed"/>
    <s v="DISCOUNT ALLOWED"/>
    <s v="Discount Allowed"/>
    <s v="16/05/23"/>
  </r>
  <r>
    <s v="TXN_2761217"/>
    <s v="CUST_14"/>
    <x v="1"/>
    <x v="156"/>
    <x v="19"/>
    <x v="5"/>
    <n v="62.5"/>
    <x v="1"/>
    <x v="1"/>
    <x v="698"/>
    <x v="1"/>
    <s v="DISCOUNT ALLOWED"/>
    <s v="discount allowed"/>
    <s v="DISCOUNT ALLOWED"/>
    <s v="Discount Allowed"/>
    <s v="30/01/23"/>
  </r>
  <r>
    <s v="TXN_2777924"/>
    <s v="CUST_17"/>
    <x v="0"/>
    <x v="154"/>
    <x v="19"/>
    <x v="5"/>
    <n v="62.5"/>
    <x v="1"/>
    <x v="1"/>
    <x v="939"/>
    <x v="1"/>
    <s v="DISCOUNT ALLOWED"/>
    <s v="discount allowed"/>
    <s v="DISCOUNT ALLOWED"/>
    <s v="Discount Allowed"/>
    <s v="26/10/24"/>
  </r>
  <r>
    <s v="TXN_3243189"/>
    <s v="CUST_01"/>
    <x v="0"/>
    <x v="154"/>
    <x v="19"/>
    <x v="5"/>
    <n v="62.5"/>
    <x v="1"/>
    <x v="0"/>
    <x v="887"/>
    <x v="0"/>
    <s v="DISCOUNT NOT ALLOWED"/>
    <s v="discount not allowed"/>
    <s v="DISCOUNT NOT ALLOWED"/>
    <s v="Discount Not Allowed"/>
    <s v="03/04/22"/>
  </r>
  <r>
    <s v="TXN_3249079"/>
    <s v="CUST_01"/>
    <x v="3"/>
    <x v="157"/>
    <x v="19"/>
    <x v="5"/>
    <n v="62.5"/>
    <x v="0"/>
    <x v="0"/>
    <x v="797"/>
    <x v="0"/>
    <s v="DISCOUNT NOT ALLOWED"/>
    <s v="discount not allowed"/>
    <s v="DISCOUNT NOT ALLOWED"/>
    <s v="Discount Not Allowed"/>
    <s v="24/01/22"/>
  </r>
  <r>
    <s v="TXN_3320709"/>
    <s v="CUST_10"/>
    <x v="5"/>
    <x v="159"/>
    <x v="19"/>
    <x v="5"/>
    <n v="62.5"/>
    <x v="1"/>
    <x v="0"/>
    <x v="142"/>
    <x v="0"/>
    <s v="DISCOUNT NOT ALLOWED"/>
    <s v="discount not allowed"/>
    <s v="DISCOUNT NOT ALLOWED"/>
    <s v="Discount Not Allowed"/>
    <s v="02/08/24"/>
  </r>
  <r>
    <s v="TXN_3380295"/>
    <s v="CUST_08"/>
    <x v="1"/>
    <x v="156"/>
    <x v="19"/>
    <x v="5"/>
    <n v="62.5"/>
    <x v="1"/>
    <x v="0"/>
    <x v="991"/>
    <x v="0"/>
    <s v="DISCOUNT NOT ALLOWED"/>
    <s v="discount not allowed"/>
    <s v="DISCOUNT NOT ALLOWED"/>
    <s v="Discount Not Allowed"/>
    <s v="08/02/23"/>
  </r>
  <r>
    <s v="TXN_3387043"/>
    <s v="CUST_16"/>
    <x v="6"/>
    <x v="152"/>
    <x v="19"/>
    <x v="5"/>
    <n v="62.5"/>
    <x v="2"/>
    <x v="0"/>
    <x v="942"/>
    <x v="0"/>
    <s v="DISCOUNT NOT ALLOWED"/>
    <s v="discount not allowed"/>
    <s v="DISCOUNT NOT ALLOWED"/>
    <s v="Discount Not Allowed"/>
    <s v="05/08/23"/>
  </r>
  <r>
    <s v="TXN_3599175"/>
    <s v="CUST_06"/>
    <x v="7"/>
    <x v="153"/>
    <x v="19"/>
    <x v="5"/>
    <n v="62.5"/>
    <x v="1"/>
    <x v="1"/>
    <x v="64"/>
    <x v="0"/>
    <s v="DISCOUNT NOT ALLOWED"/>
    <s v="discount not allowed"/>
    <s v="DISCOUNT NOT ALLOWED"/>
    <s v="Discount Not Allowed"/>
    <s v="09/03/24"/>
  </r>
  <r>
    <s v="TXN_3603189"/>
    <s v="CUST_03"/>
    <x v="4"/>
    <x v="155"/>
    <x v="19"/>
    <x v="5"/>
    <n v="62.5"/>
    <x v="0"/>
    <x v="0"/>
    <x v="329"/>
    <x v="0"/>
    <s v="DISCOUNT NOT ALLOWED"/>
    <s v="discount not allowed"/>
    <s v="DISCOUNT NOT ALLOWED"/>
    <s v="Discount Not Allowed"/>
    <s v="02/03/22"/>
  </r>
  <r>
    <s v="TXN_3643735"/>
    <s v="CUST_21"/>
    <x v="4"/>
    <x v="155"/>
    <x v="19"/>
    <x v="5"/>
    <n v="62.5"/>
    <x v="2"/>
    <x v="0"/>
    <x v="370"/>
    <x v="0"/>
    <s v="DISCOUNT NOT ALLOWED"/>
    <s v="discount not allowed"/>
    <s v="DISCOUNT NOT ALLOWED"/>
    <s v="Discount Not Allowed"/>
    <s v="14/01/25"/>
  </r>
  <r>
    <s v="TXN_4058445"/>
    <s v="CUST_17"/>
    <x v="5"/>
    <x v="159"/>
    <x v="19"/>
    <x v="5"/>
    <n v="62.5"/>
    <x v="1"/>
    <x v="1"/>
    <x v="971"/>
    <x v="0"/>
    <s v="DISCOUNT NOT ALLOWED"/>
    <s v="discount not allowed"/>
    <s v="DISCOUNT NOT ALLOWED"/>
    <s v="Discount Not Allowed"/>
    <s v="04/08/22"/>
  </r>
  <r>
    <s v="TXN_4114856"/>
    <s v="CUST_09"/>
    <x v="2"/>
    <x v="158"/>
    <x v="19"/>
    <x v="5"/>
    <n v="62.5"/>
    <x v="2"/>
    <x v="1"/>
    <x v="922"/>
    <x v="0"/>
    <s v="DISCOUNT NOT ALLOWED"/>
    <s v="discount not allowed"/>
    <s v="DISCOUNT NOT ALLOWED"/>
    <s v="Discount Not Allowed"/>
    <s v="06/02/24"/>
  </r>
  <r>
    <s v="TXN_4325085"/>
    <s v="CUST_03"/>
    <x v="6"/>
    <x v="152"/>
    <x v="19"/>
    <x v="5"/>
    <n v="62.5"/>
    <x v="2"/>
    <x v="0"/>
    <x v="620"/>
    <x v="1"/>
    <s v="DISCOUNT ALLOWED"/>
    <s v="discount allowed"/>
    <s v="DISCOUNT ALLOWED"/>
    <s v="Discount Allowed"/>
    <s v="19/09/23"/>
  </r>
  <r>
    <s v="TXN_4393198"/>
    <s v="CUST_05"/>
    <x v="5"/>
    <x v="159"/>
    <x v="19"/>
    <x v="5"/>
    <n v="62.5"/>
    <x v="1"/>
    <x v="0"/>
    <x v="606"/>
    <x v="0"/>
    <s v="DISCOUNT NOT ALLOWED"/>
    <s v="discount not allowed"/>
    <s v="DISCOUNT NOT ALLOWED"/>
    <s v="Discount Not Allowed"/>
    <s v="02/08/23"/>
  </r>
  <r>
    <s v="TXN_4398511"/>
    <s v="CUST_07"/>
    <x v="2"/>
    <x v="158"/>
    <x v="19"/>
    <x v="5"/>
    <n v="62.5"/>
    <x v="1"/>
    <x v="1"/>
    <x v="427"/>
    <x v="0"/>
    <s v="DISCOUNT NOT ALLOWED"/>
    <s v="discount not allowed"/>
    <s v="DISCOUNT NOT ALLOWED"/>
    <s v="Discount Not Allowed"/>
    <s v="20/02/22"/>
  </r>
  <r>
    <s v="TXN_4851926"/>
    <s v="CUST_05"/>
    <x v="2"/>
    <x v="158"/>
    <x v="19"/>
    <x v="5"/>
    <n v="62.5"/>
    <x v="1"/>
    <x v="1"/>
    <x v="948"/>
    <x v="0"/>
    <s v="DISCOUNT NOT ALLOWED"/>
    <s v="discount not allowed"/>
    <s v="DISCOUNT NOT ALLOWED"/>
    <s v="Discount Not Allowed"/>
    <s v="04/12/22"/>
  </r>
  <r>
    <s v="TXN_5321918"/>
    <s v="CUST_24"/>
    <x v="2"/>
    <x v="158"/>
    <x v="19"/>
    <x v="5"/>
    <n v="62.5"/>
    <x v="2"/>
    <x v="1"/>
    <x v="214"/>
    <x v="0"/>
    <s v="DISCOUNT NOT ALLOWED"/>
    <s v="discount not allowed"/>
    <s v="DISCOUNT NOT ALLOWED"/>
    <s v="Discount Not Allowed"/>
    <s v="18/01/25"/>
  </r>
  <r>
    <s v="TXN_5786761"/>
    <s v="CUST_03"/>
    <x v="6"/>
    <x v="152"/>
    <x v="19"/>
    <x v="5"/>
    <n v="62.5"/>
    <x v="2"/>
    <x v="0"/>
    <x v="116"/>
    <x v="1"/>
    <s v="DISCOUNT ALLOWED"/>
    <s v="discount allowed"/>
    <s v="DISCOUNT ALLOWED"/>
    <s v="Discount Allowed"/>
    <s v="25/10/23"/>
  </r>
  <r>
    <s v="TXN_6012297"/>
    <s v="CUST_18"/>
    <x v="2"/>
    <x v="158"/>
    <x v="19"/>
    <x v="5"/>
    <n v="62.5"/>
    <x v="0"/>
    <x v="0"/>
    <x v="623"/>
    <x v="0"/>
    <s v="DISCOUNT NOT ALLOWED"/>
    <s v="discount not allowed"/>
    <s v="DISCOUNT NOT ALLOWED"/>
    <s v="Discount Not Allowed"/>
    <s v="26/08/24"/>
  </r>
  <r>
    <s v="TXN_6546571"/>
    <s v="CUST_09"/>
    <x v="3"/>
    <x v="157"/>
    <x v="19"/>
    <x v="5"/>
    <n v="62.5"/>
    <x v="0"/>
    <x v="0"/>
    <x v="811"/>
    <x v="1"/>
    <s v="DISCOUNT ALLOWED"/>
    <s v="discount allowed"/>
    <s v="DISCOUNT ALLOWED"/>
    <s v="Discount Allowed"/>
    <s v="28/07/23"/>
  </r>
  <r>
    <s v="TXN_7362256"/>
    <s v="CUST_15"/>
    <x v="4"/>
    <x v="155"/>
    <x v="19"/>
    <x v="5"/>
    <n v="62.5"/>
    <x v="0"/>
    <x v="1"/>
    <x v="654"/>
    <x v="1"/>
    <s v="DISCOUNT ALLOWED"/>
    <s v="discount allowed"/>
    <s v="DISCOUNT ALLOWED"/>
    <s v="Discount Allowed"/>
    <s v="10/06/22"/>
  </r>
  <r>
    <s v="TXN_7852936"/>
    <s v="CUST_01"/>
    <x v="7"/>
    <x v="153"/>
    <x v="19"/>
    <x v="5"/>
    <n v="62.5"/>
    <x v="0"/>
    <x v="1"/>
    <x v="681"/>
    <x v="0"/>
    <s v="DISCOUNT NOT ALLOWED"/>
    <s v="discount not allowed"/>
    <s v="DISCOUNT NOT ALLOWED"/>
    <s v="Discount Not Allowed"/>
    <s v="14/12/22"/>
  </r>
  <r>
    <s v="TXN_9016705"/>
    <s v="CUST_25"/>
    <x v="7"/>
    <x v="153"/>
    <x v="19"/>
    <x v="5"/>
    <n v="62.5"/>
    <x v="0"/>
    <x v="1"/>
    <x v="838"/>
    <x v="1"/>
    <s v="DISCOUNT ALLOWED"/>
    <s v="discount allowed"/>
    <s v="DISCOUNT ALLOWED"/>
    <s v="Discount Allowed"/>
    <s v="24/10/22"/>
  </r>
  <r>
    <s v="TXN_9388162"/>
    <s v="CUST_25"/>
    <x v="5"/>
    <x v="159"/>
    <x v="19"/>
    <x v="5"/>
    <n v="62.5"/>
    <x v="2"/>
    <x v="1"/>
    <x v="571"/>
    <x v="1"/>
    <s v="DISCOUNT ALLOWED"/>
    <s v="discount allowed"/>
    <s v="DISCOUNT ALLOWED"/>
    <s v="Discount Allowed"/>
    <s v="01/08/23"/>
  </r>
  <r>
    <s v="TXN_9629561"/>
    <s v="CUST_11"/>
    <x v="5"/>
    <x v="159"/>
    <x v="19"/>
    <x v="5"/>
    <n v="62.5"/>
    <x v="1"/>
    <x v="1"/>
    <x v="748"/>
    <x v="0"/>
    <s v="DISCOUNT NOT ALLOWED"/>
    <s v="discount not allowed"/>
    <s v="DISCOUNT NOT ALLOWED"/>
    <s v="Discount Not Allowed"/>
    <s v="21/06/23"/>
  </r>
  <r>
    <s v="TXN_9929027"/>
    <s v="CUST_14"/>
    <x v="4"/>
    <x v="155"/>
    <x v="19"/>
    <x v="5"/>
    <n v="62.5"/>
    <x v="1"/>
    <x v="1"/>
    <x v="70"/>
    <x v="0"/>
    <s v="DISCOUNT NOT ALLOWED"/>
    <s v="discount not allowed"/>
    <s v="DISCOUNT NOT ALLOWED"/>
    <s v="Discount Not Allowed"/>
    <s v="18/06/24"/>
  </r>
  <r>
    <s v="TXN_1170545"/>
    <s v="CUST_19"/>
    <x v="5"/>
    <x v="138"/>
    <x v="17"/>
    <x v="6"/>
    <n v="62"/>
    <x v="2"/>
    <x v="0"/>
    <x v="963"/>
    <x v="1"/>
    <s v="DISCOUNT ALLOWED"/>
    <s v="discount allowed"/>
    <s v="DISCOUNT ALLOWED"/>
    <s v="Discount Allowed"/>
    <s v="27/11/23"/>
  </r>
  <r>
    <s v="TXN_1221709"/>
    <s v="CUST_12"/>
    <x v="7"/>
    <x v="137"/>
    <x v="17"/>
    <x v="6"/>
    <n v="62"/>
    <x v="1"/>
    <x v="0"/>
    <x v="856"/>
    <x v="0"/>
    <s v="DISCOUNT NOT ALLOWED"/>
    <s v="discount not allowed"/>
    <s v="DISCOUNT NOT ALLOWED"/>
    <s v="Discount Not Allowed"/>
    <s v="23/12/22"/>
  </r>
  <r>
    <s v="TXN_2029127"/>
    <s v="CUST_12"/>
    <x v="1"/>
    <x v="136"/>
    <x v="17"/>
    <x v="6"/>
    <n v="62"/>
    <x v="1"/>
    <x v="1"/>
    <x v="217"/>
    <x v="1"/>
    <s v="DISCOUNT ALLOWED"/>
    <s v="discount allowed"/>
    <s v="DISCOUNT ALLOWED"/>
    <s v="Discount Allowed"/>
    <s v="12/01/24"/>
  </r>
  <r>
    <s v="TXN_2210332"/>
    <s v="CUST_23"/>
    <x v="4"/>
    <x v="141"/>
    <x v="17"/>
    <x v="6"/>
    <n v="62"/>
    <x v="0"/>
    <x v="1"/>
    <x v="144"/>
    <x v="1"/>
    <s v="DISCOUNT ALLOWED"/>
    <s v="discount allowed"/>
    <s v="DISCOUNT ALLOWED"/>
    <s v="Discount Allowed"/>
    <s v="08/11/24"/>
  </r>
  <r>
    <s v="TXN_2270219"/>
    <s v="CUST_19"/>
    <x v="0"/>
    <x v="139"/>
    <x v="17"/>
    <x v="6"/>
    <n v="62"/>
    <x v="1"/>
    <x v="1"/>
    <x v="953"/>
    <x v="1"/>
    <s v="DISCOUNT ALLOWED"/>
    <s v="discount allowed"/>
    <s v="DISCOUNT ALLOWED"/>
    <s v="Discount Allowed"/>
    <s v="25/01/23"/>
  </r>
  <r>
    <s v="TXN_3135262"/>
    <s v="CUST_02"/>
    <x v="7"/>
    <x v="137"/>
    <x v="17"/>
    <x v="6"/>
    <n v="62"/>
    <x v="2"/>
    <x v="0"/>
    <x v="225"/>
    <x v="0"/>
    <s v="DISCOUNT NOT ALLOWED"/>
    <s v="discount not allowed"/>
    <s v="DISCOUNT NOT ALLOWED"/>
    <s v="Discount Not Allowed"/>
    <s v="26/03/23"/>
  </r>
  <r>
    <s v="TXN_3208232"/>
    <s v="CUST_25"/>
    <x v="5"/>
    <x v="138"/>
    <x v="17"/>
    <x v="6"/>
    <n v="62"/>
    <x v="0"/>
    <x v="1"/>
    <x v="884"/>
    <x v="0"/>
    <s v="DISCOUNT NOT ALLOWED"/>
    <s v="discount not allowed"/>
    <s v="DISCOUNT NOT ALLOWED"/>
    <s v="Discount Not Allowed"/>
    <s v="13/01/24"/>
  </r>
  <r>
    <s v="TXN_3831310"/>
    <s v="CUST_22"/>
    <x v="7"/>
    <x v="137"/>
    <x v="17"/>
    <x v="6"/>
    <n v="62"/>
    <x v="2"/>
    <x v="0"/>
    <x v="913"/>
    <x v="0"/>
    <s v="DISCOUNT NOT ALLOWED"/>
    <s v="discount not allowed"/>
    <s v="DISCOUNT NOT ALLOWED"/>
    <s v="Discount Not Allowed"/>
    <s v="12/01/23"/>
  </r>
  <r>
    <s v="TXN_3839216"/>
    <s v="CUST_04"/>
    <x v="4"/>
    <x v="141"/>
    <x v="17"/>
    <x v="6"/>
    <n v="62"/>
    <x v="2"/>
    <x v="1"/>
    <x v="259"/>
    <x v="1"/>
    <s v="DISCOUNT ALLOWED"/>
    <s v="discount allowed"/>
    <s v="DISCOUNT ALLOWED"/>
    <s v="Discount Allowed"/>
    <s v="11/07/24"/>
  </r>
  <r>
    <s v="TXN_3923869"/>
    <s v="CUST_14"/>
    <x v="2"/>
    <x v="135"/>
    <x v="17"/>
    <x v="6"/>
    <n v="62"/>
    <x v="1"/>
    <x v="1"/>
    <x v="894"/>
    <x v="0"/>
    <s v="DISCOUNT NOT ALLOWED"/>
    <s v="discount not allowed"/>
    <s v="DISCOUNT NOT ALLOWED"/>
    <s v="Discount Not Allowed"/>
    <s v="30/08/22"/>
  </r>
  <r>
    <s v="TXN_4243232"/>
    <s v="CUST_01"/>
    <x v="7"/>
    <x v="137"/>
    <x v="17"/>
    <x v="6"/>
    <n v="62"/>
    <x v="1"/>
    <x v="0"/>
    <x v="218"/>
    <x v="0"/>
    <s v="DISCOUNT NOT ALLOWED"/>
    <s v="discount not allowed"/>
    <s v="DISCOUNT NOT ALLOWED"/>
    <s v="Discount Not Allowed"/>
    <s v="06/10/22"/>
  </r>
  <r>
    <s v="TXN_4392355"/>
    <s v="CUST_08"/>
    <x v="7"/>
    <x v="137"/>
    <x v="17"/>
    <x v="6"/>
    <n v="62"/>
    <x v="2"/>
    <x v="0"/>
    <x v="881"/>
    <x v="0"/>
    <s v="DISCOUNT NOT ALLOWED"/>
    <s v="discount not allowed"/>
    <s v="DISCOUNT NOT ALLOWED"/>
    <s v="Discount Not Allowed"/>
    <s v="14/12/24"/>
  </r>
  <r>
    <s v="TXN_4644013"/>
    <s v="CUST_25"/>
    <x v="7"/>
    <x v="137"/>
    <x v="17"/>
    <x v="6"/>
    <n v="62"/>
    <x v="2"/>
    <x v="1"/>
    <x v="102"/>
    <x v="0"/>
    <s v="DISCOUNT NOT ALLOWED"/>
    <s v="discount not allowed"/>
    <s v="DISCOUNT NOT ALLOWED"/>
    <s v="Discount Not Allowed"/>
    <s v="31/03/23"/>
  </r>
  <r>
    <s v="TXN_4677874"/>
    <s v="CUST_16"/>
    <x v="0"/>
    <x v="139"/>
    <x v="17"/>
    <x v="6"/>
    <n v="62"/>
    <x v="0"/>
    <x v="1"/>
    <x v="960"/>
    <x v="1"/>
    <s v="DISCOUNT ALLOWED"/>
    <s v="discount allowed"/>
    <s v="DISCOUNT ALLOWED"/>
    <s v="Discount Allowed"/>
    <s v="25/11/22"/>
  </r>
  <r>
    <s v="TXN_4924226"/>
    <s v="CUST_05"/>
    <x v="1"/>
    <x v="136"/>
    <x v="17"/>
    <x v="6"/>
    <n v="62"/>
    <x v="1"/>
    <x v="1"/>
    <x v="1041"/>
    <x v="0"/>
    <s v="DISCOUNT NOT ALLOWED"/>
    <s v="discount not allowed"/>
    <s v="DISCOUNT NOT ALLOWED"/>
    <s v="Discount Not Allowed"/>
    <s v="06/03/23"/>
  </r>
  <r>
    <s v="TXN_5077047"/>
    <s v="CUST_05"/>
    <x v="0"/>
    <x v="139"/>
    <x v="17"/>
    <x v="6"/>
    <n v="62"/>
    <x v="0"/>
    <x v="0"/>
    <x v="96"/>
    <x v="1"/>
    <s v="DISCOUNT ALLOWED"/>
    <s v="discount allowed"/>
    <s v="DISCOUNT ALLOWED"/>
    <s v="Discount Allowed"/>
    <s v="11/04/23"/>
  </r>
  <r>
    <s v="TXN_5395129"/>
    <s v="CUST_17"/>
    <x v="2"/>
    <x v="135"/>
    <x v="17"/>
    <x v="6"/>
    <n v="62"/>
    <x v="1"/>
    <x v="0"/>
    <x v="1022"/>
    <x v="0"/>
    <s v="DISCOUNT NOT ALLOWED"/>
    <s v="discount not allowed"/>
    <s v="DISCOUNT NOT ALLOWED"/>
    <s v="Discount Not Allowed"/>
    <s v="15/03/23"/>
  </r>
  <r>
    <s v="TXN_5510271"/>
    <s v="CUST_23"/>
    <x v="2"/>
    <x v="135"/>
    <x v="17"/>
    <x v="6"/>
    <n v="62"/>
    <x v="1"/>
    <x v="0"/>
    <x v="691"/>
    <x v="1"/>
    <s v="DISCOUNT ALLOWED"/>
    <s v="discount allowed"/>
    <s v="DISCOUNT ALLOWED"/>
    <s v="Discount Allowed"/>
    <s v="28/05/24"/>
  </r>
  <r>
    <s v="TXN_5571174"/>
    <s v="CUST_04"/>
    <x v="6"/>
    <x v="140"/>
    <x v="17"/>
    <x v="6"/>
    <n v="62"/>
    <x v="2"/>
    <x v="1"/>
    <x v="46"/>
    <x v="0"/>
    <s v="DISCOUNT NOT ALLOWED"/>
    <s v="discount not allowed"/>
    <s v="DISCOUNT NOT ALLOWED"/>
    <s v="Discount Not Allowed"/>
    <s v="24/04/24"/>
  </r>
  <r>
    <s v="TXN_5728167"/>
    <s v="CUST_07"/>
    <x v="7"/>
    <x v="137"/>
    <x v="17"/>
    <x v="6"/>
    <n v="62"/>
    <x v="1"/>
    <x v="0"/>
    <x v="348"/>
    <x v="0"/>
    <s v="DISCOUNT NOT ALLOWED"/>
    <s v="discount not allowed"/>
    <s v="DISCOUNT NOT ALLOWED"/>
    <s v="Discount Not Allowed"/>
    <s v="30/09/24"/>
  </r>
  <r>
    <s v="TXN_6078486"/>
    <s v="CUST_20"/>
    <x v="6"/>
    <x v="140"/>
    <x v="17"/>
    <x v="6"/>
    <n v="62"/>
    <x v="1"/>
    <x v="1"/>
    <x v="72"/>
    <x v="1"/>
    <s v="DISCOUNT ALLOWED"/>
    <s v="discount allowed"/>
    <s v="DISCOUNT ALLOWED"/>
    <s v="Discount Allowed"/>
    <s v="25/04/24"/>
  </r>
  <r>
    <s v="TXN_6179500"/>
    <s v="CUST_02"/>
    <x v="3"/>
    <x v="134"/>
    <x v="17"/>
    <x v="6"/>
    <n v="62"/>
    <x v="2"/>
    <x v="1"/>
    <x v="941"/>
    <x v="0"/>
    <s v="DISCOUNT NOT ALLOWED"/>
    <s v="discount not allowed"/>
    <s v="DISCOUNT NOT ALLOWED"/>
    <s v="Discount Not Allowed"/>
    <s v="15/06/22"/>
  </r>
  <r>
    <s v="TXN_6189225"/>
    <s v="CUST_09"/>
    <x v="0"/>
    <x v="139"/>
    <x v="17"/>
    <x v="6"/>
    <n v="62"/>
    <x v="0"/>
    <x v="1"/>
    <x v="154"/>
    <x v="1"/>
    <s v="DISCOUNT ALLOWED"/>
    <s v="discount allowed"/>
    <s v="DISCOUNT ALLOWED"/>
    <s v="Discount Allowed"/>
    <s v="04/06/23"/>
  </r>
  <r>
    <s v="TXN_6309225"/>
    <s v="CUST_07"/>
    <x v="5"/>
    <x v="138"/>
    <x v="17"/>
    <x v="6"/>
    <n v="62"/>
    <x v="0"/>
    <x v="0"/>
    <x v="1081"/>
    <x v="0"/>
    <s v="DISCOUNT NOT ALLOWED"/>
    <s v="discount not allowed"/>
    <s v="DISCOUNT NOT ALLOWED"/>
    <s v="Discount Not Allowed"/>
    <s v="15/08/23"/>
  </r>
  <r>
    <s v="TXN_6319342"/>
    <s v="CUST_23"/>
    <x v="7"/>
    <x v="137"/>
    <x v="17"/>
    <x v="6"/>
    <n v="62"/>
    <x v="2"/>
    <x v="0"/>
    <x v="486"/>
    <x v="1"/>
    <s v="DISCOUNT ALLOWED"/>
    <s v="discount allowed"/>
    <s v="DISCOUNT ALLOWED"/>
    <s v="Discount Allowed"/>
    <s v="21/10/22"/>
  </r>
  <r>
    <s v="TXN_7320060"/>
    <s v="CUST_06"/>
    <x v="4"/>
    <x v="141"/>
    <x v="17"/>
    <x v="6"/>
    <n v="62"/>
    <x v="1"/>
    <x v="0"/>
    <x v="987"/>
    <x v="0"/>
    <s v="DISCOUNT NOT ALLOWED"/>
    <s v="discount not allowed"/>
    <s v="DISCOUNT NOT ALLOWED"/>
    <s v="Discount Not Allowed"/>
    <s v="06/07/22"/>
  </r>
  <r>
    <s v="TXN_7540068"/>
    <s v="CUST_14"/>
    <x v="5"/>
    <x v="138"/>
    <x v="17"/>
    <x v="6"/>
    <n v="62"/>
    <x v="0"/>
    <x v="1"/>
    <x v="227"/>
    <x v="1"/>
    <s v="DISCOUNT ALLOWED"/>
    <s v="discount allowed"/>
    <s v="DISCOUNT ALLOWED"/>
    <s v="Discount Allowed"/>
    <s v="12/06/24"/>
  </r>
  <r>
    <s v="TXN_7591250"/>
    <s v="CUST_16"/>
    <x v="0"/>
    <x v="139"/>
    <x v="17"/>
    <x v="6"/>
    <n v="62"/>
    <x v="2"/>
    <x v="1"/>
    <x v="383"/>
    <x v="1"/>
    <s v="DISCOUNT ALLOWED"/>
    <s v="discount allowed"/>
    <s v="DISCOUNT ALLOWED"/>
    <s v="Discount Allowed"/>
    <s v="23/10/24"/>
  </r>
  <r>
    <s v="TXN_7634319"/>
    <s v="CUST_05"/>
    <x v="2"/>
    <x v="135"/>
    <x v="17"/>
    <x v="6"/>
    <n v="62"/>
    <x v="0"/>
    <x v="1"/>
    <x v="33"/>
    <x v="0"/>
    <s v="DISCOUNT NOT ALLOWED"/>
    <s v="discount not allowed"/>
    <s v="DISCOUNT NOT ALLOWED"/>
    <s v="Discount Not Allowed"/>
    <s v="10/10/23"/>
  </r>
  <r>
    <s v="TXN_7706309"/>
    <s v="CUST_08"/>
    <x v="1"/>
    <x v="136"/>
    <x v="17"/>
    <x v="6"/>
    <n v="62"/>
    <x v="0"/>
    <x v="0"/>
    <x v="346"/>
    <x v="1"/>
    <s v="DISCOUNT ALLOWED"/>
    <s v="discount allowed"/>
    <s v="DISCOUNT ALLOWED"/>
    <s v="Discount Allowed"/>
    <s v="06/06/22"/>
  </r>
  <r>
    <s v="TXN_7729843"/>
    <s v="CUST_23"/>
    <x v="7"/>
    <x v="137"/>
    <x v="17"/>
    <x v="6"/>
    <n v="62"/>
    <x v="1"/>
    <x v="0"/>
    <x v="136"/>
    <x v="1"/>
    <s v="DISCOUNT ALLOWED"/>
    <s v="discount allowed"/>
    <s v="DISCOUNT ALLOWED"/>
    <s v="Discount Allowed"/>
    <s v="07/07/22"/>
  </r>
  <r>
    <s v="TXN_7887194"/>
    <s v="CUST_11"/>
    <x v="0"/>
    <x v="139"/>
    <x v="17"/>
    <x v="6"/>
    <n v="62"/>
    <x v="1"/>
    <x v="0"/>
    <x v="1071"/>
    <x v="1"/>
    <s v="DISCOUNT ALLOWED"/>
    <s v="discount allowed"/>
    <s v="DISCOUNT ALLOWED"/>
    <s v="Discount Allowed"/>
    <s v="06/11/22"/>
  </r>
  <r>
    <s v="TXN_7949340"/>
    <s v="CUST_06"/>
    <x v="2"/>
    <x v="135"/>
    <x v="17"/>
    <x v="6"/>
    <n v="62"/>
    <x v="0"/>
    <x v="1"/>
    <x v="198"/>
    <x v="0"/>
    <s v="DISCOUNT NOT ALLOWED"/>
    <s v="discount not allowed"/>
    <s v="DISCOUNT NOT ALLOWED"/>
    <s v="Discount Not Allowed"/>
    <s v="04/11/23"/>
  </r>
  <r>
    <s v="TXN_8317660"/>
    <s v="CUST_20"/>
    <x v="0"/>
    <x v="139"/>
    <x v="17"/>
    <x v="6"/>
    <n v="62"/>
    <x v="2"/>
    <x v="0"/>
    <x v="87"/>
    <x v="0"/>
    <s v="DISCOUNT NOT ALLOWED"/>
    <s v="discount not allowed"/>
    <s v="DISCOUNT NOT ALLOWED"/>
    <s v="Discount Not Allowed"/>
    <s v="23/07/23"/>
  </r>
  <r>
    <s v="TXN_8697234"/>
    <s v="CUST_05"/>
    <x v="2"/>
    <x v="135"/>
    <x v="17"/>
    <x v="6"/>
    <n v="62"/>
    <x v="1"/>
    <x v="0"/>
    <x v="276"/>
    <x v="0"/>
    <s v="DISCOUNT NOT ALLOWED"/>
    <s v="discount not allowed"/>
    <s v="DISCOUNT NOT ALLOWED"/>
    <s v="Discount Not Allowed"/>
    <s v="27/02/23"/>
  </r>
  <r>
    <s v="TXN_8756781"/>
    <s v="CUST_11"/>
    <x v="2"/>
    <x v="135"/>
    <x v="17"/>
    <x v="6"/>
    <n v="62"/>
    <x v="2"/>
    <x v="0"/>
    <x v="944"/>
    <x v="0"/>
    <s v="DISCOUNT NOT ALLOWED"/>
    <s v="discount not allowed"/>
    <s v="DISCOUNT NOT ALLOWED"/>
    <s v="Discount Not Allowed"/>
    <s v="14/01/24"/>
  </r>
  <r>
    <s v="TXN_9249556"/>
    <s v="CUST_11"/>
    <x v="2"/>
    <x v="135"/>
    <x v="17"/>
    <x v="6"/>
    <n v="62"/>
    <x v="0"/>
    <x v="1"/>
    <x v="436"/>
    <x v="1"/>
    <s v="DISCOUNT ALLOWED"/>
    <s v="discount allowed"/>
    <s v="DISCOUNT ALLOWED"/>
    <s v="Discount Allowed"/>
    <s v="18/06/22"/>
  </r>
  <r>
    <s v="TXN_9493430"/>
    <s v="CUST_02"/>
    <x v="2"/>
    <x v="135"/>
    <x v="17"/>
    <x v="6"/>
    <n v="62"/>
    <x v="2"/>
    <x v="1"/>
    <x v="562"/>
    <x v="1"/>
    <s v="DISCOUNT ALLOWED"/>
    <s v="discount allowed"/>
    <s v="DISCOUNT ALLOWED"/>
    <s v="Discount Allowed"/>
    <s v="06/08/24"/>
  </r>
  <r>
    <s v="TXN_9938453"/>
    <s v="CUST_21"/>
    <x v="3"/>
    <x v="134"/>
    <x v="17"/>
    <x v="6"/>
    <n v="62"/>
    <x v="1"/>
    <x v="0"/>
    <x v="867"/>
    <x v="0"/>
    <s v="DISCOUNT NOT ALLOWED"/>
    <s v="discount not allowed"/>
    <s v="DISCOUNT NOT ALLOWED"/>
    <s v="Discount Not Allowed"/>
    <s v="09/09/22"/>
  </r>
  <r>
    <s v="TXN_1734171"/>
    <s v="CUST_04"/>
    <x v="2"/>
    <x v="56"/>
    <x v="7"/>
    <x v="8"/>
    <n v="61"/>
    <x v="1"/>
    <x v="1"/>
    <x v="418"/>
    <x v="1"/>
    <s v="DISCOUNT ALLOWED"/>
    <s v="discount allowed"/>
    <s v="DISCOUNT ALLOWED"/>
    <s v="Discount Allowed"/>
    <s v="29/09/24"/>
  </r>
  <r>
    <s v="TXN_2167451"/>
    <s v="CUST_23"/>
    <x v="0"/>
    <x v="57"/>
    <x v="7"/>
    <x v="8"/>
    <n v="61"/>
    <x v="2"/>
    <x v="1"/>
    <x v="792"/>
    <x v="0"/>
    <s v="DISCOUNT NOT ALLOWED"/>
    <s v="discount not allowed"/>
    <s v="DISCOUNT NOT ALLOWED"/>
    <s v="Discount Not Allowed"/>
    <s v="10/11/23"/>
  </r>
  <r>
    <s v="TXN_3747046"/>
    <s v="CUST_11"/>
    <x v="5"/>
    <x v="54"/>
    <x v="7"/>
    <x v="8"/>
    <n v="61"/>
    <x v="0"/>
    <x v="0"/>
    <x v="741"/>
    <x v="0"/>
    <s v="DISCOUNT NOT ALLOWED"/>
    <s v="discount not allowed"/>
    <s v="DISCOUNT NOT ALLOWED"/>
    <s v="Discount Not Allowed"/>
    <s v="22/11/22"/>
  </r>
  <r>
    <s v="TXN_3923323"/>
    <s v="CUST_09"/>
    <x v="0"/>
    <x v="57"/>
    <x v="7"/>
    <x v="8"/>
    <n v="61"/>
    <x v="1"/>
    <x v="0"/>
    <x v="185"/>
    <x v="1"/>
    <s v="DISCOUNT ALLOWED"/>
    <s v="discount allowed"/>
    <s v="DISCOUNT ALLOWED"/>
    <s v="Discount Allowed"/>
    <s v="08/08/24"/>
  </r>
  <r>
    <s v="TXN_4157444"/>
    <s v="CUST_13"/>
    <x v="5"/>
    <x v="54"/>
    <x v="7"/>
    <x v="8"/>
    <n v="61"/>
    <x v="1"/>
    <x v="1"/>
    <x v="723"/>
    <x v="0"/>
    <s v="DISCOUNT NOT ALLOWED"/>
    <s v="discount not allowed"/>
    <s v="DISCOUNT NOT ALLOWED"/>
    <s v="Discount Not Allowed"/>
    <s v="05/05/24"/>
  </r>
  <r>
    <s v="TXN_4322217"/>
    <s v="CUST_21"/>
    <x v="6"/>
    <x v="58"/>
    <x v="7"/>
    <x v="8"/>
    <n v="61"/>
    <x v="0"/>
    <x v="1"/>
    <x v="985"/>
    <x v="1"/>
    <s v="DISCOUNT ALLOWED"/>
    <s v="discount allowed"/>
    <s v="DISCOUNT ALLOWED"/>
    <s v="Discount Allowed"/>
    <s v="23/11/24"/>
  </r>
  <r>
    <s v="TXN_4905063"/>
    <s v="CUST_24"/>
    <x v="3"/>
    <x v="55"/>
    <x v="7"/>
    <x v="8"/>
    <n v="61"/>
    <x v="0"/>
    <x v="1"/>
    <x v="176"/>
    <x v="0"/>
    <s v="DISCOUNT NOT ALLOWED"/>
    <s v="discount not allowed"/>
    <s v="DISCOUNT NOT ALLOWED"/>
    <s v="Discount Not Allowed"/>
    <s v="01/02/24"/>
  </r>
  <r>
    <s v="TXN_5214483"/>
    <s v="CUST_22"/>
    <x v="6"/>
    <x v="58"/>
    <x v="7"/>
    <x v="8"/>
    <n v="61"/>
    <x v="2"/>
    <x v="1"/>
    <x v="743"/>
    <x v="1"/>
    <s v="DISCOUNT ALLOWED"/>
    <s v="discount allowed"/>
    <s v="DISCOUNT ALLOWED"/>
    <s v="Discount Allowed"/>
    <s v="03/07/22"/>
  </r>
  <r>
    <s v="TXN_5270554"/>
    <s v="CUST_16"/>
    <x v="5"/>
    <x v="54"/>
    <x v="7"/>
    <x v="8"/>
    <n v="61"/>
    <x v="1"/>
    <x v="1"/>
    <x v="857"/>
    <x v="0"/>
    <s v="DISCOUNT NOT ALLOWED"/>
    <s v="discount not allowed"/>
    <s v="DISCOUNT NOT ALLOWED"/>
    <s v="Discount Not Allowed"/>
    <s v="29/08/23"/>
  </r>
  <r>
    <s v="TXN_5786843"/>
    <s v="CUST_17"/>
    <x v="1"/>
    <x v="59"/>
    <x v="7"/>
    <x v="8"/>
    <n v="61"/>
    <x v="1"/>
    <x v="0"/>
    <x v="723"/>
    <x v="1"/>
    <s v="DISCOUNT ALLOWED"/>
    <s v="discount allowed"/>
    <s v="DISCOUNT ALLOWED"/>
    <s v="Discount Allowed"/>
    <s v="05/05/24"/>
  </r>
  <r>
    <s v="TXN_6102615"/>
    <s v="CUST_05"/>
    <x v="3"/>
    <x v="55"/>
    <x v="7"/>
    <x v="8"/>
    <n v="61"/>
    <x v="1"/>
    <x v="1"/>
    <x v="289"/>
    <x v="0"/>
    <s v="DISCOUNT NOT ALLOWED"/>
    <s v="discount not allowed"/>
    <s v="DISCOUNT NOT ALLOWED"/>
    <s v="Discount Not Allowed"/>
    <s v="04/03/22"/>
  </r>
  <r>
    <s v="TXN_6229786"/>
    <s v="CUST_04"/>
    <x v="4"/>
    <x v="53"/>
    <x v="7"/>
    <x v="8"/>
    <n v="61"/>
    <x v="1"/>
    <x v="1"/>
    <x v="910"/>
    <x v="0"/>
    <s v="DISCOUNT NOT ALLOWED"/>
    <s v="discount not allowed"/>
    <s v="DISCOUNT NOT ALLOWED"/>
    <s v="Discount Not Allowed"/>
    <s v="20/01/22"/>
  </r>
  <r>
    <s v="TXN_6476793"/>
    <s v="CUST_24"/>
    <x v="6"/>
    <x v="58"/>
    <x v="7"/>
    <x v="8"/>
    <n v="61"/>
    <x v="2"/>
    <x v="1"/>
    <x v="302"/>
    <x v="1"/>
    <s v="DISCOUNT ALLOWED"/>
    <s v="discount allowed"/>
    <s v="DISCOUNT ALLOWED"/>
    <s v="Discount Allowed"/>
    <s v="05/11/22"/>
  </r>
  <r>
    <s v="TXN_6545897"/>
    <s v="CUST_06"/>
    <x v="7"/>
    <x v="60"/>
    <x v="7"/>
    <x v="8"/>
    <n v="61"/>
    <x v="0"/>
    <x v="1"/>
    <x v="892"/>
    <x v="0"/>
    <s v="DISCOUNT NOT ALLOWED"/>
    <s v="discount not allowed"/>
    <s v="DISCOUNT NOT ALLOWED"/>
    <s v="Discount Not Allowed"/>
    <s v="07/01/22"/>
  </r>
  <r>
    <s v="TXN_8256175"/>
    <s v="CUST_07"/>
    <x v="6"/>
    <x v="58"/>
    <x v="7"/>
    <x v="8"/>
    <n v="61"/>
    <x v="2"/>
    <x v="0"/>
    <x v="660"/>
    <x v="0"/>
    <s v="DISCOUNT NOT ALLOWED"/>
    <s v="discount not allowed"/>
    <s v="DISCOUNT NOT ALLOWED"/>
    <s v="Discount Not Allowed"/>
    <s v="25/04/22"/>
  </r>
  <r>
    <s v="TXN_8283036"/>
    <s v="CUST_06"/>
    <x v="4"/>
    <x v="53"/>
    <x v="7"/>
    <x v="8"/>
    <n v="61"/>
    <x v="2"/>
    <x v="1"/>
    <x v="348"/>
    <x v="0"/>
    <s v="DISCOUNT NOT ALLOWED"/>
    <s v="discount not allowed"/>
    <s v="DISCOUNT NOT ALLOWED"/>
    <s v="Discount Not Allowed"/>
    <s v="30/09/24"/>
  </r>
  <r>
    <s v="TXN_8475452"/>
    <s v="CUST_17"/>
    <x v="5"/>
    <x v="54"/>
    <x v="7"/>
    <x v="8"/>
    <n v="61"/>
    <x v="2"/>
    <x v="1"/>
    <x v="156"/>
    <x v="0"/>
    <s v="DISCOUNT NOT ALLOWED"/>
    <s v="discount not allowed"/>
    <s v="DISCOUNT NOT ALLOWED"/>
    <s v="Discount Not Allowed"/>
    <s v="04/07/22"/>
  </r>
  <r>
    <s v="TXN_8869237"/>
    <s v="CUST_08"/>
    <x v="7"/>
    <x v="60"/>
    <x v="7"/>
    <x v="8"/>
    <n v="61"/>
    <x v="1"/>
    <x v="0"/>
    <x v="377"/>
    <x v="1"/>
    <s v="DISCOUNT ALLOWED"/>
    <s v="discount allowed"/>
    <s v="DISCOUNT ALLOWED"/>
    <s v="Discount Allowed"/>
    <s v="27/05/23"/>
  </r>
  <r>
    <s v="TXN_9741550"/>
    <s v="CUST_22"/>
    <x v="3"/>
    <x v="55"/>
    <x v="7"/>
    <x v="8"/>
    <n v="61"/>
    <x v="2"/>
    <x v="0"/>
    <x v="631"/>
    <x v="1"/>
    <s v="DISCOUNT ALLOWED"/>
    <s v="discount allowed"/>
    <s v="DISCOUNT ALLOWED"/>
    <s v="Discount Allowed"/>
    <s v="05/09/24"/>
  </r>
  <r>
    <s v="TXN_1076981"/>
    <s v="CUST_06"/>
    <x v="0"/>
    <x v="115"/>
    <x v="14"/>
    <x v="7"/>
    <n v="60"/>
    <x v="0"/>
    <x v="1"/>
    <x v="1036"/>
    <x v="1"/>
    <s v="DISCOUNT ALLOWED"/>
    <s v="discount allowed"/>
    <s v="DISCOUNT ALLOWED"/>
    <s v="Discount Allowed"/>
    <s v="11/11/23"/>
  </r>
  <r>
    <s v="TXN_1189571"/>
    <s v="CUST_08"/>
    <x v="4"/>
    <x v="109"/>
    <x v="14"/>
    <x v="7"/>
    <n v="60"/>
    <x v="2"/>
    <x v="0"/>
    <x v="900"/>
    <x v="1"/>
    <s v="DISCOUNT ALLOWED"/>
    <s v="discount allowed"/>
    <s v="DISCOUNT ALLOWED"/>
    <s v="Discount Allowed"/>
    <s v="06/11/23"/>
  </r>
  <r>
    <s v="TXN_1334483"/>
    <s v="CUST_17"/>
    <x v="6"/>
    <x v="112"/>
    <x v="14"/>
    <x v="7"/>
    <n v="60"/>
    <x v="1"/>
    <x v="0"/>
    <x v="544"/>
    <x v="0"/>
    <s v="DISCOUNT NOT ALLOWED"/>
    <s v="discount not allowed"/>
    <s v="DISCOUNT NOT ALLOWED"/>
    <s v="Discount Not Allowed"/>
    <s v="17/07/23"/>
  </r>
  <r>
    <s v="TXN_1547338"/>
    <s v="CUST_14"/>
    <x v="7"/>
    <x v="110"/>
    <x v="14"/>
    <x v="7"/>
    <n v="60"/>
    <x v="2"/>
    <x v="0"/>
    <x v="450"/>
    <x v="0"/>
    <s v="DISCOUNT NOT ALLOWED"/>
    <s v="discount not allowed"/>
    <s v="DISCOUNT NOT ALLOWED"/>
    <s v="Discount Not Allowed"/>
    <s v="21/03/23"/>
  </r>
  <r>
    <s v="TXN_1589489"/>
    <s v="CUST_01"/>
    <x v="2"/>
    <x v="113"/>
    <x v="14"/>
    <x v="7"/>
    <n v="60"/>
    <x v="0"/>
    <x v="1"/>
    <x v="752"/>
    <x v="0"/>
    <s v="DISCOUNT NOT ALLOWED"/>
    <s v="discount not allowed"/>
    <s v="DISCOUNT NOT ALLOWED"/>
    <s v="Discount Not Allowed"/>
    <s v="18/05/23"/>
  </r>
  <r>
    <s v="TXN_1848524"/>
    <s v="CUST_11"/>
    <x v="4"/>
    <x v="109"/>
    <x v="14"/>
    <x v="7"/>
    <n v="60"/>
    <x v="2"/>
    <x v="0"/>
    <x v="199"/>
    <x v="1"/>
    <s v="DISCOUNT ALLOWED"/>
    <s v="discount allowed"/>
    <s v="DISCOUNT ALLOWED"/>
    <s v="Discount Allowed"/>
    <s v="27/12/24"/>
  </r>
  <r>
    <s v="TXN_1987133"/>
    <s v="CUST_09"/>
    <x v="2"/>
    <x v="113"/>
    <x v="14"/>
    <x v="7"/>
    <n v="60"/>
    <x v="2"/>
    <x v="0"/>
    <x v="14"/>
    <x v="0"/>
    <s v="DISCOUNT NOT ALLOWED"/>
    <s v="discount not allowed"/>
    <s v="DISCOUNT NOT ALLOWED"/>
    <s v="Discount Not Allowed"/>
    <s v="07/06/22"/>
  </r>
  <r>
    <s v="TXN_2080604"/>
    <s v="CUST_23"/>
    <x v="6"/>
    <x v="112"/>
    <x v="14"/>
    <x v="7"/>
    <n v="60"/>
    <x v="0"/>
    <x v="0"/>
    <x v="70"/>
    <x v="0"/>
    <s v="DISCOUNT NOT ALLOWED"/>
    <s v="discount not allowed"/>
    <s v="DISCOUNT NOT ALLOWED"/>
    <s v="Discount Not Allowed"/>
    <s v="18/06/24"/>
  </r>
  <r>
    <s v="TXN_2254730"/>
    <s v="CUST_17"/>
    <x v="6"/>
    <x v="112"/>
    <x v="14"/>
    <x v="7"/>
    <n v="60"/>
    <x v="2"/>
    <x v="1"/>
    <x v="773"/>
    <x v="1"/>
    <s v="DISCOUNT ALLOWED"/>
    <s v="discount allowed"/>
    <s v="DISCOUNT ALLOWED"/>
    <s v="Discount Allowed"/>
    <s v="16/09/23"/>
  </r>
  <r>
    <s v="TXN_2536386"/>
    <s v="CUST_24"/>
    <x v="7"/>
    <x v="110"/>
    <x v="14"/>
    <x v="7"/>
    <n v="60"/>
    <x v="1"/>
    <x v="1"/>
    <x v="703"/>
    <x v="1"/>
    <s v="DISCOUNT ALLOWED"/>
    <s v="discount allowed"/>
    <s v="DISCOUNT ALLOWED"/>
    <s v="Discount Allowed"/>
    <s v="31/01/24"/>
  </r>
  <r>
    <s v="TXN_2833523"/>
    <s v="CUST_24"/>
    <x v="6"/>
    <x v="112"/>
    <x v="14"/>
    <x v="7"/>
    <n v="60"/>
    <x v="2"/>
    <x v="1"/>
    <x v="86"/>
    <x v="0"/>
    <s v="DISCOUNT NOT ALLOWED"/>
    <s v="discount not allowed"/>
    <s v="DISCOUNT NOT ALLOWED"/>
    <s v="Discount Not Allowed"/>
    <s v="30/04/23"/>
  </r>
  <r>
    <s v="TXN_3129688"/>
    <s v="CUST_10"/>
    <x v="7"/>
    <x v="110"/>
    <x v="14"/>
    <x v="7"/>
    <n v="60"/>
    <x v="2"/>
    <x v="1"/>
    <x v="188"/>
    <x v="0"/>
    <s v="DISCOUNT NOT ALLOWED"/>
    <s v="discount not allowed"/>
    <s v="DISCOUNT NOT ALLOWED"/>
    <s v="Discount Not Allowed"/>
    <s v="14/12/23"/>
  </r>
  <r>
    <s v="TXN_3528512"/>
    <s v="CUST_02"/>
    <x v="4"/>
    <x v="109"/>
    <x v="14"/>
    <x v="7"/>
    <n v="60"/>
    <x v="0"/>
    <x v="1"/>
    <x v="935"/>
    <x v="0"/>
    <s v="DISCOUNT NOT ALLOWED"/>
    <s v="discount not allowed"/>
    <s v="DISCOUNT NOT ALLOWED"/>
    <s v="Discount Not Allowed"/>
    <s v="09/02/23"/>
  </r>
  <r>
    <s v="TXN_3672693"/>
    <s v="CUST_07"/>
    <x v="4"/>
    <x v="109"/>
    <x v="14"/>
    <x v="7"/>
    <n v="60"/>
    <x v="1"/>
    <x v="1"/>
    <x v="259"/>
    <x v="1"/>
    <s v="DISCOUNT ALLOWED"/>
    <s v="discount allowed"/>
    <s v="DISCOUNT ALLOWED"/>
    <s v="Discount Allowed"/>
    <s v="11/07/24"/>
  </r>
  <r>
    <s v="TXN_3694588"/>
    <s v="CUST_11"/>
    <x v="7"/>
    <x v="110"/>
    <x v="14"/>
    <x v="7"/>
    <n v="60"/>
    <x v="2"/>
    <x v="1"/>
    <x v="729"/>
    <x v="1"/>
    <s v="DISCOUNT ALLOWED"/>
    <s v="discount allowed"/>
    <s v="DISCOUNT ALLOWED"/>
    <s v="Discount Allowed"/>
    <s v="07/12/24"/>
  </r>
  <r>
    <s v="TXN_3706741"/>
    <s v="CUST_06"/>
    <x v="4"/>
    <x v="109"/>
    <x v="14"/>
    <x v="7"/>
    <n v="60"/>
    <x v="1"/>
    <x v="0"/>
    <x v="994"/>
    <x v="1"/>
    <s v="DISCOUNT ALLOWED"/>
    <s v="discount allowed"/>
    <s v="DISCOUNT ALLOWED"/>
    <s v="Discount Allowed"/>
    <s v="10/03/24"/>
  </r>
  <r>
    <s v="TXN_3816125"/>
    <s v="CUST_13"/>
    <x v="7"/>
    <x v="110"/>
    <x v="14"/>
    <x v="7"/>
    <n v="60"/>
    <x v="1"/>
    <x v="1"/>
    <x v="309"/>
    <x v="0"/>
    <s v="DISCOUNT NOT ALLOWED"/>
    <s v="discount not allowed"/>
    <s v="DISCOUNT NOT ALLOWED"/>
    <s v="Discount Not Allowed"/>
    <s v="02/10/24"/>
  </r>
  <r>
    <s v="TXN_3894563"/>
    <s v="CUST_23"/>
    <x v="4"/>
    <x v="109"/>
    <x v="14"/>
    <x v="7"/>
    <n v="60"/>
    <x v="0"/>
    <x v="1"/>
    <x v="52"/>
    <x v="1"/>
    <s v="DISCOUNT ALLOWED"/>
    <s v="discount allowed"/>
    <s v="DISCOUNT ALLOWED"/>
    <s v="Discount Allowed"/>
    <s v="05/12/24"/>
  </r>
  <r>
    <s v="TXN_3918627"/>
    <s v="CUST_01"/>
    <x v="0"/>
    <x v="115"/>
    <x v="14"/>
    <x v="7"/>
    <n v="60"/>
    <x v="1"/>
    <x v="0"/>
    <x v="134"/>
    <x v="1"/>
    <s v="DISCOUNT ALLOWED"/>
    <s v="discount allowed"/>
    <s v="DISCOUNT ALLOWED"/>
    <s v="Discount Allowed"/>
    <s v="11/02/22"/>
  </r>
  <r>
    <s v="TXN_3924468"/>
    <s v="CUST_10"/>
    <x v="0"/>
    <x v="115"/>
    <x v="14"/>
    <x v="7"/>
    <n v="60"/>
    <x v="1"/>
    <x v="0"/>
    <x v="763"/>
    <x v="0"/>
    <s v="DISCOUNT NOT ALLOWED"/>
    <s v="discount not allowed"/>
    <s v="DISCOUNT NOT ALLOWED"/>
    <s v="Discount Not Allowed"/>
    <s v="21/09/24"/>
  </r>
  <r>
    <s v="TXN_4148681"/>
    <s v="CUST_23"/>
    <x v="2"/>
    <x v="113"/>
    <x v="14"/>
    <x v="7"/>
    <n v="60"/>
    <x v="1"/>
    <x v="1"/>
    <x v="561"/>
    <x v="0"/>
    <s v="DISCOUNT NOT ALLOWED"/>
    <s v="discount not allowed"/>
    <s v="DISCOUNT NOT ALLOWED"/>
    <s v="Discount Not Allowed"/>
    <s v="27/04/24"/>
  </r>
  <r>
    <s v="TXN_4344002"/>
    <s v="CUST_07"/>
    <x v="1"/>
    <x v="114"/>
    <x v="14"/>
    <x v="7"/>
    <n v="60"/>
    <x v="2"/>
    <x v="0"/>
    <x v="315"/>
    <x v="0"/>
    <s v="DISCOUNT NOT ALLOWED"/>
    <s v="discount not allowed"/>
    <s v="DISCOUNT NOT ALLOWED"/>
    <s v="Discount Not Allowed"/>
    <s v="28/09/23"/>
  </r>
  <r>
    <s v="TXN_4366763"/>
    <s v="CUST_09"/>
    <x v="2"/>
    <x v="113"/>
    <x v="14"/>
    <x v="7"/>
    <n v="60"/>
    <x v="2"/>
    <x v="0"/>
    <x v="772"/>
    <x v="0"/>
    <s v="DISCOUNT NOT ALLOWED"/>
    <s v="discount not allowed"/>
    <s v="DISCOUNT NOT ALLOWED"/>
    <s v="Discount Not Allowed"/>
    <s v="19/07/22"/>
  </r>
  <r>
    <s v="TXN_4390681"/>
    <s v="CUST_19"/>
    <x v="2"/>
    <x v="113"/>
    <x v="14"/>
    <x v="7"/>
    <n v="60"/>
    <x v="2"/>
    <x v="0"/>
    <x v="141"/>
    <x v="0"/>
    <s v="DISCOUNT NOT ALLOWED"/>
    <s v="discount not allowed"/>
    <s v="DISCOUNT NOT ALLOWED"/>
    <s v="Discount Not Allowed"/>
    <s v="12/10/24"/>
  </r>
  <r>
    <s v="TXN_4766175"/>
    <s v="CUST_24"/>
    <x v="2"/>
    <x v="113"/>
    <x v="14"/>
    <x v="7"/>
    <n v="60"/>
    <x v="0"/>
    <x v="0"/>
    <x v="220"/>
    <x v="0"/>
    <s v="DISCOUNT NOT ALLOWED"/>
    <s v="discount not allowed"/>
    <s v="DISCOUNT NOT ALLOWED"/>
    <s v="Discount Not Allowed"/>
    <s v="25/03/24"/>
  </r>
  <r>
    <s v="TXN_4899415"/>
    <s v="CUST_18"/>
    <x v="7"/>
    <x v="110"/>
    <x v="14"/>
    <x v="7"/>
    <n v="60"/>
    <x v="1"/>
    <x v="0"/>
    <x v="323"/>
    <x v="1"/>
    <s v="DISCOUNT ALLOWED"/>
    <s v="discount allowed"/>
    <s v="DISCOUNT ALLOWED"/>
    <s v="Discount Allowed"/>
    <s v="14/11/22"/>
  </r>
  <r>
    <s v="TXN_5531182"/>
    <s v="CUST_06"/>
    <x v="2"/>
    <x v="113"/>
    <x v="14"/>
    <x v="7"/>
    <n v="60"/>
    <x v="2"/>
    <x v="1"/>
    <x v="149"/>
    <x v="1"/>
    <s v="DISCOUNT ALLOWED"/>
    <s v="discount allowed"/>
    <s v="DISCOUNT ALLOWED"/>
    <s v="Discount Allowed"/>
    <s v="13/06/22"/>
  </r>
  <r>
    <s v="TXN_5560416"/>
    <s v="CUST_18"/>
    <x v="0"/>
    <x v="115"/>
    <x v="14"/>
    <x v="7"/>
    <n v="60"/>
    <x v="0"/>
    <x v="0"/>
    <x v="657"/>
    <x v="1"/>
    <s v="DISCOUNT ALLOWED"/>
    <s v="discount allowed"/>
    <s v="DISCOUNT ALLOWED"/>
    <s v="Discount Allowed"/>
    <s v="22/03/22"/>
  </r>
  <r>
    <s v="TXN_5881214"/>
    <s v="CUST_02"/>
    <x v="7"/>
    <x v="110"/>
    <x v="14"/>
    <x v="7"/>
    <n v="60"/>
    <x v="0"/>
    <x v="0"/>
    <x v="386"/>
    <x v="1"/>
    <s v="DISCOUNT ALLOWED"/>
    <s v="discount allowed"/>
    <s v="DISCOUNT ALLOWED"/>
    <s v="Discount Allowed"/>
    <s v="18/01/22"/>
  </r>
  <r>
    <s v="TXN_6045260"/>
    <s v="CUST_25"/>
    <x v="1"/>
    <x v="114"/>
    <x v="14"/>
    <x v="7"/>
    <n v="60"/>
    <x v="0"/>
    <x v="1"/>
    <x v="513"/>
    <x v="0"/>
    <s v="DISCOUNT NOT ALLOWED"/>
    <s v="discount not allowed"/>
    <s v="DISCOUNT NOT ALLOWED"/>
    <s v="Discount Not Allowed"/>
    <s v="01/07/24"/>
  </r>
  <r>
    <s v="TXN_6071236"/>
    <s v="CUST_04"/>
    <x v="1"/>
    <x v="114"/>
    <x v="14"/>
    <x v="7"/>
    <n v="60"/>
    <x v="0"/>
    <x v="0"/>
    <x v="364"/>
    <x v="0"/>
    <s v="DISCOUNT NOT ALLOWED"/>
    <s v="discount not allowed"/>
    <s v="DISCOUNT NOT ALLOWED"/>
    <s v="Discount Not Allowed"/>
    <s v="14/11/24"/>
  </r>
  <r>
    <s v="TXN_6077319"/>
    <s v="CUST_12"/>
    <x v="1"/>
    <x v="114"/>
    <x v="14"/>
    <x v="7"/>
    <n v="60"/>
    <x v="2"/>
    <x v="0"/>
    <x v="938"/>
    <x v="0"/>
    <s v="DISCOUNT NOT ALLOWED"/>
    <s v="discount not allowed"/>
    <s v="DISCOUNT NOT ALLOWED"/>
    <s v="Discount Not Allowed"/>
    <s v="05/06/24"/>
  </r>
  <r>
    <s v="TXN_6094184"/>
    <s v="CUST_11"/>
    <x v="4"/>
    <x v="109"/>
    <x v="14"/>
    <x v="7"/>
    <n v="60"/>
    <x v="2"/>
    <x v="1"/>
    <x v="656"/>
    <x v="0"/>
    <s v="DISCOUNT NOT ALLOWED"/>
    <s v="discount not allowed"/>
    <s v="DISCOUNT NOT ALLOWED"/>
    <s v="Discount Not Allowed"/>
    <s v="06/01/25"/>
  </r>
  <r>
    <s v="TXN_6498807"/>
    <s v="CUST_13"/>
    <x v="5"/>
    <x v="111"/>
    <x v="14"/>
    <x v="7"/>
    <n v="60"/>
    <x v="0"/>
    <x v="0"/>
    <x v="337"/>
    <x v="1"/>
    <s v="DISCOUNT ALLOWED"/>
    <s v="discount allowed"/>
    <s v="DISCOUNT ALLOWED"/>
    <s v="Discount Allowed"/>
    <s v="20/08/24"/>
  </r>
  <r>
    <s v="TXN_6666892"/>
    <s v="CUST_01"/>
    <x v="1"/>
    <x v="114"/>
    <x v="14"/>
    <x v="7"/>
    <n v="60"/>
    <x v="1"/>
    <x v="0"/>
    <x v="255"/>
    <x v="1"/>
    <s v="DISCOUNT ALLOWED"/>
    <s v="discount allowed"/>
    <s v="DISCOUNT ALLOWED"/>
    <s v="Discount Allowed"/>
    <s v="22/05/23"/>
  </r>
  <r>
    <s v="TXN_6810161"/>
    <s v="CUST_17"/>
    <x v="4"/>
    <x v="109"/>
    <x v="14"/>
    <x v="7"/>
    <n v="60"/>
    <x v="1"/>
    <x v="0"/>
    <x v="723"/>
    <x v="0"/>
    <s v="DISCOUNT NOT ALLOWED"/>
    <s v="discount not allowed"/>
    <s v="DISCOUNT NOT ALLOWED"/>
    <s v="Discount Not Allowed"/>
    <s v="05/05/24"/>
  </r>
  <r>
    <s v="TXN_7020380"/>
    <s v="CUST_22"/>
    <x v="7"/>
    <x v="110"/>
    <x v="14"/>
    <x v="7"/>
    <n v="60"/>
    <x v="2"/>
    <x v="0"/>
    <x v="484"/>
    <x v="1"/>
    <s v="DISCOUNT ALLOWED"/>
    <s v="discount allowed"/>
    <s v="DISCOUNT ALLOWED"/>
    <s v="Discount Allowed"/>
    <s v="26/06/24"/>
  </r>
  <r>
    <s v="TXN_7132653"/>
    <s v="CUST_11"/>
    <x v="6"/>
    <x v="112"/>
    <x v="14"/>
    <x v="7"/>
    <n v="60"/>
    <x v="2"/>
    <x v="0"/>
    <x v="249"/>
    <x v="0"/>
    <s v="DISCOUNT NOT ALLOWED"/>
    <s v="discount not allowed"/>
    <s v="DISCOUNT NOT ALLOWED"/>
    <s v="Discount Not Allowed"/>
    <s v="12/04/24"/>
  </r>
  <r>
    <s v="TXN_8348576"/>
    <s v="CUST_17"/>
    <x v="7"/>
    <x v="110"/>
    <x v="14"/>
    <x v="7"/>
    <n v="60"/>
    <x v="2"/>
    <x v="1"/>
    <x v="91"/>
    <x v="0"/>
    <s v="DISCOUNT NOT ALLOWED"/>
    <s v="discount not allowed"/>
    <s v="DISCOUNT NOT ALLOWED"/>
    <s v="Discount Not Allowed"/>
    <s v="09/12/23"/>
  </r>
  <r>
    <s v="TXN_8351890"/>
    <s v="CUST_15"/>
    <x v="6"/>
    <x v="112"/>
    <x v="14"/>
    <x v="7"/>
    <n v="60"/>
    <x v="2"/>
    <x v="1"/>
    <x v="441"/>
    <x v="0"/>
    <s v="DISCOUNT NOT ALLOWED"/>
    <s v="discount not allowed"/>
    <s v="DISCOUNT NOT ALLOWED"/>
    <s v="Discount Not Allowed"/>
    <s v="09/05/22"/>
  </r>
  <r>
    <s v="TXN_8461471"/>
    <s v="CUST_13"/>
    <x v="4"/>
    <x v="109"/>
    <x v="14"/>
    <x v="7"/>
    <n v="60"/>
    <x v="1"/>
    <x v="0"/>
    <x v="1020"/>
    <x v="0"/>
    <s v="DISCOUNT NOT ALLOWED"/>
    <s v="discount not allowed"/>
    <s v="DISCOUNT NOT ALLOWED"/>
    <s v="Discount Not Allowed"/>
    <s v="16/10/23"/>
  </r>
  <r>
    <s v="TXN_8640842"/>
    <s v="CUST_07"/>
    <x v="2"/>
    <x v="113"/>
    <x v="14"/>
    <x v="7"/>
    <n v="60"/>
    <x v="1"/>
    <x v="0"/>
    <x v="552"/>
    <x v="0"/>
    <s v="DISCOUNT NOT ALLOWED"/>
    <s v="discount not allowed"/>
    <s v="DISCOUNT NOT ALLOWED"/>
    <s v="Discount Not Allowed"/>
    <s v="22/09/24"/>
  </r>
  <r>
    <s v="TXN_8692872"/>
    <s v="CUST_03"/>
    <x v="6"/>
    <x v="112"/>
    <x v="14"/>
    <x v="7"/>
    <n v="60"/>
    <x v="2"/>
    <x v="1"/>
    <x v="421"/>
    <x v="0"/>
    <s v="DISCOUNT NOT ALLOWED"/>
    <s v="discount not allowed"/>
    <s v="DISCOUNT NOT ALLOWED"/>
    <s v="Discount Not Allowed"/>
    <s v="29/04/24"/>
  </r>
  <r>
    <s v="TXN_8746397"/>
    <s v="CUST_09"/>
    <x v="0"/>
    <x v="115"/>
    <x v="14"/>
    <x v="7"/>
    <n v="60"/>
    <x v="0"/>
    <x v="0"/>
    <x v="323"/>
    <x v="1"/>
    <s v="DISCOUNT ALLOWED"/>
    <s v="discount allowed"/>
    <s v="DISCOUNT ALLOWED"/>
    <s v="Discount Allowed"/>
    <s v="14/11/22"/>
  </r>
  <r>
    <s v="TXN_9017500"/>
    <s v="CUST_09"/>
    <x v="2"/>
    <x v="113"/>
    <x v="14"/>
    <x v="7"/>
    <n v="60"/>
    <x v="2"/>
    <x v="1"/>
    <x v="48"/>
    <x v="0"/>
    <s v="DISCOUNT NOT ALLOWED"/>
    <s v="discount not allowed"/>
    <s v="DISCOUNT NOT ALLOWED"/>
    <s v="Discount Not Allowed"/>
    <s v="03/12/22"/>
  </r>
  <r>
    <s v="TXN_9102833"/>
    <s v="CUST_18"/>
    <x v="1"/>
    <x v="114"/>
    <x v="14"/>
    <x v="7"/>
    <n v="60"/>
    <x v="1"/>
    <x v="1"/>
    <x v="759"/>
    <x v="1"/>
    <s v="DISCOUNT ALLOWED"/>
    <s v="discount allowed"/>
    <s v="DISCOUNT ALLOWED"/>
    <s v="Discount Allowed"/>
    <s v="08/05/24"/>
  </r>
  <r>
    <s v="TXN_9182264"/>
    <s v="CUST_20"/>
    <x v="0"/>
    <x v="115"/>
    <x v="14"/>
    <x v="7"/>
    <n v="60"/>
    <x v="1"/>
    <x v="1"/>
    <x v="766"/>
    <x v="0"/>
    <s v="DISCOUNT NOT ALLOWED"/>
    <s v="discount not allowed"/>
    <s v="DISCOUNT NOT ALLOWED"/>
    <s v="Discount Not Allowed"/>
    <s v="09/12/22"/>
  </r>
  <r>
    <s v="TXN_9730853"/>
    <s v="CUST_19"/>
    <x v="1"/>
    <x v="114"/>
    <x v="14"/>
    <x v="7"/>
    <n v="60"/>
    <x v="2"/>
    <x v="0"/>
    <x v="511"/>
    <x v="1"/>
    <s v="DISCOUNT ALLOWED"/>
    <s v="discount allowed"/>
    <s v="DISCOUNT ALLOWED"/>
    <s v="Discount Allowed"/>
    <s v="16/11/22"/>
  </r>
  <r>
    <s v="TXN_9755626"/>
    <s v="CUST_25"/>
    <x v="7"/>
    <x v="110"/>
    <x v="14"/>
    <x v="7"/>
    <n v="60"/>
    <x v="0"/>
    <x v="0"/>
    <x v="564"/>
    <x v="0"/>
    <s v="DISCOUNT NOT ALLOWED"/>
    <s v="discount not allowed"/>
    <s v="DISCOUNT NOT ALLOWED"/>
    <s v="Discount Not Allowed"/>
    <s v="31/01/23"/>
  </r>
  <r>
    <s v="TXN_1491959"/>
    <s v="CUST_09"/>
    <x v="0"/>
    <x v="186"/>
    <x v="23"/>
    <x v="1"/>
    <n v="58.5"/>
    <x v="2"/>
    <x v="1"/>
    <x v="671"/>
    <x v="1"/>
    <s v="DISCOUNT ALLOWED"/>
    <s v="discount allowed"/>
    <s v="DISCOUNT ALLOWED"/>
    <s v="Discount Allowed"/>
    <s v="09/08/24"/>
  </r>
  <r>
    <s v="TXN_1691068"/>
    <s v="CUST_23"/>
    <x v="7"/>
    <x v="191"/>
    <x v="23"/>
    <x v="1"/>
    <n v="58.5"/>
    <x v="1"/>
    <x v="1"/>
    <x v="730"/>
    <x v="0"/>
    <s v="DISCOUNT NOT ALLOWED"/>
    <s v="discount not allowed"/>
    <s v="DISCOUNT NOT ALLOWED"/>
    <s v="Discount Not Allowed"/>
    <s v="11/08/22"/>
  </r>
  <r>
    <s v="TXN_2234221"/>
    <s v="CUST_04"/>
    <x v="1"/>
    <x v="184"/>
    <x v="23"/>
    <x v="1"/>
    <n v="58.5"/>
    <x v="2"/>
    <x v="1"/>
    <x v="237"/>
    <x v="1"/>
    <s v="DISCOUNT ALLOWED"/>
    <s v="discount allowed"/>
    <s v="DISCOUNT ALLOWED"/>
    <s v="Discount Allowed"/>
    <s v="23/07/22"/>
  </r>
  <r>
    <s v="TXN_2298172"/>
    <s v="CUST_23"/>
    <x v="6"/>
    <x v="188"/>
    <x v="23"/>
    <x v="1"/>
    <n v="58.5"/>
    <x v="2"/>
    <x v="0"/>
    <x v="792"/>
    <x v="0"/>
    <s v="DISCOUNT NOT ALLOWED"/>
    <s v="discount not allowed"/>
    <s v="DISCOUNT NOT ALLOWED"/>
    <s v="Discount Not Allowed"/>
    <s v="10/11/23"/>
  </r>
  <r>
    <s v="TXN_2841599"/>
    <s v="CUST_13"/>
    <x v="7"/>
    <x v="191"/>
    <x v="23"/>
    <x v="1"/>
    <n v="58.5"/>
    <x v="0"/>
    <x v="1"/>
    <x v="1051"/>
    <x v="1"/>
    <s v="DISCOUNT ALLOWED"/>
    <s v="discount allowed"/>
    <s v="DISCOUNT ALLOWED"/>
    <s v="Discount Allowed"/>
    <s v="05/07/24"/>
  </r>
  <r>
    <s v="TXN_2859355"/>
    <s v="CUST_05"/>
    <x v="5"/>
    <x v="190"/>
    <x v="23"/>
    <x v="1"/>
    <n v="58.5"/>
    <x v="2"/>
    <x v="0"/>
    <x v="107"/>
    <x v="1"/>
    <s v="DISCOUNT ALLOWED"/>
    <s v="discount allowed"/>
    <s v="DISCOUNT ALLOWED"/>
    <s v="Discount Allowed"/>
    <s v="11/07/22"/>
  </r>
  <r>
    <s v="TXN_3299143"/>
    <s v="CUST_11"/>
    <x v="2"/>
    <x v="187"/>
    <x v="23"/>
    <x v="1"/>
    <n v="58.5"/>
    <x v="2"/>
    <x v="0"/>
    <x v="704"/>
    <x v="1"/>
    <s v="DISCOUNT ALLOWED"/>
    <s v="discount allowed"/>
    <s v="DISCOUNT ALLOWED"/>
    <s v="Discount Allowed"/>
    <s v="02/03/24"/>
  </r>
  <r>
    <s v="TXN_4009414"/>
    <s v="CUST_03"/>
    <x v="1"/>
    <x v="184"/>
    <x v="23"/>
    <x v="1"/>
    <n v="58.5"/>
    <x v="1"/>
    <x v="0"/>
    <x v="425"/>
    <x v="0"/>
    <s v="DISCOUNT NOT ALLOWED"/>
    <s v="discount not allowed"/>
    <s v="DISCOUNT NOT ALLOWED"/>
    <s v="Discount Not Allowed"/>
    <s v="12/08/22"/>
  </r>
  <r>
    <s v="TXN_4284887"/>
    <s v="CUST_01"/>
    <x v="6"/>
    <x v="188"/>
    <x v="23"/>
    <x v="1"/>
    <n v="58.5"/>
    <x v="1"/>
    <x v="0"/>
    <x v="600"/>
    <x v="1"/>
    <s v="DISCOUNT ALLOWED"/>
    <s v="discount allowed"/>
    <s v="DISCOUNT ALLOWED"/>
    <s v="Discount Allowed"/>
    <s v="26/10/22"/>
  </r>
  <r>
    <s v="TXN_4534054"/>
    <s v="CUST_25"/>
    <x v="4"/>
    <x v="185"/>
    <x v="23"/>
    <x v="1"/>
    <n v="58.5"/>
    <x v="2"/>
    <x v="1"/>
    <x v="130"/>
    <x v="0"/>
    <s v="DISCOUNT NOT ALLOWED"/>
    <s v="discount not allowed"/>
    <s v="DISCOUNT NOT ALLOWED"/>
    <s v="Discount Not Allowed"/>
    <s v="21/09/23"/>
  </r>
  <r>
    <s v="TXN_4611823"/>
    <s v="CUST_16"/>
    <x v="6"/>
    <x v="188"/>
    <x v="23"/>
    <x v="1"/>
    <n v="58.5"/>
    <x v="2"/>
    <x v="1"/>
    <x v="584"/>
    <x v="0"/>
    <s v="DISCOUNT NOT ALLOWED"/>
    <s v="discount not allowed"/>
    <s v="DISCOUNT NOT ALLOWED"/>
    <s v="Discount Not Allowed"/>
    <s v="08/04/23"/>
  </r>
  <r>
    <s v="TXN_5040605"/>
    <s v="CUST_01"/>
    <x v="0"/>
    <x v="186"/>
    <x v="23"/>
    <x v="1"/>
    <n v="58.5"/>
    <x v="1"/>
    <x v="0"/>
    <x v="770"/>
    <x v="1"/>
    <s v="DISCOUNT ALLOWED"/>
    <s v="discount allowed"/>
    <s v="DISCOUNT ALLOWED"/>
    <s v="Discount Allowed"/>
    <s v="03/02/24"/>
  </r>
  <r>
    <s v="TXN_5195842"/>
    <s v="CUST_19"/>
    <x v="7"/>
    <x v="191"/>
    <x v="23"/>
    <x v="1"/>
    <n v="58.5"/>
    <x v="1"/>
    <x v="0"/>
    <x v="898"/>
    <x v="0"/>
    <s v="DISCOUNT NOT ALLOWED"/>
    <s v="discount not allowed"/>
    <s v="DISCOUNT NOT ALLOWED"/>
    <s v="Discount Not Allowed"/>
    <s v="10/02/23"/>
  </r>
  <r>
    <s v="TXN_5458839"/>
    <s v="CUST_05"/>
    <x v="4"/>
    <x v="185"/>
    <x v="23"/>
    <x v="1"/>
    <n v="58.5"/>
    <x v="2"/>
    <x v="0"/>
    <x v="1081"/>
    <x v="1"/>
    <s v="DISCOUNT ALLOWED"/>
    <s v="discount allowed"/>
    <s v="DISCOUNT ALLOWED"/>
    <s v="Discount Allowed"/>
    <s v="15/08/23"/>
  </r>
  <r>
    <s v="TXN_5832757"/>
    <s v="CUST_10"/>
    <x v="3"/>
    <x v="189"/>
    <x v="23"/>
    <x v="1"/>
    <n v="58.5"/>
    <x v="0"/>
    <x v="0"/>
    <x v="755"/>
    <x v="1"/>
    <s v="DISCOUNT ALLOWED"/>
    <s v="discount allowed"/>
    <s v="DISCOUNT ALLOWED"/>
    <s v="Discount Allowed"/>
    <s v="22/07/24"/>
  </r>
  <r>
    <s v="TXN_6467014"/>
    <s v="CUST_02"/>
    <x v="0"/>
    <x v="186"/>
    <x v="23"/>
    <x v="1"/>
    <n v="58.5"/>
    <x v="2"/>
    <x v="0"/>
    <x v="972"/>
    <x v="1"/>
    <s v="DISCOUNT ALLOWED"/>
    <s v="discount allowed"/>
    <s v="DISCOUNT ALLOWED"/>
    <s v="Discount Allowed"/>
    <s v="06/08/23"/>
  </r>
  <r>
    <s v="TXN_6893397"/>
    <s v="CUST_08"/>
    <x v="6"/>
    <x v="188"/>
    <x v="23"/>
    <x v="1"/>
    <n v="58.5"/>
    <x v="0"/>
    <x v="0"/>
    <x v="576"/>
    <x v="1"/>
    <s v="DISCOUNT ALLOWED"/>
    <s v="discount allowed"/>
    <s v="DISCOUNT ALLOWED"/>
    <s v="Discount Allowed"/>
    <s v="18/11/23"/>
  </r>
  <r>
    <s v="TXN_7192799"/>
    <s v="CUST_24"/>
    <x v="1"/>
    <x v="184"/>
    <x v="23"/>
    <x v="1"/>
    <n v="58.5"/>
    <x v="0"/>
    <x v="1"/>
    <x v="302"/>
    <x v="1"/>
    <s v="DISCOUNT ALLOWED"/>
    <s v="discount allowed"/>
    <s v="DISCOUNT ALLOWED"/>
    <s v="Discount Allowed"/>
    <s v="05/11/22"/>
  </r>
  <r>
    <s v="TXN_7271665"/>
    <s v="CUST_15"/>
    <x v="5"/>
    <x v="190"/>
    <x v="23"/>
    <x v="1"/>
    <n v="58.5"/>
    <x v="2"/>
    <x v="1"/>
    <x v="319"/>
    <x v="0"/>
    <s v="DISCOUNT NOT ALLOWED"/>
    <s v="discount not allowed"/>
    <s v="DISCOUNT NOT ALLOWED"/>
    <s v="Discount Not Allowed"/>
    <s v="22/12/23"/>
  </r>
  <r>
    <s v="TXN_7347365"/>
    <s v="CUST_20"/>
    <x v="0"/>
    <x v="186"/>
    <x v="23"/>
    <x v="1"/>
    <n v="58.5"/>
    <x v="0"/>
    <x v="1"/>
    <x v="403"/>
    <x v="0"/>
    <s v="DISCOUNT NOT ALLOWED"/>
    <s v="discount not allowed"/>
    <s v="DISCOUNT NOT ALLOWED"/>
    <s v="Discount Not Allowed"/>
    <s v="07/05/23"/>
  </r>
  <r>
    <s v="TXN_7607001"/>
    <s v="CUST_11"/>
    <x v="6"/>
    <x v="188"/>
    <x v="23"/>
    <x v="1"/>
    <n v="58.5"/>
    <x v="0"/>
    <x v="0"/>
    <x v="467"/>
    <x v="0"/>
    <s v="DISCOUNT NOT ALLOWED"/>
    <s v="discount not allowed"/>
    <s v="DISCOUNT NOT ALLOWED"/>
    <s v="Discount Not Allowed"/>
    <s v="18/05/22"/>
  </r>
  <r>
    <s v="TXN_7792504"/>
    <s v="CUST_14"/>
    <x v="5"/>
    <x v="190"/>
    <x v="23"/>
    <x v="1"/>
    <n v="58.5"/>
    <x v="2"/>
    <x v="0"/>
    <x v="1069"/>
    <x v="1"/>
    <s v="DISCOUNT ALLOWED"/>
    <s v="discount allowed"/>
    <s v="DISCOUNT ALLOWED"/>
    <s v="Discount Allowed"/>
    <s v="22/09/22"/>
  </r>
  <r>
    <s v="TXN_7889351"/>
    <s v="CUST_20"/>
    <x v="6"/>
    <x v="188"/>
    <x v="23"/>
    <x v="1"/>
    <n v="58.5"/>
    <x v="2"/>
    <x v="0"/>
    <x v="403"/>
    <x v="1"/>
    <s v="DISCOUNT ALLOWED"/>
    <s v="discount allowed"/>
    <s v="DISCOUNT ALLOWED"/>
    <s v="Discount Allowed"/>
    <s v="07/05/23"/>
  </r>
  <r>
    <s v="TXN_8350639"/>
    <s v="CUST_21"/>
    <x v="2"/>
    <x v="187"/>
    <x v="23"/>
    <x v="1"/>
    <n v="58.5"/>
    <x v="0"/>
    <x v="0"/>
    <x v="389"/>
    <x v="0"/>
    <s v="DISCOUNT NOT ALLOWED"/>
    <s v="discount not allowed"/>
    <s v="DISCOUNT NOT ALLOWED"/>
    <s v="Discount Not Allowed"/>
    <s v="12/07/23"/>
  </r>
  <r>
    <s v="TXN_8508878"/>
    <s v="CUST_03"/>
    <x v="6"/>
    <x v="188"/>
    <x v="23"/>
    <x v="1"/>
    <n v="58.5"/>
    <x v="1"/>
    <x v="1"/>
    <x v="369"/>
    <x v="1"/>
    <s v="DISCOUNT ALLOWED"/>
    <s v="discount allowed"/>
    <s v="DISCOUNT ALLOWED"/>
    <s v="Discount Allowed"/>
    <s v="05/10/23"/>
  </r>
  <r>
    <s v="TXN_8887105"/>
    <s v="CUST_15"/>
    <x v="5"/>
    <x v="190"/>
    <x v="23"/>
    <x v="1"/>
    <n v="58.5"/>
    <x v="0"/>
    <x v="0"/>
    <x v="364"/>
    <x v="0"/>
    <s v="DISCOUNT NOT ALLOWED"/>
    <s v="discount not allowed"/>
    <s v="DISCOUNT NOT ALLOWED"/>
    <s v="Discount Not Allowed"/>
    <s v="14/11/24"/>
  </r>
  <r>
    <s v="TXN_9422597"/>
    <s v="CUST_04"/>
    <x v="0"/>
    <x v="186"/>
    <x v="23"/>
    <x v="1"/>
    <n v="58.5"/>
    <x v="1"/>
    <x v="0"/>
    <x v="419"/>
    <x v="0"/>
    <s v="DISCOUNT NOT ALLOWED"/>
    <s v="discount not allowed"/>
    <s v="DISCOUNT NOT ALLOWED"/>
    <s v="Discount Not Allowed"/>
    <s v="08/04/24"/>
  </r>
  <r>
    <s v="TXN_9967357"/>
    <s v="CUST_13"/>
    <x v="1"/>
    <x v="184"/>
    <x v="23"/>
    <x v="1"/>
    <n v="58.5"/>
    <x v="1"/>
    <x v="1"/>
    <x v="1037"/>
    <x v="0"/>
    <s v="DISCOUNT NOT ALLOWED"/>
    <s v="discount not allowed"/>
    <s v="DISCOUNT NOT ALLOWED"/>
    <s v="Discount Not Allowed"/>
    <s v="24/05/23"/>
  </r>
  <r>
    <s v="TXN_1112566"/>
    <s v="CUST_22"/>
    <x v="1"/>
    <x v="64"/>
    <x v="8"/>
    <x v="8"/>
    <n v="58"/>
    <x v="1"/>
    <x v="0"/>
    <x v="772"/>
    <x v="0"/>
    <s v="DISCOUNT NOT ALLOWED"/>
    <s v="discount not allowed"/>
    <s v="DISCOUNT NOT ALLOWED"/>
    <s v="Discount Not Allowed"/>
    <s v="19/07/22"/>
  </r>
  <r>
    <s v="TXN_1201615"/>
    <s v="CUST_25"/>
    <x v="7"/>
    <x v="63"/>
    <x v="8"/>
    <x v="8"/>
    <n v="58"/>
    <x v="0"/>
    <x v="1"/>
    <x v="1058"/>
    <x v="1"/>
    <s v="DISCOUNT ALLOWED"/>
    <s v="discount allowed"/>
    <s v="DISCOUNT ALLOWED"/>
    <s v="Discount Allowed"/>
    <s v="06/08/22"/>
  </r>
  <r>
    <s v="TXN_1543544"/>
    <s v="CUST_23"/>
    <x v="3"/>
    <x v="65"/>
    <x v="8"/>
    <x v="8"/>
    <n v="58"/>
    <x v="2"/>
    <x v="1"/>
    <x v="485"/>
    <x v="1"/>
    <s v="DISCOUNT ALLOWED"/>
    <s v="discount allowed"/>
    <s v="DISCOUNT ALLOWED"/>
    <s v="Discount Allowed"/>
    <s v="05/01/23"/>
  </r>
  <r>
    <s v="TXN_2025936"/>
    <s v="CUST_01"/>
    <x v="1"/>
    <x v="64"/>
    <x v="8"/>
    <x v="8"/>
    <n v="58"/>
    <x v="0"/>
    <x v="0"/>
    <x v="778"/>
    <x v="1"/>
    <s v="DISCOUNT ALLOWED"/>
    <s v="discount allowed"/>
    <s v="DISCOUNT ALLOWED"/>
    <s v="Discount Allowed"/>
    <s v="26/07/23"/>
  </r>
  <r>
    <s v="TXN_2534527"/>
    <s v="CUST_11"/>
    <x v="4"/>
    <x v="66"/>
    <x v="8"/>
    <x v="8"/>
    <n v="58"/>
    <x v="1"/>
    <x v="1"/>
    <x v="486"/>
    <x v="1"/>
    <s v="DISCOUNT ALLOWED"/>
    <s v="discount allowed"/>
    <s v="DISCOUNT ALLOWED"/>
    <s v="Discount Allowed"/>
    <s v="21/10/22"/>
  </r>
  <r>
    <s v="TXN_2997969"/>
    <s v="CUST_22"/>
    <x v="6"/>
    <x v="62"/>
    <x v="8"/>
    <x v="8"/>
    <n v="58"/>
    <x v="0"/>
    <x v="0"/>
    <x v="544"/>
    <x v="0"/>
    <s v="DISCOUNT NOT ALLOWED"/>
    <s v="discount not allowed"/>
    <s v="DISCOUNT NOT ALLOWED"/>
    <s v="Discount Not Allowed"/>
    <s v="17/07/23"/>
  </r>
  <r>
    <s v="TXN_3076324"/>
    <s v="CUST_07"/>
    <x v="7"/>
    <x v="63"/>
    <x v="8"/>
    <x v="8"/>
    <n v="58"/>
    <x v="2"/>
    <x v="1"/>
    <x v="661"/>
    <x v="1"/>
    <s v="DISCOUNT ALLOWED"/>
    <s v="discount allowed"/>
    <s v="DISCOUNT ALLOWED"/>
    <s v="Discount Allowed"/>
    <s v="12/06/23"/>
  </r>
  <r>
    <s v="TXN_3286175"/>
    <s v="CUST_20"/>
    <x v="2"/>
    <x v="68"/>
    <x v="8"/>
    <x v="8"/>
    <n v="58"/>
    <x v="1"/>
    <x v="0"/>
    <x v="261"/>
    <x v="1"/>
    <s v="DISCOUNT ALLOWED"/>
    <s v="discount allowed"/>
    <s v="DISCOUNT ALLOWED"/>
    <s v="Discount Allowed"/>
    <s v="14/05/24"/>
  </r>
  <r>
    <s v="TXN_3396013"/>
    <s v="CUST_15"/>
    <x v="3"/>
    <x v="65"/>
    <x v="8"/>
    <x v="8"/>
    <n v="58"/>
    <x v="0"/>
    <x v="0"/>
    <x v="40"/>
    <x v="0"/>
    <s v="DISCOUNT NOT ALLOWED"/>
    <s v="discount not allowed"/>
    <s v="DISCOUNT NOT ALLOWED"/>
    <s v="Discount Not Allowed"/>
    <s v="24/08/22"/>
  </r>
  <r>
    <s v="TXN_3832517"/>
    <s v="CUST_04"/>
    <x v="3"/>
    <x v="65"/>
    <x v="8"/>
    <x v="8"/>
    <n v="58"/>
    <x v="0"/>
    <x v="1"/>
    <x v="661"/>
    <x v="0"/>
    <s v="DISCOUNT NOT ALLOWED"/>
    <s v="discount not allowed"/>
    <s v="DISCOUNT NOT ALLOWED"/>
    <s v="Discount Not Allowed"/>
    <s v="12/06/23"/>
  </r>
  <r>
    <s v="TXN_3985103"/>
    <s v="CUST_08"/>
    <x v="4"/>
    <x v="66"/>
    <x v="8"/>
    <x v="8"/>
    <n v="58"/>
    <x v="0"/>
    <x v="0"/>
    <x v="605"/>
    <x v="1"/>
    <s v="DISCOUNT ALLOWED"/>
    <s v="discount allowed"/>
    <s v="DISCOUNT ALLOWED"/>
    <s v="Discount Allowed"/>
    <s v="27/12/22"/>
  </r>
  <r>
    <s v="TXN_4249343"/>
    <s v="CUST_22"/>
    <x v="0"/>
    <x v="61"/>
    <x v="8"/>
    <x v="8"/>
    <n v="58"/>
    <x v="0"/>
    <x v="1"/>
    <x v="593"/>
    <x v="0"/>
    <s v="DISCOUNT NOT ALLOWED"/>
    <s v="discount not allowed"/>
    <s v="DISCOUNT NOT ALLOWED"/>
    <s v="Discount Not Allowed"/>
    <s v="10/07/22"/>
  </r>
  <r>
    <s v="TXN_4628551"/>
    <s v="CUST_02"/>
    <x v="5"/>
    <x v="67"/>
    <x v="8"/>
    <x v="8"/>
    <n v="58"/>
    <x v="1"/>
    <x v="0"/>
    <x v="587"/>
    <x v="0"/>
    <s v="DISCOUNT NOT ALLOWED"/>
    <s v="discount not allowed"/>
    <s v="DISCOUNT NOT ALLOWED"/>
    <s v="Discount Not Allowed"/>
    <s v="05/04/22"/>
  </r>
  <r>
    <s v="TXN_5328299"/>
    <s v="CUST_23"/>
    <x v="7"/>
    <x v="63"/>
    <x v="8"/>
    <x v="8"/>
    <n v="58"/>
    <x v="1"/>
    <x v="1"/>
    <x v="50"/>
    <x v="0"/>
    <s v="DISCOUNT NOT ALLOWED"/>
    <s v="discount not allowed"/>
    <s v="DISCOUNT NOT ALLOWED"/>
    <s v="Discount Not Allowed"/>
    <s v="17/01/22"/>
  </r>
  <r>
    <s v="TXN_5394856"/>
    <s v="CUST_08"/>
    <x v="7"/>
    <x v="63"/>
    <x v="8"/>
    <x v="8"/>
    <n v="58"/>
    <x v="0"/>
    <x v="0"/>
    <x v="929"/>
    <x v="1"/>
    <s v="DISCOUNT ALLOWED"/>
    <s v="discount allowed"/>
    <s v="DISCOUNT ALLOWED"/>
    <s v="Discount Allowed"/>
    <s v="24/10/24"/>
  </r>
  <r>
    <s v="TXN_5449047"/>
    <s v="CUST_18"/>
    <x v="5"/>
    <x v="67"/>
    <x v="8"/>
    <x v="8"/>
    <n v="58"/>
    <x v="0"/>
    <x v="1"/>
    <x v="677"/>
    <x v="1"/>
    <s v="DISCOUNT ALLOWED"/>
    <s v="discount allowed"/>
    <s v="DISCOUNT ALLOWED"/>
    <s v="Discount Allowed"/>
    <s v="23/06/23"/>
  </r>
  <r>
    <s v="TXN_6364377"/>
    <s v="CUST_10"/>
    <x v="0"/>
    <x v="61"/>
    <x v="8"/>
    <x v="8"/>
    <n v="58"/>
    <x v="2"/>
    <x v="1"/>
    <x v="338"/>
    <x v="0"/>
    <s v="DISCOUNT NOT ALLOWED"/>
    <s v="discount not allowed"/>
    <s v="DISCOUNT NOT ALLOWED"/>
    <s v="Discount Not Allowed"/>
    <s v="03/12/24"/>
  </r>
  <r>
    <s v="TXN_6709296"/>
    <s v="CUST_01"/>
    <x v="6"/>
    <x v="62"/>
    <x v="8"/>
    <x v="8"/>
    <n v="58"/>
    <x v="1"/>
    <x v="1"/>
    <x v="671"/>
    <x v="0"/>
    <s v="DISCOUNT NOT ALLOWED"/>
    <s v="discount not allowed"/>
    <s v="DISCOUNT NOT ALLOWED"/>
    <s v="Discount Not Allowed"/>
    <s v="09/08/24"/>
  </r>
  <r>
    <s v="TXN_6960333"/>
    <s v="CUST_12"/>
    <x v="6"/>
    <x v="62"/>
    <x v="8"/>
    <x v="8"/>
    <n v="58"/>
    <x v="2"/>
    <x v="0"/>
    <x v="690"/>
    <x v="1"/>
    <s v="DISCOUNT ALLOWED"/>
    <s v="discount allowed"/>
    <s v="DISCOUNT ALLOWED"/>
    <s v="Discount Allowed"/>
    <s v="12/12/24"/>
  </r>
  <r>
    <s v="TXN_7120744"/>
    <s v="CUST_17"/>
    <x v="7"/>
    <x v="63"/>
    <x v="8"/>
    <x v="8"/>
    <n v="58"/>
    <x v="1"/>
    <x v="0"/>
    <x v="1054"/>
    <x v="1"/>
    <s v="DISCOUNT ALLOWED"/>
    <s v="discount allowed"/>
    <s v="DISCOUNT ALLOWED"/>
    <s v="Discount Allowed"/>
    <s v="24/06/23"/>
  </r>
  <r>
    <s v="TXN_7175950"/>
    <s v="CUST_19"/>
    <x v="5"/>
    <x v="67"/>
    <x v="8"/>
    <x v="8"/>
    <n v="58"/>
    <x v="1"/>
    <x v="0"/>
    <x v="835"/>
    <x v="0"/>
    <s v="DISCOUNT NOT ALLOWED"/>
    <s v="discount not allowed"/>
    <s v="DISCOUNT NOT ALLOWED"/>
    <s v="Discount Not Allowed"/>
    <s v="20/03/22"/>
  </r>
  <r>
    <s v="TXN_7234463"/>
    <s v="CUST_23"/>
    <x v="4"/>
    <x v="66"/>
    <x v="8"/>
    <x v="8"/>
    <n v="58"/>
    <x v="0"/>
    <x v="0"/>
    <x v="264"/>
    <x v="0"/>
    <s v="DISCOUNT NOT ALLOWED"/>
    <s v="discount not allowed"/>
    <s v="DISCOUNT NOT ALLOWED"/>
    <s v="Discount Not Allowed"/>
    <s v="15/07/24"/>
  </r>
  <r>
    <s v="TXN_7384527"/>
    <s v="CUST_21"/>
    <x v="4"/>
    <x v="66"/>
    <x v="8"/>
    <x v="8"/>
    <n v="58"/>
    <x v="0"/>
    <x v="0"/>
    <x v="707"/>
    <x v="0"/>
    <s v="DISCOUNT NOT ALLOWED"/>
    <s v="discount not allowed"/>
    <s v="DISCOUNT NOT ALLOWED"/>
    <s v="Discount Not Allowed"/>
    <s v="08/06/23"/>
  </r>
  <r>
    <s v="TXN_7667326"/>
    <s v="CUST_22"/>
    <x v="0"/>
    <x v="61"/>
    <x v="8"/>
    <x v="8"/>
    <n v="58"/>
    <x v="2"/>
    <x v="1"/>
    <x v="943"/>
    <x v="0"/>
    <s v="DISCOUNT NOT ALLOWED"/>
    <s v="discount not allowed"/>
    <s v="DISCOUNT NOT ALLOWED"/>
    <s v="Discount Not Allowed"/>
    <s v="22/07/22"/>
  </r>
  <r>
    <s v="TXN_8027476"/>
    <s v="CUST_09"/>
    <x v="0"/>
    <x v="61"/>
    <x v="8"/>
    <x v="8"/>
    <n v="58"/>
    <x v="1"/>
    <x v="0"/>
    <x v="466"/>
    <x v="1"/>
    <s v="DISCOUNT ALLOWED"/>
    <s v="discount allowed"/>
    <s v="DISCOUNT ALLOWED"/>
    <s v="Discount Allowed"/>
    <s v="28/06/24"/>
  </r>
  <r>
    <s v="TXN_8052085"/>
    <s v="CUST_20"/>
    <x v="2"/>
    <x v="68"/>
    <x v="8"/>
    <x v="8"/>
    <n v="58"/>
    <x v="1"/>
    <x v="1"/>
    <x v="755"/>
    <x v="1"/>
    <s v="DISCOUNT ALLOWED"/>
    <s v="discount allowed"/>
    <s v="DISCOUNT ALLOWED"/>
    <s v="Discount Allowed"/>
    <s v="22/07/24"/>
  </r>
  <r>
    <s v="TXN_8213093"/>
    <s v="CUST_14"/>
    <x v="3"/>
    <x v="65"/>
    <x v="8"/>
    <x v="8"/>
    <n v="58"/>
    <x v="1"/>
    <x v="0"/>
    <x v="481"/>
    <x v="1"/>
    <s v="DISCOUNT ALLOWED"/>
    <s v="discount allowed"/>
    <s v="DISCOUNT ALLOWED"/>
    <s v="Discount Allowed"/>
    <s v="20/11/22"/>
  </r>
  <r>
    <s v="TXN_8877404"/>
    <s v="CUST_24"/>
    <x v="4"/>
    <x v="66"/>
    <x v="8"/>
    <x v="8"/>
    <n v="58"/>
    <x v="0"/>
    <x v="1"/>
    <x v="1099"/>
    <x v="1"/>
    <s v="DISCOUNT ALLOWED"/>
    <s v="discount allowed"/>
    <s v="DISCOUNT ALLOWED"/>
    <s v="Discount Allowed"/>
    <s v="24/12/22"/>
  </r>
  <r>
    <s v="TXN_8949666"/>
    <s v="CUST_01"/>
    <x v="7"/>
    <x v="63"/>
    <x v="8"/>
    <x v="8"/>
    <n v="58"/>
    <x v="0"/>
    <x v="1"/>
    <x v="511"/>
    <x v="1"/>
    <s v="DISCOUNT ALLOWED"/>
    <s v="discount allowed"/>
    <s v="DISCOUNT ALLOWED"/>
    <s v="Discount Allowed"/>
    <s v="16/11/22"/>
  </r>
  <r>
    <s v="TXN_8957827"/>
    <s v="CUST_22"/>
    <x v="6"/>
    <x v="62"/>
    <x v="8"/>
    <x v="8"/>
    <n v="58"/>
    <x v="1"/>
    <x v="0"/>
    <x v="718"/>
    <x v="1"/>
    <s v="DISCOUNT ALLOWED"/>
    <s v="discount allowed"/>
    <s v="DISCOUNT ALLOWED"/>
    <s v="Discount Allowed"/>
    <s v="21/11/23"/>
  </r>
  <r>
    <s v="TXN_9166176"/>
    <s v="CUST_17"/>
    <x v="7"/>
    <x v="63"/>
    <x v="8"/>
    <x v="8"/>
    <n v="58"/>
    <x v="0"/>
    <x v="1"/>
    <x v="262"/>
    <x v="0"/>
    <s v="DISCOUNT NOT ALLOWED"/>
    <s v="discount not allowed"/>
    <s v="DISCOUNT NOT ALLOWED"/>
    <s v="Discount Not Allowed"/>
    <s v="20/12/24"/>
  </r>
  <r>
    <s v="TXN_9265528"/>
    <s v="CUST_24"/>
    <x v="3"/>
    <x v="65"/>
    <x v="8"/>
    <x v="8"/>
    <n v="58"/>
    <x v="2"/>
    <x v="1"/>
    <x v="889"/>
    <x v="0"/>
    <s v="DISCOUNT NOT ALLOWED"/>
    <s v="discount not allowed"/>
    <s v="DISCOUNT NOT ALLOWED"/>
    <s v="Discount Not Allowed"/>
    <s v="10/10/24"/>
  </r>
  <r>
    <s v="TXN_9417468"/>
    <s v="CUST_20"/>
    <x v="4"/>
    <x v="66"/>
    <x v="8"/>
    <x v="8"/>
    <n v="58"/>
    <x v="0"/>
    <x v="0"/>
    <x v="857"/>
    <x v="0"/>
    <s v="DISCOUNT NOT ALLOWED"/>
    <s v="discount not allowed"/>
    <s v="DISCOUNT NOT ALLOWED"/>
    <s v="Discount Not Allowed"/>
    <s v="29/08/23"/>
  </r>
  <r>
    <s v="TXN_9601873"/>
    <s v="CUST_21"/>
    <x v="0"/>
    <x v="61"/>
    <x v="8"/>
    <x v="8"/>
    <n v="58"/>
    <x v="1"/>
    <x v="0"/>
    <x v="664"/>
    <x v="0"/>
    <s v="DISCOUNT NOT ALLOWED"/>
    <s v="discount not allowed"/>
    <s v="DISCOUNT NOT ALLOWED"/>
    <s v="Discount Not Allowed"/>
    <s v="03/11/23"/>
  </r>
  <r>
    <s v="TXN_9844205"/>
    <s v="CUST_05"/>
    <x v="2"/>
    <x v="68"/>
    <x v="8"/>
    <x v="8"/>
    <n v="58"/>
    <x v="1"/>
    <x v="0"/>
    <x v="913"/>
    <x v="0"/>
    <s v="DISCOUNT NOT ALLOWED"/>
    <s v="discount not allowed"/>
    <s v="DISCOUNT NOT ALLOWED"/>
    <s v="Discount Not Allowed"/>
    <s v="12/01/23"/>
  </r>
  <r>
    <s v="TXN_1133577"/>
    <s v="CUST_06"/>
    <x v="5"/>
    <x v="167"/>
    <x v="21"/>
    <x v="4"/>
    <n v="57"/>
    <x v="1"/>
    <x v="0"/>
    <x v="246"/>
    <x v="1"/>
    <s v="DISCOUNT ALLOWED"/>
    <s v="discount allowed"/>
    <s v="DISCOUNT ALLOWED"/>
    <s v="Discount Allowed"/>
    <s v="13/08/22"/>
  </r>
  <r>
    <s v="TXN_1176248"/>
    <s v="CUST_16"/>
    <x v="1"/>
    <x v="169"/>
    <x v="21"/>
    <x v="4"/>
    <n v="57"/>
    <x v="2"/>
    <x v="1"/>
    <x v="1103"/>
    <x v="1"/>
    <s v="DISCOUNT ALLOWED"/>
    <s v="discount allowed"/>
    <s v="DISCOUNT ALLOWED"/>
    <s v="Discount Allowed"/>
    <s v="06/12/22"/>
  </r>
  <r>
    <s v="TXN_1273571"/>
    <s v="CUST_07"/>
    <x v="1"/>
    <x v="169"/>
    <x v="21"/>
    <x v="4"/>
    <n v="57"/>
    <x v="1"/>
    <x v="0"/>
    <x v="808"/>
    <x v="1"/>
    <s v="DISCOUNT ALLOWED"/>
    <s v="discount allowed"/>
    <s v="DISCOUNT ALLOWED"/>
    <s v="Discount Allowed"/>
    <s v="07/03/23"/>
  </r>
  <r>
    <s v="TXN_1287015"/>
    <s v="CUST_05"/>
    <x v="1"/>
    <x v="169"/>
    <x v="21"/>
    <x v="4"/>
    <n v="57"/>
    <x v="0"/>
    <x v="0"/>
    <x v="560"/>
    <x v="0"/>
    <s v="DISCOUNT NOT ALLOWED"/>
    <s v="discount not allowed"/>
    <s v="DISCOUNT NOT ALLOWED"/>
    <s v="Discount Not Allowed"/>
    <s v="20/04/22"/>
  </r>
  <r>
    <s v="TXN_1414376"/>
    <s v="CUST_12"/>
    <x v="4"/>
    <x v="166"/>
    <x v="21"/>
    <x v="4"/>
    <n v="57"/>
    <x v="1"/>
    <x v="1"/>
    <x v="863"/>
    <x v="1"/>
    <s v="DISCOUNT ALLOWED"/>
    <s v="discount allowed"/>
    <s v="DISCOUNT ALLOWED"/>
    <s v="Discount Allowed"/>
    <s v="26/12/22"/>
  </r>
  <r>
    <s v="TXN_1422139"/>
    <s v="CUST_12"/>
    <x v="3"/>
    <x v="173"/>
    <x v="21"/>
    <x v="4"/>
    <n v="57"/>
    <x v="2"/>
    <x v="0"/>
    <x v="849"/>
    <x v="1"/>
    <s v="DISCOUNT ALLOWED"/>
    <s v="discount allowed"/>
    <s v="DISCOUNT ALLOWED"/>
    <s v="Discount Allowed"/>
    <s v="01/02/23"/>
  </r>
  <r>
    <s v="TXN_1456033"/>
    <s v="CUST_12"/>
    <x v="0"/>
    <x v="168"/>
    <x v="21"/>
    <x v="4"/>
    <n v="57"/>
    <x v="0"/>
    <x v="1"/>
    <x v="497"/>
    <x v="0"/>
    <s v="DISCOUNT NOT ALLOWED"/>
    <s v="discount not allowed"/>
    <s v="DISCOUNT NOT ALLOWED"/>
    <s v="Discount Not Allowed"/>
    <s v="18/08/23"/>
  </r>
  <r>
    <s v="TXN_1510555"/>
    <s v="CUST_10"/>
    <x v="6"/>
    <x v="172"/>
    <x v="21"/>
    <x v="4"/>
    <n v="57"/>
    <x v="2"/>
    <x v="1"/>
    <x v="85"/>
    <x v="1"/>
    <s v="DISCOUNT ALLOWED"/>
    <s v="discount allowed"/>
    <s v="DISCOUNT ALLOWED"/>
    <s v="Discount Allowed"/>
    <s v="18/10/24"/>
  </r>
  <r>
    <s v="TXN_1834791"/>
    <s v="CUST_08"/>
    <x v="5"/>
    <x v="167"/>
    <x v="21"/>
    <x v="4"/>
    <n v="57"/>
    <x v="0"/>
    <x v="1"/>
    <x v="1074"/>
    <x v="1"/>
    <s v="DISCOUNT ALLOWED"/>
    <s v="discount allowed"/>
    <s v="DISCOUNT ALLOWED"/>
    <s v="Discount Allowed"/>
    <s v="31/05/24"/>
  </r>
  <r>
    <s v="TXN_2315839"/>
    <s v="CUST_06"/>
    <x v="4"/>
    <x v="166"/>
    <x v="21"/>
    <x v="4"/>
    <n v="57"/>
    <x v="1"/>
    <x v="1"/>
    <x v="882"/>
    <x v="0"/>
    <s v="DISCOUNT NOT ALLOWED"/>
    <s v="discount not allowed"/>
    <s v="DISCOUNT NOT ALLOWED"/>
    <s v="Discount Not Allowed"/>
    <s v="27/07/23"/>
  </r>
  <r>
    <s v="TXN_2326393"/>
    <s v="CUST_07"/>
    <x v="4"/>
    <x v="166"/>
    <x v="21"/>
    <x v="4"/>
    <n v="57"/>
    <x v="0"/>
    <x v="0"/>
    <x v="17"/>
    <x v="1"/>
    <s v="DISCOUNT ALLOWED"/>
    <s v="discount allowed"/>
    <s v="DISCOUNT ALLOWED"/>
    <s v="Discount Allowed"/>
    <s v="24/02/22"/>
  </r>
  <r>
    <s v="TXN_2991582"/>
    <s v="CUST_13"/>
    <x v="2"/>
    <x v="171"/>
    <x v="21"/>
    <x v="4"/>
    <n v="57"/>
    <x v="0"/>
    <x v="1"/>
    <x v="815"/>
    <x v="0"/>
    <s v="DISCOUNT NOT ALLOWED"/>
    <s v="discount not allowed"/>
    <s v="DISCOUNT NOT ALLOWED"/>
    <s v="Discount Not Allowed"/>
    <s v="28/02/23"/>
  </r>
  <r>
    <s v="TXN_3199773"/>
    <s v="CUST_18"/>
    <x v="1"/>
    <x v="169"/>
    <x v="21"/>
    <x v="4"/>
    <n v="57"/>
    <x v="2"/>
    <x v="0"/>
    <x v="729"/>
    <x v="0"/>
    <s v="DISCOUNT NOT ALLOWED"/>
    <s v="discount not allowed"/>
    <s v="DISCOUNT NOT ALLOWED"/>
    <s v="Discount Not Allowed"/>
    <s v="07/12/24"/>
  </r>
  <r>
    <s v="TXN_3376746"/>
    <s v="CUST_07"/>
    <x v="3"/>
    <x v="173"/>
    <x v="21"/>
    <x v="4"/>
    <n v="57"/>
    <x v="2"/>
    <x v="1"/>
    <x v="104"/>
    <x v="0"/>
    <s v="DISCOUNT NOT ALLOWED"/>
    <s v="discount not allowed"/>
    <s v="DISCOUNT NOT ALLOWED"/>
    <s v="Discount Not Allowed"/>
    <s v="10/09/23"/>
  </r>
  <r>
    <s v="TXN_3587475"/>
    <s v="CUST_02"/>
    <x v="4"/>
    <x v="166"/>
    <x v="21"/>
    <x v="4"/>
    <n v="57"/>
    <x v="1"/>
    <x v="0"/>
    <x v="467"/>
    <x v="1"/>
    <s v="DISCOUNT ALLOWED"/>
    <s v="discount allowed"/>
    <s v="DISCOUNT ALLOWED"/>
    <s v="Discount Allowed"/>
    <s v="18/05/22"/>
  </r>
  <r>
    <s v="TXN_3822308"/>
    <s v="CUST_02"/>
    <x v="5"/>
    <x v="167"/>
    <x v="21"/>
    <x v="4"/>
    <n v="57"/>
    <x v="1"/>
    <x v="1"/>
    <x v="166"/>
    <x v="0"/>
    <s v="DISCOUNT NOT ALLOWED"/>
    <s v="discount not allowed"/>
    <s v="DISCOUNT NOT ALLOWED"/>
    <s v="Discount Not Allowed"/>
    <s v="06/05/24"/>
  </r>
  <r>
    <s v="TXN_4514680"/>
    <s v="CUST_21"/>
    <x v="7"/>
    <x v="170"/>
    <x v="21"/>
    <x v="4"/>
    <n v="57"/>
    <x v="0"/>
    <x v="1"/>
    <x v="590"/>
    <x v="1"/>
    <s v="DISCOUNT ALLOWED"/>
    <s v="discount allowed"/>
    <s v="DISCOUNT ALLOWED"/>
    <s v="Discount Allowed"/>
    <s v="05/12/22"/>
  </r>
  <r>
    <s v="TXN_4632830"/>
    <s v="CUST_09"/>
    <x v="2"/>
    <x v="171"/>
    <x v="21"/>
    <x v="4"/>
    <n v="57"/>
    <x v="2"/>
    <x v="1"/>
    <x v="1075"/>
    <x v="0"/>
    <s v="DISCOUNT NOT ALLOWED"/>
    <s v="discount not allowed"/>
    <s v="DISCOUNT NOT ALLOWED"/>
    <s v="Discount Not Allowed"/>
    <s v="09/05/23"/>
  </r>
  <r>
    <s v="TXN_5754863"/>
    <s v="CUST_05"/>
    <x v="4"/>
    <x v="166"/>
    <x v="21"/>
    <x v="4"/>
    <n v="57"/>
    <x v="0"/>
    <x v="1"/>
    <x v="712"/>
    <x v="0"/>
    <s v="DISCOUNT NOT ALLOWED"/>
    <s v="discount not allowed"/>
    <s v="DISCOUNT NOT ALLOWED"/>
    <s v="Discount Not Allowed"/>
    <s v="30/04/22"/>
  </r>
  <r>
    <s v="TXN_6729338"/>
    <s v="CUST_07"/>
    <x v="1"/>
    <x v="169"/>
    <x v="21"/>
    <x v="4"/>
    <n v="57"/>
    <x v="1"/>
    <x v="1"/>
    <x v="32"/>
    <x v="0"/>
    <s v="DISCOUNT NOT ALLOWED"/>
    <s v="discount not allowed"/>
    <s v="DISCOUNT NOT ALLOWED"/>
    <s v="Discount Not Allowed"/>
    <s v="24/08/23"/>
  </r>
  <r>
    <s v="TXN_6928841"/>
    <s v="CUST_02"/>
    <x v="3"/>
    <x v="173"/>
    <x v="21"/>
    <x v="4"/>
    <n v="57"/>
    <x v="0"/>
    <x v="1"/>
    <x v="294"/>
    <x v="1"/>
    <s v="DISCOUNT ALLOWED"/>
    <s v="discount allowed"/>
    <s v="DISCOUNT ALLOWED"/>
    <s v="Discount Allowed"/>
    <s v="09/07/22"/>
  </r>
  <r>
    <s v="TXN_7254503"/>
    <s v="CUST_21"/>
    <x v="7"/>
    <x v="170"/>
    <x v="21"/>
    <x v="4"/>
    <n v="57"/>
    <x v="1"/>
    <x v="0"/>
    <x v="26"/>
    <x v="0"/>
    <s v="DISCOUNT NOT ALLOWED"/>
    <s v="discount not allowed"/>
    <s v="DISCOUNT NOT ALLOWED"/>
    <s v="Discount Not Allowed"/>
    <s v="31/12/24"/>
  </r>
  <r>
    <s v="TXN_7891763"/>
    <s v="CUST_18"/>
    <x v="7"/>
    <x v="170"/>
    <x v="21"/>
    <x v="4"/>
    <n v="57"/>
    <x v="2"/>
    <x v="1"/>
    <x v="859"/>
    <x v="0"/>
    <s v="DISCOUNT NOT ALLOWED"/>
    <s v="discount not allowed"/>
    <s v="DISCOUNT NOT ALLOWED"/>
    <s v="Discount Not Allowed"/>
    <s v="21/01/23"/>
  </r>
  <r>
    <s v="TXN_8072250"/>
    <s v="CUST_15"/>
    <x v="7"/>
    <x v="170"/>
    <x v="21"/>
    <x v="4"/>
    <n v="57"/>
    <x v="0"/>
    <x v="0"/>
    <x v="23"/>
    <x v="1"/>
    <s v="DISCOUNT ALLOWED"/>
    <s v="discount allowed"/>
    <s v="DISCOUNT ALLOWED"/>
    <s v="Discount Allowed"/>
    <s v="31/08/24"/>
  </r>
  <r>
    <s v="TXN_8098014"/>
    <s v="CUST_11"/>
    <x v="0"/>
    <x v="168"/>
    <x v="21"/>
    <x v="4"/>
    <n v="57"/>
    <x v="0"/>
    <x v="0"/>
    <x v="190"/>
    <x v="0"/>
    <s v="DISCOUNT NOT ALLOWED"/>
    <s v="discount not allowed"/>
    <s v="DISCOUNT NOT ALLOWED"/>
    <s v="Discount Not Allowed"/>
    <s v="07/02/22"/>
  </r>
  <r>
    <s v="TXN_8585525"/>
    <s v="CUST_18"/>
    <x v="4"/>
    <x v="166"/>
    <x v="21"/>
    <x v="4"/>
    <n v="57"/>
    <x v="0"/>
    <x v="1"/>
    <x v="414"/>
    <x v="1"/>
    <s v="DISCOUNT ALLOWED"/>
    <s v="discount allowed"/>
    <s v="DISCOUNT ALLOWED"/>
    <s v="Discount Allowed"/>
    <s v="01/02/22"/>
  </r>
  <r>
    <s v="TXN_8747203"/>
    <s v="CUST_17"/>
    <x v="3"/>
    <x v="173"/>
    <x v="21"/>
    <x v="4"/>
    <n v="57"/>
    <x v="1"/>
    <x v="0"/>
    <x v="286"/>
    <x v="0"/>
    <s v="DISCOUNT NOT ALLOWED"/>
    <s v="discount not allowed"/>
    <s v="DISCOUNT NOT ALLOWED"/>
    <s v="Discount Not Allowed"/>
    <s v="16/10/22"/>
  </r>
  <r>
    <s v="TXN_8904317"/>
    <s v="CUST_15"/>
    <x v="4"/>
    <x v="166"/>
    <x v="21"/>
    <x v="4"/>
    <n v="57"/>
    <x v="1"/>
    <x v="0"/>
    <x v="752"/>
    <x v="1"/>
    <s v="DISCOUNT ALLOWED"/>
    <s v="discount allowed"/>
    <s v="DISCOUNT ALLOWED"/>
    <s v="Discount Allowed"/>
    <s v="18/05/23"/>
  </r>
  <r>
    <s v="TXN_9017855"/>
    <s v="CUST_09"/>
    <x v="0"/>
    <x v="168"/>
    <x v="21"/>
    <x v="4"/>
    <n v="57"/>
    <x v="2"/>
    <x v="0"/>
    <x v="104"/>
    <x v="0"/>
    <s v="DISCOUNT NOT ALLOWED"/>
    <s v="discount not allowed"/>
    <s v="DISCOUNT NOT ALLOWED"/>
    <s v="Discount Not Allowed"/>
    <s v="10/09/23"/>
  </r>
  <r>
    <s v="TXN_9203083"/>
    <s v="CUST_07"/>
    <x v="3"/>
    <x v="173"/>
    <x v="21"/>
    <x v="4"/>
    <n v="57"/>
    <x v="2"/>
    <x v="0"/>
    <x v="323"/>
    <x v="1"/>
    <s v="DISCOUNT ALLOWED"/>
    <s v="discount allowed"/>
    <s v="DISCOUNT ALLOWED"/>
    <s v="Discount Allowed"/>
    <s v="14/11/22"/>
  </r>
  <r>
    <s v="TXN_9224384"/>
    <s v="CUST_10"/>
    <x v="4"/>
    <x v="166"/>
    <x v="21"/>
    <x v="4"/>
    <n v="57"/>
    <x v="2"/>
    <x v="1"/>
    <x v="677"/>
    <x v="0"/>
    <s v="DISCOUNT NOT ALLOWED"/>
    <s v="discount not allowed"/>
    <s v="DISCOUNT NOT ALLOWED"/>
    <s v="Discount Not Allowed"/>
    <s v="23/06/23"/>
  </r>
  <r>
    <s v="TXN_9800846"/>
    <s v="CUST_05"/>
    <x v="2"/>
    <x v="171"/>
    <x v="21"/>
    <x v="4"/>
    <n v="57"/>
    <x v="0"/>
    <x v="1"/>
    <x v="545"/>
    <x v="0"/>
    <s v="DISCOUNT NOT ALLOWED"/>
    <s v="discount not allowed"/>
    <s v="DISCOUNT NOT ALLOWED"/>
    <s v="Discount Not Allowed"/>
    <s v="15/03/22"/>
  </r>
  <r>
    <s v="TXN_1012234"/>
    <s v="CUST_15"/>
    <x v="6"/>
    <x v="182"/>
    <x v="22"/>
    <x v="3"/>
    <n v="56"/>
    <x v="2"/>
    <x v="1"/>
    <x v="345"/>
    <x v="1"/>
    <s v="DISCOUNT ALLOWED"/>
    <s v="discount allowed"/>
    <s v="DISCOUNT ALLOWED"/>
    <s v="Discount Allowed"/>
    <s v="12/05/24"/>
  </r>
  <r>
    <s v="TXN_1181808"/>
    <s v="CUST_23"/>
    <x v="2"/>
    <x v="148"/>
    <x v="18"/>
    <x v="6"/>
    <n v="56"/>
    <x v="1"/>
    <x v="0"/>
    <x v="130"/>
    <x v="1"/>
    <s v="DISCOUNT ALLOWED"/>
    <s v="discount allowed"/>
    <s v="DISCOUNT ALLOWED"/>
    <s v="Discount Allowed"/>
    <s v="21/09/23"/>
  </r>
  <r>
    <s v="TXN_1230793"/>
    <s v="CUST_10"/>
    <x v="6"/>
    <x v="145"/>
    <x v="18"/>
    <x v="6"/>
    <n v="56"/>
    <x v="2"/>
    <x v="1"/>
    <x v="466"/>
    <x v="0"/>
    <s v="DISCOUNT NOT ALLOWED"/>
    <s v="discount not allowed"/>
    <s v="DISCOUNT NOT ALLOWED"/>
    <s v="Discount Not Allowed"/>
    <s v="28/06/24"/>
  </r>
  <r>
    <s v="TXN_1405939"/>
    <s v="CUST_22"/>
    <x v="1"/>
    <x v="180"/>
    <x v="22"/>
    <x v="3"/>
    <n v="56"/>
    <x v="0"/>
    <x v="1"/>
    <x v="954"/>
    <x v="0"/>
    <s v="DISCOUNT NOT ALLOWED"/>
    <s v="discount not allowed"/>
    <s v="DISCOUNT NOT ALLOWED"/>
    <s v="Discount Not Allowed"/>
    <s v="02/04/22"/>
  </r>
  <r>
    <s v="TXN_2238924"/>
    <s v="CUST_08"/>
    <x v="1"/>
    <x v="149"/>
    <x v="18"/>
    <x v="6"/>
    <n v="56"/>
    <x v="2"/>
    <x v="1"/>
    <x v="713"/>
    <x v="1"/>
    <s v="DISCOUNT ALLOWED"/>
    <s v="discount allowed"/>
    <s v="DISCOUNT ALLOWED"/>
    <s v="Discount Allowed"/>
    <s v="29/07/22"/>
  </r>
  <r>
    <s v="TXN_2622199"/>
    <s v="CUST_16"/>
    <x v="2"/>
    <x v="148"/>
    <x v="18"/>
    <x v="6"/>
    <n v="56"/>
    <x v="2"/>
    <x v="1"/>
    <x v="555"/>
    <x v="0"/>
    <s v="DISCOUNT NOT ALLOWED"/>
    <s v="discount not allowed"/>
    <s v="DISCOUNT NOT ALLOWED"/>
    <s v="Discount Not Allowed"/>
    <s v="28/08/24"/>
  </r>
  <r>
    <s v="TXN_2698076"/>
    <s v="CUST_19"/>
    <x v="4"/>
    <x v="176"/>
    <x v="22"/>
    <x v="3"/>
    <n v="56"/>
    <x v="0"/>
    <x v="0"/>
    <x v="543"/>
    <x v="0"/>
    <s v="DISCOUNT NOT ALLOWED"/>
    <s v="discount not allowed"/>
    <s v="DISCOUNT NOT ALLOWED"/>
    <s v="Discount Not Allowed"/>
    <s v="17/11/22"/>
  </r>
  <r>
    <s v="TXN_3531543"/>
    <s v="CUST_21"/>
    <x v="6"/>
    <x v="182"/>
    <x v="22"/>
    <x v="3"/>
    <n v="56"/>
    <x v="2"/>
    <x v="0"/>
    <x v="372"/>
    <x v="1"/>
    <s v="DISCOUNT ALLOWED"/>
    <s v="discount allowed"/>
    <s v="DISCOUNT ALLOWED"/>
    <s v="Discount Allowed"/>
    <s v="17/07/24"/>
  </r>
  <r>
    <s v="TXN_3545055"/>
    <s v="CUST_09"/>
    <x v="0"/>
    <x v="150"/>
    <x v="18"/>
    <x v="6"/>
    <n v="56"/>
    <x v="2"/>
    <x v="1"/>
    <x v="446"/>
    <x v="0"/>
    <s v="DISCOUNT NOT ALLOWED"/>
    <s v="discount not allowed"/>
    <s v="DISCOUNT NOT ALLOWED"/>
    <s v="Discount Not Allowed"/>
    <s v="12/09/24"/>
  </r>
  <r>
    <s v="TXN_3546074"/>
    <s v="CUST_10"/>
    <x v="1"/>
    <x v="180"/>
    <x v="22"/>
    <x v="3"/>
    <n v="56"/>
    <x v="1"/>
    <x v="0"/>
    <x v="221"/>
    <x v="0"/>
    <s v="DISCOUNT NOT ALLOWED"/>
    <s v="discount not allowed"/>
    <s v="DISCOUNT NOT ALLOWED"/>
    <s v="Discount Not Allowed"/>
    <s v="20/11/24"/>
  </r>
  <r>
    <s v="TXN_3895137"/>
    <s v="CUST_08"/>
    <x v="1"/>
    <x v="149"/>
    <x v="18"/>
    <x v="6"/>
    <n v="56"/>
    <x v="2"/>
    <x v="0"/>
    <x v="846"/>
    <x v="0"/>
    <s v="DISCOUNT NOT ALLOWED"/>
    <s v="discount not allowed"/>
    <s v="DISCOUNT NOT ALLOWED"/>
    <s v="Discount Not Allowed"/>
    <s v="29/03/23"/>
  </r>
  <r>
    <s v="TXN_4173885"/>
    <s v="CUST_09"/>
    <x v="7"/>
    <x v="181"/>
    <x v="22"/>
    <x v="3"/>
    <n v="56"/>
    <x v="1"/>
    <x v="1"/>
    <x v="210"/>
    <x v="0"/>
    <s v="DISCOUNT NOT ALLOWED"/>
    <s v="discount not allowed"/>
    <s v="DISCOUNT NOT ALLOWED"/>
    <s v="Discount Not Allowed"/>
    <s v="15/08/22"/>
  </r>
  <r>
    <s v="TXN_4589320"/>
    <s v="CUST_23"/>
    <x v="0"/>
    <x v="179"/>
    <x v="22"/>
    <x v="3"/>
    <n v="56"/>
    <x v="1"/>
    <x v="0"/>
    <x v="66"/>
    <x v="0"/>
    <s v="DISCOUNT NOT ALLOWED"/>
    <s v="discount not allowed"/>
    <s v="DISCOUNT NOT ALLOWED"/>
    <s v="Discount Not Allowed"/>
    <s v="25/09/24"/>
  </r>
  <r>
    <s v="TXN_4717451"/>
    <s v="CUST_23"/>
    <x v="0"/>
    <x v="150"/>
    <x v="18"/>
    <x v="6"/>
    <n v="56"/>
    <x v="1"/>
    <x v="1"/>
    <x v="198"/>
    <x v="0"/>
    <s v="DISCOUNT NOT ALLOWED"/>
    <s v="discount not allowed"/>
    <s v="DISCOUNT NOT ALLOWED"/>
    <s v="Discount Not Allowed"/>
    <s v="04/11/23"/>
  </r>
  <r>
    <s v="TXN_4742105"/>
    <s v="CUST_23"/>
    <x v="0"/>
    <x v="179"/>
    <x v="22"/>
    <x v="3"/>
    <n v="56"/>
    <x v="2"/>
    <x v="1"/>
    <x v="91"/>
    <x v="0"/>
    <s v="DISCOUNT NOT ALLOWED"/>
    <s v="discount not allowed"/>
    <s v="DISCOUNT NOT ALLOWED"/>
    <s v="Discount Not Allowed"/>
    <s v="09/12/23"/>
  </r>
  <r>
    <s v="TXN_5115378"/>
    <s v="CUST_16"/>
    <x v="3"/>
    <x v="177"/>
    <x v="22"/>
    <x v="3"/>
    <n v="56"/>
    <x v="1"/>
    <x v="1"/>
    <x v="1045"/>
    <x v="1"/>
    <s v="DISCOUNT ALLOWED"/>
    <s v="discount allowed"/>
    <s v="DISCOUNT ALLOWED"/>
    <s v="Discount Allowed"/>
    <s v="15/11/22"/>
  </r>
  <r>
    <s v="TXN_5157840"/>
    <s v="CUST_18"/>
    <x v="4"/>
    <x v="176"/>
    <x v="22"/>
    <x v="3"/>
    <n v="56"/>
    <x v="0"/>
    <x v="1"/>
    <x v="43"/>
    <x v="0"/>
    <s v="DISCOUNT NOT ALLOWED"/>
    <s v="discount not allowed"/>
    <s v="DISCOUNT NOT ALLOWED"/>
    <s v="Discount Not Allowed"/>
    <s v="10/06/24"/>
  </r>
  <r>
    <s v="TXN_5184251"/>
    <s v="CUST_02"/>
    <x v="0"/>
    <x v="150"/>
    <x v="18"/>
    <x v="6"/>
    <n v="56"/>
    <x v="1"/>
    <x v="1"/>
    <x v="533"/>
    <x v="1"/>
    <s v="DISCOUNT ALLOWED"/>
    <s v="discount allowed"/>
    <s v="DISCOUNT ALLOWED"/>
    <s v="Discount Allowed"/>
    <s v="14/10/24"/>
  </r>
  <r>
    <s v="TXN_5289749"/>
    <s v="CUST_18"/>
    <x v="1"/>
    <x v="149"/>
    <x v="18"/>
    <x v="6"/>
    <n v="56"/>
    <x v="0"/>
    <x v="1"/>
    <x v="233"/>
    <x v="1"/>
    <s v="DISCOUNT ALLOWED"/>
    <s v="discount allowed"/>
    <s v="DISCOUNT ALLOWED"/>
    <s v="Discount Allowed"/>
    <s v="02/04/23"/>
  </r>
  <r>
    <s v="TXN_5410939"/>
    <s v="CUST_03"/>
    <x v="4"/>
    <x v="176"/>
    <x v="22"/>
    <x v="3"/>
    <n v="56"/>
    <x v="2"/>
    <x v="1"/>
    <x v="939"/>
    <x v="0"/>
    <s v="DISCOUNT NOT ALLOWED"/>
    <s v="discount not allowed"/>
    <s v="DISCOUNT NOT ALLOWED"/>
    <s v="Discount Not Allowed"/>
    <s v="26/10/24"/>
  </r>
  <r>
    <s v="TXN_5708335"/>
    <s v="CUST_21"/>
    <x v="4"/>
    <x v="176"/>
    <x v="22"/>
    <x v="3"/>
    <n v="56"/>
    <x v="2"/>
    <x v="0"/>
    <x v="153"/>
    <x v="1"/>
    <s v="DISCOUNT ALLOWED"/>
    <s v="discount allowed"/>
    <s v="DISCOUNT ALLOWED"/>
    <s v="Discount Allowed"/>
    <s v="28/05/23"/>
  </r>
  <r>
    <s v="TXN_5773991"/>
    <s v="CUST_01"/>
    <x v="4"/>
    <x v="176"/>
    <x v="22"/>
    <x v="3"/>
    <n v="56"/>
    <x v="1"/>
    <x v="0"/>
    <x v="992"/>
    <x v="0"/>
    <s v="DISCOUNT NOT ALLOWED"/>
    <s v="discount not allowed"/>
    <s v="DISCOUNT NOT ALLOWED"/>
    <s v="Discount Not Allowed"/>
    <s v="30/09/22"/>
  </r>
  <r>
    <s v="TXN_5888872"/>
    <s v="CUST_04"/>
    <x v="0"/>
    <x v="179"/>
    <x v="22"/>
    <x v="3"/>
    <n v="56"/>
    <x v="0"/>
    <x v="0"/>
    <x v="304"/>
    <x v="1"/>
    <s v="DISCOUNT ALLOWED"/>
    <s v="discount allowed"/>
    <s v="DISCOUNT ALLOWED"/>
    <s v="Discount Allowed"/>
    <s v="15/10/24"/>
  </r>
  <r>
    <s v="TXN_5974928"/>
    <s v="CUST_01"/>
    <x v="7"/>
    <x v="181"/>
    <x v="22"/>
    <x v="3"/>
    <n v="56"/>
    <x v="0"/>
    <x v="1"/>
    <x v="106"/>
    <x v="1"/>
    <s v="DISCOUNT ALLOWED"/>
    <s v="discount allowed"/>
    <s v="DISCOUNT ALLOWED"/>
    <s v="Discount Allowed"/>
    <s v="01/09/24"/>
  </r>
  <r>
    <s v="TXN_6420801"/>
    <s v="CUST_17"/>
    <x v="3"/>
    <x v="177"/>
    <x v="22"/>
    <x v="3"/>
    <n v="56"/>
    <x v="0"/>
    <x v="1"/>
    <x v="994"/>
    <x v="0"/>
    <s v="DISCOUNT NOT ALLOWED"/>
    <s v="discount not allowed"/>
    <s v="DISCOUNT NOT ALLOWED"/>
    <s v="Discount Not Allowed"/>
    <s v="10/03/24"/>
  </r>
  <r>
    <s v="TXN_6445701"/>
    <s v="CUST_04"/>
    <x v="2"/>
    <x v="148"/>
    <x v="18"/>
    <x v="6"/>
    <n v="56"/>
    <x v="2"/>
    <x v="0"/>
    <x v="694"/>
    <x v="1"/>
    <s v="DISCOUNT ALLOWED"/>
    <s v="discount allowed"/>
    <s v="DISCOUNT ALLOWED"/>
    <s v="Discount Allowed"/>
    <s v="28/01/23"/>
  </r>
  <r>
    <s v="TXN_6938910"/>
    <s v="CUST_06"/>
    <x v="2"/>
    <x v="148"/>
    <x v="18"/>
    <x v="6"/>
    <n v="56"/>
    <x v="2"/>
    <x v="1"/>
    <x v="606"/>
    <x v="1"/>
    <s v="DISCOUNT ALLOWED"/>
    <s v="discount allowed"/>
    <s v="DISCOUNT ALLOWED"/>
    <s v="Discount Allowed"/>
    <s v="02/08/23"/>
  </r>
  <r>
    <s v="TXN_6995557"/>
    <s v="CUST_02"/>
    <x v="0"/>
    <x v="150"/>
    <x v="18"/>
    <x v="6"/>
    <n v="56"/>
    <x v="1"/>
    <x v="0"/>
    <x v="409"/>
    <x v="1"/>
    <s v="DISCOUNT ALLOWED"/>
    <s v="discount allowed"/>
    <s v="DISCOUNT ALLOWED"/>
    <s v="Discount Allowed"/>
    <s v="13/07/23"/>
  </r>
  <r>
    <s v="TXN_7009289"/>
    <s v="CUST_24"/>
    <x v="7"/>
    <x v="146"/>
    <x v="18"/>
    <x v="6"/>
    <n v="56"/>
    <x v="1"/>
    <x v="1"/>
    <x v="869"/>
    <x v="1"/>
    <s v="DISCOUNT ALLOWED"/>
    <s v="discount allowed"/>
    <s v="DISCOUNT ALLOWED"/>
    <s v="Discount Allowed"/>
    <s v="16/07/22"/>
  </r>
  <r>
    <s v="TXN_7528525"/>
    <s v="CUST_11"/>
    <x v="7"/>
    <x v="146"/>
    <x v="18"/>
    <x v="6"/>
    <n v="56"/>
    <x v="1"/>
    <x v="1"/>
    <x v="1025"/>
    <x v="0"/>
    <s v="DISCOUNT NOT ALLOWED"/>
    <s v="discount not allowed"/>
    <s v="DISCOUNT NOT ALLOWED"/>
    <s v="Discount Not Allowed"/>
    <s v="06/05/23"/>
  </r>
  <r>
    <s v="TXN_7548408"/>
    <s v="CUST_18"/>
    <x v="0"/>
    <x v="150"/>
    <x v="18"/>
    <x v="6"/>
    <n v="56"/>
    <x v="0"/>
    <x v="0"/>
    <x v="252"/>
    <x v="0"/>
    <s v="DISCOUNT NOT ALLOWED"/>
    <s v="discount not allowed"/>
    <s v="DISCOUNT NOT ALLOWED"/>
    <s v="Discount Not Allowed"/>
    <s v="14/04/23"/>
  </r>
  <r>
    <s v="TXN_7601000"/>
    <s v="CUST_09"/>
    <x v="3"/>
    <x v="144"/>
    <x v="18"/>
    <x v="6"/>
    <n v="56"/>
    <x v="0"/>
    <x v="1"/>
    <x v="903"/>
    <x v="0"/>
    <s v="DISCOUNT NOT ALLOWED"/>
    <s v="discount not allowed"/>
    <s v="DISCOUNT NOT ALLOWED"/>
    <s v="Discount Not Allowed"/>
    <s v="18/01/24"/>
  </r>
  <r>
    <s v="TXN_7689893"/>
    <s v="CUST_10"/>
    <x v="3"/>
    <x v="144"/>
    <x v="18"/>
    <x v="6"/>
    <n v="56"/>
    <x v="0"/>
    <x v="1"/>
    <x v="468"/>
    <x v="0"/>
    <s v="DISCOUNT NOT ALLOWED"/>
    <s v="discount not allowed"/>
    <s v="DISCOUNT NOT ALLOWED"/>
    <s v="Discount Not Allowed"/>
    <s v="08/03/22"/>
  </r>
  <r>
    <s v="TXN_7763038"/>
    <s v="CUST_23"/>
    <x v="6"/>
    <x v="145"/>
    <x v="18"/>
    <x v="6"/>
    <n v="56"/>
    <x v="0"/>
    <x v="0"/>
    <x v="1005"/>
    <x v="0"/>
    <s v="DISCOUNT NOT ALLOWED"/>
    <s v="discount not allowed"/>
    <s v="DISCOUNT NOT ALLOWED"/>
    <s v="Discount Not Allowed"/>
    <s v="26/03/24"/>
  </r>
  <r>
    <s v="TXN_8429586"/>
    <s v="CUST_19"/>
    <x v="0"/>
    <x v="150"/>
    <x v="18"/>
    <x v="6"/>
    <n v="56"/>
    <x v="0"/>
    <x v="0"/>
    <x v="422"/>
    <x v="0"/>
    <s v="DISCOUNT NOT ALLOWED"/>
    <s v="discount not allowed"/>
    <s v="DISCOUNT NOT ALLOWED"/>
    <s v="Discount Not Allowed"/>
    <s v="05/02/23"/>
  </r>
  <r>
    <s v="TXN_8866340"/>
    <s v="CUST_18"/>
    <x v="0"/>
    <x v="179"/>
    <x v="22"/>
    <x v="3"/>
    <n v="56"/>
    <x v="2"/>
    <x v="1"/>
    <x v="983"/>
    <x v="0"/>
    <s v="DISCOUNT NOT ALLOWED"/>
    <s v="discount not allowed"/>
    <s v="DISCOUNT NOT ALLOWED"/>
    <s v="Discount Not Allowed"/>
    <s v="22/01/23"/>
  </r>
  <r>
    <s v="TXN_9389617"/>
    <s v="CUST_21"/>
    <x v="3"/>
    <x v="144"/>
    <x v="18"/>
    <x v="6"/>
    <n v="56"/>
    <x v="0"/>
    <x v="0"/>
    <x v="1007"/>
    <x v="1"/>
    <s v="DISCOUNT ALLOWED"/>
    <s v="discount allowed"/>
    <s v="DISCOUNT ALLOWED"/>
    <s v="Discount Allowed"/>
    <s v="18/12/24"/>
  </r>
  <r>
    <s v="TXN_9904612"/>
    <s v="CUST_16"/>
    <x v="7"/>
    <x v="146"/>
    <x v="18"/>
    <x v="6"/>
    <n v="56"/>
    <x v="0"/>
    <x v="0"/>
    <x v="1029"/>
    <x v="0"/>
    <s v="DISCOUNT NOT ALLOWED"/>
    <s v="discount not allowed"/>
    <s v="DISCOUNT NOT ALLOWED"/>
    <s v="Discount Not Allowed"/>
    <s v="03/01/24"/>
  </r>
  <r>
    <s v="TXN_1018578"/>
    <s v="CUST_10"/>
    <x v="6"/>
    <x v="120"/>
    <x v="15"/>
    <x v="7"/>
    <n v="55.5"/>
    <x v="1"/>
    <x v="0"/>
    <x v="1012"/>
    <x v="1"/>
    <s v="DISCOUNT ALLOWED"/>
    <s v="discount allowed"/>
    <s v="DISCOUNT ALLOWED"/>
    <s v="Discount Allowed"/>
    <s v="17/01/23"/>
  </r>
  <r>
    <s v="TXN_1350410"/>
    <s v="CUST_01"/>
    <x v="2"/>
    <x v="117"/>
    <x v="15"/>
    <x v="7"/>
    <n v="55.5"/>
    <x v="2"/>
    <x v="0"/>
    <x v="528"/>
    <x v="0"/>
    <s v="DISCOUNT NOT ALLOWED"/>
    <s v="discount not allowed"/>
    <s v="DISCOUNT NOT ALLOWED"/>
    <s v="Discount Not Allowed"/>
    <s v="11/09/24"/>
  </r>
  <r>
    <s v="TXN_1467177"/>
    <s v="CUST_10"/>
    <x v="6"/>
    <x v="120"/>
    <x v="15"/>
    <x v="7"/>
    <n v="55.5"/>
    <x v="2"/>
    <x v="1"/>
    <x v="878"/>
    <x v="1"/>
    <s v="DISCOUNT ALLOWED"/>
    <s v="discount allowed"/>
    <s v="DISCOUNT ALLOWED"/>
    <s v="Discount Allowed"/>
    <s v="13/10/22"/>
  </r>
  <r>
    <s v="TXN_1565598"/>
    <s v="CUST_03"/>
    <x v="3"/>
    <x v="124"/>
    <x v="15"/>
    <x v="7"/>
    <n v="55.5"/>
    <x v="2"/>
    <x v="0"/>
    <x v="61"/>
    <x v="1"/>
    <s v="DISCOUNT ALLOWED"/>
    <s v="discount allowed"/>
    <s v="DISCOUNT ALLOWED"/>
    <s v="Discount Allowed"/>
    <s v="18/01/23"/>
  </r>
  <r>
    <s v="TXN_1980623"/>
    <s v="CUST_05"/>
    <x v="4"/>
    <x v="118"/>
    <x v="15"/>
    <x v="7"/>
    <n v="55.5"/>
    <x v="0"/>
    <x v="1"/>
    <x v="232"/>
    <x v="1"/>
    <s v="DISCOUNT ALLOWED"/>
    <s v="discount allowed"/>
    <s v="DISCOUNT ALLOWED"/>
    <s v="Discount Allowed"/>
    <s v="28/02/22"/>
  </r>
  <r>
    <s v="TXN_2784398"/>
    <s v="CUST_24"/>
    <x v="3"/>
    <x v="124"/>
    <x v="15"/>
    <x v="7"/>
    <n v="55.5"/>
    <x v="0"/>
    <x v="1"/>
    <x v="678"/>
    <x v="0"/>
    <s v="DISCOUNT NOT ALLOWED"/>
    <s v="discount not allowed"/>
    <s v="DISCOUNT NOT ALLOWED"/>
    <s v="Discount Not Allowed"/>
    <s v="09/03/23"/>
  </r>
  <r>
    <s v="TXN_2899586"/>
    <s v="CUST_08"/>
    <x v="7"/>
    <x v="119"/>
    <x v="15"/>
    <x v="7"/>
    <n v="55.5"/>
    <x v="2"/>
    <x v="1"/>
    <x v="908"/>
    <x v="1"/>
    <s v="DISCOUNT ALLOWED"/>
    <s v="discount allowed"/>
    <s v="DISCOUNT ALLOWED"/>
    <s v="Discount Allowed"/>
    <s v="26/04/23"/>
  </r>
  <r>
    <s v="TXN_3302248"/>
    <s v="CUST_20"/>
    <x v="5"/>
    <x v="122"/>
    <x v="15"/>
    <x v="7"/>
    <n v="55.5"/>
    <x v="2"/>
    <x v="0"/>
    <x v="962"/>
    <x v="0"/>
    <s v="DISCOUNT NOT ALLOWED"/>
    <s v="discount not allowed"/>
    <s v="DISCOUNT NOT ALLOWED"/>
    <s v="Discount Not Allowed"/>
    <s v="04/01/24"/>
  </r>
  <r>
    <s v="TXN_3325627"/>
    <s v="CUST_21"/>
    <x v="1"/>
    <x v="121"/>
    <x v="15"/>
    <x v="7"/>
    <n v="55.5"/>
    <x v="0"/>
    <x v="1"/>
    <x v="155"/>
    <x v="1"/>
    <s v="DISCOUNT ALLOWED"/>
    <s v="discount allowed"/>
    <s v="DISCOUNT ALLOWED"/>
    <s v="Discount Allowed"/>
    <s v="19/02/22"/>
  </r>
  <r>
    <s v="TXN_3520780"/>
    <s v="CUST_03"/>
    <x v="2"/>
    <x v="117"/>
    <x v="15"/>
    <x v="7"/>
    <n v="55.5"/>
    <x v="0"/>
    <x v="1"/>
    <x v="712"/>
    <x v="1"/>
    <s v="DISCOUNT ALLOWED"/>
    <s v="discount allowed"/>
    <s v="DISCOUNT ALLOWED"/>
    <s v="Discount Allowed"/>
    <s v="30/04/22"/>
  </r>
  <r>
    <s v="TXN_3622835"/>
    <s v="CUST_10"/>
    <x v="2"/>
    <x v="117"/>
    <x v="15"/>
    <x v="7"/>
    <n v="55.5"/>
    <x v="1"/>
    <x v="0"/>
    <x v="967"/>
    <x v="1"/>
    <s v="DISCOUNT ALLOWED"/>
    <s v="discount allowed"/>
    <s v="DISCOUNT ALLOWED"/>
    <s v="Discount Allowed"/>
    <s v="15/04/24"/>
  </r>
  <r>
    <s v="TXN_3742027"/>
    <s v="CUST_04"/>
    <x v="3"/>
    <x v="124"/>
    <x v="15"/>
    <x v="7"/>
    <n v="55.5"/>
    <x v="0"/>
    <x v="0"/>
    <x v="894"/>
    <x v="1"/>
    <s v="DISCOUNT ALLOWED"/>
    <s v="discount allowed"/>
    <s v="DISCOUNT ALLOWED"/>
    <s v="Discount Allowed"/>
    <s v="30/08/22"/>
  </r>
  <r>
    <s v="TXN_3794692"/>
    <s v="CUST_08"/>
    <x v="6"/>
    <x v="120"/>
    <x v="15"/>
    <x v="7"/>
    <n v="55.5"/>
    <x v="1"/>
    <x v="1"/>
    <x v="85"/>
    <x v="0"/>
    <s v="DISCOUNT NOT ALLOWED"/>
    <s v="discount not allowed"/>
    <s v="DISCOUNT NOT ALLOWED"/>
    <s v="Discount Not Allowed"/>
    <s v="18/10/24"/>
  </r>
  <r>
    <s v="TXN_3878663"/>
    <s v="CUST_11"/>
    <x v="7"/>
    <x v="119"/>
    <x v="15"/>
    <x v="7"/>
    <n v="55.5"/>
    <x v="0"/>
    <x v="0"/>
    <x v="775"/>
    <x v="0"/>
    <s v="DISCOUNT NOT ALLOWED"/>
    <s v="discount not allowed"/>
    <s v="DISCOUNT NOT ALLOWED"/>
    <s v="Discount Not Allowed"/>
    <s v="31/03/24"/>
  </r>
  <r>
    <s v="TXN_4548524"/>
    <s v="CUST_15"/>
    <x v="6"/>
    <x v="120"/>
    <x v="15"/>
    <x v="7"/>
    <n v="55.5"/>
    <x v="2"/>
    <x v="0"/>
    <x v="695"/>
    <x v="0"/>
    <s v="DISCOUNT NOT ALLOWED"/>
    <s v="discount not allowed"/>
    <s v="DISCOUNT NOT ALLOWED"/>
    <s v="Discount Not Allowed"/>
    <s v="19/08/23"/>
  </r>
  <r>
    <s v="TXN_4848427"/>
    <s v="CUST_16"/>
    <x v="4"/>
    <x v="118"/>
    <x v="15"/>
    <x v="7"/>
    <n v="55.5"/>
    <x v="2"/>
    <x v="1"/>
    <x v="504"/>
    <x v="0"/>
    <s v="DISCOUNT NOT ALLOWED"/>
    <s v="discount not allowed"/>
    <s v="DISCOUNT NOT ALLOWED"/>
    <s v="Discount Not Allowed"/>
    <s v="12/02/22"/>
  </r>
  <r>
    <s v="TXN_5000633"/>
    <s v="CUST_12"/>
    <x v="4"/>
    <x v="118"/>
    <x v="15"/>
    <x v="7"/>
    <n v="55.5"/>
    <x v="0"/>
    <x v="1"/>
    <x v="702"/>
    <x v="1"/>
    <s v="DISCOUNT ALLOWED"/>
    <s v="discount allowed"/>
    <s v="DISCOUNT ALLOWED"/>
    <s v="Discount Allowed"/>
    <s v="09/02/22"/>
  </r>
  <r>
    <s v="TXN_5010435"/>
    <s v="CUST_20"/>
    <x v="4"/>
    <x v="118"/>
    <x v="15"/>
    <x v="7"/>
    <n v="55.5"/>
    <x v="2"/>
    <x v="1"/>
    <x v="48"/>
    <x v="1"/>
    <s v="DISCOUNT ALLOWED"/>
    <s v="discount allowed"/>
    <s v="DISCOUNT ALLOWED"/>
    <s v="Discount Allowed"/>
    <s v="03/12/22"/>
  </r>
  <r>
    <s v="TXN_5474573"/>
    <s v="CUST_03"/>
    <x v="4"/>
    <x v="118"/>
    <x v="15"/>
    <x v="7"/>
    <n v="55.5"/>
    <x v="0"/>
    <x v="0"/>
    <x v="132"/>
    <x v="1"/>
    <s v="DISCOUNT ALLOWED"/>
    <s v="discount allowed"/>
    <s v="DISCOUNT ALLOWED"/>
    <s v="Discount Allowed"/>
    <s v="12/09/23"/>
  </r>
  <r>
    <s v="TXN_5846723"/>
    <s v="CUST_05"/>
    <x v="7"/>
    <x v="119"/>
    <x v="15"/>
    <x v="7"/>
    <n v="55.5"/>
    <x v="1"/>
    <x v="1"/>
    <x v="604"/>
    <x v="0"/>
    <s v="DISCOUNT NOT ALLOWED"/>
    <s v="discount not allowed"/>
    <s v="DISCOUNT NOT ALLOWED"/>
    <s v="Discount Not Allowed"/>
    <s v="28/01/24"/>
  </r>
  <r>
    <s v="TXN_5888368"/>
    <s v="CUST_12"/>
    <x v="6"/>
    <x v="120"/>
    <x v="15"/>
    <x v="7"/>
    <n v="55.5"/>
    <x v="2"/>
    <x v="0"/>
    <x v="997"/>
    <x v="1"/>
    <s v="DISCOUNT ALLOWED"/>
    <s v="discount allowed"/>
    <s v="DISCOUNT ALLOWED"/>
    <s v="Discount Allowed"/>
    <s v="31/07/22"/>
  </r>
  <r>
    <s v="TXN_5916266"/>
    <s v="CUST_23"/>
    <x v="4"/>
    <x v="118"/>
    <x v="15"/>
    <x v="7"/>
    <n v="55.5"/>
    <x v="0"/>
    <x v="0"/>
    <x v="807"/>
    <x v="0"/>
    <s v="DISCOUNT NOT ALLOWED"/>
    <s v="discount not allowed"/>
    <s v="DISCOUNT NOT ALLOWED"/>
    <s v="Discount Not Allowed"/>
    <s v="19/10/23"/>
  </r>
  <r>
    <s v="TXN_7510517"/>
    <s v="CUST_05"/>
    <x v="3"/>
    <x v="124"/>
    <x v="15"/>
    <x v="7"/>
    <n v="55.5"/>
    <x v="0"/>
    <x v="0"/>
    <x v="994"/>
    <x v="0"/>
    <s v="DISCOUNT NOT ALLOWED"/>
    <s v="discount not allowed"/>
    <s v="DISCOUNT NOT ALLOWED"/>
    <s v="Discount Not Allowed"/>
    <s v="10/03/24"/>
  </r>
  <r>
    <s v="TXN_7728635"/>
    <s v="CUST_08"/>
    <x v="4"/>
    <x v="118"/>
    <x v="15"/>
    <x v="7"/>
    <n v="55.5"/>
    <x v="0"/>
    <x v="1"/>
    <x v="206"/>
    <x v="0"/>
    <s v="DISCOUNT NOT ALLOWED"/>
    <s v="discount not allowed"/>
    <s v="DISCOUNT NOT ALLOWED"/>
    <s v="Discount Not Allowed"/>
    <s v="08/02/22"/>
  </r>
  <r>
    <s v="TXN_8365008"/>
    <s v="CUST_05"/>
    <x v="5"/>
    <x v="122"/>
    <x v="15"/>
    <x v="7"/>
    <n v="55.5"/>
    <x v="0"/>
    <x v="0"/>
    <x v="491"/>
    <x v="1"/>
    <s v="DISCOUNT ALLOWED"/>
    <s v="discount allowed"/>
    <s v="DISCOUNT ALLOWED"/>
    <s v="Discount Allowed"/>
    <s v="01/01/23"/>
  </r>
  <r>
    <s v="TXN_8506676"/>
    <s v="CUST_18"/>
    <x v="4"/>
    <x v="118"/>
    <x v="15"/>
    <x v="7"/>
    <n v="55.5"/>
    <x v="2"/>
    <x v="0"/>
    <x v="105"/>
    <x v="1"/>
    <s v="DISCOUNT ALLOWED"/>
    <s v="discount allowed"/>
    <s v="DISCOUNT ALLOWED"/>
    <s v="Discount Allowed"/>
    <s v="19/09/24"/>
  </r>
  <r>
    <s v="TXN_8673963"/>
    <s v="CUST_13"/>
    <x v="6"/>
    <x v="120"/>
    <x v="15"/>
    <x v="7"/>
    <n v="55.5"/>
    <x v="2"/>
    <x v="0"/>
    <x v="695"/>
    <x v="1"/>
    <s v="DISCOUNT ALLOWED"/>
    <s v="discount allowed"/>
    <s v="DISCOUNT ALLOWED"/>
    <s v="Discount Allowed"/>
    <s v="19/08/23"/>
  </r>
  <r>
    <s v="TXN_9067549"/>
    <s v="CUST_15"/>
    <x v="7"/>
    <x v="119"/>
    <x v="15"/>
    <x v="7"/>
    <n v="55.5"/>
    <x v="2"/>
    <x v="0"/>
    <x v="67"/>
    <x v="0"/>
    <s v="DISCOUNT NOT ALLOWED"/>
    <s v="discount not allowed"/>
    <s v="DISCOUNT NOT ALLOWED"/>
    <s v="Discount Not Allowed"/>
    <s v="18/08/22"/>
  </r>
  <r>
    <s v="TXN_9885625"/>
    <s v="CUST_22"/>
    <x v="1"/>
    <x v="121"/>
    <x v="15"/>
    <x v="7"/>
    <n v="55.5"/>
    <x v="1"/>
    <x v="1"/>
    <x v="4"/>
    <x v="0"/>
    <s v="DISCOUNT NOT ALLOWED"/>
    <s v="discount not allowed"/>
    <s v="DISCOUNT NOT ALLOWED"/>
    <s v="Discount Not Allowed"/>
    <s v="23/03/24"/>
  </r>
  <r>
    <s v="TXN_9974710"/>
    <s v="CUST_20"/>
    <x v="2"/>
    <x v="117"/>
    <x v="15"/>
    <x v="7"/>
    <n v="55.5"/>
    <x v="0"/>
    <x v="1"/>
    <x v="296"/>
    <x v="0"/>
    <s v="DISCOUNT NOT ALLOWED"/>
    <s v="discount not allowed"/>
    <s v="DISCOUNT NOT ALLOWED"/>
    <s v="Discount Not Allowed"/>
    <s v="06/11/24"/>
  </r>
  <r>
    <s v="TXN_1002182"/>
    <s v="CUST_01"/>
    <x v="4"/>
    <x v="163"/>
    <x v="20"/>
    <x v="5"/>
    <n v="55"/>
    <x v="0"/>
    <x v="1"/>
    <x v="724"/>
    <x v="1"/>
    <s v="DISCOUNT ALLOWED"/>
    <s v="discount allowed"/>
    <s v="DISCOUNT ALLOWED"/>
    <s v="Discount Allowed"/>
    <s v="08/10/24"/>
  </r>
  <r>
    <s v="TXN_1034189"/>
    <s v="CUST_25"/>
    <x v="1"/>
    <x v="71"/>
    <x v="9"/>
    <x v="8"/>
    <n v="55"/>
    <x v="1"/>
    <x v="1"/>
    <x v="206"/>
    <x v="1"/>
    <s v="DISCOUNT ALLOWED"/>
    <s v="discount allowed"/>
    <s v="DISCOUNT ALLOWED"/>
    <s v="Discount Allowed"/>
    <s v="08/02/22"/>
  </r>
  <r>
    <s v="TXN_1038947"/>
    <s v="CUST_14"/>
    <x v="0"/>
    <x v="73"/>
    <x v="9"/>
    <x v="8"/>
    <n v="55"/>
    <x v="0"/>
    <x v="0"/>
    <x v="909"/>
    <x v="1"/>
    <s v="DISCOUNT ALLOWED"/>
    <s v="discount allowed"/>
    <s v="DISCOUNT ALLOWED"/>
    <s v="Discount Allowed"/>
    <s v="07/03/24"/>
  </r>
  <r>
    <s v="TXN_1043899"/>
    <s v="CUST_16"/>
    <x v="7"/>
    <x v="72"/>
    <x v="9"/>
    <x v="8"/>
    <n v="55"/>
    <x v="1"/>
    <x v="1"/>
    <x v="65"/>
    <x v="1"/>
    <s v="DISCOUNT ALLOWED"/>
    <s v="discount allowed"/>
    <s v="DISCOUNT ALLOWED"/>
    <s v="Discount Allowed"/>
    <s v="02/09/24"/>
  </r>
  <r>
    <s v="TXN_1059221"/>
    <s v="CUST_17"/>
    <x v="7"/>
    <x v="72"/>
    <x v="9"/>
    <x v="8"/>
    <n v="55"/>
    <x v="1"/>
    <x v="1"/>
    <x v="16"/>
    <x v="1"/>
    <s v="DISCOUNT ALLOWED"/>
    <s v="discount allowed"/>
    <s v="DISCOUNT ALLOWED"/>
    <s v="Discount Allowed"/>
    <s v="11/09/22"/>
  </r>
  <r>
    <s v="TXN_1061282"/>
    <s v="CUST_06"/>
    <x v="2"/>
    <x v="76"/>
    <x v="9"/>
    <x v="8"/>
    <n v="55"/>
    <x v="0"/>
    <x v="0"/>
    <x v="321"/>
    <x v="1"/>
    <s v="DISCOUNT ALLOWED"/>
    <s v="discount allowed"/>
    <s v="DISCOUNT ALLOWED"/>
    <s v="Discount Allowed"/>
    <s v="28/03/24"/>
  </r>
  <r>
    <s v="TXN_1076822"/>
    <s v="CUST_13"/>
    <x v="6"/>
    <x v="70"/>
    <x v="9"/>
    <x v="8"/>
    <n v="55"/>
    <x v="1"/>
    <x v="1"/>
    <x v="218"/>
    <x v="1"/>
    <s v="DISCOUNT ALLOWED"/>
    <s v="discount allowed"/>
    <s v="DISCOUNT ALLOWED"/>
    <s v="Discount Allowed"/>
    <s v="06/10/22"/>
  </r>
  <r>
    <s v="TXN_1091462"/>
    <s v="CUST_11"/>
    <x v="1"/>
    <x v="71"/>
    <x v="9"/>
    <x v="8"/>
    <n v="55"/>
    <x v="1"/>
    <x v="0"/>
    <x v="642"/>
    <x v="0"/>
    <s v="DISCOUNT NOT ALLOWED"/>
    <s v="discount not allowed"/>
    <s v="DISCOUNT NOT ALLOWED"/>
    <s v="Discount Not Allowed"/>
    <s v="22/06/22"/>
  </r>
  <r>
    <s v="TXN_1316715"/>
    <s v="CUST_05"/>
    <x v="1"/>
    <x v="71"/>
    <x v="9"/>
    <x v="8"/>
    <n v="55"/>
    <x v="0"/>
    <x v="0"/>
    <x v="440"/>
    <x v="0"/>
    <s v="DISCOUNT NOT ALLOWED"/>
    <s v="discount not allowed"/>
    <s v="DISCOUNT NOT ALLOWED"/>
    <s v="Discount Not Allowed"/>
    <s v="30/12/23"/>
  </r>
  <r>
    <s v="TXN_1662766"/>
    <s v="CUST_18"/>
    <x v="0"/>
    <x v="73"/>
    <x v="9"/>
    <x v="8"/>
    <n v="55"/>
    <x v="0"/>
    <x v="0"/>
    <x v="327"/>
    <x v="0"/>
    <s v="DISCOUNT NOT ALLOWED"/>
    <s v="discount not allowed"/>
    <s v="DISCOUNT NOT ALLOWED"/>
    <s v="Discount Not Allowed"/>
    <s v="19/05/24"/>
  </r>
  <r>
    <s v="TXN_1738985"/>
    <s v="CUST_22"/>
    <x v="4"/>
    <x v="163"/>
    <x v="20"/>
    <x v="5"/>
    <n v="55"/>
    <x v="1"/>
    <x v="1"/>
    <x v="89"/>
    <x v="1"/>
    <s v="DISCOUNT ALLOWED"/>
    <s v="discount allowed"/>
    <s v="DISCOUNT ALLOWED"/>
    <s v="Discount Allowed"/>
    <s v="14/01/22"/>
  </r>
  <r>
    <s v="TXN_1788956"/>
    <s v="CUST_01"/>
    <x v="7"/>
    <x v="72"/>
    <x v="9"/>
    <x v="8"/>
    <n v="55"/>
    <x v="0"/>
    <x v="0"/>
    <x v="37"/>
    <x v="0"/>
    <s v="DISCOUNT NOT ALLOWED"/>
    <s v="discount not allowed"/>
    <s v="DISCOUNT NOT ALLOWED"/>
    <s v="Discount Not Allowed"/>
    <s v="19/06/23"/>
  </r>
  <r>
    <s v="TXN_1869028"/>
    <s v="CUST_09"/>
    <x v="4"/>
    <x v="163"/>
    <x v="20"/>
    <x v="5"/>
    <n v="55"/>
    <x v="1"/>
    <x v="0"/>
    <x v="461"/>
    <x v="0"/>
    <s v="DISCOUNT NOT ALLOWED"/>
    <s v="discount not allowed"/>
    <s v="DISCOUNT NOT ALLOWED"/>
    <s v="Discount Not Allowed"/>
    <s v="01/11/23"/>
  </r>
  <r>
    <s v="TXN_2085328"/>
    <s v="CUST_18"/>
    <x v="7"/>
    <x v="72"/>
    <x v="9"/>
    <x v="8"/>
    <n v="55"/>
    <x v="0"/>
    <x v="1"/>
    <x v="1053"/>
    <x v="1"/>
    <s v="DISCOUNT ALLOWED"/>
    <s v="discount allowed"/>
    <s v="DISCOUNT ALLOWED"/>
    <s v="Discount Allowed"/>
    <s v="22/08/23"/>
  </r>
  <r>
    <s v="TXN_2118429"/>
    <s v="CUST_21"/>
    <x v="3"/>
    <x v="164"/>
    <x v="20"/>
    <x v="5"/>
    <n v="55"/>
    <x v="0"/>
    <x v="1"/>
    <x v="412"/>
    <x v="1"/>
    <s v="DISCOUNT ALLOWED"/>
    <s v="discount allowed"/>
    <s v="DISCOUNT ALLOWED"/>
    <s v="Discount Allowed"/>
    <s v="17/10/22"/>
  </r>
  <r>
    <s v="TXN_2163190"/>
    <s v="CUST_20"/>
    <x v="7"/>
    <x v="72"/>
    <x v="9"/>
    <x v="8"/>
    <n v="55"/>
    <x v="0"/>
    <x v="0"/>
    <x v="103"/>
    <x v="1"/>
    <s v="DISCOUNT ALLOWED"/>
    <s v="discount allowed"/>
    <s v="DISCOUNT ALLOWED"/>
    <s v="Discount Allowed"/>
    <s v="30/05/22"/>
  </r>
  <r>
    <s v="TXN_2449565"/>
    <s v="CUST_08"/>
    <x v="4"/>
    <x v="163"/>
    <x v="20"/>
    <x v="5"/>
    <n v="55"/>
    <x v="2"/>
    <x v="1"/>
    <x v="227"/>
    <x v="0"/>
    <s v="DISCOUNT NOT ALLOWED"/>
    <s v="discount not allowed"/>
    <s v="DISCOUNT NOT ALLOWED"/>
    <s v="Discount Not Allowed"/>
    <s v="12/06/24"/>
  </r>
  <r>
    <s v="TXN_2586658"/>
    <s v="CUST_15"/>
    <x v="3"/>
    <x v="74"/>
    <x v="9"/>
    <x v="8"/>
    <n v="55"/>
    <x v="1"/>
    <x v="0"/>
    <x v="299"/>
    <x v="0"/>
    <s v="DISCOUNT NOT ALLOWED"/>
    <s v="discount not allowed"/>
    <s v="DISCOUNT NOT ALLOWED"/>
    <s v="Discount Not Allowed"/>
    <s v="11/10/22"/>
  </r>
  <r>
    <s v="TXN_2719011"/>
    <s v="CUST_14"/>
    <x v="0"/>
    <x v="73"/>
    <x v="9"/>
    <x v="8"/>
    <n v="55"/>
    <x v="0"/>
    <x v="1"/>
    <x v="989"/>
    <x v="1"/>
    <s v="DISCOUNT ALLOWED"/>
    <s v="discount allowed"/>
    <s v="DISCOUNT ALLOWED"/>
    <s v="Discount Allowed"/>
    <s v="09/10/24"/>
  </r>
  <r>
    <s v="TXN_2726827"/>
    <s v="CUST_13"/>
    <x v="6"/>
    <x v="70"/>
    <x v="9"/>
    <x v="8"/>
    <n v="55"/>
    <x v="1"/>
    <x v="1"/>
    <x v="1046"/>
    <x v="1"/>
    <s v="DISCOUNT ALLOWED"/>
    <s v="discount allowed"/>
    <s v="DISCOUNT ALLOWED"/>
    <s v="Discount Allowed"/>
    <s v="05/03/24"/>
  </r>
  <r>
    <s v="TXN_2890875"/>
    <s v="CUST_15"/>
    <x v="6"/>
    <x v="162"/>
    <x v="20"/>
    <x v="5"/>
    <n v="55"/>
    <x v="0"/>
    <x v="1"/>
    <x v="498"/>
    <x v="0"/>
    <s v="DISCOUNT NOT ALLOWED"/>
    <s v="discount not allowed"/>
    <s v="DISCOUNT NOT ALLOWED"/>
    <s v="Discount Not Allowed"/>
    <s v="19/08/22"/>
  </r>
  <r>
    <s v="TXN_3584985"/>
    <s v="CUST_02"/>
    <x v="6"/>
    <x v="70"/>
    <x v="9"/>
    <x v="8"/>
    <n v="55"/>
    <x v="1"/>
    <x v="0"/>
    <x v="390"/>
    <x v="0"/>
    <s v="DISCOUNT NOT ALLOWED"/>
    <s v="discount not allowed"/>
    <s v="DISCOUNT NOT ALLOWED"/>
    <s v="Discount Not Allowed"/>
    <s v="22/11/24"/>
  </r>
  <r>
    <s v="TXN_3843142"/>
    <s v="CUST_09"/>
    <x v="2"/>
    <x v="161"/>
    <x v="20"/>
    <x v="5"/>
    <n v="55"/>
    <x v="0"/>
    <x v="1"/>
    <x v="665"/>
    <x v="1"/>
    <s v="DISCOUNT ALLOWED"/>
    <s v="discount allowed"/>
    <s v="DISCOUNT ALLOWED"/>
    <s v="Discount Allowed"/>
    <s v="04/02/22"/>
  </r>
  <r>
    <s v="TXN_4102275"/>
    <s v="CUST_12"/>
    <x v="0"/>
    <x v="174"/>
    <x v="20"/>
    <x v="5"/>
    <n v="55"/>
    <x v="1"/>
    <x v="0"/>
    <x v="891"/>
    <x v="1"/>
    <s v="DISCOUNT ALLOWED"/>
    <s v="discount allowed"/>
    <s v="DISCOUNT ALLOWED"/>
    <s v="Discount Allowed"/>
    <s v="07/04/22"/>
  </r>
  <r>
    <s v="TXN_4231938"/>
    <s v="CUST_16"/>
    <x v="1"/>
    <x v="71"/>
    <x v="9"/>
    <x v="8"/>
    <n v="55"/>
    <x v="0"/>
    <x v="0"/>
    <x v="161"/>
    <x v="1"/>
    <s v="DISCOUNT ALLOWED"/>
    <s v="discount allowed"/>
    <s v="DISCOUNT ALLOWED"/>
    <s v="Discount Allowed"/>
    <s v="04/06/24"/>
  </r>
  <r>
    <s v="TXN_4298643"/>
    <s v="CUST_07"/>
    <x v="2"/>
    <x v="76"/>
    <x v="9"/>
    <x v="8"/>
    <n v="55"/>
    <x v="0"/>
    <x v="0"/>
    <x v="609"/>
    <x v="0"/>
    <s v="DISCOUNT NOT ALLOWED"/>
    <s v="discount not allowed"/>
    <s v="DISCOUNT NOT ALLOWED"/>
    <s v="Discount Not Allowed"/>
    <s v="14/02/24"/>
  </r>
  <r>
    <s v="TXN_4340228"/>
    <s v="CUST_24"/>
    <x v="7"/>
    <x v="165"/>
    <x v="20"/>
    <x v="5"/>
    <n v="55"/>
    <x v="2"/>
    <x v="0"/>
    <x v="310"/>
    <x v="1"/>
    <s v="DISCOUNT ALLOWED"/>
    <s v="discount allowed"/>
    <s v="DISCOUNT ALLOWED"/>
    <s v="Discount Allowed"/>
    <s v="01/11/24"/>
  </r>
  <r>
    <s v="TXN_4662950"/>
    <s v="CUST_08"/>
    <x v="2"/>
    <x v="76"/>
    <x v="9"/>
    <x v="8"/>
    <n v="55"/>
    <x v="2"/>
    <x v="1"/>
    <x v="893"/>
    <x v="1"/>
    <s v="DISCOUNT ALLOWED"/>
    <s v="discount allowed"/>
    <s v="DISCOUNT ALLOWED"/>
    <s v="Discount Allowed"/>
    <s v="29/10/22"/>
  </r>
  <r>
    <s v="TXN_4793201"/>
    <s v="CUST_12"/>
    <x v="1"/>
    <x v="71"/>
    <x v="9"/>
    <x v="8"/>
    <n v="55"/>
    <x v="2"/>
    <x v="1"/>
    <x v="73"/>
    <x v="1"/>
    <s v="DISCOUNT ALLOWED"/>
    <s v="discount allowed"/>
    <s v="DISCOUNT ALLOWED"/>
    <s v="Discount Allowed"/>
    <s v="01/09/23"/>
  </r>
  <r>
    <s v="TXN_4919540"/>
    <s v="CUST_12"/>
    <x v="4"/>
    <x v="163"/>
    <x v="20"/>
    <x v="5"/>
    <n v="55"/>
    <x v="0"/>
    <x v="1"/>
    <x v="823"/>
    <x v="0"/>
    <s v="DISCOUNT NOT ALLOWED"/>
    <s v="discount not allowed"/>
    <s v="DISCOUNT NOT ALLOWED"/>
    <s v="Discount Not Allowed"/>
    <s v="17/09/22"/>
  </r>
  <r>
    <s v="TXN_4935565"/>
    <s v="CUST_07"/>
    <x v="2"/>
    <x v="161"/>
    <x v="20"/>
    <x v="5"/>
    <n v="55"/>
    <x v="2"/>
    <x v="0"/>
    <x v="109"/>
    <x v="1"/>
    <s v="DISCOUNT ALLOWED"/>
    <s v="discount allowed"/>
    <s v="DISCOUNT ALLOWED"/>
    <s v="Discount Allowed"/>
    <s v="05/06/22"/>
  </r>
  <r>
    <s v="TXN_5139260"/>
    <s v="CUST_16"/>
    <x v="1"/>
    <x v="71"/>
    <x v="9"/>
    <x v="8"/>
    <n v="55"/>
    <x v="2"/>
    <x v="1"/>
    <x v="958"/>
    <x v="1"/>
    <s v="DISCOUNT ALLOWED"/>
    <s v="discount allowed"/>
    <s v="DISCOUNT ALLOWED"/>
    <s v="Discount Allowed"/>
    <s v="19/07/23"/>
  </r>
  <r>
    <s v="TXN_5156735"/>
    <s v="CUST_11"/>
    <x v="0"/>
    <x v="73"/>
    <x v="9"/>
    <x v="8"/>
    <n v="55"/>
    <x v="1"/>
    <x v="1"/>
    <x v="12"/>
    <x v="1"/>
    <s v="DISCOUNT ALLOWED"/>
    <s v="discount allowed"/>
    <s v="DISCOUNT ALLOWED"/>
    <s v="Discount Allowed"/>
    <s v="23/07/24"/>
  </r>
  <r>
    <s v="TXN_5212165"/>
    <s v="CUST_19"/>
    <x v="6"/>
    <x v="162"/>
    <x v="20"/>
    <x v="5"/>
    <n v="55"/>
    <x v="1"/>
    <x v="0"/>
    <x v="972"/>
    <x v="1"/>
    <s v="DISCOUNT ALLOWED"/>
    <s v="discount allowed"/>
    <s v="DISCOUNT ALLOWED"/>
    <s v="Discount Allowed"/>
    <s v="06/08/23"/>
  </r>
  <r>
    <s v="TXN_5293933"/>
    <s v="CUST_20"/>
    <x v="6"/>
    <x v="162"/>
    <x v="20"/>
    <x v="5"/>
    <n v="55"/>
    <x v="1"/>
    <x v="1"/>
    <x v="1103"/>
    <x v="0"/>
    <s v="DISCOUNT NOT ALLOWED"/>
    <s v="discount not allowed"/>
    <s v="DISCOUNT NOT ALLOWED"/>
    <s v="Discount Not Allowed"/>
    <s v="06/12/22"/>
  </r>
  <r>
    <s v="TXN_5492495"/>
    <s v="CUST_19"/>
    <x v="2"/>
    <x v="161"/>
    <x v="20"/>
    <x v="5"/>
    <n v="55"/>
    <x v="0"/>
    <x v="1"/>
    <x v="403"/>
    <x v="1"/>
    <s v="DISCOUNT ALLOWED"/>
    <s v="discount allowed"/>
    <s v="DISCOUNT ALLOWED"/>
    <s v="Discount Allowed"/>
    <s v="07/05/23"/>
  </r>
  <r>
    <s v="TXN_5515647"/>
    <s v="CUST_05"/>
    <x v="3"/>
    <x v="164"/>
    <x v="20"/>
    <x v="5"/>
    <n v="55"/>
    <x v="1"/>
    <x v="0"/>
    <x v="118"/>
    <x v="1"/>
    <s v="DISCOUNT ALLOWED"/>
    <s v="discount allowed"/>
    <s v="DISCOUNT ALLOWED"/>
    <s v="Discount Allowed"/>
    <s v="27/04/22"/>
  </r>
  <r>
    <s v="TXN_5525894"/>
    <s v="CUST_18"/>
    <x v="4"/>
    <x v="101"/>
    <x v="9"/>
    <x v="8"/>
    <n v="55"/>
    <x v="2"/>
    <x v="1"/>
    <x v="259"/>
    <x v="0"/>
    <s v="DISCOUNT NOT ALLOWED"/>
    <s v="discount not allowed"/>
    <s v="DISCOUNT NOT ALLOWED"/>
    <s v="Discount Not Allowed"/>
    <s v="11/07/24"/>
  </r>
  <r>
    <s v="TXN_5621708"/>
    <s v="CUST_04"/>
    <x v="3"/>
    <x v="74"/>
    <x v="9"/>
    <x v="8"/>
    <n v="55"/>
    <x v="0"/>
    <x v="0"/>
    <x v="469"/>
    <x v="0"/>
    <s v="DISCOUNT NOT ALLOWED"/>
    <s v="discount not allowed"/>
    <s v="DISCOUNT NOT ALLOWED"/>
    <s v="Discount Not Allowed"/>
    <s v="29/11/23"/>
  </r>
  <r>
    <s v="TXN_5959676"/>
    <s v="CUST_19"/>
    <x v="0"/>
    <x v="73"/>
    <x v="9"/>
    <x v="8"/>
    <n v="55"/>
    <x v="2"/>
    <x v="0"/>
    <x v="49"/>
    <x v="1"/>
    <s v="DISCOUNT ALLOWED"/>
    <s v="discount allowed"/>
    <s v="DISCOUNT ALLOWED"/>
    <s v="Discount Allowed"/>
    <s v="14/09/22"/>
  </r>
  <r>
    <s v="TXN_6165989"/>
    <s v="CUST_13"/>
    <x v="4"/>
    <x v="163"/>
    <x v="20"/>
    <x v="5"/>
    <n v="55"/>
    <x v="0"/>
    <x v="0"/>
    <x v="483"/>
    <x v="0"/>
    <s v="DISCOUNT NOT ALLOWED"/>
    <s v="discount not allowed"/>
    <s v="DISCOUNT NOT ALLOWED"/>
    <s v="Discount Not Allowed"/>
    <s v="13/12/23"/>
  </r>
  <r>
    <s v="TXN_6217772"/>
    <s v="CUST_20"/>
    <x v="0"/>
    <x v="174"/>
    <x v="20"/>
    <x v="5"/>
    <n v="55"/>
    <x v="2"/>
    <x v="0"/>
    <x v="3"/>
    <x v="1"/>
    <s v="DISCOUNT ALLOWED"/>
    <s v="discount allowed"/>
    <s v="DISCOUNT ALLOWED"/>
    <s v="Discount Allowed"/>
    <s v="24/03/24"/>
  </r>
  <r>
    <s v="TXN_6396944"/>
    <s v="CUST_15"/>
    <x v="3"/>
    <x v="74"/>
    <x v="9"/>
    <x v="8"/>
    <n v="55"/>
    <x v="2"/>
    <x v="1"/>
    <x v="1018"/>
    <x v="0"/>
    <s v="DISCOUNT NOT ALLOWED"/>
    <s v="discount not allowed"/>
    <s v="DISCOUNT NOT ALLOWED"/>
    <s v="Discount Not Allowed"/>
    <s v="13/09/24"/>
  </r>
  <r>
    <s v="TXN_6431534"/>
    <s v="CUST_21"/>
    <x v="1"/>
    <x v="175"/>
    <x v="20"/>
    <x v="5"/>
    <n v="55"/>
    <x v="2"/>
    <x v="0"/>
    <x v="748"/>
    <x v="0"/>
    <s v="DISCOUNT NOT ALLOWED"/>
    <s v="discount not allowed"/>
    <s v="DISCOUNT NOT ALLOWED"/>
    <s v="Discount Not Allowed"/>
    <s v="21/06/23"/>
  </r>
  <r>
    <s v="TXN_6491775"/>
    <s v="CUST_06"/>
    <x v="5"/>
    <x v="160"/>
    <x v="20"/>
    <x v="5"/>
    <n v="55"/>
    <x v="0"/>
    <x v="1"/>
    <x v="829"/>
    <x v="0"/>
    <s v="DISCOUNT NOT ALLOWED"/>
    <s v="discount not allowed"/>
    <s v="DISCOUNT NOT ALLOWED"/>
    <s v="Discount Not Allowed"/>
    <s v="29/06/23"/>
  </r>
  <r>
    <s v="TXN_6621370"/>
    <s v="CUST_14"/>
    <x v="6"/>
    <x v="70"/>
    <x v="9"/>
    <x v="8"/>
    <n v="55"/>
    <x v="0"/>
    <x v="0"/>
    <x v="119"/>
    <x v="1"/>
    <s v="DISCOUNT ALLOWED"/>
    <s v="discount allowed"/>
    <s v="DISCOUNT ALLOWED"/>
    <s v="Discount Allowed"/>
    <s v="24/12/23"/>
  </r>
  <r>
    <s v="TXN_6677830"/>
    <s v="CUST_25"/>
    <x v="5"/>
    <x v="75"/>
    <x v="9"/>
    <x v="8"/>
    <n v="55"/>
    <x v="1"/>
    <x v="0"/>
    <x v="801"/>
    <x v="0"/>
    <s v="DISCOUNT NOT ALLOWED"/>
    <s v="discount not allowed"/>
    <s v="DISCOUNT NOT ALLOWED"/>
    <s v="Discount Not Allowed"/>
    <s v="22/12/22"/>
  </r>
  <r>
    <s v="TXN_6886810"/>
    <s v="CUST_12"/>
    <x v="6"/>
    <x v="70"/>
    <x v="9"/>
    <x v="8"/>
    <n v="55"/>
    <x v="0"/>
    <x v="0"/>
    <x v="782"/>
    <x v="1"/>
    <s v="DISCOUNT ALLOWED"/>
    <s v="discount allowed"/>
    <s v="DISCOUNT ALLOWED"/>
    <s v="Discount Allowed"/>
    <s v="13/09/23"/>
  </r>
  <r>
    <s v="TXN_7009968"/>
    <s v="CUST_02"/>
    <x v="4"/>
    <x v="163"/>
    <x v="20"/>
    <x v="5"/>
    <n v="55"/>
    <x v="0"/>
    <x v="1"/>
    <x v="856"/>
    <x v="0"/>
    <s v="DISCOUNT NOT ALLOWED"/>
    <s v="discount not allowed"/>
    <s v="DISCOUNT NOT ALLOWED"/>
    <s v="Discount Not Allowed"/>
    <s v="23/12/22"/>
  </r>
  <r>
    <s v="TXN_7202102"/>
    <s v="CUST_06"/>
    <x v="7"/>
    <x v="72"/>
    <x v="9"/>
    <x v="8"/>
    <n v="55"/>
    <x v="0"/>
    <x v="0"/>
    <x v="904"/>
    <x v="1"/>
    <s v="DISCOUNT ALLOWED"/>
    <s v="discount allowed"/>
    <s v="DISCOUNT ALLOWED"/>
    <s v="Discount Allowed"/>
    <s v="09/03/22"/>
  </r>
  <r>
    <s v="TXN_7232230"/>
    <s v="CUST_17"/>
    <x v="6"/>
    <x v="162"/>
    <x v="20"/>
    <x v="5"/>
    <n v="55"/>
    <x v="2"/>
    <x v="0"/>
    <x v="841"/>
    <x v="0"/>
    <s v="DISCOUNT NOT ALLOWED"/>
    <s v="discount not allowed"/>
    <s v="DISCOUNT NOT ALLOWED"/>
    <s v="Discount Not Allowed"/>
    <s v="14/06/23"/>
  </r>
  <r>
    <s v="TXN_7297135"/>
    <s v="CUST_10"/>
    <x v="1"/>
    <x v="71"/>
    <x v="9"/>
    <x v="8"/>
    <n v="55"/>
    <x v="2"/>
    <x v="1"/>
    <x v="562"/>
    <x v="0"/>
    <s v="DISCOUNT NOT ALLOWED"/>
    <s v="discount not allowed"/>
    <s v="DISCOUNT NOT ALLOWED"/>
    <s v="Discount Not Allowed"/>
    <s v="06/08/24"/>
  </r>
  <r>
    <s v="TXN_7478191"/>
    <s v="CUST_02"/>
    <x v="2"/>
    <x v="76"/>
    <x v="9"/>
    <x v="8"/>
    <n v="55"/>
    <x v="1"/>
    <x v="1"/>
    <x v="754"/>
    <x v="1"/>
    <s v="DISCOUNT ALLOWED"/>
    <s v="discount allowed"/>
    <s v="DISCOUNT ALLOWED"/>
    <s v="Discount Allowed"/>
    <s v="26/12/23"/>
  </r>
  <r>
    <s v="TXN_7686075"/>
    <s v="CUST_15"/>
    <x v="5"/>
    <x v="75"/>
    <x v="9"/>
    <x v="8"/>
    <n v="55"/>
    <x v="2"/>
    <x v="0"/>
    <x v="183"/>
    <x v="1"/>
    <s v="DISCOUNT ALLOWED"/>
    <s v="discount allowed"/>
    <s v="DISCOUNT ALLOWED"/>
    <s v="Discount Allowed"/>
    <s v="31/12/23"/>
  </r>
  <r>
    <s v="TXN_7727096"/>
    <s v="CUST_19"/>
    <x v="4"/>
    <x v="163"/>
    <x v="20"/>
    <x v="5"/>
    <n v="55"/>
    <x v="0"/>
    <x v="0"/>
    <x v="449"/>
    <x v="1"/>
    <s v="DISCOUNT ALLOWED"/>
    <s v="discount allowed"/>
    <s v="DISCOUNT ALLOWED"/>
    <s v="Discount Allowed"/>
    <s v="27/03/22"/>
  </r>
  <r>
    <s v="TXN_7889556"/>
    <s v="CUST_18"/>
    <x v="5"/>
    <x v="160"/>
    <x v="20"/>
    <x v="5"/>
    <n v="55"/>
    <x v="2"/>
    <x v="0"/>
    <x v="237"/>
    <x v="1"/>
    <s v="DISCOUNT ALLOWED"/>
    <s v="discount allowed"/>
    <s v="DISCOUNT ALLOWED"/>
    <s v="Discount Allowed"/>
    <s v="23/07/22"/>
  </r>
  <r>
    <s v="TXN_8228754"/>
    <s v="CUST_21"/>
    <x v="4"/>
    <x v="163"/>
    <x v="20"/>
    <x v="5"/>
    <n v="55"/>
    <x v="0"/>
    <x v="0"/>
    <x v="588"/>
    <x v="1"/>
    <s v="DISCOUNT ALLOWED"/>
    <s v="discount allowed"/>
    <s v="DISCOUNT ALLOWED"/>
    <s v="Discount Allowed"/>
    <s v="10/01/22"/>
  </r>
  <r>
    <s v="TXN_8270365"/>
    <s v="CUST_04"/>
    <x v="3"/>
    <x v="74"/>
    <x v="9"/>
    <x v="8"/>
    <n v="55"/>
    <x v="1"/>
    <x v="1"/>
    <x v="1058"/>
    <x v="1"/>
    <s v="DISCOUNT ALLOWED"/>
    <s v="discount allowed"/>
    <s v="DISCOUNT ALLOWED"/>
    <s v="Discount Allowed"/>
    <s v="06/08/22"/>
  </r>
  <r>
    <s v="TXN_8313082"/>
    <s v="CUST_22"/>
    <x v="6"/>
    <x v="162"/>
    <x v="20"/>
    <x v="5"/>
    <n v="55"/>
    <x v="0"/>
    <x v="1"/>
    <x v="832"/>
    <x v="0"/>
    <s v="DISCOUNT NOT ALLOWED"/>
    <s v="discount not allowed"/>
    <s v="DISCOUNT NOT ALLOWED"/>
    <s v="Discount Not Allowed"/>
    <s v="27/08/22"/>
  </r>
  <r>
    <s v="TXN_8727312"/>
    <s v="CUST_15"/>
    <x v="4"/>
    <x v="163"/>
    <x v="20"/>
    <x v="5"/>
    <n v="55"/>
    <x v="1"/>
    <x v="0"/>
    <x v="255"/>
    <x v="0"/>
    <s v="DISCOUNT NOT ALLOWED"/>
    <s v="discount not allowed"/>
    <s v="DISCOUNT NOT ALLOWED"/>
    <s v="Discount Not Allowed"/>
    <s v="22/05/23"/>
  </r>
  <r>
    <s v="TXN_8739336"/>
    <s v="CUST_23"/>
    <x v="2"/>
    <x v="76"/>
    <x v="9"/>
    <x v="8"/>
    <n v="55"/>
    <x v="0"/>
    <x v="0"/>
    <x v="126"/>
    <x v="0"/>
    <s v="DISCOUNT NOT ALLOWED"/>
    <s v="discount not allowed"/>
    <s v="DISCOUNT NOT ALLOWED"/>
    <s v="Discount Not Allowed"/>
    <s v="21/10/23"/>
  </r>
  <r>
    <s v="TXN_8781758"/>
    <s v="CUST_20"/>
    <x v="2"/>
    <x v="161"/>
    <x v="20"/>
    <x v="5"/>
    <n v="55"/>
    <x v="2"/>
    <x v="1"/>
    <x v="999"/>
    <x v="1"/>
    <s v="DISCOUNT ALLOWED"/>
    <s v="discount allowed"/>
    <s v="DISCOUNT ALLOWED"/>
    <s v="Discount Allowed"/>
    <s v="13/02/24"/>
  </r>
  <r>
    <s v="TXN_8797238"/>
    <s v="CUST_24"/>
    <x v="0"/>
    <x v="73"/>
    <x v="9"/>
    <x v="8"/>
    <n v="55"/>
    <x v="1"/>
    <x v="1"/>
    <x v="219"/>
    <x v="1"/>
    <s v="DISCOUNT ALLOWED"/>
    <s v="discount allowed"/>
    <s v="DISCOUNT ALLOWED"/>
    <s v="Discount Allowed"/>
    <s v="23/05/23"/>
  </r>
  <r>
    <s v="TXN_8937865"/>
    <s v="CUST_19"/>
    <x v="2"/>
    <x v="76"/>
    <x v="9"/>
    <x v="8"/>
    <n v="55"/>
    <x v="2"/>
    <x v="1"/>
    <x v="731"/>
    <x v="0"/>
    <s v="DISCOUNT NOT ALLOWED"/>
    <s v="discount not allowed"/>
    <s v="DISCOUNT NOT ALLOWED"/>
    <s v="Discount Not Allowed"/>
    <s v="09/07/24"/>
  </r>
  <r>
    <s v="TXN_8994966"/>
    <s v="CUST_14"/>
    <x v="3"/>
    <x v="164"/>
    <x v="20"/>
    <x v="5"/>
    <n v="55"/>
    <x v="1"/>
    <x v="0"/>
    <x v="175"/>
    <x v="1"/>
    <s v="DISCOUNT ALLOWED"/>
    <s v="discount allowed"/>
    <s v="DISCOUNT ALLOWED"/>
    <s v="Discount Allowed"/>
    <s v="25/12/24"/>
  </r>
  <r>
    <s v="TXN_9115473"/>
    <s v="CUST_18"/>
    <x v="2"/>
    <x v="161"/>
    <x v="20"/>
    <x v="5"/>
    <n v="55"/>
    <x v="2"/>
    <x v="1"/>
    <x v="229"/>
    <x v="0"/>
    <s v="DISCOUNT NOT ALLOWED"/>
    <s v="discount not allowed"/>
    <s v="DISCOUNT NOT ALLOWED"/>
    <s v="Discount Not Allowed"/>
    <s v="16/03/24"/>
  </r>
  <r>
    <s v="TXN_9350737"/>
    <s v="CUST_10"/>
    <x v="0"/>
    <x v="73"/>
    <x v="9"/>
    <x v="8"/>
    <n v="55"/>
    <x v="1"/>
    <x v="1"/>
    <x v="469"/>
    <x v="1"/>
    <s v="DISCOUNT ALLOWED"/>
    <s v="discount allowed"/>
    <s v="DISCOUNT ALLOWED"/>
    <s v="Discount Allowed"/>
    <s v="29/11/23"/>
  </r>
  <r>
    <s v="TXN_9542148"/>
    <s v="CUST_24"/>
    <x v="3"/>
    <x v="164"/>
    <x v="20"/>
    <x v="5"/>
    <n v="55"/>
    <x v="1"/>
    <x v="0"/>
    <x v="826"/>
    <x v="0"/>
    <s v="DISCOUNT NOT ALLOWED"/>
    <s v="discount not allowed"/>
    <s v="DISCOUNT NOT ALLOWED"/>
    <s v="Discount Not Allowed"/>
    <s v="03/08/22"/>
  </r>
  <r>
    <s v="TXN_9760364"/>
    <s v="CUST_16"/>
    <x v="2"/>
    <x v="161"/>
    <x v="20"/>
    <x v="5"/>
    <n v="55"/>
    <x v="2"/>
    <x v="0"/>
    <x v="164"/>
    <x v="1"/>
    <s v="DISCOUNT ALLOWED"/>
    <s v="discount allowed"/>
    <s v="DISCOUNT ALLOWED"/>
    <s v="Discount Allowed"/>
    <s v="26/01/22"/>
  </r>
  <r>
    <s v="TXN_9874732"/>
    <s v="CUST_07"/>
    <x v="5"/>
    <x v="75"/>
    <x v="9"/>
    <x v="8"/>
    <n v="55"/>
    <x v="2"/>
    <x v="1"/>
    <x v="832"/>
    <x v="0"/>
    <s v="DISCOUNT NOT ALLOWED"/>
    <s v="discount not allowed"/>
    <s v="DISCOUNT NOT ALLOWED"/>
    <s v="Discount Not Allowed"/>
    <s v="27/08/22"/>
  </r>
  <r>
    <s v="TXN_9911083"/>
    <s v="CUST_07"/>
    <x v="5"/>
    <x v="75"/>
    <x v="9"/>
    <x v="8"/>
    <n v="55"/>
    <x v="0"/>
    <x v="1"/>
    <x v="961"/>
    <x v="0"/>
    <s v="DISCOUNT NOT ALLOWED"/>
    <s v="discount not allowed"/>
    <s v="DISCOUNT NOT ALLOWED"/>
    <s v="Discount Not Allowed"/>
    <s v="18/10/23"/>
  </r>
  <r>
    <s v="TXN_9941031"/>
    <s v="CUST_05"/>
    <x v="7"/>
    <x v="165"/>
    <x v="20"/>
    <x v="5"/>
    <n v="55"/>
    <x v="2"/>
    <x v="1"/>
    <x v="252"/>
    <x v="0"/>
    <s v="DISCOUNT NOT ALLOWED"/>
    <s v="discount not allowed"/>
    <s v="DISCOUNT NOT ALLOWED"/>
    <s v="Discount Not Allowed"/>
    <s v="14/04/23"/>
  </r>
  <r>
    <s v="TXN_9967438"/>
    <s v="CUST_02"/>
    <x v="0"/>
    <x v="73"/>
    <x v="9"/>
    <x v="8"/>
    <n v="55"/>
    <x v="0"/>
    <x v="0"/>
    <x v="291"/>
    <x v="0"/>
    <s v="DISCOUNT NOT ALLOWED"/>
    <s v="discount not allowed"/>
    <s v="DISCOUNT NOT ALLOWED"/>
    <s v="Discount Not Allowed"/>
    <s v="22/02/24"/>
  </r>
  <r>
    <s v="TXN_1040270"/>
    <s v="CUST_02"/>
    <x v="2"/>
    <x v="77"/>
    <x v="10"/>
    <x v="8"/>
    <n v="52"/>
    <x v="2"/>
    <x v="1"/>
    <x v="764"/>
    <x v="1"/>
    <s v="DISCOUNT ALLOWED"/>
    <s v="discount allowed"/>
    <s v="DISCOUNT ALLOWED"/>
    <s v="Discount Allowed"/>
    <s v="03/05/22"/>
  </r>
  <r>
    <s v="TXN_1135615"/>
    <s v="CUST_21"/>
    <x v="1"/>
    <x v="184"/>
    <x v="23"/>
    <x v="2"/>
    <n v="52"/>
    <x v="0"/>
    <x v="1"/>
    <x v="607"/>
    <x v="1"/>
    <s v="DISCOUNT ALLOWED"/>
    <s v="discount allowed"/>
    <s v="DISCOUNT ALLOWED"/>
    <s v="Discount Allowed"/>
    <s v="25/08/22"/>
  </r>
  <r>
    <s v="TXN_1156632"/>
    <s v="CUST_05"/>
    <x v="4"/>
    <x v="79"/>
    <x v="10"/>
    <x v="8"/>
    <n v="52"/>
    <x v="1"/>
    <x v="1"/>
    <x v="191"/>
    <x v="1"/>
    <s v="DISCOUNT ALLOWED"/>
    <s v="discount allowed"/>
    <s v="DISCOUNT ALLOWED"/>
    <s v="Discount Allowed"/>
    <s v="21/06/24"/>
  </r>
  <r>
    <s v="TXN_1512224"/>
    <s v="CUST_21"/>
    <x v="5"/>
    <x v="190"/>
    <x v="23"/>
    <x v="2"/>
    <n v="52"/>
    <x v="0"/>
    <x v="0"/>
    <x v="635"/>
    <x v="1"/>
    <s v="DISCOUNT ALLOWED"/>
    <s v="discount allowed"/>
    <s v="DISCOUNT ALLOWED"/>
    <s v="Discount Allowed"/>
    <s v="26/11/23"/>
  </r>
  <r>
    <s v="TXN_1908642"/>
    <s v="CUST_05"/>
    <x v="7"/>
    <x v="83"/>
    <x v="10"/>
    <x v="8"/>
    <n v="52"/>
    <x v="2"/>
    <x v="1"/>
    <x v="162"/>
    <x v="1"/>
    <s v="DISCOUNT ALLOWED"/>
    <s v="discount allowed"/>
    <s v="DISCOUNT ALLOWED"/>
    <s v="Discount Allowed"/>
    <s v="08/03/24"/>
  </r>
  <r>
    <s v="TXN_1928195"/>
    <s v="CUST_09"/>
    <x v="3"/>
    <x v="80"/>
    <x v="10"/>
    <x v="8"/>
    <n v="52"/>
    <x v="2"/>
    <x v="1"/>
    <x v="409"/>
    <x v="0"/>
    <s v="DISCOUNT NOT ALLOWED"/>
    <s v="discount not allowed"/>
    <s v="DISCOUNT NOT ALLOWED"/>
    <s v="Discount Not Allowed"/>
    <s v="13/07/23"/>
  </r>
  <r>
    <s v="TXN_2023468"/>
    <s v="CUST_07"/>
    <x v="5"/>
    <x v="81"/>
    <x v="10"/>
    <x v="8"/>
    <n v="52"/>
    <x v="1"/>
    <x v="1"/>
    <x v="210"/>
    <x v="1"/>
    <s v="DISCOUNT ALLOWED"/>
    <s v="discount allowed"/>
    <s v="DISCOUNT ALLOWED"/>
    <s v="Discount Allowed"/>
    <s v="15/08/22"/>
  </r>
  <r>
    <s v="TXN_2046951"/>
    <s v="CUST_11"/>
    <x v="3"/>
    <x v="189"/>
    <x v="23"/>
    <x v="2"/>
    <n v="52"/>
    <x v="0"/>
    <x v="0"/>
    <x v="612"/>
    <x v="1"/>
    <s v="DISCOUNT ALLOWED"/>
    <s v="discount allowed"/>
    <s v="DISCOUNT ALLOWED"/>
    <s v="Discount Allowed"/>
    <s v="18/11/24"/>
  </r>
  <r>
    <s v="TXN_2279017"/>
    <s v="CUST_09"/>
    <x v="2"/>
    <x v="187"/>
    <x v="23"/>
    <x v="2"/>
    <n v="52"/>
    <x v="0"/>
    <x v="1"/>
    <x v="100"/>
    <x v="0"/>
    <s v="DISCOUNT NOT ALLOWED"/>
    <s v="discount not allowed"/>
    <s v="DISCOUNT NOT ALLOWED"/>
    <s v="Discount Not Allowed"/>
    <s v="18/02/24"/>
  </r>
  <r>
    <s v="TXN_2394851"/>
    <s v="CUST_15"/>
    <x v="7"/>
    <x v="83"/>
    <x v="10"/>
    <x v="8"/>
    <n v="52"/>
    <x v="0"/>
    <x v="0"/>
    <x v="116"/>
    <x v="1"/>
    <s v="DISCOUNT ALLOWED"/>
    <s v="discount allowed"/>
    <s v="DISCOUNT ALLOWED"/>
    <s v="Discount Allowed"/>
    <s v="25/10/23"/>
  </r>
  <r>
    <s v="TXN_2781577"/>
    <s v="CUST_04"/>
    <x v="5"/>
    <x v="81"/>
    <x v="10"/>
    <x v="8"/>
    <n v="52"/>
    <x v="1"/>
    <x v="0"/>
    <x v="392"/>
    <x v="0"/>
    <s v="DISCOUNT NOT ALLOWED"/>
    <s v="discount not allowed"/>
    <s v="DISCOUNT NOT ALLOWED"/>
    <s v="Discount Not Allowed"/>
    <s v="13/01/23"/>
  </r>
  <r>
    <s v="TXN_2790270"/>
    <s v="CUST_24"/>
    <x v="6"/>
    <x v="188"/>
    <x v="23"/>
    <x v="2"/>
    <n v="52"/>
    <x v="2"/>
    <x v="0"/>
    <x v="468"/>
    <x v="0"/>
    <s v="DISCOUNT NOT ALLOWED"/>
    <s v="discount not allowed"/>
    <s v="DISCOUNT NOT ALLOWED"/>
    <s v="Discount Not Allowed"/>
    <s v="08/03/22"/>
  </r>
  <r>
    <s v="TXN_2811659"/>
    <s v="CUST_03"/>
    <x v="1"/>
    <x v="184"/>
    <x v="23"/>
    <x v="2"/>
    <n v="52"/>
    <x v="2"/>
    <x v="0"/>
    <x v="269"/>
    <x v="0"/>
    <s v="DISCOUNT NOT ALLOWED"/>
    <s v="discount not allowed"/>
    <s v="DISCOUNT NOT ALLOWED"/>
    <s v="Discount Not Allowed"/>
    <s v="26/07/22"/>
  </r>
  <r>
    <s v="TXN_3111915"/>
    <s v="CUST_08"/>
    <x v="0"/>
    <x v="186"/>
    <x v="23"/>
    <x v="2"/>
    <n v="52"/>
    <x v="1"/>
    <x v="0"/>
    <x v="99"/>
    <x v="1"/>
    <s v="DISCOUNT ALLOWED"/>
    <s v="discount allowed"/>
    <s v="DISCOUNT ALLOWED"/>
    <s v="Discount Allowed"/>
    <s v="04/03/23"/>
  </r>
  <r>
    <s v="TXN_3226342"/>
    <s v="CUST_12"/>
    <x v="0"/>
    <x v="186"/>
    <x v="23"/>
    <x v="2"/>
    <n v="52"/>
    <x v="0"/>
    <x v="0"/>
    <x v="327"/>
    <x v="1"/>
    <s v="DISCOUNT ALLOWED"/>
    <s v="discount allowed"/>
    <s v="DISCOUNT ALLOWED"/>
    <s v="Discount Allowed"/>
    <s v="19/05/24"/>
  </r>
  <r>
    <s v="TXN_3515984"/>
    <s v="CUST_22"/>
    <x v="0"/>
    <x v="186"/>
    <x v="23"/>
    <x v="2"/>
    <n v="52"/>
    <x v="2"/>
    <x v="1"/>
    <x v="44"/>
    <x v="0"/>
    <s v="DISCOUNT NOT ALLOWED"/>
    <s v="discount not allowed"/>
    <s v="DISCOUNT NOT ALLOWED"/>
    <s v="Discount Not Allowed"/>
    <s v="02/10/22"/>
  </r>
  <r>
    <s v="TXN_3676551"/>
    <s v="CUST_20"/>
    <x v="2"/>
    <x v="187"/>
    <x v="23"/>
    <x v="2"/>
    <n v="52"/>
    <x v="0"/>
    <x v="1"/>
    <x v="44"/>
    <x v="1"/>
    <s v="DISCOUNT ALLOWED"/>
    <s v="discount allowed"/>
    <s v="DISCOUNT ALLOWED"/>
    <s v="Discount Allowed"/>
    <s v="02/10/22"/>
  </r>
  <r>
    <s v="TXN_3764016"/>
    <s v="CUST_21"/>
    <x v="5"/>
    <x v="81"/>
    <x v="10"/>
    <x v="8"/>
    <n v="52"/>
    <x v="1"/>
    <x v="0"/>
    <x v="740"/>
    <x v="0"/>
    <s v="DISCOUNT NOT ALLOWED"/>
    <s v="discount not allowed"/>
    <s v="DISCOUNT NOT ALLOWED"/>
    <s v="Discount Not Allowed"/>
    <s v="04/09/22"/>
  </r>
  <r>
    <s v="TXN_3880353"/>
    <s v="CUST_10"/>
    <x v="1"/>
    <x v="184"/>
    <x v="23"/>
    <x v="2"/>
    <n v="52"/>
    <x v="1"/>
    <x v="0"/>
    <x v="129"/>
    <x v="1"/>
    <s v="DISCOUNT ALLOWED"/>
    <s v="discount allowed"/>
    <s v="DISCOUNT ALLOWED"/>
    <s v="Discount Allowed"/>
    <s v="06/06/24"/>
  </r>
  <r>
    <s v="TXN_4061146"/>
    <s v="CUST_13"/>
    <x v="7"/>
    <x v="83"/>
    <x v="10"/>
    <x v="8"/>
    <n v="52"/>
    <x v="2"/>
    <x v="0"/>
    <x v="147"/>
    <x v="0"/>
    <s v="DISCOUNT NOT ALLOWED"/>
    <s v="discount not allowed"/>
    <s v="DISCOUNT NOT ALLOWED"/>
    <s v="Discount Not Allowed"/>
    <s v="15/07/23"/>
  </r>
  <r>
    <s v="TXN_4082819"/>
    <s v="CUST_25"/>
    <x v="2"/>
    <x v="187"/>
    <x v="23"/>
    <x v="2"/>
    <n v="52"/>
    <x v="2"/>
    <x v="0"/>
    <x v="482"/>
    <x v="0"/>
    <s v="DISCOUNT NOT ALLOWED"/>
    <s v="discount not allowed"/>
    <s v="DISCOUNT NOT ALLOWED"/>
    <s v="Discount Not Allowed"/>
    <s v="03/03/23"/>
  </r>
  <r>
    <s v="TXN_4132386"/>
    <s v="CUST_06"/>
    <x v="3"/>
    <x v="80"/>
    <x v="10"/>
    <x v="8"/>
    <n v="52"/>
    <x v="0"/>
    <x v="1"/>
    <x v="382"/>
    <x v="1"/>
    <s v="DISCOUNT ALLOWED"/>
    <s v="discount allowed"/>
    <s v="DISCOUNT ALLOWED"/>
    <s v="Discount Allowed"/>
    <s v="25/07/22"/>
  </r>
  <r>
    <s v="TXN_4249164"/>
    <s v="CUST_09"/>
    <x v="5"/>
    <x v="190"/>
    <x v="23"/>
    <x v="2"/>
    <n v="52"/>
    <x v="0"/>
    <x v="1"/>
    <x v="872"/>
    <x v="0"/>
    <s v="DISCOUNT NOT ALLOWED"/>
    <s v="discount not allowed"/>
    <s v="DISCOUNT NOT ALLOWED"/>
    <s v="Discount Not Allowed"/>
    <s v="07/06/24"/>
  </r>
  <r>
    <s v="TXN_4335091"/>
    <s v="CUST_18"/>
    <x v="2"/>
    <x v="187"/>
    <x v="23"/>
    <x v="2"/>
    <n v="52"/>
    <x v="0"/>
    <x v="0"/>
    <x v="694"/>
    <x v="1"/>
    <s v="DISCOUNT ALLOWED"/>
    <s v="discount allowed"/>
    <s v="DISCOUNT ALLOWED"/>
    <s v="Discount Allowed"/>
    <s v="28/01/23"/>
  </r>
  <r>
    <s v="TXN_4966636"/>
    <s v="CUST_25"/>
    <x v="7"/>
    <x v="191"/>
    <x v="23"/>
    <x v="2"/>
    <n v="52"/>
    <x v="0"/>
    <x v="0"/>
    <x v="982"/>
    <x v="1"/>
    <s v="DISCOUNT ALLOWED"/>
    <s v="discount allowed"/>
    <s v="DISCOUNT ALLOWED"/>
    <s v="Discount Allowed"/>
    <s v="19/11/24"/>
  </r>
  <r>
    <s v="TXN_5107572"/>
    <s v="CUST_06"/>
    <x v="3"/>
    <x v="189"/>
    <x v="23"/>
    <x v="2"/>
    <n v="52"/>
    <x v="2"/>
    <x v="1"/>
    <x v="632"/>
    <x v="1"/>
    <s v="DISCOUNT ALLOWED"/>
    <s v="discount allowed"/>
    <s v="DISCOUNT ALLOWED"/>
    <s v="Discount Allowed"/>
    <s v="06/09/23"/>
  </r>
  <r>
    <s v="TXN_5187397"/>
    <s v="CUST_11"/>
    <x v="4"/>
    <x v="79"/>
    <x v="10"/>
    <x v="8"/>
    <n v="52"/>
    <x v="0"/>
    <x v="0"/>
    <x v="363"/>
    <x v="1"/>
    <s v="DISCOUNT ALLOWED"/>
    <s v="discount allowed"/>
    <s v="DISCOUNT ALLOWED"/>
    <s v="Discount Allowed"/>
    <s v="20/03/23"/>
  </r>
  <r>
    <s v="TXN_5204789"/>
    <s v="CUST_04"/>
    <x v="2"/>
    <x v="187"/>
    <x v="23"/>
    <x v="2"/>
    <n v="52"/>
    <x v="0"/>
    <x v="0"/>
    <x v="302"/>
    <x v="1"/>
    <s v="DISCOUNT ALLOWED"/>
    <s v="discount allowed"/>
    <s v="DISCOUNT ALLOWED"/>
    <s v="Discount Allowed"/>
    <s v="05/11/22"/>
  </r>
  <r>
    <s v="TXN_5646436"/>
    <s v="CUST_16"/>
    <x v="3"/>
    <x v="80"/>
    <x v="10"/>
    <x v="8"/>
    <n v="52"/>
    <x v="2"/>
    <x v="1"/>
    <x v="1012"/>
    <x v="1"/>
    <s v="DISCOUNT ALLOWED"/>
    <s v="discount allowed"/>
    <s v="DISCOUNT ALLOWED"/>
    <s v="Discount Allowed"/>
    <s v="17/01/23"/>
  </r>
  <r>
    <s v="TXN_5689168"/>
    <s v="CUST_11"/>
    <x v="7"/>
    <x v="83"/>
    <x v="10"/>
    <x v="8"/>
    <n v="52"/>
    <x v="0"/>
    <x v="0"/>
    <x v="17"/>
    <x v="0"/>
    <s v="DISCOUNT NOT ALLOWED"/>
    <s v="discount not allowed"/>
    <s v="DISCOUNT NOT ALLOWED"/>
    <s v="Discount Not Allowed"/>
    <s v="24/02/22"/>
  </r>
  <r>
    <s v="TXN_6157163"/>
    <s v="CUST_08"/>
    <x v="5"/>
    <x v="81"/>
    <x v="10"/>
    <x v="8"/>
    <n v="52"/>
    <x v="2"/>
    <x v="0"/>
    <x v="575"/>
    <x v="1"/>
    <s v="DISCOUNT ALLOWED"/>
    <s v="discount allowed"/>
    <s v="DISCOUNT ALLOWED"/>
    <s v="Discount Allowed"/>
    <s v="09/01/23"/>
  </r>
  <r>
    <s v="TXN_6297355"/>
    <s v="CUST_19"/>
    <x v="7"/>
    <x v="191"/>
    <x v="23"/>
    <x v="2"/>
    <n v="52"/>
    <x v="1"/>
    <x v="0"/>
    <x v="151"/>
    <x v="0"/>
    <s v="DISCOUNT NOT ALLOWED"/>
    <s v="discount not allowed"/>
    <s v="DISCOUNT NOT ALLOWED"/>
    <s v="Discount Not Allowed"/>
    <s v="17/06/24"/>
  </r>
  <r>
    <s v="TXN_6362597"/>
    <s v="CUST_22"/>
    <x v="6"/>
    <x v="82"/>
    <x v="10"/>
    <x v="8"/>
    <n v="52"/>
    <x v="2"/>
    <x v="1"/>
    <x v="422"/>
    <x v="1"/>
    <s v="DISCOUNT ALLOWED"/>
    <s v="discount allowed"/>
    <s v="DISCOUNT ALLOWED"/>
    <s v="Discount Allowed"/>
    <s v="05/02/23"/>
  </r>
  <r>
    <s v="TXN_6562777"/>
    <s v="CUST_01"/>
    <x v="3"/>
    <x v="189"/>
    <x v="23"/>
    <x v="2"/>
    <n v="52"/>
    <x v="2"/>
    <x v="0"/>
    <x v="766"/>
    <x v="1"/>
    <s v="DISCOUNT ALLOWED"/>
    <s v="discount allowed"/>
    <s v="DISCOUNT ALLOWED"/>
    <s v="Discount Allowed"/>
    <s v="09/12/22"/>
  </r>
  <r>
    <s v="TXN_6881262"/>
    <s v="CUST_03"/>
    <x v="0"/>
    <x v="186"/>
    <x v="23"/>
    <x v="2"/>
    <n v="52"/>
    <x v="1"/>
    <x v="1"/>
    <x v="715"/>
    <x v="1"/>
    <s v="DISCOUNT ALLOWED"/>
    <s v="discount allowed"/>
    <s v="DISCOUNT ALLOWED"/>
    <s v="Discount Allowed"/>
    <s v="12/12/22"/>
  </r>
  <r>
    <s v="TXN_7256305"/>
    <s v="CUST_01"/>
    <x v="1"/>
    <x v="184"/>
    <x v="23"/>
    <x v="2"/>
    <n v="52"/>
    <x v="1"/>
    <x v="0"/>
    <x v="389"/>
    <x v="1"/>
    <s v="DISCOUNT ALLOWED"/>
    <s v="discount allowed"/>
    <s v="DISCOUNT ALLOWED"/>
    <s v="Discount Allowed"/>
    <s v="12/07/23"/>
  </r>
  <r>
    <s v="TXN_7263862"/>
    <s v="CUST_08"/>
    <x v="0"/>
    <x v="186"/>
    <x v="23"/>
    <x v="2"/>
    <n v="52"/>
    <x v="2"/>
    <x v="1"/>
    <x v="240"/>
    <x v="0"/>
    <s v="DISCOUNT NOT ALLOWED"/>
    <s v="discount not allowed"/>
    <s v="DISCOUNT NOT ALLOWED"/>
    <s v="Discount Not Allowed"/>
    <s v="08/07/24"/>
  </r>
  <r>
    <s v="TXN_7343995"/>
    <s v="CUST_16"/>
    <x v="5"/>
    <x v="81"/>
    <x v="10"/>
    <x v="8"/>
    <n v="52"/>
    <x v="0"/>
    <x v="1"/>
    <x v="766"/>
    <x v="0"/>
    <s v="DISCOUNT NOT ALLOWED"/>
    <s v="discount not allowed"/>
    <s v="DISCOUNT NOT ALLOWED"/>
    <s v="Discount Not Allowed"/>
    <s v="09/12/22"/>
  </r>
  <r>
    <s v="TXN_7371264"/>
    <s v="CUST_13"/>
    <x v="2"/>
    <x v="187"/>
    <x v="23"/>
    <x v="2"/>
    <n v="52"/>
    <x v="0"/>
    <x v="1"/>
    <x v="465"/>
    <x v="1"/>
    <s v="DISCOUNT ALLOWED"/>
    <s v="discount allowed"/>
    <s v="DISCOUNT ALLOWED"/>
    <s v="Discount Allowed"/>
    <s v="22/08/22"/>
  </r>
  <r>
    <s v="TXN_7662644"/>
    <s v="CUST_06"/>
    <x v="7"/>
    <x v="191"/>
    <x v="23"/>
    <x v="2"/>
    <n v="52"/>
    <x v="1"/>
    <x v="1"/>
    <x v="409"/>
    <x v="0"/>
    <s v="DISCOUNT NOT ALLOWED"/>
    <s v="discount not allowed"/>
    <s v="DISCOUNT NOT ALLOWED"/>
    <s v="Discount Not Allowed"/>
    <s v="13/07/23"/>
  </r>
  <r>
    <s v="TXN_7816964"/>
    <s v="CUST_24"/>
    <x v="4"/>
    <x v="79"/>
    <x v="10"/>
    <x v="8"/>
    <n v="52"/>
    <x v="0"/>
    <x v="1"/>
    <x v="647"/>
    <x v="1"/>
    <s v="DISCOUNT ALLOWED"/>
    <s v="discount allowed"/>
    <s v="DISCOUNT ALLOWED"/>
    <s v="Discount Allowed"/>
    <s v="16/01/24"/>
  </r>
  <r>
    <s v="TXN_7837658"/>
    <s v="CUST_12"/>
    <x v="3"/>
    <x v="80"/>
    <x v="10"/>
    <x v="8"/>
    <n v="52"/>
    <x v="1"/>
    <x v="0"/>
    <x v="1104"/>
    <x v="1"/>
    <s v="DISCOUNT ALLOWED"/>
    <s v="discount allowed"/>
    <s v="DISCOUNT ALLOWED"/>
    <s v="Discount Allowed"/>
    <s v="16/09/22"/>
  </r>
  <r>
    <s v="TXN_8131935"/>
    <s v="CUST_11"/>
    <x v="3"/>
    <x v="80"/>
    <x v="10"/>
    <x v="8"/>
    <n v="52"/>
    <x v="0"/>
    <x v="0"/>
    <x v="1021"/>
    <x v="1"/>
    <s v="DISCOUNT ALLOWED"/>
    <s v="discount allowed"/>
    <s v="DISCOUNT ALLOWED"/>
    <s v="Discount Allowed"/>
    <s v="27/09/23"/>
  </r>
  <r>
    <s v="TXN_8170651"/>
    <s v="CUST_18"/>
    <x v="2"/>
    <x v="77"/>
    <x v="10"/>
    <x v="8"/>
    <n v="52"/>
    <x v="0"/>
    <x v="1"/>
    <x v="861"/>
    <x v="1"/>
    <s v="DISCOUNT ALLOWED"/>
    <s v="discount allowed"/>
    <s v="DISCOUNT ALLOWED"/>
    <s v="Discount Allowed"/>
    <s v="14/08/24"/>
  </r>
  <r>
    <s v="TXN_8263343"/>
    <s v="CUST_15"/>
    <x v="6"/>
    <x v="188"/>
    <x v="23"/>
    <x v="2"/>
    <n v="52"/>
    <x v="2"/>
    <x v="1"/>
    <x v="300"/>
    <x v="0"/>
    <s v="DISCOUNT NOT ALLOWED"/>
    <s v="discount not allowed"/>
    <s v="DISCOUNT NOT ALLOWED"/>
    <s v="Discount Not Allowed"/>
    <s v="14/04/22"/>
  </r>
  <r>
    <s v="TXN_8316905"/>
    <s v="CUST_09"/>
    <x v="7"/>
    <x v="83"/>
    <x v="10"/>
    <x v="8"/>
    <n v="52"/>
    <x v="0"/>
    <x v="0"/>
    <x v="522"/>
    <x v="1"/>
    <s v="DISCOUNT ALLOWED"/>
    <s v="discount allowed"/>
    <s v="DISCOUNT ALLOWED"/>
    <s v="Discount Allowed"/>
    <s v="27/08/24"/>
  </r>
  <r>
    <s v="TXN_8384866"/>
    <s v="CUST_03"/>
    <x v="0"/>
    <x v="186"/>
    <x v="23"/>
    <x v="2"/>
    <n v="52"/>
    <x v="1"/>
    <x v="1"/>
    <x v="512"/>
    <x v="0"/>
    <s v="DISCOUNT NOT ALLOWED"/>
    <s v="discount not allowed"/>
    <s v="DISCOUNT NOT ALLOWED"/>
    <s v="Discount Not Allowed"/>
    <s v="24/06/22"/>
  </r>
  <r>
    <s v="TXN_8409953"/>
    <s v="CUST_20"/>
    <x v="5"/>
    <x v="81"/>
    <x v="10"/>
    <x v="8"/>
    <n v="52"/>
    <x v="2"/>
    <x v="1"/>
    <x v="1078"/>
    <x v="1"/>
    <s v="DISCOUNT ALLOWED"/>
    <s v="discount allowed"/>
    <s v="DISCOUNT ALLOWED"/>
    <s v="Discount Allowed"/>
    <s v="15/01/24"/>
  </r>
  <r>
    <s v="TXN_8473780"/>
    <s v="CUST_14"/>
    <x v="1"/>
    <x v="184"/>
    <x v="23"/>
    <x v="2"/>
    <n v="52"/>
    <x v="0"/>
    <x v="0"/>
    <x v="805"/>
    <x v="1"/>
    <s v="DISCOUNT ALLOWED"/>
    <s v="discount allowed"/>
    <s v="DISCOUNT ALLOWED"/>
    <s v="Discount Allowed"/>
    <s v="04/06/22"/>
  </r>
  <r>
    <s v="TXN_8543296"/>
    <s v="CUST_16"/>
    <x v="1"/>
    <x v="184"/>
    <x v="23"/>
    <x v="2"/>
    <n v="52"/>
    <x v="1"/>
    <x v="0"/>
    <x v="438"/>
    <x v="1"/>
    <s v="DISCOUNT ALLOWED"/>
    <s v="discount allowed"/>
    <s v="DISCOUNT ALLOWED"/>
    <s v="Discount Allowed"/>
    <s v="11/01/22"/>
  </r>
  <r>
    <s v="TXN_8625188"/>
    <s v="CUST_13"/>
    <x v="2"/>
    <x v="187"/>
    <x v="23"/>
    <x v="2"/>
    <n v="52"/>
    <x v="0"/>
    <x v="0"/>
    <x v="490"/>
    <x v="1"/>
    <s v="DISCOUNT ALLOWED"/>
    <s v="discount allowed"/>
    <s v="DISCOUNT ALLOWED"/>
    <s v="Discount Allowed"/>
    <s v="13/11/24"/>
  </r>
  <r>
    <s v="TXN_8744270"/>
    <s v="CUST_03"/>
    <x v="3"/>
    <x v="189"/>
    <x v="23"/>
    <x v="2"/>
    <n v="52"/>
    <x v="2"/>
    <x v="0"/>
    <x v="787"/>
    <x v="1"/>
    <s v="DISCOUNT ALLOWED"/>
    <s v="discount allowed"/>
    <s v="DISCOUNT ALLOWED"/>
    <s v="Discount Allowed"/>
    <s v="11/06/24"/>
  </r>
  <r>
    <s v="TXN_8793391"/>
    <s v="CUST_16"/>
    <x v="1"/>
    <x v="184"/>
    <x v="23"/>
    <x v="2"/>
    <n v="52"/>
    <x v="2"/>
    <x v="0"/>
    <x v="725"/>
    <x v="1"/>
    <s v="DISCOUNT ALLOWED"/>
    <s v="discount allowed"/>
    <s v="DISCOUNT ALLOWED"/>
    <s v="Discount Allowed"/>
    <s v="14/04/24"/>
  </r>
  <r>
    <s v="TXN_9071198"/>
    <s v="CUST_05"/>
    <x v="1"/>
    <x v="184"/>
    <x v="23"/>
    <x v="2"/>
    <n v="52"/>
    <x v="2"/>
    <x v="0"/>
    <x v="790"/>
    <x v="0"/>
    <s v="DISCOUNT NOT ALLOWED"/>
    <s v="discount not allowed"/>
    <s v="DISCOUNT NOT ALLOWED"/>
    <s v="Discount Not Allowed"/>
    <s v="31/10/22"/>
  </r>
  <r>
    <s v="TXN_9256189"/>
    <s v="CUST_20"/>
    <x v="3"/>
    <x v="80"/>
    <x v="10"/>
    <x v="8"/>
    <n v="52"/>
    <x v="1"/>
    <x v="0"/>
    <x v="855"/>
    <x v="1"/>
    <s v="DISCOUNT ALLOWED"/>
    <s v="discount allowed"/>
    <s v="DISCOUNT ALLOWED"/>
    <s v="Discount Allowed"/>
    <s v="09/09/23"/>
  </r>
  <r>
    <s v="TXN_9331694"/>
    <s v="CUST_13"/>
    <x v="6"/>
    <x v="188"/>
    <x v="23"/>
    <x v="2"/>
    <n v="52"/>
    <x v="2"/>
    <x v="0"/>
    <x v="91"/>
    <x v="0"/>
    <s v="DISCOUNT NOT ALLOWED"/>
    <s v="discount not allowed"/>
    <s v="DISCOUNT NOT ALLOWED"/>
    <s v="Discount Not Allowed"/>
    <s v="09/12/23"/>
  </r>
  <r>
    <s v="TXN_9344133"/>
    <s v="CUST_13"/>
    <x v="1"/>
    <x v="78"/>
    <x v="10"/>
    <x v="8"/>
    <n v="52"/>
    <x v="1"/>
    <x v="0"/>
    <x v="28"/>
    <x v="0"/>
    <s v="DISCOUNT NOT ALLOWED"/>
    <s v="discount not allowed"/>
    <s v="DISCOUNT NOT ALLOWED"/>
    <s v="Discount Not Allowed"/>
    <s v="27/03/24"/>
  </r>
  <r>
    <s v="TXN_9443022"/>
    <s v="CUST_12"/>
    <x v="0"/>
    <x v="84"/>
    <x v="10"/>
    <x v="8"/>
    <n v="52"/>
    <x v="1"/>
    <x v="1"/>
    <x v="28"/>
    <x v="1"/>
    <s v="DISCOUNT ALLOWED"/>
    <s v="discount allowed"/>
    <s v="DISCOUNT ALLOWED"/>
    <s v="Discount Allowed"/>
    <s v="27/03/24"/>
  </r>
  <r>
    <s v="TXN_9720178"/>
    <s v="CUST_25"/>
    <x v="5"/>
    <x v="190"/>
    <x v="23"/>
    <x v="2"/>
    <n v="52"/>
    <x v="0"/>
    <x v="1"/>
    <x v="241"/>
    <x v="1"/>
    <s v="DISCOUNT ALLOWED"/>
    <s v="discount allowed"/>
    <s v="DISCOUNT ALLOWED"/>
    <s v="Discount Allowed"/>
    <s v="07/02/24"/>
  </r>
  <r>
    <s v="TXN_9867797"/>
    <s v="CUST_08"/>
    <x v="2"/>
    <x v="77"/>
    <x v="10"/>
    <x v="8"/>
    <n v="52"/>
    <x v="2"/>
    <x v="0"/>
    <x v="384"/>
    <x v="0"/>
    <s v="DISCOUNT NOT ALLOWED"/>
    <s v="discount not allowed"/>
    <s v="DISCOUNT NOT ALLOWED"/>
    <s v="Discount Not Allowed"/>
    <s v="12/11/24"/>
  </r>
  <r>
    <s v="TXN_1077412"/>
    <s v="CUST_07"/>
    <x v="5"/>
    <x v="128"/>
    <x v="16"/>
    <x v="7"/>
    <n v="51"/>
    <x v="1"/>
    <x v="0"/>
    <x v="965"/>
    <x v="1"/>
    <s v="DISCOUNT ALLOWED"/>
    <s v="discount allowed"/>
    <s v="DISCOUNT ALLOWED"/>
    <s v="Discount Allowed"/>
    <s v="02/06/24"/>
  </r>
  <r>
    <s v="TXN_1317207"/>
    <s v="CUST_06"/>
    <x v="4"/>
    <x v="130"/>
    <x v="16"/>
    <x v="7"/>
    <n v="51"/>
    <x v="1"/>
    <x v="0"/>
    <x v="846"/>
    <x v="0"/>
    <s v="DISCOUNT NOT ALLOWED"/>
    <s v="discount not allowed"/>
    <s v="DISCOUNT NOT ALLOWED"/>
    <s v="Discount Not Allowed"/>
    <s v="29/03/23"/>
  </r>
  <r>
    <s v="TXN_3175369"/>
    <s v="CUST_01"/>
    <x v="3"/>
    <x v="142"/>
    <x v="16"/>
    <x v="7"/>
    <n v="51"/>
    <x v="1"/>
    <x v="1"/>
    <x v="587"/>
    <x v="1"/>
    <s v="DISCOUNT ALLOWED"/>
    <s v="discount allowed"/>
    <s v="DISCOUNT ALLOWED"/>
    <s v="Discount Allowed"/>
    <s v="05/04/22"/>
  </r>
  <r>
    <s v="TXN_3791096"/>
    <s v="CUST_20"/>
    <x v="7"/>
    <x v="133"/>
    <x v="16"/>
    <x v="7"/>
    <n v="51"/>
    <x v="1"/>
    <x v="1"/>
    <x v="1098"/>
    <x v="1"/>
    <s v="DISCOUNT ALLOWED"/>
    <s v="discount allowed"/>
    <s v="DISCOUNT ALLOWED"/>
    <s v="Discount Allowed"/>
    <s v="30/08/24"/>
  </r>
  <r>
    <s v="TXN_4038490"/>
    <s v="CUST_19"/>
    <x v="7"/>
    <x v="133"/>
    <x v="16"/>
    <x v="7"/>
    <n v="51"/>
    <x v="0"/>
    <x v="1"/>
    <x v="787"/>
    <x v="1"/>
    <s v="DISCOUNT ALLOWED"/>
    <s v="discount allowed"/>
    <s v="DISCOUNT ALLOWED"/>
    <s v="Discount Allowed"/>
    <s v="11/06/24"/>
  </r>
  <r>
    <s v="TXN_4070771"/>
    <s v="CUST_05"/>
    <x v="7"/>
    <x v="133"/>
    <x v="16"/>
    <x v="7"/>
    <n v="51"/>
    <x v="2"/>
    <x v="0"/>
    <x v="764"/>
    <x v="0"/>
    <s v="DISCOUNT NOT ALLOWED"/>
    <s v="discount not allowed"/>
    <s v="DISCOUNT NOT ALLOWED"/>
    <s v="Discount Not Allowed"/>
    <s v="03/05/22"/>
  </r>
  <r>
    <s v="TXN_4080988"/>
    <s v="CUST_15"/>
    <x v="6"/>
    <x v="132"/>
    <x v="16"/>
    <x v="7"/>
    <n v="51"/>
    <x v="1"/>
    <x v="1"/>
    <x v="48"/>
    <x v="0"/>
    <s v="DISCOUNT NOT ALLOWED"/>
    <s v="discount not allowed"/>
    <s v="DISCOUNT NOT ALLOWED"/>
    <s v="Discount Not Allowed"/>
    <s v="03/12/22"/>
  </r>
  <r>
    <s v="TXN_5313408"/>
    <s v="CUST_04"/>
    <x v="4"/>
    <x v="130"/>
    <x v="16"/>
    <x v="7"/>
    <n v="51"/>
    <x v="2"/>
    <x v="1"/>
    <x v="768"/>
    <x v="1"/>
    <s v="DISCOUNT ALLOWED"/>
    <s v="discount allowed"/>
    <s v="DISCOUNT ALLOWED"/>
    <s v="Discount Allowed"/>
    <s v="04/12/23"/>
  </r>
  <r>
    <s v="TXN_6476117"/>
    <s v="CUST_16"/>
    <x v="7"/>
    <x v="133"/>
    <x v="16"/>
    <x v="7"/>
    <n v="51"/>
    <x v="0"/>
    <x v="1"/>
    <x v="515"/>
    <x v="0"/>
    <s v="DISCOUNT NOT ALLOWED"/>
    <s v="discount not allowed"/>
    <s v="DISCOUNT NOT ALLOWED"/>
    <s v="Discount Not Allowed"/>
    <s v="16/01/25"/>
  </r>
  <r>
    <s v="TXN_6684210"/>
    <s v="CUST_11"/>
    <x v="5"/>
    <x v="128"/>
    <x v="16"/>
    <x v="7"/>
    <n v="51"/>
    <x v="1"/>
    <x v="0"/>
    <x v="18"/>
    <x v="1"/>
    <s v="DISCOUNT ALLOWED"/>
    <s v="discount allowed"/>
    <s v="DISCOUNT ALLOWED"/>
    <s v="Discount Allowed"/>
    <s v="16/02/23"/>
  </r>
  <r>
    <s v="TXN_6936220"/>
    <s v="CUST_17"/>
    <x v="4"/>
    <x v="130"/>
    <x v="16"/>
    <x v="7"/>
    <n v="51"/>
    <x v="0"/>
    <x v="0"/>
    <x v="359"/>
    <x v="0"/>
    <s v="DISCOUNT NOT ALLOWED"/>
    <s v="discount not allowed"/>
    <s v="DISCOUNT NOT ALLOWED"/>
    <s v="Discount Not Allowed"/>
    <s v="09/08/22"/>
  </r>
  <r>
    <s v="TXN_7583684"/>
    <s v="CUST_25"/>
    <x v="5"/>
    <x v="128"/>
    <x v="16"/>
    <x v="7"/>
    <n v="51"/>
    <x v="0"/>
    <x v="0"/>
    <x v="495"/>
    <x v="0"/>
    <s v="DISCOUNT NOT ALLOWED"/>
    <s v="discount not allowed"/>
    <s v="DISCOUNT NOT ALLOWED"/>
    <s v="Discount Not Allowed"/>
    <s v="02/02/22"/>
  </r>
  <r>
    <s v="TXN_8578826"/>
    <s v="CUST_24"/>
    <x v="6"/>
    <x v="132"/>
    <x v="16"/>
    <x v="7"/>
    <n v="51"/>
    <x v="0"/>
    <x v="0"/>
    <x v="610"/>
    <x v="0"/>
    <s v="DISCOUNT NOT ALLOWED"/>
    <s v="discount not allowed"/>
    <s v="DISCOUNT NOT ALLOWED"/>
    <s v="Discount Not Allowed"/>
    <s v="15/08/24"/>
  </r>
  <r>
    <s v="TXN_9379604"/>
    <s v="CUST_13"/>
    <x v="6"/>
    <x v="132"/>
    <x v="16"/>
    <x v="7"/>
    <n v="51"/>
    <x v="2"/>
    <x v="0"/>
    <x v="610"/>
    <x v="1"/>
    <s v="DISCOUNT ALLOWED"/>
    <s v="discount allowed"/>
    <s v="DISCOUNT ALLOWED"/>
    <s v="Discount Allowed"/>
    <s v="15/08/24"/>
  </r>
  <r>
    <s v="TXN_9458655"/>
    <s v="CUST_20"/>
    <x v="4"/>
    <x v="130"/>
    <x v="16"/>
    <x v="7"/>
    <n v="51"/>
    <x v="1"/>
    <x v="1"/>
    <x v="265"/>
    <x v="0"/>
    <s v="DISCOUNT NOT ALLOWED"/>
    <s v="discount not allowed"/>
    <s v="DISCOUNT NOT ALLOWED"/>
    <s v="Discount Not Allowed"/>
    <s v="30/06/24"/>
  </r>
  <r>
    <s v="TXN_9948370"/>
    <s v="CUST_15"/>
    <x v="6"/>
    <x v="132"/>
    <x v="16"/>
    <x v="7"/>
    <n v="51"/>
    <x v="2"/>
    <x v="1"/>
    <x v="260"/>
    <x v="1"/>
    <s v="DISCOUNT ALLOWED"/>
    <s v="discount allowed"/>
    <s v="DISCOUNT ALLOWED"/>
    <s v="Discount Allowed"/>
    <s v="04/07/23"/>
  </r>
  <r>
    <s v="TXN_1072609"/>
    <s v="CUST_08"/>
    <x v="7"/>
    <x v="192"/>
    <x v="24"/>
    <x v="0"/>
    <n v="50"/>
    <x v="0"/>
    <x v="0"/>
    <x v="564"/>
    <x v="1"/>
    <s v="DISCOUNT ALLOWED"/>
    <s v="discount allowed"/>
    <s v="DISCOUNT ALLOWED"/>
    <s v="Discount Allowed"/>
    <s v="31/01/23"/>
  </r>
  <r>
    <s v="TXN_1133322"/>
    <s v="CUST_16"/>
    <x v="1"/>
    <x v="193"/>
    <x v="24"/>
    <x v="0"/>
    <n v="50"/>
    <x v="2"/>
    <x v="0"/>
    <x v="1058"/>
    <x v="0"/>
    <s v="DISCOUNT NOT ALLOWED"/>
    <s v="discount not allowed"/>
    <s v="DISCOUNT NOT ALLOWED"/>
    <s v="Discount Not Allowed"/>
    <s v="06/08/22"/>
  </r>
  <r>
    <s v="TXN_1410689"/>
    <s v="CUST_18"/>
    <x v="5"/>
    <x v="159"/>
    <x v="19"/>
    <x v="6"/>
    <n v="50"/>
    <x v="1"/>
    <x v="1"/>
    <x v="415"/>
    <x v="1"/>
    <s v="DISCOUNT ALLOWED"/>
    <s v="discount allowed"/>
    <s v="DISCOUNT ALLOWED"/>
    <s v="Discount Allowed"/>
    <s v="09/12/24"/>
  </r>
  <r>
    <s v="TXN_1494063"/>
    <s v="CUST_11"/>
    <x v="3"/>
    <x v="157"/>
    <x v="19"/>
    <x v="6"/>
    <n v="50"/>
    <x v="2"/>
    <x v="1"/>
    <x v="647"/>
    <x v="1"/>
    <s v="DISCOUNT ALLOWED"/>
    <s v="discount allowed"/>
    <s v="DISCOUNT ALLOWED"/>
    <s v="Discount Allowed"/>
    <s v="16/01/24"/>
  </r>
  <r>
    <s v="TXN_1611004"/>
    <s v="CUST_05"/>
    <x v="7"/>
    <x v="192"/>
    <x v="24"/>
    <x v="0"/>
    <n v="50"/>
    <x v="2"/>
    <x v="0"/>
    <x v="1085"/>
    <x v="1"/>
    <s v="DISCOUNT ALLOWED"/>
    <s v="discount allowed"/>
    <s v="DISCOUNT ALLOWED"/>
    <s v="Discount Allowed"/>
    <s v="04/08/23"/>
  </r>
  <r>
    <s v="TXN_2196992"/>
    <s v="CUST_17"/>
    <x v="5"/>
    <x v="194"/>
    <x v="24"/>
    <x v="0"/>
    <n v="50"/>
    <x v="2"/>
    <x v="0"/>
    <x v="1019"/>
    <x v="1"/>
    <s v="DISCOUNT ALLOWED"/>
    <s v="discount allowed"/>
    <s v="DISCOUNT ALLOWED"/>
    <s v="Discount Allowed"/>
    <s v="24/08/24"/>
  </r>
  <r>
    <s v="TXN_2251132"/>
    <s v="CUST_20"/>
    <x v="4"/>
    <x v="155"/>
    <x v="19"/>
    <x v="6"/>
    <n v="50"/>
    <x v="1"/>
    <x v="0"/>
    <x v="264"/>
    <x v="0"/>
    <s v="DISCOUNT NOT ALLOWED"/>
    <s v="discount not allowed"/>
    <s v="DISCOUNT NOT ALLOWED"/>
    <s v="Discount Not Allowed"/>
    <s v="15/07/24"/>
  </r>
  <r>
    <s v="TXN_2356331"/>
    <s v="CUST_08"/>
    <x v="0"/>
    <x v="195"/>
    <x v="24"/>
    <x v="0"/>
    <n v="50"/>
    <x v="1"/>
    <x v="1"/>
    <x v="766"/>
    <x v="0"/>
    <s v="DISCOUNT NOT ALLOWED"/>
    <s v="discount not allowed"/>
    <s v="DISCOUNT NOT ALLOWED"/>
    <s v="Discount Not Allowed"/>
    <s v="09/12/22"/>
  </r>
  <r>
    <s v="TXN_2645782"/>
    <s v="CUST_06"/>
    <x v="7"/>
    <x v="192"/>
    <x v="24"/>
    <x v="0"/>
    <n v="50"/>
    <x v="0"/>
    <x v="0"/>
    <x v="1096"/>
    <x v="0"/>
    <s v="DISCOUNT NOT ALLOWED"/>
    <s v="discount not allowed"/>
    <s v="DISCOUNT NOT ALLOWED"/>
    <s v="Discount Not Allowed"/>
    <s v="17/05/23"/>
  </r>
  <r>
    <s v="TXN_2798740"/>
    <s v="CUST_05"/>
    <x v="0"/>
    <x v="195"/>
    <x v="24"/>
    <x v="0"/>
    <n v="50"/>
    <x v="1"/>
    <x v="0"/>
    <x v="1105"/>
    <x v="1"/>
    <s v="DISCOUNT ALLOWED"/>
    <s v="discount allowed"/>
    <s v="DISCOUNT ALLOWED"/>
    <s v="Discount Allowed"/>
    <s v="16/03/23"/>
  </r>
  <r>
    <s v="TXN_3282392"/>
    <s v="CUST_24"/>
    <x v="1"/>
    <x v="193"/>
    <x v="24"/>
    <x v="0"/>
    <n v="50"/>
    <x v="2"/>
    <x v="0"/>
    <x v="672"/>
    <x v="1"/>
    <s v="DISCOUNT ALLOWED"/>
    <s v="discount allowed"/>
    <s v="DISCOUNT ALLOWED"/>
    <s v="Discount Allowed"/>
    <s v="20/09/23"/>
  </r>
  <r>
    <s v="TXN_3454798"/>
    <s v="CUST_04"/>
    <x v="0"/>
    <x v="154"/>
    <x v="19"/>
    <x v="6"/>
    <n v="50"/>
    <x v="1"/>
    <x v="1"/>
    <x v="768"/>
    <x v="1"/>
    <s v="DISCOUNT ALLOWED"/>
    <s v="discount allowed"/>
    <s v="DISCOUNT ALLOWED"/>
    <s v="Discount Allowed"/>
    <s v="04/12/23"/>
  </r>
  <r>
    <s v="TXN_3666421"/>
    <s v="CUST_10"/>
    <x v="3"/>
    <x v="157"/>
    <x v="19"/>
    <x v="6"/>
    <n v="50"/>
    <x v="0"/>
    <x v="1"/>
    <x v="871"/>
    <x v="0"/>
    <s v="DISCOUNT NOT ALLOWED"/>
    <s v="discount not allowed"/>
    <s v="DISCOUNT NOT ALLOWED"/>
    <s v="Discount Not Allowed"/>
    <s v="17/03/24"/>
  </r>
  <r>
    <s v="TXN_3831408"/>
    <s v="CUST_18"/>
    <x v="0"/>
    <x v="195"/>
    <x v="24"/>
    <x v="0"/>
    <n v="50"/>
    <x v="0"/>
    <x v="0"/>
    <x v="134"/>
    <x v="1"/>
    <s v="DISCOUNT ALLOWED"/>
    <s v="discount allowed"/>
    <s v="DISCOUNT ALLOWED"/>
    <s v="Discount Allowed"/>
    <s v="11/02/22"/>
  </r>
  <r>
    <s v="TXN_4030585"/>
    <s v="CUST_11"/>
    <x v="6"/>
    <x v="196"/>
    <x v="24"/>
    <x v="0"/>
    <n v="50"/>
    <x v="1"/>
    <x v="1"/>
    <x v="665"/>
    <x v="1"/>
    <s v="DISCOUNT ALLOWED"/>
    <s v="discount allowed"/>
    <s v="DISCOUNT ALLOWED"/>
    <s v="Discount Allowed"/>
    <s v="04/02/22"/>
  </r>
  <r>
    <s v="TXN_4045427"/>
    <s v="CUST_07"/>
    <x v="4"/>
    <x v="155"/>
    <x v="19"/>
    <x v="6"/>
    <n v="50"/>
    <x v="2"/>
    <x v="0"/>
    <x v="653"/>
    <x v="0"/>
    <s v="DISCOUNT NOT ALLOWED"/>
    <s v="discount not allowed"/>
    <s v="DISCOUNT NOT ALLOWED"/>
    <s v="Discount Not Allowed"/>
    <s v="31/05/23"/>
  </r>
  <r>
    <s v="TXN_4214517"/>
    <s v="CUST_19"/>
    <x v="3"/>
    <x v="197"/>
    <x v="24"/>
    <x v="0"/>
    <n v="50"/>
    <x v="1"/>
    <x v="1"/>
    <x v="150"/>
    <x v="0"/>
    <s v="DISCOUNT NOT ALLOWED"/>
    <s v="discount not allowed"/>
    <s v="DISCOUNT NOT ALLOWED"/>
    <s v="Discount Not Allowed"/>
    <s v="21/01/24"/>
  </r>
  <r>
    <s v="TXN_5157703"/>
    <s v="CUST_17"/>
    <x v="5"/>
    <x v="194"/>
    <x v="24"/>
    <x v="0"/>
    <n v="50"/>
    <x v="1"/>
    <x v="1"/>
    <x v="894"/>
    <x v="1"/>
    <s v="DISCOUNT ALLOWED"/>
    <s v="discount allowed"/>
    <s v="DISCOUNT ALLOWED"/>
    <s v="Discount Allowed"/>
    <s v="30/08/22"/>
  </r>
  <r>
    <s v="TXN_5327909"/>
    <s v="CUST_01"/>
    <x v="6"/>
    <x v="152"/>
    <x v="19"/>
    <x v="6"/>
    <n v="50"/>
    <x v="0"/>
    <x v="0"/>
    <x v="98"/>
    <x v="0"/>
    <s v="DISCOUNT NOT ALLOWED"/>
    <s v="discount not allowed"/>
    <s v="DISCOUNT NOT ALLOWED"/>
    <s v="Discount Not Allowed"/>
    <s v="04/04/23"/>
  </r>
  <r>
    <s v="TXN_5554317"/>
    <s v="CUST_14"/>
    <x v="1"/>
    <x v="156"/>
    <x v="19"/>
    <x v="6"/>
    <n v="50"/>
    <x v="0"/>
    <x v="0"/>
    <x v="945"/>
    <x v="0"/>
    <s v="DISCOUNT NOT ALLOWED"/>
    <s v="discount not allowed"/>
    <s v="DISCOUNT NOT ALLOWED"/>
    <s v="Discount Not Allowed"/>
    <s v="10/03/22"/>
  </r>
  <r>
    <s v="TXN_5659774"/>
    <s v="CUST_25"/>
    <x v="3"/>
    <x v="197"/>
    <x v="24"/>
    <x v="0"/>
    <n v="50"/>
    <x v="2"/>
    <x v="1"/>
    <x v="8"/>
    <x v="0"/>
    <s v="DISCOUNT NOT ALLOWED"/>
    <s v="discount not allowed"/>
    <s v="DISCOUNT NOT ALLOWED"/>
    <s v="Discount Not Allowed"/>
    <s v="04/01/25"/>
  </r>
  <r>
    <s v="TXN_5692725"/>
    <s v="CUST_14"/>
    <x v="7"/>
    <x v="192"/>
    <x v="24"/>
    <x v="0"/>
    <n v="50"/>
    <x v="0"/>
    <x v="0"/>
    <x v="356"/>
    <x v="1"/>
    <s v="DISCOUNT ALLOWED"/>
    <s v="discount allowed"/>
    <s v="DISCOUNT ALLOWED"/>
    <s v="Discount Allowed"/>
    <s v="23/02/24"/>
  </r>
  <r>
    <s v="TXN_5731969"/>
    <s v="CUST_16"/>
    <x v="5"/>
    <x v="159"/>
    <x v="19"/>
    <x v="6"/>
    <n v="50"/>
    <x v="1"/>
    <x v="1"/>
    <x v="932"/>
    <x v="1"/>
    <s v="DISCOUNT ALLOWED"/>
    <s v="discount allowed"/>
    <s v="DISCOUNT ALLOWED"/>
    <s v="Discount Allowed"/>
    <s v="22/04/22"/>
  </r>
  <r>
    <s v="TXN_5733731"/>
    <s v="CUST_15"/>
    <x v="6"/>
    <x v="152"/>
    <x v="19"/>
    <x v="6"/>
    <n v="50"/>
    <x v="2"/>
    <x v="0"/>
    <x v="1099"/>
    <x v="0"/>
    <s v="DISCOUNT NOT ALLOWED"/>
    <s v="discount not allowed"/>
    <s v="DISCOUNT NOT ALLOWED"/>
    <s v="Discount Not Allowed"/>
    <s v="24/12/22"/>
  </r>
  <r>
    <s v="TXN_5762742"/>
    <s v="CUST_10"/>
    <x v="0"/>
    <x v="154"/>
    <x v="19"/>
    <x v="6"/>
    <n v="50"/>
    <x v="1"/>
    <x v="1"/>
    <x v="608"/>
    <x v="1"/>
    <s v="DISCOUNT ALLOWED"/>
    <s v="discount allowed"/>
    <s v="DISCOUNT ALLOWED"/>
    <s v="Discount Allowed"/>
    <s v="19/11/22"/>
  </r>
  <r>
    <s v="TXN_5915154"/>
    <s v="CUST_15"/>
    <x v="7"/>
    <x v="192"/>
    <x v="24"/>
    <x v="0"/>
    <n v="50"/>
    <x v="2"/>
    <x v="1"/>
    <x v="79"/>
    <x v="0"/>
    <s v="DISCOUNT NOT ALLOWED"/>
    <s v="discount not allowed"/>
    <s v="DISCOUNT NOT ALLOWED"/>
    <s v="Discount Not Allowed"/>
    <s v="07/04/23"/>
  </r>
  <r>
    <s v="TXN_6272697"/>
    <s v="CUST_16"/>
    <x v="2"/>
    <x v="158"/>
    <x v="19"/>
    <x v="6"/>
    <n v="50"/>
    <x v="1"/>
    <x v="0"/>
    <x v="395"/>
    <x v="0"/>
    <s v="DISCOUNT NOT ALLOWED"/>
    <s v="discount not allowed"/>
    <s v="DISCOUNT NOT ALLOWED"/>
    <s v="Discount Not Allowed"/>
    <s v="21/06/22"/>
  </r>
  <r>
    <s v="TXN_6598320"/>
    <s v="CUST_06"/>
    <x v="4"/>
    <x v="155"/>
    <x v="19"/>
    <x v="6"/>
    <n v="50"/>
    <x v="0"/>
    <x v="0"/>
    <x v="723"/>
    <x v="1"/>
    <s v="DISCOUNT ALLOWED"/>
    <s v="discount allowed"/>
    <s v="DISCOUNT ALLOWED"/>
    <s v="Discount Allowed"/>
    <s v="05/05/24"/>
  </r>
  <r>
    <s v="TXN_6765122"/>
    <s v="CUST_10"/>
    <x v="2"/>
    <x v="158"/>
    <x v="19"/>
    <x v="6"/>
    <n v="50"/>
    <x v="2"/>
    <x v="1"/>
    <x v="905"/>
    <x v="0"/>
    <s v="DISCOUNT NOT ALLOWED"/>
    <s v="discount not allowed"/>
    <s v="DISCOUNT NOT ALLOWED"/>
    <s v="Discount Not Allowed"/>
    <s v="05/01/25"/>
  </r>
  <r>
    <s v="TXN_6787727"/>
    <s v="CUST_12"/>
    <x v="2"/>
    <x v="158"/>
    <x v="19"/>
    <x v="6"/>
    <n v="50"/>
    <x v="2"/>
    <x v="1"/>
    <x v="786"/>
    <x v="1"/>
    <s v="DISCOUNT ALLOWED"/>
    <s v="discount allowed"/>
    <s v="DISCOUNT ALLOWED"/>
    <s v="Discount Allowed"/>
    <s v="07/08/22"/>
  </r>
  <r>
    <s v="TXN_6845254"/>
    <s v="CUST_24"/>
    <x v="0"/>
    <x v="154"/>
    <x v="19"/>
    <x v="6"/>
    <n v="50"/>
    <x v="0"/>
    <x v="0"/>
    <x v="462"/>
    <x v="0"/>
    <s v="DISCOUNT NOT ALLOWED"/>
    <s v="discount not allowed"/>
    <s v="DISCOUNT NOT ALLOWED"/>
    <s v="Discount Not Allowed"/>
    <s v="02/11/24"/>
  </r>
  <r>
    <s v="TXN_6959357"/>
    <s v="CUST_07"/>
    <x v="0"/>
    <x v="154"/>
    <x v="19"/>
    <x v="6"/>
    <n v="50"/>
    <x v="1"/>
    <x v="1"/>
    <x v="54"/>
    <x v="1"/>
    <s v="DISCOUNT ALLOWED"/>
    <s v="discount allowed"/>
    <s v="DISCOUNT ALLOWED"/>
    <s v="Discount Allowed"/>
    <s v="23/02/23"/>
  </r>
  <r>
    <s v="TXN_7000155"/>
    <s v="CUST_14"/>
    <x v="2"/>
    <x v="158"/>
    <x v="19"/>
    <x v="6"/>
    <n v="50"/>
    <x v="2"/>
    <x v="1"/>
    <x v="558"/>
    <x v="0"/>
    <s v="DISCOUNT NOT ALLOWED"/>
    <s v="discount not allowed"/>
    <s v="DISCOUNT NOT ALLOWED"/>
    <s v="Discount Not Allowed"/>
    <s v="17/04/24"/>
  </r>
  <r>
    <s v="TXN_7133375"/>
    <s v="CUST_22"/>
    <x v="0"/>
    <x v="195"/>
    <x v="24"/>
    <x v="0"/>
    <n v="50"/>
    <x v="0"/>
    <x v="0"/>
    <x v="1052"/>
    <x v="0"/>
    <s v="DISCOUNT NOT ALLOWED"/>
    <s v="discount not allowed"/>
    <s v="DISCOUNT NOT ALLOWED"/>
    <s v="Discount Not Allowed"/>
    <s v="18/09/23"/>
  </r>
  <r>
    <s v="TXN_7174887"/>
    <s v="CUST_08"/>
    <x v="3"/>
    <x v="157"/>
    <x v="19"/>
    <x v="6"/>
    <n v="50"/>
    <x v="2"/>
    <x v="0"/>
    <x v="349"/>
    <x v="1"/>
    <s v="DISCOUNT ALLOWED"/>
    <s v="discount allowed"/>
    <s v="DISCOUNT ALLOWED"/>
    <s v="Discount Allowed"/>
    <s v="04/09/24"/>
  </r>
  <r>
    <s v="TXN_7546166"/>
    <s v="CUST_07"/>
    <x v="3"/>
    <x v="157"/>
    <x v="19"/>
    <x v="6"/>
    <n v="50"/>
    <x v="2"/>
    <x v="1"/>
    <x v="406"/>
    <x v="0"/>
    <s v="DISCOUNT NOT ALLOWED"/>
    <s v="discount not allowed"/>
    <s v="DISCOUNT NOT ALLOWED"/>
    <s v="Discount Not Allowed"/>
    <s v="27/12/23"/>
  </r>
  <r>
    <s v="TXN_7780264"/>
    <s v="CUST_07"/>
    <x v="0"/>
    <x v="195"/>
    <x v="24"/>
    <x v="0"/>
    <n v="50"/>
    <x v="2"/>
    <x v="1"/>
    <x v="81"/>
    <x v="0"/>
    <s v="DISCOUNT NOT ALLOWED"/>
    <s v="discount not allowed"/>
    <s v="DISCOUNT NOT ALLOWED"/>
    <s v="Discount Not Allowed"/>
    <s v="08/01/25"/>
  </r>
  <r>
    <s v="TXN_7965648"/>
    <s v="CUST_05"/>
    <x v="3"/>
    <x v="157"/>
    <x v="19"/>
    <x v="6"/>
    <n v="50"/>
    <x v="2"/>
    <x v="1"/>
    <x v="748"/>
    <x v="1"/>
    <s v="DISCOUNT ALLOWED"/>
    <s v="discount allowed"/>
    <s v="DISCOUNT ALLOWED"/>
    <s v="Discount Allowed"/>
    <s v="21/06/23"/>
  </r>
  <r>
    <s v="TXN_8027800"/>
    <s v="CUST_25"/>
    <x v="0"/>
    <x v="154"/>
    <x v="19"/>
    <x v="6"/>
    <n v="50"/>
    <x v="0"/>
    <x v="0"/>
    <x v="207"/>
    <x v="0"/>
    <s v="DISCOUNT NOT ALLOWED"/>
    <s v="discount not allowed"/>
    <s v="DISCOUNT NOT ALLOWED"/>
    <s v="Discount Not Allowed"/>
    <s v="25/09/22"/>
  </r>
  <r>
    <s v="TXN_8568991"/>
    <s v="CUST_05"/>
    <x v="6"/>
    <x v="196"/>
    <x v="24"/>
    <x v="0"/>
    <n v="50"/>
    <x v="1"/>
    <x v="0"/>
    <x v="889"/>
    <x v="0"/>
    <s v="DISCOUNT NOT ALLOWED"/>
    <s v="discount not allowed"/>
    <s v="DISCOUNT NOT ALLOWED"/>
    <s v="Discount Not Allowed"/>
    <s v="10/10/24"/>
  </r>
  <r>
    <s v="TXN_8714034"/>
    <s v="CUST_09"/>
    <x v="5"/>
    <x v="159"/>
    <x v="19"/>
    <x v="6"/>
    <n v="50"/>
    <x v="0"/>
    <x v="1"/>
    <x v="1039"/>
    <x v="1"/>
    <s v="DISCOUNT ALLOWED"/>
    <s v="discount allowed"/>
    <s v="DISCOUNT ALLOWED"/>
    <s v="Discount Allowed"/>
    <s v="07/01/23"/>
  </r>
  <r>
    <s v="TXN_8851227"/>
    <s v="CUST_08"/>
    <x v="7"/>
    <x v="153"/>
    <x v="19"/>
    <x v="6"/>
    <n v="50"/>
    <x v="1"/>
    <x v="1"/>
    <x v="888"/>
    <x v="1"/>
    <s v="DISCOUNT ALLOWED"/>
    <s v="discount allowed"/>
    <s v="DISCOUNT ALLOWED"/>
    <s v="Discount Allowed"/>
    <s v="10/08/23"/>
  </r>
  <r>
    <s v="TXN_9404072"/>
    <s v="CUST_10"/>
    <x v="5"/>
    <x v="159"/>
    <x v="19"/>
    <x v="6"/>
    <n v="50"/>
    <x v="2"/>
    <x v="0"/>
    <x v="532"/>
    <x v="0"/>
    <s v="DISCOUNT NOT ALLOWED"/>
    <s v="discount not allowed"/>
    <s v="DISCOUNT NOT ALLOWED"/>
    <s v="Discount Not Allowed"/>
    <s v="05/05/22"/>
  </r>
  <r>
    <s v="TXN_9493348"/>
    <s v="CUST_17"/>
    <x v="4"/>
    <x v="198"/>
    <x v="24"/>
    <x v="0"/>
    <n v="50"/>
    <x v="1"/>
    <x v="0"/>
    <x v="205"/>
    <x v="1"/>
    <s v="DISCOUNT ALLOWED"/>
    <s v="discount allowed"/>
    <s v="DISCOUNT ALLOWED"/>
    <s v="Discount Allowed"/>
    <s v="11/06/22"/>
  </r>
  <r>
    <s v="TXN_9750057"/>
    <s v="CUST_18"/>
    <x v="7"/>
    <x v="192"/>
    <x v="24"/>
    <x v="0"/>
    <n v="50"/>
    <x v="2"/>
    <x v="1"/>
    <x v="938"/>
    <x v="0"/>
    <s v="DISCOUNT NOT ALLOWED"/>
    <s v="discount not allowed"/>
    <s v="DISCOUNT NOT ALLOWED"/>
    <s v="Discount Not Allowed"/>
    <s v="05/06/24"/>
  </r>
  <r>
    <s v="TXN_9826370"/>
    <s v="CUST_25"/>
    <x v="2"/>
    <x v="158"/>
    <x v="19"/>
    <x v="6"/>
    <n v="50"/>
    <x v="2"/>
    <x v="1"/>
    <x v="834"/>
    <x v="0"/>
    <s v="DISCOUNT NOT ALLOWED"/>
    <s v="discount not allowed"/>
    <s v="DISCOUNT NOT ALLOWED"/>
    <s v="Discount Not Allowed"/>
    <s v="21/02/24"/>
  </r>
  <r>
    <s v="TXN_9941927"/>
    <s v="CUST_17"/>
    <x v="5"/>
    <x v="159"/>
    <x v="19"/>
    <x v="6"/>
    <n v="50"/>
    <x v="2"/>
    <x v="0"/>
    <x v="234"/>
    <x v="0"/>
    <s v="DISCOUNT NOT ALLOWED"/>
    <s v="discount not allowed"/>
    <s v="DISCOUNT NOT ALLOWED"/>
    <s v="Discount Not Allowed"/>
    <s v="16/01/22"/>
  </r>
  <r>
    <s v="TXN_1055174"/>
    <s v="CUST_12"/>
    <x v="6"/>
    <x v="88"/>
    <x v="11"/>
    <x v="8"/>
    <n v="49"/>
    <x v="1"/>
    <x v="1"/>
    <x v="1048"/>
    <x v="1"/>
    <s v="DISCOUNT ALLOWED"/>
    <s v="discount allowed"/>
    <s v="DISCOUNT ALLOWED"/>
    <s v="Discount Allowed"/>
    <s v="17/06/22"/>
  </r>
  <r>
    <s v="TXN_2217907"/>
    <s v="CUST_07"/>
    <x v="1"/>
    <x v="89"/>
    <x v="11"/>
    <x v="8"/>
    <n v="49"/>
    <x v="2"/>
    <x v="1"/>
    <x v="717"/>
    <x v="1"/>
    <s v="DISCOUNT ALLOWED"/>
    <s v="discount allowed"/>
    <s v="DISCOUNT ALLOWED"/>
    <s v="Discount Allowed"/>
    <s v="15/05/22"/>
  </r>
  <r>
    <s v="TXN_3035546"/>
    <s v="CUST_19"/>
    <x v="1"/>
    <x v="89"/>
    <x v="11"/>
    <x v="8"/>
    <n v="49"/>
    <x v="2"/>
    <x v="1"/>
    <x v="389"/>
    <x v="1"/>
    <s v="DISCOUNT ALLOWED"/>
    <s v="discount allowed"/>
    <s v="DISCOUNT ALLOWED"/>
    <s v="Discount Allowed"/>
    <s v="12/07/23"/>
  </r>
  <r>
    <s v="TXN_3398355"/>
    <s v="CUST_02"/>
    <x v="4"/>
    <x v="87"/>
    <x v="11"/>
    <x v="8"/>
    <n v="49"/>
    <x v="0"/>
    <x v="1"/>
    <x v="649"/>
    <x v="0"/>
    <s v="DISCOUNT NOT ALLOWED"/>
    <s v="discount not allowed"/>
    <s v="DISCOUNT NOT ALLOWED"/>
    <s v="Discount Not Allowed"/>
    <s v="11/06/23"/>
  </r>
  <r>
    <s v="TXN_3460199"/>
    <s v="CUST_23"/>
    <x v="4"/>
    <x v="87"/>
    <x v="11"/>
    <x v="8"/>
    <n v="49"/>
    <x v="0"/>
    <x v="0"/>
    <x v="777"/>
    <x v="1"/>
    <s v="DISCOUNT ALLOWED"/>
    <s v="discount allowed"/>
    <s v="DISCOUNT ALLOWED"/>
    <s v="Discount Allowed"/>
    <s v="25/07/24"/>
  </r>
  <r>
    <s v="TXN_3460510"/>
    <s v="CUST_06"/>
    <x v="0"/>
    <x v="91"/>
    <x v="11"/>
    <x v="8"/>
    <n v="49"/>
    <x v="1"/>
    <x v="0"/>
    <x v="491"/>
    <x v="0"/>
    <s v="DISCOUNT NOT ALLOWED"/>
    <s v="discount not allowed"/>
    <s v="DISCOUNT NOT ALLOWED"/>
    <s v="Discount Not Allowed"/>
    <s v="01/01/23"/>
  </r>
  <r>
    <s v="TXN_3910370"/>
    <s v="CUST_22"/>
    <x v="1"/>
    <x v="89"/>
    <x v="11"/>
    <x v="8"/>
    <n v="49"/>
    <x v="0"/>
    <x v="1"/>
    <x v="856"/>
    <x v="1"/>
    <s v="DISCOUNT ALLOWED"/>
    <s v="discount allowed"/>
    <s v="DISCOUNT ALLOWED"/>
    <s v="Discount Allowed"/>
    <s v="23/12/22"/>
  </r>
  <r>
    <s v="TXN_3998952"/>
    <s v="CUST_18"/>
    <x v="2"/>
    <x v="90"/>
    <x v="11"/>
    <x v="8"/>
    <n v="49"/>
    <x v="0"/>
    <x v="1"/>
    <x v="399"/>
    <x v="0"/>
    <s v="DISCOUNT NOT ALLOWED"/>
    <s v="discount not allowed"/>
    <s v="DISCOUNT NOT ALLOWED"/>
    <s v="Discount Not Allowed"/>
    <s v="12/12/23"/>
  </r>
  <r>
    <s v="TXN_4573687"/>
    <s v="CUST_01"/>
    <x v="7"/>
    <x v="86"/>
    <x v="11"/>
    <x v="8"/>
    <n v="49"/>
    <x v="2"/>
    <x v="1"/>
    <x v="65"/>
    <x v="1"/>
    <s v="DISCOUNT ALLOWED"/>
    <s v="discount allowed"/>
    <s v="DISCOUNT ALLOWED"/>
    <s v="Discount Allowed"/>
    <s v="02/09/24"/>
  </r>
  <r>
    <s v="TXN_4685476"/>
    <s v="CUST_25"/>
    <x v="2"/>
    <x v="90"/>
    <x v="11"/>
    <x v="8"/>
    <n v="49"/>
    <x v="1"/>
    <x v="0"/>
    <x v="671"/>
    <x v="1"/>
    <s v="DISCOUNT ALLOWED"/>
    <s v="discount allowed"/>
    <s v="DISCOUNT ALLOWED"/>
    <s v="Discount Allowed"/>
    <s v="09/08/24"/>
  </r>
  <r>
    <s v="TXN_5248957"/>
    <s v="CUST_19"/>
    <x v="4"/>
    <x v="87"/>
    <x v="11"/>
    <x v="8"/>
    <n v="49"/>
    <x v="2"/>
    <x v="1"/>
    <x v="1054"/>
    <x v="1"/>
    <s v="DISCOUNT ALLOWED"/>
    <s v="discount allowed"/>
    <s v="DISCOUNT ALLOWED"/>
    <s v="Discount Allowed"/>
    <s v="24/06/23"/>
  </r>
  <r>
    <s v="TXN_5261605"/>
    <s v="CUST_02"/>
    <x v="7"/>
    <x v="86"/>
    <x v="11"/>
    <x v="8"/>
    <n v="49"/>
    <x v="1"/>
    <x v="1"/>
    <x v="844"/>
    <x v="1"/>
    <s v="DISCOUNT ALLOWED"/>
    <s v="discount allowed"/>
    <s v="DISCOUNT ALLOWED"/>
    <s v="Discount Allowed"/>
    <s v="15/12/23"/>
  </r>
  <r>
    <s v="TXN_5459776"/>
    <s v="CUST_24"/>
    <x v="4"/>
    <x v="87"/>
    <x v="11"/>
    <x v="8"/>
    <n v="49"/>
    <x v="0"/>
    <x v="0"/>
    <x v="45"/>
    <x v="0"/>
    <s v="DISCOUNT NOT ALLOWED"/>
    <s v="discount not allowed"/>
    <s v="DISCOUNT NOT ALLOWED"/>
    <s v="Discount Not Allowed"/>
    <s v="01/10/24"/>
  </r>
  <r>
    <s v="TXN_6079647"/>
    <s v="CUST_12"/>
    <x v="1"/>
    <x v="89"/>
    <x v="11"/>
    <x v="8"/>
    <n v="49"/>
    <x v="1"/>
    <x v="1"/>
    <x v="687"/>
    <x v="1"/>
    <s v="DISCOUNT ALLOWED"/>
    <s v="discount allowed"/>
    <s v="DISCOUNT ALLOWED"/>
    <s v="Discount Allowed"/>
    <s v="08/10/22"/>
  </r>
  <r>
    <s v="TXN_6533713"/>
    <s v="CUST_21"/>
    <x v="4"/>
    <x v="87"/>
    <x v="11"/>
    <x v="8"/>
    <n v="49"/>
    <x v="1"/>
    <x v="0"/>
    <x v="374"/>
    <x v="0"/>
    <s v="DISCOUNT NOT ALLOWED"/>
    <s v="discount not allowed"/>
    <s v="DISCOUNT NOT ALLOWED"/>
    <s v="Discount Not Allowed"/>
    <s v="04/10/24"/>
  </r>
  <r>
    <s v="TXN_6627221"/>
    <s v="CUST_17"/>
    <x v="4"/>
    <x v="87"/>
    <x v="11"/>
    <x v="8"/>
    <n v="49"/>
    <x v="2"/>
    <x v="1"/>
    <x v="1013"/>
    <x v="1"/>
    <s v="DISCOUNT ALLOWED"/>
    <s v="discount allowed"/>
    <s v="DISCOUNT ALLOWED"/>
    <s v="Discount Allowed"/>
    <s v="03/08/23"/>
  </r>
  <r>
    <s v="TXN_6883886"/>
    <s v="CUST_23"/>
    <x v="4"/>
    <x v="87"/>
    <x v="11"/>
    <x v="8"/>
    <n v="49"/>
    <x v="0"/>
    <x v="1"/>
    <x v="876"/>
    <x v="1"/>
    <s v="DISCOUNT ALLOWED"/>
    <s v="discount allowed"/>
    <s v="DISCOUNT ALLOWED"/>
    <s v="Discount Allowed"/>
    <s v="17/02/24"/>
  </r>
  <r>
    <s v="TXN_7516693"/>
    <s v="CUST_01"/>
    <x v="4"/>
    <x v="87"/>
    <x v="11"/>
    <x v="8"/>
    <n v="49"/>
    <x v="0"/>
    <x v="0"/>
    <x v="216"/>
    <x v="0"/>
    <s v="DISCOUNT NOT ALLOWED"/>
    <s v="discount not allowed"/>
    <s v="DISCOUNT NOT ALLOWED"/>
    <s v="Discount Not Allowed"/>
    <s v="19/04/23"/>
  </r>
  <r>
    <s v="TXN_7697701"/>
    <s v="CUST_16"/>
    <x v="4"/>
    <x v="87"/>
    <x v="11"/>
    <x v="8"/>
    <n v="49"/>
    <x v="2"/>
    <x v="0"/>
    <x v="289"/>
    <x v="0"/>
    <s v="DISCOUNT NOT ALLOWED"/>
    <s v="discount not allowed"/>
    <s v="DISCOUNT NOT ALLOWED"/>
    <s v="Discount Not Allowed"/>
    <s v="04/03/22"/>
  </r>
  <r>
    <s v="TXN_7792938"/>
    <s v="CUST_01"/>
    <x v="7"/>
    <x v="86"/>
    <x v="11"/>
    <x v="8"/>
    <n v="49"/>
    <x v="0"/>
    <x v="1"/>
    <x v="457"/>
    <x v="0"/>
    <s v="DISCOUNT NOT ALLOWED"/>
    <s v="discount not allowed"/>
    <s v="DISCOUNT NOT ALLOWED"/>
    <s v="Discount Not Allowed"/>
    <s v="21/01/22"/>
  </r>
  <r>
    <s v="TXN_8536550"/>
    <s v="CUST_03"/>
    <x v="1"/>
    <x v="89"/>
    <x v="11"/>
    <x v="8"/>
    <n v="49"/>
    <x v="0"/>
    <x v="1"/>
    <x v="266"/>
    <x v="0"/>
    <s v="DISCOUNT NOT ALLOWED"/>
    <s v="discount not allowed"/>
    <s v="DISCOUNT NOT ALLOWED"/>
    <s v="Discount Not Allowed"/>
    <s v="11/01/23"/>
  </r>
  <r>
    <s v="TXN_8782421"/>
    <s v="CUST_05"/>
    <x v="4"/>
    <x v="87"/>
    <x v="11"/>
    <x v="8"/>
    <n v="49"/>
    <x v="1"/>
    <x v="0"/>
    <x v="871"/>
    <x v="1"/>
    <s v="DISCOUNT ALLOWED"/>
    <s v="discount allowed"/>
    <s v="DISCOUNT ALLOWED"/>
    <s v="Discount Allowed"/>
    <s v="17/03/24"/>
  </r>
  <r>
    <s v="TXN_8815455"/>
    <s v="CUST_18"/>
    <x v="1"/>
    <x v="89"/>
    <x v="11"/>
    <x v="8"/>
    <n v="49"/>
    <x v="0"/>
    <x v="0"/>
    <x v="1060"/>
    <x v="0"/>
    <s v="DISCOUNT NOT ALLOWED"/>
    <s v="discount not allowed"/>
    <s v="DISCOUNT NOT ALLOWED"/>
    <s v="Discount Not Allowed"/>
    <s v="18/06/23"/>
  </r>
  <r>
    <s v="TXN_9202193"/>
    <s v="CUST_02"/>
    <x v="6"/>
    <x v="88"/>
    <x v="11"/>
    <x v="8"/>
    <n v="49"/>
    <x v="1"/>
    <x v="0"/>
    <x v="441"/>
    <x v="1"/>
    <s v="DISCOUNT ALLOWED"/>
    <s v="discount allowed"/>
    <s v="DISCOUNT ALLOWED"/>
    <s v="Discount Allowed"/>
    <s v="09/05/22"/>
  </r>
  <r>
    <s v="TXN_9224494"/>
    <s v="CUST_09"/>
    <x v="1"/>
    <x v="89"/>
    <x v="11"/>
    <x v="8"/>
    <n v="49"/>
    <x v="1"/>
    <x v="0"/>
    <x v="1023"/>
    <x v="0"/>
    <s v="DISCOUNT NOT ALLOWED"/>
    <s v="discount not allowed"/>
    <s v="DISCOUNT NOT ALLOWED"/>
    <s v="Discount Not Allowed"/>
    <s v="11/02/24"/>
  </r>
  <r>
    <s v="TXN_9226101"/>
    <s v="CUST_21"/>
    <x v="1"/>
    <x v="89"/>
    <x v="11"/>
    <x v="8"/>
    <n v="49"/>
    <x v="1"/>
    <x v="0"/>
    <x v="290"/>
    <x v="1"/>
    <s v="DISCOUNT ALLOWED"/>
    <s v="discount allowed"/>
    <s v="DISCOUNT ALLOWED"/>
    <s v="Discount Allowed"/>
    <s v="30/09/23"/>
  </r>
  <r>
    <s v="TXN_9299347"/>
    <s v="CUST_01"/>
    <x v="6"/>
    <x v="88"/>
    <x v="11"/>
    <x v="8"/>
    <n v="49"/>
    <x v="1"/>
    <x v="0"/>
    <x v="364"/>
    <x v="0"/>
    <s v="DISCOUNT NOT ALLOWED"/>
    <s v="discount not allowed"/>
    <s v="DISCOUNT NOT ALLOWED"/>
    <s v="Discount Not Allowed"/>
    <s v="14/11/24"/>
  </r>
  <r>
    <s v="TXN_9534194"/>
    <s v="CUST_08"/>
    <x v="1"/>
    <x v="89"/>
    <x v="11"/>
    <x v="8"/>
    <n v="49"/>
    <x v="1"/>
    <x v="0"/>
    <x v="331"/>
    <x v="0"/>
    <s v="DISCOUNT NOT ALLOWED"/>
    <s v="discount not allowed"/>
    <s v="DISCOUNT NOT ALLOWED"/>
    <s v="Discount Not Allowed"/>
    <s v="30/11/23"/>
  </r>
  <r>
    <s v="TXN_9621073"/>
    <s v="CUST_02"/>
    <x v="4"/>
    <x v="87"/>
    <x v="11"/>
    <x v="8"/>
    <n v="49"/>
    <x v="1"/>
    <x v="1"/>
    <x v="402"/>
    <x v="1"/>
    <s v="DISCOUNT ALLOWED"/>
    <s v="discount allowed"/>
    <s v="DISCOUNT ALLOWED"/>
    <s v="Discount Allowed"/>
    <s v="07/09/23"/>
  </r>
  <r>
    <s v="TXN_9644345"/>
    <s v="CUST_05"/>
    <x v="6"/>
    <x v="88"/>
    <x v="11"/>
    <x v="8"/>
    <n v="49"/>
    <x v="1"/>
    <x v="0"/>
    <x v="762"/>
    <x v="0"/>
    <s v="DISCOUNT NOT ALLOWED"/>
    <s v="discount not allowed"/>
    <s v="DISCOUNT NOT ALLOWED"/>
    <s v="Discount Not Allowed"/>
    <s v="04/05/24"/>
  </r>
  <r>
    <s v="TXN_9980736"/>
    <s v="CUST_13"/>
    <x v="2"/>
    <x v="90"/>
    <x v="11"/>
    <x v="8"/>
    <n v="49"/>
    <x v="1"/>
    <x v="0"/>
    <x v="857"/>
    <x v="0"/>
    <s v="DISCOUNT NOT ALLOWED"/>
    <s v="discount not allowed"/>
    <s v="DISCOUNT NOT ALLOWED"/>
    <s v="Discount Not Allowed"/>
    <s v="29/08/23"/>
  </r>
  <r>
    <s v="TXN_1107383"/>
    <s v="CUST_15"/>
    <x v="0"/>
    <x v="179"/>
    <x v="22"/>
    <x v="4"/>
    <n v="48"/>
    <x v="1"/>
    <x v="1"/>
    <x v="251"/>
    <x v="1"/>
    <s v="DISCOUNT ALLOWED"/>
    <s v="discount allowed"/>
    <s v="DISCOUNT ALLOWED"/>
    <s v="Discount Allowed"/>
    <s v="24/03/22"/>
  </r>
  <r>
    <s v="TXN_1229733"/>
    <s v="CUST_01"/>
    <x v="4"/>
    <x v="176"/>
    <x v="22"/>
    <x v="4"/>
    <n v="48"/>
    <x v="0"/>
    <x v="0"/>
    <x v="558"/>
    <x v="0"/>
    <s v="DISCOUNT NOT ALLOWED"/>
    <s v="discount not allowed"/>
    <s v="DISCOUNT NOT ALLOWED"/>
    <s v="Discount Not Allowed"/>
    <s v="17/04/24"/>
  </r>
  <r>
    <s v="TXN_2333490"/>
    <s v="CUST_16"/>
    <x v="3"/>
    <x v="177"/>
    <x v="22"/>
    <x v="4"/>
    <n v="48"/>
    <x v="0"/>
    <x v="1"/>
    <x v="999"/>
    <x v="0"/>
    <s v="DISCOUNT NOT ALLOWED"/>
    <s v="discount not allowed"/>
    <s v="DISCOUNT NOT ALLOWED"/>
    <s v="Discount Not Allowed"/>
    <s v="13/02/24"/>
  </r>
  <r>
    <s v="TXN_3557501"/>
    <s v="CUST_08"/>
    <x v="4"/>
    <x v="176"/>
    <x v="22"/>
    <x v="4"/>
    <n v="48"/>
    <x v="2"/>
    <x v="1"/>
    <x v="148"/>
    <x v="0"/>
    <s v="DISCOUNT NOT ALLOWED"/>
    <s v="discount not allowed"/>
    <s v="DISCOUNT NOT ALLOWED"/>
    <s v="Discount Not Allowed"/>
    <s v="10/01/24"/>
  </r>
  <r>
    <s v="TXN_5650094"/>
    <s v="CUST_01"/>
    <x v="3"/>
    <x v="177"/>
    <x v="22"/>
    <x v="4"/>
    <n v="48"/>
    <x v="2"/>
    <x v="0"/>
    <x v="960"/>
    <x v="0"/>
    <s v="DISCOUNT NOT ALLOWED"/>
    <s v="discount not allowed"/>
    <s v="DISCOUNT NOT ALLOWED"/>
    <s v="Discount Not Allowed"/>
    <s v="25/11/22"/>
  </r>
  <r>
    <s v="TXN_6234785"/>
    <s v="CUST_10"/>
    <x v="0"/>
    <x v="179"/>
    <x v="22"/>
    <x v="4"/>
    <n v="48"/>
    <x v="1"/>
    <x v="0"/>
    <x v="705"/>
    <x v="0"/>
    <s v="DISCOUNT NOT ALLOWED"/>
    <s v="discount not allowed"/>
    <s v="DISCOUNT NOT ALLOWED"/>
    <s v="Discount Not Allowed"/>
    <s v="27/10/24"/>
  </r>
  <r>
    <s v="TXN_6491456"/>
    <s v="CUST_04"/>
    <x v="6"/>
    <x v="182"/>
    <x v="22"/>
    <x v="4"/>
    <n v="48"/>
    <x v="1"/>
    <x v="1"/>
    <x v="83"/>
    <x v="1"/>
    <s v="DISCOUNT ALLOWED"/>
    <s v="discount allowed"/>
    <s v="DISCOUNT ALLOWED"/>
    <s v="Discount Allowed"/>
    <s v="21/12/23"/>
  </r>
  <r>
    <s v="TXN_7239576"/>
    <s v="CUST_18"/>
    <x v="4"/>
    <x v="176"/>
    <x v="22"/>
    <x v="4"/>
    <n v="48"/>
    <x v="2"/>
    <x v="1"/>
    <x v="921"/>
    <x v="1"/>
    <s v="DISCOUNT ALLOWED"/>
    <s v="discount allowed"/>
    <s v="DISCOUNT ALLOWED"/>
    <s v="Discount Allowed"/>
    <s v="11/09/23"/>
  </r>
  <r>
    <s v="TXN_7472702"/>
    <s v="CUST_08"/>
    <x v="4"/>
    <x v="176"/>
    <x v="22"/>
    <x v="4"/>
    <n v="48"/>
    <x v="1"/>
    <x v="0"/>
    <x v="824"/>
    <x v="1"/>
    <s v="DISCOUNT ALLOWED"/>
    <s v="discount allowed"/>
    <s v="DISCOUNT ALLOWED"/>
    <s v="Discount Allowed"/>
    <s v="14/07/24"/>
  </r>
  <r>
    <s v="TXN_7670020"/>
    <s v="CUST_13"/>
    <x v="4"/>
    <x v="176"/>
    <x v="22"/>
    <x v="4"/>
    <n v="48"/>
    <x v="0"/>
    <x v="0"/>
    <x v="363"/>
    <x v="0"/>
    <s v="DISCOUNT NOT ALLOWED"/>
    <s v="discount not allowed"/>
    <s v="DISCOUNT NOT ALLOWED"/>
    <s v="Discount Not Allowed"/>
    <s v="20/03/23"/>
  </r>
  <r>
    <s v="TXN_7741209"/>
    <s v="CUST_07"/>
    <x v="0"/>
    <x v="179"/>
    <x v="22"/>
    <x v="4"/>
    <n v="48"/>
    <x v="1"/>
    <x v="1"/>
    <x v="43"/>
    <x v="0"/>
    <s v="DISCOUNT NOT ALLOWED"/>
    <s v="discount not allowed"/>
    <s v="DISCOUNT NOT ALLOWED"/>
    <s v="Discount Not Allowed"/>
    <s v="10/06/24"/>
  </r>
  <r>
    <s v="TXN_8252234"/>
    <s v="CUST_04"/>
    <x v="6"/>
    <x v="182"/>
    <x v="22"/>
    <x v="4"/>
    <n v="48"/>
    <x v="2"/>
    <x v="0"/>
    <x v="526"/>
    <x v="1"/>
    <s v="DISCOUNT ALLOWED"/>
    <s v="discount allowed"/>
    <s v="DISCOUNT ALLOWED"/>
    <s v="Discount Allowed"/>
    <s v="28/12/24"/>
  </r>
  <r>
    <s v="TXN_8334867"/>
    <s v="CUST_24"/>
    <x v="3"/>
    <x v="177"/>
    <x v="22"/>
    <x v="4"/>
    <n v="48"/>
    <x v="1"/>
    <x v="1"/>
    <x v="438"/>
    <x v="1"/>
    <s v="DISCOUNT ALLOWED"/>
    <s v="discount allowed"/>
    <s v="DISCOUNT ALLOWED"/>
    <s v="Discount Allowed"/>
    <s v="11/01/22"/>
  </r>
  <r>
    <s v="TXN_8919975"/>
    <s v="CUST_05"/>
    <x v="0"/>
    <x v="179"/>
    <x v="22"/>
    <x v="4"/>
    <n v="48"/>
    <x v="2"/>
    <x v="0"/>
    <x v="751"/>
    <x v="1"/>
    <s v="DISCOUNT ALLOWED"/>
    <s v="discount allowed"/>
    <s v="DISCOUNT ALLOWED"/>
    <s v="Discount Allowed"/>
    <s v="04/01/23"/>
  </r>
  <r>
    <s v="TXN_9211823"/>
    <s v="CUST_08"/>
    <x v="0"/>
    <x v="179"/>
    <x v="22"/>
    <x v="4"/>
    <n v="48"/>
    <x v="1"/>
    <x v="1"/>
    <x v="713"/>
    <x v="1"/>
    <s v="DISCOUNT ALLOWED"/>
    <s v="discount allowed"/>
    <s v="DISCOUNT ALLOWED"/>
    <s v="Discount Allowed"/>
    <s v="29/07/22"/>
  </r>
  <r>
    <s v="TXN_9325414"/>
    <s v="CUST_07"/>
    <x v="0"/>
    <x v="179"/>
    <x v="22"/>
    <x v="4"/>
    <n v="48"/>
    <x v="1"/>
    <x v="1"/>
    <x v="559"/>
    <x v="1"/>
    <s v="DISCOUNT ALLOWED"/>
    <s v="discount allowed"/>
    <s v="DISCOUNT ALLOWED"/>
    <s v="Discount Allowed"/>
    <s v="14/10/22"/>
  </r>
  <r>
    <s v="TXN_1886375"/>
    <s v="CUST_12"/>
    <x v="2"/>
    <x v="171"/>
    <x v="21"/>
    <x v="5"/>
    <n v="47.5"/>
    <x v="1"/>
    <x v="1"/>
    <x v="491"/>
    <x v="1"/>
    <s v="DISCOUNT ALLOWED"/>
    <s v="discount allowed"/>
    <s v="DISCOUNT ALLOWED"/>
    <s v="Discount Allowed"/>
    <s v="01/01/23"/>
  </r>
  <r>
    <s v="TXN_2075749"/>
    <s v="CUST_04"/>
    <x v="0"/>
    <x v="168"/>
    <x v="21"/>
    <x v="5"/>
    <n v="47.5"/>
    <x v="1"/>
    <x v="0"/>
    <x v="236"/>
    <x v="1"/>
    <s v="DISCOUNT ALLOWED"/>
    <s v="discount allowed"/>
    <s v="DISCOUNT ALLOWED"/>
    <s v="Discount Allowed"/>
    <s v="07/11/24"/>
  </r>
  <r>
    <s v="TXN_2345067"/>
    <s v="CUST_08"/>
    <x v="7"/>
    <x v="170"/>
    <x v="21"/>
    <x v="5"/>
    <n v="47.5"/>
    <x v="0"/>
    <x v="1"/>
    <x v="44"/>
    <x v="0"/>
    <s v="DISCOUNT NOT ALLOWED"/>
    <s v="discount not allowed"/>
    <s v="DISCOUNT NOT ALLOWED"/>
    <s v="Discount Not Allowed"/>
    <s v="02/10/22"/>
  </r>
  <r>
    <s v="TXN_2843740"/>
    <s v="CUST_19"/>
    <x v="7"/>
    <x v="170"/>
    <x v="21"/>
    <x v="5"/>
    <n v="47.5"/>
    <x v="2"/>
    <x v="1"/>
    <x v="166"/>
    <x v="1"/>
    <s v="DISCOUNT ALLOWED"/>
    <s v="discount allowed"/>
    <s v="DISCOUNT ALLOWED"/>
    <s v="Discount Allowed"/>
    <s v="06/05/24"/>
  </r>
  <r>
    <s v="TXN_3314650"/>
    <s v="CUST_13"/>
    <x v="5"/>
    <x v="167"/>
    <x v="21"/>
    <x v="5"/>
    <n v="47.5"/>
    <x v="0"/>
    <x v="0"/>
    <x v="562"/>
    <x v="0"/>
    <s v="DISCOUNT NOT ALLOWED"/>
    <s v="discount not allowed"/>
    <s v="DISCOUNT NOT ALLOWED"/>
    <s v="Discount Not Allowed"/>
    <s v="06/08/24"/>
  </r>
  <r>
    <s v="TXN_3348669"/>
    <s v="CUST_09"/>
    <x v="1"/>
    <x v="169"/>
    <x v="21"/>
    <x v="5"/>
    <n v="47.5"/>
    <x v="2"/>
    <x v="0"/>
    <x v="683"/>
    <x v="1"/>
    <s v="DISCOUNT ALLOWED"/>
    <s v="discount allowed"/>
    <s v="DISCOUNT ALLOWED"/>
    <s v="Discount Allowed"/>
    <s v="21/02/22"/>
  </r>
  <r>
    <s v="TXN_3833413"/>
    <s v="CUST_02"/>
    <x v="3"/>
    <x v="173"/>
    <x v="21"/>
    <x v="5"/>
    <n v="47.5"/>
    <x v="2"/>
    <x v="1"/>
    <x v="363"/>
    <x v="0"/>
    <s v="DISCOUNT NOT ALLOWED"/>
    <s v="discount not allowed"/>
    <s v="DISCOUNT NOT ALLOWED"/>
    <s v="Discount Not Allowed"/>
    <s v="20/03/23"/>
  </r>
  <r>
    <s v="TXN_4194209"/>
    <s v="CUST_01"/>
    <x v="5"/>
    <x v="167"/>
    <x v="21"/>
    <x v="5"/>
    <n v="47.5"/>
    <x v="0"/>
    <x v="1"/>
    <x v="474"/>
    <x v="0"/>
    <s v="DISCOUNT NOT ALLOWED"/>
    <s v="discount not allowed"/>
    <s v="DISCOUNT NOT ALLOWED"/>
    <s v="Discount Not Allowed"/>
    <s v="24/02/23"/>
  </r>
  <r>
    <s v="TXN_4636705"/>
    <s v="CUST_16"/>
    <x v="0"/>
    <x v="168"/>
    <x v="21"/>
    <x v="5"/>
    <n v="47.5"/>
    <x v="1"/>
    <x v="0"/>
    <x v="1077"/>
    <x v="0"/>
    <s v="DISCOUNT NOT ALLOWED"/>
    <s v="discount not allowed"/>
    <s v="DISCOUNT NOT ALLOWED"/>
    <s v="Discount Not Allowed"/>
    <s v="13/03/23"/>
  </r>
  <r>
    <s v="TXN_5374169"/>
    <s v="CUST_24"/>
    <x v="0"/>
    <x v="168"/>
    <x v="21"/>
    <x v="5"/>
    <n v="47.5"/>
    <x v="2"/>
    <x v="0"/>
    <x v="17"/>
    <x v="0"/>
    <s v="DISCOUNT NOT ALLOWED"/>
    <s v="discount not allowed"/>
    <s v="DISCOUNT NOT ALLOWED"/>
    <s v="Discount Not Allowed"/>
    <s v="24/02/22"/>
  </r>
  <r>
    <s v="TXN_5407015"/>
    <s v="CUST_22"/>
    <x v="0"/>
    <x v="168"/>
    <x v="21"/>
    <x v="5"/>
    <n v="47.5"/>
    <x v="0"/>
    <x v="1"/>
    <x v="599"/>
    <x v="0"/>
    <s v="DISCOUNT NOT ALLOWED"/>
    <s v="discount not allowed"/>
    <s v="DISCOUNT NOT ALLOWED"/>
    <s v="Discount Not Allowed"/>
    <s v="10/07/23"/>
  </r>
  <r>
    <s v="TXN_5921082"/>
    <s v="CUST_16"/>
    <x v="4"/>
    <x v="166"/>
    <x v="21"/>
    <x v="5"/>
    <n v="47.5"/>
    <x v="1"/>
    <x v="1"/>
    <x v="579"/>
    <x v="0"/>
    <s v="DISCOUNT NOT ALLOWED"/>
    <s v="discount not allowed"/>
    <s v="DISCOUNT NOT ALLOWED"/>
    <s v="Discount Not Allowed"/>
    <s v="26/08/22"/>
  </r>
  <r>
    <s v="TXN_6175359"/>
    <s v="CUST_14"/>
    <x v="5"/>
    <x v="167"/>
    <x v="21"/>
    <x v="5"/>
    <n v="47.5"/>
    <x v="1"/>
    <x v="0"/>
    <x v="1068"/>
    <x v="0"/>
    <s v="DISCOUNT NOT ALLOWED"/>
    <s v="discount not allowed"/>
    <s v="DISCOUNT NOT ALLOWED"/>
    <s v="Discount Not Allowed"/>
    <s v="13/04/23"/>
  </r>
  <r>
    <s v="TXN_6402496"/>
    <s v="CUST_13"/>
    <x v="2"/>
    <x v="171"/>
    <x v="21"/>
    <x v="5"/>
    <n v="47.5"/>
    <x v="1"/>
    <x v="1"/>
    <x v="579"/>
    <x v="1"/>
    <s v="DISCOUNT ALLOWED"/>
    <s v="discount allowed"/>
    <s v="DISCOUNT ALLOWED"/>
    <s v="Discount Allowed"/>
    <s v="26/08/22"/>
  </r>
  <r>
    <s v="TXN_6500890"/>
    <s v="CUST_07"/>
    <x v="5"/>
    <x v="167"/>
    <x v="21"/>
    <x v="5"/>
    <n v="47.5"/>
    <x v="2"/>
    <x v="0"/>
    <x v="379"/>
    <x v="1"/>
    <s v="DISCOUNT ALLOWED"/>
    <s v="discount allowed"/>
    <s v="DISCOUNT ALLOWED"/>
    <s v="Discount Allowed"/>
    <s v="15/03/24"/>
  </r>
  <r>
    <s v="TXN_6923467"/>
    <s v="CUST_20"/>
    <x v="4"/>
    <x v="166"/>
    <x v="21"/>
    <x v="5"/>
    <n v="47.5"/>
    <x v="1"/>
    <x v="0"/>
    <x v="430"/>
    <x v="1"/>
    <s v="DISCOUNT ALLOWED"/>
    <s v="discount allowed"/>
    <s v="DISCOUNT ALLOWED"/>
    <s v="Discount Allowed"/>
    <s v="04/05/23"/>
  </r>
  <r>
    <s v="TXN_7224248"/>
    <s v="CUST_04"/>
    <x v="6"/>
    <x v="172"/>
    <x v="21"/>
    <x v="5"/>
    <n v="47.5"/>
    <x v="1"/>
    <x v="1"/>
    <x v="758"/>
    <x v="1"/>
    <s v="DISCOUNT ALLOWED"/>
    <s v="discount allowed"/>
    <s v="DISCOUNT ALLOWED"/>
    <s v="Discount Allowed"/>
    <s v="10/11/24"/>
  </r>
  <r>
    <s v="TXN_7349738"/>
    <s v="CUST_12"/>
    <x v="1"/>
    <x v="169"/>
    <x v="21"/>
    <x v="5"/>
    <n v="47.5"/>
    <x v="1"/>
    <x v="1"/>
    <x v="61"/>
    <x v="1"/>
    <s v="DISCOUNT ALLOWED"/>
    <s v="discount allowed"/>
    <s v="DISCOUNT ALLOWED"/>
    <s v="Discount Allowed"/>
    <s v="18/01/23"/>
  </r>
  <r>
    <s v="TXN_7498911"/>
    <s v="CUST_08"/>
    <x v="4"/>
    <x v="166"/>
    <x v="21"/>
    <x v="5"/>
    <n v="47.5"/>
    <x v="0"/>
    <x v="1"/>
    <x v="134"/>
    <x v="1"/>
    <s v="DISCOUNT ALLOWED"/>
    <s v="discount allowed"/>
    <s v="DISCOUNT ALLOWED"/>
    <s v="Discount Allowed"/>
    <s v="11/02/22"/>
  </r>
  <r>
    <s v="TXN_7790991"/>
    <s v="CUST_25"/>
    <x v="0"/>
    <x v="168"/>
    <x v="21"/>
    <x v="5"/>
    <n v="47.5"/>
    <x v="2"/>
    <x v="0"/>
    <x v="684"/>
    <x v="1"/>
    <s v="DISCOUNT ALLOWED"/>
    <s v="discount allowed"/>
    <s v="DISCOUNT ALLOWED"/>
    <s v="Discount Allowed"/>
    <s v="13/03/24"/>
  </r>
  <r>
    <s v="TXN_7815351"/>
    <s v="CUST_18"/>
    <x v="5"/>
    <x v="167"/>
    <x v="21"/>
    <x v="5"/>
    <n v="47.5"/>
    <x v="2"/>
    <x v="1"/>
    <x v="889"/>
    <x v="0"/>
    <s v="DISCOUNT NOT ALLOWED"/>
    <s v="discount not allowed"/>
    <s v="DISCOUNT NOT ALLOWED"/>
    <s v="Discount Not Allowed"/>
    <s v="10/10/24"/>
  </r>
  <r>
    <s v="TXN_7841888"/>
    <s v="CUST_25"/>
    <x v="4"/>
    <x v="166"/>
    <x v="21"/>
    <x v="5"/>
    <n v="47.5"/>
    <x v="2"/>
    <x v="1"/>
    <x v="397"/>
    <x v="1"/>
    <s v="DISCOUNT ALLOWED"/>
    <s v="discount allowed"/>
    <s v="DISCOUNT ALLOWED"/>
    <s v="Discount Allowed"/>
    <s v="01/06/23"/>
  </r>
  <r>
    <s v="TXN_8454614"/>
    <s v="CUST_21"/>
    <x v="4"/>
    <x v="166"/>
    <x v="21"/>
    <x v="5"/>
    <n v="47.5"/>
    <x v="0"/>
    <x v="0"/>
    <x v="984"/>
    <x v="0"/>
    <s v="DISCOUNT NOT ALLOWED"/>
    <s v="discount not allowed"/>
    <s v="DISCOUNT NOT ALLOWED"/>
    <s v="Discount Not Allowed"/>
    <s v="07/10/22"/>
  </r>
  <r>
    <s v="TXN_8504230"/>
    <s v="CUST_25"/>
    <x v="0"/>
    <x v="168"/>
    <x v="21"/>
    <x v="5"/>
    <n v="47.5"/>
    <x v="1"/>
    <x v="0"/>
    <x v="310"/>
    <x v="0"/>
    <s v="DISCOUNT NOT ALLOWED"/>
    <s v="discount not allowed"/>
    <s v="DISCOUNT NOT ALLOWED"/>
    <s v="Discount Not Allowed"/>
    <s v="01/11/24"/>
  </r>
  <r>
    <s v="TXN_8658665"/>
    <s v="CUST_22"/>
    <x v="7"/>
    <x v="170"/>
    <x v="21"/>
    <x v="5"/>
    <n v="47.5"/>
    <x v="1"/>
    <x v="1"/>
    <x v="867"/>
    <x v="0"/>
    <s v="DISCOUNT NOT ALLOWED"/>
    <s v="discount not allowed"/>
    <s v="DISCOUNT NOT ALLOWED"/>
    <s v="Discount Not Allowed"/>
    <s v="09/09/22"/>
  </r>
  <r>
    <s v="TXN_8878131"/>
    <s v="CUST_11"/>
    <x v="0"/>
    <x v="168"/>
    <x v="21"/>
    <x v="5"/>
    <n v="47.5"/>
    <x v="2"/>
    <x v="0"/>
    <x v="765"/>
    <x v="0"/>
    <s v="DISCOUNT NOT ALLOWED"/>
    <s v="discount not allowed"/>
    <s v="DISCOUNT NOT ALLOWED"/>
    <s v="Discount Not Allowed"/>
    <s v="19/12/24"/>
  </r>
  <r>
    <s v="TXN_9098606"/>
    <s v="CUST_01"/>
    <x v="5"/>
    <x v="167"/>
    <x v="21"/>
    <x v="5"/>
    <n v="47.5"/>
    <x v="1"/>
    <x v="1"/>
    <x v="160"/>
    <x v="0"/>
    <s v="DISCOUNT NOT ALLOWED"/>
    <s v="discount not allowed"/>
    <s v="DISCOUNT NOT ALLOWED"/>
    <s v="Discount Not Allowed"/>
    <s v="20/02/23"/>
  </r>
  <r>
    <s v="TXN_9611005"/>
    <s v="CUST_09"/>
    <x v="4"/>
    <x v="166"/>
    <x v="21"/>
    <x v="5"/>
    <n v="47.5"/>
    <x v="2"/>
    <x v="0"/>
    <x v="985"/>
    <x v="1"/>
    <s v="DISCOUNT ALLOWED"/>
    <s v="discount allowed"/>
    <s v="DISCOUNT ALLOWED"/>
    <s v="Discount Allowed"/>
    <s v="23/11/24"/>
  </r>
  <r>
    <s v="TXN_9687417"/>
    <s v="CUST_02"/>
    <x v="1"/>
    <x v="169"/>
    <x v="21"/>
    <x v="5"/>
    <n v="47.5"/>
    <x v="0"/>
    <x v="1"/>
    <x v="363"/>
    <x v="1"/>
    <s v="DISCOUNT ALLOWED"/>
    <s v="discount allowed"/>
    <s v="DISCOUNT ALLOWED"/>
    <s v="Discount Allowed"/>
    <s v="20/03/23"/>
  </r>
  <r>
    <s v="TXN_9803487"/>
    <s v="CUST_13"/>
    <x v="1"/>
    <x v="169"/>
    <x v="21"/>
    <x v="5"/>
    <n v="47.5"/>
    <x v="2"/>
    <x v="0"/>
    <x v="846"/>
    <x v="0"/>
    <s v="DISCOUNT NOT ALLOWED"/>
    <s v="discount not allowed"/>
    <s v="DISCOUNT NOT ALLOWED"/>
    <s v="Discount Not Allowed"/>
    <s v="29/03/23"/>
  </r>
  <r>
    <s v="TXN_9845980"/>
    <s v="CUST_13"/>
    <x v="7"/>
    <x v="170"/>
    <x v="21"/>
    <x v="5"/>
    <n v="47.5"/>
    <x v="0"/>
    <x v="0"/>
    <x v="736"/>
    <x v="1"/>
    <s v="DISCOUNT ALLOWED"/>
    <s v="discount allowed"/>
    <s v="DISCOUNT ALLOWED"/>
    <s v="Discount Allowed"/>
    <s v="13/05/24"/>
  </r>
  <r>
    <s v="TXN_1916761"/>
    <s v="CUST_16"/>
    <x v="5"/>
    <x v="138"/>
    <x v="17"/>
    <x v="7"/>
    <n v="46.5"/>
    <x v="2"/>
    <x v="0"/>
    <x v="579"/>
    <x v="0"/>
    <s v="DISCOUNT NOT ALLOWED"/>
    <s v="discount not allowed"/>
    <s v="DISCOUNT NOT ALLOWED"/>
    <s v="Discount Not Allowed"/>
    <s v="26/08/22"/>
  </r>
  <r>
    <s v="TXN_1942110"/>
    <s v="CUST_09"/>
    <x v="6"/>
    <x v="140"/>
    <x v="17"/>
    <x v="7"/>
    <n v="46.5"/>
    <x v="2"/>
    <x v="0"/>
    <x v="58"/>
    <x v="1"/>
    <s v="DISCOUNT ALLOWED"/>
    <s v="discount allowed"/>
    <s v="DISCOUNT ALLOWED"/>
    <s v="Discount Allowed"/>
    <s v="09/04/24"/>
  </r>
  <r>
    <s v="TXN_1965778"/>
    <s v="CUST_25"/>
    <x v="0"/>
    <x v="139"/>
    <x v="17"/>
    <x v="7"/>
    <n v="46.5"/>
    <x v="2"/>
    <x v="1"/>
    <x v="106"/>
    <x v="0"/>
    <s v="DISCOUNT NOT ALLOWED"/>
    <s v="discount not allowed"/>
    <s v="DISCOUNT NOT ALLOWED"/>
    <s v="Discount Not Allowed"/>
    <s v="01/09/24"/>
  </r>
  <r>
    <s v="TXN_1986874"/>
    <s v="CUST_09"/>
    <x v="0"/>
    <x v="139"/>
    <x v="17"/>
    <x v="7"/>
    <n v="46.5"/>
    <x v="0"/>
    <x v="1"/>
    <x v="1004"/>
    <x v="0"/>
    <s v="DISCOUNT NOT ALLOWED"/>
    <s v="discount not allowed"/>
    <s v="DISCOUNT NOT ALLOWED"/>
    <s v="Discount Not Allowed"/>
    <s v="03/11/22"/>
  </r>
  <r>
    <s v="TXN_2109158"/>
    <s v="CUST_19"/>
    <x v="0"/>
    <x v="139"/>
    <x v="17"/>
    <x v="7"/>
    <n v="46.5"/>
    <x v="0"/>
    <x v="0"/>
    <x v="520"/>
    <x v="1"/>
    <s v="DISCOUNT ALLOWED"/>
    <s v="discount allowed"/>
    <s v="DISCOUNT ALLOWED"/>
    <s v="Discount Allowed"/>
    <s v="08/08/22"/>
  </r>
  <r>
    <s v="TXN_2455842"/>
    <s v="CUST_14"/>
    <x v="5"/>
    <x v="138"/>
    <x v="17"/>
    <x v="7"/>
    <n v="46.5"/>
    <x v="2"/>
    <x v="1"/>
    <x v="1095"/>
    <x v="1"/>
    <s v="DISCOUNT ALLOWED"/>
    <s v="discount allowed"/>
    <s v="DISCOUNT ALLOWED"/>
    <s v="Discount Allowed"/>
    <s v="26/05/24"/>
  </r>
  <r>
    <s v="TXN_2685384"/>
    <s v="CUST_23"/>
    <x v="1"/>
    <x v="136"/>
    <x v="17"/>
    <x v="7"/>
    <n v="46.5"/>
    <x v="2"/>
    <x v="1"/>
    <x v="894"/>
    <x v="1"/>
    <s v="DISCOUNT ALLOWED"/>
    <s v="discount allowed"/>
    <s v="DISCOUNT ALLOWED"/>
    <s v="Discount Allowed"/>
    <s v="30/08/22"/>
  </r>
  <r>
    <s v="TXN_3238663"/>
    <s v="CUST_06"/>
    <x v="3"/>
    <x v="134"/>
    <x v="17"/>
    <x v="7"/>
    <n v="46.5"/>
    <x v="1"/>
    <x v="1"/>
    <x v="469"/>
    <x v="0"/>
    <s v="DISCOUNT NOT ALLOWED"/>
    <s v="discount not allowed"/>
    <s v="DISCOUNT NOT ALLOWED"/>
    <s v="Discount Not Allowed"/>
    <s v="29/11/23"/>
  </r>
  <r>
    <s v="TXN_3311484"/>
    <s v="CUST_16"/>
    <x v="1"/>
    <x v="136"/>
    <x v="17"/>
    <x v="7"/>
    <n v="46.5"/>
    <x v="1"/>
    <x v="0"/>
    <x v="246"/>
    <x v="0"/>
    <s v="DISCOUNT NOT ALLOWED"/>
    <s v="discount not allowed"/>
    <s v="DISCOUNT NOT ALLOWED"/>
    <s v="Discount Not Allowed"/>
    <s v="13/08/22"/>
  </r>
  <r>
    <s v="TXN_3394209"/>
    <s v="CUST_07"/>
    <x v="2"/>
    <x v="135"/>
    <x v="17"/>
    <x v="7"/>
    <n v="46.5"/>
    <x v="0"/>
    <x v="0"/>
    <x v="731"/>
    <x v="1"/>
    <s v="DISCOUNT ALLOWED"/>
    <s v="discount allowed"/>
    <s v="DISCOUNT ALLOWED"/>
    <s v="Discount Allowed"/>
    <s v="09/07/24"/>
  </r>
  <r>
    <s v="TXN_3806405"/>
    <s v="CUST_04"/>
    <x v="7"/>
    <x v="137"/>
    <x v="17"/>
    <x v="7"/>
    <n v="46.5"/>
    <x v="1"/>
    <x v="1"/>
    <x v="162"/>
    <x v="0"/>
    <s v="DISCOUNT NOT ALLOWED"/>
    <s v="discount not allowed"/>
    <s v="DISCOUNT NOT ALLOWED"/>
    <s v="Discount Not Allowed"/>
    <s v="08/03/24"/>
  </r>
  <r>
    <s v="TXN_4238599"/>
    <s v="CUST_15"/>
    <x v="0"/>
    <x v="139"/>
    <x v="17"/>
    <x v="7"/>
    <n v="46.5"/>
    <x v="2"/>
    <x v="1"/>
    <x v="58"/>
    <x v="0"/>
    <s v="DISCOUNT NOT ALLOWED"/>
    <s v="discount not allowed"/>
    <s v="DISCOUNT NOT ALLOWED"/>
    <s v="Discount Not Allowed"/>
    <s v="09/04/24"/>
  </r>
  <r>
    <s v="TXN_4250432"/>
    <s v="CUST_15"/>
    <x v="2"/>
    <x v="135"/>
    <x v="17"/>
    <x v="7"/>
    <n v="46.5"/>
    <x v="1"/>
    <x v="0"/>
    <x v="461"/>
    <x v="1"/>
    <s v="DISCOUNT ALLOWED"/>
    <s v="discount allowed"/>
    <s v="DISCOUNT ALLOWED"/>
    <s v="Discount Allowed"/>
    <s v="01/11/23"/>
  </r>
  <r>
    <s v="TXN_4665475"/>
    <s v="CUST_25"/>
    <x v="5"/>
    <x v="138"/>
    <x v="17"/>
    <x v="7"/>
    <n v="46.5"/>
    <x v="2"/>
    <x v="0"/>
    <x v="296"/>
    <x v="1"/>
    <s v="DISCOUNT ALLOWED"/>
    <s v="discount allowed"/>
    <s v="DISCOUNT ALLOWED"/>
    <s v="Discount Allowed"/>
    <s v="06/11/24"/>
  </r>
  <r>
    <s v="TXN_5280034"/>
    <s v="CUST_07"/>
    <x v="5"/>
    <x v="138"/>
    <x v="17"/>
    <x v="7"/>
    <n v="46.5"/>
    <x v="2"/>
    <x v="1"/>
    <x v="38"/>
    <x v="1"/>
    <s v="DISCOUNT ALLOWED"/>
    <s v="discount allowed"/>
    <s v="DISCOUNT ALLOWED"/>
    <s v="Discount Allowed"/>
    <s v="18/02/22"/>
  </r>
  <r>
    <s v="TXN_5391688"/>
    <s v="CUST_01"/>
    <x v="5"/>
    <x v="138"/>
    <x v="17"/>
    <x v="7"/>
    <n v="46.5"/>
    <x v="1"/>
    <x v="0"/>
    <x v="119"/>
    <x v="1"/>
    <s v="DISCOUNT ALLOWED"/>
    <s v="discount allowed"/>
    <s v="DISCOUNT ALLOWED"/>
    <s v="Discount Allowed"/>
    <s v="24/12/23"/>
  </r>
  <r>
    <s v="TXN_5423342"/>
    <s v="CUST_19"/>
    <x v="6"/>
    <x v="140"/>
    <x v="17"/>
    <x v="7"/>
    <n v="46.5"/>
    <x v="0"/>
    <x v="1"/>
    <x v="126"/>
    <x v="0"/>
    <s v="DISCOUNT NOT ALLOWED"/>
    <s v="discount not allowed"/>
    <s v="DISCOUNT NOT ALLOWED"/>
    <s v="Discount Not Allowed"/>
    <s v="21/10/23"/>
  </r>
  <r>
    <s v="TXN_5461118"/>
    <s v="CUST_03"/>
    <x v="3"/>
    <x v="134"/>
    <x v="17"/>
    <x v="7"/>
    <n v="46.5"/>
    <x v="2"/>
    <x v="1"/>
    <x v="337"/>
    <x v="1"/>
    <s v="DISCOUNT ALLOWED"/>
    <s v="discount allowed"/>
    <s v="DISCOUNT ALLOWED"/>
    <s v="Discount Allowed"/>
    <s v="20/08/24"/>
  </r>
  <r>
    <s v="TXN_5501595"/>
    <s v="CUST_03"/>
    <x v="0"/>
    <x v="139"/>
    <x v="17"/>
    <x v="7"/>
    <n v="46.5"/>
    <x v="1"/>
    <x v="0"/>
    <x v="282"/>
    <x v="1"/>
    <s v="DISCOUNT ALLOWED"/>
    <s v="discount allowed"/>
    <s v="DISCOUNT ALLOWED"/>
    <s v="Discount Allowed"/>
    <s v="20/06/23"/>
  </r>
  <r>
    <s v="TXN_5761154"/>
    <s v="CUST_25"/>
    <x v="3"/>
    <x v="134"/>
    <x v="17"/>
    <x v="7"/>
    <n v="46.5"/>
    <x v="2"/>
    <x v="0"/>
    <x v="586"/>
    <x v="1"/>
    <s v="DISCOUNT ALLOWED"/>
    <s v="discount allowed"/>
    <s v="DISCOUNT ALLOWED"/>
    <s v="Discount Allowed"/>
    <s v="26/02/23"/>
  </r>
  <r>
    <s v="TXN_5782730"/>
    <s v="CUST_05"/>
    <x v="1"/>
    <x v="136"/>
    <x v="17"/>
    <x v="7"/>
    <n v="46.5"/>
    <x v="0"/>
    <x v="1"/>
    <x v="897"/>
    <x v="0"/>
    <s v="DISCOUNT NOT ALLOWED"/>
    <s v="discount not allowed"/>
    <s v="DISCOUNT NOT ALLOWED"/>
    <s v="Discount Not Allowed"/>
    <s v="03/10/22"/>
  </r>
  <r>
    <s v="TXN_5805061"/>
    <s v="CUST_06"/>
    <x v="1"/>
    <x v="136"/>
    <x v="17"/>
    <x v="7"/>
    <n v="46.5"/>
    <x v="2"/>
    <x v="0"/>
    <x v="145"/>
    <x v="1"/>
    <s v="DISCOUNT ALLOWED"/>
    <s v="discount allowed"/>
    <s v="DISCOUNT ALLOWED"/>
    <s v="Discount Allowed"/>
    <s v="31/07/23"/>
  </r>
  <r>
    <s v="TXN_6086262"/>
    <s v="CUST_22"/>
    <x v="1"/>
    <x v="136"/>
    <x v="17"/>
    <x v="7"/>
    <n v="46.5"/>
    <x v="1"/>
    <x v="0"/>
    <x v="591"/>
    <x v="0"/>
    <s v="DISCOUNT NOT ALLOWED"/>
    <s v="discount not allowed"/>
    <s v="DISCOUNT NOT ALLOWED"/>
    <s v="Discount Not Allowed"/>
    <s v="11/11/22"/>
  </r>
  <r>
    <s v="TXN_6142111"/>
    <s v="CUST_09"/>
    <x v="1"/>
    <x v="136"/>
    <x v="17"/>
    <x v="7"/>
    <n v="46.5"/>
    <x v="2"/>
    <x v="0"/>
    <x v="704"/>
    <x v="1"/>
    <s v="DISCOUNT ALLOWED"/>
    <s v="discount allowed"/>
    <s v="DISCOUNT ALLOWED"/>
    <s v="Discount Allowed"/>
    <s v="02/03/24"/>
  </r>
  <r>
    <s v="TXN_6286103"/>
    <s v="CUST_13"/>
    <x v="2"/>
    <x v="135"/>
    <x v="17"/>
    <x v="7"/>
    <n v="46.5"/>
    <x v="2"/>
    <x v="1"/>
    <x v="689"/>
    <x v="1"/>
    <s v="DISCOUNT ALLOWED"/>
    <s v="discount allowed"/>
    <s v="DISCOUNT ALLOWED"/>
    <s v="Discount Allowed"/>
    <s v="07/09/22"/>
  </r>
  <r>
    <s v="TXN_6293942"/>
    <s v="CUST_13"/>
    <x v="1"/>
    <x v="136"/>
    <x v="17"/>
    <x v="7"/>
    <n v="46.5"/>
    <x v="0"/>
    <x v="1"/>
    <x v="587"/>
    <x v="0"/>
    <s v="DISCOUNT NOT ALLOWED"/>
    <s v="discount not allowed"/>
    <s v="DISCOUNT NOT ALLOWED"/>
    <s v="Discount Not Allowed"/>
    <s v="05/04/22"/>
  </r>
  <r>
    <s v="TXN_6414764"/>
    <s v="CUST_08"/>
    <x v="5"/>
    <x v="138"/>
    <x v="17"/>
    <x v="7"/>
    <n v="46.5"/>
    <x v="1"/>
    <x v="0"/>
    <x v="13"/>
    <x v="0"/>
    <s v="DISCOUNT NOT ALLOWED"/>
    <s v="discount not allowed"/>
    <s v="DISCOUNT NOT ALLOWED"/>
    <s v="Discount Not Allowed"/>
    <s v="08/09/22"/>
  </r>
  <r>
    <s v="TXN_6745168"/>
    <s v="CUST_01"/>
    <x v="3"/>
    <x v="134"/>
    <x v="17"/>
    <x v="7"/>
    <n v="46.5"/>
    <x v="0"/>
    <x v="1"/>
    <x v="732"/>
    <x v="1"/>
    <s v="DISCOUNT ALLOWED"/>
    <s v="discount allowed"/>
    <s v="DISCOUNT ALLOWED"/>
    <s v="Discount Allowed"/>
    <s v="17/08/24"/>
  </r>
  <r>
    <s v="TXN_6889696"/>
    <s v="CUST_10"/>
    <x v="5"/>
    <x v="138"/>
    <x v="17"/>
    <x v="7"/>
    <n v="46.5"/>
    <x v="1"/>
    <x v="0"/>
    <x v="282"/>
    <x v="0"/>
    <s v="DISCOUNT NOT ALLOWED"/>
    <s v="discount not allowed"/>
    <s v="DISCOUNT NOT ALLOWED"/>
    <s v="Discount Not Allowed"/>
    <s v="20/06/23"/>
  </r>
  <r>
    <s v="TXN_7460674"/>
    <s v="CUST_24"/>
    <x v="7"/>
    <x v="137"/>
    <x v="17"/>
    <x v="7"/>
    <n v="46.5"/>
    <x v="2"/>
    <x v="0"/>
    <x v="563"/>
    <x v="1"/>
    <s v="DISCOUNT ALLOWED"/>
    <s v="discount allowed"/>
    <s v="DISCOUNT ALLOWED"/>
    <s v="Discount Allowed"/>
    <s v="03/10/24"/>
  </r>
  <r>
    <s v="TXN_7472110"/>
    <s v="CUST_20"/>
    <x v="7"/>
    <x v="137"/>
    <x v="17"/>
    <x v="7"/>
    <n v="46.5"/>
    <x v="2"/>
    <x v="0"/>
    <x v="1073"/>
    <x v="1"/>
    <s v="DISCOUNT ALLOWED"/>
    <s v="discount allowed"/>
    <s v="DISCOUNT ALLOWED"/>
    <s v="Discount Allowed"/>
    <s v="02/08/22"/>
  </r>
  <r>
    <s v="TXN_7659597"/>
    <s v="CUST_11"/>
    <x v="7"/>
    <x v="137"/>
    <x v="17"/>
    <x v="7"/>
    <n v="46.5"/>
    <x v="2"/>
    <x v="0"/>
    <x v="732"/>
    <x v="1"/>
    <s v="DISCOUNT ALLOWED"/>
    <s v="discount allowed"/>
    <s v="DISCOUNT ALLOWED"/>
    <s v="Discount Allowed"/>
    <s v="17/08/24"/>
  </r>
  <r>
    <s v="TXN_8359482"/>
    <s v="CUST_22"/>
    <x v="1"/>
    <x v="136"/>
    <x v="17"/>
    <x v="7"/>
    <n v="46.5"/>
    <x v="0"/>
    <x v="0"/>
    <x v="1091"/>
    <x v="0"/>
    <s v="DISCOUNT NOT ALLOWED"/>
    <s v="discount not allowed"/>
    <s v="DISCOUNT NOT ALLOWED"/>
    <s v="Discount Not Allowed"/>
    <s v="06/01/22"/>
  </r>
  <r>
    <s v="TXN_8596731"/>
    <s v="CUST_18"/>
    <x v="6"/>
    <x v="140"/>
    <x v="17"/>
    <x v="7"/>
    <n v="46.5"/>
    <x v="2"/>
    <x v="1"/>
    <x v="907"/>
    <x v="1"/>
    <s v="DISCOUNT ALLOWED"/>
    <s v="discount allowed"/>
    <s v="DISCOUNT ALLOWED"/>
    <s v="Discount Allowed"/>
    <s v="09/04/23"/>
  </r>
  <r>
    <s v="TXN_8748461"/>
    <s v="CUST_06"/>
    <x v="1"/>
    <x v="136"/>
    <x v="17"/>
    <x v="7"/>
    <n v="46.5"/>
    <x v="2"/>
    <x v="0"/>
    <x v="1043"/>
    <x v="1"/>
    <s v="DISCOUNT ALLOWED"/>
    <s v="discount allowed"/>
    <s v="DISCOUNT ALLOWED"/>
    <s v="Discount Allowed"/>
    <s v="18/04/22"/>
  </r>
  <r>
    <s v="TXN_9299095"/>
    <s v="CUST_10"/>
    <x v="1"/>
    <x v="136"/>
    <x v="17"/>
    <x v="7"/>
    <n v="46.5"/>
    <x v="1"/>
    <x v="0"/>
    <x v="693"/>
    <x v="1"/>
    <s v="DISCOUNT ALLOWED"/>
    <s v="discount allowed"/>
    <s v="DISCOUNT ALLOWED"/>
    <s v="Discount Allowed"/>
    <s v="07/05/24"/>
  </r>
  <r>
    <s v="TXN_9762811"/>
    <s v="CUST_12"/>
    <x v="7"/>
    <x v="137"/>
    <x v="17"/>
    <x v="7"/>
    <n v="46.5"/>
    <x v="0"/>
    <x v="1"/>
    <x v="921"/>
    <x v="1"/>
    <s v="DISCOUNT ALLOWED"/>
    <s v="discount allowed"/>
    <s v="DISCOUNT ALLOWED"/>
    <s v="Discount Allowed"/>
    <s v="11/09/23"/>
  </r>
  <r>
    <s v="TXN_9976541"/>
    <s v="CUST_04"/>
    <x v="7"/>
    <x v="137"/>
    <x v="17"/>
    <x v="7"/>
    <n v="46.5"/>
    <x v="1"/>
    <x v="0"/>
    <x v="244"/>
    <x v="1"/>
    <s v="DISCOUNT ALLOWED"/>
    <s v="discount allowed"/>
    <s v="DISCOUNT ALLOWED"/>
    <s v="Discount Allowed"/>
    <s v="22/02/23"/>
  </r>
  <r>
    <s v="TXN_1042935"/>
    <s v="CUST_18"/>
    <x v="7"/>
    <x v="96"/>
    <x v="12"/>
    <x v="8"/>
    <n v="46"/>
    <x v="0"/>
    <x v="0"/>
    <x v="16"/>
    <x v="0"/>
    <s v="DISCOUNT NOT ALLOWED"/>
    <s v="discount not allowed"/>
    <s v="DISCOUNT NOT ALLOWED"/>
    <s v="Discount Not Allowed"/>
    <s v="11/09/22"/>
  </r>
  <r>
    <s v="TXN_1808071"/>
    <s v="CUST_25"/>
    <x v="4"/>
    <x v="94"/>
    <x v="12"/>
    <x v="8"/>
    <n v="46"/>
    <x v="0"/>
    <x v="1"/>
    <x v="559"/>
    <x v="0"/>
    <s v="DISCOUNT NOT ALLOWED"/>
    <s v="discount not allowed"/>
    <s v="DISCOUNT NOT ALLOWED"/>
    <s v="Discount Not Allowed"/>
    <s v="14/10/22"/>
  </r>
  <r>
    <s v="TXN_1809602"/>
    <s v="CUST_21"/>
    <x v="3"/>
    <x v="95"/>
    <x v="12"/>
    <x v="8"/>
    <n v="46"/>
    <x v="2"/>
    <x v="1"/>
    <x v="632"/>
    <x v="1"/>
    <s v="DISCOUNT ALLOWED"/>
    <s v="discount allowed"/>
    <s v="DISCOUNT ALLOWED"/>
    <s v="Discount Allowed"/>
    <s v="06/09/23"/>
  </r>
  <r>
    <s v="TXN_1961640"/>
    <s v="CUST_10"/>
    <x v="5"/>
    <x v="97"/>
    <x v="12"/>
    <x v="8"/>
    <n v="46"/>
    <x v="1"/>
    <x v="1"/>
    <x v="399"/>
    <x v="1"/>
    <s v="DISCOUNT ALLOWED"/>
    <s v="discount allowed"/>
    <s v="DISCOUNT ALLOWED"/>
    <s v="Discount Allowed"/>
    <s v="12/12/23"/>
  </r>
  <r>
    <s v="TXN_2848763"/>
    <s v="CUST_17"/>
    <x v="3"/>
    <x v="95"/>
    <x v="12"/>
    <x v="8"/>
    <n v="46"/>
    <x v="1"/>
    <x v="1"/>
    <x v="269"/>
    <x v="0"/>
    <s v="DISCOUNT NOT ALLOWED"/>
    <s v="discount not allowed"/>
    <s v="DISCOUNT NOT ALLOWED"/>
    <s v="Discount Not Allowed"/>
    <s v="26/07/22"/>
  </r>
  <r>
    <s v="TXN_3394031"/>
    <s v="CUST_04"/>
    <x v="0"/>
    <x v="98"/>
    <x v="12"/>
    <x v="8"/>
    <n v="46"/>
    <x v="2"/>
    <x v="1"/>
    <x v="986"/>
    <x v="1"/>
    <s v="DISCOUNT ALLOWED"/>
    <s v="discount allowed"/>
    <s v="DISCOUNT ALLOWED"/>
    <s v="Discount Allowed"/>
    <s v="07/11/23"/>
  </r>
  <r>
    <s v="TXN_4404066"/>
    <s v="CUST_02"/>
    <x v="0"/>
    <x v="98"/>
    <x v="12"/>
    <x v="8"/>
    <n v="46"/>
    <x v="2"/>
    <x v="0"/>
    <x v="131"/>
    <x v="1"/>
    <s v="DISCOUNT ALLOWED"/>
    <s v="discount allowed"/>
    <s v="DISCOUNT ALLOWED"/>
    <s v="Discount Allowed"/>
    <s v="15/05/23"/>
  </r>
  <r>
    <s v="TXN_4499063"/>
    <s v="CUST_20"/>
    <x v="3"/>
    <x v="95"/>
    <x v="12"/>
    <x v="8"/>
    <n v="46"/>
    <x v="0"/>
    <x v="1"/>
    <x v="393"/>
    <x v="1"/>
    <s v="DISCOUNT ALLOWED"/>
    <s v="discount allowed"/>
    <s v="DISCOUNT ALLOWED"/>
    <s v="Discount Allowed"/>
    <s v="18/10/22"/>
  </r>
  <r>
    <s v="TXN_4807004"/>
    <s v="CUST_02"/>
    <x v="0"/>
    <x v="98"/>
    <x v="12"/>
    <x v="8"/>
    <n v="46"/>
    <x v="1"/>
    <x v="1"/>
    <x v="802"/>
    <x v="1"/>
    <s v="DISCOUNT ALLOWED"/>
    <s v="discount allowed"/>
    <s v="DISCOUNT ALLOWED"/>
    <s v="Discount Allowed"/>
    <s v="05/10/24"/>
  </r>
  <r>
    <s v="TXN_4990516"/>
    <s v="CUST_23"/>
    <x v="0"/>
    <x v="98"/>
    <x v="12"/>
    <x v="8"/>
    <n v="46"/>
    <x v="0"/>
    <x v="0"/>
    <x v="807"/>
    <x v="1"/>
    <s v="DISCOUNT ALLOWED"/>
    <s v="discount allowed"/>
    <s v="DISCOUNT ALLOWED"/>
    <s v="Discount Allowed"/>
    <s v="19/10/23"/>
  </r>
  <r>
    <s v="TXN_5676229"/>
    <s v="CUST_18"/>
    <x v="4"/>
    <x v="94"/>
    <x v="12"/>
    <x v="8"/>
    <n v="46"/>
    <x v="2"/>
    <x v="0"/>
    <x v="683"/>
    <x v="1"/>
    <s v="DISCOUNT ALLOWED"/>
    <s v="discount allowed"/>
    <s v="DISCOUNT ALLOWED"/>
    <s v="Discount Allowed"/>
    <s v="21/02/22"/>
  </r>
  <r>
    <s v="TXN_5890815"/>
    <s v="CUST_12"/>
    <x v="0"/>
    <x v="98"/>
    <x v="12"/>
    <x v="8"/>
    <n v="46"/>
    <x v="0"/>
    <x v="0"/>
    <x v="30"/>
    <x v="0"/>
    <s v="DISCOUNT NOT ALLOWED"/>
    <s v="discount not allowed"/>
    <s v="DISCOUNT NOT ALLOWED"/>
    <s v="Discount Not Allowed"/>
    <s v="29/05/24"/>
  </r>
  <r>
    <s v="TXN_6066679"/>
    <s v="CUST_11"/>
    <x v="5"/>
    <x v="97"/>
    <x v="12"/>
    <x v="8"/>
    <n v="46"/>
    <x v="2"/>
    <x v="0"/>
    <x v="678"/>
    <x v="0"/>
    <s v="DISCOUNT NOT ALLOWED"/>
    <s v="discount not allowed"/>
    <s v="DISCOUNT NOT ALLOWED"/>
    <s v="Discount Not Allowed"/>
    <s v="09/03/23"/>
  </r>
  <r>
    <s v="TXN_6312937"/>
    <s v="CUST_14"/>
    <x v="6"/>
    <x v="93"/>
    <x v="12"/>
    <x v="8"/>
    <n v="46"/>
    <x v="0"/>
    <x v="1"/>
    <x v="738"/>
    <x v="0"/>
    <s v="DISCOUNT NOT ALLOWED"/>
    <s v="discount not allowed"/>
    <s v="DISCOUNT NOT ALLOWED"/>
    <s v="Discount Not Allowed"/>
    <s v="09/02/24"/>
  </r>
  <r>
    <s v="TXN_6478148"/>
    <s v="CUST_12"/>
    <x v="3"/>
    <x v="95"/>
    <x v="12"/>
    <x v="8"/>
    <n v="46"/>
    <x v="1"/>
    <x v="0"/>
    <x v="1003"/>
    <x v="0"/>
    <s v="DISCOUNT NOT ALLOWED"/>
    <s v="discount not allowed"/>
    <s v="DISCOUNT NOT ALLOWED"/>
    <s v="Discount Not Allowed"/>
    <s v="09/09/24"/>
  </r>
  <r>
    <s v="TXN_6712220"/>
    <s v="CUST_17"/>
    <x v="4"/>
    <x v="94"/>
    <x v="12"/>
    <x v="8"/>
    <n v="46"/>
    <x v="0"/>
    <x v="0"/>
    <x v="638"/>
    <x v="1"/>
    <s v="DISCOUNT ALLOWED"/>
    <s v="discount allowed"/>
    <s v="DISCOUNT ALLOWED"/>
    <s v="Discount Allowed"/>
    <s v="13/07/22"/>
  </r>
  <r>
    <s v="TXN_7109230"/>
    <s v="CUST_08"/>
    <x v="3"/>
    <x v="95"/>
    <x v="12"/>
    <x v="8"/>
    <n v="46"/>
    <x v="0"/>
    <x v="0"/>
    <x v="62"/>
    <x v="1"/>
    <s v="DISCOUNT ALLOWED"/>
    <s v="discount allowed"/>
    <s v="DISCOUNT ALLOWED"/>
    <s v="Discount Allowed"/>
    <s v="26/06/23"/>
  </r>
  <r>
    <s v="TXN_7241105"/>
    <s v="CUST_07"/>
    <x v="5"/>
    <x v="97"/>
    <x v="12"/>
    <x v="8"/>
    <n v="46"/>
    <x v="1"/>
    <x v="0"/>
    <x v="389"/>
    <x v="1"/>
    <s v="DISCOUNT ALLOWED"/>
    <s v="discount allowed"/>
    <s v="DISCOUNT ALLOWED"/>
    <s v="Discount Allowed"/>
    <s v="12/07/23"/>
  </r>
  <r>
    <s v="TXN_7435689"/>
    <s v="CUST_23"/>
    <x v="5"/>
    <x v="97"/>
    <x v="12"/>
    <x v="8"/>
    <n v="46"/>
    <x v="1"/>
    <x v="0"/>
    <x v="566"/>
    <x v="0"/>
    <s v="DISCOUNT NOT ALLOWED"/>
    <s v="discount not allowed"/>
    <s v="DISCOUNT NOT ALLOWED"/>
    <s v="Discount Not Allowed"/>
    <s v="16/11/24"/>
  </r>
  <r>
    <s v="TXN_8781897"/>
    <s v="CUST_02"/>
    <x v="0"/>
    <x v="98"/>
    <x v="12"/>
    <x v="8"/>
    <n v="46"/>
    <x v="1"/>
    <x v="1"/>
    <x v="65"/>
    <x v="0"/>
    <s v="DISCOUNT NOT ALLOWED"/>
    <s v="discount not allowed"/>
    <s v="DISCOUNT NOT ALLOWED"/>
    <s v="Discount Not Allowed"/>
    <s v="02/09/24"/>
  </r>
  <r>
    <s v="TXN_9108644"/>
    <s v="CUST_24"/>
    <x v="3"/>
    <x v="95"/>
    <x v="12"/>
    <x v="8"/>
    <n v="46"/>
    <x v="0"/>
    <x v="1"/>
    <x v="589"/>
    <x v="0"/>
    <s v="DISCOUNT NOT ALLOWED"/>
    <s v="discount not allowed"/>
    <s v="DISCOUNT NOT ALLOWED"/>
    <s v="Discount Not Allowed"/>
    <s v="25/02/22"/>
  </r>
  <r>
    <s v="TXN_9117114"/>
    <s v="CUST_13"/>
    <x v="4"/>
    <x v="94"/>
    <x v="12"/>
    <x v="8"/>
    <n v="46"/>
    <x v="1"/>
    <x v="1"/>
    <x v="524"/>
    <x v="1"/>
    <s v="DISCOUNT ALLOWED"/>
    <s v="discount allowed"/>
    <s v="DISCOUNT ALLOWED"/>
    <s v="Discount Allowed"/>
    <s v="05/01/24"/>
  </r>
  <r>
    <s v="TXN_9256493"/>
    <s v="CUST_22"/>
    <x v="0"/>
    <x v="98"/>
    <x v="12"/>
    <x v="8"/>
    <n v="46"/>
    <x v="1"/>
    <x v="1"/>
    <x v="192"/>
    <x v="0"/>
    <s v="DISCOUNT NOT ALLOWED"/>
    <s v="discount not allowed"/>
    <s v="DISCOUNT NOT ALLOWED"/>
    <s v="Discount Not Allowed"/>
    <s v="17/05/24"/>
  </r>
  <r>
    <s v="TXN_9743446"/>
    <s v="CUST_24"/>
    <x v="4"/>
    <x v="94"/>
    <x v="12"/>
    <x v="8"/>
    <n v="46"/>
    <x v="1"/>
    <x v="0"/>
    <x v="569"/>
    <x v="0"/>
    <s v="DISCOUNT NOT ALLOWED"/>
    <s v="discount not allowed"/>
    <s v="DISCOUNT NOT ALLOWED"/>
    <s v="Discount Not Allowed"/>
    <s v="02/05/24"/>
  </r>
  <r>
    <s v="TXN_9759459"/>
    <s v="CUST_22"/>
    <x v="7"/>
    <x v="96"/>
    <x v="12"/>
    <x v="8"/>
    <n v="46"/>
    <x v="2"/>
    <x v="1"/>
    <x v="892"/>
    <x v="1"/>
    <s v="DISCOUNT ALLOWED"/>
    <s v="discount allowed"/>
    <s v="DISCOUNT ALLOWED"/>
    <s v="Discount Allowed"/>
    <s v="07/01/22"/>
  </r>
  <r>
    <s v="TXN_9893886"/>
    <s v="CUST_17"/>
    <x v="3"/>
    <x v="95"/>
    <x v="12"/>
    <x v="8"/>
    <n v="46"/>
    <x v="1"/>
    <x v="1"/>
    <x v="593"/>
    <x v="1"/>
    <s v="DISCOUNT ALLOWED"/>
    <s v="discount allowed"/>
    <s v="DISCOUNT ALLOWED"/>
    <s v="Discount Allowed"/>
    <s v="10/07/22"/>
  </r>
  <r>
    <s v="TXN_1074265"/>
    <s v="CUST_17"/>
    <x v="7"/>
    <x v="191"/>
    <x v="23"/>
    <x v="3"/>
    <n v="45.5"/>
    <x v="2"/>
    <x v="1"/>
    <x v="229"/>
    <x v="1"/>
    <s v="DISCOUNT ALLOWED"/>
    <s v="discount allowed"/>
    <s v="DISCOUNT ALLOWED"/>
    <s v="Discount Allowed"/>
    <s v="16/03/24"/>
  </r>
  <r>
    <s v="TXN_1507506"/>
    <s v="CUST_01"/>
    <x v="4"/>
    <x v="185"/>
    <x v="23"/>
    <x v="3"/>
    <n v="45.5"/>
    <x v="0"/>
    <x v="1"/>
    <x v="102"/>
    <x v="0"/>
    <s v="DISCOUNT NOT ALLOWED"/>
    <s v="discount not allowed"/>
    <s v="DISCOUNT NOT ALLOWED"/>
    <s v="Discount Not Allowed"/>
    <s v="31/03/23"/>
  </r>
  <r>
    <s v="TXN_2107995"/>
    <s v="CUST_19"/>
    <x v="3"/>
    <x v="189"/>
    <x v="23"/>
    <x v="3"/>
    <n v="45.5"/>
    <x v="1"/>
    <x v="0"/>
    <x v="1033"/>
    <x v="0"/>
    <s v="DISCOUNT NOT ALLOWED"/>
    <s v="discount not allowed"/>
    <s v="DISCOUNT NOT ALLOWED"/>
    <s v="Discount Not Allowed"/>
    <s v="16/05/23"/>
  </r>
  <r>
    <s v="TXN_2633088"/>
    <s v="CUST_12"/>
    <x v="1"/>
    <x v="184"/>
    <x v="23"/>
    <x v="3"/>
    <n v="45.5"/>
    <x v="1"/>
    <x v="1"/>
    <x v="1041"/>
    <x v="1"/>
    <s v="DISCOUNT ALLOWED"/>
    <s v="discount allowed"/>
    <s v="DISCOUNT ALLOWED"/>
    <s v="Discount Allowed"/>
    <s v="06/03/23"/>
  </r>
  <r>
    <s v="TXN_2976114"/>
    <s v="CUST_10"/>
    <x v="1"/>
    <x v="184"/>
    <x v="23"/>
    <x v="3"/>
    <n v="45.5"/>
    <x v="1"/>
    <x v="1"/>
    <x v="10"/>
    <x v="1"/>
    <s v="DISCOUNT ALLOWED"/>
    <s v="discount allowed"/>
    <s v="DISCOUNT ALLOWED"/>
    <s v="Discount Allowed"/>
    <s v="29/08/22"/>
  </r>
  <r>
    <s v="TXN_3369728"/>
    <s v="CUST_18"/>
    <x v="1"/>
    <x v="184"/>
    <x v="23"/>
    <x v="3"/>
    <n v="45.5"/>
    <x v="2"/>
    <x v="1"/>
    <x v="993"/>
    <x v="1"/>
    <s v="DISCOUNT ALLOWED"/>
    <s v="discount allowed"/>
    <s v="DISCOUNT ALLOWED"/>
    <s v="Discount Allowed"/>
    <s v="20/08/22"/>
  </r>
  <r>
    <s v="TXN_4459060"/>
    <s v="CUST_04"/>
    <x v="1"/>
    <x v="184"/>
    <x v="23"/>
    <x v="3"/>
    <n v="45.5"/>
    <x v="2"/>
    <x v="1"/>
    <x v="746"/>
    <x v="1"/>
    <s v="DISCOUNT ALLOWED"/>
    <s v="discount allowed"/>
    <s v="DISCOUNT ALLOWED"/>
    <s v="Discount Allowed"/>
    <s v="20/01/24"/>
  </r>
  <r>
    <s v="TXN_4594043"/>
    <s v="CUST_17"/>
    <x v="3"/>
    <x v="189"/>
    <x v="23"/>
    <x v="3"/>
    <n v="45.5"/>
    <x v="2"/>
    <x v="1"/>
    <x v="978"/>
    <x v="1"/>
    <s v="DISCOUNT ALLOWED"/>
    <s v="discount allowed"/>
    <s v="DISCOUNT ALLOWED"/>
    <s v="Discount Allowed"/>
    <s v="09/01/25"/>
  </r>
  <r>
    <s v="TXN_5841884"/>
    <s v="CUST_16"/>
    <x v="0"/>
    <x v="186"/>
    <x v="23"/>
    <x v="3"/>
    <n v="45.5"/>
    <x v="0"/>
    <x v="0"/>
    <x v="505"/>
    <x v="1"/>
    <s v="DISCOUNT ALLOWED"/>
    <s v="discount allowed"/>
    <s v="DISCOUNT ALLOWED"/>
    <s v="Discount Allowed"/>
    <s v="13/04/24"/>
  </r>
  <r>
    <s v="TXN_5874772"/>
    <s v="CUST_23"/>
    <x v="4"/>
    <x v="185"/>
    <x v="23"/>
    <x v="3"/>
    <n v="45.5"/>
    <x v="1"/>
    <x v="0"/>
    <x v="855"/>
    <x v="1"/>
    <s v="DISCOUNT ALLOWED"/>
    <s v="discount allowed"/>
    <s v="DISCOUNT ALLOWED"/>
    <s v="Discount Allowed"/>
    <s v="09/09/23"/>
  </r>
  <r>
    <s v="TXN_6787154"/>
    <s v="CUST_25"/>
    <x v="3"/>
    <x v="189"/>
    <x v="23"/>
    <x v="3"/>
    <n v="45.5"/>
    <x v="1"/>
    <x v="0"/>
    <x v="560"/>
    <x v="1"/>
    <s v="DISCOUNT ALLOWED"/>
    <s v="discount allowed"/>
    <s v="DISCOUNT ALLOWED"/>
    <s v="Discount Allowed"/>
    <s v="20/04/22"/>
  </r>
  <r>
    <s v="TXN_6915562"/>
    <s v="CUST_03"/>
    <x v="5"/>
    <x v="190"/>
    <x v="23"/>
    <x v="3"/>
    <n v="45.5"/>
    <x v="2"/>
    <x v="1"/>
    <x v="1106"/>
    <x v="1"/>
    <s v="DISCOUNT ALLOWED"/>
    <s v="discount allowed"/>
    <s v="DISCOUNT ALLOWED"/>
    <s v="Discount Allowed"/>
    <s v="19/12/22"/>
  </r>
  <r>
    <s v="TXN_7562077"/>
    <s v="CUST_04"/>
    <x v="6"/>
    <x v="188"/>
    <x v="23"/>
    <x v="3"/>
    <n v="45.5"/>
    <x v="1"/>
    <x v="0"/>
    <x v="735"/>
    <x v="0"/>
    <s v="DISCOUNT NOT ALLOWED"/>
    <s v="discount not allowed"/>
    <s v="DISCOUNT NOT ALLOWED"/>
    <s v="Discount Not Allowed"/>
    <s v="16/08/23"/>
  </r>
  <r>
    <s v="TXN_7719299"/>
    <s v="CUST_23"/>
    <x v="6"/>
    <x v="188"/>
    <x v="23"/>
    <x v="3"/>
    <n v="45.5"/>
    <x v="2"/>
    <x v="1"/>
    <x v="786"/>
    <x v="0"/>
    <s v="DISCOUNT NOT ALLOWED"/>
    <s v="discount not allowed"/>
    <s v="DISCOUNT NOT ALLOWED"/>
    <s v="Discount Not Allowed"/>
    <s v="07/08/22"/>
  </r>
  <r>
    <s v="TXN_7948812"/>
    <s v="CUST_06"/>
    <x v="2"/>
    <x v="187"/>
    <x v="23"/>
    <x v="3"/>
    <n v="45.5"/>
    <x v="0"/>
    <x v="0"/>
    <x v="355"/>
    <x v="0"/>
    <s v="DISCOUNT NOT ALLOWED"/>
    <s v="discount not allowed"/>
    <s v="DISCOUNT NOT ALLOWED"/>
    <s v="Discount Not Allowed"/>
    <s v="23/12/24"/>
  </r>
  <r>
    <s v="TXN_8303338"/>
    <s v="CUST_04"/>
    <x v="2"/>
    <x v="187"/>
    <x v="23"/>
    <x v="3"/>
    <n v="45.5"/>
    <x v="0"/>
    <x v="0"/>
    <x v="228"/>
    <x v="1"/>
    <s v="DISCOUNT ALLOWED"/>
    <s v="discount allowed"/>
    <s v="DISCOUNT ALLOWED"/>
    <s v="Discount Allowed"/>
    <s v="27/02/22"/>
  </r>
  <r>
    <s v="TXN_8486938"/>
    <s v="CUST_20"/>
    <x v="6"/>
    <x v="188"/>
    <x v="23"/>
    <x v="3"/>
    <n v="45.5"/>
    <x v="2"/>
    <x v="0"/>
    <x v="593"/>
    <x v="0"/>
    <s v="DISCOUNT NOT ALLOWED"/>
    <s v="discount not allowed"/>
    <s v="DISCOUNT NOT ALLOWED"/>
    <s v="Discount Not Allowed"/>
    <s v="10/07/22"/>
  </r>
  <r>
    <s v="TXN_8881867"/>
    <s v="CUST_23"/>
    <x v="6"/>
    <x v="188"/>
    <x v="23"/>
    <x v="3"/>
    <n v="45.5"/>
    <x v="1"/>
    <x v="1"/>
    <x v="447"/>
    <x v="0"/>
    <s v="DISCOUNT NOT ALLOWED"/>
    <s v="discount not allowed"/>
    <s v="DISCOUNT NOT ALLOWED"/>
    <s v="Discount Not Allowed"/>
    <s v="08/01/24"/>
  </r>
  <r>
    <s v="TXN_9087734"/>
    <s v="CUST_23"/>
    <x v="1"/>
    <x v="184"/>
    <x v="23"/>
    <x v="3"/>
    <n v="45.5"/>
    <x v="1"/>
    <x v="0"/>
    <x v="363"/>
    <x v="0"/>
    <s v="DISCOUNT NOT ALLOWED"/>
    <s v="discount not allowed"/>
    <s v="DISCOUNT NOT ALLOWED"/>
    <s v="Discount Not Allowed"/>
    <s v="20/03/23"/>
  </r>
  <r>
    <s v="TXN_9114087"/>
    <s v="CUST_15"/>
    <x v="6"/>
    <x v="188"/>
    <x v="23"/>
    <x v="3"/>
    <n v="45.5"/>
    <x v="0"/>
    <x v="0"/>
    <x v="1059"/>
    <x v="1"/>
    <s v="DISCOUNT ALLOWED"/>
    <s v="discount allowed"/>
    <s v="DISCOUNT ALLOWED"/>
    <s v="Discount Allowed"/>
    <s v="24/02/24"/>
  </r>
  <r>
    <s v="TXN_9442698"/>
    <s v="CUST_15"/>
    <x v="2"/>
    <x v="187"/>
    <x v="23"/>
    <x v="3"/>
    <n v="45.5"/>
    <x v="0"/>
    <x v="0"/>
    <x v="256"/>
    <x v="1"/>
    <s v="DISCOUNT ALLOWED"/>
    <s v="discount allowed"/>
    <s v="DISCOUNT ALLOWED"/>
    <s v="Discount Allowed"/>
    <s v="20/10/23"/>
  </r>
  <r>
    <s v="TXN_9468678"/>
    <s v="CUST_10"/>
    <x v="5"/>
    <x v="190"/>
    <x v="23"/>
    <x v="3"/>
    <n v="45.5"/>
    <x v="1"/>
    <x v="1"/>
    <x v="493"/>
    <x v="1"/>
    <s v="DISCOUNT ALLOWED"/>
    <s v="discount allowed"/>
    <s v="DISCOUNT ALLOWED"/>
    <s v="Discount Allowed"/>
    <s v="03/06/24"/>
  </r>
  <r>
    <s v="TXN_9468973"/>
    <s v="CUST_05"/>
    <x v="6"/>
    <x v="188"/>
    <x v="23"/>
    <x v="3"/>
    <n v="45.5"/>
    <x v="0"/>
    <x v="1"/>
    <x v="450"/>
    <x v="1"/>
    <s v="DISCOUNT ALLOWED"/>
    <s v="discount allowed"/>
    <s v="DISCOUNT ALLOWED"/>
    <s v="Discount Allowed"/>
    <s v="21/03/23"/>
  </r>
  <r>
    <s v="TXN_9841782"/>
    <s v="CUST_20"/>
    <x v="5"/>
    <x v="190"/>
    <x v="23"/>
    <x v="3"/>
    <n v="45.5"/>
    <x v="1"/>
    <x v="0"/>
    <x v="772"/>
    <x v="0"/>
    <s v="DISCOUNT NOT ALLOWED"/>
    <s v="discount not allowed"/>
    <s v="DISCOUNT NOT ALLOWED"/>
    <s v="Discount Not Allowed"/>
    <s v="19/07/22"/>
  </r>
  <r>
    <s v="TXN_9958872"/>
    <s v="CUST_22"/>
    <x v="7"/>
    <x v="191"/>
    <x v="23"/>
    <x v="3"/>
    <n v="45.5"/>
    <x v="2"/>
    <x v="1"/>
    <x v="265"/>
    <x v="0"/>
    <s v="DISCOUNT NOT ALLOWED"/>
    <s v="discount not allowed"/>
    <s v="DISCOUNT NOT ALLOWED"/>
    <s v="Discount Not Allowed"/>
    <s v="30/06/24"/>
  </r>
  <r>
    <s v="TXN_1383415"/>
    <s v="CUST_01"/>
    <x v="1"/>
    <x v="193"/>
    <x v="24"/>
    <x v="1"/>
    <n v="45"/>
    <x v="0"/>
    <x v="0"/>
    <x v="387"/>
    <x v="1"/>
    <s v="DISCOUNT ALLOWED"/>
    <s v="discount allowed"/>
    <s v="DISCOUNT ALLOWED"/>
    <s v="Discount Allowed"/>
    <s v="30/12/22"/>
  </r>
  <r>
    <s v="TXN_2260411"/>
    <s v="CUST_12"/>
    <x v="2"/>
    <x v="199"/>
    <x v="24"/>
    <x v="1"/>
    <n v="45"/>
    <x v="2"/>
    <x v="1"/>
    <x v="309"/>
    <x v="1"/>
    <s v="DISCOUNT ALLOWED"/>
    <s v="discount allowed"/>
    <s v="DISCOUNT ALLOWED"/>
    <s v="Discount Allowed"/>
    <s v="02/10/24"/>
  </r>
  <r>
    <s v="TXN_2318174"/>
    <s v="CUST_18"/>
    <x v="7"/>
    <x v="192"/>
    <x v="24"/>
    <x v="1"/>
    <n v="45"/>
    <x v="0"/>
    <x v="1"/>
    <x v="736"/>
    <x v="0"/>
    <s v="DISCOUNT NOT ALLOWED"/>
    <s v="discount not allowed"/>
    <s v="DISCOUNT NOT ALLOWED"/>
    <s v="Discount Not Allowed"/>
    <s v="13/05/24"/>
  </r>
  <r>
    <s v="TXN_2450206"/>
    <s v="CUST_24"/>
    <x v="2"/>
    <x v="199"/>
    <x v="24"/>
    <x v="1"/>
    <n v="45"/>
    <x v="2"/>
    <x v="1"/>
    <x v="686"/>
    <x v="1"/>
    <s v="DISCOUNT ALLOWED"/>
    <s v="discount allowed"/>
    <s v="DISCOUNT ALLOWED"/>
    <s v="Discount Allowed"/>
    <s v="21/07/23"/>
  </r>
  <r>
    <s v="TXN_2501720"/>
    <s v="CUST_15"/>
    <x v="6"/>
    <x v="196"/>
    <x v="24"/>
    <x v="1"/>
    <n v="45"/>
    <x v="0"/>
    <x v="0"/>
    <x v="692"/>
    <x v="0"/>
    <s v="DISCOUNT NOT ALLOWED"/>
    <s v="discount not allowed"/>
    <s v="DISCOUNT NOT ALLOWED"/>
    <s v="Discount Not Allowed"/>
    <s v="23/06/22"/>
  </r>
  <r>
    <s v="TXN_2543656"/>
    <s v="CUST_06"/>
    <x v="0"/>
    <x v="195"/>
    <x v="24"/>
    <x v="1"/>
    <n v="45"/>
    <x v="0"/>
    <x v="0"/>
    <x v="840"/>
    <x v="0"/>
    <s v="DISCOUNT NOT ALLOWED"/>
    <s v="discount not allowed"/>
    <s v="DISCOUNT NOT ALLOWED"/>
    <s v="Discount Not Allowed"/>
    <s v="07/03/22"/>
  </r>
  <r>
    <s v="TXN_2596191"/>
    <s v="CUST_13"/>
    <x v="7"/>
    <x v="192"/>
    <x v="24"/>
    <x v="1"/>
    <n v="45"/>
    <x v="0"/>
    <x v="1"/>
    <x v="412"/>
    <x v="0"/>
    <s v="DISCOUNT NOT ALLOWED"/>
    <s v="discount not allowed"/>
    <s v="DISCOUNT NOT ALLOWED"/>
    <s v="Discount Not Allowed"/>
    <s v="17/10/22"/>
  </r>
  <r>
    <s v="TXN_3671517"/>
    <s v="CUST_13"/>
    <x v="0"/>
    <x v="195"/>
    <x v="24"/>
    <x v="1"/>
    <n v="45"/>
    <x v="0"/>
    <x v="1"/>
    <x v="451"/>
    <x v="0"/>
    <s v="DISCOUNT NOT ALLOWED"/>
    <s v="discount not allowed"/>
    <s v="DISCOUNT NOT ALLOWED"/>
    <s v="Discount Not Allowed"/>
    <s v="06/01/24"/>
  </r>
  <r>
    <s v="TXN_4276598"/>
    <s v="CUST_16"/>
    <x v="0"/>
    <x v="195"/>
    <x v="24"/>
    <x v="1"/>
    <n v="45"/>
    <x v="0"/>
    <x v="0"/>
    <x v="963"/>
    <x v="0"/>
    <s v="DISCOUNT NOT ALLOWED"/>
    <s v="discount not allowed"/>
    <s v="DISCOUNT NOT ALLOWED"/>
    <s v="Discount Not Allowed"/>
    <s v="27/11/23"/>
  </r>
  <r>
    <s v="TXN_4864899"/>
    <s v="CUST_09"/>
    <x v="0"/>
    <x v="195"/>
    <x v="24"/>
    <x v="1"/>
    <n v="45"/>
    <x v="1"/>
    <x v="1"/>
    <x v="918"/>
    <x v="1"/>
    <s v="DISCOUNT ALLOWED"/>
    <s v="discount allowed"/>
    <s v="DISCOUNT ALLOWED"/>
    <s v="Discount Allowed"/>
    <s v="17/09/23"/>
  </r>
  <r>
    <s v="TXN_5189628"/>
    <s v="CUST_04"/>
    <x v="0"/>
    <x v="195"/>
    <x v="24"/>
    <x v="1"/>
    <n v="45"/>
    <x v="2"/>
    <x v="1"/>
    <x v="202"/>
    <x v="1"/>
    <s v="DISCOUNT ALLOWED"/>
    <s v="discount allowed"/>
    <s v="DISCOUNT ALLOWED"/>
    <s v="Discount Allowed"/>
    <s v="10/04/24"/>
  </r>
  <r>
    <s v="TXN_5395023"/>
    <s v="CUST_23"/>
    <x v="5"/>
    <x v="194"/>
    <x v="24"/>
    <x v="1"/>
    <n v="45"/>
    <x v="1"/>
    <x v="1"/>
    <x v="475"/>
    <x v="0"/>
    <s v="DISCOUNT NOT ALLOWED"/>
    <s v="discount not allowed"/>
    <s v="DISCOUNT NOT ALLOWED"/>
    <s v="Discount Not Allowed"/>
    <s v="03/09/24"/>
  </r>
  <r>
    <s v="TXN_6113342"/>
    <s v="CUST_23"/>
    <x v="1"/>
    <x v="193"/>
    <x v="24"/>
    <x v="1"/>
    <n v="45"/>
    <x v="1"/>
    <x v="0"/>
    <x v="485"/>
    <x v="1"/>
    <s v="DISCOUNT ALLOWED"/>
    <s v="discount allowed"/>
    <s v="DISCOUNT ALLOWED"/>
    <s v="Discount Allowed"/>
    <s v="05/01/23"/>
  </r>
  <r>
    <s v="TXN_6182431"/>
    <s v="CUST_07"/>
    <x v="0"/>
    <x v="195"/>
    <x v="24"/>
    <x v="1"/>
    <n v="45"/>
    <x v="0"/>
    <x v="0"/>
    <x v="92"/>
    <x v="1"/>
    <s v="DISCOUNT ALLOWED"/>
    <s v="discount allowed"/>
    <s v="DISCOUNT ALLOWED"/>
    <s v="Discount Allowed"/>
    <s v="03/03/24"/>
  </r>
  <r>
    <s v="TXN_6325122"/>
    <s v="CUST_07"/>
    <x v="7"/>
    <x v="192"/>
    <x v="24"/>
    <x v="1"/>
    <n v="45"/>
    <x v="2"/>
    <x v="0"/>
    <x v="135"/>
    <x v="0"/>
    <s v="DISCOUNT NOT ALLOWED"/>
    <s v="discount not allowed"/>
    <s v="DISCOUNT NOT ALLOWED"/>
    <s v="Discount Not Allowed"/>
    <s v="03/04/24"/>
  </r>
  <r>
    <s v="TXN_6926177"/>
    <s v="CUST_04"/>
    <x v="0"/>
    <x v="195"/>
    <x v="24"/>
    <x v="1"/>
    <n v="45"/>
    <x v="2"/>
    <x v="0"/>
    <x v="463"/>
    <x v="0"/>
    <s v="DISCOUNT NOT ALLOWED"/>
    <s v="discount not allowed"/>
    <s v="DISCOUNT NOT ALLOWED"/>
    <s v="Discount Not Allowed"/>
    <s v="22/02/22"/>
  </r>
  <r>
    <s v="TXN_7127612"/>
    <s v="CUST_22"/>
    <x v="0"/>
    <x v="195"/>
    <x v="24"/>
    <x v="1"/>
    <n v="45"/>
    <x v="1"/>
    <x v="1"/>
    <x v="660"/>
    <x v="1"/>
    <s v="DISCOUNT ALLOWED"/>
    <s v="discount allowed"/>
    <s v="DISCOUNT ALLOWED"/>
    <s v="Discount Allowed"/>
    <s v="25/04/22"/>
  </r>
  <r>
    <s v="TXN_7582224"/>
    <s v="CUST_12"/>
    <x v="2"/>
    <x v="199"/>
    <x v="24"/>
    <x v="1"/>
    <n v="45"/>
    <x v="0"/>
    <x v="1"/>
    <x v="414"/>
    <x v="1"/>
    <s v="DISCOUNT ALLOWED"/>
    <s v="discount allowed"/>
    <s v="DISCOUNT ALLOWED"/>
    <s v="Discount Allowed"/>
    <s v="01/02/22"/>
  </r>
  <r>
    <s v="TXN_8686778"/>
    <s v="CUST_19"/>
    <x v="3"/>
    <x v="197"/>
    <x v="24"/>
    <x v="1"/>
    <n v="45"/>
    <x v="0"/>
    <x v="0"/>
    <x v="662"/>
    <x v="1"/>
    <s v="DISCOUNT ALLOWED"/>
    <s v="discount allowed"/>
    <s v="DISCOUNT ALLOWED"/>
    <s v="Discount Allowed"/>
    <s v="17/12/24"/>
  </r>
  <r>
    <s v="TXN_8785418"/>
    <s v="CUST_07"/>
    <x v="7"/>
    <x v="192"/>
    <x v="24"/>
    <x v="1"/>
    <n v="45"/>
    <x v="2"/>
    <x v="0"/>
    <x v="673"/>
    <x v="1"/>
    <s v="DISCOUNT ALLOWED"/>
    <s v="discount allowed"/>
    <s v="DISCOUNT ALLOWED"/>
    <s v="Discount Allowed"/>
    <s v="12/02/23"/>
  </r>
  <r>
    <s v="TXN_9423890"/>
    <s v="CUST_12"/>
    <x v="2"/>
    <x v="199"/>
    <x v="24"/>
    <x v="1"/>
    <n v="45"/>
    <x v="1"/>
    <x v="1"/>
    <x v="587"/>
    <x v="0"/>
    <s v="DISCOUNT NOT ALLOWED"/>
    <s v="discount not allowed"/>
    <s v="DISCOUNT NOT ALLOWED"/>
    <s v="Discount Not Allowed"/>
    <s v="05/04/22"/>
  </r>
  <r>
    <s v="TXN_1304201"/>
    <s v="CUST_09"/>
    <x v="2"/>
    <x v="161"/>
    <x v="20"/>
    <x v="6"/>
    <n v="44"/>
    <x v="2"/>
    <x v="1"/>
    <x v="1016"/>
    <x v="1"/>
    <s v="DISCOUNT ALLOWED"/>
    <s v="discount allowed"/>
    <s v="DISCOUNT ALLOWED"/>
    <s v="Discount Allowed"/>
    <s v="14/03/24"/>
  </r>
  <r>
    <s v="TXN_1393018"/>
    <s v="CUST_01"/>
    <x v="6"/>
    <x v="162"/>
    <x v="20"/>
    <x v="6"/>
    <n v="44"/>
    <x v="2"/>
    <x v="1"/>
    <x v="160"/>
    <x v="0"/>
    <s v="DISCOUNT NOT ALLOWED"/>
    <s v="discount not allowed"/>
    <s v="DISCOUNT NOT ALLOWED"/>
    <s v="Discount Not Allowed"/>
    <s v="20/02/23"/>
  </r>
  <r>
    <s v="TXN_1946735"/>
    <s v="CUST_25"/>
    <x v="4"/>
    <x v="163"/>
    <x v="20"/>
    <x v="6"/>
    <n v="44"/>
    <x v="0"/>
    <x v="0"/>
    <x v="864"/>
    <x v="1"/>
    <s v="DISCOUNT ALLOWED"/>
    <s v="discount allowed"/>
    <s v="DISCOUNT ALLOWED"/>
    <s v="Discount Allowed"/>
    <s v="08/08/23"/>
  </r>
  <r>
    <s v="TXN_2151215"/>
    <s v="CUST_02"/>
    <x v="3"/>
    <x v="164"/>
    <x v="20"/>
    <x v="6"/>
    <n v="44"/>
    <x v="1"/>
    <x v="1"/>
    <x v="137"/>
    <x v="0"/>
    <s v="DISCOUNT NOT ALLOWED"/>
    <s v="discount not allowed"/>
    <s v="DISCOUNT NOT ALLOWED"/>
    <s v="Discount Not Allowed"/>
    <s v="24/11/23"/>
  </r>
  <r>
    <s v="TXN_2285773"/>
    <s v="CUST_04"/>
    <x v="6"/>
    <x v="162"/>
    <x v="20"/>
    <x v="6"/>
    <n v="44"/>
    <x v="0"/>
    <x v="1"/>
    <x v="1095"/>
    <x v="1"/>
    <s v="DISCOUNT ALLOWED"/>
    <s v="discount allowed"/>
    <s v="DISCOUNT ALLOWED"/>
    <s v="Discount Allowed"/>
    <s v="26/05/24"/>
  </r>
  <r>
    <s v="TXN_2774995"/>
    <s v="CUST_24"/>
    <x v="4"/>
    <x v="163"/>
    <x v="20"/>
    <x v="6"/>
    <n v="44"/>
    <x v="0"/>
    <x v="1"/>
    <x v="77"/>
    <x v="0"/>
    <s v="DISCOUNT NOT ALLOWED"/>
    <s v="discount not allowed"/>
    <s v="DISCOUNT NOT ALLOWED"/>
    <s v="Discount Not Allowed"/>
    <s v="29/01/24"/>
  </r>
  <r>
    <s v="TXN_2791670"/>
    <s v="CUST_04"/>
    <x v="4"/>
    <x v="163"/>
    <x v="20"/>
    <x v="6"/>
    <n v="44"/>
    <x v="2"/>
    <x v="1"/>
    <x v="360"/>
    <x v="1"/>
    <s v="DISCOUNT ALLOWED"/>
    <s v="discount allowed"/>
    <s v="DISCOUNT ALLOWED"/>
    <s v="Discount Allowed"/>
    <s v="20/06/22"/>
  </r>
  <r>
    <s v="TXN_2826730"/>
    <s v="CUST_07"/>
    <x v="4"/>
    <x v="163"/>
    <x v="20"/>
    <x v="6"/>
    <n v="44"/>
    <x v="0"/>
    <x v="0"/>
    <x v="867"/>
    <x v="1"/>
    <s v="DISCOUNT ALLOWED"/>
    <s v="discount allowed"/>
    <s v="DISCOUNT ALLOWED"/>
    <s v="Discount Allowed"/>
    <s v="09/09/22"/>
  </r>
  <r>
    <s v="TXN_3278728"/>
    <s v="CUST_19"/>
    <x v="4"/>
    <x v="163"/>
    <x v="20"/>
    <x v="6"/>
    <n v="44"/>
    <x v="1"/>
    <x v="0"/>
    <x v="245"/>
    <x v="1"/>
    <s v="DISCOUNT ALLOWED"/>
    <s v="discount allowed"/>
    <s v="DISCOUNT ALLOWED"/>
    <s v="Discount Allowed"/>
    <s v="03/02/23"/>
  </r>
  <r>
    <s v="TXN_3430293"/>
    <s v="CUST_21"/>
    <x v="4"/>
    <x v="163"/>
    <x v="20"/>
    <x v="6"/>
    <n v="44"/>
    <x v="2"/>
    <x v="0"/>
    <x v="425"/>
    <x v="1"/>
    <s v="DISCOUNT ALLOWED"/>
    <s v="discount allowed"/>
    <s v="DISCOUNT ALLOWED"/>
    <s v="Discount Allowed"/>
    <s v="12/08/22"/>
  </r>
  <r>
    <s v="TXN_3664114"/>
    <s v="CUST_21"/>
    <x v="0"/>
    <x v="174"/>
    <x v="20"/>
    <x v="6"/>
    <n v="44"/>
    <x v="1"/>
    <x v="1"/>
    <x v="309"/>
    <x v="1"/>
    <s v="DISCOUNT ALLOWED"/>
    <s v="discount allowed"/>
    <s v="DISCOUNT ALLOWED"/>
    <s v="Discount Allowed"/>
    <s v="02/10/24"/>
  </r>
  <r>
    <s v="TXN_4042022"/>
    <s v="CUST_18"/>
    <x v="6"/>
    <x v="162"/>
    <x v="20"/>
    <x v="6"/>
    <n v="44"/>
    <x v="2"/>
    <x v="0"/>
    <x v="285"/>
    <x v="0"/>
    <s v="DISCOUNT NOT ALLOWED"/>
    <s v="discount not allowed"/>
    <s v="DISCOUNT NOT ALLOWED"/>
    <s v="Discount Not Allowed"/>
    <s v="12/03/22"/>
  </r>
  <r>
    <s v="TXN_4053566"/>
    <s v="CUST_17"/>
    <x v="4"/>
    <x v="163"/>
    <x v="20"/>
    <x v="6"/>
    <n v="44"/>
    <x v="2"/>
    <x v="1"/>
    <x v="956"/>
    <x v="0"/>
    <s v="DISCOUNT NOT ALLOWED"/>
    <s v="discount not allowed"/>
    <s v="DISCOUNT NOT ALLOWED"/>
    <s v="Discount Not Allowed"/>
    <s v="28/12/22"/>
  </r>
  <r>
    <s v="TXN_4280011"/>
    <s v="CUST_15"/>
    <x v="3"/>
    <x v="164"/>
    <x v="20"/>
    <x v="6"/>
    <n v="44"/>
    <x v="0"/>
    <x v="0"/>
    <x v="1091"/>
    <x v="0"/>
    <s v="DISCOUNT NOT ALLOWED"/>
    <s v="discount not allowed"/>
    <s v="DISCOUNT NOT ALLOWED"/>
    <s v="Discount Not Allowed"/>
    <s v="06/01/22"/>
  </r>
  <r>
    <s v="TXN_5277569"/>
    <s v="CUST_09"/>
    <x v="7"/>
    <x v="165"/>
    <x v="20"/>
    <x v="6"/>
    <n v="44"/>
    <x v="2"/>
    <x v="0"/>
    <x v="566"/>
    <x v="1"/>
    <s v="DISCOUNT ALLOWED"/>
    <s v="discount allowed"/>
    <s v="DISCOUNT ALLOWED"/>
    <s v="Discount Allowed"/>
    <s v="16/11/24"/>
  </r>
  <r>
    <s v="TXN_5613059"/>
    <s v="CUST_07"/>
    <x v="4"/>
    <x v="163"/>
    <x v="20"/>
    <x v="6"/>
    <n v="44"/>
    <x v="0"/>
    <x v="1"/>
    <x v="610"/>
    <x v="0"/>
    <s v="DISCOUNT NOT ALLOWED"/>
    <s v="discount not allowed"/>
    <s v="DISCOUNT NOT ALLOWED"/>
    <s v="Discount Not Allowed"/>
    <s v="15/08/24"/>
  </r>
  <r>
    <s v="TXN_6038207"/>
    <s v="CUST_02"/>
    <x v="7"/>
    <x v="165"/>
    <x v="20"/>
    <x v="6"/>
    <n v="44"/>
    <x v="0"/>
    <x v="1"/>
    <x v="278"/>
    <x v="0"/>
    <s v="DISCOUNT NOT ALLOWED"/>
    <s v="discount not allowed"/>
    <s v="DISCOUNT NOT ALLOWED"/>
    <s v="Discount Not Allowed"/>
    <s v="26/12/24"/>
  </r>
  <r>
    <s v="TXN_6185567"/>
    <s v="CUST_11"/>
    <x v="2"/>
    <x v="161"/>
    <x v="20"/>
    <x v="6"/>
    <n v="44"/>
    <x v="0"/>
    <x v="0"/>
    <x v="372"/>
    <x v="1"/>
    <s v="DISCOUNT ALLOWED"/>
    <s v="discount allowed"/>
    <s v="DISCOUNT ALLOWED"/>
    <s v="Discount Allowed"/>
    <s v="17/07/24"/>
  </r>
  <r>
    <s v="TXN_6442602"/>
    <s v="CUST_11"/>
    <x v="6"/>
    <x v="162"/>
    <x v="20"/>
    <x v="6"/>
    <n v="44"/>
    <x v="1"/>
    <x v="1"/>
    <x v="319"/>
    <x v="0"/>
    <s v="DISCOUNT NOT ALLOWED"/>
    <s v="discount not allowed"/>
    <s v="DISCOUNT NOT ALLOWED"/>
    <s v="Discount Not Allowed"/>
    <s v="22/12/23"/>
  </r>
  <r>
    <s v="TXN_6595410"/>
    <s v="CUST_25"/>
    <x v="5"/>
    <x v="160"/>
    <x v="20"/>
    <x v="6"/>
    <n v="44"/>
    <x v="0"/>
    <x v="1"/>
    <x v="503"/>
    <x v="1"/>
    <s v="DISCOUNT ALLOWED"/>
    <s v="discount allowed"/>
    <s v="DISCOUNT ALLOWED"/>
    <s v="Discount Allowed"/>
    <s v="16/08/22"/>
  </r>
  <r>
    <s v="TXN_6700560"/>
    <s v="CUST_12"/>
    <x v="7"/>
    <x v="165"/>
    <x v="20"/>
    <x v="6"/>
    <n v="44"/>
    <x v="0"/>
    <x v="0"/>
    <x v="179"/>
    <x v="0"/>
    <s v="DISCOUNT NOT ALLOWED"/>
    <s v="discount not allowed"/>
    <s v="DISCOUNT NOT ALLOWED"/>
    <s v="Discount Not Allowed"/>
    <s v="05/09/22"/>
  </r>
  <r>
    <s v="TXN_6979245"/>
    <s v="CUST_13"/>
    <x v="5"/>
    <x v="160"/>
    <x v="20"/>
    <x v="6"/>
    <n v="44"/>
    <x v="1"/>
    <x v="1"/>
    <x v="557"/>
    <x v="1"/>
    <s v="DISCOUNT ALLOWED"/>
    <s v="discount allowed"/>
    <s v="DISCOUNT ALLOWED"/>
    <s v="Discount Allowed"/>
    <s v="08/05/22"/>
  </r>
  <r>
    <s v="TXN_7505689"/>
    <s v="CUST_12"/>
    <x v="2"/>
    <x v="161"/>
    <x v="20"/>
    <x v="6"/>
    <n v="44"/>
    <x v="2"/>
    <x v="0"/>
    <x v="1094"/>
    <x v="0"/>
    <s v="DISCOUNT NOT ALLOWED"/>
    <s v="discount not allowed"/>
    <s v="DISCOUNT NOT ALLOWED"/>
    <s v="Discount Not Allowed"/>
    <s v="15/04/23"/>
  </r>
  <r>
    <s v="TXN_7807998"/>
    <s v="CUST_24"/>
    <x v="5"/>
    <x v="160"/>
    <x v="20"/>
    <x v="6"/>
    <n v="44"/>
    <x v="1"/>
    <x v="1"/>
    <x v="1029"/>
    <x v="1"/>
    <s v="DISCOUNT ALLOWED"/>
    <s v="discount allowed"/>
    <s v="DISCOUNT ALLOWED"/>
    <s v="Discount Allowed"/>
    <s v="03/01/24"/>
  </r>
  <r>
    <s v="TXN_8506371"/>
    <s v="CUST_10"/>
    <x v="5"/>
    <x v="160"/>
    <x v="20"/>
    <x v="6"/>
    <n v="44"/>
    <x v="2"/>
    <x v="0"/>
    <x v="317"/>
    <x v="1"/>
    <s v="DISCOUNT ALLOWED"/>
    <s v="discount allowed"/>
    <s v="DISCOUNT ALLOWED"/>
    <s v="Discount Allowed"/>
    <s v="20/05/24"/>
  </r>
  <r>
    <s v="TXN_8950168"/>
    <s v="CUST_08"/>
    <x v="6"/>
    <x v="162"/>
    <x v="20"/>
    <x v="6"/>
    <n v="44"/>
    <x v="1"/>
    <x v="0"/>
    <x v="732"/>
    <x v="1"/>
    <s v="DISCOUNT ALLOWED"/>
    <s v="discount allowed"/>
    <s v="DISCOUNT ALLOWED"/>
    <s v="Discount Allowed"/>
    <s v="17/08/24"/>
  </r>
  <r>
    <s v="TXN_9167311"/>
    <s v="CUST_01"/>
    <x v="6"/>
    <x v="162"/>
    <x v="20"/>
    <x v="6"/>
    <n v="44"/>
    <x v="1"/>
    <x v="1"/>
    <x v="563"/>
    <x v="0"/>
    <s v="DISCOUNT NOT ALLOWED"/>
    <s v="discount not allowed"/>
    <s v="DISCOUNT NOT ALLOWED"/>
    <s v="Discount Not Allowed"/>
    <s v="03/10/24"/>
  </r>
  <r>
    <s v="TXN_9860106"/>
    <s v="CUST_17"/>
    <x v="3"/>
    <x v="164"/>
    <x v="20"/>
    <x v="6"/>
    <n v="44"/>
    <x v="0"/>
    <x v="0"/>
    <x v="861"/>
    <x v="1"/>
    <s v="DISCOUNT ALLOWED"/>
    <s v="discount allowed"/>
    <s v="DISCOUNT ALLOWED"/>
    <s v="Discount Allowed"/>
    <s v="14/08/24"/>
  </r>
  <r>
    <s v="TXN_1213004"/>
    <s v="CUST_19"/>
    <x v="4"/>
    <x v="107"/>
    <x v="13"/>
    <x v="8"/>
    <n v="43"/>
    <x v="2"/>
    <x v="1"/>
    <x v="125"/>
    <x v="0"/>
    <s v="DISCOUNT NOT ALLOWED"/>
    <s v="discount not allowed"/>
    <s v="DISCOUNT NOT ALLOWED"/>
    <s v="Discount Not Allowed"/>
    <s v="18/03/22"/>
  </r>
  <r>
    <s v="TXN_1334624"/>
    <s v="CUST_19"/>
    <x v="7"/>
    <x v="106"/>
    <x v="13"/>
    <x v="8"/>
    <n v="43"/>
    <x v="1"/>
    <x v="0"/>
    <x v="546"/>
    <x v="0"/>
    <s v="DISCOUNT NOT ALLOWED"/>
    <s v="discount not allowed"/>
    <s v="DISCOUNT NOT ALLOWED"/>
    <s v="Discount Not Allowed"/>
    <s v="21/05/22"/>
  </r>
  <r>
    <s v="TXN_1519431"/>
    <s v="CUST_05"/>
    <x v="5"/>
    <x v="102"/>
    <x v="13"/>
    <x v="8"/>
    <n v="43"/>
    <x v="0"/>
    <x v="1"/>
    <x v="1011"/>
    <x v="0"/>
    <s v="DISCOUNT NOT ALLOWED"/>
    <s v="discount not allowed"/>
    <s v="DISCOUNT NOT ALLOWED"/>
    <s v="Discount Not Allowed"/>
    <s v="09/11/23"/>
  </r>
  <r>
    <s v="TXN_1731329"/>
    <s v="CUST_16"/>
    <x v="6"/>
    <x v="104"/>
    <x v="13"/>
    <x v="8"/>
    <n v="43"/>
    <x v="2"/>
    <x v="1"/>
    <x v="234"/>
    <x v="1"/>
    <s v="DISCOUNT ALLOWED"/>
    <s v="discount allowed"/>
    <s v="DISCOUNT ALLOWED"/>
    <s v="Discount Allowed"/>
    <s v="16/01/22"/>
  </r>
  <r>
    <s v="TXN_1974758"/>
    <s v="CUST_04"/>
    <x v="1"/>
    <x v="105"/>
    <x v="13"/>
    <x v="8"/>
    <n v="43"/>
    <x v="1"/>
    <x v="1"/>
    <x v="997"/>
    <x v="1"/>
    <s v="DISCOUNT ALLOWED"/>
    <s v="discount allowed"/>
    <s v="DISCOUNT ALLOWED"/>
    <s v="Discount Allowed"/>
    <s v="31/07/22"/>
  </r>
  <r>
    <s v="TXN_2026129"/>
    <s v="CUST_06"/>
    <x v="6"/>
    <x v="104"/>
    <x v="13"/>
    <x v="8"/>
    <n v="43"/>
    <x v="2"/>
    <x v="1"/>
    <x v="580"/>
    <x v="0"/>
    <s v="DISCOUNT NOT ALLOWED"/>
    <s v="discount not allowed"/>
    <s v="DISCOUNT NOT ALLOWED"/>
    <s v="Discount Not Allowed"/>
    <s v="10/11/22"/>
  </r>
  <r>
    <s v="TXN_2610553"/>
    <s v="CUST_20"/>
    <x v="6"/>
    <x v="104"/>
    <x v="13"/>
    <x v="8"/>
    <n v="43"/>
    <x v="1"/>
    <x v="0"/>
    <x v="274"/>
    <x v="0"/>
    <s v="DISCOUNT NOT ALLOWED"/>
    <s v="discount not allowed"/>
    <s v="DISCOUNT NOT ALLOWED"/>
    <s v="Discount Not Allowed"/>
    <s v="30/11/24"/>
  </r>
  <r>
    <s v="TXN_2690179"/>
    <s v="CUST_12"/>
    <x v="5"/>
    <x v="102"/>
    <x v="13"/>
    <x v="8"/>
    <n v="43"/>
    <x v="0"/>
    <x v="1"/>
    <x v="855"/>
    <x v="1"/>
    <s v="DISCOUNT ALLOWED"/>
    <s v="discount allowed"/>
    <s v="DISCOUNT ALLOWED"/>
    <s v="Discount Allowed"/>
    <s v="09/09/23"/>
  </r>
  <r>
    <s v="TXN_2750219"/>
    <s v="CUST_24"/>
    <x v="7"/>
    <x v="106"/>
    <x v="13"/>
    <x v="8"/>
    <n v="43"/>
    <x v="2"/>
    <x v="0"/>
    <x v="922"/>
    <x v="0"/>
    <s v="DISCOUNT NOT ALLOWED"/>
    <s v="discount not allowed"/>
    <s v="DISCOUNT NOT ALLOWED"/>
    <s v="Discount Not Allowed"/>
    <s v="06/02/24"/>
  </r>
  <r>
    <s v="TXN_2783188"/>
    <s v="CUST_11"/>
    <x v="3"/>
    <x v="103"/>
    <x v="13"/>
    <x v="8"/>
    <n v="43"/>
    <x v="2"/>
    <x v="0"/>
    <x v="386"/>
    <x v="0"/>
    <s v="DISCOUNT NOT ALLOWED"/>
    <s v="discount not allowed"/>
    <s v="DISCOUNT NOT ALLOWED"/>
    <s v="Discount Not Allowed"/>
    <s v="18/01/22"/>
  </r>
  <r>
    <s v="TXN_2857681"/>
    <s v="CUST_21"/>
    <x v="4"/>
    <x v="107"/>
    <x v="13"/>
    <x v="8"/>
    <n v="43"/>
    <x v="0"/>
    <x v="1"/>
    <x v="1077"/>
    <x v="0"/>
    <s v="DISCOUNT NOT ALLOWED"/>
    <s v="discount not allowed"/>
    <s v="DISCOUNT NOT ALLOWED"/>
    <s v="Discount Not Allowed"/>
    <s v="13/03/23"/>
  </r>
  <r>
    <s v="TXN_2954304"/>
    <s v="CUST_25"/>
    <x v="5"/>
    <x v="102"/>
    <x v="13"/>
    <x v="8"/>
    <n v="43"/>
    <x v="0"/>
    <x v="0"/>
    <x v="364"/>
    <x v="1"/>
    <s v="DISCOUNT ALLOWED"/>
    <s v="discount allowed"/>
    <s v="DISCOUNT ALLOWED"/>
    <s v="Discount Allowed"/>
    <s v="14/11/24"/>
  </r>
  <r>
    <s v="TXN_3201198"/>
    <s v="CUST_21"/>
    <x v="7"/>
    <x v="106"/>
    <x v="13"/>
    <x v="8"/>
    <n v="43"/>
    <x v="2"/>
    <x v="1"/>
    <x v="1003"/>
    <x v="0"/>
    <s v="DISCOUNT NOT ALLOWED"/>
    <s v="discount not allowed"/>
    <s v="DISCOUNT NOT ALLOWED"/>
    <s v="Discount Not Allowed"/>
    <s v="09/09/24"/>
  </r>
  <r>
    <s v="TXN_4576812"/>
    <s v="CUST_19"/>
    <x v="3"/>
    <x v="103"/>
    <x v="13"/>
    <x v="8"/>
    <n v="43"/>
    <x v="1"/>
    <x v="0"/>
    <x v="784"/>
    <x v="0"/>
    <s v="DISCOUNT NOT ALLOWED"/>
    <s v="discount not allowed"/>
    <s v="DISCOUNT NOT ALLOWED"/>
    <s v="Discount Not Allowed"/>
    <s v="17/06/23"/>
  </r>
  <r>
    <s v="TXN_5239775"/>
    <s v="CUST_23"/>
    <x v="5"/>
    <x v="102"/>
    <x v="13"/>
    <x v="8"/>
    <n v="43"/>
    <x v="1"/>
    <x v="0"/>
    <x v="577"/>
    <x v="0"/>
    <s v="DISCOUNT NOT ALLOWED"/>
    <s v="discount not allowed"/>
    <s v="DISCOUNT NOT ALLOWED"/>
    <s v="Discount Not Allowed"/>
    <s v="22/06/24"/>
  </r>
  <r>
    <s v="TXN_5953662"/>
    <s v="CUST_10"/>
    <x v="1"/>
    <x v="105"/>
    <x v="13"/>
    <x v="8"/>
    <n v="43"/>
    <x v="2"/>
    <x v="1"/>
    <x v="769"/>
    <x v="1"/>
    <s v="DISCOUNT ALLOWED"/>
    <s v="discount allowed"/>
    <s v="DISCOUNT ALLOWED"/>
    <s v="Discount Allowed"/>
    <s v="02/12/22"/>
  </r>
  <r>
    <s v="TXN_6090746"/>
    <s v="CUST_05"/>
    <x v="2"/>
    <x v="108"/>
    <x v="13"/>
    <x v="8"/>
    <n v="43"/>
    <x v="1"/>
    <x v="1"/>
    <x v="329"/>
    <x v="1"/>
    <s v="DISCOUNT ALLOWED"/>
    <s v="discount allowed"/>
    <s v="DISCOUNT ALLOWED"/>
    <s v="Discount Allowed"/>
    <s v="02/03/22"/>
  </r>
  <r>
    <s v="TXN_6117034"/>
    <s v="CUST_15"/>
    <x v="6"/>
    <x v="104"/>
    <x v="13"/>
    <x v="8"/>
    <n v="43"/>
    <x v="0"/>
    <x v="1"/>
    <x v="1033"/>
    <x v="1"/>
    <s v="DISCOUNT ALLOWED"/>
    <s v="discount allowed"/>
    <s v="DISCOUNT ALLOWED"/>
    <s v="Discount Allowed"/>
    <s v="16/05/23"/>
  </r>
  <r>
    <s v="TXN_6427135"/>
    <s v="CUST_10"/>
    <x v="1"/>
    <x v="105"/>
    <x v="13"/>
    <x v="8"/>
    <n v="43"/>
    <x v="2"/>
    <x v="1"/>
    <x v="1011"/>
    <x v="0"/>
    <s v="DISCOUNT NOT ALLOWED"/>
    <s v="discount not allowed"/>
    <s v="DISCOUNT NOT ALLOWED"/>
    <s v="Discount Not Allowed"/>
    <s v="09/11/23"/>
  </r>
  <r>
    <s v="TXN_6516879"/>
    <s v="CUST_25"/>
    <x v="7"/>
    <x v="106"/>
    <x v="13"/>
    <x v="8"/>
    <n v="43"/>
    <x v="0"/>
    <x v="1"/>
    <x v="410"/>
    <x v="0"/>
    <s v="DISCOUNT NOT ALLOWED"/>
    <s v="discount not allowed"/>
    <s v="DISCOUNT NOT ALLOWED"/>
    <s v="Discount Not Allowed"/>
    <s v="30/06/23"/>
  </r>
  <r>
    <s v="TXN_6766113"/>
    <s v="CUST_25"/>
    <x v="5"/>
    <x v="102"/>
    <x v="13"/>
    <x v="8"/>
    <n v="43"/>
    <x v="1"/>
    <x v="1"/>
    <x v="552"/>
    <x v="0"/>
    <s v="DISCOUNT NOT ALLOWED"/>
    <s v="discount not allowed"/>
    <s v="DISCOUNT NOT ALLOWED"/>
    <s v="Discount Not Allowed"/>
    <s v="22/09/24"/>
  </r>
  <r>
    <s v="TXN_6883732"/>
    <s v="CUST_24"/>
    <x v="6"/>
    <x v="104"/>
    <x v="13"/>
    <x v="8"/>
    <n v="43"/>
    <x v="1"/>
    <x v="0"/>
    <x v="938"/>
    <x v="0"/>
    <s v="DISCOUNT NOT ALLOWED"/>
    <s v="discount not allowed"/>
    <s v="DISCOUNT NOT ALLOWED"/>
    <s v="Discount Not Allowed"/>
    <s v="05/06/24"/>
  </r>
  <r>
    <s v="TXN_7222601"/>
    <s v="CUST_18"/>
    <x v="5"/>
    <x v="102"/>
    <x v="13"/>
    <x v="8"/>
    <n v="43"/>
    <x v="1"/>
    <x v="0"/>
    <x v="597"/>
    <x v="0"/>
    <s v="DISCOUNT NOT ALLOWED"/>
    <s v="discount not allowed"/>
    <s v="DISCOUNT NOT ALLOWED"/>
    <s v="Discount Not Allowed"/>
    <s v="10/09/22"/>
  </r>
  <r>
    <s v="TXN_7340887"/>
    <s v="CUST_22"/>
    <x v="6"/>
    <x v="104"/>
    <x v="13"/>
    <x v="8"/>
    <n v="43"/>
    <x v="1"/>
    <x v="0"/>
    <x v="60"/>
    <x v="1"/>
    <s v="DISCOUNT ALLOWED"/>
    <s v="discount allowed"/>
    <s v="DISCOUNT ALLOWED"/>
    <s v="Discount Allowed"/>
    <s v="01/06/24"/>
  </r>
  <r>
    <s v="TXN_7366186"/>
    <s v="CUST_19"/>
    <x v="1"/>
    <x v="105"/>
    <x v="13"/>
    <x v="8"/>
    <n v="43"/>
    <x v="1"/>
    <x v="1"/>
    <x v="213"/>
    <x v="0"/>
    <s v="DISCOUNT NOT ALLOWED"/>
    <s v="discount not allowed"/>
    <s v="DISCOUNT NOT ALLOWED"/>
    <s v="Discount Not Allowed"/>
    <s v="14/07/23"/>
  </r>
  <r>
    <s v="TXN_7761566"/>
    <s v="CUST_10"/>
    <x v="4"/>
    <x v="107"/>
    <x v="13"/>
    <x v="8"/>
    <n v="43"/>
    <x v="1"/>
    <x v="1"/>
    <x v="124"/>
    <x v="0"/>
    <s v="DISCOUNT NOT ALLOWED"/>
    <s v="discount not allowed"/>
    <s v="DISCOUNT NOT ALLOWED"/>
    <s v="Discount Not Allowed"/>
    <s v="19/04/22"/>
  </r>
  <r>
    <s v="TXN_8802193"/>
    <s v="CUST_02"/>
    <x v="0"/>
    <x v="116"/>
    <x v="13"/>
    <x v="8"/>
    <n v="43"/>
    <x v="0"/>
    <x v="0"/>
    <x v="1061"/>
    <x v="1"/>
    <s v="DISCOUNT ALLOWED"/>
    <s v="discount allowed"/>
    <s v="DISCOUNT ALLOWED"/>
    <s v="Discount Allowed"/>
    <s v="05/08/22"/>
  </r>
  <r>
    <s v="TXN_8860703"/>
    <s v="CUST_04"/>
    <x v="1"/>
    <x v="105"/>
    <x v="13"/>
    <x v="8"/>
    <n v="43"/>
    <x v="2"/>
    <x v="1"/>
    <x v="238"/>
    <x v="0"/>
    <s v="DISCOUNT NOT ALLOWED"/>
    <s v="discount not allowed"/>
    <s v="DISCOUNT NOT ALLOWED"/>
    <s v="Discount Not Allowed"/>
    <s v="09/08/23"/>
  </r>
  <r>
    <s v="TXN_9090898"/>
    <s v="CUST_15"/>
    <x v="6"/>
    <x v="104"/>
    <x v="13"/>
    <x v="8"/>
    <n v="43"/>
    <x v="2"/>
    <x v="0"/>
    <x v="752"/>
    <x v="0"/>
    <s v="DISCOUNT NOT ALLOWED"/>
    <s v="discount not allowed"/>
    <s v="DISCOUNT NOT ALLOWED"/>
    <s v="Discount Not Allowed"/>
    <s v="18/05/23"/>
  </r>
  <r>
    <s v="TXN_9303719"/>
    <s v="CUST_02"/>
    <x v="3"/>
    <x v="103"/>
    <x v="13"/>
    <x v="8"/>
    <n v="43"/>
    <x v="2"/>
    <x v="0"/>
    <x v="1042"/>
    <x v="0"/>
    <s v="DISCOUNT NOT ALLOWED"/>
    <s v="discount not allowed"/>
    <s v="DISCOUNT NOT ALLOWED"/>
    <s v="Discount Not Allowed"/>
    <s v="05/10/22"/>
  </r>
  <r>
    <s v="TXN_9575417"/>
    <s v="CUST_04"/>
    <x v="2"/>
    <x v="108"/>
    <x v="13"/>
    <x v="8"/>
    <n v="43"/>
    <x v="0"/>
    <x v="1"/>
    <x v="717"/>
    <x v="0"/>
    <s v="DISCOUNT NOT ALLOWED"/>
    <s v="discount not allowed"/>
    <s v="DISCOUNT NOT ALLOWED"/>
    <s v="Discount Not Allowed"/>
    <s v="15/05/22"/>
  </r>
  <r>
    <s v="TXN_9633310"/>
    <s v="CUST_21"/>
    <x v="1"/>
    <x v="105"/>
    <x v="13"/>
    <x v="8"/>
    <n v="43"/>
    <x v="1"/>
    <x v="1"/>
    <x v="177"/>
    <x v="1"/>
    <s v="DISCOUNT ALLOWED"/>
    <s v="discount allowed"/>
    <s v="DISCOUNT ALLOWED"/>
    <s v="Discount Allowed"/>
    <s v="14/06/24"/>
  </r>
  <r>
    <s v="TXN_1075229"/>
    <s v="CUST_03"/>
    <x v="1"/>
    <x v="149"/>
    <x v="18"/>
    <x v="7"/>
    <n v="42"/>
    <x v="2"/>
    <x v="1"/>
    <x v="875"/>
    <x v="0"/>
    <s v="DISCOUNT NOT ALLOWED"/>
    <s v="discount not allowed"/>
    <s v="DISCOUNT NOT ALLOWED"/>
    <s v="Discount Not Allowed"/>
    <s v="08/09/23"/>
  </r>
  <r>
    <s v="TXN_1192429"/>
    <s v="CUST_01"/>
    <x v="1"/>
    <x v="149"/>
    <x v="18"/>
    <x v="7"/>
    <n v="42"/>
    <x v="1"/>
    <x v="1"/>
    <x v="97"/>
    <x v="0"/>
    <s v="DISCOUNT NOT ALLOWED"/>
    <s v="discount not allowed"/>
    <s v="DISCOUNT NOT ALLOWED"/>
    <s v="Discount Not Allowed"/>
    <s v="20/06/24"/>
  </r>
  <r>
    <s v="TXN_1258675"/>
    <s v="CUST_06"/>
    <x v="5"/>
    <x v="143"/>
    <x v="18"/>
    <x v="7"/>
    <n v="42"/>
    <x v="0"/>
    <x v="1"/>
    <x v="571"/>
    <x v="0"/>
    <s v="DISCOUNT NOT ALLOWED"/>
    <s v="discount not allowed"/>
    <s v="DISCOUNT NOT ALLOWED"/>
    <s v="Discount Not Allowed"/>
    <s v="01/08/23"/>
  </r>
  <r>
    <s v="TXN_1741913"/>
    <s v="CUST_03"/>
    <x v="6"/>
    <x v="145"/>
    <x v="18"/>
    <x v="7"/>
    <n v="42"/>
    <x v="2"/>
    <x v="1"/>
    <x v="196"/>
    <x v="0"/>
    <s v="DISCOUNT NOT ALLOWED"/>
    <s v="discount not allowed"/>
    <s v="DISCOUNT NOT ALLOWED"/>
    <s v="Discount Not Allowed"/>
    <s v="11/12/22"/>
  </r>
  <r>
    <s v="TXN_2158875"/>
    <s v="CUST_07"/>
    <x v="0"/>
    <x v="150"/>
    <x v="18"/>
    <x v="7"/>
    <n v="42"/>
    <x v="0"/>
    <x v="0"/>
    <x v="650"/>
    <x v="1"/>
    <s v="DISCOUNT ALLOWED"/>
    <s v="discount allowed"/>
    <s v="DISCOUNT ALLOWED"/>
    <s v="Discount Allowed"/>
    <s v="03/01/23"/>
  </r>
  <r>
    <s v="TXN_2275670"/>
    <s v="CUST_09"/>
    <x v="1"/>
    <x v="149"/>
    <x v="18"/>
    <x v="7"/>
    <n v="42"/>
    <x v="0"/>
    <x v="0"/>
    <x v="1"/>
    <x v="0"/>
    <s v="DISCOUNT NOT ALLOWED"/>
    <s v="discount not allowed"/>
    <s v="DISCOUNT NOT ALLOWED"/>
    <s v="Discount Not Allowed"/>
    <s v="01/04/23"/>
  </r>
  <r>
    <s v="TXN_2362264"/>
    <s v="CUST_20"/>
    <x v="4"/>
    <x v="147"/>
    <x v="18"/>
    <x v="7"/>
    <n v="42"/>
    <x v="1"/>
    <x v="0"/>
    <x v="983"/>
    <x v="0"/>
    <s v="DISCOUNT NOT ALLOWED"/>
    <s v="discount not allowed"/>
    <s v="DISCOUNT NOT ALLOWED"/>
    <s v="Discount Not Allowed"/>
    <s v="22/01/23"/>
  </r>
  <r>
    <s v="TXN_2458698"/>
    <s v="CUST_05"/>
    <x v="7"/>
    <x v="146"/>
    <x v="18"/>
    <x v="7"/>
    <n v="42"/>
    <x v="0"/>
    <x v="0"/>
    <x v="832"/>
    <x v="0"/>
    <s v="DISCOUNT NOT ALLOWED"/>
    <s v="discount not allowed"/>
    <s v="DISCOUNT NOT ALLOWED"/>
    <s v="Discount Not Allowed"/>
    <s v="27/08/22"/>
  </r>
  <r>
    <s v="TXN_2684604"/>
    <s v="CUST_06"/>
    <x v="6"/>
    <x v="145"/>
    <x v="18"/>
    <x v="7"/>
    <n v="42"/>
    <x v="0"/>
    <x v="1"/>
    <x v="909"/>
    <x v="1"/>
    <s v="DISCOUNT ALLOWED"/>
    <s v="discount allowed"/>
    <s v="DISCOUNT ALLOWED"/>
    <s v="Discount Allowed"/>
    <s v="07/03/24"/>
  </r>
  <r>
    <s v="TXN_2771113"/>
    <s v="CUST_17"/>
    <x v="3"/>
    <x v="144"/>
    <x v="18"/>
    <x v="7"/>
    <n v="42"/>
    <x v="2"/>
    <x v="1"/>
    <x v="764"/>
    <x v="0"/>
    <s v="DISCOUNT NOT ALLOWED"/>
    <s v="discount not allowed"/>
    <s v="DISCOUNT NOT ALLOWED"/>
    <s v="Discount Not Allowed"/>
    <s v="03/05/22"/>
  </r>
  <r>
    <s v="TXN_2941903"/>
    <s v="CUST_14"/>
    <x v="2"/>
    <x v="148"/>
    <x v="18"/>
    <x v="7"/>
    <n v="42"/>
    <x v="2"/>
    <x v="1"/>
    <x v="537"/>
    <x v="1"/>
    <s v="DISCOUNT ALLOWED"/>
    <s v="discount allowed"/>
    <s v="DISCOUNT ALLOWED"/>
    <s v="Discount Allowed"/>
    <s v="27/09/22"/>
  </r>
  <r>
    <s v="TXN_3042689"/>
    <s v="CUST_01"/>
    <x v="2"/>
    <x v="148"/>
    <x v="18"/>
    <x v="7"/>
    <n v="42"/>
    <x v="2"/>
    <x v="1"/>
    <x v="745"/>
    <x v="1"/>
    <s v="DISCOUNT ALLOWED"/>
    <s v="discount allowed"/>
    <s v="DISCOUNT ALLOWED"/>
    <s v="Discount Allowed"/>
    <s v="16/05/24"/>
  </r>
  <r>
    <s v="TXN_3047486"/>
    <s v="CUST_20"/>
    <x v="0"/>
    <x v="150"/>
    <x v="18"/>
    <x v="7"/>
    <n v="42"/>
    <x v="2"/>
    <x v="0"/>
    <x v="1080"/>
    <x v="0"/>
    <s v="DISCOUNT NOT ALLOWED"/>
    <s v="discount not allowed"/>
    <s v="DISCOUNT NOT ALLOWED"/>
    <s v="Discount Not Allowed"/>
    <s v="13/01/25"/>
  </r>
  <r>
    <s v="TXN_3138269"/>
    <s v="CUST_19"/>
    <x v="2"/>
    <x v="148"/>
    <x v="18"/>
    <x v="7"/>
    <n v="42"/>
    <x v="1"/>
    <x v="0"/>
    <x v="823"/>
    <x v="1"/>
    <s v="DISCOUNT ALLOWED"/>
    <s v="discount allowed"/>
    <s v="DISCOUNT ALLOWED"/>
    <s v="Discount Allowed"/>
    <s v="17/09/22"/>
  </r>
  <r>
    <s v="TXN_3651170"/>
    <s v="CUST_25"/>
    <x v="7"/>
    <x v="146"/>
    <x v="18"/>
    <x v="7"/>
    <n v="42"/>
    <x v="0"/>
    <x v="1"/>
    <x v="395"/>
    <x v="1"/>
    <s v="DISCOUNT ALLOWED"/>
    <s v="discount allowed"/>
    <s v="DISCOUNT ALLOWED"/>
    <s v="Discount Allowed"/>
    <s v="21/06/22"/>
  </r>
  <r>
    <s v="TXN_4033809"/>
    <s v="CUST_24"/>
    <x v="1"/>
    <x v="149"/>
    <x v="18"/>
    <x v="7"/>
    <n v="42"/>
    <x v="1"/>
    <x v="1"/>
    <x v="749"/>
    <x v="1"/>
    <s v="DISCOUNT ALLOWED"/>
    <s v="discount allowed"/>
    <s v="DISCOUNT ALLOWED"/>
    <s v="Discount Allowed"/>
    <s v="24/04/23"/>
  </r>
  <r>
    <s v="TXN_4221038"/>
    <s v="CUST_10"/>
    <x v="6"/>
    <x v="145"/>
    <x v="18"/>
    <x v="7"/>
    <n v="42"/>
    <x v="0"/>
    <x v="0"/>
    <x v="128"/>
    <x v="0"/>
    <s v="DISCOUNT NOT ALLOWED"/>
    <s v="discount not allowed"/>
    <s v="DISCOUNT NOT ALLOWED"/>
    <s v="Discount Not Allowed"/>
    <s v="18/08/24"/>
  </r>
  <r>
    <s v="TXN_4292471"/>
    <s v="CUST_20"/>
    <x v="1"/>
    <x v="149"/>
    <x v="18"/>
    <x v="7"/>
    <n v="42"/>
    <x v="1"/>
    <x v="1"/>
    <x v="667"/>
    <x v="0"/>
    <s v="DISCOUNT NOT ALLOWED"/>
    <s v="discount not allowed"/>
    <s v="DISCOUNT NOT ALLOWED"/>
    <s v="Discount Not Allowed"/>
    <s v="18/12/23"/>
  </r>
  <r>
    <s v="TXN_4700436"/>
    <s v="CUST_23"/>
    <x v="3"/>
    <x v="144"/>
    <x v="18"/>
    <x v="7"/>
    <n v="42"/>
    <x v="0"/>
    <x v="1"/>
    <x v="591"/>
    <x v="0"/>
    <s v="DISCOUNT NOT ALLOWED"/>
    <s v="discount not allowed"/>
    <s v="DISCOUNT NOT ALLOWED"/>
    <s v="Discount Not Allowed"/>
    <s v="11/11/22"/>
  </r>
  <r>
    <s v="TXN_5035545"/>
    <s v="CUST_04"/>
    <x v="3"/>
    <x v="144"/>
    <x v="18"/>
    <x v="7"/>
    <n v="42"/>
    <x v="1"/>
    <x v="1"/>
    <x v="179"/>
    <x v="1"/>
    <s v="DISCOUNT ALLOWED"/>
    <s v="discount allowed"/>
    <s v="DISCOUNT ALLOWED"/>
    <s v="Discount Allowed"/>
    <s v="05/09/22"/>
  </r>
  <r>
    <s v="TXN_6226129"/>
    <s v="CUST_24"/>
    <x v="6"/>
    <x v="145"/>
    <x v="18"/>
    <x v="7"/>
    <n v="42"/>
    <x v="0"/>
    <x v="1"/>
    <x v="869"/>
    <x v="1"/>
    <s v="DISCOUNT ALLOWED"/>
    <s v="discount allowed"/>
    <s v="DISCOUNT ALLOWED"/>
    <s v="Discount Allowed"/>
    <s v="16/07/22"/>
  </r>
  <r>
    <s v="TXN_6492020"/>
    <s v="CUST_18"/>
    <x v="6"/>
    <x v="145"/>
    <x v="18"/>
    <x v="7"/>
    <n v="42"/>
    <x v="2"/>
    <x v="0"/>
    <x v="764"/>
    <x v="1"/>
    <s v="DISCOUNT ALLOWED"/>
    <s v="discount allowed"/>
    <s v="DISCOUNT ALLOWED"/>
    <s v="Discount Allowed"/>
    <s v="03/05/22"/>
  </r>
  <r>
    <s v="TXN_6590291"/>
    <s v="CUST_07"/>
    <x v="7"/>
    <x v="146"/>
    <x v="18"/>
    <x v="7"/>
    <n v="42"/>
    <x v="0"/>
    <x v="0"/>
    <x v="651"/>
    <x v="1"/>
    <s v="DISCOUNT ALLOWED"/>
    <s v="discount allowed"/>
    <s v="DISCOUNT ALLOWED"/>
    <s v="Discount Allowed"/>
    <s v="01/05/22"/>
  </r>
  <r>
    <s v="TXN_7261721"/>
    <s v="CUST_08"/>
    <x v="2"/>
    <x v="148"/>
    <x v="18"/>
    <x v="7"/>
    <n v="42"/>
    <x v="0"/>
    <x v="0"/>
    <x v="404"/>
    <x v="0"/>
    <s v="DISCOUNT NOT ALLOWED"/>
    <s v="discount not allowed"/>
    <s v="DISCOUNT NOT ALLOWED"/>
    <s v="Discount Not Allowed"/>
    <s v="23/11/22"/>
  </r>
  <r>
    <s v="TXN_7477131"/>
    <s v="CUST_15"/>
    <x v="7"/>
    <x v="146"/>
    <x v="18"/>
    <x v="7"/>
    <n v="42"/>
    <x v="1"/>
    <x v="0"/>
    <x v="418"/>
    <x v="1"/>
    <s v="DISCOUNT ALLOWED"/>
    <s v="discount allowed"/>
    <s v="DISCOUNT ALLOWED"/>
    <s v="Discount Allowed"/>
    <s v="29/09/24"/>
  </r>
  <r>
    <s v="TXN_8115206"/>
    <s v="CUST_11"/>
    <x v="0"/>
    <x v="150"/>
    <x v="18"/>
    <x v="7"/>
    <n v="42"/>
    <x v="1"/>
    <x v="0"/>
    <x v="466"/>
    <x v="1"/>
    <s v="DISCOUNT ALLOWED"/>
    <s v="discount allowed"/>
    <s v="DISCOUNT ALLOWED"/>
    <s v="Discount Allowed"/>
    <s v="28/06/24"/>
  </r>
  <r>
    <s v="TXN_8169854"/>
    <s v="CUST_17"/>
    <x v="0"/>
    <x v="150"/>
    <x v="18"/>
    <x v="7"/>
    <n v="42"/>
    <x v="1"/>
    <x v="0"/>
    <x v="772"/>
    <x v="0"/>
    <s v="DISCOUNT NOT ALLOWED"/>
    <s v="discount not allowed"/>
    <s v="DISCOUNT NOT ALLOWED"/>
    <s v="Discount Not Allowed"/>
    <s v="19/07/22"/>
  </r>
  <r>
    <s v="TXN_8992034"/>
    <s v="CUST_05"/>
    <x v="7"/>
    <x v="146"/>
    <x v="18"/>
    <x v="7"/>
    <n v="42"/>
    <x v="1"/>
    <x v="1"/>
    <x v="351"/>
    <x v="0"/>
    <s v="DISCOUNT NOT ALLOWED"/>
    <s v="discount not allowed"/>
    <s v="DISCOUNT NOT ALLOWED"/>
    <s v="Discount Not Allowed"/>
    <s v="24/01/23"/>
  </r>
  <r>
    <s v="TXN_9180837"/>
    <s v="CUST_24"/>
    <x v="0"/>
    <x v="150"/>
    <x v="18"/>
    <x v="7"/>
    <n v="42"/>
    <x v="0"/>
    <x v="1"/>
    <x v="656"/>
    <x v="0"/>
    <s v="DISCOUNT NOT ALLOWED"/>
    <s v="discount not allowed"/>
    <s v="DISCOUNT NOT ALLOWED"/>
    <s v="Discount Not Allowed"/>
    <s v="06/01/25"/>
  </r>
  <r>
    <s v="TXN_9525639"/>
    <s v="CUST_20"/>
    <x v="0"/>
    <x v="150"/>
    <x v="18"/>
    <x v="7"/>
    <n v="42"/>
    <x v="0"/>
    <x v="0"/>
    <x v="882"/>
    <x v="1"/>
    <s v="DISCOUNT ALLOWED"/>
    <s v="discount allowed"/>
    <s v="DISCOUNT ALLOWED"/>
    <s v="Discount Allowed"/>
    <s v="27/07/23"/>
  </r>
  <r>
    <s v="TXN_9586952"/>
    <s v="CUST_11"/>
    <x v="6"/>
    <x v="145"/>
    <x v="18"/>
    <x v="7"/>
    <n v="42"/>
    <x v="0"/>
    <x v="0"/>
    <x v="37"/>
    <x v="1"/>
    <s v="DISCOUNT ALLOWED"/>
    <s v="discount allowed"/>
    <s v="DISCOUNT ALLOWED"/>
    <s v="Discount Allowed"/>
    <s v="19/06/23"/>
  </r>
  <r>
    <s v="TXN_9587075"/>
    <s v="CUST_03"/>
    <x v="6"/>
    <x v="145"/>
    <x v="18"/>
    <x v="7"/>
    <n v="42"/>
    <x v="1"/>
    <x v="1"/>
    <x v="782"/>
    <x v="1"/>
    <s v="DISCOUNT ALLOWED"/>
    <s v="discount allowed"/>
    <s v="DISCOUNT ALLOWED"/>
    <s v="Discount Allowed"/>
    <s v="13/09/23"/>
  </r>
  <r>
    <s v="TXN_9901111"/>
    <s v="CUST_23"/>
    <x v="0"/>
    <x v="150"/>
    <x v="18"/>
    <x v="7"/>
    <n v="42"/>
    <x v="1"/>
    <x v="0"/>
    <x v="1071"/>
    <x v="0"/>
    <s v="DISCOUNT NOT ALLOWED"/>
    <s v="discount not allowed"/>
    <s v="DISCOUNT NOT ALLOWED"/>
    <s v="Discount Not Allowed"/>
    <s v="06/11/22"/>
  </r>
  <r>
    <s v="TXN_1650989"/>
    <s v="CUST_19"/>
    <x v="3"/>
    <x v="3"/>
    <x v="0"/>
    <x v="9"/>
    <n v="41"/>
    <x v="0"/>
    <x v="1"/>
    <x v="736"/>
    <x v="0"/>
    <s v="DISCOUNT NOT ALLOWED"/>
    <s v="discount not allowed"/>
    <s v="DISCOUNT NOT ALLOWED"/>
    <s v="Discount Not Allowed"/>
    <s v="13/05/24"/>
  </r>
  <r>
    <s v="TXN_2453156"/>
    <s v="CUST_21"/>
    <x v="2"/>
    <x v="2"/>
    <x v="0"/>
    <x v="9"/>
    <n v="41"/>
    <x v="2"/>
    <x v="0"/>
    <x v="42"/>
    <x v="0"/>
    <s v="DISCOUNT NOT ALLOWED"/>
    <s v="discount not allowed"/>
    <s v="DISCOUNT NOT ALLOWED"/>
    <s v="Discount Not Allowed"/>
    <s v="02/09/22"/>
  </r>
  <r>
    <s v="TXN_2494013"/>
    <s v="CUST_01"/>
    <x v="7"/>
    <x v="7"/>
    <x v="0"/>
    <x v="9"/>
    <n v="41"/>
    <x v="2"/>
    <x v="0"/>
    <x v="396"/>
    <x v="0"/>
    <s v="DISCOUNT NOT ALLOWED"/>
    <s v="discount not allowed"/>
    <s v="DISCOUNT NOT ALLOWED"/>
    <s v="Discount Not Allowed"/>
    <s v="12/10/22"/>
  </r>
  <r>
    <s v="TXN_2905292"/>
    <s v="CUST_21"/>
    <x v="1"/>
    <x v="1"/>
    <x v="0"/>
    <x v="9"/>
    <n v="41"/>
    <x v="1"/>
    <x v="1"/>
    <x v="6"/>
    <x v="0"/>
    <s v="DISCOUNT NOT ALLOWED"/>
    <s v="discount not allowed"/>
    <s v="DISCOUNT NOT ALLOWED"/>
    <s v="Discount Not Allowed"/>
    <s v="20/12/23"/>
  </r>
  <r>
    <s v="TXN_2940500"/>
    <s v="CUST_06"/>
    <x v="6"/>
    <x v="6"/>
    <x v="0"/>
    <x v="9"/>
    <n v="41"/>
    <x v="1"/>
    <x v="1"/>
    <x v="336"/>
    <x v="0"/>
    <s v="DISCOUNT NOT ALLOWED"/>
    <s v="discount not allowed"/>
    <s v="DISCOUNT NOT ALLOWED"/>
    <s v="Discount Not Allowed"/>
    <s v="05/11/24"/>
  </r>
  <r>
    <s v="TXN_3514548"/>
    <s v="CUST_18"/>
    <x v="5"/>
    <x v="5"/>
    <x v="0"/>
    <x v="9"/>
    <n v="41"/>
    <x v="2"/>
    <x v="1"/>
    <x v="1034"/>
    <x v="0"/>
    <s v="DISCOUNT NOT ALLOWED"/>
    <s v="discount not allowed"/>
    <s v="DISCOUNT NOT ALLOWED"/>
    <s v="Discount Not Allowed"/>
    <s v="05/04/24"/>
  </r>
  <r>
    <s v="TXN_4388498"/>
    <s v="CUST_05"/>
    <x v="6"/>
    <x v="6"/>
    <x v="0"/>
    <x v="9"/>
    <n v="41"/>
    <x v="0"/>
    <x v="0"/>
    <x v="91"/>
    <x v="1"/>
    <s v="DISCOUNT ALLOWED"/>
    <s v="discount allowed"/>
    <s v="DISCOUNT ALLOWED"/>
    <s v="Discount Allowed"/>
    <s v="09/12/23"/>
  </r>
  <r>
    <s v="TXN_4682990"/>
    <s v="CUST_07"/>
    <x v="4"/>
    <x v="4"/>
    <x v="0"/>
    <x v="9"/>
    <n v="41"/>
    <x v="0"/>
    <x v="1"/>
    <x v="105"/>
    <x v="0"/>
    <s v="DISCOUNT NOT ALLOWED"/>
    <s v="discount not allowed"/>
    <s v="DISCOUNT NOT ALLOWED"/>
    <s v="Discount Not Allowed"/>
    <s v="19/09/24"/>
  </r>
  <r>
    <s v="TXN_4743953"/>
    <s v="CUST_01"/>
    <x v="1"/>
    <x v="1"/>
    <x v="0"/>
    <x v="9"/>
    <n v="41"/>
    <x v="0"/>
    <x v="0"/>
    <x v="118"/>
    <x v="0"/>
    <s v="DISCOUNT NOT ALLOWED"/>
    <s v="discount not allowed"/>
    <s v="DISCOUNT NOT ALLOWED"/>
    <s v="Discount Not Allowed"/>
    <s v="27/04/22"/>
  </r>
  <r>
    <s v="TXN_4759525"/>
    <s v="CUST_11"/>
    <x v="2"/>
    <x v="2"/>
    <x v="0"/>
    <x v="9"/>
    <n v="41"/>
    <x v="0"/>
    <x v="1"/>
    <x v="952"/>
    <x v="1"/>
    <s v="DISCOUNT ALLOWED"/>
    <s v="discount allowed"/>
    <s v="DISCOUNT ALLOWED"/>
    <s v="Discount Allowed"/>
    <s v="27/11/24"/>
  </r>
  <r>
    <s v="TXN_4984186"/>
    <s v="CUST_01"/>
    <x v="1"/>
    <x v="1"/>
    <x v="0"/>
    <x v="9"/>
    <n v="41"/>
    <x v="0"/>
    <x v="0"/>
    <x v="819"/>
    <x v="0"/>
    <s v="DISCOUNT NOT ALLOWED"/>
    <s v="discount not allowed"/>
    <s v="DISCOUNT NOT ALLOWED"/>
    <s v="Discount Not Allowed"/>
    <s v="11/07/23"/>
  </r>
  <r>
    <s v="TXN_5216018"/>
    <s v="CUST_08"/>
    <x v="2"/>
    <x v="2"/>
    <x v="0"/>
    <x v="9"/>
    <n v="41"/>
    <x v="1"/>
    <x v="1"/>
    <x v="452"/>
    <x v="0"/>
    <s v="DISCOUNT NOT ALLOWED"/>
    <s v="discount not allowed"/>
    <s v="DISCOUNT NOT ALLOWED"/>
    <s v="Discount Not Allowed"/>
    <s v="26/09/22"/>
  </r>
  <r>
    <s v="TXN_5217409"/>
    <s v="CUST_22"/>
    <x v="0"/>
    <x v="0"/>
    <x v="0"/>
    <x v="9"/>
    <n v="41"/>
    <x v="1"/>
    <x v="1"/>
    <x v="91"/>
    <x v="1"/>
    <s v="DISCOUNT ALLOWED"/>
    <s v="discount allowed"/>
    <s v="DISCOUNT ALLOWED"/>
    <s v="Discount Allowed"/>
    <s v="09/12/23"/>
  </r>
  <r>
    <s v="TXN_5849928"/>
    <s v="CUST_06"/>
    <x v="5"/>
    <x v="5"/>
    <x v="0"/>
    <x v="9"/>
    <n v="41"/>
    <x v="1"/>
    <x v="1"/>
    <x v="641"/>
    <x v="0"/>
    <s v="DISCOUNT NOT ALLOWED"/>
    <s v="discount not allowed"/>
    <s v="DISCOUNT NOT ALLOWED"/>
    <s v="Discount Not Allowed"/>
    <s v="09/01/22"/>
  </r>
  <r>
    <s v="TXN_5873481"/>
    <s v="CUST_12"/>
    <x v="6"/>
    <x v="6"/>
    <x v="0"/>
    <x v="9"/>
    <n v="41"/>
    <x v="1"/>
    <x v="1"/>
    <x v="271"/>
    <x v="1"/>
    <s v="DISCOUNT ALLOWED"/>
    <s v="discount allowed"/>
    <s v="DISCOUNT ALLOWED"/>
    <s v="Discount Allowed"/>
    <s v="26/11/22"/>
  </r>
  <r>
    <s v="TXN_5993328"/>
    <s v="CUST_16"/>
    <x v="2"/>
    <x v="2"/>
    <x v="0"/>
    <x v="9"/>
    <n v="41"/>
    <x v="2"/>
    <x v="1"/>
    <x v="42"/>
    <x v="1"/>
    <s v="DISCOUNT ALLOWED"/>
    <s v="discount allowed"/>
    <s v="DISCOUNT ALLOWED"/>
    <s v="Discount Allowed"/>
    <s v="02/09/22"/>
  </r>
  <r>
    <s v="TXN_6471785"/>
    <s v="CUST_06"/>
    <x v="4"/>
    <x v="4"/>
    <x v="0"/>
    <x v="9"/>
    <n v="41"/>
    <x v="0"/>
    <x v="0"/>
    <x v="488"/>
    <x v="1"/>
    <s v="DISCOUNT ALLOWED"/>
    <s v="discount allowed"/>
    <s v="DISCOUNT ALLOWED"/>
    <s v="Discount Allowed"/>
    <s v="30/01/24"/>
  </r>
  <r>
    <s v="TXN_6560278"/>
    <s v="CUST_12"/>
    <x v="2"/>
    <x v="2"/>
    <x v="0"/>
    <x v="9"/>
    <n v="41"/>
    <x v="2"/>
    <x v="0"/>
    <x v="570"/>
    <x v="0"/>
    <s v="DISCOUNT NOT ALLOWED"/>
    <s v="discount not allowed"/>
    <s v="DISCOUNT NOT ALLOWED"/>
    <s v="Discount Not Allowed"/>
    <s v="03/01/25"/>
  </r>
  <r>
    <s v="TXN_6698228"/>
    <s v="CUST_15"/>
    <x v="3"/>
    <x v="3"/>
    <x v="0"/>
    <x v="9"/>
    <n v="41"/>
    <x v="0"/>
    <x v="1"/>
    <x v="11"/>
    <x v="0"/>
    <s v="DISCOUNT NOT ALLOWED"/>
    <s v="discount not allowed"/>
    <s v="DISCOUNT NOT ALLOWED"/>
    <s v="Discount Not Allowed"/>
    <s v="03/10/23"/>
  </r>
  <r>
    <s v="TXN_6780976"/>
    <s v="CUST_13"/>
    <x v="6"/>
    <x v="6"/>
    <x v="0"/>
    <x v="9"/>
    <n v="41"/>
    <x v="2"/>
    <x v="1"/>
    <x v="1077"/>
    <x v="1"/>
    <s v="DISCOUNT ALLOWED"/>
    <s v="discount allowed"/>
    <s v="DISCOUNT ALLOWED"/>
    <s v="Discount Allowed"/>
    <s v="13/03/23"/>
  </r>
  <r>
    <s v="TXN_6964148"/>
    <s v="CUST_09"/>
    <x v="6"/>
    <x v="6"/>
    <x v="0"/>
    <x v="9"/>
    <n v="41"/>
    <x v="1"/>
    <x v="0"/>
    <x v="379"/>
    <x v="0"/>
    <s v="DISCOUNT NOT ALLOWED"/>
    <s v="discount not allowed"/>
    <s v="DISCOUNT NOT ALLOWED"/>
    <s v="Discount Not Allowed"/>
    <s v="15/03/24"/>
  </r>
  <r>
    <s v="TXN_6977757"/>
    <s v="CUST_19"/>
    <x v="2"/>
    <x v="2"/>
    <x v="0"/>
    <x v="9"/>
    <n v="41"/>
    <x v="0"/>
    <x v="1"/>
    <x v="83"/>
    <x v="0"/>
    <s v="DISCOUNT NOT ALLOWED"/>
    <s v="discount not allowed"/>
    <s v="DISCOUNT NOT ALLOWED"/>
    <s v="Discount Not Allowed"/>
    <s v="21/12/23"/>
  </r>
  <r>
    <s v="TXN_6981431"/>
    <s v="CUST_24"/>
    <x v="7"/>
    <x v="7"/>
    <x v="0"/>
    <x v="9"/>
    <n v="41"/>
    <x v="2"/>
    <x v="0"/>
    <x v="1088"/>
    <x v="0"/>
    <s v="DISCOUNT NOT ALLOWED"/>
    <s v="discount not allowed"/>
    <s v="DISCOUNT NOT ALLOWED"/>
    <s v="Discount Not Allowed"/>
    <s v="26/03/22"/>
  </r>
  <r>
    <s v="TXN_6984733"/>
    <s v="CUST_16"/>
    <x v="2"/>
    <x v="2"/>
    <x v="0"/>
    <x v="9"/>
    <n v="41"/>
    <x v="1"/>
    <x v="0"/>
    <x v="1006"/>
    <x v="0"/>
    <s v="DISCOUNT NOT ALLOWED"/>
    <s v="discount not allowed"/>
    <s v="DISCOUNT NOT ALLOWED"/>
    <s v="Discount Not Allowed"/>
    <s v="09/06/23"/>
  </r>
  <r>
    <s v="TXN_7569506"/>
    <s v="CUST_08"/>
    <x v="3"/>
    <x v="3"/>
    <x v="0"/>
    <x v="9"/>
    <n v="41"/>
    <x v="0"/>
    <x v="0"/>
    <x v="580"/>
    <x v="0"/>
    <s v="DISCOUNT NOT ALLOWED"/>
    <s v="discount not allowed"/>
    <s v="DISCOUNT NOT ALLOWED"/>
    <s v="Discount Not Allowed"/>
    <s v="10/11/22"/>
  </r>
  <r>
    <s v="TXN_7594834"/>
    <s v="CUST_22"/>
    <x v="2"/>
    <x v="2"/>
    <x v="0"/>
    <x v="9"/>
    <n v="41"/>
    <x v="2"/>
    <x v="1"/>
    <x v="229"/>
    <x v="0"/>
    <s v="DISCOUNT NOT ALLOWED"/>
    <s v="discount not allowed"/>
    <s v="DISCOUNT NOT ALLOWED"/>
    <s v="Discount Not Allowed"/>
    <s v="16/03/24"/>
  </r>
  <r>
    <s v="TXN_7864309"/>
    <s v="CUST_04"/>
    <x v="7"/>
    <x v="7"/>
    <x v="0"/>
    <x v="9"/>
    <n v="41"/>
    <x v="0"/>
    <x v="1"/>
    <x v="648"/>
    <x v="1"/>
    <s v="DISCOUNT ALLOWED"/>
    <s v="discount allowed"/>
    <s v="DISCOUNT ALLOWED"/>
    <s v="Discount Allowed"/>
    <s v="22/03/23"/>
  </r>
  <r>
    <s v="TXN_8186546"/>
    <s v="CUST_14"/>
    <x v="2"/>
    <x v="2"/>
    <x v="0"/>
    <x v="9"/>
    <n v="41"/>
    <x v="1"/>
    <x v="1"/>
    <x v="448"/>
    <x v="1"/>
    <s v="DISCOUNT ALLOWED"/>
    <s v="discount allowed"/>
    <s v="DISCOUNT ALLOWED"/>
    <s v="Discount Allowed"/>
    <s v="13/11/23"/>
  </r>
  <r>
    <s v="TXN_8236215"/>
    <s v="CUST_24"/>
    <x v="2"/>
    <x v="2"/>
    <x v="0"/>
    <x v="9"/>
    <n v="41"/>
    <x v="1"/>
    <x v="1"/>
    <x v="423"/>
    <x v="0"/>
    <s v="DISCOUNT NOT ALLOWED"/>
    <s v="discount not allowed"/>
    <s v="DISCOUNT NOT ALLOWED"/>
    <s v="Discount Not Allowed"/>
    <s v="13/07/24"/>
  </r>
  <r>
    <s v="TXN_8583496"/>
    <s v="CUST_18"/>
    <x v="3"/>
    <x v="3"/>
    <x v="0"/>
    <x v="9"/>
    <n v="41"/>
    <x v="2"/>
    <x v="0"/>
    <x v="727"/>
    <x v="0"/>
    <s v="DISCOUNT NOT ALLOWED"/>
    <s v="discount not allowed"/>
    <s v="DISCOUNT NOT ALLOWED"/>
    <s v="Discount Not Allowed"/>
    <s v="06/10/23"/>
  </r>
  <r>
    <s v="TXN_8615825"/>
    <s v="CUST_19"/>
    <x v="2"/>
    <x v="2"/>
    <x v="0"/>
    <x v="9"/>
    <n v="41"/>
    <x v="2"/>
    <x v="0"/>
    <x v="835"/>
    <x v="1"/>
    <s v="DISCOUNT ALLOWED"/>
    <s v="discount allowed"/>
    <s v="DISCOUNT ALLOWED"/>
    <s v="Discount Allowed"/>
    <s v="20/03/22"/>
  </r>
  <r>
    <s v="TXN_8774399"/>
    <s v="CUST_23"/>
    <x v="2"/>
    <x v="2"/>
    <x v="0"/>
    <x v="9"/>
    <n v="41"/>
    <x v="2"/>
    <x v="1"/>
    <x v="797"/>
    <x v="0"/>
    <s v="DISCOUNT NOT ALLOWED"/>
    <s v="discount not allowed"/>
    <s v="DISCOUNT NOT ALLOWED"/>
    <s v="Discount Not Allowed"/>
    <s v="24/01/22"/>
  </r>
  <r>
    <s v="TXN_9212134"/>
    <s v="CUST_25"/>
    <x v="2"/>
    <x v="2"/>
    <x v="0"/>
    <x v="9"/>
    <n v="41"/>
    <x v="0"/>
    <x v="1"/>
    <x v="824"/>
    <x v="0"/>
    <s v="DISCOUNT NOT ALLOWED"/>
    <s v="discount not allowed"/>
    <s v="DISCOUNT NOT ALLOWED"/>
    <s v="Discount Not Allowed"/>
    <s v="14/07/24"/>
  </r>
  <r>
    <s v="TXN_9248541"/>
    <s v="CUST_16"/>
    <x v="2"/>
    <x v="2"/>
    <x v="0"/>
    <x v="9"/>
    <n v="41"/>
    <x v="2"/>
    <x v="0"/>
    <x v="417"/>
    <x v="1"/>
    <s v="DISCOUNT ALLOWED"/>
    <s v="discount allowed"/>
    <s v="DISCOUNT ALLOWED"/>
    <s v="Discount Allowed"/>
    <s v="17/10/24"/>
  </r>
  <r>
    <s v="TXN_9865472"/>
    <s v="CUST_24"/>
    <x v="2"/>
    <x v="2"/>
    <x v="0"/>
    <x v="9"/>
    <n v="41"/>
    <x v="0"/>
    <x v="1"/>
    <x v="752"/>
    <x v="1"/>
    <s v="DISCOUNT ALLOWED"/>
    <s v="discount allowed"/>
    <s v="DISCOUNT ALLOWED"/>
    <s v="Discount Allowed"/>
    <s v="18/05/23"/>
  </r>
  <r>
    <s v="TXN_1101287"/>
    <s v="CUST_05"/>
    <x v="2"/>
    <x v="113"/>
    <x v="14"/>
    <x v="8"/>
    <n v="40"/>
    <x v="2"/>
    <x v="0"/>
    <x v="524"/>
    <x v="1"/>
    <s v="DISCOUNT ALLOWED"/>
    <s v="discount allowed"/>
    <s v="DISCOUNT ALLOWED"/>
    <s v="Discount Allowed"/>
    <s v="05/01/24"/>
  </r>
  <r>
    <s v="TXN_1175726"/>
    <s v="CUST_01"/>
    <x v="0"/>
    <x v="115"/>
    <x v="14"/>
    <x v="8"/>
    <n v="40"/>
    <x v="0"/>
    <x v="0"/>
    <x v="240"/>
    <x v="0"/>
    <s v="DISCOUNT NOT ALLOWED"/>
    <s v="discount not allowed"/>
    <s v="DISCOUNT NOT ALLOWED"/>
    <s v="Discount Not Allowed"/>
    <s v="08/07/24"/>
  </r>
  <r>
    <s v="TXN_1195231"/>
    <s v="CUST_24"/>
    <x v="5"/>
    <x v="194"/>
    <x v="24"/>
    <x v="2"/>
    <n v="40"/>
    <x v="0"/>
    <x v="1"/>
    <x v="719"/>
    <x v="0"/>
    <s v="DISCOUNT NOT ALLOWED"/>
    <s v="discount not allowed"/>
    <s v="DISCOUNT NOT ALLOWED"/>
    <s v="Discount Not Allowed"/>
    <s v="28/11/22"/>
  </r>
  <r>
    <s v="TXN_1255024"/>
    <s v="CUST_09"/>
    <x v="4"/>
    <x v="176"/>
    <x v="22"/>
    <x v="5"/>
    <n v="40"/>
    <x v="1"/>
    <x v="1"/>
    <x v="934"/>
    <x v="1"/>
    <s v="DISCOUNT ALLOWED"/>
    <s v="discount allowed"/>
    <s v="DISCOUNT ALLOWED"/>
    <s v="Discount Allowed"/>
    <s v="27/05/24"/>
  </r>
  <r>
    <s v="TXN_1370678"/>
    <s v="CUST_17"/>
    <x v="3"/>
    <x v="177"/>
    <x v="22"/>
    <x v="5"/>
    <n v="40"/>
    <x v="1"/>
    <x v="0"/>
    <x v="510"/>
    <x v="0"/>
    <s v="DISCOUNT NOT ALLOWED"/>
    <s v="discount not allowed"/>
    <s v="DISCOUNT NOT ALLOWED"/>
    <s v="Discount Not Allowed"/>
    <s v="14/02/23"/>
  </r>
  <r>
    <s v="TXN_1417703"/>
    <s v="CUST_17"/>
    <x v="0"/>
    <x v="195"/>
    <x v="24"/>
    <x v="2"/>
    <n v="40"/>
    <x v="1"/>
    <x v="1"/>
    <x v="872"/>
    <x v="1"/>
    <s v="DISCOUNT ALLOWED"/>
    <s v="discount allowed"/>
    <s v="DISCOUNT ALLOWED"/>
    <s v="Discount Allowed"/>
    <s v="07/06/24"/>
  </r>
  <r>
    <s v="TXN_1499774"/>
    <s v="CUST_07"/>
    <x v="3"/>
    <x v="177"/>
    <x v="22"/>
    <x v="5"/>
    <n v="40"/>
    <x v="2"/>
    <x v="1"/>
    <x v="925"/>
    <x v="1"/>
    <s v="DISCOUNT ALLOWED"/>
    <s v="discount allowed"/>
    <s v="DISCOUNT ALLOWED"/>
    <s v="Discount Allowed"/>
    <s v="15/12/22"/>
  </r>
  <r>
    <s v="TXN_1508429"/>
    <s v="CUST_09"/>
    <x v="3"/>
    <x v="177"/>
    <x v="22"/>
    <x v="5"/>
    <n v="40"/>
    <x v="2"/>
    <x v="1"/>
    <x v="212"/>
    <x v="1"/>
    <s v="DISCOUNT ALLOWED"/>
    <s v="discount allowed"/>
    <s v="DISCOUNT ALLOWED"/>
    <s v="Discount Allowed"/>
    <s v="10/12/22"/>
  </r>
  <r>
    <s v="TXN_1637239"/>
    <s v="CUST_18"/>
    <x v="6"/>
    <x v="112"/>
    <x v="14"/>
    <x v="8"/>
    <n v="40"/>
    <x v="1"/>
    <x v="0"/>
    <x v="428"/>
    <x v="1"/>
    <s v="DISCOUNT ALLOWED"/>
    <s v="discount allowed"/>
    <s v="DISCOUNT ALLOWED"/>
    <s v="Discount Allowed"/>
    <s v="01/05/23"/>
  </r>
  <r>
    <s v="TXN_1643393"/>
    <s v="CUST_01"/>
    <x v="0"/>
    <x v="195"/>
    <x v="24"/>
    <x v="2"/>
    <n v="40"/>
    <x v="0"/>
    <x v="0"/>
    <x v="904"/>
    <x v="0"/>
    <s v="DISCOUNT NOT ALLOWED"/>
    <s v="discount not allowed"/>
    <s v="DISCOUNT NOT ALLOWED"/>
    <s v="Discount Not Allowed"/>
    <s v="09/03/22"/>
  </r>
  <r>
    <s v="TXN_1709795"/>
    <s v="CUST_21"/>
    <x v="3"/>
    <x v="177"/>
    <x v="22"/>
    <x v="5"/>
    <n v="40"/>
    <x v="1"/>
    <x v="0"/>
    <x v="417"/>
    <x v="1"/>
    <s v="DISCOUNT ALLOWED"/>
    <s v="discount allowed"/>
    <s v="DISCOUNT ALLOWED"/>
    <s v="Discount Allowed"/>
    <s v="17/10/24"/>
  </r>
  <r>
    <s v="TXN_1741161"/>
    <s v="CUST_14"/>
    <x v="1"/>
    <x v="193"/>
    <x v="24"/>
    <x v="2"/>
    <n v="40"/>
    <x v="1"/>
    <x v="0"/>
    <x v="927"/>
    <x v="0"/>
    <s v="DISCOUNT NOT ALLOWED"/>
    <s v="discount not allowed"/>
    <s v="DISCOUNT NOT ALLOWED"/>
    <s v="Discount Not Allowed"/>
    <s v="28/10/24"/>
  </r>
  <r>
    <s v="TXN_1881857"/>
    <s v="CUST_04"/>
    <x v="0"/>
    <x v="179"/>
    <x v="22"/>
    <x v="5"/>
    <n v="40"/>
    <x v="2"/>
    <x v="0"/>
    <x v="262"/>
    <x v="1"/>
    <s v="DISCOUNT ALLOWED"/>
    <s v="discount allowed"/>
    <s v="DISCOUNT ALLOWED"/>
    <s v="Discount Allowed"/>
    <s v="20/12/24"/>
  </r>
  <r>
    <s v="TXN_1996894"/>
    <s v="CUST_02"/>
    <x v="4"/>
    <x v="109"/>
    <x v="14"/>
    <x v="8"/>
    <n v="40"/>
    <x v="1"/>
    <x v="0"/>
    <x v="887"/>
    <x v="0"/>
    <s v="DISCOUNT NOT ALLOWED"/>
    <s v="discount not allowed"/>
    <s v="DISCOUNT NOT ALLOWED"/>
    <s v="Discount Not Allowed"/>
    <s v="03/04/22"/>
  </r>
  <r>
    <s v="TXN_2087965"/>
    <s v="CUST_25"/>
    <x v="0"/>
    <x v="115"/>
    <x v="14"/>
    <x v="8"/>
    <n v="40"/>
    <x v="0"/>
    <x v="1"/>
    <x v="941"/>
    <x v="0"/>
    <s v="DISCOUNT NOT ALLOWED"/>
    <s v="discount not allowed"/>
    <s v="DISCOUNT NOT ALLOWED"/>
    <s v="Discount Not Allowed"/>
    <s v="15/06/22"/>
  </r>
  <r>
    <s v="TXN_2421640"/>
    <s v="CUST_21"/>
    <x v="4"/>
    <x v="109"/>
    <x v="14"/>
    <x v="8"/>
    <n v="40"/>
    <x v="1"/>
    <x v="0"/>
    <x v="573"/>
    <x v="0"/>
    <s v="DISCOUNT NOT ALLOWED"/>
    <s v="discount not allowed"/>
    <s v="DISCOUNT NOT ALLOWED"/>
    <s v="Discount Not Allowed"/>
    <s v="11/05/24"/>
  </r>
  <r>
    <s v="TXN_2533200"/>
    <s v="CUST_05"/>
    <x v="7"/>
    <x v="192"/>
    <x v="24"/>
    <x v="2"/>
    <n v="40"/>
    <x v="2"/>
    <x v="0"/>
    <x v="405"/>
    <x v="0"/>
    <s v="DISCOUNT NOT ALLOWED"/>
    <s v="discount not allowed"/>
    <s v="DISCOUNT NOT ALLOWED"/>
    <s v="Discount Not Allowed"/>
    <s v="28/10/22"/>
  </r>
  <r>
    <s v="TXN_2634971"/>
    <s v="CUST_02"/>
    <x v="2"/>
    <x v="113"/>
    <x v="14"/>
    <x v="8"/>
    <n v="40"/>
    <x v="2"/>
    <x v="0"/>
    <x v="174"/>
    <x v="0"/>
    <s v="DISCOUNT NOT ALLOWED"/>
    <s v="discount not allowed"/>
    <s v="DISCOUNT NOT ALLOWED"/>
    <s v="Discount Not Allowed"/>
    <s v="29/11/22"/>
  </r>
  <r>
    <s v="TXN_2752566"/>
    <s v="CUST_19"/>
    <x v="0"/>
    <x v="115"/>
    <x v="14"/>
    <x v="8"/>
    <n v="40"/>
    <x v="2"/>
    <x v="1"/>
    <x v="641"/>
    <x v="0"/>
    <s v="DISCOUNT NOT ALLOWED"/>
    <s v="discount not allowed"/>
    <s v="DISCOUNT NOT ALLOWED"/>
    <s v="Discount Not Allowed"/>
    <s v="09/01/22"/>
  </r>
  <r>
    <s v="TXN_2818628"/>
    <s v="CUST_13"/>
    <x v="5"/>
    <x v="111"/>
    <x v="14"/>
    <x v="8"/>
    <n v="40"/>
    <x v="0"/>
    <x v="1"/>
    <x v="27"/>
    <x v="0"/>
    <s v="DISCOUNT NOT ALLOWED"/>
    <s v="discount not allowed"/>
    <s v="DISCOUNT NOT ALLOWED"/>
    <s v="Discount Not Allowed"/>
    <s v="25/12/23"/>
  </r>
  <r>
    <s v="TXN_3008761"/>
    <s v="CUST_15"/>
    <x v="7"/>
    <x v="192"/>
    <x v="24"/>
    <x v="2"/>
    <n v="40"/>
    <x v="1"/>
    <x v="0"/>
    <x v="888"/>
    <x v="1"/>
    <s v="DISCOUNT ALLOWED"/>
    <s v="discount allowed"/>
    <s v="DISCOUNT ALLOWED"/>
    <s v="Discount Allowed"/>
    <s v="10/08/23"/>
  </r>
  <r>
    <s v="TXN_3184832"/>
    <s v="CUST_06"/>
    <x v="5"/>
    <x v="111"/>
    <x v="14"/>
    <x v="8"/>
    <n v="40"/>
    <x v="2"/>
    <x v="1"/>
    <x v="206"/>
    <x v="1"/>
    <s v="DISCOUNT ALLOWED"/>
    <s v="discount allowed"/>
    <s v="DISCOUNT ALLOWED"/>
    <s v="Discount Allowed"/>
    <s v="08/02/22"/>
  </r>
  <r>
    <s v="TXN_3219471"/>
    <s v="CUST_07"/>
    <x v="0"/>
    <x v="115"/>
    <x v="14"/>
    <x v="8"/>
    <n v="40"/>
    <x v="1"/>
    <x v="1"/>
    <x v="1088"/>
    <x v="0"/>
    <s v="DISCOUNT NOT ALLOWED"/>
    <s v="discount not allowed"/>
    <s v="DISCOUNT NOT ALLOWED"/>
    <s v="Discount Not Allowed"/>
    <s v="26/03/22"/>
  </r>
  <r>
    <s v="TXN_3364617"/>
    <s v="CUST_22"/>
    <x v="2"/>
    <x v="113"/>
    <x v="14"/>
    <x v="8"/>
    <n v="40"/>
    <x v="1"/>
    <x v="1"/>
    <x v="166"/>
    <x v="0"/>
    <s v="DISCOUNT NOT ALLOWED"/>
    <s v="discount not allowed"/>
    <s v="DISCOUNT NOT ALLOWED"/>
    <s v="Discount Not Allowed"/>
    <s v="06/05/24"/>
  </r>
  <r>
    <s v="TXN_3425571"/>
    <s v="CUST_10"/>
    <x v="0"/>
    <x v="179"/>
    <x v="22"/>
    <x v="5"/>
    <n v="40"/>
    <x v="2"/>
    <x v="0"/>
    <x v="777"/>
    <x v="1"/>
    <s v="DISCOUNT ALLOWED"/>
    <s v="discount allowed"/>
    <s v="DISCOUNT ALLOWED"/>
    <s v="Discount Allowed"/>
    <s v="25/07/24"/>
  </r>
  <r>
    <s v="TXN_3574025"/>
    <s v="CUST_18"/>
    <x v="0"/>
    <x v="195"/>
    <x v="24"/>
    <x v="2"/>
    <n v="40"/>
    <x v="1"/>
    <x v="1"/>
    <x v="432"/>
    <x v="0"/>
    <s v="DISCOUNT NOT ALLOWED"/>
    <s v="discount not allowed"/>
    <s v="DISCOUNT NOT ALLOWED"/>
    <s v="Discount Not Allowed"/>
    <s v="06/10/24"/>
  </r>
  <r>
    <s v="TXN_3652209"/>
    <s v="CUST_07"/>
    <x v="4"/>
    <x v="198"/>
    <x v="24"/>
    <x v="2"/>
    <n v="40"/>
    <x v="2"/>
    <x v="1"/>
    <x v="224"/>
    <x v="1"/>
    <s v="DISCOUNT ALLOWED"/>
    <s v="discount allowed"/>
    <s v="DISCOUNT ALLOWED"/>
    <s v="Discount Allowed"/>
    <s v="10/06/23"/>
  </r>
  <r>
    <s v="TXN_3760555"/>
    <s v="CUST_16"/>
    <x v="2"/>
    <x v="113"/>
    <x v="14"/>
    <x v="8"/>
    <n v="40"/>
    <x v="1"/>
    <x v="1"/>
    <x v="879"/>
    <x v="1"/>
    <s v="DISCOUNT ALLOWED"/>
    <s v="discount allowed"/>
    <s v="DISCOUNT ALLOWED"/>
    <s v="Discount Allowed"/>
    <s v="12/07/22"/>
  </r>
  <r>
    <s v="TXN_4490143"/>
    <s v="CUST_09"/>
    <x v="1"/>
    <x v="114"/>
    <x v="14"/>
    <x v="8"/>
    <n v="40"/>
    <x v="2"/>
    <x v="1"/>
    <x v="1021"/>
    <x v="0"/>
    <s v="DISCOUNT NOT ALLOWED"/>
    <s v="discount not allowed"/>
    <s v="DISCOUNT NOT ALLOWED"/>
    <s v="Discount Not Allowed"/>
    <s v="27/09/23"/>
  </r>
  <r>
    <s v="TXN_4609121"/>
    <s v="CUST_05"/>
    <x v="5"/>
    <x v="111"/>
    <x v="14"/>
    <x v="8"/>
    <n v="40"/>
    <x v="2"/>
    <x v="1"/>
    <x v="490"/>
    <x v="0"/>
    <s v="DISCOUNT NOT ALLOWED"/>
    <s v="discount not allowed"/>
    <s v="DISCOUNT NOT ALLOWED"/>
    <s v="Discount Not Allowed"/>
    <s v="13/11/24"/>
  </r>
  <r>
    <s v="TXN_4694065"/>
    <s v="CUST_16"/>
    <x v="2"/>
    <x v="178"/>
    <x v="22"/>
    <x v="5"/>
    <n v="40"/>
    <x v="0"/>
    <x v="0"/>
    <x v="216"/>
    <x v="0"/>
    <s v="DISCOUNT NOT ALLOWED"/>
    <s v="discount not allowed"/>
    <s v="DISCOUNT NOT ALLOWED"/>
    <s v="Discount Not Allowed"/>
    <s v="19/04/23"/>
  </r>
  <r>
    <s v="TXN_4799937"/>
    <s v="CUST_01"/>
    <x v="0"/>
    <x v="115"/>
    <x v="14"/>
    <x v="8"/>
    <n v="40"/>
    <x v="1"/>
    <x v="1"/>
    <x v="307"/>
    <x v="0"/>
    <s v="DISCOUNT NOT ALLOWED"/>
    <s v="discount not allowed"/>
    <s v="DISCOUNT NOT ALLOWED"/>
    <s v="Discount Not Allowed"/>
    <s v="10/12/24"/>
  </r>
  <r>
    <s v="TXN_4845406"/>
    <s v="CUST_01"/>
    <x v="3"/>
    <x v="126"/>
    <x v="14"/>
    <x v="8"/>
    <n v="40"/>
    <x v="0"/>
    <x v="1"/>
    <x v="556"/>
    <x v="0"/>
    <s v="DISCOUNT NOT ALLOWED"/>
    <s v="discount not allowed"/>
    <s v="DISCOUNT NOT ALLOWED"/>
    <s v="Discount Not Allowed"/>
    <s v="16/02/24"/>
  </r>
  <r>
    <s v="TXN_4853688"/>
    <s v="CUST_21"/>
    <x v="2"/>
    <x v="199"/>
    <x v="24"/>
    <x v="2"/>
    <n v="40"/>
    <x v="2"/>
    <x v="0"/>
    <x v="565"/>
    <x v="1"/>
    <s v="DISCOUNT ALLOWED"/>
    <s v="discount allowed"/>
    <s v="DISCOUNT ALLOWED"/>
    <s v="Discount Allowed"/>
    <s v="15/02/23"/>
  </r>
  <r>
    <s v="TXN_4890318"/>
    <s v="CUST_25"/>
    <x v="3"/>
    <x v="177"/>
    <x v="22"/>
    <x v="5"/>
    <n v="40"/>
    <x v="2"/>
    <x v="1"/>
    <x v="53"/>
    <x v="0"/>
    <s v="DISCOUNT NOT ALLOWED"/>
    <s v="discount not allowed"/>
    <s v="DISCOUNT NOT ALLOWED"/>
    <s v="Discount Not Allowed"/>
    <s v="28/03/23"/>
  </r>
  <r>
    <s v="TXN_5027059"/>
    <s v="CUST_08"/>
    <x v="1"/>
    <x v="180"/>
    <x v="22"/>
    <x v="5"/>
    <n v="40"/>
    <x v="1"/>
    <x v="1"/>
    <x v="141"/>
    <x v="1"/>
    <s v="DISCOUNT ALLOWED"/>
    <s v="discount allowed"/>
    <s v="DISCOUNT ALLOWED"/>
    <s v="Discount Allowed"/>
    <s v="12/10/24"/>
  </r>
  <r>
    <s v="TXN_5038261"/>
    <s v="CUST_17"/>
    <x v="7"/>
    <x v="192"/>
    <x v="24"/>
    <x v="2"/>
    <n v="40"/>
    <x v="2"/>
    <x v="1"/>
    <x v="95"/>
    <x v="1"/>
    <s v="DISCOUNT ALLOWED"/>
    <s v="discount allowed"/>
    <s v="DISCOUNT ALLOWED"/>
    <s v="Discount Allowed"/>
    <s v="07/06/23"/>
  </r>
  <r>
    <s v="TXN_5185719"/>
    <s v="CUST_18"/>
    <x v="5"/>
    <x v="111"/>
    <x v="14"/>
    <x v="8"/>
    <n v="40"/>
    <x v="1"/>
    <x v="1"/>
    <x v="604"/>
    <x v="0"/>
    <s v="DISCOUNT NOT ALLOWED"/>
    <s v="discount not allowed"/>
    <s v="DISCOUNT NOT ALLOWED"/>
    <s v="Discount Not Allowed"/>
    <s v="28/01/24"/>
  </r>
  <r>
    <s v="TXN_5192905"/>
    <s v="CUST_10"/>
    <x v="3"/>
    <x v="177"/>
    <x v="22"/>
    <x v="5"/>
    <n v="40"/>
    <x v="2"/>
    <x v="1"/>
    <x v="851"/>
    <x v="1"/>
    <s v="DISCOUNT ALLOWED"/>
    <s v="discount allowed"/>
    <s v="DISCOUNT ALLOWED"/>
    <s v="Discount Allowed"/>
    <s v="28/03/22"/>
  </r>
  <r>
    <s v="TXN_5323387"/>
    <s v="CUST_13"/>
    <x v="2"/>
    <x v="199"/>
    <x v="24"/>
    <x v="2"/>
    <n v="40"/>
    <x v="1"/>
    <x v="0"/>
    <x v="162"/>
    <x v="0"/>
    <s v="DISCOUNT NOT ALLOWED"/>
    <s v="discount not allowed"/>
    <s v="DISCOUNT NOT ALLOWED"/>
    <s v="Discount Not Allowed"/>
    <s v="08/03/24"/>
  </r>
  <r>
    <s v="TXN_5356552"/>
    <s v="CUST_09"/>
    <x v="0"/>
    <x v="195"/>
    <x v="24"/>
    <x v="2"/>
    <n v="40"/>
    <x v="2"/>
    <x v="1"/>
    <x v="807"/>
    <x v="1"/>
    <s v="DISCOUNT ALLOWED"/>
    <s v="discount allowed"/>
    <s v="DISCOUNT ALLOWED"/>
    <s v="Discount Allowed"/>
    <s v="19/10/23"/>
  </r>
  <r>
    <s v="TXN_5617475"/>
    <s v="CUST_12"/>
    <x v="1"/>
    <x v="180"/>
    <x v="22"/>
    <x v="5"/>
    <n v="40"/>
    <x v="1"/>
    <x v="0"/>
    <x v="290"/>
    <x v="0"/>
    <s v="DISCOUNT NOT ALLOWED"/>
    <s v="discount not allowed"/>
    <s v="DISCOUNT NOT ALLOWED"/>
    <s v="Discount Not Allowed"/>
    <s v="30/09/23"/>
  </r>
  <r>
    <s v="TXN_5701048"/>
    <s v="CUST_08"/>
    <x v="3"/>
    <x v="177"/>
    <x v="22"/>
    <x v="5"/>
    <n v="40"/>
    <x v="1"/>
    <x v="0"/>
    <x v="732"/>
    <x v="0"/>
    <s v="DISCOUNT NOT ALLOWED"/>
    <s v="discount not allowed"/>
    <s v="DISCOUNT NOT ALLOWED"/>
    <s v="Discount Not Allowed"/>
    <s v="17/08/24"/>
  </r>
  <r>
    <s v="TXN_5708736"/>
    <s v="CUST_01"/>
    <x v="6"/>
    <x v="112"/>
    <x v="14"/>
    <x v="8"/>
    <n v="40"/>
    <x v="2"/>
    <x v="0"/>
    <x v="540"/>
    <x v="0"/>
    <s v="DISCOUNT NOT ALLOWED"/>
    <s v="discount not allowed"/>
    <s v="DISCOUNT NOT ALLOWED"/>
    <s v="Discount Not Allowed"/>
    <s v="17/05/22"/>
  </r>
  <r>
    <s v="TXN_5735723"/>
    <s v="CUST_05"/>
    <x v="5"/>
    <x v="194"/>
    <x v="24"/>
    <x v="2"/>
    <n v="40"/>
    <x v="0"/>
    <x v="0"/>
    <x v="271"/>
    <x v="1"/>
    <s v="DISCOUNT ALLOWED"/>
    <s v="discount allowed"/>
    <s v="DISCOUNT ALLOWED"/>
    <s v="Discount Allowed"/>
    <s v="26/11/22"/>
  </r>
  <r>
    <s v="TXN_5739751"/>
    <s v="CUST_15"/>
    <x v="5"/>
    <x v="183"/>
    <x v="22"/>
    <x v="5"/>
    <n v="40"/>
    <x v="1"/>
    <x v="0"/>
    <x v="983"/>
    <x v="1"/>
    <s v="DISCOUNT ALLOWED"/>
    <s v="discount allowed"/>
    <s v="DISCOUNT ALLOWED"/>
    <s v="Discount Allowed"/>
    <s v="22/01/23"/>
  </r>
  <r>
    <s v="TXN_5955516"/>
    <s v="CUST_11"/>
    <x v="7"/>
    <x v="192"/>
    <x v="24"/>
    <x v="2"/>
    <n v="40"/>
    <x v="2"/>
    <x v="1"/>
    <x v="706"/>
    <x v="1"/>
    <s v="DISCOUNT ALLOWED"/>
    <s v="discount allowed"/>
    <s v="DISCOUNT ALLOWED"/>
    <s v="Discount Allowed"/>
    <s v="25/06/22"/>
  </r>
  <r>
    <s v="TXN_5978654"/>
    <s v="CUST_17"/>
    <x v="1"/>
    <x v="180"/>
    <x v="22"/>
    <x v="5"/>
    <n v="40"/>
    <x v="2"/>
    <x v="0"/>
    <x v="425"/>
    <x v="0"/>
    <s v="DISCOUNT NOT ALLOWED"/>
    <s v="discount not allowed"/>
    <s v="DISCOUNT NOT ALLOWED"/>
    <s v="Discount Not Allowed"/>
    <s v="12/08/22"/>
  </r>
  <r>
    <s v="TXN_6407088"/>
    <s v="CUST_22"/>
    <x v="0"/>
    <x v="195"/>
    <x v="24"/>
    <x v="2"/>
    <n v="40"/>
    <x v="0"/>
    <x v="0"/>
    <x v="212"/>
    <x v="1"/>
    <s v="DISCOUNT ALLOWED"/>
    <s v="discount allowed"/>
    <s v="DISCOUNT ALLOWED"/>
    <s v="Discount Allowed"/>
    <s v="10/12/22"/>
  </r>
  <r>
    <s v="TXN_6663151"/>
    <s v="CUST_20"/>
    <x v="7"/>
    <x v="181"/>
    <x v="22"/>
    <x v="5"/>
    <n v="40"/>
    <x v="0"/>
    <x v="0"/>
    <x v="1017"/>
    <x v="0"/>
    <s v="DISCOUNT NOT ALLOWED"/>
    <s v="discount not allowed"/>
    <s v="DISCOUNT NOT ALLOWED"/>
    <s v="Discount Not Allowed"/>
    <s v="26/02/24"/>
  </r>
  <r>
    <s v="TXN_6825299"/>
    <s v="CUST_08"/>
    <x v="6"/>
    <x v="112"/>
    <x v="14"/>
    <x v="8"/>
    <n v="40"/>
    <x v="2"/>
    <x v="1"/>
    <x v="926"/>
    <x v="0"/>
    <s v="DISCOUNT NOT ALLOWED"/>
    <s v="discount not allowed"/>
    <s v="DISCOUNT NOT ALLOWED"/>
    <s v="Discount Not Allowed"/>
    <s v="22/11/23"/>
  </r>
  <r>
    <s v="TXN_6841966"/>
    <s v="CUST_21"/>
    <x v="0"/>
    <x v="195"/>
    <x v="24"/>
    <x v="2"/>
    <n v="40"/>
    <x v="2"/>
    <x v="0"/>
    <x v="417"/>
    <x v="1"/>
    <s v="DISCOUNT ALLOWED"/>
    <s v="discount allowed"/>
    <s v="DISCOUNT ALLOWED"/>
    <s v="Discount Allowed"/>
    <s v="17/10/24"/>
  </r>
  <r>
    <s v="TXN_6889957"/>
    <s v="CUST_18"/>
    <x v="0"/>
    <x v="179"/>
    <x v="22"/>
    <x v="5"/>
    <n v="40"/>
    <x v="1"/>
    <x v="1"/>
    <x v="771"/>
    <x v="0"/>
    <s v="DISCOUNT NOT ALLOWED"/>
    <s v="discount not allowed"/>
    <s v="DISCOUNT NOT ALLOWED"/>
    <s v="Discount Not Allowed"/>
    <s v="24/07/24"/>
  </r>
  <r>
    <s v="TXN_6943850"/>
    <s v="CUST_08"/>
    <x v="5"/>
    <x v="194"/>
    <x v="24"/>
    <x v="2"/>
    <n v="40"/>
    <x v="2"/>
    <x v="1"/>
    <x v="1037"/>
    <x v="0"/>
    <s v="DISCOUNT NOT ALLOWED"/>
    <s v="discount not allowed"/>
    <s v="DISCOUNT NOT ALLOWED"/>
    <s v="Discount Not Allowed"/>
    <s v="24/05/23"/>
  </r>
  <r>
    <s v="TXN_6981287"/>
    <s v="CUST_17"/>
    <x v="2"/>
    <x v="113"/>
    <x v="14"/>
    <x v="8"/>
    <n v="40"/>
    <x v="1"/>
    <x v="1"/>
    <x v="707"/>
    <x v="0"/>
    <s v="DISCOUNT NOT ALLOWED"/>
    <s v="discount not allowed"/>
    <s v="DISCOUNT NOT ALLOWED"/>
    <s v="Discount Not Allowed"/>
    <s v="08/06/23"/>
  </r>
  <r>
    <s v="TXN_6990280"/>
    <s v="CUST_15"/>
    <x v="7"/>
    <x v="192"/>
    <x v="24"/>
    <x v="2"/>
    <n v="40"/>
    <x v="1"/>
    <x v="1"/>
    <x v="267"/>
    <x v="1"/>
    <s v="DISCOUNT ALLOWED"/>
    <s v="discount allowed"/>
    <s v="DISCOUNT ALLOWED"/>
    <s v="Discount Allowed"/>
    <s v="18/09/24"/>
  </r>
  <r>
    <s v="TXN_7086312"/>
    <s v="CUST_24"/>
    <x v="3"/>
    <x v="126"/>
    <x v="14"/>
    <x v="8"/>
    <n v="40"/>
    <x v="2"/>
    <x v="1"/>
    <x v="1040"/>
    <x v="1"/>
    <s v="DISCOUNT ALLOWED"/>
    <s v="discount allowed"/>
    <s v="DISCOUNT ALLOWED"/>
    <s v="Discount Allowed"/>
    <s v="21/03/22"/>
  </r>
  <r>
    <s v="TXN_7221106"/>
    <s v="CUST_22"/>
    <x v="0"/>
    <x v="195"/>
    <x v="24"/>
    <x v="2"/>
    <n v="40"/>
    <x v="1"/>
    <x v="1"/>
    <x v="1022"/>
    <x v="1"/>
    <s v="DISCOUNT ALLOWED"/>
    <s v="discount allowed"/>
    <s v="DISCOUNT ALLOWED"/>
    <s v="Discount Allowed"/>
    <s v="15/03/23"/>
  </r>
  <r>
    <s v="TXN_7327686"/>
    <s v="CUST_02"/>
    <x v="2"/>
    <x v="113"/>
    <x v="14"/>
    <x v="8"/>
    <n v="40"/>
    <x v="1"/>
    <x v="0"/>
    <x v="192"/>
    <x v="0"/>
    <s v="DISCOUNT NOT ALLOWED"/>
    <s v="discount not allowed"/>
    <s v="DISCOUNT NOT ALLOWED"/>
    <s v="Discount Not Allowed"/>
    <s v="17/05/24"/>
  </r>
  <r>
    <s v="TXN_7439699"/>
    <s v="CUST_05"/>
    <x v="7"/>
    <x v="110"/>
    <x v="14"/>
    <x v="8"/>
    <n v="40"/>
    <x v="1"/>
    <x v="0"/>
    <x v="461"/>
    <x v="1"/>
    <s v="DISCOUNT ALLOWED"/>
    <s v="discount allowed"/>
    <s v="DISCOUNT ALLOWED"/>
    <s v="Discount Allowed"/>
    <s v="01/11/23"/>
  </r>
  <r>
    <s v="TXN_7633013"/>
    <s v="CUST_08"/>
    <x v="1"/>
    <x v="114"/>
    <x v="14"/>
    <x v="8"/>
    <n v="40"/>
    <x v="2"/>
    <x v="0"/>
    <x v="764"/>
    <x v="0"/>
    <s v="DISCOUNT NOT ALLOWED"/>
    <s v="discount not allowed"/>
    <s v="DISCOUNT NOT ALLOWED"/>
    <s v="Discount Not Allowed"/>
    <s v="03/05/22"/>
  </r>
  <r>
    <s v="TXN_7949571"/>
    <s v="CUST_01"/>
    <x v="2"/>
    <x v="199"/>
    <x v="24"/>
    <x v="2"/>
    <n v="40"/>
    <x v="2"/>
    <x v="1"/>
    <x v="574"/>
    <x v="1"/>
    <s v="DISCOUNT ALLOWED"/>
    <s v="discount allowed"/>
    <s v="DISCOUNT ALLOWED"/>
    <s v="Discount Allowed"/>
    <s v="24/05/22"/>
  </r>
  <r>
    <s v="TXN_7972595"/>
    <s v="CUST_04"/>
    <x v="5"/>
    <x v="194"/>
    <x v="24"/>
    <x v="2"/>
    <n v="40"/>
    <x v="0"/>
    <x v="1"/>
    <x v="366"/>
    <x v="1"/>
    <s v="DISCOUNT ALLOWED"/>
    <s v="discount allowed"/>
    <s v="DISCOUNT ALLOWED"/>
    <s v="Discount Allowed"/>
    <s v="29/11/24"/>
  </r>
  <r>
    <s v="TXN_8015772"/>
    <s v="CUST_23"/>
    <x v="7"/>
    <x v="110"/>
    <x v="14"/>
    <x v="8"/>
    <n v="40"/>
    <x v="1"/>
    <x v="1"/>
    <x v="81"/>
    <x v="0"/>
    <s v="DISCOUNT NOT ALLOWED"/>
    <s v="discount not allowed"/>
    <s v="DISCOUNT NOT ALLOWED"/>
    <s v="Discount Not Allowed"/>
    <s v="08/01/25"/>
  </r>
  <r>
    <s v="TXN_8055736"/>
    <s v="CUST_15"/>
    <x v="4"/>
    <x v="198"/>
    <x v="24"/>
    <x v="2"/>
    <n v="40"/>
    <x v="0"/>
    <x v="1"/>
    <x v="404"/>
    <x v="1"/>
    <s v="DISCOUNT ALLOWED"/>
    <s v="discount allowed"/>
    <s v="DISCOUNT ALLOWED"/>
    <s v="Discount Allowed"/>
    <s v="23/11/22"/>
  </r>
  <r>
    <s v="TXN_8224848"/>
    <s v="CUST_20"/>
    <x v="6"/>
    <x v="182"/>
    <x v="22"/>
    <x v="5"/>
    <n v="40"/>
    <x v="0"/>
    <x v="1"/>
    <x v="611"/>
    <x v="1"/>
    <s v="DISCOUNT ALLOWED"/>
    <s v="discount allowed"/>
    <s v="DISCOUNT ALLOWED"/>
    <s v="Discount Allowed"/>
    <s v="18/12/22"/>
  </r>
  <r>
    <s v="TXN_8313334"/>
    <s v="CUST_03"/>
    <x v="3"/>
    <x v="177"/>
    <x v="22"/>
    <x v="5"/>
    <n v="40"/>
    <x v="2"/>
    <x v="1"/>
    <x v="203"/>
    <x v="1"/>
    <s v="DISCOUNT ALLOWED"/>
    <s v="discount allowed"/>
    <s v="DISCOUNT ALLOWED"/>
    <s v="Discount Allowed"/>
    <s v="23/09/22"/>
  </r>
  <r>
    <s v="TXN_8388138"/>
    <s v="CUST_25"/>
    <x v="0"/>
    <x v="179"/>
    <x v="22"/>
    <x v="5"/>
    <n v="40"/>
    <x v="2"/>
    <x v="1"/>
    <x v="990"/>
    <x v="0"/>
    <s v="DISCOUNT NOT ALLOWED"/>
    <s v="discount not allowed"/>
    <s v="DISCOUNT NOT ALLOWED"/>
    <s v="Discount Not Allowed"/>
    <s v="29/07/23"/>
  </r>
  <r>
    <s v="TXN_8505513"/>
    <s v="CUST_18"/>
    <x v="5"/>
    <x v="194"/>
    <x v="24"/>
    <x v="2"/>
    <n v="40"/>
    <x v="0"/>
    <x v="1"/>
    <x v="686"/>
    <x v="1"/>
    <s v="DISCOUNT ALLOWED"/>
    <s v="discount allowed"/>
    <s v="DISCOUNT ALLOWED"/>
    <s v="Discount Allowed"/>
    <s v="21/07/23"/>
  </r>
  <r>
    <s v="TXN_8674510"/>
    <s v="CUST_17"/>
    <x v="0"/>
    <x v="115"/>
    <x v="14"/>
    <x v="8"/>
    <n v="40"/>
    <x v="2"/>
    <x v="1"/>
    <x v="926"/>
    <x v="0"/>
    <s v="DISCOUNT NOT ALLOWED"/>
    <s v="discount not allowed"/>
    <s v="DISCOUNT NOT ALLOWED"/>
    <s v="Discount Not Allowed"/>
    <s v="22/11/23"/>
  </r>
  <r>
    <s v="TXN_8676808"/>
    <s v="CUST_06"/>
    <x v="3"/>
    <x v="197"/>
    <x v="24"/>
    <x v="2"/>
    <n v="40"/>
    <x v="1"/>
    <x v="1"/>
    <x v="876"/>
    <x v="1"/>
    <s v="DISCOUNT ALLOWED"/>
    <s v="discount allowed"/>
    <s v="DISCOUNT ALLOWED"/>
    <s v="Discount Allowed"/>
    <s v="17/02/24"/>
  </r>
  <r>
    <s v="TXN_8724290"/>
    <s v="CUST_23"/>
    <x v="4"/>
    <x v="198"/>
    <x v="24"/>
    <x v="2"/>
    <n v="40"/>
    <x v="1"/>
    <x v="0"/>
    <x v="846"/>
    <x v="0"/>
    <s v="DISCOUNT NOT ALLOWED"/>
    <s v="discount not allowed"/>
    <s v="DISCOUNT NOT ALLOWED"/>
    <s v="Discount Not Allowed"/>
    <s v="29/03/23"/>
  </r>
  <r>
    <s v="TXN_8760856"/>
    <s v="CUST_06"/>
    <x v="2"/>
    <x v="199"/>
    <x v="24"/>
    <x v="2"/>
    <n v="40"/>
    <x v="1"/>
    <x v="0"/>
    <x v="461"/>
    <x v="1"/>
    <s v="DISCOUNT ALLOWED"/>
    <s v="discount allowed"/>
    <s v="DISCOUNT ALLOWED"/>
    <s v="Discount Allowed"/>
    <s v="01/11/23"/>
  </r>
  <r>
    <s v="TXN_9210011"/>
    <s v="CUST_22"/>
    <x v="2"/>
    <x v="113"/>
    <x v="14"/>
    <x v="8"/>
    <n v="40"/>
    <x v="0"/>
    <x v="0"/>
    <x v="710"/>
    <x v="0"/>
    <s v="DISCOUNT NOT ALLOWED"/>
    <s v="discount not allowed"/>
    <s v="DISCOUNT NOT ALLOWED"/>
    <s v="Discount Not Allowed"/>
    <s v="05/08/24"/>
  </r>
  <r>
    <s v="TXN_9449378"/>
    <s v="CUST_10"/>
    <x v="6"/>
    <x v="112"/>
    <x v="14"/>
    <x v="8"/>
    <n v="40"/>
    <x v="1"/>
    <x v="0"/>
    <x v="1010"/>
    <x v="1"/>
    <s v="DISCOUNT ALLOWED"/>
    <s v="discount allowed"/>
    <s v="DISCOUNT ALLOWED"/>
    <s v="Discount Allowed"/>
    <s v="30/10/23"/>
  </r>
  <r>
    <s v="TXN_9515774"/>
    <s v="CUST_15"/>
    <x v="0"/>
    <x v="179"/>
    <x v="22"/>
    <x v="5"/>
    <n v="40"/>
    <x v="2"/>
    <x v="1"/>
    <x v="502"/>
    <x v="1"/>
    <s v="DISCOUNT ALLOWED"/>
    <s v="discount allowed"/>
    <s v="DISCOUNT ALLOWED"/>
    <s v="Discount Allowed"/>
    <s v="20/09/24"/>
  </r>
  <r>
    <s v="TXN_9540418"/>
    <s v="CUST_05"/>
    <x v="5"/>
    <x v="183"/>
    <x v="22"/>
    <x v="5"/>
    <n v="40"/>
    <x v="1"/>
    <x v="1"/>
    <x v="505"/>
    <x v="1"/>
    <s v="DISCOUNT ALLOWED"/>
    <s v="discount allowed"/>
    <s v="DISCOUNT ALLOWED"/>
    <s v="Discount Allowed"/>
    <s v="13/04/24"/>
  </r>
  <r>
    <s v="TXN_9619028"/>
    <s v="CUST_08"/>
    <x v="7"/>
    <x v="110"/>
    <x v="14"/>
    <x v="8"/>
    <n v="40"/>
    <x v="2"/>
    <x v="0"/>
    <x v="1099"/>
    <x v="0"/>
    <s v="DISCOUNT NOT ALLOWED"/>
    <s v="discount not allowed"/>
    <s v="DISCOUNT NOT ALLOWED"/>
    <s v="Discount Not Allowed"/>
    <s v="24/12/22"/>
  </r>
  <r>
    <s v="TXN_9779183"/>
    <s v="CUST_22"/>
    <x v="2"/>
    <x v="113"/>
    <x v="14"/>
    <x v="8"/>
    <n v="40"/>
    <x v="2"/>
    <x v="0"/>
    <x v="888"/>
    <x v="1"/>
    <s v="DISCOUNT ALLOWED"/>
    <s v="discount allowed"/>
    <s v="DISCOUNT ALLOWED"/>
    <s v="Discount Allowed"/>
    <s v="10/08/23"/>
  </r>
  <r>
    <s v="TXN_9996372"/>
    <s v="CUST_25"/>
    <x v="6"/>
    <x v="112"/>
    <x v="14"/>
    <x v="8"/>
    <n v="40"/>
    <x v="0"/>
    <x v="0"/>
    <x v="297"/>
    <x v="1"/>
    <s v="DISCOUNT ALLOWED"/>
    <s v="discount allowed"/>
    <s v="DISCOUNT ALLOWED"/>
    <s v="Discount Allowed"/>
    <s v="11/11/24"/>
  </r>
  <r>
    <s v="TXN_1095513"/>
    <s v="CUST_03"/>
    <x v="4"/>
    <x v="11"/>
    <x v="1"/>
    <x v="9"/>
    <n v="39.5"/>
    <x v="2"/>
    <x v="0"/>
    <x v="971"/>
    <x v="0"/>
    <s v="DISCOUNT NOT ALLOWED"/>
    <s v="discount not allowed"/>
    <s v="DISCOUNT NOT ALLOWED"/>
    <s v="Discount Not Allowed"/>
    <s v="04/08/22"/>
  </r>
  <r>
    <s v="TXN_2110881"/>
    <s v="CUST_15"/>
    <x v="7"/>
    <x v="10"/>
    <x v="1"/>
    <x v="9"/>
    <n v="39.5"/>
    <x v="0"/>
    <x v="1"/>
    <x v="574"/>
    <x v="0"/>
    <s v="DISCOUNT NOT ALLOWED"/>
    <s v="discount not allowed"/>
    <s v="DISCOUNT NOT ALLOWED"/>
    <s v="Discount Not Allowed"/>
    <s v="24/05/22"/>
  </r>
  <r>
    <s v="TXN_2120609"/>
    <s v="CUST_01"/>
    <x v="7"/>
    <x v="10"/>
    <x v="1"/>
    <x v="9"/>
    <n v="39.5"/>
    <x v="1"/>
    <x v="0"/>
    <x v="475"/>
    <x v="1"/>
    <s v="DISCOUNT ALLOWED"/>
    <s v="discount allowed"/>
    <s v="DISCOUNT ALLOWED"/>
    <s v="Discount Allowed"/>
    <s v="03/09/24"/>
  </r>
  <r>
    <s v="TXN_2409097"/>
    <s v="CUST_25"/>
    <x v="5"/>
    <x v="13"/>
    <x v="1"/>
    <x v="9"/>
    <n v="39.5"/>
    <x v="0"/>
    <x v="1"/>
    <x v="491"/>
    <x v="0"/>
    <s v="DISCOUNT NOT ALLOWED"/>
    <s v="discount not allowed"/>
    <s v="DISCOUNT NOT ALLOWED"/>
    <s v="Discount Not Allowed"/>
    <s v="01/01/23"/>
  </r>
  <r>
    <s v="TXN_2417956"/>
    <s v="CUST_18"/>
    <x v="7"/>
    <x v="10"/>
    <x v="1"/>
    <x v="9"/>
    <n v="39.5"/>
    <x v="1"/>
    <x v="0"/>
    <x v="254"/>
    <x v="0"/>
    <s v="DISCOUNT NOT ALLOWED"/>
    <s v="discount not allowed"/>
    <s v="DISCOUNT NOT ALLOWED"/>
    <s v="Discount Not Allowed"/>
    <s v="13/02/22"/>
  </r>
  <r>
    <s v="TXN_3651432"/>
    <s v="CUST_25"/>
    <x v="2"/>
    <x v="9"/>
    <x v="1"/>
    <x v="9"/>
    <n v="39.5"/>
    <x v="0"/>
    <x v="1"/>
    <x v="505"/>
    <x v="1"/>
    <s v="DISCOUNT ALLOWED"/>
    <s v="discount allowed"/>
    <s v="DISCOUNT ALLOWED"/>
    <s v="Discount Allowed"/>
    <s v="13/04/24"/>
  </r>
  <r>
    <s v="TXN_3718315"/>
    <s v="CUST_15"/>
    <x v="3"/>
    <x v="12"/>
    <x v="1"/>
    <x v="9"/>
    <n v="39.5"/>
    <x v="1"/>
    <x v="0"/>
    <x v="219"/>
    <x v="0"/>
    <s v="DISCOUNT NOT ALLOWED"/>
    <s v="discount not allowed"/>
    <s v="DISCOUNT NOT ALLOWED"/>
    <s v="Discount Not Allowed"/>
    <s v="23/05/23"/>
  </r>
  <r>
    <s v="TXN_4565043"/>
    <s v="CUST_09"/>
    <x v="2"/>
    <x v="9"/>
    <x v="1"/>
    <x v="9"/>
    <n v="39.5"/>
    <x v="2"/>
    <x v="0"/>
    <x v="857"/>
    <x v="1"/>
    <s v="DISCOUNT ALLOWED"/>
    <s v="discount allowed"/>
    <s v="DISCOUNT ALLOWED"/>
    <s v="Discount Allowed"/>
    <s v="29/08/23"/>
  </r>
  <r>
    <s v="TXN_4783588"/>
    <s v="CUST_19"/>
    <x v="4"/>
    <x v="11"/>
    <x v="1"/>
    <x v="9"/>
    <n v="39.5"/>
    <x v="2"/>
    <x v="1"/>
    <x v="183"/>
    <x v="1"/>
    <s v="DISCOUNT ALLOWED"/>
    <s v="discount allowed"/>
    <s v="DISCOUNT ALLOWED"/>
    <s v="Discount Allowed"/>
    <s v="31/12/23"/>
  </r>
  <r>
    <s v="TXN_4793830"/>
    <s v="CUST_13"/>
    <x v="5"/>
    <x v="13"/>
    <x v="1"/>
    <x v="9"/>
    <n v="39.5"/>
    <x v="1"/>
    <x v="0"/>
    <x v="1105"/>
    <x v="0"/>
    <s v="DISCOUNT NOT ALLOWED"/>
    <s v="discount not allowed"/>
    <s v="DISCOUNT NOT ALLOWED"/>
    <s v="Discount Not Allowed"/>
    <s v="16/03/23"/>
  </r>
  <r>
    <s v="TXN_4825724"/>
    <s v="CUST_01"/>
    <x v="2"/>
    <x v="9"/>
    <x v="1"/>
    <x v="9"/>
    <n v="39.5"/>
    <x v="0"/>
    <x v="1"/>
    <x v="303"/>
    <x v="0"/>
    <s v="DISCOUNT NOT ALLOWED"/>
    <s v="discount not allowed"/>
    <s v="DISCOUNT NOT ALLOWED"/>
    <s v="Discount Not Allowed"/>
    <s v="22/12/24"/>
  </r>
  <r>
    <s v="TXN_5823559"/>
    <s v="CUST_14"/>
    <x v="2"/>
    <x v="9"/>
    <x v="1"/>
    <x v="9"/>
    <n v="39.5"/>
    <x v="0"/>
    <x v="1"/>
    <x v="133"/>
    <x v="0"/>
    <s v="DISCOUNT NOT ALLOWED"/>
    <s v="discount not allowed"/>
    <s v="DISCOUNT NOT ALLOWED"/>
    <s v="Discount Not Allowed"/>
    <s v="17/01/24"/>
  </r>
  <r>
    <s v="TXN_6281965"/>
    <s v="CUST_19"/>
    <x v="1"/>
    <x v="8"/>
    <x v="1"/>
    <x v="9"/>
    <n v="39.5"/>
    <x v="0"/>
    <x v="1"/>
    <x v="928"/>
    <x v="0"/>
    <s v="DISCOUNT NOT ALLOWED"/>
    <s v="discount not allowed"/>
    <s v="DISCOUNT NOT ALLOWED"/>
    <s v="Discount Not Allowed"/>
    <s v="11/03/22"/>
  </r>
  <r>
    <s v="TXN_7219103"/>
    <s v="CUST_14"/>
    <x v="2"/>
    <x v="9"/>
    <x v="1"/>
    <x v="9"/>
    <n v="39.5"/>
    <x v="0"/>
    <x v="1"/>
    <x v="6"/>
    <x v="0"/>
    <s v="DISCOUNT NOT ALLOWED"/>
    <s v="discount not allowed"/>
    <s v="DISCOUNT NOT ALLOWED"/>
    <s v="Discount Not Allowed"/>
    <s v="20/12/23"/>
  </r>
  <r>
    <s v="TXN_7234193"/>
    <s v="CUST_12"/>
    <x v="2"/>
    <x v="9"/>
    <x v="1"/>
    <x v="9"/>
    <n v="39.5"/>
    <x v="0"/>
    <x v="0"/>
    <x v="938"/>
    <x v="0"/>
    <s v="DISCOUNT NOT ALLOWED"/>
    <s v="discount not allowed"/>
    <s v="DISCOUNT NOT ALLOWED"/>
    <s v="Discount Not Allowed"/>
    <s v="05/06/24"/>
  </r>
  <r>
    <s v="TXN_7349078"/>
    <s v="CUST_24"/>
    <x v="1"/>
    <x v="8"/>
    <x v="1"/>
    <x v="9"/>
    <n v="39.5"/>
    <x v="2"/>
    <x v="0"/>
    <x v="89"/>
    <x v="0"/>
    <s v="DISCOUNT NOT ALLOWED"/>
    <s v="discount not allowed"/>
    <s v="DISCOUNT NOT ALLOWED"/>
    <s v="Discount Not Allowed"/>
    <s v="14/01/22"/>
  </r>
  <r>
    <s v="TXN_7437993"/>
    <s v="CUST_23"/>
    <x v="2"/>
    <x v="9"/>
    <x v="1"/>
    <x v="9"/>
    <n v="39.5"/>
    <x v="0"/>
    <x v="1"/>
    <x v="879"/>
    <x v="0"/>
    <s v="DISCOUNT NOT ALLOWED"/>
    <s v="discount not allowed"/>
    <s v="DISCOUNT NOT ALLOWED"/>
    <s v="Discount Not Allowed"/>
    <s v="12/07/22"/>
  </r>
  <r>
    <s v="TXN_7518278"/>
    <s v="CUST_07"/>
    <x v="2"/>
    <x v="9"/>
    <x v="1"/>
    <x v="9"/>
    <n v="39.5"/>
    <x v="0"/>
    <x v="1"/>
    <x v="964"/>
    <x v="0"/>
    <s v="DISCOUNT NOT ALLOWED"/>
    <s v="discount not allowed"/>
    <s v="DISCOUNT NOT ALLOWED"/>
    <s v="Discount Not Allowed"/>
    <s v="11/04/24"/>
  </r>
  <r>
    <s v="TXN_7927513"/>
    <s v="CUST_19"/>
    <x v="2"/>
    <x v="9"/>
    <x v="1"/>
    <x v="9"/>
    <n v="39.5"/>
    <x v="0"/>
    <x v="1"/>
    <x v="113"/>
    <x v="1"/>
    <s v="DISCOUNT ALLOWED"/>
    <s v="discount allowed"/>
    <s v="DISCOUNT ALLOWED"/>
    <s v="Discount Allowed"/>
    <s v="18/07/22"/>
  </r>
  <r>
    <s v="TXN_8192943"/>
    <s v="CUST_22"/>
    <x v="3"/>
    <x v="12"/>
    <x v="1"/>
    <x v="9"/>
    <n v="39.5"/>
    <x v="2"/>
    <x v="1"/>
    <x v="309"/>
    <x v="1"/>
    <s v="DISCOUNT ALLOWED"/>
    <s v="discount allowed"/>
    <s v="DISCOUNT ALLOWED"/>
    <s v="Discount Allowed"/>
    <s v="02/10/24"/>
  </r>
  <r>
    <s v="TXN_8389178"/>
    <s v="CUST_05"/>
    <x v="1"/>
    <x v="8"/>
    <x v="1"/>
    <x v="9"/>
    <n v="39.5"/>
    <x v="2"/>
    <x v="0"/>
    <x v="625"/>
    <x v="0"/>
    <s v="DISCOUNT NOT ALLOWED"/>
    <s v="discount not allowed"/>
    <s v="DISCOUNT NOT ALLOWED"/>
    <s v="Discount Not Allowed"/>
    <s v="13/11/22"/>
  </r>
  <r>
    <s v="TXN_8393818"/>
    <s v="CUST_13"/>
    <x v="3"/>
    <x v="12"/>
    <x v="1"/>
    <x v="9"/>
    <n v="39.5"/>
    <x v="0"/>
    <x v="0"/>
    <x v="183"/>
    <x v="0"/>
    <s v="DISCOUNT NOT ALLOWED"/>
    <s v="discount not allowed"/>
    <s v="DISCOUNT NOT ALLOWED"/>
    <s v="Discount Not Allowed"/>
    <s v="31/12/23"/>
  </r>
  <r>
    <s v="TXN_8887696"/>
    <s v="CUST_10"/>
    <x v="3"/>
    <x v="12"/>
    <x v="1"/>
    <x v="9"/>
    <n v="39.5"/>
    <x v="1"/>
    <x v="1"/>
    <x v="761"/>
    <x v="0"/>
    <s v="DISCOUNT NOT ALLOWED"/>
    <s v="discount not allowed"/>
    <s v="DISCOUNT NOT ALLOWED"/>
    <s v="Discount Not Allowed"/>
    <s v="08/07/23"/>
  </r>
  <r>
    <s v="TXN_9008981"/>
    <s v="CUST_11"/>
    <x v="3"/>
    <x v="12"/>
    <x v="1"/>
    <x v="9"/>
    <n v="39.5"/>
    <x v="0"/>
    <x v="1"/>
    <x v="702"/>
    <x v="1"/>
    <s v="DISCOUNT ALLOWED"/>
    <s v="discount allowed"/>
    <s v="DISCOUNT ALLOWED"/>
    <s v="Discount Allowed"/>
    <s v="09/02/22"/>
  </r>
  <r>
    <s v="TXN_9394458"/>
    <s v="CUST_22"/>
    <x v="7"/>
    <x v="10"/>
    <x v="1"/>
    <x v="9"/>
    <n v="39.5"/>
    <x v="1"/>
    <x v="0"/>
    <x v="67"/>
    <x v="1"/>
    <s v="DISCOUNT ALLOWED"/>
    <s v="discount allowed"/>
    <s v="DISCOUNT ALLOWED"/>
    <s v="Discount Allowed"/>
    <s v="18/08/22"/>
  </r>
  <r>
    <s v="TXN_9618289"/>
    <s v="CUST_07"/>
    <x v="7"/>
    <x v="10"/>
    <x v="1"/>
    <x v="9"/>
    <n v="39.5"/>
    <x v="0"/>
    <x v="0"/>
    <x v="554"/>
    <x v="1"/>
    <s v="DISCOUNT ALLOWED"/>
    <s v="discount allowed"/>
    <s v="DISCOUNT ALLOWED"/>
    <s v="Discount Allowed"/>
    <s v="20/02/24"/>
  </r>
  <r>
    <s v="TXN_9776378"/>
    <s v="CUST_16"/>
    <x v="1"/>
    <x v="8"/>
    <x v="1"/>
    <x v="9"/>
    <n v="39.5"/>
    <x v="1"/>
    <x v="1"/>
    <x v="996"/>
    <x v="0"/>
    <s v="DISCOUNT NOT ALLOWED"/>
    <s v="discount not allowed"/>
    <s v="DISCOUNT NOT ALLOWED"/>
    <s v="Discount Not Allowed"/>
    <s v="27/04/23"/>
  </r>
  <r>
    <s v="TXN_1031651"/>
    <s v="CUST_12"/>
    <x v="1"/>
    <x v="184"/>
    <x v="23"/>
    <x v="4"/>
    <n v="39"/>
    <x v="0"/>
    <x v="0"/>
    <x v="1001"/>
    <x v="1"/>
    <s v="DISCOUNT ALLOWED"/>
    <s v="discount allowed"/>
    <s v="DISCOUNT ALLOWED"/>
    <s v="Discount Allowed"/>
    <s v="03/05/23"/>
  </r>
  <r>
    <s v="TXN_1073711"/>
    <s v="CUST_24"/>
    <x v="2"/>
    <x v="187"/>
    <x v="23"/>
    <x v="4"/>
    <n v="39"/>
    <x v="0"/>
    <x v="1"/>
    <x v="709"/>
    <x v="1"/>
    <s v="DISCOUNT ALLOWED"/>
    <s v="discount allowed"/>
    <s v="DISCOUNT ALLOWED"/>
    <s v="Discount Allowed"/>
    <s v="02/01/24"/>
  </r>
  <r>
    <s v="TXN_1305845"/>
    <s v="CUST_01"/>
    <x v="1"/>
    <x v="184"/>
    <x v="23"/>
    <x v="4"/>
    <n v="39"/>
    <x v="0"/>
    <x v="0"/>
    <x v="662"/>
    <x v="1"/>
    <s v="DISCOUNT ALLOWED"/>
    <s v="discount allowed"/>
    <s v="DISCOUNT ALLOWED"/>
    <s v="Discount Allowed"/>
    <s v="17/12/24"/>
  </r>
  <r>
    <s v="TXN_1470677"/>
    <s v="CUST_24"/>
    <x v="0"/>
    <x v="186"/>
    <x v="23"/>
    <x v="4"/>
    <n v="39"/>
    <x v="1"/>
    <x v="0"/>
    <x v="145"/>
    <x v="1"/>
    <s v="DISCOUNT ALLOWED"/>
    <s v="discount allowed"/>
    <s v="DISCOUNT ALLOWED"/>
    <s v="Discount Allowed"/>
    <s v="31/07/23"/>
  </r>
  <r>
    <s v="TXN_1534522"/>
    <s v="CUST_05"/>
    <x v="3"/>
    <x v="189"/>
    <x v="23"/>
    <x v="4"/>
    <n v="39"/>
    <x v="0"/>
    <x v="0"/>
    <x v="66"/>
    <x v="1"/>
    <s v="DISCOUNT ALLOWED"/>
    <s v="discount allowed"/>
    <s v="DISCOUNT ALLOWED"/>
    <s v="Discount Allowed"/>
    <s v="25/09/24"/>
  </r>
  <r>
    <s v="TXN_1540809"/>
    <s v="CUST_17"/>
    <x v="3"/>
    <x v="189"/>
    <x v="23"/>
    <x v="4"/>
    <n v="39"/>
    <x v="2"/>
    <x v="0"/>
    <x v="498"/>
    <x v="1"/>
    <s v="DISCOUNT ALLOWED"/>
    <s v="discount allowed"/>
    <s v="DISCOUNT ALLOWED"/>
    <s v="Discount Allowed"/>
    <s v="19/08/22"/>
  </r>
  <r>
    <s v="TXN_1676564"/>
    <s v="CUST_12"/>
    <x v="2"/>
    <x v="187"/>
    <x v="23"/>
    <x v="4"/>
    <n v="39"/>
    <x v="0"/>
    <x v="0"/>
    <x v="70"/>
    <x v="1"/>
    <s v="DISCOUNT ALLOWED"/>
    <s v="discount allowed"/>
    <s v="DISCOUNT ALLOWED"/>
    <s v="Discount Allowed"/>
    <s v="18/06/24"/>
  </r>
  <r>
    <s v="TXN_1679032"/>
    <s v="CUST_01"/>
    <x v="5"/>
    <x v="190"/>
    <x v="23"/>
    <x v="4"/>
    <n v="39"/>
    <x v="1"/>
    <x v="1"/>
    <x v="1039"/>
    <x v="1"/>
    <s v="DISCOUNT ALLOWED"/>
    <s v="discount allowed"/>
    <s v="DISCOUNT ALLOWED"/>
    <s v="Discount Allowed"/>
    <s v="07/01/23"/>
  </r>
  <r>
    <s v="TXN_1809144"/>
    <s v="CUST_10"/>
    <x v="7"/>
    <x v="191"/>
    <x v="23"/>
    <x v="4"/>
    <n v="39"/>
    <x v="0"/>
    <x v="1"/>
    <x v="490"/>
    <x v="1"/>
    <s v="DISCOUNT ALLOWED"/>
    <s v="discount allowed"/>
    <s v="DISCOUNT ALLOWED"/>
    <s v="Discount Allowed"/>
    <s v="13/11/24"/>
  </r>
  <r>
    <s v="TXN_2679675"/>
    <s v="CUST_13"/>
    <x v="3"/>
    <x v="189"/>
    <x v="23"/>
    <x v="4"/>
    <n v="39"/>
    <x v="0"/>
    <x v="1"/>
    <x v="422"/>
    <x v="1"/>
    <s v="DISCOUNT ALLOWED"/>
    <s v="discount allowed"/>
    <s v="DISCOUNT ALLOWED"/>
    <s v="Discount Allowed"/>
    <s v="05/02/23"/>
  </r>
  <r>
    <s v="TXN_2683891"/>
    <s v="CUST_03"/>
    <x v="0"/>
    <x v="186"/>
    <x v="23"/>
    <x v="4"/>
    <n v="39"/>
    <x v="1"/>
    <x v="1"/>
    <x v="845"/>
    <x v="1"/>
    <s v="DISCOUNT ALLOWED"/>
    <s v="discount allowed"/>
    <s v="DISCOUNT ALLOWED"/>
    <s v="Discount Allowed"/>
    <s v="09/05/24"/>
  </r>
  <r>
    <s v="TXN_3032195"/>
    <s v="CUST_07"/>
    <x v="1"/>
    <x v="184"/>
    <x v="23"/>
    <x v="4"/>
    <n v="39"/>
    <x v="0"/>
    <x v="0"/>
    <x v="896"/>
    <x v="0"/>
    <s v="DISCOUNT NOT ALLOWED"/>
    <s v="discount not allowed"/>
    <s v="DISCOUNT NOT ALLOWED"/>
    <s v="Discount Not Allowed"/>
    <s v="14/02/22"/>
  </r>
  <r>
    <s v="TXN_3225013"/>
    <s v="CUST_13"/>
    <x v="3"/>
    <x v="189"/>
    <x v="23"/>
    <x v="4"/>
    <n v="39"/>
    <x v="0"/>
    <x v="1"/>
    <x v="599"/>
    <x v="1"/>
    <s v="DISCOUNT ALLOWED"/>
    <s v="discount allowed"/>
    <s v="DISCOUNT ALLOWED"/>
    <s v="Discount Allowed"/>
    <s v="10/07/23"/>
  </r>
  <r>
    <s v="TXN_3344378"/>
    <s v="CUST_07"/>
    <x v="7"/>
    <x v="191"/>
    <x v="23"/>
    <x v="4"/>
    <n v="39"/>
    <x v="1"/>
    <x v="0"/>
    <x v="223"/>
    <x v="1"/>
    <s v="DISCOUNT ALLOWED"/>
    <s v="discount allowed"/>
    <s v="DISCOUNT ALLOWED"/>
    <s v="Discount Allowed"/>
    <s v="29/12/24"/>
  </r>
  <r>
    <s v="TXN_3817044"/>
    <s v="CUST_17"/>
    <x v="4"/>
    <x v="185"/>
    <x v="23"/>
    <x v="4"/>
    <n v="39"/>
    <x v="0"/>
    <x v="0"/>
    <x v="239"/>
    <x v="0"/>
    <s v="DISCOUNT NOT ALLOWED"/>
    <s v="discount not allowed"/>
    <s v="DISCOUNT NOT ALLOWED"/>
    <s v="Discount Not Allowed"/>
    <s v="21/02/23"/>
  </r>
  <r>
    <s v="TXN_4281742"/>
    <s v="CUST_13"/>
    <x v="5"/>
    <x v="190"/>
    <x v="23"/>
    <x v="4"/>
    <n v="39"/>
    <x v="0"/>
    <x v="0"/>
    <x v="780"/>
    <x v="0"/>
    <s v="DISCOUNT NOT ALLOWED"/>
    <s v="discount not allowed"/>
    <s v="DISCOUNT NOT ALLOWED"/>
    <s v="Discount Not Allowed"/>
    <s v="22/04/24"/>
  </r>
  <r>
    <s v="TXN_4372415"/>
    <s v="CUST_17"/>
    <x v="1"/>
    <x v="184"/>
    <x v="23"/>
    <x v="4"/>
    <n v="39"/>
    <x v="1"/>
    <x v="1"/>
    <x v="363"/>
    <x v="0"/>
    <s v="DISCOUNT NOT ALLOWED"/>
    <s v="discount not allowed"/>
    <s v="DISCOUNT NOT ALLOWED"/>
    <s v="Discount Not Allowed"/>
    <s v="20/03/23"/>
  </r>
  <r>
    <s v="TXN_4567181"/>
    <s v="CUST_08"/>
    <x v="7"/>
    <x v="191"/>
    <x v="23"/>
    <x v="4"/>
    <n v="39"/>
    <x v="2"/>
    <x v="0"/>
    <x v="940"/>
    <x v="0"/>
    <s v="DISCOUNT NOT ALLOWED"/>
    <s v="discount not allowed"/>
    <s v="DISCOUNT NOT ALLOWED"/>
    <s v="Discount Not Allowed"/>
    <s v="21/08/23"/>
  </r>
  <r>
    <s v="TXN_4577781"/>
    <s v="CUST_17"/>
    <x v="5"/>
    <x v="190"/>
    <x v="23"/>
    <x v="4"/>
    <n v="39"/>
    <x v="0"/>
    <x v="1"/>
    <x v="602"/>
    <x v="0"/>
    <s v="DISCOUNT NOT ALLOWED"/>
    <s v="discount not allowed"/>
    <s v="DISCOUNT NOT ALLOWED"/>
    <s v="Discount Not Allowed"/>
    <s v="22/01/24"/>
  </r>
  <r>
    <s v="TXN_4764571"/>
    <s v="CUST_18"/>
    <x v="4"/>
    <x v="185"/>
    <x v="23"/>
    <x v="4"/>
    <n v="39"/>
    <x v="0"/>
    <x v="0"/>
    <x v="828"/>
    <x v="0"/>
    <s v="DISCOUNT NOT ALLOWED"/>
    <s v="discount not allowed"/>
    <s v="DISCOUNT NOT ALLOWED"/>
    <s v="Discount Not Allowed"/>
    <s v="16/01/23"/>
  </r>
  <r>
    <s v="TXN_5136166"/>
    <s v="CUST_18"/>
    <x v="6"/>
    <x v="188"/>
    <x v="23"/>
    <x v="4"/>
    <n v="39"/>
    <x v="2"/>
    <x v="1"/>
    <x v="159"/>
    <x v="0"/>
    <s v="DISCOUNT NOT ALLOWED"/>
    <s v="discount not allowed"/>
    <s v="DISCOUNT NOT ALLOWED"/>
    <s v="Discount Not Allowed"/>
    <s v="07/12/22"/>
  </r>
  <r>
    <s v="TXN_5527798"/>
    <s v="CUST_16"/>
    <x v="5"/>
    <x v="190"/>
    <x v="23"/>
    <x v="4"/>
    <n v="39"/>
    <x v="0"/>
    <x v="1"/>
    <x v="1033"/>
    <x v="0"/>
    <s v="DISCOUNT NOT ALLOWED"/>
    <s v="discount not allowed"/>
    <s v="DISCOUNT NOT ALLOWED"/>
    <s v="Discount Not Allowed"/>
    <s v="16/05/23"/>
  </r>
  <r>
    <s v="TXN_5721686"/>
    <s v="CUST_04"/>
    <x v="2"/>
    <x v="187"/>
    <x v="23"/>
    <x v="4"/>
    <n v="39"/>
    <x v="1"/>
    <x v="1"/>
    <x v="744"/>
    <x v="0"/>
    <s v="DISCOUNT NOT ALLOWED"/>
    <s v="discount not allowed"/>
    <s v="DISCOUNT NOT ALLOWED"/>
    <s v="Discount Not Allowed"/>
    <s v="15/06/24"/>
  </r>
  <r>
    <s v="TXN_5972272"/>
    <s v="CUST_09"/>
    <x v="1"/>
    <x v="184"/>
    <x v="23"/>
    <x v="4"/>
    <n v="39"/>
    <x v="0"/>
    <x v="1"/>
    <x v="593"/>
    <x v="0"/>
    <s v="DISCOUNT NOT ALLOWED"/>
    <s v="discount not allowed"/>
    <s v="DISCOUNT NOT ALLOWED"/>
    <s v="Discount Not Allowed"/>
    <s v="10/07/22"/>
  </r>
  <r>
    <s v="TXN_6030366"/>
    <s v="CUST_17"/>
    <x v="2"/>
    <x v="187"/>
    <x v="23"/>
    <x v="4"/>
    <n v="39"/>
    <x v="0"/>
    <x v="1"/>
    <x v="760"/>
    <x v="1"/>
    <s v="DISCOUNT ALLOWED"/>
    <s v="discount allowed"/>
    <s v="DISCOUNT ALLOWED"/>
    <s v="Discount Allowed"/>
    <s v="30/11/22"/>
  </r>
  <r>
    <s v="TXN_6036689"/>
    <s v="CUST_18"/>
    <x v="1"/>
    <x v="184"/>
    <x v="23"/>
    <x v="4"/>
    <n v="39"/>
    <x v="0"/>
    <x v="1"/>
    <x v="264"/>
    <x v="0"/>
    <s v="DISCOUNT NOT ALLOWED"/>
    <s v="discount not allowed"/>
    <s v="DISCOUNT NOT ALLOWED"/>
    <s v="Discount Not Allowed"/>
    <s v="15/07/24"/>
  </r>
  <r>
    <s v="TXN_6083342"/>
    <s v="CUST_13"/>
    <x v="1"/>
    <x v="184"/>
    <x v="23"/>
    <x v="4"/>
    <n v="39"/>
    <x v="2"/>
    <x v="1"/>
    <x v="890"/>
    <x v="0"/>
    <s v="DISCOUNT NOT ALLOWED"/>
    <s v="discount not allowed"/>
    <s v="DISCOUNT NOT ALLOWED"/>
    <s v="Discount Not Allowed"/>
    <s v="16/09/24"/>
  </r>
  <r>
    <s v="TXN_6451411"/>
    <s v="CUST_22"/>
    <x v="0"/>
    <x v="186"/>
    <x v="23"/>
    <x v="4"/>
    <n v="39"/>
    <x v="2"/>
    <x v="1"/>
    <x v="183"/>
    <x v="0"/>
    <s v="DISCOUNT NOT ALLOWED"/>
    <s v="discount not allowed"/>
    <s v="DISCOUNT NOT ALLOWED"/>
    <s v="Discount Not Allowed"/>
    <s v="31/12/23"/>
  </r>
  <r>
    <s v="TXN_6832172"/>
    <s v="CUST_19"/>
    <x v="6"/>
    <x v="188"/>
    <x v="23"/>
    <x v="4"/>
    <n v="39"/>
    <x v="0"/>
    <x v="1"/>
    <x v="647"/>
    <x v="0"/>
    <s v="DISCOUNT NOT ALLOWED"/>
    <s v="discount not allowed"/>
    <s v="DISCOUNT NOT ALLOWED"/>
    <s v="Discount Not Allowed"/>
    <s v="16/01/24"/>
  </r>
  <r>
    <s v="TXN_6845708"/>
    <s v="CUST_13"/>
    <x v="3"/>
    <x v="189"/>
    <x v="23"/>
    <x v="4"/>
    <n v="39"/>
    <x v="0"/>
    <x v="0"/>
    <x v="456"/>
    <x v="1"/>
    <s v="DISCOUNT ALLOWED"/>
    <s v="discount allowed"/>
    <s v="DISCOUNT ALLOWED"/>
    <s v="Discount Allowed"/>
    <s v="18/07/24"/>
  </r>
  <r>
    <s v="TXN_7023913"/>
    <s v="CUST_02"/>
    <x v="5"/>
    <x v="190"/>
    <x v="23"/>
    <x v="4"/>
    <n v="39"/>
    <x v="0"/>
    <x v="0"/>
    <x v="582"/>
    <x v="1"/>
    <s v="DISCOUNT ALLOWED"/>
    <s v="discount allowed"/>
    <s v="DISCOUNT ALLOWED"/>
    <s v="Discount Allowed"/>
    <s v="15/10/23"/>
  </r>
  <r>
    <s v="TXN_7049257"/>
    <s v="CUST_17"/>
    <x v="6"/>
    <x v="188"/>
    <x v="23"/>
    <x v="4"/>
    <n v="39"/>
    <x v="0"/>
    <x v="0"/>
    <x v="255"/>
    <x v="0"/>
    <s v="DISCOUNT NOT ALLOWED"/>
    <s v="discount not allowed"/>
    <s v="DISCOUNT NOT ALLOWED"/>
    <s v="Discount Not Allowed"/>
    <s v="22/05/23"/>
  </r>
  <r>
    <s v="TXN_7595317"/>
    <s v="CUST_06"/>
    <x v="0"/>
    <x v="186"/>
    <x v="23"/>
    <x v="4"/>
    <n v="39"/>
    <x v="2"/>
    <x v="1"/>
    <x v="471"/>
    <x v="0"/>
    <s v="DISCOUNT NOT ALLOWED"/>
    <s v="discount not allowed"/>
    <s v="DISCOUNT NOT ALLOWED"/>
    <s v="Discount Not Allowed"/>
    <s v="12/05/22"/>
  </r>
  <r>
    <s v="TXN_7804471"/>
    <s v="CUST_22"/>
    <x v="2"/>
    <x v="187"/>
    <x v="23"/>
    <x v="4"/>
    <n v="39"/>
    <x v="2"/>
    <x v="1"/>
    <x v="869"/>
    <x v="0"/>
    <s v="DISCOUNT NOT ALLOWED"/>
    <s v="discount not allowed"/>
    <s v="DISCOUNT NOT ALLOWED"/>
    <s v="Discount Not Allowed"/>
    <s v="16/07/22"/>
  </r>
  <r>
    <s v="TXN_7814128"/>
    <s v="CUST_01"/>
    <x v="1"/>
    <x v="184"/>
    <x v="23"/>
    <x v="4"/>
    <n v="39"/>
    <x v="0"/>
    <x v="0"/>
    <x v="552"/>
    <x v="1"/>
    <s v="DISCOUNT ALLOWED"/>
    <s v="discount allowed"/>
    <s v="DISCOUNT ALLOWED"/>
    <s v="Discount Allowed"/>
    <s v="22/09/24"/>
  </r>
  <r>
    <s v="TXN_8223973"/>
    <s v="CUST_21"/>
    <x v="5"/>
    <x v="190"/>
    <x v="23"/>
    <x v="4"/>
    <n v="39"/>
    <x v="1"/>
    <x v="1"/>
    <x v="347"/>
    <x v="0"/>
    <s v="DISCOUNT NOT ALLOWED"/>
    <s v="discount not allowed"/>
    <s v="DISCOUNT NOT ALLOWED"/>
    <s v="Discount Not Allowed"/>
    <s v="11/12/24"/>
  </r>
  <r>
    <s v="TXN_8648672"/>
    <s v="CUST_04"/>
    <x v="5"/>
    <x v="190"/>
    <x v="23"/>
    <x v="4"/>
    <n v="39"/>
    <x v="0"/>
    <x v="1"/>
    <x v="195"/>
    <x v="0"/>
    <s v="DISCOUNT NOT ALLOWED"/>
    <s v="discount not allowed"/>
    <s v="DISCOUNT NOT ALLOWED"/>
    <s v="Discount Not Allowed"/>
    <s v="01/07/22"/>
  </r>
  <r>
    <s v="TXN_8890901"/>
    <s v="CUST_17"/>
    <x v="2"/>
    <x v="187"/>
    <x v="23"/>
    <x v="4"/>
    <n v="39"/>
    <x v="2"/>
    <x v="0"/>
    <x v="402"/>
    <x v="1"/>
    <s v="DISCOUNT ALLOWED"/>
    <s v="discount allowed"/>
    <s v="DISCOUNT ALLOWED"/>
    <s v="Discount Allowed"/>
    <s v="07/09/23"/>
  </r>
  <r>
    <s v="TXN_9061738"/>
    <s v="CUST_14"/>
    <x v="0"/>
    <x v="186"/>
    <x v="23"/>
    <x v="4"/>
    <n v="39"/>
    <x v="1"/>
    <x v="0"/>
    <x v="208"/>
    <x v="1"/>
    <s v="DISCOUNT ALLOWED"/>
    <s v="discount allowed"/>
    <s v="DISCOUNT ALLOWED"/>
    <s v="Discount Allowed"/>
    <s v="02/06/23"/>
  </r>
  <r>
    <s v="TXN_9329582"/>
    <s v="CUST_11"/>
    <x v="2"/>
    <x v="187"/>
    <x v="23"/>
    <x v="4"/>
    <n v="39"/>
    <x v="2"/>
    <x v="0"/>
    <x v="97"/>
    <x v="0"/>
    <s v="DISCOUNT NOT ALLOWED"/>
    <s v="discount not allowed"/>
    <s v="DISCOUNT NOT ALLOWED"/>
    <s v="Discount Not Allowed"/>
    <s v="20/06/24"/>
  </r>
  <r>
    <s v="TXN_1045345"/>
    <s v="CUST_24"/>
    <x v="5"/>
    <x v="167"/>
    <x v="21"/>
    <x v="6"/>
    <n v="38"/>
    <x v="2"/>
    <x v="0"/>
    <x v="667"/>
    <x v="0"/>
    <s v="DISCOUNT NOT ALLOWED"/>
    <s v="discount not allowed"/>
    <s v="DISCOUNT NOT ALLOWED"/>
    <s v="Discount Not Allowed"/>
    <s v="18/12/23"/>
  </r>
  <r>
    <s v="TXN_1446635"/>
    <s v="CUST_01"/>
    <x v="2"/>
    <x v="20"/>
    <x v="2"/>
    <x v="9"/>
    <n v="38"/>
    <x v="0"/>
    <x v="0"/>
    <x v="935"/>
    <x v="1"/>
    <s v="DISCOUNT ALLOWED"/>
    <s v="discount allowed"/>
    <s v="DISCOUNT ALLOWED"/>
    <s v="Discount Allowed"/>
    <s v="09/02/23"/>
  </r>
  <r>
    <s v="TXN_1543500"/>
    <s v="CUST_20"/>
    <x v="7"/>
    <x v="21"/>
    <x v="2"/>
    <x v="9"/>
    <n v="38"/>
    <x v="2"/>
    <x v="1"/>
    <x v="412"/>
    <x v="1"/>
    <s v="DISCOUNT ALLOWED"/>
    <s v="discount allowed"/>
    <s v="DISCOUNT ALLOWED"/>
    <s v="Discount Allowed"/>
    <s v="17/10/22"/>
  </r>
  <r>
    <s v="TXN_1632041"/>
    <s v="CUST_02"/>
    <x v="2"/>
    <x v="20"/>
    <x v="2"/>
    <x v="9"/>
    <n v="38"/>
    <x v="0"/>
    <x v="1"/>
    <x v="120"/>
    <x v="1"/>
    <s v="DISCOUNT ALLOWED"/>
    <s v="discount allowed"/>
    <s v="DISCOUNT ALLOWED"/>
    <s v="Discount Allowed"/>
    <s v="10/05/22"/>
  </r>
  <r>
    <s v="TXN_1674512"/>
    <s v="CUST_21"/>
    <x v="5"/>
    <x v="15"/>
    <x v="2"/>
    <x v="9"/>
    <n v="38"/>
    <x v="1"/>
    <x v="0"/>
    <x v="962"/>
    <x v="1"/>
    <s v="DISCOUNT ALLOWED"/>
    <s v="discount allowed"/>
    <s v="DISCOUNT ALLOWED"/>
    <s v="Discount Allowed"/>
    <s v="04/01/24"/>
  </r>
  <r>
    <s v="TXN_2192117"/>
    <s v="CUST_03"/>
    <x v="3"/>
    <x v="16"/>
    <x v="2"/>
    <x v="9"/>
    <n v="38"/>
    <x v="0"/>
    <x v="0"/>
    <x v="397"/>
    <x v="1"/>
    <s v="DISCOUNT ALLOWED"/>
    <s v="discount allowed"/>
    <s v="DISCOUNT ALLOWED"/>
    <s v="Discount Allowed"/>
    <s v="01/06/23"/>
  </r>
  <r>
    <s v="TXN_2320393"/>
    <s v="CUST_13"/>
    <x v="7"/>
    <x v="170"/>
    <x v="21"/>
    <x v="6"/>
    <n v="38"/>
    <x v="1"/>
    <x v="1"/>
    <x v="709"/>
    <x v="0"/>
    <s v="DISCOUNT NOT ALLOWED"/>
    <s v="discount not allowed"/>
    <s v="DISCOUNT NOT ALLOWED"/>
    <s v="Discount Not Allowed"/>
    <s v="02/01/24"/>
  </r>
  <r>
    <s v="TXN_2414726"/>
    <s v="CUST_13"/>
    <x v="4"/>
    <x v="166"/>
    <x v="21"/>
    <x v="6"/>
    <n v="38"/>
    <x v="1"/>
    <x v="0"/>
    <x v="977"/>
    <x v="0"/>
    <s v="DISCOUNT NOT ALLOWED"/>
    <s v="discount not allowed"/>
    <s v="DISCOUNT NOT ALLOWED"/>
    <s v="Discount Not Allowed"/>
    <s v="19/11/23"/>
  </r>
  <r>
    <s v="TXN_2439149"/>
    <s v="CUST_03"/>
    <x v="7"/>
    <x v="170"/>
    <x v="21"/>
    <x v="6"/>
    <n v="38"/>
    <x v="2"/>
    <x v="0"/>
    <x v="198"/>
    <x v="1"/>
    <s v="DISCOUNT ALLOWED"/>
    <s v="discount allowed"/>
    <s v="DISCOUNT ALLOWED"/>
    <s v="Discount Allowed"/>
    <s v="04/11/23"/>
  </r>
  <r>
    <s v="TXN_2707271"/>
    <s v="CUST_20"/>
    <x v="6"/>
    <x v="18"/>
    <x v="2"/>
    <x v="9"/>
    <n v="38"/>
    <x v="0"/>
    <x v="1"/>
    <x v="545"/>
    <x v="0"/>
    <s v="DISCOUNT NOT ALLOWED"/>
    <s v="discount not allowed"/>
    <s v="DISCOUNT NOT ALLOWED"/>
    <s v="Discount Not Allowed"/>
    <s v="15/03/22"/>
  </r>
  <r>
    <s v="TXN_2848161"/>
    <s v="CUST_04"/>
    <x v="2"/>
    <x v="20"/>
    <x v="2"/>
    <x v="9"/>
    <n v="38"/>
    <x v="1"/>
    <x v="1"/>
    <x v="989"/>
    <x v="1"/>
    <s v="DISCOUNT ALLOWED"/>
    <s v="discount allowed"/>
    <s v="DISCOUNT ALLOWED"/>
    <s v="Discount Allowed"/>
    <s v="09/10/24"/>
  </r>
  <r>
    <s v="TXN_2904791"/>
    <s v="CUST_13"/>
    <x v="7"/>
    <x v="170"/>
    <x v="21"/>
    <x v="6"/>
    <n v="38"/>
    <x v="1"/>
    <x v="1"/>
    <x v="397"/>
    <x v="1"/>
    <s v="DISCOUNT ALLOWED"/>
    <s v="discount allowed"/>
    <s v="DISCOUNT ALLOWED"/>
    <s v="Discount Allowed"/>
    <s v="01/06/23"/>
  </r>
  <r>
    <s v="TXN_3194608"/>
    <s v="CUST_09"/>
    <x v="0"/>
    <x v="17"/>
    <x v="2"/>
    <x v="9"/>
    <n v="38"/>
    <x v="1"/>
    <x v="1"/>
    <x v="152"/>
    <x v="0"/>
    <s v="DISCOUNT NOT ALLOWED"/>
    <s v="discount not allowed"/>
    <s v="DISCOUNT NOT ALLOWED"/>
    <s v="Discount Not Allowed"/>
    <s v="10/02/22"/>
  </r>
  <r>
    <s v="TXN_3297253"/>
    <s v="CUST_15"/>
    <x v="5"/>
    <x v="15"/>
    <x v="2"/>
    <x v="9"/>
    <n v="38"/>
    <x v="1"/>
    <x v="0"/>
    <x v="1049"/>
    <x v="0"/>
    <s v="DISCOUNT NOT ALLOWED"/>
    <s v="discount not allowed"/>
    <s v="DISCOUNT NOT ALLOWED"/>
    <s v="Discount Not Allowed"/>
    <s v="20/11/23"/>
  </r>
  <r>
    <s v="TXN_3308490"/>
    <s v="CUST_15"/>
    <x v="2"/>
    <x v="20"/>
    <x v="2"/>
    <x v="9"/>
    <n v="38"/>
    <x v="0"/>
    <x v="1"/>
    <x v="347"/>
    <x v="0"/>
    <s v="DISCOUNT NOT ALLOWED"/>
    <s v="discount not allowed"/>
    <s v="DISCOUNT NOT ALLOWED"/>
    <s v="Discount Not Allowed"/>
    <s v="11/12/24"/>
  </r>
  <r>
    <s v="TXN_3409900"/>
    <s v="CUST_23"/>
    <x v="5"/>
    <x v="15"/>
    <x v="2"/>
    <x v="9"/>
    <n v="38"/>
    <x v="0"/>
    <x v="1"/>
    <x v="531"/>
    <x v="1"/>
    <s v="DISCOUNT ALLOWED"/>
    <s v="discount allowed"/>
    <s v="DISCOUNT ALLOWED"/>
    <s v="Discount Allowed"/>
    <s v="08/10/23"/>
  </r>
  <r>
    <s v="TXN_3525189"/>
    <s v="CUST_04"/>
    <x v="2"/>
    <x v="171"/>
    <x v="21"/>
    <x v="6"/>
    <n v="38"/>
    <x v="1"/>
    <x v="0"/>
    <x v="628"/>
    <x v="1"/>
    <s v="DISCOUNT ALLOWED"/>
    <s v="discount allowed"/>
    <s v="DISCOUNT ALLOWED"/>
    <s v="Discount Allowed"/>
    <s v="25/01/24"/>
  </r>
  <r>
    <s v="TXN_3854610"/>
    <s v="CUST_11"/>
    <x v="4"/>
    <x v="166"/>
    <x v="21"/>
    <x v="6"/>
    <n v="38"/>
    <x v="1"/>
    <x v="0"/>
    <x v="418"/>
    <x v="0"/>
    <s v="DISCOUNT NOT ALLOWED"/>
    <s v="discount not allowed"/>
    <s v="DISCOUNT NOT ALLOWED"/>
    <s v="Discount Not Allowed"/>
    <s v="29/09/24"/>
  </r>
  <r>
    <s v="TXN_3961196"/>
    <s v="CUST_16"/>
    <x v="7"/>
    <x v="170"/>
    <x v="21"/>
    <x v="6"/>
    <n v="38"/>
    <x v="1"/>
    <x v="1"/>
    <x v="1096"/>
    <x v="1"/>
    <s v="DISCOUNT ALLOWED"/>
    <s v="discount allowed"/>
    <s v="DISCOUNT ALLOWED"/>
    <s v="Discount Allowed"/>
    <s v="17/05/23"/>
  </r>
  <r>
    <s v="TXN_3964097"/>
    <s v="CUST_18"/>
    <x v="2"/>
    <x v="20"/>
    <x v="2"/>
    <x v="9"/>
    <n v="38"/>
    <x v="1"/>
    <x v="0"/>
    <x v="895"/>
    <x v="0"/>
    <s v="DISCOUNT NOT ALLOWED"/>
    <s v="discount not allowed"/>
    <s v="DISCOUNT NOT ALLOWED"/>
    <s v="Discount Not Allowed"/>
    <s v="17/04/23"/>
  </r>
  <r>
    <s v="TXN_3986908"/>
    <s v="CUST_13"/>
    <x v="4"/>
    <x v="166"/>
    <x v="21"/>
    <x v="6"/>
    <n v="38"/>
    <x v="2"/>
    <x v="0"/>
    <x v="705"/>
    <x v="1"/>
    <s v="DISCOUNT ALLOWED"/>
    <s v="discount allowed"/>
    <s v="DISCOUNT ALLOWED"/>
    <s v="Discount Allowed"/>
    <s v="27/10/24"/>
  </r>
  <r>
    <s v="TXN_4077402"/>
    <s v="CUST_07"/>
    <x v="3"/>
    <x v="16"/>
    <x v="2"/>
    <x v="9"/>
    <n v="38"/>
    <x v="2"/>
    <x v="1"/>
    <x v="738"/>
    <x v="0"/>
    <s v="DISCOUNT NOT ALLOWED"/>
    <s v="discount not allowed"/>
    <s v="DISCOUNT NOT ALLOWED"/>
    <s v="Discount Not Allowed"/>
    <s v="09/02/24"/>
  </r>
  <r>
    <s v="TXN_4193004"/>
    <s v="CUST_15"/>
    <x v="6"/>
    <x v="172"/>
    <x v="21"/>
    <x v="6"/>
    <n v="38"/>
    <x v="0"/>
    <x v="1"/>
    <x v="795"/>
    <x v="0"/>
    <s v="DISCOUNT NOT ALLOWED"/>
    <s v="discount not allowed"/>
    <s v="DISCOUNT NOT ALLOWED"/>
    <s v="Discount Not Allowed"/>
    <s v="23/10/23"/>
  </r>
  <r>
    <s v="TXN_4270988"/>
    <s v="CUST_13"/>
    <x v="0"/>
    <x v="17"/>
    <x v="2"/>
    <x v="9"/>
    <n v="38"/>
    <x v="1"/>
    <x v="0"/>
    <x v="1021"/>
    <x v="1"/>
    <s v="DISCOUNT ALLOWED"/>
    <s v="discount allowed"/>
    <s v="DISCOUNT ALLOWED"/>
    <s v="Discount Allowed"/>
    <s v="27/09/23"/>
  </r>
  <r>
    <s v="TXN_5052568"/>
    <s v="CUST_17"/>
    <x v="7"/>
    <x v="170"/>
    <x v="21"/>
    <x v="6"/>
    <n v="38"/>
    <x v="0"/>
    <x v="0"/>
    <x v="459"/>
    <x v="1"/>
    <s v="DISCOUNT ALLOWED"/>
    <s v="discount allowed"/>
    <s v="DISCOUNT ALLOWED"/>
    <s v="Discount Allowed"/>
    <s v="08/01/23"/>
  </r>
  <r>
    <s v="TXN_5434897"/>
    <s v="CUST_25"/>
    <x v="3"/>
    <x v="16"/>
    <x v="2"/>
    <x v="9"/>
    <n v="38"/>
    <x v="1"/>
    <x v="1"/>
    <x v="450"/>
    <x v="0"/>
    <s v="DISCOUNT NOT ALLOWED"/>
    <s v="discount not allowed"/>
    <s v="DISCOUNT NOT ALLOWED"/>
    <s v="Discount Not Allowed"/>
    <s v="21/03/23"/>
  </r>
  <r>
    <s v="TXN_5529772"/>
    <s v="CUST_12"/>
    <x v="7"/>
    <x v="21"/>
    <x v="2"/>
    <x v="9"/>
    <n v="38"/>
    <x v="2"/>
    <x v="1"/>
    <x v="26"/>
    <x v="0"/>
    <s v="DISCOUNT NOT ALLOWED"/>
    <s v="discount not allowed"/>
    <s v="DISCOUNT NOT ALLOWED"/>
    <s v="Discount Not Allowed"/>
    <s v="31/12/24"/>
  </r>
  <r>
    <s v="TXN_5705131"/>
    <s v="CUST_19"/>
    <x v="0"/>
    <x v="168"/>
    <x v="21"/>
    <x v="6"/>
    <n v="38"/>
    <x v="0"/>
    <x v="0"/>
    <x v="28"/>
    <x v="1"/>
    <s v="DISCOUNT ALLOWED"/>
    <s v="discount allowed"/>
    <s v="DISCOUNT ALLOWED"/>
    <s v="Discount Allowed"/>
    <s v="27/03/24"/>
  </r>
  <r>
    <s v="TXN_5821430"/>
    <s v="CUST_01"/>
    <x v="7"/>
    <x v="21"/>
    <x v="2"/>
    <x v="9"/>
    <n v="38"/>
    <x v="1"/>
    <x v="0"/>
    <x v="806"/>
    <x v="0"/>
    <s v="DISCOUNT NOT ALLOWED"/>
    <s v="discount not allowed"/>
    <s v="DISCOUNT NOT ALLOWED"/>
    <s v="Discount Not Allowed"/>
    <s v="27/06/22"/>
  </r>
  <r>
    <s v="TXN_5822350"/>
    <s v="CUST_16"/>
    <x v="5"/>
    <x v="15"/>
    <x v="2"/>
    <x v="9"/>
    <n v="38"/>
    <x v="1"/>
    <x v="1"/>
    <x v="1040"/>
    <x v="1"/>
    <s v="DISCOUNT ALLOWED"/>
    <s v="discount allowed"/>
    <s v="DISCOUNT ALLOWED"/>
    <s v="Discount Allowed"/>
    <s v="21/03/22"/>
  </r>
  <r>
    <s v="TXN_6062230"/>
    <s v="CUST_18"/>
    <x v="7"/>
    <x v="170"/>
    <x v="21"/>
    <x v="6"/>
    <n v="38"/>
    <x v="2"/>
    <x v="1"/>
    <x v="854"/>
    <x v="1"/>
    <s v="DISCOUNT ALLOWED"/>
    <s v="discount allowed"/>
    <s v="DISCOUNT ALLOWED"/>
    <s v="Discount Allowed"/>
    <s v="19/02/23"/>
  </r>
  <r>
    <s v="TXN_6065064"/>
    <s v="CUST_03"/>
    <x v="7"/>
    <x v="170"/>
    <x v="21"/>
    <x v="6"/>
    <n v="38"/>
    <x v="0"/>
    <x v="1"/>
    <x v="1037"/>
    <x v="0"/>
    <s v="DISCOUNT NOT ALLOWED"/>
    <s v="discount not allowed"/>
    <s v="DISCOUNT NOT ALLOWED"/>
    <s v="Discount Not Allowed"/>
    <s v="24/05/23"/>
  </r>
  <r>
    <s v="TXN_6215665"/>
    <s v="CUST_22"/>
    <x v="1"/>
    <x v="19"/>
    <x v="2"/>
    <x v="9"/>
    <n v="38"/>
    <x v="0"/>
    <x v="0"/>
    <x v="1063"/>
    <x v="0"/>
    <s v="DISCOUNT NOT ALLOWED"/>
    <s v="discount not allowed"/>
    <s v="DISCOUNT NOT ALLOWED"/>
    <s v="Discount Not Allowed"/>
    <s v="13/06/23"/>
  </r>
  <r>
    <s v="TXN_6583535"/>
    <s v="CUST_24"/>
    <x v="6"/>
    <x v="18"/>
    <x v="2"/>
    <x v="9"/>
    <n v="38"/>
    <x v="2"/>
    <x v="1"/>
    <x v="981"/>
    <x v="1"/>
    <s v="DISCOUNT ALLOWED"/>
    <s v="discount allowed"/>
    <s v="DISCOUNT ALLOWED"/>
    <s v="Discount Allowed"/>
    <s v="07/12/23"/>
  </r>
  <r>
    <s v="TXN_6730028"/>
    <s v="CUST_09"/>
    <x v="3"/>
    <x v="16"/>
    <x v="2"/>
    <x v="9"/>
    <n v="38"/>
    <x v="0"/>
    <x v="1"/>
    <x v="458"/>
    <x v="1"/>
    <s v="DISCOUNT ALLOWED"/>
    <s v="discount allowed"/>
    <s v="DISCOUNT ALLOWED"/>
    <s v="Discount Allowed"/>
    <s v="18/05/24"/>
  </r>
  <r>
    <s v="TXN_6806724"/>
    <s v="CUST_14"/>
    <x v="2"/>
    <x v="171"/>
    <x v="21"/>
    <x v="6"/>
    <n v="38"/>
    <x v="0"/>
    <x v="0"/>
    <x v="505"/>
    <x v="0"/>
    <s v="DISCOUNT NOT ALLOWED"/>
    <s v="discount not allowed"/>
    <s v="DISCOUNT NOT ALLOWED"/>
    <s v="Discount Not Allowed"/>
    <s v="13/04/24"/>
  </r>
  <r>
    <s v="TXN_6909418"/>
    <s v="CUST_08"/>
    <x v="5"/>
    <x v="15"/>
    <x v="2"/>
    <x v="9"/>
    <n v="38"/>
    <x v="2"/>
    <x v="1"/>
    <x v="297"/>
    <x v="1"/>
    <s v="DISCOUNT ALLOWED"/>
    <s v="discount allowed"/>
    <s v="DISCOUNT ALLOWED"/>
    <s v="Discount Allowed"/>
    <s v="11/11/24"/>
  </r>
  <r>
    <s v="TXN_7026879"/>
    <s v="CUST_06"/>
    <x v="6"/>
    <x v="18"/>
    <x v="2"/>
    <x v="9"/>
    <n v="38"/>
    <x v="2"/>
    <x v="0"/>
    <x v="244"/>
    <x v="1"/>
    <s v="DISCOUNT ALLOWED"/>
    <s v="discount allowed"/>
    <s v="DISCOUNT ALLOWED"/>
    <s v="Discount Allowed"/>
    <s v="22/02/23"/>
  </r>
  <r>
    <s v="TXN_7162597"/>
    <s v="CUST_08"/>
    <x v="3"/>
    <x v="16"/>
    <x v="2"/>
    <x v="9"/>
    <n v="38"/>
    <x v="0"/>
    <x v="0"/>
    <x v="449"/>
    <x v="0"/>
    <s v="DISCOUNT NOT ALLOWED"/>
    <s v="discount not allowed"/>
    <s v="DISCOUNT NOT ALLOWED"/>
    <s v="Discount Not Allowed"/>
    <s v="27/03/22"/>
  </r>
  <r>
    <s v="TXN_7207545"/>
    <s v="CUST_18"/>
    <x v="3"/>
    <x v="173"/>
    <x v="21"/>
    <x v="6"/>
    <n v="38"/>
    <x v="0"/>
    <x v="0"/>
    <x v="671"/>
    <x v="1"/>
    <s v="DISCOUNT ALLOWED"/>
    <s v="discount allowed"/>
    <s v="DISCOUNT ALLOWED"/>
    <s v="Discount Allowed"/>
    <s v="09/08/24"/>
  </r>
  <r>
    <s v="TXN_7224484"/>
    <s v="CUST_22"/>
    <x v="0"/>
    <x v="17"/>
    <x v="2"/>
    <x v="9"/>
    <n v="38"/>
    <x v="1"/>
    <x v="0"/>
    <x v="1004"/>
    <x v="1"/>
    <s v="DISCOUNT ALLOWED"/>
    <s v="discount allowed"/>
    <s v="DISCOUNT ALLOWED"/>
    <s v="Discount Allowed"/>
    <s v="03/11/22"/>
  </r>
  <r>
    <s v="TXN_7250843"/>
    <s v="CUST_10"/>
    <x v="7"/>
    <x v="21"/>
    <x v="2"/>
    <x v="9"/>
    <n v="38"/>
    <x v="2"/>
    <x v="1"/>
    <x v="806"/>
    <x v="1"/>
    <s v="DISCOUNT ALLOWED"/>
    <s v="discount allowed"/>
    <s v="DISCOUNT ALLOWED"/>
    <s v="Discount Allowed"/>
    <s v="27/06/22"/>
  </r>
  <r>
    <s v="TXN_7819270"/>
    <s v="CUST_13"/>
    <x v="6"/>
    <x v="18"/>
    <x v="2"/>
    <x v="9"/>
    <n v="38"/>
    <x v="2"/>
    <x v="1"/>
    <x v="640"/>
    <x v="0"/>
    <s v="DISCOUNT NOT ALLOWED"/>
    <s v="discount not allowed"/>
    <s v="DISCOUNT NOT ALLOWED"/>
    <s v="Discount Not Allowed"/>
    <s v="26/09/24"/>
  </r>
  <r>
    <s v="TXN_7900727"/>
    <s v="CUST_07"/>
    <x v="1"/>
    <x v="19"/>
    <x v="2"/>
    <x v="9"/>
    <n v="38"/>
    <x v="1"/>
    <x v="0"/>
    <x v="920"/>
    <x v="0"/>
    <s v="DISCOUNT NOT ALLOWED"/>
    <s v="discount not allowed"/>
    <s v="DISCOUNT NOT ALLOWED"/>
    <s v="Discount Not Allowed"/>
    <s v="03/07/23"/>
  </r>
  <r>
    <s v="TXN_8032133"/>
    <s v="CUST_03"/>
    <x v="3"/>
    <x v="16"/>
    <x v="2"/>
    <x v="9"/>
    <n v="38"/>
    <x v="1"/>
    <x v="0"/>
    <x v="723"/>
    <x v="1"/>
    <s v="DISCOUNT ALLOWED"/>
    <s v="discount allowed"/>
    <s v="DISCOUNT ALLOWED"/>
    <s v="Discount Allowed"/>
    <s v="05/05/24"/>
  </r>
  <r>
    <s v="TXN_8352203"/>
    <s v="CUST_24"/>
    <x v="0"/>
    <x v="17"/>
    <x v="2"/>
    <x v="9"/>
    <n v="38"/>
    <x v="2"/>
    <x v="1"/>
    <x v="971"/>
    <x v="0"/>
    <s v="DISCOUNT NOT ALLOWED"/>
    <s v="discount not allowed"/>
    <s v="DISCOUNT NOT ALLOWED"/>
    <s v="Discount Not Allowed"/>
    <s v="04/08/22"/>
  </r>
  <r>
    <s v="TXN_8520280"/>
    <s v="CUST_23"/>
    <x v="7"/>
    <x v="21"/>
    <x v="2"/>
    <x v="9"/>
    <n v="38"/>
    <x v="0"/>
    <x v="1"/>
    <x v="953"/>
    <x v="1"/>
    <s v="DISCOUNT ALLOWED"/>
    <s v="discount allowed"/>
    <s v="DISCOUNT ALLOWED"/>
    <s v="Discount Allowed"/>
    <s v="25/01/23"/>
  </r>
  <r>
    <s v="TXN_8622375"/>
    <s v="CUST_13"/>
    <x v="0"/>
    <x v="168"/>
    <x v="21"/>
    <x v="6"/>
    <n v="38"/>
    <x v="0"/>
    <x v="0"/>
    <x v="479"/>
    <x v="1"/>
    <s v="DISCOUNT ALLOWED"/>
    <s v="discount allowed"/>
    <s v="DISCOUNT ALLOWED"/>
    <s v="Discount Allowed"/>
    <s v="17/03/22"/>
  </r>
  <r>
    <s v="TXN_8855788"/>
    <s v="CUST_11"/>
    <x v="4"/>
    <x v="166"/>
    <x v="21"/>
    <x v="6"/>
    <n v="38"/>
    <x v="0"/>
    <x v="1"/>
    <x v="526"/>
    <x v="1"/>
    <s v="DISCOUNT ALLOWED"/>
    <s v="discount allowed"/>
    <s v="DISCOUNT ALLOWED"/>
    <s v="Discount Allowed"/>
    <s v="28/12/24"/>
  </r>
  <r>
    <s v="TXN_8858265"/>
    <s v="CUST_14"/>
    <x v="5"/>
    <x v="15"/>
    <x v="2"/>
    <x v="9"/>
    <n v="38"/>
    <x v="1"/>
    <x v="0"/>
    <x v="434"/>
    <x v="0"/>
    <s v="DISCOUNT NOT ALLOWED"/>
    <s v="discount not allowed"/>
    <s v="DISCOUNT NOT ALLOWED"/>
    <s v="Discount Not Allowed"/>
    <s v="18/04/24"/>
  </r>
  <r>
    <s v="TXN_8877890"/>
    <s v="CUST_13"/>
    <x v="5"/>
    <x v="15"/>
    <x v="2"/>
    <x v="9"/>
    <n v="38"/>
    <x v="1"/>
    <x v="1"/>
    <x v="13"/>
    <x v="1"/>
    <s v="DISCOUNT ALLOWED"/>
    <s v="discount allowed"/>
    <s v="DISCOUNT ALLOWED"/>
    <s v="Discount Allowed"/>
    <s v="08/09/22"/>
  </r>
  <r>
    <s v="TXN_9173181"/>
    <s v="CUST_05"/>
    <x v="7"/>
    <x v="21"/>
    <x v="2"/>
    <x v="9"/>
    <n v="38"/>
    <x v="1"/>
    <x v="1"/>
    <x v="241"/>
    <x v="0"/>
    <s v="DISCOUNT NOT ALLOWED"/>
    <s v="discount not allowed"/>
    <s v="DISCOUNT NOT ALLOWED"/>
    <s v="Discount Not Allowed"/>
    <s v="07/02/24"/>
  </r>
  <r>
    <s v="TXN_9270142"/>
    <s v="CUST_15"/>
    <x v="0"/>
    <x v="168"/>
    <x v="21"/>
    <x v="6"/>
    <n v="38"/>
    <x v="2"/>
    <x v="1"/>
    <x v="1005"/>
    <x v="0"/>
    <s v="DISCOUNT NOT ALLOWED"/>
    <s v="discount not allowed"/>
    <s v="DISCOUNT NOT ALLOWED"/>
    <s v="Discount Not Allowed"/>
    <s v="26/03/24"/>
  </r>
  <r>
    <s v="TXN_9352732"/>
    <s v="CUST_05"/>
    <x v="3"/>
    <x v="173"/>
    <x v="21"/>
    <x v="6"/>
    <n v="38"/>
    <x v="2"/>
    <x v="1"/>
    <x v="504"/>
    <x v="0"/>
    <s v="DISCOUNT NOT ALLOWED"/>
    <s v="discount not allowed"/>
    <s v="DISCOUNT NOT ALLOWED"/>
    <s v="Discount Not Allowed"/>
    <s v="12/02/22"/>
  </r>
  <r>
    <s v="TXN_9533237"/>
    <s v="CUST_23"/>
    <x v="6"/>
    <x v="18"/>
    <x v="2"/>
    <x v="9"/>
    <n v="38"/>
    <x v="1"/>
    <x v="1"/>
    <x v="429"/>
    <x v="0"/>
    <s v="DISCOUNT NOT ALLOWED"/>
    <s v="discount not allowed"/>
    <s v="DISCOUNT NOT ALLOWED"/>
    <s v="Discount Not Allowed"/>
    <s v="18/03/24"/>
  </r>
  <r>
    <s v="TXN_9723263"/>
    <s v="CUST_03"/>
    <x v="1"/>
    <x v="19"/>
    <x v="2"/>
    <x v="9"/>
    <n v="38"/>
    <x v="0"/>
    <x v="1"/>
    <x v="806"/>
    <x v="1"/>
    <s v="DISCOUNT ALLOWED"/>
    <s v="discount allowed"/>
    <s v="DISCOUNT ALLOWED"/>
    <s v="Discount Allowed"/>
    <s v="27/06/22"/>
  </r>
  <r>
    <s v="TXN_9777000"/>
    <s v="CUST_07"/>
    <x v="1"/>
    <x v="19"/>
    <x v="2"/>
    <x v="9"/>
    <n v="38"/>
    <x v="1"/>
    <x v="0"/>
    <x v="375"/>
    <x v="0"/>
    <s v="DISCOUNT NOT ALLOWED"/>
    <s v="discount not allowed"/>
    <s v="DISCOUNT NOT ALLOWED"/>
    <s v="Discount Not Allowed"/>
    <s v="02/07/22"/>
  </r>
  <r>
    <s v="TXN_9824720"/>
    <s v="CUST_11"/>
    <x v="7"/>
    <x v="21"/>
    <x v="2"/>
    <x v="9"/>
    <n v="38"/>
    <x v="2"/>
    <x v="0"/>
    <x v="317"/>
    <x v="0"/>
    <s v="DISCOUNT NOT ALLOWED"/>
    <s v="discount not allowed"/>
    <s v="DISCOUNT NOT ALLOWED"/>
    <s v="Discount Not Allowed"/>
    <s v="20/05/24"/>
  </r>
  <r>
    <s v="TXN_9861104"/>
    <s v="CUST_02"/>
    <x v="5"/>
    <x v="15"/>
    <x v="2"/>
    <x v="9"/>
    <n v="38"/>
    <x v="2"/>
    <x v="1"/>
    <x v="24"/>
    <x v="0"/>
    <s v="DISCOUNT NOT ALLOWED"/>
    <s v="discount not allowed"/>
    <s v="DISCOUNT NOT ALLOWED"/>
    <s v="Discount Not Allowed"/>
    <s v="01/05/24"/>
  </r>
  <r>
    <s v="TXN_1223573"/>
    <s v="CUST_14"/>
    <x v="6"/>
    <x v="152"/>
    <x v="19"/>
    <x v="7"/>
    <n v="37.5"/>
    <x v="2"/>
    <x v="1"/>
    <x v="455"/>
    <x v="1"/>
    <s v="DISCOUNT ALLOWED"/>
    <s v="discount allowed"/>
    <s v="DISCOUNT ALLOWED"/>
    <s v="Discount Allowed"/>
    <s v="06/04/24"/>
  </r>
  <r>
    <s v="TXN_1358761"/>
    <s v="CUST_10"/>
    <x v="4"/>
    <x v="155"/>
    <x v="19"/>
    <x v="7"/>
    <n v="37.5"/>
    <x v="1"/>
    <x v="1"/>
    <x v="41"/>
    <x v="0"/>
    <s v="DISCOUNT NOT ALLOWED"/>
    <s v="discount not allowed"/>
    <s v="DISCOUNT NOT ALLOWED"/>
    <s v="Discount Not Allowed"/>
    <s v="15/05/24"/>
  </r>
  <r>
    <s v="TXN_1794054"/>
    <s v="CUST_24"/>
    <x v="3"/>
    <x v="157"/>
    <x v="19"/>
    <x v="7"/>
    <n v="37.5"/>
    <x v="0"/>
    <x v="1"/>
    <x v="390"/>
    <x v="1"/>
    <s v="DISCOUNT ALLOWED"/>
    <s v="discount allowed"/>
    <s v="DISCOUNT ALLOWED"/>
    <s v="Discount Allowed"/>
    <s v="22/11/24"/>
  </r>
  <r>
    <s v="TXN_1796174"/>
    <s v="CUST_14"/>
    <x v="6"/>
    <x v="152"/>
    <x v="19"/>
    <x v="7"/>
    <n v="37.5"/>
    <x v="0"/>
    <x v="0"/>
    <x v="390"/>
    <x v="1"/>
    <s v="DISCOUNT ALLOWED"/>
    <s v="discount allowed"/>
    <s v="DISCOUNT ALLOWED"/>
    <s v="Discount Allowed"/>
    <s v="22/11/24"/>
  </r>
  <r>
    <s v="TXN_2039131"/>
    <s v="CUST_15"/>
    <x v="2"/>
    <x v="158"/>
    <x v="19"/>
    <x v="7"/>
    <n v="37.5"/>
    <x v="1"/>
    <x v="1"/>
    <x v="847"/>
    <x v="1"/>
    <s v="DISCOUNT ALLOWED"/>
    <s v="discount allowed"/>
    <s v="DISCOUNT ALLOWED"/>
    <s v="Discount Allowed"/>
    <s v="04/11/24"/>
  </r>
  <r>
    <s v="TXN_3559457"/>
    <s v="CUST_23"/>
    <x v="4"/>
    <x v="155"/>
    <x v="19"/>
    <x v="7"/>
    <n v="37.5"/>
    <x v="0"/>
    <x v="0"/>
    <x v="133"/>
    <x v="1"/>
    <s v="DISCOUNT ALLOWED"/>
    <s v="discount allowed"/>
    <s v="DISCOUNT ALLOWED"/>
    <s v="Discount Allowed"/>
    <s v="17/01/24"/>
  </r>
  <r>
    <s v="TXN_3930213"/>
    <s v="CUST_22"/>
    <x v="0"/>
    <x v="154"/>
    <x v="19"/>
    <x v="7"/>
    <n v="37.5"/>
    <x v="0"/>
    <x v="1"/>
    <x v="347"/>
    <x v="0"/>
    <s v="DISCOUNT NOT ALLOWED"/>
    <s v="discount not allowed"/>
    <s v="DISCOUNT NOT ALLOWED"/>
    <s v="Discount Not Allowed"/>
    <s v="11/12/24"/>
  </r>
  <r>
    <s v="TXN_4180652"/>
    <s v="CUST_11"/>
    <x v="0"/>
    <x v="154"/>
    <x v="19"/>
    <x v="7"/>
    <n v="37.5"/>
    <x v="0"/>
    <x v="1"/>
    <x v="756"/>
    <x v="0"/>
    <s v="DISCOUNT NOT ALLOWED"/>
    <s v="discount not allowed"/>
    <s v="DISCOUNT NOT ALLOWED"/>
    <s v="Discount Not Allowed"/>
    <s v="15/06/23"/>
  </r>
  <r>
    <s v="TXN_4538212"/>
    <s v="CUST_11"/>
    <x v="0"/>
    <x v="154"/>
    <x v="19"/>
    <x v="7"/>
    <n v="37.5"/>
    <x v="2"/>
    <x v="0"/>
    <x v="12"/>
    <x v="1"/>
    <s v="DISCOUNT ALLOWED"/>
    <s v="discount allowed"/>
    <s v="DISCOUNT ALLOWED"/>
    <s v="Discount Allowed"/>
    <s v="23/07/24"/>
  </r>
  <r>
    <s v="TXN_4547031"/>
    <s v="CUST_18"/>
    <x v="7"/>
    <x v="153"/>
    <x v="19"/>
    <x v="7"/>
    <n v="37.5"/>
    <x v="1"/>
    <x v="1"/>
    <x v="28"/>
    <x v="0"/>
    <s v="DISCOUNT NOT ALLOWED"/>
    <s v="discount not allowed"/>
    <s v="DISCOUNT NOT ALLOWED"/>
    <s v="Discount Not Allowed"/>
    <s v="27/03/24"/>
  </r>
  <r>
    <s v="TXN_4731761"/>
    <s v="CUST_17"/>
    <x v="1"/>
    <x v="156"/>
    <x v="19"/>
    <x v="7"/>
    <n v="37.5"/>
    <x v="2"/>
    <x v="1"/>
    <x v="634"/>
    <x v="0"/>
    <s v="DISCOUNT NOT ALLOWED"/>
    <s v="discount not allowed"/>
    <s v="DISCOUNT NOT ALLOWED"/>
    <s v="Discount Not Allowed"/>
    <s v="19/08/24"/>
  </r>
  <r>
    <s v="TXN_5605251"/>
    <s v="CUST_13"/>
    <x v="4"/>
    <x v="155"/>
    <x v="19"/>
    <x v="7"/>
    <n v="37.5"/>
    <x v="1"/>
    <x v="0"/>
    <x v="158"/>
    <x v="0"/>
    <s v="DISCOUNT NOT ALLOWED"/>
    <s v="discount not allowed"/>
    <s v="DISCOUNT NOT ALLOWED"/>
    <s v="Discount Not Allowed"/>
    <s v="30/07/22"/>
  </r>
  <r>
    <s v="TXN_5692250"/>
    <s v="CUST_19"/>
    <x v="5"/>
    <x v="159"/>
    <x v="19"/>
    <x v="7"/>
    <n v="37.5"/>
    <x v="1"/>
    <x v="1"/>
    <x v="16"/>
    <x v="1"/>
    <s v="DISCOUNT ALLOWED"/>
    <s v="discount allowed"/>
    <s v="DISCOUNT ALLOWED"/>
    <s v="Discount Allowed"/>
    <s v="11/09/22"/>
  </r>
  <r>
    <s v="TXN_5701956"/>
    <s v="CUST_07"/>
    <x v="5"/>
    <x v="159"/>
    <x v="19"/>
    <x v="7"/>
    <n v="37.5"/>
    <x v="2"/>
    <x v="0"/>
    <x v="103"/>
    <x v="0"/>
    <s v="DISCOUNT NOT ALLOWED"/>
    <s v="discount not allowed"/>
    <s v="DISCOUNT NOT ALLOWED"/>
    <s v="Discount Not Allowed"/>
    <s v="30/05/22"/>
  </r>
  <r>
    <s v="TXN_5744845"/>
    <s v="CUST_18"/>
    <x v="0"/>
    <x v="154"/>
    <x v="19"/>
    <x v="7"/>
    <n v="37.5"/>
    <x v="2"/>
    <x v="1"/>
    <x v="364"/>
    <x v="0"/>
    <s v="DISCOUNT NOT ALLOWED"/>
    <s v="discount not allowed"/>
    <s v="DISCOUNT NOT ALLOWED"/>
    <s v="Discount Not Allowed"/>
    <s v="14/11/24"/>
  </r>
  <r>
    <s v="TXN_5815128"/>
    <s v="CUST_01"/>
    <x v="4"/>
    <x v="155"/>
    <x v="19"/>
    <x v="7"/>
    <n v="37.5"/>
    <x v="0"/>
    <x v="1"/>
    <x v="310"/>
    <x v="0"/>
    <s v="DISCOUNT NOT ALLOWED"/>
    <s v="discount not allowed"/>
    <s v="DISCOUNT NOT ALLOWED"/>
    <s v="Discount Not Allowed"/>
    <s v="01/11/24"/>
  </r>
  <r>
    <s v="TXN_6018241"/>
    <s v="CUST_20"/>
    <x v="0"/>
    <x v="154"/>
    <x v="19"/>
    <x v="7"/>
    <n v="37.5"/>
    <x v="2"/>
    <x v="0"/>
    <x v="1089"/>
    <x v="0"/>
    <s v="DISCOUNT NOT ALLOWED"/>
    <s v="discount not allowed"/>
    <s v="DISCOUNT NOT ALLOWED"/>
    <s v="Discount Not Allowed"/>
    <s v="16/10/24"/>
  </r>
  <r>
    <s v="TXN_6138247"/>
    <s v="CUST_06"/>
    <x v="0"/>
    <x v="154"/>
    <x v="19"/>
    <x v="7"/>
    <n v="37.5"/>
    <x v="0"/>
    <x v="0"/>
    <x v="729"/>
    <x v="1"/>
    <s v="DISCOUNT ALLOWED"/>
    <s v="discount allowed"/>
    <s v="DISCOUNT ALLOWED"/>
    <s v="Discount Allowed"/>
    <s v="07/12/24"/>
  </r>
  <r>
    <s v="TXN_6187845"/>
    <s v="CUST_21"/>
    <x v="6"/>
    <x v="152"/>
    <x v="19"/>
    <x v="7"/>
    <n v="37.5"/>
    <x v="0"/>
    <x v="1"/>
    <x v="819"/>
    <x v="1"/>
    <s v="DISCOUNT ALLOWED"/>
    <s v="discount allowed"/>
    <s v="DISCOUNT ALLOWED"/>
    <s v="Discount Allowed"/>
    <s v="11/07/23"/>
  </r>
  <r>
    <s v="TXN_6319740"/>
    <s v="CUST_04"/>
    <x v="0"/>
    <x v="154"/>
    <x v="19"/>
    <x v="7"/>
    <n v="37.5"/>
    <x v="2"/>
    <x v="0"/>
    <x v="566"/>
    <x v="0"/>
    <s v="DISCOUNT NOT ALLOWED"/>
    <s v="discount not allowed"/>
    <s v="DISCOUNT NOT ALLOWED"/>
    <s v="Discount Not Allowed"/>
    <s v="16/11/24"/>
  </r>
  <r>
    <s v="TXN_6548842"/>
    <s v="CUST_06"/>
    <x v="5"/>
    <x v="159"/>
    <x v="19"/>
    <x v="7"/>
    <n v="37.5"/>
    <x v="1"/>
    <x v="0"/>
    <x v="508"/>
    <x v="1"/>
    <s v="DISCOUNT ALLOWED"/>
    <s v="discount allowed"/>
    <s v="DISCOUNT ALLOWED"/>
    <s v="Discount Allowed"/>
    <s v="01/06/22"/>
  </r>
  <r>
    <s v="TXN_6618312"/>
    <s v="CUST_13"/>
    <x v="7"/>
    <x v="153"/>
    <x v="19"/>
    <x v="7"/>
    <n v="37.5"/>
    <x v="2"/>
    <x v="0"/>
    <x v="294"/>
    <x v="1"/>
    <s v="DISCOUNT ALLOWED"/>
    <s v="discount allowed"/>
    <s v="DISCOUNT ALLOWED"/>
    <s v="Discount Allowed"/>
    <s v="09/07/22"/>
  </r>
  <r>
    <s v="TXN_6830801"/>
    <s v="CUST_14"/>
    <x v="0"/>
    <x v="154"/>
    <x v="19"/>
    <x v="7"/>
    <n v="37.5"/>
    <x v="2"/>
    <x v="1"/>
    <x v="726"/>
    <x v="0"/>
    <s v="DISCOUNT NOT ALLOWED"/>
    <s v="discount not allowed"/>
    <s v="DISCOUNT NOT ALLOWED"/>
    <s v="Discount Not Allowed"/>
    <s v="20/05/22"/>
  </r>
  <r>
    <s v="TXN_6871367"/>
    <s v="CUST_08"/>
    <x v="5"/>
    <x v="159"/>
    <x v="19"/>
    <x v="7"/>
    <n v="37.5"/>
    <x v="1"/>
    <x v="0"/>
    <x v="76"/>
    <x v="0"/>
    <s v="DISCOUNT NOT ALLOWED"/>
    <s v="discount not allowed"/>
    <s v="DISCOUNT NOT ALLOWED"/>
    <s v="Discount Not Allowed"/>
    <s v="02/09/23"/>
  </r>
  <r>
    <s v="TXN_6943486"/>
    <s v="CUST_09"/>
    <x v="4"/>
    <x v="155"/>
    <x v="19"/>
    <x v="7"/>
    <n v="37.5"/>
    <x v="0"/>
    <x v="1"/>
    <x v="480"/>
    <x v="1"/>
    <s v="DISCOUNT ALLOWED"/>
    <s v="discount allowed"/>
    <s v="DISCOUNT ALLOWED"/>
    <s v="Discount Allowed"/>
    <s v="17/01/25"/>
  </r>
  <r>
    <s v="TXN_7365607"/>
    <s v="CUST_20"/>
    <x v="0"/>
    <x v="154"/>
    <x v="19"/>
    <x v="7"/>
    <n v="37.5"/>
    <x v="1"/>
    <x v="0"/>
    <x v="55"/>
    <x v="0"/>
    <s v="DISCOUNT NOT ALLOWED"/>
    <s v="discount not allowed"/>
    <s v="DISCOUNT NOT ALLOWED"/>
    <s v="Discount Not Allowed"/>
    <s v="26/05/23"/>
  </r>
  <r>
    <s v="TXN_7451771"/>
    <s v="CUST_04"/>
    <x v="5"/>
    <x v="159"/>
    <x v="19"/>
    <x v="7"/>
    <n v="37.5"/>
    <x v="1"/>
    <x v="0"/>
    <x v="111"/>
    <x v="0"/>
    <s v="DISCOUNT NOT ALLOWED"/>
    <s v="discount not allowed"/>
    <s v="DISCOUNT NOT ALLOWED"/>
    <s v="Discount Not Allowed"/>
    <s v="03/11/24"/>
  </r>
  <r>
    <s v="TXN_7501851"/>
    <s v="CUST_18"/>
    <x v="0"/>
    <x v="154"/>
    <x v="19"/>
    <x v="7"/>
    <n v="37.5"/>
    <x v="2"/>
    <x v="0"/>
    <x v="121"/>
    <x v="0"/>
    <s v="DISCOUNT NOT ALLOWED"/>
    <s v="discount not allowed"/>
    <s v="DISCOUNT NOT ALLOWED"/>
    <s v="Discount Not Allowed"/>
    <s v="21/08/24"/>
  </r>
  <r>
    <s v="TXN_8246090"/>
    <s v="CUST_15"/>
    <x v="5"/>
    <x v="159"/>
    <x v="19"/>
    <x v="7"/>
    <n v="37.5"/>
    <x v="0"/>
    <x v="0"/>
    <x v="550"/>
    <x v="1"/>
    <s v="DISCOUNT ALLOWED"/>
    <s v="discount allowed"/>
    <s v="DISCOUNT ALLOWED"/>
    <s v="Discount Allowed"/>
    <s v="15/11/24"/>
  </r>
  <r>
    <s v="TXN_8848656"/>
    <s v="CUST_14"/>
    <x v="3"/>
    <x v="157"/>
    <x v="19"/>
    <x v="7"/>
    <n v="37.5"/>
    <x v="0"/>
    <x v="1"/>
    <x v="397"/>
    <x v="1"/>
    <s v="DISCOUNT ALLOWED"/>
    <s v="discount allowed"/>
    <s v="DISCOUNT ALLOWED"/>
    <s v="Discount Allowed"/>
    <s v="01/06/23"/>
  </r>
  <r>
    <s v="TXN_9096772"/>
    <s v="CUST_21"/>
    <x v="2"/>
    <x v="158"/>
    <x v="19"/>
    <x v="7"/>
    <n v="37.5"/>
    <x v="0"/>
    <x v="1"/>
    <x v="387"/>
    <x v="1"/>
    <s v="DISCOUNT ALLOWED"/>
    <s v="discount allowed"/>
    <s v="DISCOUNT ALLOWED"/>
    <s v="Discount Allowed"/>
    <s v="30/12/22"/>
  </r>
  <r>
    <s v="TXN_9424217"/>
    <s v="CUST_17"/>
    <x v="2"/>
    <x v="158"/>
    <x v="19"/>
    <x v="7"/>
    <n v="37.5"/>
    <x v="1"/>
    <x v="0"/>
    <x v="1056"/>
    <x v="1"/>
    <s v="DISCOUNT ALLOWED"/>
    <s v="discount allowed"/>
    <s v="DISCOUNT ALLOWED"/>
    <s v="Discount Allowed"/>
    <s v="21/12/22"/>
  </r>
  <r>
    <s v="TXN_9446585"/>
    <s v="CUST_25"/>
    <x v="0"/>
    <x v="154"/>
    <x v="19"/>
    <x v="7"/>
    <n v="37.5"/>
    <x v="0"/>
    <x v="1"/>
    <x v="451"/>
    <x v="0"/>
    <s v="DISCOUNT NOT ALLOWED"/>
    <s v="discount not allowed"/>
    <s v="DISCOUNT NOT ALLOWED"/>
    <s v="Discount Not Allowed"/>
    <s v="06/01/24"/>
  </r>
  <r>
    <s v="TXN_1107138"/>
    <s v="CUST_16"/>
    <x v="1"/>
    <x v="121"/>
    <x v="15"/>
    <x v="8"/>
    <n v="37"/>
    <x v="1"/>
    <x v="0"/>
    <x v="761"/>
    <x v="1"/>
    <s v="DISCOUNT ALLOWED"/>
    <s v="discount allowed"/>
    <s v="DISCOUNT ALLOWED"/>
    <s v="Discount Allowed"/>
    <s v="08/07/23"/>
  </r>
  <r>
    <s v="TXN_1135069"/>
    <s v="CUST_01"/>
    <x v="6"/>
    <x v="120"/>
    <x v="15"/>
    <x v="8"/>
    <n v="37"/>
    <x v="0"/>
    <x v="0"/>
    <x v="776"/>
    <x v="1"/>
    <s v="DISCOUNT ALLOWED"/>
    <s v="discount allowed"/>
    <s v="DISCOUNT ALLOWED"/>
    <s v="Discount Allowed"/>
    <s v="15/12/24"/>
  </r>
  <r>
    <s v="TXN_1532181"/>
    <s v="CUST_23"/>
    <x v="7"/>
    <x v="119"/>
    <x v="15"/>
    <x v="8"/>
    <n v="37"/>
    <x v="0"/>
    <x v="1"/>
    <x v="346"/>
    <x v="1"/>
    <s v="DISCOUNT ALLOWED"/>
    <s v="discount allowed"/>
    <s v="DISCOUNT ALLOWED"/>
    <s v="Discount Allowed"/>
    <s v="06/06/22"/>
  </r>
  <r>
    <s v="TXN_2733999"/>
    <s v="CUST_09"/>
    <x v="1"/>
    <x v="121"/>
    <x v="15"/>
    <x v="8"/>
    <n v="37"/>
    <x v="2"/>
    <x v="0"/>
    <x v="622"/>
    <x v="0"/>
    <s v="DISCOUNT NOT ALLOWED"/>
    <s v="discount not allowed"/>
    <s v="DISCOUNT NOT ALLOWED"/>
    <s v="Discount Not Allowed"/>
    <s v="23/10/22"/>
  </r>
  <r>
    <s v="TXN_3389691"/>
    <s v="CUST_03"/>
    <x v="7"/>
    <x v="119"/>
    <x v="15"/>
    <x v="8"/>
    <n v="37"/>
    <x v="2"/>
    <x v="0"/>
    <x v="582"/>
    <x v="0"/>
    <s v="DISCOUNT NOT ALLOWED"/>
    <s v="discount not allowed"/>
    <s v="DISCOUNT NOT ALLOWED"/>
    <s v="Discount Not Allowed"/>
    <s v="15/10/23"/>
  </r>
  <r>
    <s v="TXN_3622317"/>
    <s v="CUST_13"/>
    <x v="5"/>
    <x v="122"/>
    <x v="15"/>
    <x v="8"/>
    <n v="37"/>
    <x v="1"/>
    <x v="0"/>
    <x v="937"/>
    <x v="0"/>
    <s v="DISCOUNT NOT ALLOWED"/>
    <s v="discount not allowed"/>
    <s v="DISCOUNT NOT ALLOWED"/>
    <s v="Discount Not Allowed"/>
    <s v="25/02/23"/>
  </r>
  <r>
    <s v="TXN_3979567"/>
    <s v="CUST_15"/>
    <x v="6"/>
    <x v="120"/>
    <x v="15"/>
    <x v="8"/>
    <n v="37"/>
    <x v="0"/>
    <x v="1"/>
    <x v="737"/>
    <x v="1"/>
    <s v="DISCOUNT ALLOWED"/>
    <s v="discount allowed"/>
    <s v="DISCOUNT ALLOWED"/>
    <s v="Discount Allowed"/>
    <s v="21/11/24"/>
  </r>
  <r>
    <s v="TXN_5826244"/>
    <s v="CUST_17"/>
    <x v="0"/>
    <x v="123"/>
    <x v="15"/>
    <x v="8"/>
    <n v="37"/>
    <x v="0"/>
    <x v="1"/>
    <x v="313"/>
    <x v="1"/>
    <s v="DISCOUNT ALLOWED"/>
    <s v="discount allowed"/>
    <s v="DISCOUNT ALLOWED"/>
    <s v="Discount Allowed"/>
    <s v="07/07/24"/>
  </r>
  <r>
    <s v="TXN_6963310"/>
    <s v="CUST_01"/>
    <x v="6"/>
    <x v="120"/>
    <x v="15"/>
    <x v="8"/>
    <n v="37"/>
    <x v="0"/>
    <x v="0"/>
    <x v="447"/>
    <x v="0"/>
    <s v="DISCOUNT NOT ALLOWED"/>
    <s v="discount not allowed"/>
    <s v="DISCOUNT NOT ALLOWED"/>
    <s v="Discount Not Allowed"/>
    <s v="08/01/24"/>
  </r>
  <r>
    <s v="TXN_7765835"/>
    <s v="CUST_07"/>
    <x v="5"/>
    <x v="122"/>
    <x v="15"/>
    <x v="8"/>
    <n v="37"/>
    <x v="1"/>
    <x v="0"/>
    <x v="307"/>
    <x v="1"/>
    <s v="DISCOUNT ALLOWED"/>
    <s v="discount allowed"/>
    <s v="DISCOUNT ALLOWED"/>
    <s v="Discount Allowed"/>
    <s v="10/12/24"/>
  </r>
  <r>
    <s v="TXN_8760288"/>
    <s v="CUST_17"/>
    <x v="4"/>
    <x v="118"/>
    <x v="15"/>
    <x v="8"/>
    <n v="37"/>
    <x v="2"/>
    <x v="0"/>
    <x v="818"/>
    <x v="0"/>
    <s v="DISCOUNT NOT ALLOWED"/>
    <s v="discount not allowed"/>
    <s v="DISCOUNT NOT ALLOWED"/>
    <s v="Discount Not Allowed"/>
    <s v="30/10/22"/>
  </r>
  <r>
    <s v="TXN_9066835"/>
    <s v="CUST_17"/>
    <x v="4"/>
    <x v="118"/>
    <x v="15"/>
    <x v="8"/>
    <n v="37"/>
    <x v="0"/>
    <x v="1"/>
    <x v="135"/>
    <x v="0"/>
    <s v="DISCOUNT NOT ALLOWED"/>
    <s v="discount not allowed"/>
    <s v="DISCOUNT NOT ALLOWED"/>
    <s v="Discount Not Allowed"/>
    <s v="03/04/24"/>
  </r>
  <r>
    <s v="TXN_9610207"/>
    <s v="CUST_04"/>
    <x v="2"/>
    <x v="117"/>
    <x v="15"/>
    <x v="8"/>
    <n v="37"/>
    <x v="1"/>
    <x v="1"/>
    <x v="663"/>
    <x v="0"/>
    <s v="DISCOUNT NOT ALLOWED"/>
    <s v="discount not allowed"/>
    <s v="DISCOUNT NOT ALLOWED"/>
    <s v="Discount Not Allowed"/>
    <s v="05/04/23"/>
  </r>
  <r>
    <s v="TXN_1310419"/>
    <s v="CUST_23"/>
    <x v="4"/>
    <x v="27"/>
    <x v="3"/>
    <x v="9"/>
    <n v="36.5"/>
    <x v="0"/>
    <x v="0"/>
    <x v="989"/>
    <x v="0"/>
    <s v="DISCOUNT NOT ALLOWED"/>
    <s v="discount not allowed"/>
    <s v="DISCOUNT NOT ALLOWED"/>
    <s v="Discount Not Allowed"/>
    <s v="09/10/24"/>
  </r>
  <r>
    <s v="TXN_3055303"/>
    <s v="CUST_23"/>
    <x v="4"/>
    <x v="27"/>
    <x v="3"/>
    <x v="9"/>
    <n v="36.5"/>
    <x v="1"/>
    <x v="0"/>
    <x v="974"/>
    <x v="1"/>
    <s v="DISCOUNT ALLOWED"/>
    <s v="discount allowed"/>
    <s v="DISCOUNT ALLOWED"/>
    <s v="Discount Allowed"/>
    <s v="30/06/22"/>
  </r>
  <r>
    <s v="TXN_3195860"/>
    <s v="CUST_17"/>
    <x v="0"/>
    <x v="25"/>
    <x v="3"/>
    <x v="9"/>
    <n v="36.5"/>
    <x v="1"/>
    <x v="0"/>
    <x v="1061"/>
    <x v="0"/>
    <s v="DISCOUNT NOT ALLOWED"/>
    <s v="discount not allowed"/>
    <s v="DISCOUNT NOT ALLOWED"/>
    <s v="Discount Not Allowed"/>
    <s v="05/08/22"/>
  </r>
  <r>
    <s v="TXN_3442471"/>
    <s v="CUST_09"/>
    <x v="0"/>
    <x v="25"/>
    <x v="3"/>
    <x v="9"/>
    <n v="36.5"/>
    <x v="1"/>
    <x v="1"/>
    <x v="637"/>
    <x v="1"/>
    <s v="DISCOUNT ALLOWED"/>
    <s v="discount allowed"/>
    <s v="DISCOUNT ALLOWED"/>
    <s v="Discount Allowed"/>
    <s v="29/05/23"/>
  </r>
  <r>
    <s v="TXN_3556254"/>
    <s v="CUST_04"/>
    <x v="7"/>
    <x v="30"/>
    <x v="3"/>
    <x v="9"/>
    <n v="36.5"/>
    <x v="2"/>
    <x v="0"/>
    <x v="203"/>
    <x v="1"/>
    <s v="DISCOUNT ALLOWED"/>
    <s v="discount allowed"/>
    <s v="DISCOUNT ALLOWED"/>
    <s v="Discount Allowed"/>
    <s v="23/09/22"/>
  </r>
  <r>
    <s v="TXN_3577627"/>
    <s v="CUST_25"/>
    <x v="1"/>
    <x v="29"/>
    <x v="3"/>
    <x v="9"/>
    <n v="36.5"/>
    <x v="0"/>
    <x v="1"/>
    <x v="668"/>
    <x v="1"/>
    <s v="DISCOUNT ALLOWED"/>
    <s v="discount allowed"/>
    <s v="DISCOUNT ALLOWED"/>
    <s v="Discount Allowed"/>
    <s v="24/06/24"/>
  </r>
  <r>
    <s v="TXN_3809804"/>
    <s v="CUST_06"/>
    <x v="3"/>
    <x v="24"/>
    <x v="3"/>
    <x v="9"/>
    <n v="36.5"/>
    <x v="1"/>
    <x v="0"/>
    <x v="134"/>
    <x v="1"/>
    <s v="DISCOUNT ALLOWED"/>
    <s v="discount allowed"/>
    <s v="DISCOUNT ALLOWED"/>
    <s v="Discount Allowed"/>
    <s v="11/02/22"/>
  </r>
  <r>
    <s v="TXN_4005697"/>
    <s v="CUST_09"/>
    <x v="5"/>
    <x v="28"/>
    <x v="3"/>
    <x v="9"/>
    <n v="36.5"/>
    <x v="1"/>
    <x v="1"/>
    <x v="1079"/>
    <x v="1"/>
    <s v="DISCOUNT ALLOWED"/>
    <s v="discount allowed"/>
    <s v="DISCOUNT ALLOWED"/>
    <s v="Discount Allowed"/>
    <s v="15/01/25"/>
  </r>
  <r>
    <s v="TXN_4151549"/>
    <s v="CUST_03"/>
    <x v="4"/>
    <x v="27"/>
    <x v="3"/>
    <x v="9"/>
    <n v="36.5"/>
    <x v="1"/>
    <x v="0"/>
    <x v="572"/>
    <x v="0"/>
    <s v="DISCOUNT NOT ALLOWED"/>
    <s v="discount not allowed"/>
    <s v="DISCOUNT NOT ALLOWED"/>
    <s v="Discount Not Allowed"/>
    <s v="17/02/23"/>
  </r>
  <r>
    <s v="TXN_4276451"/>
    <s v="CUST_17"/>
    <x v="1"/>
    <x v="29"/>
    <x v="3"/>
    <x v="9"/>
    <n v="36.5"/>
    <x v="2"/>
    <x v="0"/>
    <x v="934"/>
    <x v="0"/>
    <s v="DISCOUNT NOT ALLOWED"/>
    <s v="discount not allowed"/>
    <s v="DISCOUNT NOT ALLOWED"/>
    <s v="Discount Not Allowed"/>
    <s v="27/05/24"/>
  </r>
  <r>
    <s v="TXN_4641713"/>
    <s v="CUST_22"/>
    <x v="1"/>
    <x v="29"/>
    <x v="3"/>
    <x v="9"/>
    <n v="36.5"/>
    <x v="2"/>
    <x v="1"/>
    <x v="516"/>
    <x v="0"/>
    <s v="DISCOUNT NOT ALLOWED"/>
    <s v="discount not allowed"/>
    <s v="DISCOUNT NOT ALLOWED"/>
    <s v="Discount Not Allowed"/>
    <s v="28/12/23"/>
  </r>
  <r>
    <s v="TXN_5402378"/>
    <s v="CUST_25"/>
    <x v="3"/>
    <x v="24"/>
    <x v="3"/>
    <x v="9"/>
    <n v="36.5"/>
    <x v="0"/>
    <x v="0"/>
    <x v="669"/>
    <x v="0"/>
    <s v="DISCOUNT NOT ALLOWED"/>
    <s v="discount not allowed"/>
    <s v="DISCOUNT NOT ALLOWED"/>
    <s v="Discount Not Allowed"/>
    <s v="23/01/22"/>
  </r>
  <r>
    <s v="TXN_6010260"/>
    <s v="CUST_14"/>
    <x v="1"/>
    <x v="29"/>
    <x v="3"/>
    <x v="9"/>
    <n v="36.5"/>
    <x v="0"/>
    <x v="1"/>
    <x v="686"/>
    <x v="1"/>
    <s v="DISCOUNT ALLOWED"/>
    <s v="discount allowed"/>
    <s v="DISCOUNT ALLOWED"/>
    <s v="Discount Allowed"/>
    <s v="21/07/23"/>
  </r>
  <r>
    <s v="TXN_6149033"/>
    <s v="CUST_08"/>
    <x v="7"/>
    <x v="30"/>
    <x v="3"/>
    <x v="9"/>
    <n v="36.5"/>
    <x v="1"/>
    <x v="1"/>
    <x v="151"/>
    <x v="0"/>
    <s v="DISCOUNT NOT ALLOWED"/>
    <s v="discount not allowed"/>
    <s v="DISCOUNT NOT ALLOWED"/>
    <s v="Discount Not Allowed"/>
    <s v="17/06/24"/>
  </r>
  <r>
    <s v="TXN_6820010"/>
    <s v="CUST_19"/>
    <x v="0"/>
    <x v="25"/>
    <x v="3"/>
    <x v="9"/>
    <n v="36.5"/>
    <x v="0"/>
    <x v="0"/>
    <x v="418"/>
    <x v="0"/>
    <s v="DISCOUNT NOT ALLOWED"/>
    <s v="discount not allowed"/>
    <s v="DISCOUNT NOT ALLOWED"/>
    <s v="Discount Not Allowed"/>
    <s v="29/09/24"/>
  </r>
  <r>
    <s v="TXN_7152319"/>
    <s v="CUST_14"/>
    <x v="1"/>
    <x v="29"/>
    <x v="3"/>
    <x v="9"/>
    <n v="36.5"/>
    <x v="2"/>
    <x v="0"/>
    <x v="811"/>
    <x v="1"/>
    <s v="DISCOUNT ALLOWED"/>
    <s v="discount allowed"/>
    <s v="DISCOUNT ALLOWED"/>
    <s v="Discount Allowed"/>
    <s v="28/07/23"/>
  </r>
  <r>
    <s v="TXN_7404296"/>
    <s v="CUST_16"/>
    <x v="3"/>
    <x v="24"/>
    <x v="3"/>
    <x v="9"/>
    <n v="36.5"/>
    <x v="0"/>
    <x v="1"/>
    <x v="382"/>
    <x v="0"/>
    <s v="DISCOUNT NOT ALLOWED"/>
    <s v="discount not allowed"/>
    <s v="DISCOUNT NOT ALLOWED"/>
    <s v="Discount Not Allowed"/>
    <s v="25/07/22"/>
  </r>
  <r>
    <s v="TXN_7415381"/>
    <s v="CUST_20"/>
    <x v="7"/>
    <x v="30"/>
    <x v="3"/>
    <x v="9"/>
    <n v="36.5"/>
    <x v="1"/>
    <x v="1"/>
    <x v="446"/>
    <x v="0"/>
    <s v="DISCOUNT NOT ALLOWED"/>
    <s v="discount not allowed"/>
    <s v="DISCOUNT NOT ALLOWED"/>
    <s v="Discount Not Allowed"/>
    <s v="12/09/24"/>
  </r>
  <r>
    <s v="TXN_8071580"/>
    <s v="CUST_20"/>
    <x v="0"/>
    <x v="25"/>
    <x v="3"/>
    <x v="9"/>
    <n v="36.5"/>
    <x v="0"/>
    <x v="1"/>
    <x v="339"/>
    <x v="0"/>
    <s v="DISCOUNT NOT ALLOWED"/>
    <s v="discount not allowed"/>
    <s v="DISCOUNT NOT ALLOWED"/>
    <s v="Discount Not Allowed"/>
    <s v="03/09/22"/>
  </r>
  <r>
    <s v="TXN_8608354"/>
    <s v="CUST_08"/>
    <x v="7"/>
    <x v="30"/>
    <x v="3"/>
    <x v="9"/>
    <n v="36.5"/>
    <x v="0"/>
    <x v="1"/>
    <x v="58"/>
    <x v="1"/>
    <s v="DISCOUNT ALLOWED"/>
    <s v="discount allowed"/>
    <s v="DISCOUNT ALLOWED"/>
    <s v="Discount Allowed"/>
    <s v="09/04/24"/>
  </r>
  <r>
    <s v="TXN_9045570"/>
    <s v="CUST_15"/>
    <x v="3"/>
    <x v="24"/>
    <x v="3"/>
    <x v="9"/>
    <n v="36.5"/>
    <x v="0"/>
    <x v="0"/>
    <x v="255"/>
    <x v="0"/>
    <s v="DISCOUNT NOT ALLOWED"/>
    <s v="discount not allowed"/>
    <s v="DISCOUNT NOT ALLOWED"/>
    <s v="Discount Not Allowed"/>
    <s v="22/05/23"/>
  </r>
  <r>
    <s v="TXN_9120797"/>
    <s v="CUST_08"/>
    <x v="4"/>
    <x v="27"/>
    <x v="3"/>
    <x v="9"/>
    <n v="36.5"/>
    <x v="2"/>
    <x v="1"/>
    <x v="1008"/>
    <x v="1"/>
    <s v="DISCOUNT ALLOWED"/>
    <s v="discount allowed"/>
    <s v="DISCOUNT ALLOWED"/>
    <s v="Discount Allowed"/>
    <s v="25/10/24"/>
  </r>
  <r>
    <s v="TXN_9276926"/>
    <s v="CUST_09"/>
    <x v="3"/>
    <x v="24"/>
    <x v="3"/>
    <x v="9"/>
    <n v="36.5"/>
    <x v="2"/>
    <x v="1"/>
    <x v="530"/>
    <x v="1"/>
    <s v="DISCOUNT ALLOWED"/>
    <s v="discount allowed"/>
    <s v="DISCOUNT ALLOWED"/>
    <s v="Discount Allowed"/>
    <s v="25/10/22"/>
  </r>
  <r>
    <s v="TXN_9539536"/>
    <s v="CUST_10"/>
    <x v="1"/>
    <x v="29"/>
    <x v="3"/>
    <x v="9"/>
    <n v="36.5"/>
    <x v="2"/>
    <x v="1"/>
    <x v="996"/>
    <x v="1"/>
    <s v="DISCOUNT ALLOWED"/>
    <s v="discount allowed"/>
    <s v="DISCOUNT ALLOWED"/>
    <s v="Discount Allowed"/>
    <s v="27/04/23"/>
  </r>
  <r>
    <s v="TXN_9748731"/>
    <s v="CUST_08"/>
    <x v="6"/>
    <x v="26"/>
    <x v="3"/>
    <x v="9"/>
    <n v="36.5"/>
    <x v="0"/>
    <x v="0"/>
    <x v="617"/>
    <x v="0"/>
    <s v="DISCOUNT NOT ALLOWED"/>
    <s v="discount not allowed"/>
    <s v="DISCOUNT NOT ALLOWED"/>
    <s v="Discount Not Allowed"/>
    <s v="28/11/24"/>
  </r>
  <r>
    <s v="TXN_9952907"/>
    <s v="CUST_09"/>
    <x v="4"/>
    <x v="27"/>
    <x v="3"/>
    <x v="9"/>
    <n v="36.5"/>
    <x v="2"/>
    <x v="0"/>
    <x v="85"/>
    <x v="0"/>
    <s v="DISCOUNT NOT ALLOWED"/>
    <s v="discount not allowed"/>
    <s v="DISCOUNT NOT ALLOWED"/>
    <s v="Discount Not Allowed"/>
    <s v="18/10/24"/>
  </r>
  <r>
    <s v="TXN_1611841"/>
    <s v="CUST_04"/>
    <x v="4"/>
    <x v="198"/>
    <x v="24"/>
    <x v="3"/>
    <n v="35"/>
    <x v="1"/>
    <x v="1"/>
    <x v="15"/>
    <x v="1"/>
    <s v="DISCOUNT ALLOWED"/>
    <s v="discount allowed"/>
    <s v="DISCOUNT ALLOWED"/>
    <s v="Discount Allowed"/>
    <s v="28/07/22"/>
  </r>
  <r>
    <s v="TXN_1699208"/>
    <s v="CUST_09"/>
    <x v="2"/>
    <x v="199"/>
    <x v="24"/>
    <x v="3"/>
    <n v="35"/>
    <x v="1"/>
    <x v="1"/>
    <x v="988"/>
    <x v="0"/>
    <s v="DISCOUNT NOT ALLOWED"/>
    <s v="discount not allowed"/>
    <s v="DISCOUNT NOT ALLOWED"/>
    <s v="Discount Not Allowed"/>
    <s v="06/04/22"/>
  </r>
  <r>
    <s v="TXN_1909410"/>
    <s v="CUST_14"/>
    <x v="7"/>
    <x v="127"/>
    <x v="4"/>
    <x v="9"/>
    <n v="35"/>
    <x v="1"/>
    <x v="1"/>
    <x v="632"/>
    <x v="0"/>
    <s v="DISCOUNT NOT ALLOWED"/>
    <s v="discount not allowed"/>
    <s v="DISCOUNT NOT ALLOWED"/>
    <s v="Discount Not Allowed"/>
    <s v="06/09/23"/>
  </r>
  <r>
    <s v="TXN_2079721"/>
    <s v="CUST_12"/>
    <x v="3"/>
    <x v="52"/>
    <x v="4"/>
    <x v="9"/>
    <n v="35"/>
    <x v="0"/>
    <x v="1"/>
    <x v="188"/>
    <x v="1"/>
    <s v="DISCOUNT ALLOWED"/>
    <s v="discount allowed"/>
    <s v="DISCOUNT ALLOWED"/>
    <s v="Discount Allowed"/>
    <s v="14/12/23"/>
  </r>
  <r>
    <s v="TXN_2135357"/>
    <s v="CUST_05"/>
    <x v="3"/>
    <x v="52"/>
    <x v="4"/>
    <x v="9"/>
    <n v="35"/>
    <x v="1"/>
    <x v="0"/>
    <x v="686"/>
    <x v="1"/>
    <s v="DISCOUNT ALLOWED"/>
    <s v="discount allowed"/>
    <s v="DISCOUNT ALLOWED"/>
    <s v="Discount Allowed"/>
    <s v="21/07/23"/>
  </r>
  <r>
    <s v="TXN_2245991"/>
    <s v="CUST_16"/>
    <x v="5"/>
    <x v="194"/>
    <x v="24"/>
    <x v="3"/>
    <n v="35"/>
    <x v="1"/>
    <x v="1"/>
    <x v="496"/>
    <x v="1"/>
    <s v="DISCOUNT ALLOWED"/>
    <s v="discount allowed"/>
    <s v="DISCOUNT ALLOWED"/>
    <s v="Discount Allowed"/>
    <s v="23/03/22"/>
  </r>
  <r>
    <s v="TXN_2266891"/>
    <s v="CUST_09"/>
    <x v="5"/>
    <x v="35"/>
    <x v="4"/>
    <x v="9"/>
    <n v="35"/>
    <x v="2"/>
    <x v="1"/>
    <x v="183"/>
    <x v="1"/>
    <s v="DISCOUNT ALLOWED"/>
    <s v="discount allowed"/>
    <s v="DISCOUNT ALLOWED"/>
    <s v="Discount Allowed"/>
    <s v="31/12/23"/>
  </r>
  <r>
    <s v="TXN_2632666"/>
    <s v="CUST_01"/>
    <x v="3"/>
    <x v="197"/>
    <x v="24"/>
    <x v="3"/>
    <n v="35"/>
    <x v="0"/>
    <x v="0"/>
    <x v="756"/>
    <x v="0"/>
    <s v="DISCOUNT NOT ALLOWED"/>
    <s v="discount not allowed"/>
    <s v="DISCOUNT NOT ALLOWED"/>
    <s v="Discount Not Allowed"/>
    <s v="15/06/23"/>
  </r>
  <r>
    <s v="TXN_2692916"/>
    <s v="CUST_05"/>
    <x v="3"/>
    <x v="197"/>
    <x v="24"/>
    <x v="3"/>
    <n v="35"/>
    <x v="0"/>
    <x v="1"/>
    <x v="348"/>
    <x v="1"/>
    <s v="DISCOUNT ALLOWED"/>
    <s v="discount allowed"/>
    <s v="DISCOUNT ALLOWED"/>
    <s v="Discount Allowed"/>
    <s v="30/09/24"/>
  </r>
  <r>
    <s v="TXN_2919179"/>
    <s v="CUST_23"/>
    <x v="7"/>
    <x v="192"/>
    <x v="24"/>
    <x v="3"/>
    <n v="35"/>
    <x v="0"/>
    <x v="0"/>
    <x v="741"/>
    <x v="1"/>
    <s v="DISCOUNT ALLOWED"/>
    <s v="discount allowed"/>
    <s v="DISCOUNT ALLOWED"/>
    <s v="Discount Allowed"/>
    <s v="22/11/22"/>
  </r>
  <r>
    <s v="TXN_3036246"/>
    <s v="CUST_24"/>
    <x v="4"/>
    <x v="36"/>
    <x v="4"/>
    <x v="9"/>
    <n v="35"/>
    <x v="1"/>
    <x v="0"/>
    <x v="86"/>
    <x v="1"/>
    <s v="DISCOUNT ALLOWED"/>
    <s v="discount allowed"/>
    <s v="DISCOUNT ALLOWED"/>
    <s v="Discount Allowed"/>
    <s v="30/04/23"/>
  </r>
  <r>
    <s v="TXN_3356979"/>
    <s v="CUST_01"/>
    <x v="3"/>
    <x v="197"/>
    <x v="24"/>
    <x v="3"/>
    <n v="35"/>
    <x v="1"/>
    <x v="0"/>
    <x v="507"/>
    <x v="1"/>
    <s v="DISCOUNT ALLOWED"/>
    <s v="discount allowed"/>
    <s v="DISCOUNT ALLOWED"/>
    <s v="Discount Allowed"/>
    <s v="30/12/24"/>
  </r>
  <r>
    <s v="TXN_3357305"/>
    <s v="CUST_01"/>
    <x v="4"/>
    <x v="198"/>
    <x v="24"/>
    <x v="3"/>
    <n v="35"/>
    <x v="2"/>
    <x v="1"/>
    <x v="384"/>
    <x v="0"/>
    <s v="DISCOUNT NOT ALLOWED"/>
    <s v="discount not allowed"/>
    <s v="DISCOUNT NOT ALLOWED"/>
    <s v="Discount Not Allowed"/>
    <s v="12/11/24"/>
  </r>
  <r>
    <s v="TXN_3367358"/>
    <s v="CUST_25"/>
    <x v="3"/>
    <x v="52"/>
    <x v="4"/>
    <x v="9"/>
    <n v="35"/>
    <x v="2"/>
    <x v="0"/>
    <x v="424"/>
    <x v="1"/>
    <s v="DISCOUNT ALLOWED"/>
    <s v="discount allowed"/>
    <s v="DISCOUNT ALLOWED"/>
    <s v="Discount Allowed"/>
    <s v="25/08/24"/>
  </r>
  <r>
    <s v="TXN_3599152"/>
    <s v="CUST_03"/>
    <x v="2"/>
    <x v="199"/>
    <x v="24"/>
    <x v="3"/>
    <n v="35"/>
    <x v="0"/>
    <x v="1"/>
    <x v="334"/>
    <x v="0"/>
    <s v="DISCOUNT NOT ALLOWED"/>
    <s v="discount not allowed"/>
    <s v="DISCOUNT NOT ALLOWED"/>
    <s v="Discount Not Allowed"/>
    <s v="29/03/22"/>
  </r>
  <r>
    <s v="TXN_3674047"/>
    <s v="CUST_23"/>
    <x v="2"/>
    <x v="199"/>
    <x v="24"/>
    <x v="3"/>
    <n v="35"/>
    <x v="1"/>
    <x v="0"/>
    <x v="630"/>
    <x v="0"/>
    <s v="DISCOUNT NOT ALLOWED"/>
    <s v="discount not allowed"/>
    <s v="DISCOUNT NOT ALLOWED"/>
    <s v="Discount Not Allowed"/>
    <s v="10/07/24"/>
  </r>
  <r>
    <s v="TXN_3831672"/>
    <s v="CUST_04"/>
    <x v="4"/>
    <x v="198"/>
    <x v="24"/>
    <x v="3"/>
    <n v="35"/>
    <x v="0"/>
    <x v="1"/>
    <x v="1033"/>
    <x v="1"/>
    <s v="DISCOUNT ALLOWED"/>
    <s v="discount allowed"/>
    <s v="DISCOUNT ALLOWED"/>
    <s v="Discount Allowed"/>
    <s v="16/05/23"/>
  </r>
  <r>
    <s v="TXN_3978068"/>
    <s v="CUST_10"/>
    <x v="4"/>
    <x v="36"/>
    <x v="4"/>
    <x v="9"/>
    <n v="35"/>
    <x v="1"/>
    <x v="1"/>
    <x v="811"/>
    <x v="1"/>
    <s v="DISCOUNT ALLOWED"/>
    <s v="discount allowed"/>
    <s v="DISCOUNT ALLOWED"/>
    <s v="Discount Allowed"/>
    <s v="28/07/23"/>
  </r>
  <r>
    <s v="TXN_4477071"/>
    <s v="CUST_20"/>
    <x v="2"/>
    <x v="32"/>
    <x v="4"/>
    <x v="9"/>
    <n v="35"/>
    <x v="1"/>
    <x v="0"/>
    <x v="542"/>
    <x v="0"/>
    <s v="DISCOUNT NOT ALLOWED"/>
    <s v="discount not allowed"/>
    <s v="DISCOUNT NOT ALLOWED"/>
    <s v="Discount Not Allowed"/>
    <s v="28/08/23"/>
  </r>
  <r>
    <s v="TXN_4527650"/>
    <s v="CUST_23"/>
    <x v="6"/>
    <x v="33"/>
    <x v="4"/>
    <x v="9"/>
    <n v="35"/>
    <x v="2"/>
    <x v="1"/>
    <x v="300"/>
    <x v="0"/>
    <s v="DISCOUNT NOT ALLOWED"/>
    <s v="discount not allowed"/>
    <s v="DISCOUNT NOT ALLOWED"/>
    <s v="Discount Not Allowed"/>
    <s v="14/04/22"/>
  </r>
  <r>
    <s v="TXN_5034413"/>
    <s v="CUST_06"/>
    <x v="2"/>
    <x v="199"/>
    <x v="24"/>
    <x v="3"/>
    <n v="35"/>
    <x v="0"/>
    <x v="0"/>
    <x v="1102"/>
    <x v="0"/>
    <s v="DISCOUNT NOT ALLOWED"/>
    <s v="discount not allowed"/>
    <s v="DISCOUNT NOT ALLOWED"/>
    <s v="Discount Not Allowed"/>
    <s v="14/03/22"/>
  </r>
  <r>
    <s v="TXN_5281103"/>
    <s v="CUST_12"/>
    <x v="0"/>
    <x v="195"/>
    <x v="24"/>
    <x v="3"/>
    <n v="35"/>
    <x v="0"/>
    <x v="0"/>
    <x v="602"/>
    <x v="0"/>
    <s v="DISCOUNT NOT ALLOWED"/>
    <s v="discount not allowed"/>
    <s v="DISCOUNT NOT ALLOWED"/>
    <s v="Discount Not Allowed"/>
    <s v="22/01/24"/>
  </r>
  <r>
    <s v="TXN_5314835"/>
    <s v="CUST_22"/>
    <x v="7"/>
    <x v="192"/>
    <x v="24"/>
    <x v="3"/>
    <n v="35"/>
    <x v="0"/>
    <x v="0"/>
    <x v="1051"/>
    <x v="1"/>
    <s v="DISCOUNT ALLOWED"/>
    <s v="discount allowed"/>
    <s v="DISCOUNT ALLOWED"/>
    <s v="Discount Allowed"/>
    <s v="05/07/24"/>
  </r>
  <r>
    <s v="TXN_5433450"/>
    <s v="CUST_06"/>
    <x v="2"/>
    <x v="199"/>
    <x v="24"/>
    <x v="3"/>
    <n v="35"/>
    <x v="2"/>
    <x v="0"/>
    <x v="38"/>
    <x v="0"/>
    <s v="DISCOUNT NOT ALLOWED"/>
    <s v="discount not allowed"/>
    <s v="DISCOUNT NOT ALLOWED"/>
    <s v="Discount Not Allowed"/>
    <s v="18/02/22"/>
  </r>
  <r>
    <s v="TXN_5502375"/>
    <s v="CUST_03"/>
    <x v="3"/>
    <x v="197"/>
    <x v="24"/>
    <x v="3"/>
    <n v="35"/>
    <x v="1"/>
    <x v="0"/>
    <x v="97"/>
    <x v="1"/>
    <s v="DISCOUNT ALLOWED"/>
    <s v="discount allowed"/>
    <s v="DISCOUNT ALLOWED"/>
    <s v="Discount Allowed"/>
    <s v="20/06/24"/>
  </r>
  <r>
    <s v="TXN_5535762"/>
    <s v="CUST_18"/>
    <x v="3"/>
    <x v="197"/>
    <x v="24"/>
    <x v="3"/>
    <n v="35"/>
    <x v="1"/>
    <x v="1"/>
    <x v="88"/>
    <x v="0"/>
    <s v="DISCOUNT NOT ALLOWED"/>
    <s v="discount not allowed"/>
    <s v="DISCOUNT NOT ALLOWED"/>
    <s v="Discount Not Allowed"/>
    <s v="31/12/22"/>
  </r>
  <r>
    <s v="TXN_5563568"/>
    <s v="CUST_21"/>
    <x v="7"/>
    <x v="192"/>
    <x v="24"/>
    <x v="3"/>
    <n v="35"/>
    <x v="1"/>
    <x v="0"/>
    <x v="698"/>
    <x v="0"/>
    <s v="DISCOUNT NOT ALLOWED"/>
    <s v="discount not allowed"/>
    <s v="DISCOUNT NOT ALLOWED"/>
    <s v="Discount Not Allowed"/>
    <s v="30/01/23"/>
  </r>
  <r>
    <s v="TXN_5566685"/>
    <s v="CUST_06"/>
    <x v="0"/>
    <x v="31"/>
    <x v="4"/>
    <x v="9"/>
    <n v="35"/>
    <x v="1"/>
    <x v="1"/>
    <x v="981"/>
    <x v="0"/>
    <s v="DISCOUNT NOT ALLOWED"/>
    <s v="discount not allowed"/>
    <s v="DISCOUNT NOT ALLOWED"/>
    <s v="Discount Not Allowed"/>
    <s v="07/12/23"/>
  </r>
  <r>
    <s v="TXN_6038887"/>
    <s v="CUST_10"/>
    <x v="5"/>
    <x v="194"/>
    <x v="24"/>
    <x v="3"/>
    <n v="35"/>
    <x v="2"/>
    <x v="0"/>
    <x v="259"/>
    <x v="0"/>
    <s v="DISCOUNT NOT ALLOWED"/>
    <s v="discount not allowed"/>
    <s v="DISCOUNT NOT ALLOWED"/>
    <s v="Discount Not Allowed"/>
    <s v="11/07/24"/>
  </r>
  <r>
    <s v="TXN_6563779"/>
    <s v="CUST_22"/>
    <x v="4"/>
    <x v="36"/>
    <x v="4"/>
    <x v="9"/>
    <n v="35"/>
    <x v="2"/>
    <x v="1"/>
    <x v="882"/>
    <x v="1"/>
    <s v="DISCOUNT ALLOWED"/>
    <s v="discount allowed"/>
    <s v="DISCOUNT ALLOWED"/>
    <s v="Discount Allowed"/>
    <s v="27/07/23"/>
  </r>
  <r>
    <s v="TXN_6590263"/>
    <s v="CUST_14"/>
    <x v="7"/>
    <x v="192"/>
    <x v="24"/>
    <x v="3"/>
    <n v="35"/>
    <x v="0"/>
    <x v="0"/>
    <x v="347"/>
    <x v="0"/>
    <s v="DISCOUNT NOT ALLOWED"/>
    <s v="discount not allowed"/>
    <s v="DISCOUNT NOT ALLOWED"/>
    <s v="Discount Not Allowed"/>
    <s v="11/12/24"/>
  </r>
  <r>
    <s v="TXN_6759122"/>
    <s v="CUST_17"/>
    <x v="0"/>
    <x v="195"/>
    <x v="24"/>
    <x v="3"/>
    <n v="35"/>
    <x v="1"/>
    <x v="1"/>
    <x v="640"/>
    <x v="1"/>
    <s v="DISCOUNT ALLOWED"/>
    <s v="discount allowed"/>
    <s v="DISCOUNT ALLOWED"/>
    <s v="Discount Allowed"/>
    <s v="26/09/24"/>
  </r>
  <r>
    <s v="TXN_7160998"/>
    <s v="CUST_13"/>
    <x v="6"/>
    <x v="196"/>
    <x v="24"/>
    <x v="3"/>
    <n v="35"/>
    <x v="2"/>
    <x v="0"/>
    <x v="206"/>
    <x v="1"/>
    <s v="DISCOUNT ALLOWED"/>
    <s v="discount allowed"/>
    <s v="DISCOUNT ALLOWED"/>
    <s v="Discount Allowed"/>
    <s v="08/02/22"/>
  </r>
  <r>
    <s v="TXN_7194488"/>
    <s v="CUST_13"/>
    <x v="3"/>
    <x v="52"/>
    <x v="4"/>
    <x v="9"/>
    <n v="35"/>
    <x v="2"/>
    <x v="1"/>
    <x v="742"/>
    <x v="1"/>
    <s v="DISCOUNT ALLOWED"/>
    <s v="discount allowed"/>
    <s v="DISCOUNT ALLOWED"/>
    <s v="Discount Allowed"/>
    <s v="13/05/23"/>
  </r>
  <r>
    <s v="TXN_7515623"/>
    <s v="CUST_22"/>
    <x v="4"/>
    <x v="198"/>
    <x v="24"/>
    <x v="3"/>
    <n v="35"/>
    <x v="1"/>
    <x v="1"/>
    <x v="423"/>
    <x v="0"/>
    <s v="DISCOUNT NOT ALLOWED"/>
    <s v="discount not allowed"/>
    <s v="DISCOUNT NOT ALLOWED"/>
    <s v="Discount Not Allowed"/>
    <s v="13/07/24"/>
  </r>
  <r>
    <s v="TXN_7531099"/>
    <s v="CUST_14"/>
    <x v="1"/>
    <x v="193"/>
    <x v="24"/>
    <x v="3"/>
    <n v="35"/>
    <x v="2"/>
    <x v="0"/>
    <x v="197"/>
    <x v="0"/>
    <s v="DISCOUNT NOT ALLOWED"/>
    <s v="discount not allowed"/>
    <s v="DISCOUNT NOT ALLOWED"/>
    <s v="Discount Not Allowed"/>
    <s v="01/09/22"/>
  </r>
  <r>
    <s v="TXN_7640925"/>
    <s v="CUST_09"/>
    <x v="2"/>
    <x v="32"/>
    <x v="4"/>
    <x v="9"/>
    <n v="35"/>
    <x v="1"/>
    <x v="0"/>
    <x v="877"/>
    <x v="0"/>
    <s v="DISCOUNT NOT ALLOWED"/>
    <s v="discount not allowed"/>
    <s v="DISCOUNT NOT ALLOWED"/>
    <s v="Discount Not Allowed"/>
    <s v="15/02/22"/>
  </r>
  <r>
    <s v="TXN_7647224"/>
    <s v="CUST_13"/>
    <x v="0"/>
    <x v="195"/>
    <x v="24"/>
    <x v="3"/>
    <n v="35"/>
    <x v="2"/>
    <x v="1"/>
    <x v="365"/>
    <x v="1"/>
    <s v="DISCOUNT ALLOWED"/>
    <s v="discount allowed"/>
    <s v="DISCOUNT ALLOWED"/>
    <s v="Discount Allowed"/>
    <s v="19/03/22"/>
  </r>
  <r>
    <s v="TXN_7755695"/>
    <s v="CUST_22"/>
    <x v="2"/>
    <x v="199"/>
    <x v="24"/>
    <x v="3"/>
    <n v="35"/>
    <x v="0"/>
    <x v="1"/>
    <x v="840"/>
    <x v="1"/>
    <s v="DISCOUNT ALLOWED"/>
    <s v="discount allowed"/>
    <s v="DISCOUNT ALLOWED"/>
    <s v="Discount Allowed"/>
    <s v="07/03/22"/>
  </r>
  <r>
    <s v="TXN_7997772"/>
    <s v="CUST_16"/>
    <x v="5"/>
    <x v="194"/>
    <x v="24"/>
    <x v="3"/>
    <n v="35"/>
    <x v="0"/>
    <x v="1"/>
    <x v="678"/>
    <x v="0"/>
    <s v="DISCOUNT NOT ALLOWED"/>
    <s v="discount not allowed"/>
    <s v="DISCOUNT NOT ALLOWED"/>
    <s v="Discount Not Allowed"/>
    <s v="09/03/23"/>
  </r>
  <r>
    <s v="TXN_8018205"/>
    <s v="CUST_20"/>
    <x v="6"/>
    <x v="196"/>
    <x v="24"/>
    <x v="3"/>
    <n v="35"/>
    <x v="1"/>
    <x v="0"/>
    <x v="836"/>
    <x v="1"/>
    <s v="DISCOUNT ALLOWED"/>
    <s v="discount allowed"/>
    <s v="DISCOUNT ALLOWED"/>
    <s v="Discount Allowed"/>
    <s v="22/05/22"/>
  </r>
  <r>
    <s v="TXN_8216096"/>
    <s v="CUST_25"/>
    <x v="5"/>
    <x v="35"/>
    <x v="4"/>
    <x v="9"/>
    <n v="35"/>
    <x v="1"/>
    <x v="1"/>
    <x v="656"/>
    <x v="0"/>
    <s v="DISCOUNT NOT ALLOWED"/>
    <s v="discount not allowed"/>
    <s v="DISCOUNT NOT ALLOWED"/>
    <s v="Discount Not Allowed"/>
    <s v="06/01/25"/>
  </r>
  <r>
    <s v="TXN_8622563"/>
    <s v="CUST_18"/>
    <x v="2"/>
    <x v="199"/>
    <x v="24"/>
    <x v="3"/>
    <n v="35"/>
    <x v="0"/>
    <x v="0"/>
    <x v="146"/>
    <x v="1"/>
    <s v="DISCOUNT ALLOWED"/>
    <s v="discount allowed"/>
    <s v="DISCOUNT ALLOWED"/>
    <s v="Discount Allowed"/>
    <s v="06/12/24"/>
  </r>
  <r>
    <s v="TXN_8805576"/>
    <s v="CUST_11"/>
    <x v="0"/>
    <x v="195"/>
    <x v="24"/>
    <x v="3"/>
    <n v="35"/>
    <x v="1"/>
    <x v="0"/>
    <x v="415"/>
    <x v="1"/>
    <s v="DISCOUNT ALLOWED"/>
    <s v="discount allowed"/>
    <s v="DISCOUNT ALLOWED"/>
    <s v="Discount Allowed"/>
    <s v="09/12/24"/>
  </r>
  <r>
    <s v="TXN_8826475"/>
    <s v="CUST_07"/>
    <x v="1"/>
    <x v="34"/>
    <x v="4"/>
    <x v="9"/>
    <n v="35"/>
    <x v="0"/>
    <x v="1"/>
    <x v="1031"/>
    <x v="1"/>
    <s v="DISCOUNT ALLOWED"/>
    <s v="discount allowed"/>
    <s v="DISCOUNT ALLOWED"/>
    <s v="Discount Allowed"/>
    <s v="02/07/23"/>
  </r>
  <r>
    <s v="TXN_8846811"/>
    <s v="CUST_21"/>
    <x v="3"/>
    <x v="52"/>
    <x v="4"/>
    <x v="9"/>
    <n v="35"/>
    <x v="0"/>
    <x v="0"/>
    <x v="90"/>
    <x v="0"/>
    <s v="DISCOUNT NOT ALLOWED"/>
    <s v="discount not allowed"/>
    <s v="DISCOUNT NOT ALLOWED"/>
    <s v="Discount Not Allowed"/>
    <s v="06/09/22"/>
  </r>
  <r>
    <s v="TXN_8866685"/>
    <s v="CUST_13"/>
    <x v="5"/>
    <x v="35"/>
    <x v="4"/>
    <x v="9"/>
    <n v="35"/>
    <x v="0"/>
    <x v="0"/>
    <x v="971"/>
    <x v="0"/>
    <s v="DISCOUNT NOT ALLOWED"/>
    <s v="discount not allowed"/>
    <s v="DISCOUNT NOT ALLOWED"/>
    <s v="Discount Not Allowed"/>
    <s v="04/08/22"/>
  </r>
  <r>
    <s v="TXN_8959624"/>
    <s v="CUST_09"/>
    <x v="0"/>
    <x v="195"/>
    <x v="24"/>
    <x v="3"/>
    <n v="35"/>
    <x v="0"/>
    <x v="0"/>
    <x v="1007"/>
    <x v="0"/>
    <s v="DISCOUNT NOT ALLOWED"/>
    <s v="discount not allowed"/>
    <s v="DISCOUNT NOT ALLOWED"/>
    <s v="Discount Not Allowed"/>
    <s v="18/12/24"/>
  </r>
  <r>
    <s v="TXN_9170556"/>
    <s v="CUST_16"/>
    <x v="0"/>
    <x v="195"/>
    <x v="24"/>
    <x v="3"/>
    <n v="35"/>
    <x v="1"/>
    <x v="1"/>
    <x v="153"/>
    <x v="1"/>
    <s v="DISCOUNT ALLOWED"/>
    <s v="discount allowed"/>
    <s v="DISCOUNT ALLOWED"/>
    <s v="Discount Allowed"/>
    <s v="28/05/23"/>
  </r>
  <r>
    <s v="TXN_9444660"/>
    <s v="CUST_13"/>
    <x v="5"/>
    <x v="35"/>
    <x v="4"/>
    <x v="9"/>
    <n v="35"/>
    <x v="0"/>
    <x v="0"/>
    <x v="247"/>
    <x v="1"/>
    <s v="DISCOUNT ALLOWED"/>
    <s v="discount allowed"/>
    <s v="DISCOUNT ALLOWED"/>
    <s v="Discount Allowed"/>
    <s v="24/05/24"/>
  </r>
  <r>
    <s v="TXN_9930574"/>
    <s v="CUST_14"/>
    <x v="4"/>
    <x v="198"/>
    <x v="24"/>
    <x v="3"/>
    <n v="35"/>
    <x v="0"/>
    <x v="0"/>
    <x v="583"/>
    <x v="1"/>
    <s v="DISCOUNT ALLOWED"/>
    <s v="discount allowed"/>
    <s v="DISCOUNT ALLOWED"/>
    <s v="Discount Allowed"/>
    <s v="16/03/22"/>
  </r>
  <r>
    <s v="TXN_1042850"/>
    <s v="CUST_16"/>
    <x v="1"/>
    <x v="129"/>
    <x v="16"/>
    <x v="8"/>
    <n v="34"/>
    <x v="1"/>
    <x v="0"/>
    <x v="439"/>
    <x v="1"/>
    <s v="DISCOUNT ALLOWED"/>
    <s v="discount allowed"/>
    <s v="DISCOUNT ALLOWED"/>
    <s v="Discount Allowed"/>
    <s v="19/10/24"/>
  </r>
  <r>
    <s v="TXN_2199268"/>
    <s v="CUST_15"/>
    <x v="7"/>
    <x v="133"/>
    <x v="16"/>
    <x v="8"/>
    <n v="34"/>
    <x v="1"/>
    <x v="1"/>
    <x v="432"/>
    <x v="1"/>
    <s v="DISCOUNT ALLOWED"/>
    <s v="discount allowed"/>
    <s v="DISCOUNT ALLOWED"/>
    <s v="Discount Allowed"/>
    <s v="06/10/24"/>
  </r>
  <r>
    <s v="TXN_2415104"/>
    <s v="CUST_12"/>
    <x v="4"/>
    <x v="130"/>
    <x v="16"/>
    <x v="8"/>
    <n v="34"/>
    <x v="0"/>
    <x v="1"/>
    <x v="204"/>
    <x v="1"/>
    <s v="DISCOUNT ALLOWED"/>
    <s v="discount allowed"/>
    <s v="DISCOUNT ALLOWED"/>
    <s v="Discount Allowed"/>
    <s v="25/05/23"/>
  </r>
  <r>
    <s v="TXN_2569828"/>
    <s v="CUST_24"/>
    <x v="1"/>
    <x v="129"/>
    <x v="16"/>
    <x v="8"/>
    <n v="34"/>
    <x v="2"/>
    <x v="0"/>
    <x v="494"/>
    <x v="1"/>
    <s v="DISCOUNT ALLOWED"/>
    <s v="discount allowed"/>
    <s v="DISCOUNT ALLOWED"/>
    <s v="Discount Allowed"/>
    <s v="29/09/23"/>
  </r>
  <r>
    <s v="TXN_2727006"/>
    <s v="CUST_01"/>
    <x v="6"/>
    <x v="132"/>
    <x v="16"/>
    <x v="8"/>
    <n v="34"/>
    <x v="2"/>
    <x v="1"/>
    <x v="595"/>
    <x v="0"/>
    <s v="DISCOUNT NOT ALLOWED"/>
    <s v="discount not allowed"/>
    <s v="DISCOUNT NOT ALLOWED"/>
    <s v="Discount Not Allowed"/>
    <s v="17/10/23"/>
  </r>
  <r>
    <s v="TXN_2869481"/>
    <s v="CUST_18"/>
    <x v="1"/>
    <x v="129"/>
    <x v="16"/>
    <x v="8"/>
    <n v="34"/>
    <x v="2"/>
    <x v="1"/>
    <x v="927"/>
    <x v="0"/>
    <s v="DISCOUNT NOT ALLOWED"/>
    <s v="discount not allowed"/>
    <s v="DISCOUNT NOT ALLOWED"/>
    <s v="Discount Not Allowed"/>
    <s v="28/10/24"/>
  </r>
  <r>
    <s v="TXN_3594131"/>
    <s v="CUST_11"/>
    <x v="4"/>
    <x v="130"/>
    <x v="16"/>
    <x v="8"/>
    <n v="34"/>
    <x v="0"/>
    <x v="0"/>
    <x v="35"/>
    <x v="1"/>
    <s v="DISCOUNT ALLOWED"/>
    <s v="discount allowed"/>
    <s v="DISCOUNT ALLOWED"/>
    <s v="Discount Allowed"/>
    <s v="22/03/24"/>
  </r>
  <r>
    <s v="TXN_3713357"/>
    <s v="CUST_01"/>
    <x v="6"/>
    <x v="132"/>
    <x v="16"/>
    <x v="8"/>
    <n v="34"/>
    <x v="2"/>
    <x v="0"/>
    <x v="46"/>
    <x v="1"/>
    <s v="DISCOUNT ALLOWED"/>
    <s v="discount allowed"/>
    <s v="DISCOUNT ALLOWED"/>
    <s v="Discount Allowed"/>
    <s v="24/04/24"/>
  </r>
  <r>
    <s v="TXN_3876726"/>
    <s v="CUST_05"/>
    <x v="5"/>
    <x v="128"/>
    <x v="16"/>
    <x v="8"/>
    <n v="34"/>
    <x v="1"/>
    <x v="1"/>
    <x v="724"/>
    <x v="1"/>
    <s v="DISCOUNT ALLOWED"/>
    <s v="discount allowed"/>
    <s v="DISCOUNT ALLOWED"/>
    <s v="Discount Allowed"/>
    <s v="08/10/24"/>
  </r>
  <r>
    <s v="TXN_4143543"/>
    <s v="CUST_15"/>
    <x v="6"/>
    <x v="132"/>
    <x v="16"/>
    <x v="8"/>
    <n v="34"/>
    <x v="0"/>
    <x v="1"/>
    <x v="1040"/>
    <x v="0"/>
    <s v="DISCOUNT NOT ALLOWED"/>
    <s v="discount not allowed"/>
    <s v="DISCOUNT NOT ALLOWED"/>
    <s v="Discount Not Allowed"/>
    <s v="21/03/22"/>
  </r>
  <r>
    <s v="TXN_4369693"/>
    <s v="CUST_11"/>
    <x v="4"/>
    <x v="130"/>
    <x v="16"/>
    <x v="8"/>
    <n v="34"/>
    <x v="1"/>
    <x v="1"/>
    <x v="375"/>
    <x v="1"/>
    <s v="DISCOUNT ALLOWED"/>
    <s v="discount allowed"/>
    <s v="DISCOUNT ALLOWED"/>
    <s v="Discount Allowed"/>
    <s v="02/07/22"/>
  </r>
  <r>
    <s v="TXN_4406536"/>
    <s v="CUST_18"/>
    <x v="7"/>
    <x v="133"/>
    <x v="16"/>
    <x v="8"/>
    <n v="34"/>
    <x v="1"/>
    <x v="0"/>
    <x v="834"/>
    <x v="0"/>
    <s v="DISCOUNT NOT ALLOWED"/>
    <s v="discount not allowed"/>
    <s v="DISCOUNT NOT ALLOWED"/>
    <s v="Discount Not Allowed"/>
    <s v="21/02/24"/>
  </r>
  <r>
    <s v="TXN_7379840"/>
    <s v="CUST_03"/>
    <x v="1"/>
    <x v="129"/>
    <x v="16"/>
    <x v="8"/>
    <n v="34"/>
    <x v="1"/>
    <x v="0"/>
    <x v="859"/>
    <x v="1"/>
    <s v="DISCOUNT ALLOWED"/>
    <s v="discount allowed"/>
    <s v="DISCOUNT ALLOWED"/>
    <s v="Discount Allowed"/>
    <s v="21/01/23"/>
  </r>
  <r>
    <s v="TXN_7955262"/>
    <s v="CUST_15"/>
    <x v="7"/>
    <x v="133"/>
    <x v="16"/>
    <x v="8"/>
    <n v="34"/>
    <x v="2"/>
    <x v="0"/>
    <x v="349"/>
    <x v="1"/>
    <s v="DISCOUNT ALLOWED"/>
    <s v="discount allowed"/>
    <s v="DISCOUNT ALLOWED"/>
    <s v="Discount Allowed"/>
    <s v="04/09/24"/>
  </r>
  <r>
    <s v="TXN_8012805"/>
    <s v="CUST_24"/>
    <x v="0"/>
    <x v="151"/>
    <x v="16"/>
    <x v="8"/>
    <n v="34"/>
    <x v="2"/>
    <x v="1"/>
    <x v="741"/>
    <x v="0"/>
    <s v="DISCOUNT NOT ALLOWED"/>
    <s v="discount not allowed"/>
    <s v="DISCOUNT NOT ALLOWED"/>
    <s v="Discount Not Allowed"/>
    <s v="22/11/22"/>
  </r>
  <r>
    <s v="TXN_8660754"/>
    <s v="CUST_01"/>
    <x v="6"/>
    <x v="132"/>
    <x v="16"/>
    <x v="8"/>
    <n v="34"/>
    <x v="0"/>
    <x v="1"/>
    <x v="251"/>
    <x v="1"/>
    <s v="DISCOUNT ALLOWED"/>
    <s v="discount allowed"/>
    <s v="DISCOUNT ALLOWED"/>
    <s v="Discount Allowed"/>
    <s v="24/03/22"/>
  </r>
  <r>
    <s v="TXN_8943264"/>
    <s v="CUST_22"/>
    <x v="5"/>
    <x v="128"/>
    <x v="16"/>
    <x v="8"/>
    <n v="34"/>
    <x v="0"/>
    <x v="0"/>
    <x v="815"/>
    <x v="0"/>
    <s v="DISCOUNT NOT ALLOWED"/>
    <s v="discount not allowed"/>
    <s v="DISCOUNT NOT ALLOWED"/>
    <s v="Discount Not Allowed"/>
    <s v="28/02/23"/>
  </r>
  <r>
    <s v="TXN_9724017"/>
    <s v="CUST_16"/>
    <x v="6"/>
    <x v="132"/>
    <x v="16"/>
    <x v="8"/>
    <n v="34"/>
    <x v="2"/>
    <x v="0"/>
    <x v="411"/>
    <x v="0"/>
    <s v="DISCOUNT NOT ALLOWED"/>
    <s v="discount not allowed"/>
    <s v="DISCOUNT NOT ALLOWED"/>
    <s v="Discount Not Allowed"/>
    <s v="03/12/23"/>
  </r>
  <r>
    <s v="TXN_9861492"/>
    <s v="CUST_19"/>
    <x v="5"/>
    <x v="128"/>
    <x v="16"/>
    <x v="8"/>
    <n v="34"/>
    <x v="2"/>
    <x v="0"/>
    <x v="367"/>
    <x v="1"/>
    <s v="DISCOUNT ALLOWED"/>
    <s v="discount allowed"/>
    <s v="DISCOUNT ALLOWED"/>
    <s v="Discount Allowed"/>
    <s v="13/10/23"/>
  </r>
  <r>
    <s v="TXN_9924831"/>
    <s v="CUST_07"/>
    <x v="7"/>
    <x v="133"/>
    <x v="16"/>
    <x v="8"/>
    <n v="34"/>
    <x v="1"/>
    <x v="1"/>
    <x v="621"/>
    <x v="1"/>
    <s v="DISCOUNT ALLOWED"/>
    <s v="discount allowed"/>
    <s v="DISCOUNT ALLOWED"/>
    <s v="Discount Allowed"/>
    <s v="03/06/23"/>
  </r>
  <r>
    <s v="TXN_1197350"/>
    <s v="CUST_22"/>
    <x v="3"/>
    <x v="41"/>
    <x v="5"/>
    <x v="9"/>
    <n v="33.5"/>
    <x v="0"/>
    <x v="1"/>
    <x v="43"/>
    <x v="1"/>
    <s v="DISCOUNT ALLOWED"/>
    <s v="discount allowed"/>
    <s v="DISCOUNT ALLOWED"/>
    <s v="Discount Allowed"/>
    <s v="10/06/24"/>
  </r>
  <r>
    <s v="TXN_1382113"/>
    <s v="CUST_23"/>
    <x v="1"/>
    <x v="37"/>
    <x v="5"/>
    <x v="9"/>
    <n v="33.5"/>
    <x v="0"/>
    <x v="0"/>
    <x v="851"/>
    <x v="0"/>
    <s v="DISCOUNT NOT ALLOWED"/>
    <s v="discount not allowed"/>
    <s v="DISCOUNT NOT ALLOWED"/>
    <s v="Discount Not Allowed"/>
    <s v="28/03/22"/>
  </r>
  <r>
    <s v="TXN_1537702"/>
    <s v="CUST_25"/>
    <x v="2"/>
    <x v="39"/>
    <x v="5"/>
    <x v="9"/>
    <n v="33.5"/>
    <x v="0"/>
    <x v="1"/>
    <x v="109"/>
    <x v="1"/>
    <s v="DISCOUNT ALLOWED"/>
    <s v="discount allowed"/>
    <s v="DISCOUNT ALLOWED"/>
    <s v="Discount Allowed"/>
    <s v="05/06/22"/>
  </r>
  <r>
    <s v="TXN_1904037"/>
    <s v="CUST_25"/>
    <x v="5"/>
    <x v="38"/>
    <x v="5"/>
    <x v="9"/>
    <n v="33.5"/>
    <x v="2"/>
    <x v="0"/>
    <x v="27"/>
    <x v="1"/>
    <s v="DISCOUNT ALLOWED"/>
    <s v="discount allowed"/>
    <s v="DISCOUNT ALLOWED"/>
    <s v="Discount Allowed"/>
    <s v="25/12/23"/>
  </r>
  <r>
    <s v="TXN_2171581"/>
    <s v="CUST_15"/>
    <x v="5"/>
    <x v="38"/>
    <x v="5"/>
    <x v="9"/>
    <n v="33.5"/>
    <x v="0"/>
    <x v="1"/>
    <x v="1074"/>
    <x v="0"/>
    <s v="DISCOUNT NOT ALLOWED"/>
    <s v="discount not allowed"/>
    <s v="DISCOUNT NOT ALLOWED"/>
    <s v="Discount Not Allowed"/>
    <s v="31/05/24"/>
  </r>
  <r>
    <s v="TXN_2405836"/>
    <s v="CUST_05"/>
    <x v="5"/>
    <x v="38"/>
    <x v="5"/>
    <x v="9"/>
    <n v="33.5"/>
    <x v="1"/>
    <x v="1"/>
    <x v="573"/>
    <x v="1"/>
    <s v="DISCOUNT ALLOWED"/>
    <s v="discount allowed"/>
    <s v="DISCOUNT ALLOWED"/>
    <s v="Discount Allowed"/>
    <s v="11/05/24"/>
  </r>
  <r>
    <s v="TXN_2510100"/>
    <s v="CUST_22"/>
    <x v="4"/>
    <x v="42"/>
    <x v="5"/>
    <x v="9"/>
    <n v="33.5"/>
    <x v="1"/>
    <x v="0"/>
    <x v="740"/>
    <x v="1"/>
    <s v="DISCOUNT ALLOWED"/>
    <s v="discount allowed"/>
    <s v="DISCOUNT ALLOWED"/>
    <s v="Discount Allowed"/>
    <s v="04/09/22"/>
  </r>
  <r>
    <s v="TXN_2560468"/>
    <s v="CUST_14"/>
    <x v="7"/>
    <x v="44"/>
    <x v="5"/>
    <x v="9"/>
    <n v="33.5"/>
    <x v="2"/>
    <x v="0"/>
    <x v="586"/>
    <x v="0"/>
    <s v="DISCOUNT NOT ALLOWED"/>
    <s v="discount not allowed"/>
    <s v="DISCOUNT NOT ALLOWED"/>
    <s v="Discount Not Allowed"/>
    <s v="26/02/23"/>
  </r>
  <r>
    <s v="TXN_2596637"/>
    <s v="CUST_15"/>
    <x v="7"/>
    <x v="44"/>
    <x v="5"/>
    <x v="9"/>
    <n v="33.5"/>
    <x v="1"/>
    <x v="1"/>
    <x v="117"/>
    <x v="1"/>
    <s v="DISCOUNT ALLOWED"/>
    <s v="discount allowed"/>
    <s v="DISCOUNT ALLOWED"/>
    <s v="Discount Allowed"/>
    <s v="30/07/23"/>
  </r>
  <r>
    <s v="TXN_3158542"/>
    <s v="CUST_24"/>
    <x v="1"/>
    <x v="37"/>
    <x v="5"/>
    <x v="9"/>
    <n v="33.5"/>
    <x v="0"/>
    <x v="1"/>
    <x v="1009"/>
    <x v="1"/>
    <s v="DISCOUNT ALLOWED"/>
    <s v="discount allowed"/>
    <s v="DISCOUNT ALLOWED"/>
    <s v="Discount Allowed"/>
    <s v="24/09/24"/>
  </r>
  <r>
    <s v="TXN_3297916"/>
    <s v="CUST_25"/>
    <x v="1"/>
    <x v="37"/>
    <x v="5"/>
    <x v="9"/>
    <n v="33.5"/>
    <x v="2"/>
    <x v="1"/>
    <x v="744"/>
    <x v="1"/>
    <s v="DISCOUNT ALLOWED"/>
    <s v="discount allowed"/>
    <s v="DISCOUNT ALLOWED"/>
    <s v="Discount Allowed"/>
    <s v="15/06/24"/>
  </r>
  <r>
    <s v="TXN_3447649"/>
    <s v="CUST_24"/>
    <x v="5"/>
    <x v="38"/>
    <x v="5"/>
    <x v="9"/>
    <n v="33.5"/>
    <x v="2"/>
    <x v="1"/>
    <x v="554"/>
    <x v="0"/>
    <s v="DISCOUNT NOT ALLOWED"/>
    <s v="discount not allowed"/>
    <s v="DISCOUNT NOT ALLOWED"/>
    <s v="Discount Not Allowed"/>
    <s v="20/02/24"/>
  </r>
  <r>
    <s v="TXN_4265335"/>
    <s v="CUST_05"/>
    <x v="4"/>
    <x v="42"/>
    <x v="5"/>
    <x v="9"/>
    <n v="33.5"/>
    <x v="1"/>
    <x v="0"/>
    <x v="322"/>
    <x v="1"/>
    <s v="DISCOUNT ALLOWED"/>
    <s v="discount allowed"/>
    <s v="DISCOUNT ALLOWED"/>
    <s v="Discount Allowed"/>
    <s v="22/06/23"/>
  </r>
  <r>
    <s v="TXN_5011602"/>
    <s v="CUST_11"/>
    <x v="6"/>
    <x v="43"/>
    <x v="5"/>
    <x v="9"/>
    <n v="33.5"/>
    <x v="0"/>
    <x v="1"/>
    <x v="573"/>
    <x v="0"/>
    <s v="DISCOUNT NOT ALLOWED"/>
    <s v="discount not allowed"/>
    <s v="DISCOUNT NOT ALLOWED"/>
    <s v="Discount Not Allowed"/>
    <s v="11/05/24"/>
  </r>
  <r>
    <s v="TXN_5151400"/>
    <s v="CUST_10"/>
    <x v="7"/>
    <x v="44"/>
    <x v="5"/>
    <x v="9"/>
    <n v="33.5"/>
    <x v="2"/>
    <x v="0"/>
    <x v="345"/>
    <x v="1"/>
    <s v="DISCOUNT ALLOWED"/>
    <s v="discount allowed"/>
    <s v="DISCOUNT ALLOWED"/>
    <s v="Discount Allowed"/>
    <s v="12/05/24"/>
  </r>
  <r>
    <s v="TXN_5533070"/>
    <s v="CUST_12"/>
    <x v="5"/>
    <x v="38"/>
    <x v="5"/>
    <x v="9"/>
    <n v="33.5"/>
    <x v="0"/>
    <x v="0"/>
    <x v="131"/>
    <x v="1"/>
    <s v="DISCOUNT ALLOWED"/>
    <s v="discount allowed"/>
    <s v="DISCOUNT ALLOWED"/>
    <s v="Discount Allowed"/>
    <s v="15/05/23"/>
  </r>
  <r>
    <s v="TXN_5543825"/>
    <s v="CUST_18"/>
    <x v="7"/>
    <x v="44"/>
    <x v="5"/>
    <x v="9"/>
    <n v="33.5"/>
    <x v="1"/>
    <x v="1"/>
    <x v="192"/>
    <x v="0"/>
    <s v="DISCOUNT NOT ALLOWED"/>
    <s v="discount not allowed"/>
    <s v="DISCOUNT NOT ALLOWED"/>
    <s v="Discount Not Allowed"/>
    <s v="17/05/24"/>
  </r>
  <r>
    <s v="TXN_5558575"/>
    <s v="CUST_14"/>
    <x v="4"/>
    <x v="42"/>
    <x v="5"/>
    <x v="9"/>
    <n v="33.5"/>
    <x v="2"/>
    <x v="1"/>
    <x v="32"/>
    <x v="1"/>
    <s v="DISCOUNT ALLOWED"/>
    <s v="discount allowed"/>
    <s v="DISCOUNT ALLOWED"/>
    <s v="Discount Allowed"/>
    <s v="24/08/23"/>
  </r>
  <r>
    <s v="TXN_5592067"/>
    <s v="CUST_20"/>
    <x v="3"/>
    <x v="41"/>
    <x v="5"/>
    <x v="9"/>
    <n v="33.5"/>
    <x v="0"/>
    <x v="0"/>
    <x v="898"/>
    <x v="0"/>
    <s v="DISCOUNT NOT ALLOWED"/>
    <s v="discount not allowed"/>
    <s v="DISCOUNT NOT ALLOWED"/>
    <s v="Discount Not Allowed"/>
    <s v="10/02/23"/>
  </r>
  <r>
    <s v="TXN_5819222"/>
    <s v="CUST_14"/>
    <x v="0"/>
    <x v="40"/>
    <x v="5"/>
    <x v="9"/>
    <n v="33.5"/>
    <x v="2"/>
    <x v="1"/>
    <x v="654"/>
    <x v="1"/>
    <s v="DISCOUNT ALLOWED"/>
    <s v="discount allowed"/>
    <s v="DISCOUNT ALLOWED"/>
    <s v="Discount Allowed"/>
    <s v="10/06/22"/>
  </r>
  <r>
    <s v="TXN_5915197"/>
    <s v="CUST_25"/>
    <x v="4"/>
    <x v="42"/>
    <x v="5"/>
    <x v="9"/>
    <n v="33.5"/>
    <x v="2"/>
    <x v="1"/>
    <x v="286"/>
    <x v="0"/>
    <s v="DISCOUNT NOT ALLOWED"/>
    <s v="discount not allowed"/>
    <s v="DISCOUNT NOT ALLOWED"/>
    <s v="Discount Not Allowed"/>
    <s v="16/10/22"/>
  </r>
  <r>
    <s v="TXN_6043884"/>
    <s v="CUST_24"/>
    <x v="4"/>
    <x v="42"/>
    <x v="5"/>
    <x v="9"/>
    <n v="33.5"/>
    <x v="1"/>
    <x v="1"/>
    <x v="240"/>
    <x v="1"/>
    <s v="DISCOUNT ALLOWED"/>
    <s v="discount allowed"/>
    <s v="DISCOUNT ALLOWED"/>
    <s v="Discount Allowed"/>
    <s v="08/07/24"/>
  </r>
  <r>
    <s v="TXN_7094868"/>
    <s v="CUST_20"/>
    <x v="2"/>
    <x v="39"/>
    <x v="5"/>
    <x v="9"/>
    <n v="33.5"/>
    <x v="0"/>
    <x v="0"/>
    <x v="986"/>
    <x v="1"/>
    <s v="DISCOUNT ALLOWED"/>
    <s v="discount allowed"/>
    <s v="DISCOUNT ALLOWED"/>
    <s v="Discount Allowed"/>
    <s v="07/11/23"/>
  </r>
  <r>
    <s v="TXN_7095216"/>
    <s v="CUST_15"/>
    <x v="7"/>
    <x v="44"/>
    <x v="5"/>
    <x v="9"/>
    <n v="33.5"/>
    <x v="0"/>
    <x v="1"/>
    <x v="1037"/>
    <x v="0"/>
    <s v="DISCOUNT NOT ALLOWED"/>
    <s v="discount not allowed"/>
    <s v="DISCOUNT NOT ALLOWED"/>
    <s v="Discount Not Allowed"/>
    <s v="24/05/23"/>
  </r>
  <r>
    <s v="TXN_7110900"/>
    <s v="CUST_01"/>
    <x v="5"/>
    <x v="38"/>
    <x v="5"/>
    <x v="9"/>
    <n v="33.5"/>
    <x v="0"/>
    <x v="1"/>
    <x v="1097"/>
    <x v="1"/>
    <s v="DISCOUNT ALLOWED"/>
    <s v="discount allowed"/>
    <s v="DISCOUNT ALLOWED"/>
    <s v="Discount Allowed"/>
    <s v="15/10/22"/>
  </r>
  <r>
    <s v="TXN_7412723"/>
    <s v="CUST_09"/>
    <x v="5"/>
    <x v="38"/>
    <x v="5"/>
    <x v="9"/>
    <n v="33.5"/>
    <x v="0"/>
    <x v="1"/>
    <x v="1030"/>
    <x v="0"/>
    <s v="DISCOUNT NOT ALLOWED"/>
    <s v="discount not allowed"/>
    <s v="DISCOUNT NOT ALLOWED"/>
    <s v="Discount Not Allowed"/>
    <s v="20/12/22"/>
  </r>
  <r>
    <s v="TXN_7808804"/>
    <s v="CUST_16"/>
    <x v="3"/>
    <x v="41"/>
    <x v="5"/>
    <x v="9"/>
    <n v="33.5"/>
    <x v="1"/>
    <x v="0"/>
    <x v="115"/>
    <x v="0"/>
    <s v="DISCOUNT NOT ALLOWED"/>
    <s v="discount not allowed"/>
    <s v="DISCOUNT NOT ALLOWED"/>
    <s v="Discount Not Allowed"/>
    <s v="21/08/22"/>
  </r>
  <r>
    <s v="TXN_7980565"/>
    <s v="CUST_04"/>
    <x v="6"/>
    <x v="43"/>
    <x v="5"/>
    <x v="9"/>
    <n v="33.5"/>
    <x v="0"/>
    <x v="0"/>
    <x v="540"/>
    <x v="0"/>
    <s v="DISCOUNT NOT ALLOWED"/>
    <s v="discount not allowed"/>
    <s v="DISCOUNT NOT ALLOWED"/>
    <s v="Discount Not Allowed"/>
    <s v="17/05/22"/>
  </r>
  <r>
    <s v="TXN_8225628"/>
    <s v="CUST_05"/>
    <x v="5"/>
    <x v="38"/>
    <x v="5"/>
    <x v="9"/>
    <n v="33.5"/>
    <x v="1"/>
    <x v="0"/>
    <x v="425"/>
    <x v="1"/>
    <s v="DISCOUNT ALLOWED"/>
    <s v="discount allowed"/>
    <s v="DISCOUNT ALLOWED"/>
    <s v="Discount Allowed"/>
    <s v="12/08/22"/>
  </r>
  <r>
    <s v="TXN_8493109"/>
    <s v="CUST_07"/>
    <x v="4"/>
    <x v="42"/>
    <x v="5"/>
    <x v="9"/>
    <n v="33.5"/>
    <x v="1"/>
    <x v="0"/>
    <x v="1040"/>
    <x v="1"/>
    <s v="DISCOUNT ALLOWED"/>
    <s v="discount allowed"/>
    <s v="DISCOUNT ALLOWED"/>
    <s v="Discount Allowed"/>
    <s v="21/03/22"/>
  </r>
  <r>
    <s v="TXN_8588500"/>
    <s v="CUST_17"/>
    <x v="4"/>
    <x v="42"/>
    <x v="5"/>
    <x v="9"/>
    <n v="33.5"/>
    <x v="0"/>
    <x v="0"/>
    <x v="552"/>
    <x v="1"/>
    <s v="DISCOUNT ALLOWED"/>
    <s v="discount allowed"/>
    <s v="DISCOUNT ALLOWED"/>
    <s v="Discount Allowed"/>
    <s v="22/09/24"/>
  </r>
  <r>
    <s v="TXN_8660082"/>
    <s v="CUST_08"/>
    <x v="1"/>
    <x v="37"/>
    <x v="5"/>
    <x v="9"/>
    <n v="33.5"/>
    <x v="2"/>
    <x v="1"/>
    <x v="458"/>
    <x v="1"/>
    <s v="DISCOUNT ALLOWED"/>
    <s v="discount allowed"/>
    <s v="DISCOUNT ALLOWED"/>
    <s v="Discount Allowed"/>
    <s v="18/05/24"/>
  </r>
  <r>
    <s v="TXN_8837653"/>
    <s v="CUST_14"/>
    <x v="7"/>
    <x v="44"/>
    <x v="5"/>
    <x v="9"/>
    <n v="33.5"/>
    <x v="0"/>
    <x v="0"/>
    <x v="466"/>
    <x v="0"/>
    <s v="DISCOUNT NOT ALLOWED"/>
    <s v="discount not allowed"/>
    <s v="DISCOUNT NOT ALLOWED"/>
    <s v="Discount Not Allowed"/>
    <s v="28/06/24"/>
  </r>
  <r>
    <s v="TXN_8879912"/>
    <s v="CUST_15"/>
    <x v="7"/>
    <x v="44"/>
    <x v="5"/>
    <x v="9"/>
    <n v="33.5"/>
    <x v="2"/>
    <x v="0"/>
    <x v="470"/>
    <x v="1"/>
    <s v="DISCOUNT ALLOWED"/>
    <s v="discount allowed"/>
    <s v="DISCOUNT ALLOWED"/>
    <s v="Discount Allowed"/>
    <s v="31/10/24"/>
  </r>
  <r>
    <s v="TXN_8965991"/>
    <s v="CUST_02"/>
    <x v="5"/>
    <x v="38"/>
    <x v="5"/>
    <x v="9"/>
    <n v="33.5"/>
    <x v="2"/>
    <x v="0"/>
    <x v="995"/>
    <x v="0"/>
    <s v="DISCOUNT NOT ALLOWED"/>
    <s v="discount not allowed"/>
    <s v="DISCOUNT NOT ALLOWED"/>
    <s v="Discount Not Allowed"/>
    <s v="16/06/22"/>
  </r>
  <r>
    <s v="TXN_9099567"/>
    <s v="CUST_15"/>
    <x v="6"/>
    <x v="43"/>
    <x v="5"/>
    <x v="9"/>
    <n v="33.5"/>
    <x v="0"/>
    <x v="1"/>
    <x v="841"/>
    <x v="1"/>
    <s v="DISCOUNT ALLOWED"/>
    <s v="discount allowed"/>
    <s v="DISCOUNT ALLOWED"/>
    <s v="Discount Allowed"/>
    <s v="14/06/23"/>
  </r>
  <r>
    <s v="TXN_9228328"/>
    <s v="CUST_05"/>
    <x v="2"/>
    <x v="39"/>
    <x v="5"/>
    <x v="9"/>
    <n v="33.5"/>
    <x v="0"/>
    <x v="1"/>
    <x v="658"/>
    <x v="0"/>
    <s v="DISCOUNT NOT ALLOWED"/>
    <s v="discount not allowed"/>
    <s v="DISCOUNT NOT ALLOWED"/>
    <s v="Discount Not Allowed"/>
    <s v="29/09/22"/>
  </r>
  <r>
    <s v="TXN_9252945"/>
    <s v="CUST_24"/>
    <x v="6"/>
    <x v="43"/>
    <x v="5"/>
    <x v="9"/>
    <n v="33.5"/>
    <x v="0"/>
    <x v="0"/>
    <x v="677"/>
    <x v="0"/>
    <s v="DISCOUNT NOT ALLOWED"/>
    <s v="discount not allowed"/>
    <s v="DISCOUNT NOT ALLOWED"/>
    <s v="Discount Not Allowed"/>
    <s v="23/06/23"/>
  </r>
  <r>
    <s v="TXN_9255550"/>
    <s v="CUST_07"/>
    <x v="0"/>
    <x v="40"/>
    <x v="5"/>
    <x v="9"/>
    <n v="33.5"/>
    <x v="0"/>
    <x v="0"/>
    <x v="349"/>
    <x v="1"/>
    <s v="DISCOUNT ALLOWED"/>
    <s v="discount allowed"/>
    <s v="DISCOUNT ALLOWED"/>
    <s v="Discount Allowed"/>
    <s v="04/09/24"/>
  </r>
  <r>
    <s v="TXN_9314890"/>
    <s v="CUST_03"/>
    <x v="1"/>
    <x v="37"/>
    <x v="5"/>
    <x v="9"/>
    <n v="33.5"/>
    <x v="1"/>
    <x v="1"/>
    <x v="277"/>
    <x v="1"/>
    <s v="DISCOUNT ALLOWED"/>
    <s v="discount allowed"/>
    <s v="DISCOUNT ALLOWED"/>
    <s v="Discount Allowed"/>
    <s v="02/02/23"/>
  </r>
  <r>
    <s v="TXN_9357539"/>
    <s v="CUST_14"/>
    <x v="4"/>
    <x v="42"/>
    <x v="5"/>
    <x v="9"/>
    <n v="33.5"/>
    <x v="0"/>
    <x v="1"/>
    <x v="81"/>
    <x v="0"/>
    <s v="DISCOUNT NOT ALLOWED"/>
    <s v="discount not allowed"/>
    <s v="DISCOUNT NOT ALLOWED"/>
    <s v="Discount Not Allowed"/>
    <s v="08/01/25"/>
  </r>
  <r>
    <s v="TXN_9435614"/>
    <s v="CUST_11"/>
    <x v="7"/>
    <x v="44"/>
    <x v="5"/>
    <x v="9"/>
    <n v="33.5"/>
    <x v="2"/>
    <x v="1"/>
    <x v="92"/>
    <x v="1"/>
    <s v="DISCOUNT ALLOWED"/>
    <s v="discount allowed"/>
    <s v="DISCOUNT ALLOWED"/>
    <s v="Discount Allowed"/>
    <s v="03/03/24"/>
  </r>
  <r>
    <s v="TXN_9516413"/>
    <s v="CUST_01"/>
    <x v="6"/>
    <x v="43"/>
    <x v="5"/>
    <x v="9"/>
    <n v="33.5"/>
    <x v="2"/>
    <x v="0"/>
    <x v="978"/>
    <x v="1"/>
    <s v="DISCOUNT ALLOWED"/>
    <s v="discount allowed"/>
    <s v="DISCOUNT ALLOWED"/>
    <s v="Discount Allowed"/>
    <s v="09/01/25"/>
  </r>
  <r>
    <s v="TXN_9612339"/>
    <s v="CUST_16"/>
    <x v="3"/>
    <x v="41"/>
    <x v="5"/>
    <x v="9"/>
    <n v="33.5"/>
    <x v="1"/>
    <x v="1"/>
    <x v="185"/>
    <x v="0"/>
    <s v="DISCOUNT NOT ALLOWED"/>
    <s v="discount not allowed"/>
    <s v="DISCOUNT NOT ALLOWED"/>
    <s v="Discount Not Allowed"/>
    <s v="08/08/24"/>
  </r>
  <r>
    <s v="TXN_9813497"/>
    <s v="CUST_12"/>
    <x v="3"/>
    <x v="41"/>
    <x v="5"/>
    <x v="9"/>
    <n v="33.5"/>
    <x v="0"/>
    <x v="1"/>
    <x v="242"/>
    <x v="1"/>
    <s v="DISCOUNT ALLOWED"/>
    <s v="discount allowed"/>
    <s v="DISCOUNT ALLOWED"/>
    <s v="Discount Allowed"/>
    <s v="12/04/23"/>
  </r>
  <r>
    <s v="TXN_1038979"/>
    <s v="CUST_16"/>
    <x v="6"/>
    <x v="162"/>
    <x v="20"/>
    <x v="7"/>
    <n v="33"/>
    <x v="2"/>
    <x v="0"/>
    <x v="922"/>
    <x v="0"/>
    <s v="DISCOUNT NOT ALLOWED"/>
    <s v="discount not allowed"/>
    <s v="DISCOUNT NOT ALLOWED"/>
    <s v="Discount Not Allowed"/>
    <s v="06/02/24"/>
  </r>
  <r>
    <s v="TXN_1102128"/>
    <s v="CUST_22"/>
    <x v="2"/>
    <x v="161"/>
    <x v="20"/>
    <x v="7"/>
    <n v="33"/>
    <x v="2"/>
    <x v="1"/>
    <x v="24"/>
    <x v="0"/>
    <s v="DISCOUNT NOT ALLOWED"/>
    <s v="discount not allowed"/>
    <s v="DISCOUNT NOT ALLOWED"/>
    <s v="Discount Not Allowed"/>
    <s v="01/05/24"/>
  </r>
  <r>
    <s v="TXN_1219680"/>
    <s v="CUST_14"/>
    <x v="5"/>
    <x v="160"/>
    <x v="20"/>
    <x v="7"/>
    <n v="33"/>
    <x v="2"/>
    <x v="0"/>
    <x v="349"/>
    <x v="1"/>
    <s v="DISCOUNT ALLOWED"/>
    <s v="discount allowed"/>
    <s v="DISCOUNT ALLOWED"/>
    <s v="Discount Allowed"/>
    <s v="04/09/24"/>
  </r>
  <r>
    <s v="TXN_1434766"/>
    <s v="CUST_22"/>
    <x v="2"/>
    <x v="161"/>
    <x v="20"/>
    <x v="7"/>
    <n v="33"/>
    <x v="1"/>
    <x v="0"/>
    <x v="781"/>
    <x v="0"/>
    <s v="DISCOUNT NOT ALLOWED"/>
    <s v="discount not allowed"/>
    <s v="DISCOUNT NOT ALLOWED"/>
    <s v="Discount Not Allowed"/>
    <s v="14/07/22"/>
  </r>
  <r>
    <s v="TXN_1772393"/>
    <s v="CUST_18"/>
    <x v="2"/>
    <x v="161"/>
    <x v="20"/>
    <x v="7"/>
    <n v="33"/>
    <x v="0"/>
    <x v="1"/>
    <x v="492"/>
    <x v="1"/>
    <s v="DISCOUNT ALLOWED"/>
    <s v="discount allowed"/>
    <s v="DISCOUNT ALLOWED"/>
    <s v="Discount Allowed"/>
    <s v="29/03/24"/>
  </r>
  <r>
    <s v="TXN_1806675"/>
    <s v="CUST_19"/>
    <x v="4"/>
    <x v="163"/>
    <x v="20"/>
    <x v="7"/>
    <n v="33"/>
    <x v="2"/>
    <x v="0"/>
    <x v="641"/>
    <x v="0"/>
    <s v="DISCOUNT NOT ALLOWED"/>
    <s v="discount not allowed"/>
    <s v="DISCOUNT NOT ALLOWED"/>
    <s v="Discount Not Allowed"/>
    <s v="09/01/22"/>
  </r>
  <r>
    <s v="TXN_2696370"/>
    <s v="CUST_22"/>
    <x v="2"/>
    <x v="161"/>
    <x v="20"/>
    <x v="7"/>
    <n v="33"/>
    <x v="2"/>
    <x v="1"/>
    <x v="633"/>
    <x v="0"/>
    <s v="DISCOUNT NOT ALLOWED"/>
    <s v="discount not allowed"/>
    <s v="DISCOUNT NOT ALLOWED"/>
    <s v="Discount Not Allowed"/>
    <s v="03/08/24"/>
  </r>
  <r>
    <s v="TXN_3006943"/>
    <s v="CUST_10"/>
    <x v="3"/>
    <x v="164"/>
    <x v="20"/>
    <x v="7"/>
    <n v="33"/>
    <x v="1"/>
    <x v="0"/>
    <x v="544"/>
    <x v="0"/>
    <s v="DISCOUNT NOT ALLOWED"/>
    <s v="discount not allowed"/>
    <s v="DISCOUNT NOT ALLOWED"/>
    <s v="Discount Not Allowed"/>
    <s v="17/07/23"/>
  </r>
  <r>
    <s v="TXN_4212494"/>
    <s v="CUST_02"/>
    <x v="5"/>
    <x v="160"/>
    <x v="20"/>
    <x v="7"/>
    <n v="33"/>
    <x v="2"/>
    <x v="0"/>
    <x v="511"/>
    <x v="0"/>
    <s v="DISCOUNT NOT ALLOWED"/>
    <s v="discount not allowed"/>
    <s v="DISCOUNT NOT ALLOWED"/>
    <s v="Discount Not Allowed"/>
    <s v="16/11/22"/>
  </r>
  <r>
    <s v="TXN_4279673"/>
    <s v="CUST_07"/>
    <x v="5"/>
    <x v="160"/>
    <x v="20"/>
    <x v="7"/>
    <n v="33"/>
    <x v="2"/>
    <x v="0"/>
    <x v="1031"/>
    <x v="1"/>
    <s v="DISCOUNT ALLOWED"/>
    <s v="discount allowed"/>
    <s v="DISCOUNT ALLOWED"/>
    <s v="Discount Allowed"/>
    <s v="02/07/23"/>
  </r>
  <r>
    <s v="TXN_4545070"/>
    <s v="CUST_06"/>
    <x v="2"/>
    <x v="161"/>
    <x v="20"/>
    <x v="7"/>
    <n v="33"/>
    <x v="1"/>
    <x v="1"/>
    <x v="959"/>
    <x v="1"/>
    <s v="DISCOUNT ALLOWED"/>
    <s v="discount allowed"/>
    <s v="DISCOUNT ALLOWED"/>
    <s v="Discount Allowed"/>
    <s v="13/08/24"/>
  </r>
  <r>
    <s v="TXN_5061076"/>
    <s v="CUST_18"/>
    <x v="4"/>
    <x v="163"/>
    <x v="20"/>
    <x v="7"/>
    <n v="33"/>
    <x v="1"/>
    <x v="1"/>
    <x v="825"/>
    <x v="1"/>
    <s v="DISCOUNT ALLOWED"/>
    <s v="discount allowed"/>
    <s v="DISCOUNT ALLOWED"/>
    <s v="Discount Allowed"/>
    <s v="26/08/23"/>
  </r>
  <r>
    <s v="TXN_5268893"/>
    <s v="CUST_13"/>
    <x v="4"/>
    <x v="163"/>
    <x v="20"/>
    <x v="7"/>
    <n v="33"/>
    <x v="1"/>
    <x v="0"/>
    <x v="746"/>
    <x v="0"/>
    <s v="DISCOUNT NOT ALLOWED"/>
    <s v="discount not allowed"/>
    <s v="DISCOUNT NOT ALLOWED"/>
    <s v="Discount Not Allowed"/>
    <s v="20/01/24"/>
  </r>
  <r>
    <s v="TXN_5428095"/>
    <s v="CUST_01"/>
    <x v="4"/>
    <x v="163"/>
    <x v="20"/>
    <x v="7"/>
    <n v="33"/>
    <x v="2"/>
    <x v="1"/>
    <x v="836"/>
    <x v="1"/>
    <s v="DISCOUNT ALLOWED"/>
    <s v="discount allowed"/>
    <s v="DISCOUNT ALLOWED"/>
    <s v="Discount Allowed"/>
    <s v="22/05/22"/>
  </r>
  <r>
    <s v="TXN_5498917"/>
    <s v="CUST_12"/>
    <x v="5"/>
    <x v="160"/>
    <x v="20"/>
    <x v="7"/>
    <n v="33"/>
    <x v="1"/>
    <x v="1"/>
    <x v="777"/>
    <x v="0"/>
    <s v="DISCOUNT NOT ALLOWED"/>
    <s v="discount not allowed"/>
    <s v="DISCOUNT NOT ALLOWED"/>
    <s v="Discount Not Allowed"/>
    <s v="25/07/24"/>
  </r>
  <r>
    <s v="TXN_5905211"/>
    <s v="CUST_18"/>
    <x v="6"/>
    <x v="162"/>
    <x v="20"/>
    <x v="7"/>
    <n v="33"/>
    <x v="0"/>
    <x v="0"/>
    <x v="886"/>
    <x v="0"/>
    <s v="DISCOUNT NOT ALLOWED"/>
    <s v="discount not allowed"/>
    <s v="DISCOUNT NOT ALLOWED"/>
    <s v="Discount Not Allowed"/>
    <s v="21/03/24"/>
  </r>
  <r>
    <s v="TXN_5960789"/>
    <s v="CUST_11"/>
    <x v="6"/>
    <x v="162"/>
    <x v="20"/>
    <x v="7"/>
    <n v="33"/>
    <x v="1"/>
    <x v="0"/>
    <x v="947"/>
    <x v="1"/>
    <s v="DISCOUNT ALLOWED"/>
    <s v="discount allowed"/>
    <s v="DISCOUNT ALLOWED"/>
    <s v="Discount Allowed"/>
    <s v="28/09/22"/>
  </r>
  <r>
    <s v="TXN_6070296"/>
    <s v="CUST_19"/>
    <x v="5"/>
    <x v="160"/>
    <x v="20"/>
    <x v="7"/>
    <n v="33"/>
    <x v="1"/>
    <x v="1"/>
    <x v="703"/>
    <x v="0"/>
    <s v="DISCOUNT NOT ALLOWED"/>
    <s v="discount not allowed"/>
    <s v="DISCOUNT NOT ALLOWED"/>
    <s v="Discount Not Allowed"/>
    <s v="31/01/24"/>
  </r>
  <r>
    <s v="TXN_7771546"/>
    <s v="CUST_13"/>
    <x v="6"/>
    <x v="162"/>
    <x v="20"/>
    <x v="7"/>
    <n v="33"/>
    <x v="0"/>
    <x v="0"/>
    <x v="1036"/>
    <x v="1"/>
    <s v="DISCOUNT ALLOWED"/>
    <s v="discount allowed"/>
    <s v="DISCOUNT ALLOWED"/>
    <s v="Discount Allowed"/>
    <s v="11/11/23"/>
  </r>
  <r>
    <s v="TXN_7840743"/>
    <s v="CUST_05"/>
    <x v="7"/>
    <x v="165"/>
    <x v="20"/>
    <x v="7"/>
    <n v="33"/>
    <x v="2"/>
    <x v="0"/>
    <x v="348"/>
    <x v="0"/>
    <s v="DISCOUNT NOT ALLOWED"/>
    <s v="discount not allowed"/>
    <s v="DISCOUNT NOT ALLOWED"/>
    <s v="Discount Not Allowed"/>
    <s v="30/09/24"/>
  </r>
  <r>
    <s v="TXN_8011706"/>
    <s v="CUST_05"/>
    <x v="2"/>
    <x v="161"/>
    <x v="20"/>
    <x v="7"/>
    <n v="33"/>
    <x v="1"/>
    <x v="1"/>
    <x v="241"/>
    <x v="1"/>
    <s v="DISCOUNT ALLOWED"/>
    <s v="discount allowed"/>
    <s v="DISCOUNT ALLOWED"/>
    <s v="Discount Allowed"/>
    <s v="07/02/24"/>
  </r>
  <r>
    <s v="TXN_8288361"/>
    <s v="CUST_01"/>
    <x v="5"/>
    <x v="160"/>
    <x v="20"/>
    <x v="7"/>
    <n v="33"/>
    <x v="0"/>
    <x v="0"/>
    <x v="172"/>
    <x v="1"/>
    <s v="DISCOUNT ALLOWED"/>
    <s v="discount allowed"/>
    <s v="DISCOUNT ALLOWED"/>
    <s v="Discount Allowed"/>
    <s v="25/09/23"/>
  </r>
  <r>
    <s v="TXN_8794922"/>
    <s v="CUST_06"/>
    <x v="6"/>
    <x v="162"/>
    <x v="20"/>
    <x v="7"/>
    <n v="33"/>
    <x v="0"/>
    <x v="1"/>
    <x v="691"/>
    <x v="0"/>
    <s v="DISCOUNT NOT ALLOWED"/>
    <s v="discount not allowed"/>
    <s v="DISCOUNT NOT ALLOWED"/>
    <s v="Discount Not Allowed"/>
    <s v="28/05/24"/>
  </r>
  <r>
    <s v="TXN_9279462"/>
    <s v="CUST_25"/>
    <x v="2"/>
    <x v="161"/>
    <x v="20"/>
    <x v="7"/>
    <n v="33"/>
    <x v="2"/>
    <x v="1"/>
    <x v="1092"/>
    <x v="0"/>
    <s v="DISCOUNT NOT ALLOWED"/>
    <s v="discount not allowed"/>
    <s v="DISCOUNT NOT ALLOWED"/>
    <s v="Discount Not Allowed"/>
    <s v="05/02/22"/>
  </r>
  <r>
    <s v="TXN_9546049"/>
    <s v="CUST_21"/>
    <x v="3"/>
    <x v="164"/>
    <x v="20"/>
    <x v="7"/>
    <n v="33"/>
    <x v="0"/>
    <x v="0"/>
    <x v="945"/>
    <x v="0"/>
    <s v="DISCOUNT NOT ALLOWED"/>
    <s v="discount not allowed"/>
    <s v="DISCOUNT NOT ALLOWED"/>
    <s v="Discount Not Allowed"/>
    <s v="10/03/22"/>
  </r>
  <r>
    <s v="TXN_1003865"/>
    <s v="CUST_15"/>
    <x v="2"/>
    <x v="187"/>
    <x v="23"/>
    <x v="5"/>
    <n v="32.5"/>
    <x v="1"/>
    <x v="0"/>
    <x v="285"/>
    <x v="0"/>
    <s v="DISCOUNT NOT ALLOWED"/>
    <s v="discount not allowed"/>
    <s v="DISCOUNT NOT ALLOWED"/>
    <s v="Discount Not Allowed"/>
    <s v="12/03/22"/>
  </r>
  <r>
    <s v="TXN_1369755"/>
    <s v="CUST_21"/>
    <x v="6"/>
    <x v="188"/>
    <x v="23"/>
    <x v="5"/>
    <n v="32.5"/>
    <x v="1"/>
    <x v="1"/>
    <x v="500"/>
    <x v="1"/>
    <s v="DISCOUNT ALLOWED"/>
    <s v="discount allowed"/>
    <s v="DISCOUNT ALLOWED"/>
    <s v="Discount Allowed"/>
    <s v="16/06/23"/>
  </r>
  <r>
    <s v="TXN_1588681"/>
    <s v="CUST_06"/>
    <x v="2"/>
    <x v="187"/>
    <x v="23"/>
    <x v="5"/>
    <n v="32.5"/>
    <x v="2"/>
    <x v="0"/>
    <x v="392"/>
    <x v="1"/>
    <s v="DISCOUNT ALLOWED"/>
    <s v="discount allowed"/>
    <s v="DISCOUNT ALLOWED"/>
    <s v="Discount Allowed"/>
    <s v="13/01/23"/>
  </r>
  <r>
    <s v="TXN_1712895"/>
    <s v="CUST_07"/>
    <x v="6"/>
    <x v="188"/>
    <x v="23"/>
    <x v="5"/>
    <n v="32.5"/>
    <x v="0"/>
    <x v="1"/>
    <x v="874"/>
    <x v="0"/>
    <s v="DISCOUNT NOT ALLOWED"/>
    <s v="discount not allowed"/>
    <s v="DISCOUNT NOT ALLOWED"/>
    <s v="Discount Not Allowed"/>
    <s v="06/09/24"/>
  </r>
  <r>
    <s v="TXN_1897179"/>
    <s v="CUST_19"/>
    <x v="1"/>
    <x v="184"/>
    <x v="23"/>
    <x v="5"/>
    <n v="32.5"/>
    <x v="2"/>
    <x v="0"/>
    <x v="449"/>
    <x v="1"/>
    <s v="DISCOUNT ALLOWED"/>
    <s v="discount allowed"/>
    <s v="DISCOUNT ALLOWED"/>
    <s v="Discount Allowed"/>
    <s v="27/03/22"/>
  </r>
  <r>
    <s v="TXN_2327830"/>
    <s v="CUST_10"/>
    <x v="1"/>
    <x v="184"/>
    <x v="23"/>
    <x v="5"/>
    <n v="32.5"/>
    <x v="1"/>
    <x v="1"/>
    <x v="1078"/>
    <x v="0"/>
    <s v="DISCOUNT NOT ALLOWED"/>
    <s v="discount not allowed"/>
    <s v="DISCOUNT NOT ALLOWED"/>
    <s v="Discount Not Allowed"/>
    <s v="15/01/24"/>
  </r>
  <r>
    <s v="TXN_2391758"/>
    <s v="CUST_09"/>
    <x v="6"/>
    <x v="188"/>
    <x v="23"/>
    <x v="5"/>
    <n v="32.5"/>
    <x v="2"/>
    <x v="0"/>
    <x v="358"/>
    <x v="1"/>
    <s v="DISCOUNT ALLOWED"/>
    <s v="discount allowed"/>
    <s v="DISCOUNT ALLOWED"/>
    <s v="Discount Allowed"/>
    <s v="01/10/22"/>
  </r>
  <r>
    <s v="TXN_2712285"/>
    <s v="CUST_22"/>
    <x v="2"/>
    <x v="187"/>
    <x v="23"/>
    <x v="5"/>
    <n v="32.5"/>
    <x v="1"/>
    <x v="1"/>
    <x v="706"/>
    <x v="0"/>
    <s v="DISCOUNT NOT ALLOWED"/>
    <s v="discount not allowed"/>
    <s v="DISCOUNT NOT ALLOWED"/>
    <s v="Discount Not Allowed"/>
    <s v="25/06/22"/>
  </r>
  <r>
    <s v="TXN_3056691"/>
    <s v="CUST_22"/>
    <x v="4"/>
    <x v="185"/>
    <x v="23"/>
    <x v="5"/>
    <n v="32.5"/>
    <x v="2"/>
    <x v="1"/>
    <x v="687"/>
    <x v="1"/>
    <s v="DISCOUNT ALLOWED"/>
    <s v="discount allowed"/>
    <s v="DISCOUNT ALLOWED"/>
    <s v="Discount Allowed"/>
    <s v="08/10/22"/>
  </r>
  <r>
    <s v="TXN_3416162"/>
    <s v="CUST_16"/>
    <x v="6"/>
    <x v="188"/>
    <x v="23"/>
    <x v="5"/>
    <n v="32.5"/>
    <x v="0"/>
    <x v="1"/>
    <x v="1079"/>
    <x v="0"/>
    <s v="DISCOUNT NOT ALLOWED"/>
    <s v="discount not allowed"/>
    <s v="DISCOUNT NOT ALLOWED"/>
    <s v="Discount Not Allowed"/>
    <s v="15/01/25"/>
  </r>
  <r>
    <s v="TXN_3475563"/>
    <s v="CUST_16"/>
    <x v="1"/>
    <x v="184"/>
    <x v="23"/>
    <x v="5"/>
    <n v="32.5"/>
    <x v="1"/>
    <x v="1"/>
    <x v="671"/>
    <x v="0"/>
    <s v="DISCOUNT NOT ALLOWED"/>
    <s v="discount not allowed"/>
    <s v="DISCOUNT NOT ALLOWED"/>
    <s v="Discount Not Allowed"/>
    <s v="09/08/24"/>
  </r>
  <r>
    <s v="TXN_3487125"/>
    <s v="CUST_09"/>
    <x v="3"/>
    <x v="189"/>
    <x v="23"/>
    <x v="5"/>
    <n v="32.5"/>
    <x v="0"/>
    <x v="0"/>
    <x v="707"/>
    <x v="1"/>
    <s v="DISCOUNT ALLOWED"/>
    <s v="discount allowed"/>
    <s v="DISCOUNT ALLOWED"/>
    <s v="Discount Allowed"/>
    <s v="08/06/23"/>
  </r>
  <r>
    <s v="TXN_3994212"/>
    <s v="CUST_16"/>
    <x v="2"/>
    <x v="187"/>
    <x v="23"/>
    <x v="5"/>
    <n v="32.5"/>
    <x v="1"/>
    <x v="1"/>
    <x v="1058"/>
    <x v="1"/>
    <s v="DISCOUNT ALLOWED"/>
    <s v="discount allowed"/>
    <s v="DISCOUNT ALLOWED"/>
    <s v="Discount Allowed"/>
    <s v="06/08/22"/>
  </r>
  <r>
    <s v="TXN_4152048"/>
    <s v="CUST_20"/>
    <x v="1"/>
    <x v="184"/>
    <x v="23"/>
    <x v="5"/>
    <n v="32.5"/>
    <x v="0"/>
    <x v="0"/>
    <x v="270"/>
    <x v="1"/>
    <s v="DISCOUNT ALLOWED"/>
    <s v="discount allowed"/>
    <s v="DISCOUNT ALLOWED"/>
    <s v="Discount Allowed"/>
    <s v="08/11/23"/>
  </r>
  <r>
    <s v="TXN_4403790"/>
    <s v="CUST_21"/>
    <x v="2"/>
    <x v="187"/>
    <x v="23"/>
    <x v="5"/>
    <n v="32.5"/>
    <x v="0"/>
    <x v="0"/>
    <x v="225"/>
    <x v="0"/>
    <s v="DISCOUNT NOT ALLOWED"/>
    <s v="discount not allowed"/>
    <s v="DISCOUNT NOT ALLOWED"/>
    <s v="Discount Not Allowed"/>
    <s v="26/03/23"/>
  </r>
  <r>
    <s v="TXN_4487199"/>
    <s v="CUST_25"/>
    <x v="3"/>
    <x v="189"/>
    <x v="23"/>
    <x v="5"/>
    <n v="32.5"/>
    <x v="0"/>
    <x v="1"/>
    <x v="470"/>
    <x v="1"/>
    <s v="DISCOUNT ALLOWED"/>
    <s v="discount allowed"/>
    <s v="DISCOUNT ALLOWED"/>
    <s v="Discount Allowed"/>
    <s v="31/10/24"/>
  </r>
  <r>
    <s v="TXN_4865362"/>
    <s v="CUST_18"/>
    <x v="3"/>
    <x v="189"/>
    <x v="23"/>
    <x v="5"/>
    <n v="32.5"/>
    <x v="2"/>
    <x v="0"/>
    <x v="624"/>
    <x v="1"/>
    <s v="DISCOUNT ALLOWED"/>
    <s v="discount allowed"/>
    <s v="DISCOUNT ALLOWED"/>
    <s v="Discount Allowed"/>
    <s v="30/01/22"/>
  </r>
  <r>
    <s v="TXN_5991314"/>
    <s v="CUST_06"/>
    <x v="1"/>
    <x v="184"/>
    <x v="23"/>
    <x v="5"/>
    <n v="32.5"/>
    <x v="0"/>
    <x v="0"/>
    <x v="441"/>
    <x v="0"/>
    <s v="DISCOUNT NOT ALLOWED"/>
    <s v="discount not allowed"/>
    <s v="DISCOUNT NOT ALLOWED"/>
    <s v="Discount Not Allowed"/>
    <s v="09/05/22"/>
  </r>
  <r>
    <s v="TXN_6287586"/>
    <s v="CUST_15"/>
    <x v="7"/>
    <x v="191"/>
    <x v="23"/>
    <x v="5"/>
    <n v="32.5"/>
    <x v="0"/>
    <x v="1"/>
    <x v="998"/>
    <x v="0"/>
    <s v="DISCOUNT NOT ALLOWED"/>
    <s v="discount not allowed"/>
    <s v="DISCOUNT NOT ALLOWED"/>
    <s v="Discount Not Allowed"/>
    <s v="25/03/22"/>
  </r>
  <r>
    <s v="TXN_6470413"/>
    <s v="CUST_11"/>
    <x v="1"/>
    <x v="184"/>
    <x v="23"/>
    <x v="5"/>
    <n v="32.5"/>
    <x v="1"/>
    <x v="1"/>
    <x v="870"/>
    <x v="1"/>
    <s v="DISCOUNT ALLOWED"/>
    <s v="discount allowed"/>
    <s v="DISCOUNT ALLOWED"/>
    <s v="Discount Allowed"/>
    <s v="18/09/22"/>
  </r>
  <r>
    <s v="TXN_7324451"/>
    <s v="CUST_02"/>
    <x v="1"/>
    <x v="184"/>
    <x v="23"/>
    <x v="5"/>
    <n v="32.5"/>
    <x v="2"/>
    <x v="1"/>
    <x v="633"/>
    <x v="1"/>
    <s v="DISCOUNT ALLOWED"/>
    <s v="discount allowed"/>
    <s v="DISCOUNT ALLOWED"/>
    <s v="Discount Allowed"/>
    <s v="03/08/24"/>
  </r>
  <r>
    <s v="TXN_7572090"/>
    <s v="CUST_09"/>
    <x v="2"/>
    <x v="187"/>
    <x v="23"/>
    <x v="5"/>
    <n v="32.5"/>
    <x v="2"/>
    <x v="0"/>
    <x v="61"/>
    <x v="0"/>
    <s v="DISCOUNT NOT ALLOWED"/>
    <s v="discount not allowed"/>
    <s v="DISCOUNT NOT ALLOWED"/>
    <s v="Discount Not Allowed"/>
    <s v="18/01/23"/>
  </r>
  <r>
    <s v="TXN_7618002"/>
    <s v="CUST_02"/>
    <x v="3"/>
    <x v="189"/>
    <x v="23"/>
    <x v="5"/>
    <n v="32.5"/>
    <x v="2"/>
    <x v="0"/>
    <x v="661"/>
    <x v="0"/>
    <s v="DISCOUNT NOT ALLOWED"/>
    <s v="discount not allowed"/>
    <s v="DISCOUNT NOT ALLOWED"/>
    <s v="Discount Not Allowed"/>
    <s v="12/06/23"/>
  </r>
  <r>
    <s v="TXN_7650764"/>
    <s v="CUST_08"/>
    <x v="2"/>
    <x v="187"/>
    <x v="23"/>
    <x v="5"/>
    <n v="32.5"/>
    <x v="1"/>
    <x v="0"/>
    <x v="820"/>
    <x v="1"/>
    <s v="DISCOUNT ALLOWED"/>
    <s v="discount allowed"/>
    <s v="DISCOUNT ALLOWED"/>
    <s v="Discount Allowed"/>
    <s v="07/10/23"/>
  </r>
  <r>
    <s v="TXN_7870096"/>
    <s v="CUST_06"/>
    <x v="3"/>
    <x v="189"/>
    <x v="23"/>
    <x v="5"/>
    <n v="32.5"/>
    <x v="1"/>
    <x v="1"/>
    <x v="1001"/>
    <x v="0"/>
    <s v="DISCOUNT NOT ALLOWED"/>
    <s v="discount not allowed"/>
    <s v="DISCOUNT NOT ALLOWED"/>
    <s v="Discount Not Allowed"/>
    <s v="03/05/23"/>
  </r>
  <r>
    <s v="TXN_7931338"/>
    <s v="CUST_11"/>
    <x v="1"/>
    <x v="184"/>
    <x v="23"/>
    <x v="5"/>
    <n v="32.5"/>
    <x v="0"/>
    <x v="1"/>
    <x v="799"/>
    <x v="1"/>
    <s v="DISCOUNT ALLOWED"/>
    <s v="discount allowed"/>
    <s v="DISCOUNT ALLOWED"/>
    <s v="Discount Allowed"/>
    <s v="30/10/24"/>
  </r>
  <r>
    <s v="TXN_8033989"/>
    <s v="CUST_06"/>
    <x v="1"/>
    <x v="184"/>
    <x v="23"/>
    <x v="5"/>
    <n v="32.5"/>
    <x v="1"/>
    <x v="1"/>
    <x v="902"/>
    <x v="1"/>
    <s v="DISCOUNT ALLOWED"/>
    <s v="discount allowed"/>
    <s v="DISCOUNT ALLOWED"/>
    <s v="Discount Allowed"/>
    <s v="29/08/24"/>
  </r>
  <r>
    <s v="TXN_8037528"/>
    <s v="CUST_15"/>
    <x v="1"/>
    <x v="184"/>
    <x v="23"/>
    <x v="5"/>
    <n v="32.5"/>
    <x v="0"/>
    <x v="0"/>
    <x v="482"/>
    <x v="0"/>
    <s v="DISCOUNT NOT ALLOWED"/>
    <s v="discount not allowed"/>
    <s v="DISCOUNT NOT ALLOWED"/>
    <s v="Discount Not Allowed"/>
    <s v="03/03/23"/>
  </r>
  <r>
    <s v="TXN_8062274"/>
    <s v="CUST_08"/>
    <x v="5"/>
    <x v="190"/>
    <x v="23"/>
    <x v="5"/>
    <n v="32.5"/>
    <x v="2"/>
    <x v="1"/>
    <x v="167"/>
    <x v="1"/>
    <s v="DISCOUNT ALLOWED"/>
    <s v="discount allowed"/>
    <s v="DISCOUNT ALLOWED"/>
    <s v="Discount Allowed"/>
    <s v="16/04/22"/>
  </r>
  <r>
    <s v="TXN_8177813"/>
    <s v="CUST_03"/>
    <x v="7"/>
    <x v="191"/>
    <x v="23"/>
    <x v="5"/>
    <n v="32.5"/>
    <x v="2"/>
    <x v="1"/>
    <x v="923"/>
    <x v="0"/>
    <s v="DISCOUNT NOT ALLOWED"/>
    <s v="discount not allowed"/>
    <s v="DISCOUNT NOT ALLOWED"/>
    <s v="Discount Not Allowed"/>
    <s v="01/12/23"/>
  </r>
  <r>
    <s v="TXN_8625757"/>
    <s v="CUST_02"/>
    <x v="1"/>
    <x v="184"/>
    <x v="23"/>
    <x v="5"/>
    <n v="32.5"/>
    <x v="1"/>
    <x v="1"/>
    <x v="168"/>
    <x v="1"/>
    <s v="DISCOUNT ALLOWED"/>
    <s v="discount allowed"/>
    <s v="DISCOUNT ALLOWED"/>
    <s v="Discount Allowed"/>
    <s v="29/06/22"/>
  </r>
  <r>
    <s v="TXN_9369177"/>
    <s v="CUST_07"/>
    <x v="5"/>
    <x v="190"/>
    <x v="23"/>
    <x v="5"/>
    <n v="32.5"/>
    <x v="2"/>
    <x v="1"/>
    <x v="1042"/>
    <x v="0"/>
    <s v="DISCOUNT NOT ALLOWED"/>
    <s v="discount not allowed"/>
    <s v="DISCOUNT NOT ALLOWED"/>
    <s v="Discount Not Allowed"/>
    <s v="05/10/22"/>
  </r>
  <r>
    <s v="TXN_9818960"/>
    <s v="CUST_10"/>
    <x v="1"/>
    <x v="184"/>
    <x v="23"/>
    <x v="5"/>
    <n v="32.5"/>
    <x v="2"/>
    <x v="1"/>
    <x v="272"/>
    <x v="0"/>
    <s v="DISCOUNT NOT ALLOWED"/>
    <s v="discount not allowed"/>
    <s v="DISCOUNT NOT ALLOWED"/>
    <s v="Discount Not Allowed"/>
    <s v="08/04/22"/>
  </r>
  <r>
    <s v="TXN_1137120"/>
    <s v="CUST_06"/>
    <x v="0"/>
    <x v="47"/>
    <x v="6"/>
    <x v="9"/>
    <n v="32"/>
    <x v="2"/>
    <x v="0"/>
    <x v="417"/>
    <x v="1"/>
    <s v="DISCOUNT ALLOWED"/>
    <s v="discount allowed"/>
    <s v="DISCOUNT ALLOWED"/>
    <s v="Discount Allowed"/>
    <s v="17/10/24"/>
  </r>
  <r>
    <s v="TXN_1174385"/>
    <s v="CUST_18"/>
    <x v="6"/>
    <x v="49"/>
    <x v="6"/>
    <x v="9"/>
    <n v="32"/>
    <x v="1"/>
    <x v="1"/>
    <x v="1035"/>
    <x v="1"/>
    <s v="DISCOUNT ALLOWED"/>
    <s v="discount allowed"/>
    <s v="DISCOUNT ALLOWED"/>
    <s v="Discount Allowed"/>
    <s v="12/03/24"/>
  </r>
  <r>
    <s v="TXN_1266935"/>
    <s v="CUST_05"/>
    <x v="6"/>
    <x v="49"/>
    <x v="6"/>
    <x v="9"/>
    <n v="32"/>
    <x v="1"/>
    <x v="0"/>
    <x v="435"/>
    <x v="0"/>
    <s v="DISCOUNT NOT ALLOWED"/>
    <s v="discount not allowed"/>
    <s v="DISCOUNT NOT ALLOWED"/>
    <s v="Discount Not Allowed"/>
    <s v="26/10/23"/>
  </r>
  <r>
    <s v="TXN_1534876"/>
    <s v="CUST_12"/>
    <x v="0"/>
    <x v="179"/>
    <x v="22"/>
    <x v="6"/>
    <n v="32"/>
    <x v="2"/>
    <x v="0"/>
    <x v="70"/>
    <x v="1"/>
    <s v="DISCOUNT ALLOWED"/>
    <s v="discount allowed"/>
    <s v="DISCOUNT ALLOWED"/>
    <s v="Discount Allowed"/>
    <s v="18/06/24"/>
  </r>
  <r>
    <s v="TXN_1635054"/>
    <s v="CUST_10"/>
    <x v="4"/>
    <x v="176"/>
    <x v="22"/>
    <x v="6"/>
    <n v="32"/>
    <x v="1"/>
    <x v="0"/>
    <x v="133"/>
    <x v="0"/>
    <s v="DISCOUNT NOT ALLOWED"/>
    <s v="discount not allowed"/>
    <s v="DISCOUNT NOT ALLOWED"/>
    <s v="Discount Not Allowed"/>
    <s v="17/01/24"/>
  </r>
  <r>
    <s v="TXN_1667308"/>
    <s v="CUST_04"/>
    <x v="7"/>
    <x v="45"/>
    <x v="6"/>
    <x v="9"/>
    <n v="32"/>
    <x v="1"/>
    <x v="1"/>
    <x v="278"/>
    <x v="1"/>
    <s v="DISCOUNT ALLOWED"/>
    <s v="discount allowed"/>
    <s v="DISCOUNT ALLOWED"/>
    <s v="Discount Allowed"/>
    <s v="26/12/24"/>
  </r>
  <r>
    <s v="TXN_2017195"/>
    <s v="CUST_19"/>
    <x v="7"/>
    <x v="181"/>
    <x v="22"/>
    <x v="6"/>
    <n v="32"/>
    <x v="1"/>
    <x v="1"/>
    <x v="311"/>
    <x v="0"/>
    <s v="DISCOUNT NOT ALLOWED"/>
    <s v="discount not allowed"/>
    <s v="DISCOUNT NOT ALLOWED"/>
    <s v="Discount Not Allowed"/>
    <s v="27/03/23"/>
  </r>
  <r>
    <s v="TXN_2212643"/>
    <s v="CUST_09"/>
    <x v="4"/>
    <x v="176"/>
    <x v="22"/>
    <x v="6"/>
    <n v="32"/>
    <x v="2"/>
    <x v="1"/>
    <x v="426"/>
    <x v="0"/>
    <s v="DISCOUNT NOT ALLOWED"/>
    <s v="discount not allowed"/>
    <s v="DISCOUNT NOT ALLOWED"/>
    <s v="Discount Not Allowed"/>
    <s v="29/12/22"/>
  </r>
  <r>
    <s v="TXN_2557410"/>
    <s v="CUST_20"/>
    <x v="1"/>
    <x v="50"/>
    <x v="6"/>
    <x v="9"/>
    <n v="32"/>
    <x v="2"/>
    <x v="0"/>
    <x v="83"/>
    <x v="0"/>
    <s v="DISCOUNT NOT ALLOWED"/>
    <s v="discount not allowed"/>
    <s v="DISCOUNT NOT ALLOWED"/>
    <s v="Discount Not Allowed"/>
    <s v="21/12/23"/>
  </r>
  <r>
    <s v="TXN_3032775"/>
    <s v="CUST_07"/>
    <x v="6"/>
    <x v="182"/>
    <x v="22"/>
    <x v="6"/>
    <n v="32"/>
    <x v="1"/>
    <x v="0"/>
    <x v="821"/>
    <x v="1"/>
    <s v="DISCOUNT ALLOWED"/>
    <s v="discount allowed"/>
    <s v="DISCOUNT ALLOWED"/>
    <s v="Discount Allowed"/>
    <s v="14/05/22"/>
  </r>
  <r>
    <s v="TXN_3035757"/>
    <s v="CUST_07"/>
    <x v="0"/>
    <x v="179"/>
    <x v="22"/>
    <x v="6"/>
    <n v="32"/>
    <x v="2"/>
    <x v="0"/>
    <x v="1033"/>
    <x v="1"/>
    <s v="DISCOUNT ALLOWED"/>
    <s v="discount allowed"/>
    <s v="DISCOUNT ALLOWED"/>
    <s v="Discount Allowed"/>
    <s v="16/05/23"/>
  </r>
  <r>
    <s v="TXN_3145941"/>
    <s v="CUST_11"/>
    <x v="0"/>
    <x v="179"/>
    <x v="22"/>
    <x v="6"/>
    <n v="32"/>
    <x v="2"/>
    <x v="1"/>
    <x v="938"/>
    <x v="0"/>
    <s v="DISCOUNT NOT ALLOWED"/>
    <s v="discount not allowed"/>
    <s v="DISCOUNT NOT ALLOWED"/>
    <s v="Discount Not Allowed"/>
    <s v="05/06/24"/>
  </r>
  <r>
    <s v="TXN_3354650"/>
    <s v="CUST_21"/>
    <x v="5"/>
    <x v="48"/>
    <x v="6"/>
    <x v="9"/>
    <n v="32"/>
    <x v="0"/>
    <x v="0"/>
    <x v="202"/>
    <x v="0"/>
    <s v="DISCOUNT NOT ALLOWED"/>
    <s v="discount not allowed"/>
    <s v="DISCOUNT NOT ALLOWED"/>
    <s v="Discount Not Allowed"/>
    <s v="10/04/24"/>
  </r>
  <r>
    <s v="TXN_3392533"/>
    <s v="CUST_17"/>
    <x v="3"/>
    <x v="177"/>
    <x v="22"/>
    <x v="6"/>
    <n v="32"/>
    <x v="2"/>
    <x v="1"/>
    <x v="513"/>
    <x v="0"/>
    <s v="DISCOUNT NOT ALLOWED"/>
    <s v="discount not allowed"/>
    <s v="DISCOUNT NOT ALLOWED"/>
    <s v="Discount Not Allowed"/>
    <s v="01/07/24"/>
  </r>
  <r>
    <s v="TXN_3595305"/>
    <s v="CUST_03"/>
    <x v="6"/>
    <x v="49"/>
    <x v="6"/>
    <x v="9"/>
    <n v="32"/>
    <x v="1"/>
    <x v="1"/>
    <x v="701"/>
    <x v="1"/>
    <s v="DISCOUNT ALLOWED"/>
    <s v="discount allowed"/>
    <s v="DISCOUNT ALLOWED"/>
    <s v="Discount Allowed"/>
    <s v="16/04/23"/>
  </r>
  <r>
    <s v="TXN_3759367"/>
    <s v="CUST_18"/>
    <x v="1"/>
    <x v="50"/>
    <x v="6"/>
    <x v="9"/>
    <n v="32"/>
    <x v="0"/>
    <x v="1"/>
    <x v="403"/>
    <x v="1"/>
    <s v="DISCOUNT ALLOWED"/>
    <s v="discount allowed"/>
    <s v="DISCOUNT ALLOWED"/>
    <s v="Discount Allowed"/>
    <s v="07/05/23"/>
  </r>
  <r>
    <s v="TXN_4288023"/>
    <s v="CUST_06"/>
    <x v="2"/>
    <x v="85"/>
    <x v="6"/>
    <x v="9"/>
    <n v="32"/>
    <x v="1"/>
    <x v="1"/>
    <x v="430"/>
    <x v="1"/>
    <s v="DISCOUNT ALLOWED"/>
    <s v="discount allowed"/>
    <s v="DISCOUNT ALLOWED"/>
    <s v="Discount Allowed"/>
    <s v="04/05/23"/>
  </r>
  <r>
    <s v="TXN_4318867"/>
    <s v="CUST_09"/>
    <x v="6"/>
    <x v="49"/>
    <x v="6"/>
    <x v="9"/>
    <n v="32"/>
    <x v="0"/>
    <x v="1"/>
    <x v="147"/>
    <x v="1"/>
    <s v="DISCOUNT ALLOWED"/>
    <s v="discount allowed"/>
    <s v="DISCOUNT ALLOWED"/>
    <s v="Discount Allowed"/>
    <s v="15/07/23"/>
  </r>
  <r>
    <s v="TXN_4437254"/>
    <s v="CUST_11"/>
    <x v="4"/>
    <x v="176"/>
    <x v="22"/>
    <x v="6"/>
    <n v="32"/>
    <x v="0"/>
    <x v="0"/>
    <x v="813"/>
    <x v="1"/>
    <s v="DISCOUNT ALLOWED"/>
    <s v="discount allowed"/>
    <s v="DISCOUNT ALLOWED"/>
    <s v="Discount Allowed"/>
    <s v="22/07/23"/>
  </r>
  <r>
    <s v="TXN_4597899"/>
    <s v="CUST_07"/>
    <x v="1"/>
    <x v="50"/>
    <x v="6"/>
    <x v="9"/>
    <n v="32"/>
    <x v="1"/>
    <x v="0"/>
    <x v="1095"/>
    <x v="1"/>
    <s v="DISCOUNT ALLOWED"/>
    <s v="discount allowed"/>
    <s v="DISCOUNT ALLOWED"/>
    <s v="Discount Allowed"/>
    <s v="26/05/24"/>
  </r>
  <r>
    <s v="TXN_4907871"/>
    <s v="CUST_20"/>
    <x v="2"/>
    <x v="85"/>
    <x v="6"/>
    <x v="9"/>
    <n v="32"/>
    <x v="0"/>
    <x v="0"/>
    <x v="908"/>
    <x v="0"/>
    <s v="DISCOUNT NOT ALLOWED"/>
    <s v="discount not allowed"/>
    <s v="DISCOUNT NOT ALLOWED"/>
    <s v="Discount Not Allowed"/>
    <s v="26/04/23"/>
  </r>
  <r>
    <s v="TXN_4910271"/>
    <s v="CUST_11"/>
    <x v="0"/>
    <x v="47"/>
    <x v="6"/>
    <x v="9"/>
    <n v="32"/>
    <x v="1"/>
    <x v="0"/>
    <x v="738"/>
    <x v="1"/>
    <s v="DISCOUNT ALLOWED"/>
    <s v="discount allowed"/>
    <s v="DISCOUNT ALLOWED"/>
    <s v="Discount Allowed"/>
    <s v="09/02/24"/>
  </r>
  <r>
    <s v="TXN_4934703"/>
    <s v="CUST_12"/>
    <x v="6"/>
    <x v="49"/>
    <x v="6"/>
    <x v="9"/>
    <n v="32"/>
    <x v="1"/>
    <x v="0"/>
    <x v="946"/>
    <x v="1"/>
    <s v="DISCOUNT ALLOWED"/>
    <s v="discount allowed"/>
    <s v="DISCOUNT ALLOWED"/>
    <s v="Discount Allowed"/>
    <s v="25/11/24"/>
  </r>
  <r>
    <s v="TXN_5240246"/>
    <s v="CUST_24"/>
    <x v="3"/>
    <x v="177"/>
    <x v="22"/>
    <x v="6"/>
    <n v="32"/>
    <x v="1"/>
    <x v="0"/>
    <x v="1069"/>
    <x v="1"/>
    <s v="DISCOUNT ALLOWED"/>
    <s v="discount allowed"/>
    <s v="DISCOUNT ALLOWED"/>
    <s v="Discount Allowed"/>
    <s v="22/09/22"/>
  </r>
  <r>
    <s v="TXN_5261739"/>
    <s v="CUST_12"/>
    <x v="0"/>
    <x v="47"/>
    <x v="6"/>
    <x v="9"/>
    <n v="32"/>
    <x v="0"/>
    <x v="1"/>
    <x v="663"/>
    <x v="0"/>
    <s v="DISCOUNT NOT ALLOWED"/>
    <s v="discount not allowed"/>
    <s v="DISCOUNT NOT ALLOWED"/>
    <s v="Discount Not Allowed"/>
    <s v="05/04/23"/>
  </r>
  <r>
    <s v="TXN_5356491"/>
    <s v="CUST_24"/>
    <x v="0"/>
    <x v="179"/>
    <x v="22"/>
    <x v="6"/>
    <n v="32"/>
    <x v="0"/>
    <x v="0"/>
    <x v="402"/>
    <x v="1"/>
    <s v="DISCOUNT ALLOWED"/>
    <s v="discount allowed"/>
    <s v="DISCOUNT ALLOWED"/>
    <s v="Discount Allowed"/>
    <s v="07/09/23"/>
  </r>
  <r>
    <s v="TXN_5387564"/>
    <s v="CUST_12"/>
    <x v="4"/>
    <x v="176"/>
    <x v="22"/>
    <x v="6"/>
    <n v="32"/>
    <x v="1"/>
    <x v="1"/>
    <x v="295"/>
    <x v="0"/>
    <s v="DISCOUNT NOT ALLOWED"/>
    <s v="discount not allowed"/>
    <s v="DISCOUNT NOT ALLOWED"/>
    <s v="Discount Not Allowed"/>
    <s v="31/03/22"/>
  </r>
  <r>
    <s v="TXN_5460403"/>
    <s v="CUST_13"/>
    <x v="6"/>
    <x v="49"/>
    <x v="6"/>
    <x v="9"/>
    <n v="32"/>
    <x v="1"/>
    <x v="0"/>
    <x v="307"/>
    <x v="1"/>
    <s v="DISCOUNT ALLOWED"/>
    <s v="discount allowed"/>
    <s v="DISCOUNT ALLOWED"/>
    <s v="Discount Allowed"/>
    <s v="10/12/24"/>
  </r>
  <r>
    <s v="TXN_5621564"/>
    <s v="CUST_09"/>
    <x v="4"/>
    <x v="69"/>
    <x v="6"/>
    <x v="9"/>
    <n v="32"/>
    <x v="1"/>
    <x v="1"/>
    <x v="99"/>
    <x v="0"/>
    <s v="DISCOUNT NOT ALLOWED"/>
    <s v="discount not allowed"/>
    <s v="DISCOUNT NOT ALLOWED"/>
    <s v="Discount Not Allowed"/>
    <s v="04/03/23"/>
  </r>
  <r>
    <s v="TXN_5902799"/>
    <s v="CUST_15"/>
    <x v="0"/>
    <x v="179"/>
    <x v="22"/>
    <x v="6"/>
    <n v="32"/>
    <x v="2"/>
    <x v="0"/>
    <x v="722"/>
    <x v="1"/>
    <s v="DISCOUNT ALLOWED"/>
    <s v="discount allowed"/>
    <s v="DISCOUNT ALLOWED"/>
    <s v="Discount Allowed"/>
    <s v="03/09/23"/>
  </r>
  <r>
    <s v="TXN_5903404"/>
    <s v="CUST_16"/>
    <x v="2"/>
    <x v="85"/>
    <x v="6"/>
    <x v="9"/>
    <n v="32"/>
    <x v="0"/>
    <x v="1"/>
    <x v="185"/>
    <x v="0"/>
    <s v="DISCOUNT NOT ALLOWED"/>
    <s v="discount not allowed"/>
    <s v="DISCOUNT NOT ALLOWED"/>
    <s v="Discount Not Allowed"/>
    <s v="08/08/24"/>
  </r>
  <r>
    <s v="TXN_6108978"/>
    <s v="CUST_20"/>
    <x v="0"/>
    <x v="179"/>
    <x v="22"/>
    <x v="6"/>
    <n v="32"/>
    <x v="1"/>
    <x v="1"/>
    <x v="543"/>
    <x v="0"/>
    <s v="DISCOUNT NOT ALLOWED"/>
    <s v="discount not allowed"/>
    <s v="DISCOUNT NOT ALLOWED"/>
    <s v="Discount Not Allowed"/>
    <s v="17/11/22"/>
  </r>
  <r>
    <s v="TXN_6241258"/>
    <s v="CUST_19"/>
    <x v="3"/>
    <x v="177"/>
    <x v="22"/>
    <x v="6"/>
    <n v="32"/>
    <x v="2"/>
    <x v="1"/>
    <x v="110"/>
    <x v="1"/>
    <s v="DISCOUNT ALLOWED"/>
    <s v="discount allowed"/>
    <s v="DISCOUNT ALLOWED"/>
    <s v="Discount Allowed"/>
    <s v="27/07/24"/>
  </r>
  <r>
    <s v="TXN_6505976"/>
    <s v="CUST_16"/>
    <x v="0"/>
    <x v="47"/>
    <x v="6"/>
    <x v="9"/>
    <n v="32"/>
    <x v="0"/>
    <x v="1"/>
    <x v="32"/>
    <x v="1"/>
    <s v="DISCOUNT ALLOWED"/>
    <s v="discount allowed"/>
    <s v="DISCOUNT ALLOWED"/>
    <s v="Discount Allowed"/>
    <s v="24/08/23"/>
  </r>
  <r>
    <s v="TXN_6657055"/>
    <s v="CUST_05"/>
    <x v="3"/>
    <x v="177"/>
    <x v="22"/>
    <x v="6"/>
    <n v="32"/>
    <x v="1"/>
    <x v="1"/>
    <x v="769"/>
    <x v="0"/>
    <s v="DISCOUNT NOT ALLOWED"/>
    <s v="discount not allowed"/>
    <s v="DISCOUNT NOT ALLOWED"/>
    <s v="Discount Not Allowed"/>
    <s v="02/12/22"/>
  </r>
  <r>
    <s v="TXN_6811437"/>
    <s v="CUST_23"/>
    <x v="2"/>
    <x v="178"/>
    <x v="22"/>
    <x v="6"/>
    <n v="32"/>
    <x v="0"/>
    <x v="1"/>
    <x v="604"/>
    <x v="0"/>
    <s v="DISCOUNT NOT ALLOWED"/>
    <s v="discount not allowed"/>
    <s v="DISCOUNT NOT ALLOWED"/>
    <s v="Discount Not Allowed"/>
    <s v="28/01/24"/>
  </r>
  <r>
    <s v="TXN_6900823"/>
    <s v="CUST_04"/>
    <x v="3"/>
    <x v="177"/>
    <x v="22"/>
    <x v="6"/>
    <n v="32"/>
    <x v="2"/>
    <x v="0"/>
    <x v="398"/>
    <x v="1"/>
    <s v="DISCOUNT ALLOWED"/>
    <s v="discount allowed"/>
    <s v="DISCOUNT ALLOWED"/>
    <s v="Discount Allowed"/>
    <s v="27/02/24"/>
  </r>
  <r>
    <s v="TXN_7178378"/>
    <s v="CUST_24"/>
    <x v="1"/>
    <x v="180"/>
    <x v="22"/>
    <x v="6"/>
    <n v="32"/>
    <x v="1"/>
    <x v="0"/>
    <x v="192"/>
    <x v="1"/>
    <s v="DISCOUNT ALLOWED"/>
    <s v="discount allowed"/>
    <s v="DISCOUNT ALLOWED"/>
    <s v="Discount Allowed"/>
    <s v="17/05/24"/>
  </r>
  <r>
    <s v="TXN_7185925"/>
    <s v="CUST_03"/>
    <x v="0"/>
    <x v="179"/>
    <x v="22"/>
    <x v="6"/>
    <n v="32"/>
    <x v="0"/>
    <x v="1"/>
    <x v="624"/>
    <x v="0"/>
    <s v="DISCOUNT NOT ALLOWED"/>
    <s v="discount not allowed"/>
    <s v="DISCOUNT NOT ALLOWED"/>
    <s v="Discount Not Allowed"/>
    <s v="30/01/22"/>
  </r>
  <r>
    <s v="TXN_7551798"/>
    <s v="CUST_20"/>
    <x v="3"/>
    <x v="177"/>
    <x v="22"/>
    <x v="6"/>
    <n v="32"/>
    <x v="0"/>
    <x v="0"/>
    <x v="756"/>
    <x v="1"/>
    <s v="DISCOUNT ALLOWED"/>
    <s v="discount allowed"/>
    <s v="DISCOUNT ALLOWED"/>
    <s v="Discount Allowed"/>
    <s v="15/06/23"/>
  </r>
  <r>
    <s v="TXN_7987242"/>
    <s v="CUST_10"/>
    <x v="2"/>
    <x v="178"/>
    <x v="22"/>
    <x v="6"/>
    <n v="32"/>
    <x v="1"/>
    <x v="0"/>
    <x v="68"/>
    <x v="1"/>
    <s v="DISCOUNT ALLOWED"/>
    <s v="discount allowed"/>
    <s v="DISCOUNT ALLOWED"/>
    <s v="Discount Allowed"/>
    <s v="05/11/23"/>
  </r>
  <r>
    <s v="TXN_8151892"/>
    <s v="CUST_10"/>
    <x v="1"/>
    <x v="50"/>
    <x v="6"/>
    <x v="9"/>
    <n v="32"/>
    <x v="1"/>
    <x v="0"/>
    <x v="229"/>
    <x v="1"/>
    <s v="DISCOUNT ALLOWED"/>
    <s v="discount allowed"/>
    <s v="DISCOUNT ALLOWED"/>
    <s v="Discount Allowed"/>
    <s v="16/03/24"/>
  </r>
  <r>
    <s v="TXN_8160981"/>
    <s v="CUST_15"/>
    <x v="5"/>
    <x v="48"/>
    <x v="6"/>
    <x v="9"/>
    <n v="32"/>
    <x v="2"/>
    <x v="0"/>
    <x v="67"/>
    <x v="1"/>
    <s v="DISCOUNT ALLOWED"/>
    <s v="discount allowed"/>
    <s v="DISCOUNT ALLOWED"/>
    <s v="Discount Allowed"/>
    <s v="18/08/22"/>
  </r>
  <r>
    <s v="TXN_8252271"/>
    <s v="CUST_15"/>
    <x v="0"/>
    <x v="47"/>
    <x v="6"/>
    <x v="9"/>
    <n v="32"/>
    <x v="2"/>
    <x v="0"/>
    <x v="860"/>
    <x v="1"/>
    <s v="DISCOUNT ALLOWED"/>
    <s v="discount allowed"/>
    <s v="DISCOUNT ALLOWED"/>
    <s v="Discount Allowed"/>
    <s v="23/09/23"/>
  </r>
  <r>
    <s v="TXN_8403235"/>
    <s v="CUST_05"/>
    <x v="0"/>
    <x v="179"/>
    <x v="22"/>
    <x v="6"/>
    <n v="32"/>
    <x v="1"/>
    <x v="1"/>
    <x v="1095"/>
    <x v="1"/>
    <s v="DISCOUNT ALLOWED"/>
    <s v="discount allowed"/>
    <s v="DISCOUNT ALLOWED"/>
    <s v="Discount Allowed"/>
    <s v="26/05/24"/>
  </r>
  <r>
    <s v="TXN_8462959"/>
    <s v="CUST_19"/>
    <x v="3"/>
    <x v="177"/>
    <x v="22"/>
    <x v="6"/>
    <n v="32"/>
    <x v="2"/>
    <x v="1"/>
    <x v="722"/>
    <x v="0"/>
    <s v="DISCOUNT NOT ALLOWED"/>
    <s v="discount not allowed"/>
    <s v="DISCOUNT NOT ALLOWED"/>
    <s v="Discount Not Allowed"/>
    <s v="03/09/23"/>
  </r>
  <r>
    <s v="TXN_8600677"/>
    <s v="CUST_21"/>
    <x v="6"/>
    <x v="49"/>
    <x v="6"/>
    <x v="9"/>
    <n v="32"/>
    <x v="0"/>
    <x v="1"/>
    <x v="857"/>
    <x v="1"/>
    <s v="DISCOUNT ALLOWED"/>
    <s v="discount allowed"/>
    <s v="DISCOUNT ALLOWED"/>
    <s v="Discount Allowed"/>
    <s v="29/08/23"/>
  </r>
  <r>
    <s v="TXN_9201978"/>
    <s v="CUST_21"/>
    <x v="3"/>
    <x v="177"/>
    <x v="22"/>
    <x v="6"/>
    <n v="32"/>
    <x v="1"/>
    <x v="0"/>
    <x v="447"/>
    <x v="1"/>
    <s v="DISCOUNT ALLOWED"/>
    <s v="discount allowed"/>
    <s v="DISCOUNT ALLOWED"/>
    <s v="Discount Allowed"/>
    <s v="08/01/24"/>
  </r>
  <r>
    <s v="TXN_9272728"/>
    <s v="CUST_19"/>
    <x v="0"/>
    <x v="47"/>
    <x v="6"/>
    <x v="9"/>
    <n v="32"/>
    <x v="1"/>
    <x v="1"/>
    <x v="149"/>
    <x v="1"/>
    <s v="DISCOUNT ALLOWED"/>
    <s v="discount allowed"/>
    <s v="DISCOUNT ALLOWED"/>
    <s v="Discount Allowed"/>
    <s v="13/06/22"/>
  </r>
  <r>
    <s v="TXN_9571758"/>
    <s v="CUST_01"/>
    <x v="2"/>
    <x v="178"/>
    <x v="22"/>
    <x v="6"/>
    <n v="32"/>
    <x v="0"/>
    <x v="0"/>
    <x v="618"/>
    <x v="1"/>
    <s v="DISCOUNT ALLOWED"/>
    <s v="discount allowed"/>
    <s v="DISCOUNT ALLOWED"/>
    <s v="Discount Allowed"/>
    <s v="23/01/24"/>
  </r>
  <r>
    <s v="TXN_9792470"/>
    <s v="CUST_18"/>
    <x v="4"/>
    <x v="176"/>
    <x v="22"/>
    <x v="6"/>
    <n v="32"/>
    <x v="2"/>
    <x v="1"/>
    <x v="602"/>
    <x v="1"/>
    <s v="DISCOUNT ALLOWED"/>
    <s v="discount allowed"/>
    <s v="DISCOUNT ALLOWED"/>
    <s v="Discount Allowed"/>
    <s v="22/01/24"/>
  </r>
  <r>
    <s v="TXN_9855768"/>
    <s v="CUST_02"/>
    <x v="0"/>
    <x v="179"/>
    <x v="22"/>
    <x v="6"/>
    <n v="32"/>
    <x v="1"/>
    <x v="0"/>
    <x v="922"/>
    <x v="0"/>
    <s v="DISCOUNT NOT ALLOWED"/>
    <s v="discount not allowed"/>
    <s v="DISCOUNT NOT ALLOWED"/>
    <s v="Discount Not Allowed"/>
    <s v="06/02/24"/>
  </r>
  <r>
    <s v="TXN_9915974"/>
    <s v="CUST_24"/>
    <x v="6"/>
    <x v="49"/>
    <x v="6"/>
    <x v="9"/>
    <n v="32"/>
    <x v="1"/>
    <x v="0"/>
    <x v="566"/>
    <x v="0"/>
    <s v="DISCOUNT NOT ALLOWED"/>
    <s v="discount not allowed"/>
    <s v="DISCOUNT NOT ALLOWED"/>
    <s v="Discount Not Allowed"/>
    <s v="16/11/24"/>
  </r>
  <r>
    <s v="TXN_9986826"/>
    <s v="CUST_11"/>
    <x v="1"/>
    <x v="180"/>
    <x v="22"/>
    <x v="6"/>
    <n v="32"/>
    <x v="2"/>
    <x v="0"/>
    <x v="488"/>
    <x v="0"/>
    <s v="DISCOUNT NOT ALLOWED"/>
    <s v="discount not allowed"/>
    <s v="DISCOUNT NOT ALLOWED"/>
    <s v="Discount Not Allowed"/>
    <s v="30/01/24"/>
  </r>
  <r>
    <s v="TXN_1141808"/>
    <s v="CUST_23"/>
    <x v="7"/>
    <x v="137"/>
    <x v="17"/>
    <x v="8"/>
    <n v="31"/>
    <x v="2"/>
    <x v="0"/>
    <x v="1102"/>
    <x v="0"/>
    <s v="DISCOUNT NOT ALLOWED"/>
    <s v="discount not allowed"/>
    <s v="DISCOUNT NOT ALLOWED"/>
    <s v="Discount Not Allowed"/>
    <s v="14/03/22"/>
  </r>
  <r>
    <s v="TXN_1851169"/>
    <s v="CUST_18"/>
    <x v="1"/>
    <x v="136"/>
    <x v="17"/>
    <x v="8"/>
    <n v="31"/>
    <x v="0"/>
    <x v="0"/>
    <x v="838"/>
    <x v="0"/>
    <s v="DISCOUNT NOT ALLOWED"/>
    <s v="discount not allowed"/>
    <s v="DISCOUNT NOT ALLOWED"/>
    <s v="Discount Not Allowed"/>
    <s v="24/10/22"/>
  </r>
  <r>
    <s v="TXN_2651294"/>
    <s v="CUST_19"/>
    <x v="7"/>
    <x v="137"/>
    <x v="17"/>
    <x v="8"/>
    <n v="31"/>
    <x v="2"/>
    <x v="1"/>
    <x v="576"/>
    <x v="0"/>
    <s v="DISCOUNT NOT ALLOWED"/>
    <s v="discount not allowed"/>
    <s v="DISCOUNT NOT ALLOWED"/>
    <s v="Discount Not Allowed"/>
    <s v="18/11/23"/>
  </r>
  <r>
    <s v="TXN_2738816"/>
    <s v="CUST_03"/>
    <x v="0"/>
    <x v="139"/>
    <x v="17"/>
    <x v="8"/>
    <n v="31"/>
    <x v="1"/>
    <x v="1"/>
    <x v="1080"/>
    <x v="0"/>
    <s v="DISCOUNT NOT ALLOWED"/>
    <s v="discount not allowed"/>
    <s v="DISCOUNT NOT ALLOWED"/>
    <s v="Discount Not Allowed"/>
    <s v="13/01/25"/>
  </r>
  <r>
    <s v="TXN_3293968"/>
    <s v="CUST_19"/>
    <x v="5"/>
    <x v="138"/>
    <x v="17"/>
    <x v="8"/>
    <n v="31"/>
    <x v="2"/>
    <x v="0"/>
    <x v="50"/>
    <x v="1"/>
    <s v="DISCOUNT ALLOWED"/>
    <s v="discount allowed"/>
    <s v="DISCOUNT ALLOWED"/>
    <s v="Discount Allowed"/>
    <s v="17/01/22"/>
  </r>
  <r>
    <s v="TXN_3301515"/>
    <s v="CUST_17"/>
    <x v="5"/>
    <x v="138"/>
    <x v="17"/>
    <x v="8"/>
    <n v="31"/>
    <x v="2"/>
    <x v="0"/>
    <x v="588"/>
    <x v="1"/>
    <s v="DISCOUNT ALLOWED"/>
    <s v="discount allowed"/>
    <s v="DISCOUNT ALLOWED"/>
    <s v="Discount Allowed"/>
    <s v="10/01/22"/>
  </r>
  <r>
    <s v="TXN_3384905"/>
    <s v="CUST_19"/>
    <x v="1"/>
    <x v="136"/>
    <x v="17"/>
    <x v="8"/>
    <n v="31"/>
    <x v="2"/>
    <x v="0"/>
    <x v="516"/>
    <x v="1"/>
    <s v="DISCOUNT ALLOWED"/>
    <s v="discount allowed"/>
    <s v="DISCOUNT ALLOWED"/>
    <s v="Discount Allowed"/>
    <s v="28/12/23"/>
  </r>
  <r>
    <s v="TXN_3774181"/>
    <s v="CUST_13"/>
    <x v="2"/>
    <x v="135"/>
    <x v="17"/>
    <x v="8"/>
    <n v="31"/>
    <x v="0"/>
    <x v="1"/>
    <x v="651"/>
    <x v="0"/>
    <s v="DISCOUNT NOT ALLOWED"/>
    <s v="discount not allowed"/>
    <s v="DISCOUNT NOT ALLOWED"/>
    <s v="Discount Not Allowed"/>
    <s v="01/05/22"/>
  </r>
  <r>
    <s v="TXN_3945230"/>
    <s v="CUST_15"/>
    <x v="5"/>
    <x v="138"/>
    <x v="17"/>
    <x v="8"/>
    <n v="31"/>
    <x v="0"/>
    <x v="0"/>
    <x v="749"/>
    <x v="0"/>
    <s v="DISCOUNT NOT ALLOWED"/>
    <s v="discount not allowed"/>
    <s v="DISCOUNT NOT ALLOWED"/>
    <s v="Discount Not Allowed"/>
    <s v="24/04/23"/>
  </r>
  <r>
    <s v="TXN_4076284"/>
    <s v="CUST_05"/>
    <x v="0"/>
    <x v="139"/>
    <x v="17"/>
    <x v="8"/>
    <n v="31"/>
    <x v="2"/>
    <x v="0"/>
    <x v="753"/>
    <x v="1"/>
    <s v="DISCOUNT ALLOWED"/>
    <s v="discount allowed"/>
    <s v="DISCOUNT ALLOWED"/>
    <s v="Discount Allowed"/>
    <s v="12/01/25"/>
  </r>
  <r>
    <s v="TXN_4142861"/>
    <s v="CUST_22"/>
    <x v="0"/>
    <x v="139"/>
    <x v="17"/>
    <x v="8"/>
    <n v="31"/>
    <x v="0"/>
    <x v="1"/>
    <x v="604"/>
    <x v="1"/>
    <s v="DISCOUNT ALLOWED"/>
    <s v="discount allowed"/>
    <s v="DISCOUNT ALLOWED"/>
    <s v="Discount Allowed"/>
    <s v="28/01/24"/>
  </r>
  <r>
    <s v="TXN_4425679"/>
    <s v="CUST_16"/>
    <x v="5"/>
    <x v="138"/>
    <x v="17"/>
    <x v="8"/>
    <n v="31"/>
    <x v="2"/>
    <x v="1"/>
    <x v="1066"/>
    <x v="0"/>
    <s v="DISCOUNT NOT ALLOWED"/>
    <s v="discount not allowed"/>
    <s v="DISCOUNT NOT ALLOWED"/>
    <s v="Discount Not Allowed"/>
    <s v="09/11/22"/>
  </r>
  <r>
    <s v="TXN_4532532"/>
    <s v="CUST_13"/>
    <x v="2"/>
    <x v="135"/>
    <x v="17"/>
    <x v="8"/>
    <n v="31"/>
    <x v="1"/>
    <x v="0"/>
    <x v="737"/>
    <x v="1"/>
    <s v="DISCOUNT ALLOWED"/>
    <s v="discount allowed"/>
    <s v="DISCOUNT ALLOWED"/>
    <s v="Discount Allowed"/>
    <s v="21/11/24"/>
  </r>
  <r>
    <s v="TXN_4956684"/>
    <s v="CUST_23"/>
    <x v="2"/>
    <x v="135"/>
    <x v="17"/>
    <x v="8"/>
    <n v="31"/>
    <x v="1"/>
    <x v="0"/>
    <x v="1043"/>
    <x v="1"/>
    <s v="DISCOUNT ALLOWED"/>
    <s v="discount allowed"/>
    <s v="DISCOUNT ALLOWED"/>
    <s v="Discount Allowed"/>
    <s v="18/04/22"/>
  </r>
  <r>
    <s v="TXN_5270278"/>
    <s v="CUST_14"/>
    <x v="0"/>
    <x v="139"/>
    <x v="17"/>
    <x v="8"/>
    <n v="31"/>
    <x v="1"/>
    <x v="0"/>
    <x v="254"/>
    <x v="1"/>
    <s v="DISCOUNT ALLOWED"/>
    <s v="discount allowed"/>
    <s v="DISCOUNT ALLOWED"/>
    <s v="Discount Allowed"/>
    <s v="13/02/22"/>
  </r>
  <r>
    <s v="TXN_5529274"/>
    <s v="CUST_17"/>
    <x v="0"/>
    <x v="139"/>
    <x v="17"/>
    <x v="8"/>
    <n v="31"/>
    <x v="0"/>
    <x v="1"/>
    <x v="691"/>
    <x v="0"/>
    <s v="DISCOUNT NOT ALLOWED"/>
    <s v="discount not allowed"/>
    <s v="DISCOUNT NOT ALLOWED"/>
    <s v="Discount Not Allowed"/>
    <s v="28/05/24"/>
  </r>
  <r>
    <s v="TXN_5543548"/>
    <s v="CUST_13"/>
    <x v="7"/>
    <x v="137"/>
    <x v="17"/>
    <x v="8"/>
    <n v="31"/>
    <x v="2"/>
    <x v="0"/>
    <x v="491"/>
    <x v="0"/>
    <s v="DISCOUNT NOT ALLOWED"/>
    <s v="discount not allowed"/>
    <s v="DISCOUNT NOT ALLOWED"/>
    <s v="Discount Not Allowed"/>
    <s v="01/01/23"/>
  </r>
  <r>
    <s v="TXN_6005962"/>
    <s v="CUST_22"/>
    <x v="5"/>
    <x v="138"/>
    <x v="17"/>
    <x v="8"/>
    <n v="31"/>
    <x v="1"/>
    <x v="0"/>
    <x v="404"/>
    <x v="0"/>
    <s v="DISCOUNT NOT ALLOWED"/>
    <s v="discount not allowed"/>
    <s v="DISCOUNT NOT ALLOWED"/>
    <s v="Discount Not Allowed"/>
    <s v="23/11/22"/>
  </r>
  <r>
    <s v="TXN_7308742"/>
    <s v="CUST_14"/>
    <x v="2"/>
    <x v="135"/>
    <x v="17"/>
    <x v="8"/>
    <n v="31"/>
    <x v="2"/>
    <x v="1"/>
    <x v="958"/>
    <x v="0"/>
    <s v="DISCOUNT NOT ALLOWED"/>
    <s v="discount not allowed"/>
    <s v="DISCOUNT NOT ALLOWED"/>
    <s v="Discount Not Allowed"/>
    <s v="19/07/23"/>
  </r>
  <r>
    <s v="TXN_7472179"/>
    <s v="CUST_04"/>
    <x v="5"/>
    <x v="138"/>
    <x v="17"/>
    <x v="8"/>
    <n v="31"/>
    <x v="0"/>
    <x v="0"/>
    <x v="300"/>
    <x v="1"/>
    <s v="DISCOUNT ALLOWED"/>
    <s v="discount allowed"/>
    <s v="DISCOUNT ALLOWED"/>
    <s v="Discount Allowed"/>
    <s v="14/04/22"/>
  </r>
  <r>
    <s v="TXN_7739400"/>
    <s v="CUST_06"/>
    <x v="0"/>
    <x v="139"/>
    <x v="17"/>
    <x v="8"/>
    <n v="31"/>
    <x v="1"/>
    <x v="1"/>
    <x v="813"/>
    <x v="0"/>
    <s v="DISCOUNT NOT ALLOWED"/>
    <s v="discount not allowed"/>
    <s v="DISCOUNT NOT ALLOWED"/>
    <s v="Discount Not Allowed"/>
    <s v="22/07/23"/>
  </r>
  <r>
    <s v="TXN_7871362"/>
    <s v="CUST_14"/>
    <x v="3"/>
    <x v="134"/>
    <x v="17"/>
    <x v="8"/>
    <n v="31"/>
    <x v="1"/>
    <x v="0"/>
    <x v="360"/>
    <x v="1"/>
    <s v="DISCOUNT ALLOWED"/>
    <s v="discount allowed"/>
    <s v="DISCOUNT ALLOWED"/>
    <s v="Discount Allowed"/>
    <s v="20/06/22"/>
  </r>
  <r>
    <s v="TXN_8596178"/>
    <s v="CUST_04"/>
    <x v="2"/>
    <x v="135"/>
    <x v="17"/>
    <x v="8"/>
    <n v="31"/>
    <x v="0"/>
    <x v="1"/>
    <x v="530"/>
    <x v="1"/>
    <s v="DISCOUNT ALLOWED"/>
    <s v="discount allowed"/>
    <s v="DISCOUNT ALLOWED"/>
    <s v="Discount Allowed"/>
    <s v="25/10/22"/>
  </r>
  <r>
    <s v="TXN_8789017"/>
    <s v="CUST_13"/>
    <x v="0"/>
    <x v="139"/>
    <x v="17"/>
    <x v="8"/>
    <n v="31"/>
    <x v="1"/>
    <x v="0"/>
    <x v="239"/>
    <x v="0"/>
    <s v="DISCOUNT NOT ALLOWED"/>
    <s v="discount not allowed"/>
    <s v="DISCOUNT NOT ALLOWED"/>
    <s v="Discount Not Allowed"/>
    <s v="21/02/23"/>
  </r>
  <r>
    <s v="TXN_9037382"/>
    <s v="CUST_05"/>
    <x v="5"/>
    <x v="138"/>
    <x v="17"/>
    <x v="8"/>
    <n v="31"/>
    <x v="0"/>
    <x v="0"/>
    <x v="846"/>
    <x v="1"/>
    <s v="DISCOUNT ALLOWED"/>
    <s v="discount allowed"/>
    <s v="DISCOUNT ALLOWED"/>
    <s v="Discount Allowed"/>
    <s v="29/03/23"/>
  </r>
  <r>
    <s v="TXN_9690494"/>
    <s v="CUST_09"/>
    <x v="0"/>
    <x v="139"/>
    <x v="17"/>
    <x v="8"/>
    <n v="31"/>
    <x v="2"/>
    <x v="0"/>
    <x v="43"/>
    <x v="0"/>
    <s v="DISCOUNT NOT ALLOWED"/>
    <s v="discount not allowed"/>
    <s v="DISCOUNT NOT ALLOWED"/>
    <s v="Discount Not Allowed"/>
    <s v="10/06/24"/>
  </r>
  <r>
    <s v="TXN_9717609"/>
    <s v="CUST_16"/>
    <x v="6"/>
    <x v="140"/>
    <x v="17"/>
    <x v="8"/>
    <n v="31"/>
    <x v="1"/>
    <x v="1"/>
    <x v="766"/>
    <x v="1"/>
    <s v="DISCOUNT ALLOWED"/>
    <s v="discount allowed"/>
    <s v="DISCOUNT ALLOWED"/>
    <s v="Discount Allowed"/>
    <s v="09/12/22"/>
  </r>
  <r>
    <s v="TXN_1245067"/>
    <s v="CUST_21"/>
    <x v="4"/>
    <x v="53"/>
    <x v="7"/>
    <x v="9"/>
    <n v="30.5"/>
    <x v="2"/>
    <x v="0"/>
    <x v="1081"/>
    <x v="0"/>
    <s v="DISCOUNT NOT ALLOWED"/>
    <s v="discount not allowed"/>
    <s v="DISCOUNT NOT ALLOWED"/>
    <s v="Discount Not Allowed"/>
    <s v="15/08/23"/>
  </r>
  <r>
    <s v="TXN_1411456"/>
    <s v="CUST_23"/>
    <x v="6"/>
    <x v="58"/>
    <x v="7"/>
    <x v="9"/>
    <n v="30.5"/>
    <x v="1"/>
    <x v="1"/>
    <x v="760"/>
    <x v="1"/>
    <s v="DISCOUNT ALLOWED"/>
    <s v="discount allowed"/>
    <s v="DISCOUNT ALLOWED"/>
    <s v="Discount Allowed"/>
    <s v="30/11/22"/>
  </r>
  <r>
    <s v="TXN_2021252"/>
    <s v="CUST_09"/>
    <x v="4"/>
    <x v="53"/>
    <x v="7"/>
    <x v="9"/>
    <n v="30.5"/>
    <x v="2"/>
    <x v="1"/>
    <x v="1079"/>
    <x v="1"/>
    <s v="DISCOUNT ALLOWED"/>
    <s v="discount allowed"/>
    <s v="DISCOUNT ALLOWED"/>
    <s v="Discount Allowed"/>
    <s v="15/01/25"/>
  </r>
  <r>
    <s v="TXN_2459842"/>
    <s v="CUST_12"/>
    <x v="7"/>
    <x v="60"/>
    <x v="7"/>
    <x v="9"/>
    <n v="30.5"/>
    <x v="0"/>
    <x v="1"/>
    <x v="639"/>
    <x v="1"/>
    <s v="DISCOUNT ALLOWED"/>
    <s v="discount allowed"/>
    <s v="DISCOUNT ALLOWED"/>
    <s v="Discount Allowed"/>
    <s v="29/07/24"/>
  </r>
  <r>
    <s v="TXN_2843646"/>
    <s v="CUST_12"/>
    <x v="4"/>
    <x v="53"/>
    <x v="7"/>
    <x v="9"/>
    <n v="30.5"/>
    <x v="1"/>
    <x v="1"/>
    <x v="484"/>
    <x v="0"/>
    <s v="DISCOUNT NOT ALLOWED"/>
    <s v="discount not allowed"/>
    <s v="DISCOUNT NOT ALLOWED"/>
    <s v="Discount Not Allowed"/>
    <s v="26/06/24"/>
  </r>
  <r>
    <s v="TXN_3555481"/>
    <s v="CUST_24"/>
    <x v="3"/>
    <x v="55"/>
    <x v="7"/>
    <x v="9"/>
    <n v="30.5"/>
    <x v="0"/>
    <x v="1"/>
    <x v="64"/>
    <x v="0"/>
    <s v="DISCOUNT NOT ALLOWED"/>
    <s v="discount not allowed"/>
    <s v="DISCOUNT NOT ALLOWED"/>
    <s v="Discount Not Allowed"/>
    <s v="09/03/24"/>
  </r>
  <r>
    <s v="TXN_3767932"/>
    <s v="CUST_09"/>
    <x v="0"/>
    <x v="57"/>
    <x v="7"/>
    <x v="9"/>
    <n v="30.5"/>
    <x v="2"/>
    <x v="0"/>
    <x v="988"/>
    <x v="0"/>
    <s v="DISCOUNT NOT ALLOWED"/>
    <s v="discount not allowed"/>
    <s v="DISCOUNT NOT ALLOWED"/>
    <s v="Discount Not Allowed"/>
    <s v="06/04/22"/>
  </r>
  <r>
    <s v="TXN_4191425"/>
    <s v="CUST_25"/>
    <x v="1"/>
    <x v="59"/>
    <x v="7"/>
    <x v="9"/>
    <n v="30.5"/>
    <x v="0"/>
    <x v="1"/>
    <x v="724"/>
    <x v="0"/>
    <s v="DISCOUNT NOT ALLOWED"/>
    <s v="discount not allowed"/>
    <s v="DISCOUNT NOT ALLOWED"/>
    <s v="Discount Not Allowed"/>
    <s v="08/10/24"/>
  </r>
  <r>
    <s v="TXN_4663019"/>
    <s v="CUST_06"/>
    <x v="4"/>
    <x v="53"/>
    <x v="7"/>
    <x v="9"/>
    <n v="30.5"/>
    <x v="2"/>
    <x v="1"/>
    <x v="174"/>
    <x v="1"/>
    <s v="DISCOUNT ALLOWED"/>
    <s v="discount allowed"/>
    <s v="DISCOUNT ALLOWED"/>
    <s v="Discount Allowed"/>
    <s v="29/11/22"/>
  </r>
  <r>
    <s v="TXN_4893741"/>
    <s v="CUST_02"/>
    <x v="7"/>
    <x v="60"/>
    <x v="7"/>
    <x v="9"/>
    <n v="30.5"/>
    <x v="0"/>
    <x v="0"/>
    <x v="81"/>
    <x v="1"/>
    <s v="DISCOUNT ALLOWED"/>
    <s v="discount allowed"/>
    <s v="DISCOUNT ALLOWED"/>
    <s v="Discount Allowed"/>
    <s v="08/01/25"/>
  </r>
  <r>
    <s v="TXN_5277679"/>
    <s v="CUST_20"/>
    <x v="6"/>
    <x v="58"/>
    <x v="7"/>
    <x v="9"/>
    <n v="30.5"/>
    <x v="2"/>
    <x v="1"/>
    <x v="707"/>
    <x v="0"/>
    <s v="DISCOUNT NOT ALLOWED"/>
    <s v="discount not allowed"/>
    <s v="DISCOUNT NOT ALLOWED"/>
    <s v="Discount Not Allowed"/>
    <s v="08/06/23"/>
  </r>
  <r>
    <s v="TXN_5318952"/>
    <s v="CUST_11"/>
    <x v="4"/>
    <x v="53"/>
    <x v="7"/>
    <x v="9"/>
    <n v="30.5"/>
    <x v="1"/>
    <x v="0"/>
    <x v="753"/>
    <x v="0"/>
    <s v="DISCOUNT NOT ALLOWED"/>
    <s v="discount not allowed"/>
    <s v="DISCOUNT NOT ALLOWED"/>
    <s v="Discount Not Allowed"/>
    <s v="12/01/25"/>
  </r>
  <r>
    <s v="TXN_5671863"/>
    <s v="CUST_10"/>
    <x v="6"/>
    <x v="58"/>
    <x v="7"/>
    <x v="9"/>
    <n v="30.5"/>
    <x v="0"/>
    <x v="0"/>
    <x v="835"/>
    <x v="0"/>
    <s v="DISCOUNT NOT ALLOWED"/>
    <s v="discount not allowed"/>
    <s v="DISCOUNT NOT ALLOWED"/>
    <s v="Discount Not Allowed"/>
    <s v="20/03/22"/>
  </r>
  <r>
    <s v="TXN_6685805"/>
    <s v="CUST_23"/>
    <x v="1"/>
    <x v="59"/>
    <x v="7"/>
    <x v="9"/>
    <n v="30.5"/>
    <x v="0"/>
    <x v="0"/>
    <x v="727"/>
    <x v="0"/>
    <s v="DISCOUNT NOT ALLOWED"/>
    <s v="discount not allowed"/>
    <s v="DISCOUNT NOT ALLOWED"/>
    <s v="Discount Not Allowed"/>
    <s v="06/10/23"/>
  </r>
  <r>
    <s v="TXN_7603643"/>
    <s v="CUST_22"/>
    <x v="0"/>
    <x v="57"/>
    <x v="7"/>
    <x v="9"/>
    <n v="30.5"/>
    <x v="0"/>
    <x v="0"/>
    <x v="315"/>
    <x v="1"/>
    <s v="DISCOUNT ALLOWED"/>
    <s v="discount allowed"/>
    <s v="DISCOUNT ALLOWED"/>
    <s v="Discount Allowed"/>
    <s v="28/09/23"/>
  </r>
  <r>
    <s v="TXN_8147277"/>
    <s v="CUST_06"/>
    <x v="1"/>
    <x v="59"/>
    <x v="7"/>
    <x v="9"/>
    <n v="30.5"/>
    <x v="0"/>
    <x v="1"/>
    <x v="1099"/>
    <x v="0"/>
    <s v="DISCOUNT NOT ALLOWED"/>
    <s v="discount not allowed"/>
    <s v="DISCOUNT NOT ALLOWED"/>
    <s v="Discount Not Allowed"/>
    <s v="24/12/22"/>
  </r>
  <r>
    <s v="TXN_1293495"/>
    <s v="CUST_03"/>
    <x v="3"/>
    <x v="197"/>
    <x v="24"/>
    <x v="4"/>
    <n v="30"/>
    <x v="0"/>
    <x v="1"/>
    <x v="792"/>
    <x v="0"/>
    <s v="DISCOUNT NOT ALLOWED"/>
    <s v="discount not allowed"/>
    <s v="DISCOUNT NOT ALLOWED"/>
    <s v="Discount Not Allowed"/>
    <s v="10/11/23"/>
  </r>
  <r>
    <s v="TXN_1374547"/>
    <s v="CUST_22"/>
    <x v="2"/>
    <x v="199"/>
    <x v="24"/>
    <x v="4"/>
    <n v="30"/>
    <x v="2"/>
    <x v="0"/>
    <x v="114"/>
    <x v="1"/>
    <s v="DISCOUNT ALLOWED"/>
    <s v="discount allowed"/>
    <s v="DISCOUNT ALLOWED"/>
    <s v="Discount Allowed"/>
    <s v="13/04/22"/>
  </r>
  <r>
    <s v="TXN_1792802"/>
    <s v="CUST_02"/>
    <x v="2"/>
    <x v="199"/>
    <x v="24"/>
    <x v="4"/>
    <n v="30"/>
    <x v="2"/>
    <x v="1"/>
    <x v="282"/>
    <x v="1"/>
    <s v="DISCOUNT ALLOWED"/>
    <s v="discount allowed"/>
    <s v="DISCOUNT ALLOWED"/>
    <s v="Discount Allowed"/>
    <s v="20/06/23"/>
  </r>
  <r>
    <s v="TXN_2016332"/>
    <s v="CUST_17"/>
    <x v="7"/>
    <x v="192"/>
    <x v="24"/>
    <x v="4"/>
    <n v="30"/>
    <x v="0"/>
    <x v="0"/>
    <x v="361"/>
    <x v="1"/>
    <s v="DISCOUNT ALLOWED"/>
    <s v="discount allowed"/>
    <s v="DISCOUNT ALLOWED"/>
    <s v="Discount Allowed"/>
    <s v="17/12/22"/>
  </r>
  <r>
    <s v="TXN_2163300"/>
    <s v="CUST_12"/>
    <x v="4"/>
    <x v="198"/>
    <x v="24"/>
    <x v="4"/>
    <n v="30"/>
    <x v="1"/>
    <x v="1"/>
    <x v="241"/>
    <x v="0"/>
    <s v="DISCOUNT NOT ALLOWED"/>
    <s v="discount not allowed"/>
    <s v="DISCOUNT NOT ALLOWED"/>
    <s v="Discount Not Allowed"/>
    <s v="07/02/24"/>
  </r>
  <r>
    <s v="TXN_2570631"/>
    <s v="CUST_19"/>
    <x v="7"/>
    <x v="192"/>
    <x v="24"/>
    <x v="4"/>
    <n v="30"/>
    <x v="2"/>
    <x v="0"/>
    <x v="355"/>
    <x v="0"/>
    <s v="DISCOUNT NOT ALLOWED"/>
    <s v="discount not allowed"/>
    <s v="DISCOUNT NOT ALLOWED"/>
    <s v="Discount Not Allowed"/>
    <s v="23/12/24"/>
  </r>
  <r>
    <s v="TXN_3025023"/>
    <s v="CUST_23"/>
    <x v="3"/>
    <x v="197"/>
    <x v="24"/>
    <x v="4"/>
    <n v="30"/>
    <x v="0"/>
    <x v="1"/>
    <x v="1068"/>
    <x v="1"/>
    <s v="DISCOUNT ALLOWED"/>
    <s v="discount allowed"/>
    <s v="DISCOUNT ALLOWED"/>
    <s v="Discount Allowed"/>
    <s v="13/04/23"/>
  </r>
  <r>
    <s v="TXN_3218155"/>
    <s v="CUST_19"/>
    <x v="5"/>
    <x v="194"/>
    <x v="24"/>
    <x v="4"/>
    <n v="30"/>
    <x v="2"/>
    <x v="1"/>
    <x v="372"/>
    <x v="1"/>
    <s v="DISCOUNT ALLOWED"/>
    <s v="discount allowed"/>
    <s v="DISCOUNT ALLOWED"/>
    <s v="Discount Allowed"/>
    <s v="17/07/24"/>
  </r>
  <r>
    <s v="TXN_3246191"/>
    <s v="CUST_22"/>
    <x v="0"/>
    <x v="195"/>
    <x v="24"/>
    <x v="4"/>
    <n v="30"/>
    <x v="2"/>
    <x v="0"/>
    <x v="155"/>
    <x v="0"/>
    <s v="DISCOUNT NOT ALLOWED"/>
    <s v="discount not allowed"/>
    <s v="DISCOUNT NOT ALLOWED"/>
    <s v="Discount Not Allowed"/>
    <s v="19/02/22"/>
  </r>
  <r>
    <s v="TXN_3435040"/>
    <s v="CUST_12"/>
    <x v="7"/>
    <x v="192"/>
    <x v="24"/>
    <x v="4"/>
    <n v="30"/>
    <x v="0"/>
    <x v="1"/>
    <x v="1107"/>
    <x v="0"/>
    <s v="DISCOUNT NOT ALLOWED"/>
    <s v="discount not allowed"/>
    <s v="DISCOUNT NOT ALLOWED"/>
    <s v="Discount Not Allowed"/>
    <s v="26/04/24"/>
  </r>
  <r>
    <s v="TXN_3541009"/>
    <s v="CUST_04"/>
    <x v="1"/>
    <x v="193"/>
    <x v="24"/>
    <x v="4"/>
    <n v="30"/>
    <x v="1"/>
    <x v="1"/>
    <x v="830"/>
    <x v="1"/>
    <s v="DISCOUNT ALLOWED"/>
    <s v="discount allowed"/>
    <s v="DISCOUNT ALLOWED"/>
    <s v="Discount Allowed"/>
    <s v="29/12/23"/>
  </r>
  <r>
    <s v="TXN_3827311"/>
    <s v="CUST_25"/>
    <x v="0"/>
    <x v="195"/>
    <x v="24"/>
    <x v="4"/>
    <n v="30"/>
    <x v="2"/>
    <x v="1"/>
    <x v="544"/>
    <x v="0"/>
    <s v="DISCOUNT NOT ALLOWED"/>
    <s v="discount not allowed"/>
    <s v="DISCOUNT NOT ALLOWED"/>
    <s v="Discount Not Allowed"/>
    <s v="17/07/23"/>
  </r>
  <r>
    <s v="TXN_4701071"/>
    <s v="CUST_13"/>
    <x v="2"/>
    <x v="199"/>
    <x v="24"/>
    <x v="4"/>
    <n v="30"/>
    <x v="0"/>
    <x v="0"/>
    <x v="96"/>
    <x v="1"/>
    <s v="DISCOUNT ALLOWED"/>
    <s v="discount allowed"/>
    <s v="DISCOUNT ALLOWED"/>
    <s v="Discount Allowed"/>
    <s v="11/04/23"/>
  </r>
  <r>
    <s v="TXN_5372777"/>
    <s v="CUST_08"/>
    <x v="0"/>
    <x v="195"/>
    <x v="24"/>
    <x v="4"/>
    <n v="30"/>
    <x v="2"/>
    <x v="0"/>
    <x v="103"/>
    <x v="1"/>
    <s v="DISCOUNT ALLOWED"/>
    <s v="discount allowed"/>
    <s v="DISCOUNT ALLOWED"/>
    <s v="Discount Allowed"/>
    <s v="30/05/22"/>
  </r>
  <r>
    <s v="TXN_5584015"/>
    <s v="CUST_23"/>
    <x v="6"/>
    <x v="196"/>
    <x v="24"/>
    <x v="4"/>
    <n v="30"/>
    <x v="2"/>
    <x v="1"/>
    <x v="206"/>
    <x v="1"/>
    <s v="DISCOUNT ALLOWED"/>
    <s v="discount allowed"/>
    <s v="DISCOUNT ALLOWED"/>
    <s v="Discount Allowed"/>
    <s v="08/02/22"/>
  </r>
  <r>
    <s v="TXN_5595934"/>
    <s v="CUST_08"/>
    <x v="0"/>
    <x v="195"/>
    <x v="24"/>
    <x v="4"/>
    <n v="30"/>
    <x v="0"/>
    <x v="0"/>
    <x v="160"/>
    <x v="1"/>
    <s v="DISCOUNT ALLOWED"/>
    <s v="discount allowed"/>
    <s v="DISCOUNT ALLOWED"/>
    <s v="Discount Allowed"/>
    <s v="20/02/23"/>
  </r>
  <r>
    <s v="TXN_5659150"/>
    <s v="CUST_04"/>
    <x v="1"/>
    <x v="193"/>
    <x v="24"/>
    <x v="4"/>
    <n v="30"/>
    <x v="0"/>
    <x v="0"/>
    <x v="456"/>
    <x v="0"/>
    <s v="DISCOUNT NOT ALLOWED"/>
    <s v="discount not allowed"/>
    <s v="DISCOUNT NOT ALLOWED"/>
    <s v="Discount Not Allowed"/>
    <s v="18/07/24"/>
  </r>
  <r>
    <s v="TXN_5735627"/>
    <s v="CUST_13"/>
    <x v="0"/>
    <x v="195"/>
    <x v="24"/>
    <x v="4"/>
    <n v="30"/>
    <x v="0"/>
    <x v="1"/>
    <x v="616"/>
    <x v="1"/>
    <s v="DISCOUNT ALLOWED"/>
    <s v="discount allowed"/>
    <s v="DISCOUNT ALLOWED"/>
    <s v="Discount Allowed"/>
    <s v="17/08/23"/>
  </r>
  <r>
    <s v="TXN_5937092"/>
    <s v="CUST_02"/>
    <x v="0"/>
    <x v="195"/>
    <x v="24"/>
    <x v="4"/>
    <n v="30"/>
    <x v="2"/>
    <x v="1"/>
    <x v="384"/>
    <x v="0"/>
    <s v="DISCOUNT NOT ALLOWED"/>
    <s v="discount not allowed"/>
    <s v="DISCOUNT NOT ALLOWED"/>
    <s v="Discount Not Allowed"/>
    <s v="12/11/24"/>
  </r>
  <r>
    <s v="TXN_6159378"/>
    <s v="CUST_14"/>
    <x v="0"/>
    <x v="195"/>
    <x v="24"/>
    <x v="4"/>
    <n v="30"/>
    <x v="1"/>
    <x v="0"/>
    <x v="351"/>
    <x v="0"/>
    <s v="DISCOUNT NOT ALLOWED"/>
    <s v="discount not allowed"/>
    <s v="DISCOUNT NOT ALLOWED"/>
    <s v="Discount Not Allowed"/>
    <s v="24/01/23"/>
  </r>
  <r>
    <s v="TXN_6188727"/>
    <s v="CUST_16"/>
    <x v="6"/>
    <x v="196"/>
    <x v="24"/>
    <x v="4"/>
    <n v="30"/>
    <x v="1"/>
    <x v="0"/>
    <x v="235"/>
    <x v="0"/>
    <s v="DISCOUNT NOT ALLOWED"/>
    <s v="discount not allowed"/>
    <s v="DISCOUNT NOT ALLOWED"/>
    <s v="Discount Not Allowed"/>
    <s v="11/01/25"/>
  </r>
  <r>
    <s v="TXN_6519351"/>
    <s v="CUST_10"/>
    <x v="5"/>
    <x v="194"/>
    <x v="24"/>
    <x v="4"/>
    <n v="30"/>
    <x v="1"/>
    <x v="1"/>
    <x v="846"/>
    <x v="0"/>
    <s v="DISCOUNT NOT ALLOWED"/>
    <s v="discount not allowed"/>
    <s v="DISCOUNT NOT ALLOWED"/>
    <s v="Discount Not Allowed"/>
    <s v="29/03/23"/>
  </r>
  <r>
    <s v="TXN_7281592"/>
    <s v="CUST_02"/>
    <x v="0"/>
    <x v="195"/>
    <x v="24"/>
    <x v="4"/>
    <n v="30"/>
    <x v="1"/>
    <x v="1"/>
    <x v="1108"/>
    <x v="0"/>
    <s v="DISCOUNT NOT ALLOWED"/>
    <s v="discount not allowed"/>
    <s v="DISCOUNT NOT ALLOWED"/>
    <s v="Discount Not Allowed"/>
    <s v="30/05/23"/>
  </r>
  <r>
    <s v="TXN_7307996"/>
    <s v="CUST_06"/>
    <x v="7"/>
    <x v="192"/>
    <x v="24"/>
    <x v="4"/>
    <n v="30"/>
    <x v="0"/>
    <x v="1"/>
    <x v="457"/>
    <x v="1"/>
    <s v="DISCOUNT ALLOWED"/>
    <s v="discount allowed"/>
    <s v="DISCOUNT ALLOWED"/>
    <s v="Discount Allowed"/>
    <s v="21/01/22"/>
  </r>
  <r>
    <s v="TXN_9247458"/>
    <s v="CUST_25"/>
    <x v="3"/>
    <x v="197"/>
    <x v="24"/>
    <x v="4"/>
    <n v="30"/>
    <x v="2"/>
    <x v="1"/>
    <x v="430"/>
    <x v="0"/>
    <s v="DISCOUNT NOT ALLOWED"/>
    <s v="discount not allowed"/>
    <s v="DISCOUNT NOT ALLOWED"/>
    <s v="Discount Not Allowed"/>
    <s v="04/05/23"/>
  </r>
  <r>
    <s v="TXN_9258508"/>
    <s v="CUST_01"/>
    <x v="0"/>
    <x v="195"/>
    <x v="24"/>
    <x v="4"/>
    <n v="30"/>
    <x v="0"/>
    <x v="0"/>
    <x v="793"/>
    <x v="1"/>
    <s v="DISCOUNT ALLOWED"/>
    <s v="discount allowed"/>
    <s v="DISCOUNT ALLOWED"/>
    <s v="Discount Allowed"/>
    <s v="01/03/24"/>
  </r>
  <r>
    <s v="TXN_1016655"/>
    <s v="CUST_01"/>
    <x v="4"/>
    <x v="66"/>
    <x v="8"/>
    <x v="9"/>
    <n v="29"/>
    <x v="2"/>
    <x v="0"/>
    <x v="670"/>
    <x v="0"/>
    <s v="DISCOUNT NOT ALLOWED"/>
    <s v="discount not allowed"/>
    <s v="DISCOUNT NOT ALLOWED"/>
    <s v="Discount Not Allowed"/>
    <s v="22/10/23"/>
  </r>
  <r>
    <s v="TXN_1036311"/>
    <s v="CUST_16"/>
    <x v="5"/>
    <x v="67"/>
    <x v="8"/>
    <x v="9"/>
    <n v="29"/>
    <x v="1"/>
    <x v="1"/>
    <x v="801"/>
    <x v="0"/>
    <s v="DISCOUNT NOT ALLOWED"/>
    <s v="discount not allowed"/>
    <s v="DISCOUNT NOT ALLOWED"/>
    <s v="Discount Not Allowed"/>
    <s v="22/12/22"/>
  </r>
  <r>
    <s v="TXN_1166423"/>
    <s v="CUST_08"/>
    <x v="1"/>
    <x v="64"/>
    <x v="8"/>
    <x v="9"/>
    <n v="29"/>
    <x v="1"/>
    <x v="0"/>
    <x v="853"/>
    <x v="1"/>
    <s v="DISCOUNT ALLOWED"/>
    <s v="discount allowed"/>
    <s v="DISCOUNT ALLOWED"/>
    <s v="Discount Allowed"/>
    <s v="12/08/24"/>
  </r>
  <r>
    <s v="TXN_1543853"/>
    <s v="CUST_13"/>
    <x v="7"/>
    <x v="63"/>
    <x v="8"/>
    <x v="9"/>
    <n v="29"/>
    <x v="1"/>
    <x v="1"/>
    <x v="1109"/>
    <x v="1"/>
    <s v="DISCOUNT ALLOWED"/>
    <s v="discount allowed"/>
    <s v="DISCOUNT ALLOWED"/>
    <s v="Discount Allowed"/>
    <s v="07/05/22"/>
  </r>
  <r>
    <s v="TXN_1745446"/>
    <s v="CUST_02"/>
    <x v="6"/>
    <x v="62"/>
    <x v="8"/>
    <x v="9"/>
    <n v="29"/>
    <x v="1"/>
    <x v="0"/>
    <x v="196"/>
    <x v="0"/>
    <s v="DISCOUNT NOT ALLOWED"/>
    <s v="discount not allowed"/>
    <s v="DISCOUNT NOT ALLOWED"/>
    <s v="Discount Not Allowed"/>
    <s v="11/12/22"/>
  </r>
  <r>
    <s v="TXN_2474922"/>
    <s v="CUST_17"/>
    <x v="7"/>
    <x v="63"/>
    <x v="8"/>
    <x v="9"/>
    <n v="29"/>
    <x v="0"/>
    <x v="0"/>
    <x v="25"/>
    <x v="0"/>
    <s v="DISCOUNT NOT ALLOWED"/>
    <s v="discount not allowed"/>
    <s v="DISCOUNT NOT ALLOWED"/>
    <s v="Discount Not Allowed"/>
    <s v="24/09/22"/>
  </r>
  <r>
    <s v="TXN_2587368"/>
    <s v="CUST_01"/>
    <x v="6"/>
    <x v="62"/>
    <x v="8"/>
    <x v="9"/>
    <n v="29"/>
    <x v="2"/>
    <x v="0"/>
    <x v="477"/>
    <x v="1"/>
    <s v="DISCOUNT ALLOWED"/>
    <s v="discount allowed"/>
    <s v="DISCOUNT ALLOWED"/>
    <s v="Discount Allowed"/>
    <s v="28/01/22"/>
  </r>
  <r>
    <s v="TXN_2910590"/>
    <s v="CUST_09"/>
    <x v="7"/>
    <x v="63"/>
    <x v="8"/>
    <x v="9"/>
    <n v="29"/>
    <x v="2"/>
    <x v="0"/>
    <x v="1072"/>
    <x v="0"/>
    <s v="DISCOUNT NOT ALLOWED"/>
    <s v="discount not allowed"/>
    <s v="DISCOUNT NOT ALLOWED"/>
    <s v="Discount Not Allowed"/>
    <s v="17/12/23"/>
  </r>
  <r>
    <s v="TXN_3256316"/>
    <s v="CUST_22"/>
    <x v="4"/>
    <x v="66"/>
    <x v="8"/>
    <x v="9"/>
    <n v="29"/>
    <x v="1"/>
    <x v="0"/>
    <x v="630"/>
    <x v="0"/>
    <s v="DISCOUNT NOT ALLOWED"/>
    <s v="discount not allowed"/>
    <s v="DISCOUNT NOT ALLOWED"/>
    <s v="Discount Not Allowed"/>
    <s v="10/07/24"/>
  </r>
  <r>
    <s v="TXN_3812949"/>
    <s v="CUST_17"/>
    <x v="1"/>
    <x v="64"/>
    <x v="8"/>
    <x v="9"/>
    <n v="29"/>
    <x v="1"/>
    <x v="1"/>
    <x v="1038"/>
    <x v="1"/>
    <s v="DISCOUNT ALLOWED"/>
    <s v="discount allowed"/>
    <s v="DISCOUNT ALLOWED"/>
    <s v="Discount Allowed"/>
    <s v="07/07/23"/>
  </r>
  <r>
    <s v="TXN_4732306"/>
    <s v="CUST_05"/>
    <x v="4"/>
    <x v="66"/>
    <x v="8"/>
    <x v="9"/>
    <n v="29"/>
    <x v="2"/>
    <x v="1"/>
    <x v="1024"/>
    <x v="1"/>
    <s v="DISCOUNT ALLOWED"/>
    <s v="discount allowed"/>
    <s v="DISCOUNT ALLOWED"/>
    <s v="Discount Allowed"/>
    <s v="01/04/24"/>
  </r>
  <r>
    <s v="TXN_5281882"/>
    <s v="CUST_06"/>
    <x v="5"/>
    <x v="67"/>
    <x v="8"/>
    <x v="9"/>
    <n v="29"/>
    <x v="2"/>
    <x v="1"/>
    <x v="100"/>
    <x v="1"/>
    <s v="DISCOUNT ALLOWED"/>
    <s v="discount allowed"/>
    <s v="DISCOUNT ALLOWED"/>
    <s v="Discount Allowed"/>
    <s v="18/02/24"/>
  </r>
  <r>
    <s v="TXN_5380552"/>
    <s v="CUST_05"/>
    <x v="3"/>
    <x v="65"/>
    <x v="8"/>
    <x v="9"/>
    <n v="29"/>
    <x v="2"/>
    <x v="1"/>
    <x v="315"/>
    <x v="0"/>
    <s v="DISCOUNT NOT ALLOWED"/>
    <s v="discount not allowed"/>
    <s v="DISCOUNT NOT ALLOWED"/>
    <s v="Discount Not Allowed"/>
    <s v="28/09/23"/>
  </r>
  <r>
    <s v="TXN_5497844"/>
    <s v="CUST_03"/>
    <x v="0"/>
    <x v="61"/>
    <x v="8"/>
    <x v="9"/>
    <n v="29"/>
    <x v="0"/>
    <x v="1"/>
    <x v="759"/>
    <x v="0"/>
    <s v="DISCOUNT NOT ALLOWED"/>
    <s v="discount not allowed"/>
    <s v="DISCOUNT NOT ALLOWED"/>
    <s v="Discount Not Allowed"/>
    <s v="08/05/24"/>
  </r>
  <r>
    <s v="TXN_5948038"/>
    <s v="CUST_06"/>
    <x v="6"/>
    <x v="62"/>
    <x v="8"/>
    <x v="9"/>
    <n v="29"/>
    <x v="2"/>
    <x v="0"/>
    <x v="1094"/>
    <x v="0"/>
    <s v="DISCOUNT NOT ALLOWED"/>
    <s v="discount not allowed"/>
    <s v="DISCOUNT NOT ALLOWED"/>
    <s v="Discount Not Allowed"/>
    <s v="15/04/23"/>
  </r>
  <r>
    <s v="TXN_6100931"/>
    <s v="CUST_15"/>
    <x v="5"/>
    <x v="67"/>
    <x v="8"/>
    <x v="9"/>
    <n v="29"/>
    <x v="1"/>
    <x v="0"/>
    <x v="433"/>
    <x v="1"/>
    <s v="DISCOUNT ALLOWED"/>
    <s v="discount allowed"/>
    <s v="DISCOUNT ALLOWED"/>
    <s v="Discount Allowed"/>
    <s v="28/04/22"/>
  </r>
  <r>
    <s v="TXN_6516845"/>
    <s v="CUST_07"/>
    <x v="4"/>
    <x v="66"/>
    <x v="8"/>
    <x v="9"/>
    <n v="29"/>
    <x v="1"/>
    <x v="0"/>
    <x v="16"/>
    <x v="1"/>
    <s v="DISCOUNT ALLOWED"/>
    <s v="discount allowed"/>
    <s v="DISCOUNT ALLOWED"/>
    <s v="Discount Allowed"/>
    <s v="11/09/22"/>
  </r>
  <r>
    <s v="TXN_6665991"/>
    <s v="CUST_08"/>
    <x v="7"/>
    <x v="63"/>
    <x v="8"/>
    <x v="9"/>
    <n v="29"/>
    <x v="1"/>
    <x v="0"/>
    <x v="343"/>
    <x v="1"/>
    <s v="DISCOUNT ALLOWED"/>
    <s v="discount allowed"/>
    <s v="DISCOUNT ALLOWED"/>
    <s v="Discount Allowed"/>
    <s v="27/06/24"/>
  </r>
  <r>
    <s v="TXN_6755599"/>
    <s v="CUST_03"/>
    <x v="0"/>
    <x v="61"/>
    <x v="8"/>
    <x v="9"/>
    <n v="29"/>
    <x v="2"/>
    <x v="0"/>
    <x v="970"/>
    <x v="0"/>
    <s v="DISCOUNT NOT ALLOWED"/>
    <s v="discount not allowed"/>
    <s v="DISCOUNT NOT ALLOWED"/>
    <s v="Discount Not Allowed"/>
    <s v="10/04/22"/>
  </r>
  <r>
    <s v="TXN_6961502"/>
    <s v="CUST_13"/>
    <x v="3"/>
    <x v="65"/>
    <x v="8"/>
    <x v="9"/>
    <n v="29"/>
    <x v="0"/>
    <x v="1"/>
    <x v="1066"/>
    <x v="0"/>
    <s v="DISCOUNT NOT ALLOWED"/>
    <s v="discount not allowed"/>
    <s v="DISCOUNT NOT ALLOWED"/>
    <s v="Discount Not Allowed"/>
    <s v="09/11/22"/>
  </r>
  <r>
    <s v="TXN_7221565"/>
    <s v="CUST_24"/>
    <x v="2"/>
    <x v="68"/>
    <x v="8"/>
    <x v="9"/>
    <n v="29"/>
    <x v="1"/>
    <x v="1"/>
    <x v="254"/>
    <x v="1"/>
    <s v="DISCOUNT ALLOWED"/>
    <s v="discount allowed"/>
    <s v="DISCOUNT ALLOWED"/>
    <s v="Discount Allowed"/>
    <s v="13/02/22"/>
  </r>
  <r>
    <s v="TXN_7560470"/>
    <s v="CUST_21"/>
    <x v="5"/>
    <x v="67"/>
    <x v="8"/>
    <x v="9"/>
    <n v="29"/>
    <x v="1"/>
    <x v="1"/>
    <x v="816"/>
    <x v="0"/>
    <s v="DISCOUNT NOT ALLOWED"/>
    <s v="discount not allowed"/>
    <s v="DISCOUNT NOT ALLOWED"/>
    <s v="Discount Not Allowed"/>
    <s v="27/08/23"/>
  </r>
  <r>
    <s v="TXN_7864253"/>
    <s v="CUST_08"/>
    <x v="6"/>
    <x v="62"/>
    <x v="8"/>
    <x v="9"/>
    <n v="29"/>
    <x v="0"/>
    <x v="1"/>
    <x v="460"/>
    <x v="1"/>
    <s v="DISCOUNT ALLOWED"/>
    <s v="discount allowed"/>
    <s v="DISCOUNT ALLOWED"/>
    <s v="Discount Allowed"/>
    <s v="11/03/23"/>
  </r>
  <r>
    <s v="TXN_7864933"/>
    <s v="CUST_24"/>
    <x v="1"/>
    <x v="64"/>
    <x v="8"/>
    <x v="9"/>
    <n v="29"/>
    <x v="1"/>
    <x v="1"/>
    <x v="174"/>
    <x v="1"/>
    <s v="DISCOUNT ALLOWED"/>
    <s v="discount allowed"/>
    <s v="DISCOUNT ALLOWED"/>
    <s v="Discount Allowed"/>
    <s v="29/11/22"/>
  </r>
  <r>
    <s v="TXN_7903686"/>
    <s v="CUST_10"/>
    <x v="1"/>
    <x v="64"/>
    <x v="8"/>
    <x v="9"/>
    <n v="29"/>
    <x v="0"/>
    <x v="0"/>
    <x v="140"/>
    <x v="1"/>
    <s v="DISCOUNT ALLOWED"/>
    <s v="discount allowed"/>
    <s v="DISCOUNT ALLOWED"/>
    <s v="Discount Allowed"/>
    <s v="13/03/22"/>
  </r>
  <r>
    <s v="TXN_8192036"/>
    <s v="CUST_08"/>
    <x v="1"/>
    <x v="64"/>
    <x v="8"/>
    <x v="9"/>
    <n v="29"/>
    <x v="1"/>
    <x v="1"/>
    <x v="691"/>
    <x v="0"/>
    <s v="DISCOUNT NOT ALLOWED"/>
    <s v="discount not allowed"/>
    <s v="DISCOUNT NOT ALLOWED"/>
    <s v="Discount Not Allowed"/>
    <s v="28/05/24"/>
  </r>
  <r>
    <s v="TXN_8636216"/>
    <s v="CUST_19"/>
    <x v="3"/>
    <x v="65"/>
    <x v="8"/>
    <x v="9"/>
    <n v="29"/>
    <x v="0"/>
    <x v="1"/>
    <x v="725"/>
    <x v="0"/>
    <s v="DISCOUNT NOT ALLOWED"/>
    <s v="discount not allowed"/>
    <s v="DISCOUNT NOT ALLOWED"/>
    <s v="Discount Not Allowed"/>
    <s v="14/04/24"/>
  </r>
  <r>
    <s v="TXN_8749911"/>
    <s v="CUST_14"/>
    <x v="2"/>
    <x v="68"/>
    <x v="8"/>
    <x v="9"/>
    <n v="29"/>
    <x v="1"/>
    <x v="0"/>
    <x v="173"/>
    <x v="1"/>
    <s v="DISCOUNT ALLOWED"/>
    <s v="discount allowed"/>
    <s v="DISCOUNT ALLOWED"/>
    <s v="Discount Allowed"/>
    <s v="17/11/23"/>
  </r>
  <r>
    <s v="TXN_8905031"/>
    <s v="CUST_22"/>
    <x v="0"/>
    <x v="61"/>
    <x v="8"/>
    <x v="9"/>
    <n v="29"/>
    <x v="0"/>
    <x v="1"/>
    <x v="104"/>
    <x v="1"/>
    <s v="DISCOUNT ALLOWED"/>
    <s v="discount allowed"/>
    <s v="DISCOUNT ALLOWED"/>
    <s v="Discount Allowed"/>
    <s v="10/09/23"/>
  </r>
  <r>
    <s v="TXN_8930734"/>
    <s v="CUST_08"/>
    <x v="1"/>
    <x v="64"/>
    <x v="8"/>
    <x v="9"/>
    <n v="29"/>
    <x v="0"/>
    <x v="0"/>
    <x v="98"/>
    <x v="0"/>
    <s v="DISCOUNT NOT ALLOWED"/>
    <s v="discount not allowed"/>
    <s v="DISCOUNT NOT ALLOWED"/>
    <s v="Discount Not Allowed"/>
    <s v="04/04/23"/>
  </r>
  <r>
    <s v="TXN_8972051"/>
    <s v="CUST_10"/>
    <x v="5"/>
    <x v="67"/>
    <x v="8"/>
    <x v="9"/>
    <n v="29"/>
    <x v="2"/>
    <x v="1"/>
    <x v="443"/>
    <x v="1"/>
    <s v="DISCOUNT ALLOWED"/>
    <s v="discount allowed"/>
    <s v="DISCOUNT ALLOWED"/>
    <s v="Discount Allowed"/>
    <s v="28/02/24"/>
  </r>
  <r>
    <s v="TXN_8997863"/>
    <s v="CUST_20"/>
    <x v="3"/>
    <x v="65"/>
    <x v="8"/>
    <x v="9"/>
    <n v="29"/>
    <x v="2"/>
    <x v="0"/>
    <x v="889"/>
    <x v="1"/>
    <s v="DISCOUNT ALLOWED"/>
    <s v="discount allowed"/>
    <s v="DISCOUNT ALLOWED"/>
    <s v="Discount Allowed"/>
    <s v="10/10/24"/>
  </r>
  <r>
    <s v="TXN_9299802"/>
    <s v="CUST_03"/>
    <x v="7"/>
    <x v="63"/>
    <x v="8"/>
    <x v="9"/>
    <n v="29"/>
    <x v="1"/>
    <x v="0"/>
    <x v="324"/>
    <x v="0"/>
    <s v="DISCOUNT NOT ALLOWED"/>
    <s v="discount not allowed"/>
    <s v="DISCOUNT NOT ALLOWED"/>
    <s v="Discount Not Allowed"/>
    <s v="25/03/23"/>
  </r>
  <r>
    <s v="TXN_9535889"/>
    <s v="CUST_08"/>
    <x v="5"/>
    <x v="67"/>
    <x v="8"/>
    <x v="9"/>
    <n v="29"/>
    <x v="2"/>
    <x v="0"/>
    <x v="318"/>
    <x v="1"/>
    <s v="DISCOUNT ALLOWED"/>
    <s v="discount allowed"/>
    <s v="DISCOUNT ALLOWED"/>
    <s v="Discount Allowed"/>
    <s v="20/03/24"/>
  </r>
  <r>
    <s v="TXN_9820980"/>
    <s v="CUST_16"/>
    <x v="4"/>
    <x v="66"/>
    <x v="8"/>
    <x v="9"/>
    <n v="29"/>
    <x v="1"/>
    <x v="1"/>
    <x v="502"/>
    <x v="0"/>
    <s v="DISCOUNT NOT ALLOWED"/>
    <s v="discount not allowed"/>
    <s v="DISCOUNT NOT ALLOWED"/>
    <s v="Discount Not Allowed"/>
    <s v="20/09/24"/>
  </r>
  <r>
    <s v="TXN_9889065"/>
    <s v="CUST_17"/>
    <x v="0"/>
    <x v="61"/>
    <x v="8"/>
    <x v="9"/>
    <n v="29"/>
    <x v="2"/>
    <x v="0"/>
    <x v="1052"/>
    <x v="1"/>
    <s v="DISCOUNT ALLOWED"/>
    <s v="discount allowed"/>
    <s v="DISCOUNT ALLOWED"/>
    <s v="Discount Allowed"/>
    <s v="18/09/23"/>
  </r>
  <r>
    <s v="TXN_1641449"/>
    <s v="CUST_13"/>
    <x v="4"/>
    <x v="166"/>
    <x v="21"/>
    <x v="7"/>
    <n v="28.5"/>
    <x v="2"/>
    <x v="0"/>
    <x v="912"/>
    <x v="1"/>
    <s v="DISCOUNT ALLOWED"/>
    <s v="discount allowed"/>
    <s v="DISCOUNT ALLOWED"/>
    <s v="Discount Allowed"/>
    <s v="19/01/24"/>
  </r>
  <r>
    <s v="TXN_1664534"/>
    <s v="CUST_13"/>
    <x v="0"/>
    <x v="168"/>
    <x v="21"/>
    <x v="7"/>
    <n v="28.5"/>
    <x v="2"/>
    <x v="0"/>
    <x v="98"/>
    <x v="1"/>
    <s v="DISCOUNT ALLOWED"/>
    <s v="discount allowed"/>
    <s v="DISCOUNT ALLOWED"/>
    <s v="Discount Allowed"/>
    <s v="04/04/23"/>
  </r>
  <r>
    <s v="TXN_2108505"/>
    <s v="CUST_01"/>
    <x v="0"/>
    <x v="168"/>
    <x v="21"/>
    <x v="7"/>
    <n v="28.5"/>
    <x v="0"/>
    <x v="1"/>
    <x v="174"/>
    <x v="0"/>
    <s v="DISCOUNT NOT ALLOWED"/>
    <s v="discount not allowed"/>
    <s v="DISCOUNT NOT ALLOWED"/>
    <s v="Discount Not Allowed"/>
    <s v="29/11/22"/>
  </r>
  <r>
    <s v="TXN_2243532"/>
    <s v="CUST_23"/>
    <x v="4"/>
    <x v="166"/>
    <x v="21"/>
    <x v="7"/>
    <n v="28.5"/>
    <x v="2"/>
    <x v="1"/>
    <x v="1014"/>
    <x v="0"/>
    <s v="DISCOUNT NOT ALLOWED"/>
    <s v="discount not allowed"/>
    <s v="DISCOUNT NOT ALLOWED"/>
    <s v="Discount Not Allowed"/>
    <s v="11/05/23"/>
  </r>
  <r>
    <s v="TXN_2686357"/>
    <s v="CUST_07"/>
    <x v="1"/>
    <x v="169"/>
    <x v="21"/>
    <x v="7"/>
    <n v="28.5"/>
    <x v="1"/>
    <x v="1"/>
    <x v="803"/>
    <x v="1"/>
    <s v="DISCOUNT ALLOWED"/>
    <s v="discount allowed"/>
    <s v="DISCOUNT ALLOWED"/>
    <s v="Discount Allowed"/>
    <s v="24/04/22"/>
  </r>
  <r>
    <s v="TXN_3162108"/>
    <s v="CUST_08"/>
    <x v="4"/>
    <x v="166"/>
    <x v="21"/>
    <x v="7"/>
    <n v="28.5"/>
    <x v="2"/>
    <x v="1"/>
    <x v="812"/>
    <x v="1"/>
    <s v="DISCOUNT ALLOWED"/>
    <s v="discount allowed"/>
    <s v="DISCOUNT ALLOWED"/>
    <s v="Discount Allowed"/>
    <s v="21/04/24"/>
  </r>
  <r>
    <s v="TXN_3393629"/>
    <s v="CUST_06"/>
    <x v="4"/>
    <x v="166"/>
    <x v="21"/>
    <x v="7"/>
    <n v="28.5"/>
    <x v="0"/>
    <x v="1"/>
    <x v="1054"/>
    <x v="1"/>
    <s v="DISCOUNT ALLOWED"/>
    <s v="discount allowed"/>
    <s v="DISCOUNT ALLOWED"/>
    <s v="Discount Allowed"/>
    <s v="24/06/23"/>
  </r>
  <r>
    <s v="TXN_3557407"/>
    <s v="CUST_16"/>
    <x v="2"/>
    <x v="171"/>
    <x v="21"/>
    <x v="7"/>
    <n v="28.5"/>
    <x v="1"/>
    <x v="0"/>
    <x v="429"/>
    <x v="0"/>
    <s v="DISCOUNT NOT ALLOWED"/>
    <s v="discount not allowed"/>
    <s v="DISCOUNT NOT ALLOWED"/>
    <s v="Discount Not Allowed"/>
    <s v="18/03/24"/>
  </r>
  <r>
    <s v="TXN_3802505"/>
    <s v="CUST_13"/>
    <x v="1"/>
    <x v="169"/>
    <x v="21"/>
    <x v="7"/>
    <n v="28.5"/>
    <x v="1"/>
    <x v="0"/>
    <x v="464"/>
    <x v="1"/>
    <s v="DISCOUNT ALLOWED"/>
    <s v="discount allowed"/>
    <s v="DISCOUNT ALLOWED"/>
    <s v="Discount Allowed"/>
    <s v="13/01/22"/>
  </r>
  <r>
    <s v="TXN_4004092"/>
    <s v="CUST_15"/>
    <x v="0"/>
    <x v="168"/>
    <x v="21"/>
    <x v="7"/>
    <n v="28.5"/>
    <x v="0"/>
    <x v="0"/>
    <x v="984"/>
    <x v="1"/>
    <s v="DISCOUNT ALLOWED"/>
    <s v="discount allowed"/>
    <s v="DISCOUNT ALLOWED"/>
    <s v="Discount Allowed"/>
    <s v="07/10/22"/>
  </r>
  <r>
    <s v="TXN_5152688"/>
    <s v="CUST_16"/>
    <x v="7"/>
    <x v="170"/>
    <x v="21"/>
    <x v="7"/>
    <n v="28.5"/>
    <x v="2"/>
    <x v="1"/>
    <x v="798"/>
    <x v="0"/>
    <s v="DISCOUNT NOT ALLOWED"/>
    <s v="discount not allowed"/>
    <s v="DISCOUNT NOT ALLOWED"/>
    <s v="Discount Not Allowed"/>
    <s v="09/01/24"/>
  </r>
  <r>
    <s v="TXN_5980130"/>
    <s v="CUST_22"/>
    <x v="3"/>
    <x v="173"/>
    <x v="21"/>
    <x v="7"/>
    <n v="28.5"/>
    <x v="0"/>
    <x v="1"/>
    <x v="312"/>
    <x v="1"/>
    <s v="DISCOUNT ALLOWED"/>
    <s v="discount allowed"/>
    <s v="DISCOUNT ALLOWED"/>
    <s v="Discount Allowed"/>
    <s v="07/11/22"/>
  </r>
  <r>
    <s v="TXN_6449781"/>
    <s v="CUST_12"/>
    <x v="4"/>
    <x v="166"/>
    <x v="21"/>
    <x v="7"/>
    <n v="28.5"/>
    <x v="2"/>
    <x v="1"/>
    <x v="785"/>
    <x v="1"/>
    <s v="DISCOUNT ALLOWED"/>
    <s v="discount allowed"/>
    <s v="DISCOUNT ALLOWED"/>
    <s v="Discount Allowed"/>
    <s v="30/03/22"/>
  </r>
  <r>
    <s v="TXN_6607116"/>
    <s v="CUST_09"/>
    <x v="4"/>
    <x v="166"/>
    <x v="21"/>
    <x v="7"/>
    <n v="28.5"/>
    <x v="0"/>
    <x v="1"/>
    <x v="669"/>
    <x v="0"/>
    <s v="DISCOUNT NOT ALLOWED"/>
    <s v="discount not allowed"/>
    <s v="DISCOUNT NOT ALLOWED"/>
    <s v="Discount Not Allowed"/>
    <s v="23/01/22"/>
  </r>
  <r>
    <s v="TXN_7075340"/>
    <s v="CUST_13"/>
    <x v="1"/>
    <x v="169"/>
    <x v="21"/>
    <x v="7"/>
    <n v="28.5"/>
    <x v="0"/>
    <x v="1"/>
    <x v="538"/>
    <x v="0"/>
    <s v="DISCOUNT NOT ALLOWED"/>
    <s v="discount not allowed"/>
    <s v="DISCOUNT NOT ALLOWED"/>
    <s v="Discount Not Allowed"/>
    <s v="16/07/24"/>
  </r>
  <r>
    <s v="TXN_7817857"/>
    <s v="CUST_01"/>
    <x v="1"/>
    <x v="169"/>
    <x v="21"/>
    <x v="7"/>
    <n v="28.5"/>
    <x v="1"/>
    <x v="0"/>
    <x v="156"/>
    <x v="0"/>
    <s v="DISCOUNT NOT ALLOWED"/>
    <s v="discount not allowed"/>
    <s v="DISCOUNT NOT ALLOWED"/>
    <s v="Discount Not Allowed"/>
    <s v="04/07/22"/>
  </r>
  <r>
    <s v="TXN_7861115"/>
    <s v="CUST_05"/>
    <x v="0"/>
    <x v="168"/>
    <x v="21"/>
    <x v="7"/>
    <n v="28.5"/>
    <x v="2"/>
    <x v="0"/>
    <x v="137"/>
    <x v="0"/>
    <s v="DISCOUNT NOT ALLOWED"/>
    <s v="discount not allowed"/>
    <s v="DISCOUNT NOT ALLOWED"/>
    <s v="Discount Not Allowed"/>
    <s v="24/11/23"/>
  </r>
  <r>
    <s v="TXN_8199043"/>
    <s v="CUST_22"/>
    <x v="1"/>
    <x v="169"/>
    <x v="21"/>
    <x v="7"/>
    <n v="28.5"/>
    <x v="2"/>
    <x v="1"/>
    <x v="1023"/>
    <x v="0"/>
    <s v="DISCOUNT NOT ALLOWED"/>
    <s v="discount not allowed"/>
    <s v="DISCOUNT NOT ALLOWED"/>
    <s v="Discount Not Allowed"/>
    <s v="11/02/24"/>
  </r>
  <r>
    <s v="TXN_8219398"/>
    <s v="CUST_05"/>
    <x v="0"/>
    <x v="168"/>
    <x v="21"/>
    <x v="7"/>
    <n v="28.5"/>
    <x v="0"/>
    <x v="1"/>
    <x v="292"/>
    <x v="1"/>
    <s v="DISCOUNT ALLOWED"/>
    <s v="discount allowed"/>
    <s v="DISCOUNT ALLOWED"/>
    <s v="Discount Allowed"/>
    <s v="24/10/23"/>
  </r>
  <r>
    <s v="TXN_8322008"/>
    <s v="CUST_22"/>
    <x v="4"/>
    <x v="166"/>
    <x v="21"/>
    <x v="7"/>
    <n v="28.5"/>
    <x v="1"/>
    <x v="1"/>
    <x v="337"/>
    <x v="0"/>
    <s v="DISCOUNT NOT ALLOWED"/>
    <s v="discount not allowed"/>
    <s v="DISCOUNT NOT ALLOWED"/>
    <s v="Discount Not Allowed"/>
    <s v="20/08/24"/>
  </r>
  <r>
    <s v="TXN_8508384"/>
    <s v="CUST_18"/>
    <x v="4"/>
    <x v="166"/>
    <x v="21"/>
    <x v="7"/>
    <n v="28.5"/>
    <x v="2"/>
    <x v="1"/>
    <x v="200"/>
    <x v="1"/>
    <s v="DISCOUNT ALLOWED"/>
    <s v="discount allowed"/>
    <s v="DISCOUNT ALLOWED"/>
    <s v="Discount Allowed"/>
    <s v="29/01/22"/>
  </r>
  <r>
    <s v="TXN_8817845"/>
    <s v="CUST_13"/>
    <x v="7"/>
    <x v="170"/>
    <x v="21"/>
    <x v="7"/>
    <n v="28.5"/>
    <x v="0"/>
    <x v="1"/>
    <x v="990"/>
    <x v="0"/>
    <s v="DISCOUNT NOT ALLOWED"/>
    <s v="discount not allowed"/>
    <s v="DISCOUNT NOT ALLOWED"/>
    <s v="Discount Not Allowed"/>
    <s v="29/07/23"/>
  </r>
  <r>
    <s v="TXN_9660196"/>
    <s v="CUST_13"/>
    <x v="4"/>
    <x v="166"/>
    <x v="21"/>
    <x v="7"/>
    <n v="28.5"/>
    <x v="1"/>
    <x v="1"/>
    <x v="158"/>
    <x v="0"/>
    <s v="DISCOUNT NOT ALLOWED"/>
    <s v="discount not allowed"/>
    <s v="DISCOUNT NOT ALLOWED"/>
    <s v="Discount Not Allowed"/>
    <s v="30/07/22"/>
  </r>
  <r>
    <s v="TXN_1101297"/>
    <s v="CUST_15"/>
    <x v="0"/>
    <x v="150"/>
    <x v="18"/>
    <x v="8"/>
    <n v="28"/>
    <x v="1"/>
    <x v="0"/>
    <x v="251"/>
    <x v="0"/>
    <s v="DISCOUNT NOT ALLOWED"/>
    <s v="discount not allowed"/>
    <s v="DISCOUNT NOT ALLOWED"/>
    <s v="Discount Not Allowed"/>
    <s v="24/03/22"/>
  </r>
  <r>
    <s v="TXN_2078236"/>
    <s v="CUST_15"/>
    <x v="7"/>
    <x v="146"/>
    <x v="18"/>
    <x v="8"/>
    <n v="28"/>
    <x v="0"/>
    <x v="0"/>
    <x v="655"/>
    <x v="0"/>
    <s v="DISCOUNT NOT ALLOWED"/>
    <s v="discount not allowed"/>
    <s v="DISCOUNT NOT ALLOWED"/>
    <s v="Discount Not Allowed"/>
    <s v="11/05/22"/>
  </r>
  <r>
    <s v="TXN_2329051"/>
    <s v="CUST_11"/>
    <x v="3"/>
    <x v="144"/>
    <x v="18"/>
    <x v="8"/>
    <n v="28"/>
    <x v="0"/>
    <x v="0"/>
    <x v="964"/>
    <x v="1"/>
    <s v="DISCOUNT ALLOWED"/>
    <s v="discount allowed"/>
    <s v="DISCOUNT ALLOWED"/>
    <s v="Discount Allowed"/>
    <s v="11/04/24"/>
  </r>
  <r>
    <s v="TXN_2417229"/>
    <s v="CUST_13"/>
    <x v="6"/>
    <x v="145"/>
    <x v="18"/>
    <x v="8"/>
    <n v="28"/>
    <x v="1"/>
    <x v="1"/>
    <x v="157"/>
    <x v="0"/>
    <s v="DISCOUNT NOT ALLOWED"/>
    <s v="discount not allowed"/>
    <s v="DISCOUNT NOT ALLOWED"/>
    <s v="Discount Not Allowed"/>
    <s v="08/06/22"/>
  </r>
  <r>
    <s v="TXN_2605227"/>
    <s v="CUST_12"/>
    <x v="3"/>
    <x v="144"/>
    <x v="18"/>
    <x v="8"/>
    <n v="28"/>
    <x v="1"/>
    <x v="1"/>
    <x v="770"/>
    <x v="0"/>
    <s v="DISCOUNT NOT ALLOWED"/>
    <s v="discount not allowed"/>
    <s v="DISCOUNT NOT ALLOWED"/>
    <s v="Discount Not Allowed"/>
    <s v="03/02/24"/>
  </r>
  <r>
    <s v="TXN_3037819"/>
    <s v="CUST_23"/>
    <x v="5"/>
    <x v="143"/>
    <x v="18"/>
    <x v="8"/>
    <n v="28"/>
    <x v="1"/>
    <x v="0"/>
    <x v="418"/>
    <x v="0"/>
    <s v="DISCOUNT NOT ALLOWED"/>
    <s v="discount not allowed"/>
    <s v="DISCOUNT NOT ALLOWED"/>
    <s v="Discount Not Allowed"/>
    <s v="29/09/24"/>
  </r>
  <r>
    <s v="TXN_3642410"/>
    <s v="CUST_12"/>
    <x v="0"/>
    <x v="150"/>
    <x v="18"/>
    <x v="8"/>
    <n v="28"/>
    <x v="0"/>
    <x v="1"/>
    <x v="724"/>
    <x v="0"/>
    <s v="DISCOUNT NOT ALLOWED"/>
    <s v="discount not allowed"/>
    <s v="DISCOUNT NOT ALLOWED"/>
    <s v="Discount Not Allowed"/>
    <s v="08/10/24"/>
  </r>
  <r>
    <s v="TXN_5000043"/>
    <s v="CUST_20"/>
    <x v="7"/>
    <x v="146"/>
    <x v="18"/>
    <x v="8"/>
    <n v="28"/>
    <x v="0"/>
    <x v="0"/>
    <x v="560"/>
    <x v="1"/>
    <s v="DISCOUNT ALLOWED"/>
    <s v="discount allowed"/>
    <s v="DISCOUNT ALLOWED"/>
    <s v="Discount Allowed"/>
    <s v="20/04/22"/>
  </r>
  <r>
    <s v="TXN_5243487"/>
    <s v="CUST_10"/>
    <x v="0"/>
    <x v="150"/>
    <x v="18"/>
    <x v="8"/>
    <n v="28"/>
    <x v="2"/>
    <x v="1"/>
    <x v="804"/>
    <x v="1"/>
    <s v="DISCOUNT ALLOWED"/>
    <s v="discount allowed"/>
    <s v="DISCOUNT ALLOWED"/>
    <s v="Discount Allowed"/>
    <s v="17/09/24"/>
  </r>
  <r>
    <s v="TXN_5485024"/>
    <s v="CUST_09"/>
    <x v="0"/>
    <x v="150"/>
    <x v="18"/>
    <x v="8"/>
    <n v="28"/>
    <x v="0"/>
    <x v="1"/>
    <x v="345"/>
    <x v="0"/>
    <s v="DISCOUNT NOT ALLOWED"/>
    <s v="discount not allowed"/>
    <s v="DISCOUNT NOT ALLOWED"/>
    <s v="Discount Not Allowed"/>
    <s v="12/05/24"/>
  </r>
  <r>
    <s v="TXN_5847493"/>
    <s v="CUST_17"/>
    <x v="1"/>
    <x v="149"/>
    <x v="18"/>
    <x v="8"/>
    <n v="28"/>
    <x v="0"/>
    <x v="0"/>
    <x v="488"/>
    <x v="1"/>
    <s v="DISCOUNT ALLOWED"/>
    <s v="discount allowed"/>
    <s v="DISCOUNT ALLOWED"/>
    <s v="Discount Allowed"/>
    <s v="30/01/24"/>
  </r>
  <r>
    <s v="TXN_6600014"/>
    <s v="CUST_15"/>
    <x v="7"/>
    <x v="146"/>
    <x v="18"/>
    <x v="8"/>
    <n v="28"/>
    <x v="0"/>
    <x v="1"/>
    <x v="152"/>
    <x v="0"/>
    <s v="DISCOUNT NOT ALLOWED"/>
    <s v="discount not allowed"/>
    <s v="DISCOUNT NOT ALLOWED"/>
    <s v="Discount Not Allowed"/>
    <s v="10/02/22"/>
  </r>
  <r>
    <s v="TXN_6608719"/>
    <s v="CUST_03"/>
    <x v="7"/>
    <x v="146"/>
    <x v="18"/>
    <x v="8"/>
    <n v="28"/>
    <x v="0"/>
    <x v="1"/>
    <x v="316"/>
    <x v="0"/>
    <s v="DISCOUNT NOT ALLOWED"/>
    <s v="discount not allowed"/>
    <s v="DISCOUNT NOT ALLOWED"/>
    <s v="Discount Not Allowed"/>
    <s v="27/05/22"/>
  </r>
  <r>
    <s v="TXN_6642052"/>
    <s v="CUST_05"/>
    <x v="1"/>
    <x v="149"/>
    <x v="18"/>
    <x v="8"/>
    <n v="28"/>
    <x v="2"/>
    <x v="0"/>
    <x v="434"/>
    <x v="0"/>
    <s v="DISCOUNT NOT ALLOWED"/>
    <s v="discount not allowed"/>
    <s v="DISCOUNT NOT ALLOWED"/>
    <s v="Discount Not Allowed"/>
    <s v="18/04/24"/>
  </r>
  <r>
    <s v="TXN_6867504"/>
    <s v="CUST_04"/>
    <x v="6"/>
    <x v="145"/>
    <x v="18"/>
    <x v="8"/>
    <n v="28"/>
    <x v="0"/>
    <x v="0"/>
    <x v="1010"/>
    <x v="1"/>
    <s v="DISCOUNT ALLOWED"/>
    <s v="discount allowed"/>
    <s v="DISCOUNT ALLOWED"/>
    <s v="Discount Allowed"/>
    <s v="30/10/23"/>
  </r>
  <r>
    <s v="TXN_6910028"/>
    <s v="CUST_23"/>
    <x v="4"/>
    <x v="147"/>
    <x v="18"/>
    <x v="8"/>
    <n v="28"/>
    <x v="1"/>
    <x v="0"/>
    <x v="887"/>
    <x v="0"/>
    <s v="DISCOUNT NOT ALLOWED"/>
    <s v="discount not allowed"/>
    <s v="DISCOUNT NOT ALLOWED"/>
    <s v="Discount Not Allowed"/>
    <s v="03/04/22"/>
  </r>
  <r>
    <s v="TXN_7099616"/>
    <s v="CUST_14"/>
    <x v="3"/>
    <x v="144"/>
    <x v="18"/>
    <x v="8"/>
    <n v="28"/>
    <x v="2"/>
    <x v="0"/>
    <x v="586"/>
    <x v="0"/>
    <s v="DISCOUNT NOT ALLOWED"/>
    <s v="discount not allowed"/>
    <s v="DISCOUNT NOT ALLOWED"/>
    <s v="Discount Not Allowed"/>
    <s v="26/02/23"/>
  </r>
  <r>
    <s v="TXN_7720273"/>
    <s v="CUST_23"/>
    <x v="1"/>
    <x v="149"/>
    <x v="18"/>
    <x v="8"/>
    <n v="28"/>
    <x v="2"/>
    <x v="1"/>
    <x v="976"/>
    <x v="1"/>
    <s v="DISCOUNT ALLOWED"/>
    <s v="discount allowed"/>
    <s v="DISCOUNT ALLOWED"/>
    <s v="Discount Allowed"/>
    <s v="26/07/24"/>
  </r>
  <r>
    <s v="TXN_7995037"/>
    <s v="CUST_02"/>
    <x v="7"/>
    <x v="146"/>
    <x v="18"/>
    <x v="8"/>
    <n v="28"/>
    <x v="2"/>
    <x v="1"/>
    <x v="333"/>
    <x v="0"/>
    <s v="DISCOUNT NOT ALLOWED"/>
    <s v="discount not allowed"/>
    <s v="DISCOUNT NOT ALLOWED"/>
    <s v="Discount Not Allowed"/>
    <s v="16/12/22"/>
  </r>
  <r>
    <s v="TXN_8155559"/>
    <s v="CUST_02"/>
    <x v="3"/>
    <x v="144"/>
    <x v="18"/>
    <x v="8"/>
    <n v="28"/>
    <x v="1"/>
    <x v="1"/>
    <x v="55"/>
    <x v="0"/>
    <s v="DISCOUNT NOT ALLOWED"/>
    <s v="discount not allowed"/>
    <s v="DISCOUNT NOT ALLOWED"/>
    <s v="Discount Not Allowed"/>
    <s v="26/05/23"/>
  </r>
  <r>
    <s v="TXN_8369234"/>
    <s v="CUST_24"/>
    <x v="6"/>
    <x v="145"/>
    <x v="18"/>
    <x v="8"/>
    <n v="28"/>
    <x v="1"/>
    <x v="1"/>
    <x v="741"/>
    <x v="1"/>
    <s v="DISCOUNT ALLOWED"/>
    <s v="discount allowed"/>
    <s v="DISCOUNT ALLOWED"/>
    <s v="Discount Allowed"/>
    <s v="22/11/22"/>
  </r>
  <r>
    <s v="TXN_8607752"/>
    <s v="CUST_21"/>
    <x v="0"/>
    <x v="150"/>
    <x v="18"/>
    <x v="8"/>
    <n v="28"/>
    <x v="1"/>
    <x v="1"/>
    <x v="1043"/>
    <x v="1"/>
    <s v="DISCOUNT ALLOWED"/>
    <s v="discount allowed"/>
    <s v="DISCOUNT ALLOWED"/>
    <s v="Discount Allowed"/>
    <s v="18/04/22"/>
  </r>
  <r>
    <s v="TXN_8805006"/>
    <s v="CUST_12"/>
    <x v="7"/>
    <x v="146"/>
    <x v="18"/>
    <x v="8"/>
    <n v="28"/>
    <x v="2"/>
    <x v="0"/>
    <x v="464"/>
    <x v="0"/>
    <s v="DISCOUNT NOT ALLOWED"/>
    <s v="discount not allowed"/>
    <s v="DISCOUNT NOT ALLOWED"/>
    <s v="Discount Not Allowed"/>
    <s v="13/01/22"/>
  </r>
  <r>
    <s v="TXN_8934602"/>
    <s v="CUST_06"/>
    <x v="0"/>
    <x v="150"/>
    <x v="18"/>
    <x v="8"/>
    <n v="28"/>
    <x v="1"/>
    <x v="0"/>
    <x v="407"/>
    <x v="1"/>
    <s v="DISCOUNT ALLOWED"/>
    <s v="discount allowed"/>
    <s v="DISCOUNT ALLOWED"/>
    <s v="Discount Allowed"/>
    <s v="10/10/22"/>
  </r>
  <r>
    <s v="TXN_9489720"/>
    <s v="CUST_23"/>
    <x v="0"/>
    <x v="150"/>
    <x v="18"/>
    <x v="8"/>
    <n v="28"/>
    <x v="0"/>
    <x v="0"/>
    <x v="1"/>
    <x v="1"/>
    <s v="DISCOUNT ALLOWED"/>
    <s v="discount allowed"/>
    <s v="DISCOUNT ALLOWED"/>
    <s v="Discount Allowed"/>
    <s v="01/04/23"/>
  </r>
  <r>
    <s v="TXN_9540741"/>
    <s v="CUST_14"/>
    <x v="0"/>
    <x v="150"/>
    <x v="18"/>
    <x v="8"/>
    <n v="28"/>
    <x v="2"/>
    <x v="0"/>
    <x v="381"/>
    <x v="1"/>
    <s v="DISCOUNT ALLOWED"/>
    <s v="discount allowed"/>
    <s v="DISCOUNT ALLOWED"/>
    <s v="Discount Allowed"/>
    <s v="06/03/22"/>
  </r>
  <r>
    <s v="TXN_1086487"/>
    <s v="CUST_07"/>
    <x v="1"/>
    <x v="71"/>
    <x v="9"/>
    <x v="9"/>
    <n v="27.5"/>
    <x v="2"/>
    <x v="1"/>
    <x v="905"/>
    <x v="0"/>
    <s v="DISCOUNT NOT ALLOWED"/>
    <s v="discount not allowed"/>
    <s v="DISCOUNT NOT ALLOWED"/>
    <s v="Discount Not Allowed"/>
    <s v="05/01/25"/>
  </r>
  <r>
    <s v="TXN_1282545"/>
    <s v="CUST_19"/>
    <x v="3"/>
    <x v="74"/>
    <x v="9"/>
    <x v="9"/>
    <n v="27.5"/>
    <x v="2"/>
    <x v="0"/>
    <x v="968"/>
    <x v="0"/>
    <s v="DISCOUNT NOT ALLOWED"/>
    <s v="discount not allowed"/>
    <s v="DISCOUNT NOT ALLOWED"/>
    <s v="Discount Not Allowed"/>
    <s v="17/08/22"/>
  </r>
  <r>
    <s v="TXN_1311636"/>
    <s v="CUST_14"/>
    <x v="4"/>
    <x v="101"/>
    <x v="9"/>
    <x v="9"/>
    <n v="27.5"/>
    <x v="1"/>
    <x v="0"/>
    <x v="702"/>
    <x v="0"/>
    <s v="DISCOUNT NOT ALLOWED"/>
    <s v="discount not allowed"/>
    <s v="DISCOUNT NOT ALLOWED"/>
    <s v="Discount Not Allowed"/>
    <s v="09/02/22"/>
  </r>
  <r>
    <s v="TXN_1713611"/>
    <s v="CUST_24"/>
    <x v="5"/>
    <x v="75"/>
    <x v="9"/>
    <x v="9"/>
    <n v="27.5"/>
    <x v="0"/>
    <x v="0"/>
    <x v="1093"/>
    <x v="1"/>
    <s v="DISCOUNT ALLOWED"/>
    <s v="discount allowed"/>
    <s v="DISCOUNT ALLOWED"/>
    <s v="Discount Allowed"/>
    <s v="14/09/24"/>
  </r>
  <r>
    <s v="TXN_2662020"/>
    <s v="CUST_04"/>
    <x v="5"/>
    <x v="75"/>
    <x v="9"/>
    <x v="9"/>
    <n v="27.5"/>
    <x v="0"/>
    <x v="0"/>
    <x v="719"/>
    <x v="1"/>
    <s v="DISCOUNT ALLOWED"/>
    <s v="discount allowed"/>
    <s v="DISCOUNT ALLOWED"/>
    <s v="Discount Allowed"/>
    <s v="28/11/22"/>
  </r>
  <r>
    <s v="TXN_4013276"/>
    <s v="CUST_22"/>
    <x v="7"/>
    <x v="72"/>
    <x v="9"/>
    <x v="9"/>
    <n v="27.5"/>
    <x v="2"/>
    <x v="0"/>
    <x v="1068"/>
    <x v="1"/>
    <s v="DISCOUNT ALLOWED"/>
    <s v="discount allowed"/>
    <s v="DISCOUNT ALLOWED"/>
    <s v="Discount Allowed"/>
    <s v="13/04/23"/>
  </r>
  <r>
    <s v="TXN_4077245"/>
    <s v="CUST_11"/>
    <x v="3"/>
    <x v="74"/>
    <x v="9"/>
    <x v="9"/>
    <n v="27.5"/>
    <x v="2"/>
    <x v="1"/>
    <x v="684"/>
    <x v="1"/>
    <s v="DISCOUNT ALLOWED"/>
    <s v="discount allowed"/>
    <s v="DISCOUNT ALLOWED"/>
    <s v="Discount Allowed"/>
    <s v="13/03/24"/>
  </r>
  <r>
    <s v="TXN_4444444"/>
    <s v="CUST_23"/>
    <x v="6"/>
    <x v="70"/>
    <x v="9"/>
    <x v="9"/>
    <n v="27.5"/>
    <x v="2"/>
    <x v="1"/>
    <x v="323"/>
    <x v="0"/>
    <s v="DISCOUNT NOT ALLOWED"/>
    <s v="discount not allowed"/>
    <s v="DISCOUNT NOT ALLOWED"/>
    <s v="Discount Not Allowed"/>
    <s v="14/11/22"/>
  </r>
  <r>
    <s v="TXN_5867303"/>
    <s v="CUST_08"/>
    <x v="0"/>
    <x v="73"/>
    <x v="9"/>
    <x v="9"/>
    <n v="27.5"/>
    <x v="2"/>
    <x v="0"/>
    <x v="522"/>
    <x v="1"/>
    <s v="DISCOUNT ALLOWED"/>
    <s v="discount allowed"/>
    <s v="DISCOUNT ALLOWED"/>
    <s v="Discount Allowed"/>
    <s v="27/08/24"/>
  </r>
  <r>
    <s v="TXN_6109021"/>
    <s v="CUST_06"/>
    <x v="5"/>
    <x v="75"/>
    <x v="9"/>
    <x v="9"/>
    <n v="27.5"/>
    <x v="0"/>
    <x v="0"/>
    <x v="111"/>
    <x v="1"/>
    <s v="DISCOUNT ALLOWED"/>
    <s v="discount allowed"/>
    <s v="DISCOUNT ALLOWED"/>
    <s v="Discount Allowed"/>
    <s v="03/11/24"/>
  </r>
  <r>
    <s v="TXN_6118432"/>
    <s v="CUST_08"/>
    <x v="3"/>
    <x v="74"/>
    <x v="9"/>
    <x v="9"/>
    <n v="27.5"/>
    <x v="1"/>
    <x v="0"/>
    <x v="607"/>
    <x v="0"/>
    <s v="DISCOUNT NOT ALLOWED"/>
    <s v="discount not allowed"/>
    <s v="DISCOUNT NOT ALLOWED"/>
    <s v="Discount Not Allowed"/>
    <s v="25/08/22"/>
  </r>
  <r>
    <s v="TXN_6352458"/>
    <s v="CUST_01"/>
    <x v="3"/>
    <x v="74"/>
    <x v="9"/>
    <x v="9"/>
    <n v="27.5"/>
    <x v="2"/>
    <x v="0"/>
    <x v="163"/>
    <x v="1"/>
    <s v="DISCOUNT ALLOWED"/>
    <s v="discount allowed"/>
    <s v="DISCOUNT ALLOWED"/>
    <s v="Discount Allowed"/>
    <s v="21/07/22"/>
  </r>
  <r>
    <s v="TXN_7232932"/>
    <s v="CUST_21"/>
    <x v="5"/>
    <x v="75"/>
    <x v="9"/>
    <x v="9"/>
    <n v="27.5"/>
    <x v="1"/>
    <x v="0"/>
    <x v="167"/>
    <x v="0"/>
    <s v="DISCOUNT NOT ALLOWED"/>
    <s v="discount not allowed"/>
    <s v="DISCOUNT NOT ALLOWED"/>
    <s v="Discount Not Allowed"/>
    <s v="16/04/22"/>
  </r>
  <r>
    <s v="TXN_7629978"/>
    <s v="CUST_01"/>
    <x v="6"/>
    <x v="70"/>
    <x v="9"/>
    <x v="9"/>
    <n v="27.5"/>
    <x v="0"/>
    <x v="1"/>
    <x v="1089"/>
    <x v="1"/>
    <s v="DISCOUNT ALLOWED"/>
    <s v="discount allowed"/>
    <s v="DISCOUNT ALLOWED"/>
    <s v="Discount Allowed"/>
    <s v="16/10/24"/>
  </r>
  <r>
    <s v="TXN_8020971"/>
    <s v="CUST_02"/>
    <x v="1"/>
    <x v="71"/>
    <x v="9"/>
    <x v="9"/>
    <n v="27.5"/>
    <x v="1"/>
    <x v="1"/>
    <x v="532"/>
    <x v="0"/>
    <s v="DISCOUNT NOT ALLOWED"/>
    <s v="discount not allowed"/>
    <s v="DISCOUNT NOT ALLOWED"/>
    <s v="Discount Not Allowed"/>
    <s v="05/05/22"/>
  </r>
  <r>
    <s v="TXN_8215023"/>
    <s v="CUST_23"/>
    <x v="0"/>
    <x v="73"/>
    <x v="9"/>
    <x v="9"/>
    <n v="27.5"/>
    <x v="2"/>
    <x v="0"/>
    <x v="194"/>
    <x v="1"/>
    <s v="DISCOUNT ALLOWED"/>
    <s v="discount allowed"/>
    <s v="DISCOUNT ALLOWED"/>
    <s v="Discount Allowed"/>
    <s v="25/12/22"/>
  </r>
  <r>
    <s v="TXN_8754747"/>
    <s v="CUST_24"/>
    <x v="1"/>
    <x v="71"/>
    <x v="9"/>
    <x v="9"/>
    <n v="27.5"/>
    <x v="1"/>
    <x v="1"/>
    <x v="195"/>
    <x v="0"/>
    <s v="DISCOUNT NOT ALLOWED"/>
    <s v="discount not allowed"/>
    <s v="DISCOUNT NOT ALLOWED"/>
    <s v="Discount Not Allowed"/>
    <s v="01/07/22"/>
  </r>
  <r>
    <s v="TXN_8832056"/>
    <s v="CUST_22"/>
    <x v="3"/>
    <x v="74"/>
    <x v="9"/>
    <x v="9"/>
    <n v="27.5"/>
    <x v="1"/>
    <x v="1"/>
    <x v="790"/>
    <x v="0"/>
    <s v="DISCOUNT NOT ALLOWED"/>
    <s v="discount not allowed"/>
    <s v="DISCOUNT NOT ALLOWED"/>
    <s v="Discount Not Allowed"/>
    <s v="31/10/22"/>
  </r>
  <r>
    <s v="TXN_8967003"/>
    <s v="CUST_07"/>
    <x v="7"/>
    <x v="72"/>
    <x v="9"/>
    <x v="9"/>
    <n v="27.5"/>
    <x v="2"/>
    <x v="0"/>
    <x v="933"/>
    <x v="1"/>
    <s v="DISCOUNT ALLOWED"/>
    <s v="discount allowed"/>
    <s v="DISCOUNT ALLOWED"/>
    <s v="Discount Allowed"/>
    <s v="29/10/24"/>
  </r>
  <r>
    <s v="TXN_9088118"/>
    <s v="CUST_15"/>
    <x v="1"/>
    <x v="71"/>
    <x v="9"/>
    <x v="9"/>
    <n v="27.5"/>
    <x v="1"/>
    <x v="1"/>
    <x v="938"/>
    <x v="1"/>
    <s v="DISCOUNT ALLOWED"/>
    <s v="discount allowed"/>
    <s v="DISCOUNT ALLOWED"/>
    <s v="Discount Allowed"/>
    <s v="05/06/24"/>
  </r>
  <r>
    <s v="TXN_9183760"/>
    <s v="CUST_12"/>
    <x v="5"/>
    <x v="75"/>
    <x v="9"/>
    <x v="9"/>
    <n v="27.5"/>
    <x v="0"/>
    <x v="1"/>
    <x v="762"/>
    <x v="0"/>
    <s v="DISCOUNT NOT ALLOWED"/>
    <s v="discount not allowed"/>
    <s v="DISCOUNT NOT ALLOWED"/>
    <s v="Discount Not Allowed"/>
    <s v="04/05/24"/>
  </r>
  <r>
    <s v="TXN_9205887"/>
    <s v="CUST_20"/>
    <x v="6"/>
    <x v="70"/>
    <x v="9"/>
    <x v="9"/>
    <n v="27.5"/>
    <x v="1"/>
    <x v="1"/>
    <x v="609"/>
    <x v="0"/>
    <s v="DISCOUNT NOT ALLOWED"/>
    <s v="discount not allowed"/>
    <s v="DISCOUNT NOT ALLOWED"/>
    <s v="Discount Not Allowed"/>
    <s v="14/02/24"/>
  </r>
  <r>
    <s v="TXN_9532162"/>
    <s v="CUST_16"/>
    <x v="1"/>
    <x v="71"/>
    <x v="9"/>
    <x v="9"/>
    <n v="27.5"/>
    <x v="2"/>
    <x v="1"/>
    <x v="860"/>
    <x v="0"/>
    <s v="DISCOUNT NOT ALLOWED"/>
    <s v="discount not allowed"/>
    <s v="DISCOUNT NOT ALLOWED"/>
    <s v="Discount Not Allowed"/>
    <s v="23/09/23"/>
  </r>
  <r>
    <s v="TXN_9728486"/>
    <s v="CUST_23"/>
    <x v="2"/>
    <x v="76"/>
    <x v="9"/>
    <x v="9"/>
    <n v="27.5"/>
    <x v="2"/>
    <x v="1"/>
    <x v="908"/>
    <x v="0"/>
    <s v="DISCOUNT NOT ALLOWED"/>
    <s v="discount not allowed"/>
    <s v="DISCOUNT NOT ALLOWED"/>
    <s v="Discount Not Allowed"/>
    <s v="26/04/23"/>
  </r>
  <r>
    <s v="TXN_9829192"/>
    <s v="CUST_21"/>
    <x v="3"/>
    <x v="74"/>
    <x v="9"/>
    <x v="9"/>
    <n v="27.5"/>
    <x v="2"/>
    <x v="0"/>
    <x v="362"/>
    <x v="0"/>
    <s v="DISCOUNT NOT ALLOWED"/>
    <s v="discount not allowed"/>
    <s v="DISCOUNT NOT ALLOWED"/>
    <s v="Discount Not Allowed"/>
    <s v="10/03/23"/>
  </r>
  <r>
    <s v="TXN_9976272"/>
    <s v="CUST_23"/>
    <x v="0"/>
    <x v="73"/>
    <x v="9"/>
    <x v="9"/>
    <n v="27.5"/>
    <x v="2"/>
    <x v="0"/>
    <x v="1053"/>
    <x v="0"/>
    <s v="DISCOUNT NOT ALLOWED"/>
    <s v="discount not allowed"/>
    <s v="DISCOUNT NOT ALLOWED"/>
    <s v="Discount Not Allowed"/>
    <s v="22/08/23"/>
  </r>
  <r>
    <s v="TXN_1016292"/>
    <s v="CUST_11"/>
    <x v="5"/>
    <x v="81"/>
    <x v="10"/>
    <x v="9"/>
    <n v="26"/>
    <x v="1"/>
    <x v="0"/>
    <x v="504"/>
    <x v="0"/>
    <s v="DISCOUNT NOT ALLOWED"/>
    <s v="discount not allowed"/>
    <s v="DISCOUNT NOT ALLOWED"/>
    <s v="Discount Not Allowed"/>
    <s v="12/02/22"/>
  </r>
  <r>
    <s v="TXN_1117354"/>
    <s v="CUST_22"/>
    <x v="1"/>
    <x v="184"/>
    <x v="23"/>
    <x v="6"/>
    <n v="26"/>
    <x v="1"/>
    <x v="0"/>
    <x v="310"/>
    <x v="1"/>
    <s v="DISCOUNT ALLOWED"/>
    <s v="discount allowed"/>
    <s v="DISCOUNT ALLOWED"/>
    <s v="Discount Allowed"/>
    <s v="01/11/24"/>
  </r>
  <r>
    <s v="TXN_1198384"/>
    <s v="CUST_12"/>
    <x v="2"/>
    <x v="77"/>
    <x v="10"/>
    <x v="9"/>
    <n v="26"/>
    <x v="2"/>
    <x v="0"/>
    <x v="490"/>
    <x v="0"/>
    <s v="DISCOUNT NOT ALLOWED"/>
    <s v="discount not allowed"/>
    <s v="DISCOUNT NOT ALLOWED"/>
    <s v="Discount Not Allowed"/>
    <s v="13/11/24"/>
  </r>
  <r>
    <s v="TXN_1299663"/>
    <s v="CUST_03"/>
    <x v="3"/>
    <x v="189"/>
    <x v="23"/>
    <x v="6"/>
    <n v="26"/>
    <x v="1"/>
    <x v="0"/>
    <x v="756"/>
    <x v="0"/>
    <s v="DISCOUNT NOT ALLOWED"/>
    <s v="discount not allowed"/>
    <s v="DISCOUNT NOT ALLOWED"/>
    <s v="Discount Not Allowed"/>
    <s v="15/06/23"/>
  </r>
  <r>
    <s v="TXN_1407563"/>
    <s v="CUST_23"/>
    <x v="5"/>
    <x v="81"/>
    <x v="10"/>
    <x v="9"/>
    <n v="26"/>
    <x v="2"/>
    <x v="1"/>
    <x v="446"/>
    <x v="1"/>
    <s v="DISCOUNT ALLOWED"/>
    <s v="discount allowed"/>
    <s v="DISCOUNT ALLOWED"/>
    <s v="Discount Allowed"/>
    <s v="12/09/24"/>
  </r>
  <r>
    <s v="TXN_1818334"/>
    <s v="CUST_08"/>
    <x v="0"/>
    <x v="84"/>
    <x v="10"/>
    <x v="9"/>
    <n v="26"/>
    <x v="2"/>
    <x v="1"/>
    <x v="193"/>
    <x v="1"/>
    <s v="DISCOUNT ALLOWED"/>
    <s v="discount allowed"/>
    <s v="DISCOUNT ALLOWED"/>
    <s v="Discount Allowed"/>
    <s v="08/01/22"/>
  </r>
  <r>
    <s v="TXN_1891321"/>
    <s v="CUST_09"/>
    <x v="1"/>
    <x v="184"/>
    <x v="23"/>
    <x v="6"/>
    <n v="26"/>
    <x v="1"/>
    <x v="1"/>
    <x v="371"/>
    <x v="0"/>
    <s v="DISCOUNT NOT ALLOWED"/>
    <s v="discount not allowed"/>
    <s v="DISCOUNT NOT ALLOWED"/>
    <s v="Discount Not Allowed"/>
    <s v="05/07/23"/>
  </r>
  <r>
    <s v="TXN_1927837"/>
    <s v="CUST_14"/>
    <x v="5"/>
    <x v="190"/>
    <x v="23"/>
    <x v="6"/>
    <n v="26"/>
    <x v="1"/>
    <x v="1"/>
    <x v="377"/>
    <x v="0"/>
    <s v="DISCOUNT NOT ALLOWED"/>
    <s v="discount not allowed"/>
    <s v="DISCOUNT NOT ALLOWED"/>
    <s v="Discount Not Allowed"/>
    <s v="27/05/23"/>
  </r>
  <r>
    <s v="TXN_2305142"/>
    <s v="CUST_03"/>
    <x v="7"/>
    <x v="83"/>
    <x v="10"/>
    <x v="9"/>
    <n v="26"/>
    <x v="1"/>
    <x v="0"/>
    <x v="562"/>
    <x v="0"/>
    <s v="DISCOUNT NOT ALLOWED"/>
    <s v="discount not allowed"/>
    <s v="DISCOUNT NOT ALLOWED"/>
    <s v="Discount Not Allowed"/>
    <s v="06/08/24"/>
  </r>
  <r>
    <s v="TXN_3019783"/>
    <s v="CUST_16"/>
    <x v="5"/>
    <x v="190"/>
    <x v="23"/>
    <x v="6"/>
    <n v="26"/>
    <x v="1"/>
    <x v="1"/>
    <x v="556"/>
    <x v="0"/>
    <s v="DISCOUNT NOT ALLOWED"/>
    <s v="discount not allowed"/>
    <s v="DISCOUNT NOT ALLOWED"/>
    <s v="Discount Not Allowed"/>
    <s v="16/02/24"/>
  </r>
  <r>
    <s v="TXN_3071763"/>
    <s v="CUST_02"/>
    <x v="6"/>
    <x v="82"/>
    <x v="10"/>
    <x v="9"/>
    <n v="26"/>
    <x v="2"/>
    <x v="1"/>
    <x v="402"/>
    <x v="1"/>
    <s v="DISCOUNT ALLOWED"/>
    <s v="discount allowed"/>
    <s v="DISCOUNT ALLOWED"/>
    <s v="Discount Allowed"/>
    <s v="07/09/23"/>
  </r>
  <r>
    <s v="TXN_3106778"/>
    <s v="CUST_17"/>
    <x v="4"/>
    <x v="79"/>
    <x v="10"/>
    <x v="9"/>
    <n v="26"/>
    <x v="2"/>
    <x v="1"/>
    <x v="874"/>
    <x v="1"/>
    <s v="DISCOUNT ALLOWED"/>
    <s v="discount allowed"/>
    <s v="DISCOUNT ALLOWED"/>
    <s v="Discount Allowed"/>
    <s v="06/09/24"/>
  </r>
  <r>
    <s v="TXN_3158395"/>
    <s v="CUST_25"/>
    <x v="5"/>
    <x v="81"/>
    <x v="10"/>
    <x v="9"/>
    <n v="26"/>
    <x v="0"/>
    <x v="0"/>
    <x v="33"/>
    <x v="0"/>
    <s v="DISCOUNT NOT ALLOWED"/>
    <s v="discount not allowed"/>
    <s v="DISCOUNT NOT ALLOWED"/>
    <s v="Discount Not Allowed"/>
    <s v="10/10/23"/>
  </r>
  <r>
    <s v="TXN_3262413"/>
    <s v="CUST_07"/>
    <x v="1"/>
    <x v="184"/>
    <x v="23"/>
    <x v="6"/>
    <n v="26"/>
    <x v="1"/>
    <x v="1"/>
    <x v="217"/>
    <x v="0"/>
    <s v="DISCOUNT NOT ALLOWED"/>
    <s v="discount not allowed"/>
    <s v="DISCOUNT NOT ALLOWED"/>
    <s v="Discount Not Allowed"/>
    <s v="12/01/24"/>
  </r>
  <r>
    <s v="TXN_3281468"/>
    <s v="CUST_22"/>
    <x v="7"/>
    <x v="83"/>
    <x v="10"/>
    <x v="9"/>
    <n v="26"/>
    <x v="0"/>
    <x v="0"/>
    <x v="858"/>
    <x v="0"/>
    <s v="DISCOUNT NOT ALLOWED"/>
    <s v="discount not allowed"/>
    <s v="DISCOUNT NOT ALLOWED"/>
    <s v="Discount Not Allowed"/>
    <s v="23/06/24"/>
  </r>
  <r>
    <s v="TXN_3587629"/>
    <s v="CUST_19"/>
    <x v="6"/>
    <x v="188"/>
    <x v="23"/>
    <x v="6"/>
    <n v="26"/>
    <x v="2"/>
    <x v="1"/>
    <x v="90"/>
    <x v="1"/>
    <s v="DISCOUNT ALLOWED"/>
    <s v="discount allowed"/>
    <s v="DISCOUNT ALLOWED"/>
    <s v="Discount Allowed"/>
    <s v="06/09/22"/>
  </r>
  <r>
    <s v="TXN_4051562"/>
    <s v="CUST_11"/>
    <x v="6"/>
    <x v="82"/>
    <x v="10"/>
    <x v="9"/>
    <n v="26"/>
    <x v="1"/>
    <x v="1"/>
    <x v="632"/>
    <x v="1"/>
    <s v="DISCOUNT ALLOWED"/>
    <s v="discount allowed"/>
    <s v="DISCOUNT ALLOWED"/>
    <s v="Discount Allowed"/>
    <s v="06/09/23"/>
  </r>
  <r>
    <s v="TXN_4103847"/>
    <s v="CUST_22"/>
    <x v="2"/>
    <x v="187"/>
    <x v="23"/>
    <x v="6"/>
    <n v="26"/>
    <x v="2"/>
    <x v="1"/>
    <x v="904"/>
    <x v="0"/>
    <s v="DISCOUNT NOT ALLOWED"/>
    <s v="discount not allowed"/>
    <s v="DISCOUNT NOT ALLOWED"/>
    <s v="Discount Not Allowed"/>
    <s v="09/03/22"/>
  </r>
  <r>
    <s v="TXN_4358862"/>
    <s v="CUST_06"/>
    <x v="3"/>
    <x v="189"/>
    <x v="23"/>
    <x v="6"/>
    <n v="26"/>
    <x v="0"/>
    <x v="1"/>
    <x v="124"/>
    <x v="1"/>
    <s v="DISCOUNT ALLOWED"/>
    <s v="discount allowed"/>
    <s v="DISCOUNT ALLOWED"/>
    <s v="Discount Allowed"/>
    <s v="19/04/22"/>
  </r>
  <r>
    <s v="TXN_4461081"/>
    <s v="CUST_04"/>
    <x v="5"/>
    <x v="81"/>
    <x v="10"/>
    <x v="9"/>
    <n v="26"/>
    <x v="0"/>
    <x v="1"/>
    <x v="997"/>
    <x v="0"/>
    <s v="DISCOUNT NOT ALLOWED"/>
    <s v="discount not allowed"/>
    <s v="DISCOUNT NOT ALLOWED"/>
    <s v="Discount Not Allowed"/>
    <s v="31/07/22"/>
  </r>
  <r>
    <s v="TXN_4494866"/>
    <s v="CUST_22"/>
    <x v="6"/>
    <x v="188"/>
    <x v="23"/>
    <x v="6"/>
    <n v="26"/>
    <x v="2"/>
    <x v="1"/>
    <x v="352"/>
    <x v="0"/>
    <s v="DISCOUNT NOT ALLOWED"/>
    <s v="discount not allowed"/>
    <s v="DISCOUNT NOT ALLOWED"/>
    <s v="Discount Not Allowed"/>
    <s v="11/03/24"/>
  </r>
  <r>
    <s v="TXN_4498044"/>
    <s v="CUST_17"/>
    <x v="2"/>
    <x v="187"/>
    <x v="23"/>
    <x v="6"/>
    <n v="26"/>
    <x v="1"/>
    <x v="0"/>
    <x v="322"/>
    <x v="1"/>
    <s v="DISCOUNT ALLOWED"/>
    <s v="discount allowed"/>
    <s v="DISCOUNT ALLOWED"/>
    <s v="Discount Allowed"/>
    <s v="22/06/23"/>
  </r>
  <r>
    <s v="TXN_4695478"/>
    <s v="CUST_09"/>
    <x v="1"/>
    <x v="78"/>
    <x v="10"/>
    <x v="9"/>
    <n v="26"/>
    <x v="2"/>
    <x v="1"/>
    <x v="787"/>
    <x v="0"/>
    <s v="DISCOUNT NOT ALLOWED"/>
    <s v="discount not allowed"/>
    <s v="DISCOUNT NOT ALLOWED"/>
    <s v="Discount Not Allowed"/>
    <s v="11/06/24"/>
  </r>
  <r>
    <s v="TXN_4777181"/>
    <s v="CUST_05"/>
    <x v="2"/>
    <x v="77"/>
    <x v="10"/>
    <x v="9"/>
    <n v="26"/>
    <x v="2"/>
    <x v="1"/>
    <x v="111"/>
    <x v="1"/>
    <s v="DISCOUNT ALLOWED"/>
    <s v="discount allowed"/>
    <s v="DISCOUNT ALLOWED"/>
    <s v="Discount Allowed"/>
    <s v="03/11/24"/>
  </r>
  <r>
    <s v="TXN_4800149"/>
    <s v="CUST_01"/>
    <x v="3"/>
    <x v="80"/>
    <x v="10"/>
    <x v="9"/>
    <n v="26"/>
    <x v="2"/>
    <x v="1"/>
    <x v="900"/>
    <x v="0"/>
    <s v="DISCOUNT NOT ALLOWED"/>
    <s v="discount not allowed"/>
    <s v="DISCOUNT NOT ALLOWED"/>
    <s v="Discount Not Allowed"/>
    <s v="06/11/23"/>
  </r>
  <r>
    <s v="TXN_4822783"/>
    <s v="CUST_12"/>
    <x v="2"/>
    <x v="77"/>
    <x v="10"/>
    <x v="9"/>
    <n v="26"/>
    <x v="0"/>
    <x v="0"/>
    <x v="704"/>
    <x v="1"/>
    <s v="DISCOUNT ALLOWED"/>
    <s v="discount allowed"/>
    <s v="DISCOUNT ALLOWED"/>
    <s v="Discount Allowed"/>
    <s v="02/03/24"/>
  </r>
  <r>
    <s v="TXN_4900166"/>
    <s v="CUST_01"/>
    <x v="6"/>
    <x v="188"/>
    <x v="23"/>
    <x v="6"/>
    <n v="26"/>
    <x v="0"/>
    <x v="0"/>
    <x v="87"/>
    <x v="0"/>
    <s v="DISCOUNT NOT ALLOWED"/>
    <s v="discount not allowed"/>
    <s v="DISCOUNT NOT ALLOWED"/>
    <s v="Discount Not Allowed"/>
    <s v="23/07/23"/>
  </r>
  <r>
    <s v="TXN_5221018"/>
    <s v="CUST_11"/>
    <x v="3"/>
    <x v="80"/>
    <x v="10"/>
    <x v="9"/>
    <n v="26"/>
    <x v="1"/>
    <x v="1"/>
    <x v="453"/>
    <x v="0"/>
    <s v="DISCOUNT NOT ALLOWED"/>
    <s v="discount not allowed"/>
    <s v="DISCOUNT NOT ALLOWED"/>
    <s v="Discount Not Allowed"/>
    <s v="26/06/22"/>
  </r>
  <r>
    <s v="TXN_5256349"/>
    <s v="CUST_25"/>
    <x v="1"/>
    <x v="184"/>
    <x v="23"/>
    <x v="6"/>
    <n v="26"/>
    <x v="0"/>
    <x v="0"/>
    <x v="537"/>
    <x v="0"/>
    <s v="DISCOUNT NOT ALLOWED"/>
    <s v="discount not allowed"/>
    <s v="DISCOUNT NOT ALLOWED"/>
    <s v="Discount Not Allowed"/>
    <s v="27/09/22"/>
  </r>
  <r>
    <s v="TXN_6017531"/>
    <s v="CUST_21"/>
    <x v="0"/>
    <x v="186"/>
    <x v="23"/>
    <x v="6"/>
    <n v="26"/>
    <x v="2"/>
    <x v="0"/>
    <x v="802"/>
    <x v="1"/>
    <s v="DISCOUNT ALLOWED"/>
    <s v="discount allowed"/>
    <s v="DISCOUNT ALLOWED"/>
    <s v="Discount Allowed"/>
    <s v="05/10/24"/>
  </r>
  <r>
    <s v="TXN_6087808"/>
    <s v="CUST_06"/>
    <x v="2"/>
    <x v="77"/>
    <x v="10"/>
    <x v="9"/>
    <n v="26"/>
    <x v="0"/>
    <x v="0"/>
    <x v="537"/>
    <x v="1"/>
    <s v="DISCOUNT ALLOWED"/>
    <s v="discount allowed"/>
    <s v="DISCOUNT ALLOWED"/>
    <s v="Discount Allowed"/>
    <s v="27/09/22"/>
  </r>
  <r>
    <s v="TXN_6191176"/>
    <s v="CUST_16"/>
    <x v="6"/>
    <x v="82"/>
    <x v="10"/>
    <x v="9"/>
    <n v="26"/>
    <x v="0"/>
    <x v="0"/>
    <x v="626"/>
    <x v="0"/>
    <s v="DISCOUNT NOT ALLOWED"/>
    <s v="discount not allowed"/>
    <s v="DISCOUNT NOT ALLOWED"/>
    <s v="Discount Not Allowed"/>
    <s v="11/10/24"/>
  </r>
  <r>
    <s v="TXN_6357302"/>
    <s v="CUST_20"/>
    <x v="1"/>
    <x v="78"/>
    <x v="10"/>
    <x v="9"/>
    <n v="26"/>
    <x v="2"/>
    <x v="1"/>
    <x v="867"/>
    <x v="0"/>
    <s v="DISCOUNT NOT ALLOWED"/>
    <s v="discount not allowed"/>
    <s v="DISCOUNT NOT ALLOWED"/>
    <s v="Discount Not Allowed"/>
    <s v="09/09/22"/>
  </r>
  <r>
    <s v="TXN_6855605"/>
    <s v="CUST_07"/>
    <x v="3"/>
    <x v="80"/>
    <x v="10"/>
    <x v="9"/>
    <n v="26"/>
    <x v="2"/>
    <x v="0"/>
    <x v="738"/>
    <x v="0"/>
    <s v="DISCOUNT NOT ALLOWED"/>
    <s v="discount not allowed"/>
    <s v="DISCOUNT NOT ALLOWED"/>
    <s v="Discount Not Allowed"/>
    <s v="09/02/24"/>
  </r>
  <r>
    <s v="TXN_6866882"/>
    <s v="CUST_15"/>
    <x v="6"/>
    <x v="188"/>
    <x v="23"/>
    <x v="6"/>
    <n v="26"/>
    <x v="0"/>
    <x v="0"/>
    <x v="980"/>
    <x v="1"/>
    <s v="DISCOUNT ALLOWED"/>
    <s v="discount allowed"/>
    <s v="DISCOUNT ALLOWED"/>
    <s v="Discount Allowed"/>
    <s v="05/05/23"/>
  </r>
  <r>
    <s v="TXN_7505995"/>
    <s v="CUST_08"/>
    <x v="0"/>
    <x v="186"/>
    <x v="23"/>
    <x v="6"/>
    <n v="26"/>
    <x v="0"/>
    <x v="1"/>
    <x v="805"/>
    <x v="0"/>
    <s v="DISCOUNT NOT ALLOWED"/>
    <s v="discount not allowed"/>
    <s v="DISCOUNT NOT ALLOWED"/>
    <s v="Discount Not Allowed"/>
    <s v="04/06/22"/>
  </r>
  <r>
    <s v="TXN_7558362"/>
    <s v="CUST_08"/>
    <x v="7"/>
    <x v="191"/>
    <x v="23"/>
    <x v="6"/>
    <n v="26"/>
    <x v="2"/>
    <x v="1"/>
    <x v="60"/>
    <x v="0"/>
    <s v="DISCOUNT NOT ALLOWED"/>
    <s v="discount not allowed"/>
    <s v="DISCOUNT NOT ALLOWED"/>
    <s v="Discount Not Allowed"/>
    <s v="01/06/24"/>
  </r>
  <r>
    <s v="TXN_7635856"/>
    <s v="CUST_20"/>
    <x v="6"/>
    <x v="188"/>
    <x v="23"/>
    <x v="6"/>
    <n v="26"/>
    <x v="0"/>
    <x v="0"/>
    <x v="57"/>
    <x v="1"/>
    <s v="DISCOUNT ALLOWED"/>
    <s v="discount allowed"/>
    <s v="DISCOUNT ALLOWED"/>
    <s v="Discount Allowed"/>
    <s v="16/07/23"/>
  </r>
  <r>
    <s v="TXN_7669281"/>
    <s v="CUST_05"/>
    <x v="3"/>
    <x v="189"/>
    <x v="23"/>
    <x v="6"/>
    <n v="26"/>
    <x v="0"/>
    <x v="0"/>
    <x v="924"/>
    <x v="1"/>
    <s v="DISCOUNT ALLOWED"/>
    <s v="discount allowed"/>
    <s v="DISCOUNT ALLOWED"/>
    <s v="Discount Allowed"/>
    <s v="06/07/23"/>
  </r>
  <r>
    <s v="TXN_7752590"/>
    <s v="CUST_06"/>
    <x v="5"/>
    <x v="81"/>
    <x v="10"/>
    <x v="9"/>
    <n v="26"/>
    <x v="2"/>
    <x v="1"/>
    <x v="853"/>
    <x v="1"/>
    <s v="DISCOUNT ALLOWED"/>
    <s v="discount allowed"/>
    <s v="DISCOUNT ALLOWED"/>
    <s v="Discount Allowed"/>
    <s v="12/08/24"/>
  </r>
  <r>
    <s v="TXN_7958601"/>
    <s v="CUST_08"/>
    <x v="0"/>
    <x v="84"/>
    <x v="10"/>
    <x v="9"/>
    <n v="26"/>
    <x v="1"/>
    <x v="0"/>
    <x v="205"/>
    <x v="1"/>
    <s v="DISCOUNT ALLOWED"/>
    <s v="discount allowed"/>
    <s v="DISCOUNT ALLOWED"/>
    <s v="Discount Allowed"/>
    <s v="11/06/22"/>
  </r>
  <r>
    <s v="TXN_8169294"/>
    <s v="CUST_08"/>
    <x v="4"/>
    <x v="185"/>
    <x v="23"/>
    <x v="6"/>
    <n v="26"/>
    <x v="1"/>
    <x v="0"/>
    <x v="109"/>
    <x v="1"/>
    <s v="DISCOUNT ALLOWED"/>
    <s v="discount allowed"/>
    <s v="DISCOUNT ALLOWED"/>
    <s v="Discount Allowed"/>
    <s v="05/06/22"/>
  </r>
  <r>
    <s v="TXN_8230124"/>
    <s v="CUST_23"/>
    <x v="5"/>
    <x v="190"/>
    <x v="23"/>
    <x v="6"/>
    <n v="26"/>
    <x v="1"/>
    <x v="1"/>
    <x v="674"/>
    <x v="0"/>
    <s v="DISCOUNT NOT ALLOWED"/>
    <s v="discount not allowed"/>
    <s v="DISCOUNT NOT ALLOWED"/>
    <s v="Discount Not Allowed"/>
    <s v="26/09/23"/>
  </r>
  <r>
    <s v="TXN_8236696"/>
    <s v="CUST_04"/>
    <x v="1"/>
    <x v="184"/>
    <x v="23"/>
    <x v="6"/>
    <n v="26"/>
    <x v="2"/>
    <x v="0"/>
    <x v="915"/>
    <x v="0"/>
    <s v="DISCOUNT NOT ALLOWED"/>
    <s v="discount not allowed"/>
    <s v="DISCOUNT NOT ALLOWED"/>
    <s v="Discount Not Allowed"/>
    <s v="11/08/24"/>
  </r>
  <r>
    <s v="TXN_8430438"/>
    <s v="CUST_18"/>
    <x v="2"/>
    <x v="77"/>
    <x v="10"/>
    <x v="9"/>
    <n v="26"/>
    <x v="1"/>
    <x v="1"/>
    <x v="370"/>
    <x v="1"/>
    <s v="DISCOUNT ALLOWED"/>
    <s v="discount allowed"/>
    <s v="DISCOUNT ALLOWED"/>
    <s v="Discount Allowed"/>
    <s v="14/01/25"/>
  </r>
  <r>
    <s v="TXN_8502497"/>
    <s v="CUST_18"/>
    <x v="1"/>
    <x v="78"/>
    <x v="10"/>
    <x v="9"/>
    <n v="26"/>
    <x v="1"/>
    <x v="1"/>
    <x v="93"/>
    <x v="0"/>
    <s v="DISCOUNT NOT ALLOWED"/>
    <s v="discount not allowed"/>
    <s v="DISCOUNT NOT ALLOWED"/>
    <s v="Discount Not Allowed"/>
    <s v="08/12/22"/>
  </r>
  <r>
    <s v="TXN_8674901"/>
    <s v="CUST_17"/>
    <x v="2"/>
    <x v="77"/>
    <x v="10"/>
    <x v="9"/>
    <n v="26"/>
    <x v="1"/>
    <x v="0"/>
    <x v="375"/>
    <x v="1"/>
    <s v="DISCOUNT ALLOWED"/>
    <s v="discount allowed"/>
    <s v="DISCOUNT ALLOWED"/>
    <s v="Discount Allowed"/>
    <s v="02/07/22"/>
  </r>
  <r>
    <s v="TXN_8838210"/>
    <s v="CUST_06"/>
    <x v="3"/>
    <x v="80"/>
    <x v="10"/>
    <x v="9"/>
    <n v="26"/>
    <x v="2"/>
    <x v="1"/>
    <x v="387"/>
    <x v="0"/>
    <s v="DISCOUNT NOT ALLOWED"/>
    <s v="discount not allowed"/>
    <s v="DISCOUNT NOT ALLOWED"/>
    <s v="Discount Not Allowed"/>
    <s v="30/12/22"/>
  </r>
  <r>
    <s v="TXN_8944954"/>
    <s v="CUST_14"/>
    <x v="3"/>
    <x v="80"/>
    <x v="10"/>
    <x v="9"/>
    <n v="26"/>
    <x v="1"/>
    <x v="0"/>
    <x v="850"/>
    <x v="0"/>
    <s v="DISCOUNT NOT ALLOWED"/>
    <s v="discount not allowed"/>
    <s v="DISCOUNT NOT ALLOWED"/>
    <s v="Discount Not Allowed"/>
    <s v="27/10/23"/>
  </r>
  <r>
    <s v="TXN_9038879"/>
    <s v="CUST_16"/>
    <x v="3"/>
    <x v="80"/>
    <x v="10"/>
    <x v="9"/>
    <n v="26"/>
    <x v="0"/>
    <x v="0"/>
    <x v="657"/>
    <x v="1"/>
    <s v="DISCOUNT ALLOWED"/>
    <s v="discount allowed"/>
    <s v="DISCOUNT ALLOWED"/>
    <s v="Discount Allowed"/>
    <s v="22/03/22"/>
  </r>
  <r>
    <s v="TXN_9049596"/>
    <s v="CUST_11"/>
    <x v="2"/>
    <x v="187"/>
    <x v="23"/>
    <x v="6"/>
    <n v="26"/>
    <x v="2"/>
    <x v="0"/>
    <x v="778"/>
    <x v="0"/>
    <s v="DISCOUNT NOT ALLOWED"/>
    <s v="discount not allowed"/>
    <s v="DISCOUNT NOT ALLOWED"/>
    <s v="Discount Not Allowed"/>
    <s v="26/07/23"/>
  </r>
  <r>
    <s v="TXN_9185495"/>
    <s v="CUST_13"/>
    <x v="5"/>
    <x v="81"/>
    <x v="10"/>
    <x v="9"/>
    <n v="26"/>
    <x v="0"/>
    <x v="0"/>
    <x v="848"/>
    <x v="1"/>
    <s v="DISCOUNT ALLOWED"/>
    <s v="discount allowed"/>
    <s v="DISCOUNT ALLOWED"/>
    <s v="Discount Allowed"/>
    <s v="22/10/22"/>
  </r>
  <r>
    <s v="TXN_9474347"/>
    <s v="CUST_11"/>
    <x v="7"/>
    <x v="191"/>
    <x v="23"/>
    <x v="6"/>
    <n v="26"/>
    <x v="0"/>
    <x v="0"/>
    <x v="648"/>
    <x v="0"/>
    <s v="DISCOUNT NOT ALLOWED"/>
    <s v="discount not allowed"/>
    <s v="DISCOUNT NOT ALLOWED"/>
    <s v="Discount Not Allowed"/>
    <s v="22/03/23"/>
  </r>
  <r>
    <s v="TXN_9696593"/>
    <s v="CUST_02"/>
    <x v="1"/>
    <x v="184"/>
    <x v="23"/>
    <x v="6"/>
    <n v="26"/>
    <x v="1"/>
    <x v="0"/>
    <x v="657"/>
    <x v="1"/>
    <s v="DISCOUNT ALLOWED"/>
    <s v="discount allowed"/>
    <s v="DISCOUNT ALLOWED"/>
    <s v="Discount Allowed"/>
    <s v="22/03/22"/>
  </r>
  <r>
    <s v="TXN_1188415"/>
    <s v="CUST_18"/>
    <x v="5"/>
    <x v="194"/>
    <x v="24"/>
    <x v="5"/>
    <n v="25"/>
    <x v="1"/>
    <x v="1"/>
    <x v="1079"/>
    <x v="0"/>
    <s v="DISCOUNT NOT ALLOWED"/>
    <s v="discount not allowed"/>
    <s v="DISCOUNT NOT ALLOWED"/>
    <s v="Discount Not Allowed"/>
    <s v="15/01/25"/>
  </r>
  <r>
    <s v="TXN_1211734"/>
    <s v="CUST_18"/>
    <x v="7"/>
    <x v="153"/>
    <x v="19"/>
    <x v="8"/>
    <n v="25"/>
    <x v="2"/>
    <x v="0"/>
    <x v="756"/>
    <x v="1"/>
    <s v="DISCOUNT ALLOWED"/>
    <s v="discount allowed"/>
    <s v="DISCOUNT ALLOWED"/>
    <s v="Discount Allowed"/>
    <s v="15/06/23"/>
  </r>
  <r>
    <s v="TXN_1285084"/>
    <s v="CUST_05"/>
    <x v="6"/>
    <x v="152"/>
    <x v="19"/>
    <x v="8"/>
    <n v="25"/>
    <x v="0"/>
    <x v="1"/>
    <x v="721"/>
    <x v="1"/>
    <s v="DISCOUNT ALLOWED"/>
    <s v="discount allowed"/>
    <s v="DISCOUNT ALLOWED"/>
    <s v="Discount Allowed"/>
    <s v="03/07/24"/>
  </r>
  <r>
    <s v="TXN_1312186"/>
    <s v="CUST_17"/>
    <x v="6"/>
    <x v="152"/>
    <x v="19"/>
    <x v="8"/>
    <n v="25"/>
    <x v="2"/>
    <x v="0"/>
    <x v="20"/>
    <x v="1"/>
    <s v="DISCOUNT ALLOWED"/>
    <s v="discount allowed"/>
    <s v="DISCOUNT ALLOWED"/>
    <s v="Discount Allowed"/>
    <s v="24/12/24"/>
  </r>
  <r>
    <s v="TXN_1354152"/>
    <s v="CUST_17"/>
    <x v="4"/>
    <x v="155"/>
    <x v="19"/>
    <x v="8"/>
    <n v="25"/>
    <x v="2"/>
    <x v="0"/>
    <x v="129"/>
    <x v="0"/>
    <s v="DISCOUNT NOT ALLOWED"/>
    <s v="discount not allowed"/>
    <s v="DISCOUNT NOT ALLOWED"/>
    <s v="Discount Not Allowed"/>
    <s v="06/06/24"/>
  </r>
  <r>
    <s v="TXN_1448205"/>
    <s v="CUST_21"/>
    <x v="5"/>
    <x v="194"/>
    <x v="24"/>
    <x v="5"/>
    <n v="25"/>
    <x v="1"/>
    <x v="0"/>
    <x v="1002"/>
    <x v="0"/>
    <s v="DISCOUNT NOT ALLOWED"/>
    <s v="discount not allowed"/>
    <s v="DISCOUNT NOT ALLOWED"/>
    <s v="Discount Not Allowed"/>
    <s v="08/12/24"/>
  </r>
  <r>
    <s v="TXN_1906850"/>
    <s v="CUST_06"/>
    <x v="0"/>
    <x v="195"/>
    <x v="24"/>
    <x v="5"/>
    <n v="25"/>
    <x v="2"/>
    <x v="1"/>
    <x v="613"/>
    <x v="0"/>
    <s v="DISCOUNT NOT ALLOWED"/>
    <s v="discount not allowed"/>
    <s v="DISCOUNT NOT ALLOWED"/>
    <s v="Discount Not Allowed"/>
    <s v="20/04/23"/>
  </r>
  <r>
    <s v="TXN_1914649"/>
    <s v="CUST_22"/>
    <x v="2"/>
    <x v="158"/>
    <x v="19"/>
    <x v="8"/>
    <n v="25"/>
    <x v="0"/>
    <x v="0"/>
    <x v="664"/>
    <x v="1"/>
    <s v="DISCOUNT ALLOWED"/>
    <s v="discount allowed"/>
    <s v="DISCOUNT ALLOWED"/>
    <s v="Discount Allowed"/>
    <s v="03/11/23"/>
  </r>
  <r>
    <s v="TXN_1933506"/>
    <s v="CUST_13"/>
    <x v="4"/>
    <x v="155"/>
    <x v="19"/>
    <x v="8"/>
    <n v="25"/>
    <x v="0"/>
    <x v="1"/>
    <x v="662"/>
    <x v="0"/>
    <s v="DISCOUNT NOT ALLOWED"/>
    <s v="discount not allowed"/>
    <s v="DISCOUNT NOT ALLOWED"/>
    <s v="Discount Not Allowed"/>
    <s v="17/12/24"/>
  </r>
  <r>
    <s v="TXN_1936106"/>
    <s v="CUST_17"/>
    <x v="7"/>
    <x v="153"/>
    <x v="19"/>
    <x v="8"/>
    <n v="25"/>
    <x v="0"/>
    <x v="1"/>
    <x v="186"/>
    <x v="1"/>
    <s v="DISCOUNT ALLOWED"/>
    <s v="discount allowed"/>
    <s v="DISCOUNT ALLOWED"/>
    <s v="Discount Allowed"/>
    <s v="15/09/22"/>
  </r>
  <r>
    <s v="TXN_2074223"/>
    <s v="CUST_16"/>
    <x v="1"/>
    <x v="193"/>
    <x v="24"/>
    <x v="5"/>
    <n v="25"/>
    <x v="1"/>
    <x v="1"/>
    <x v="1028"/>
    <x v="0"/>
    <s v="DISCOUNT NOT ALLOWED"/>
    <s v="discount not allowed"/>
    <s v="DISCOUNT NOT ALLOWED"/>
    <s v="Discount Not Allowed"/>
    <s v="15/09/23"/>
  </r>
  <r>
    <s v="TXN_2914395"/>
    <s v="CUST_19"/>
    <x v="6"/>
    <x v="152"/>
    <x v="19"/>
    <x v="8"/>
    <n v="25"/>
    <x v="2"/>
    <x v="0"/>
    <x v="863"/>
    <x v="1"/>
    <s v="DISCOUNT ALLOWED"/>
    <s v="discount allowed"/>
    <s v="DISCOUNT ALLOWED"/>
    <s v="Discount Allowed"/>
    <s v="26/12/22"/>
  </r>
  <r>
    <s v="TXN_2973712"/>
    <s v="CUST_01"/>
    <x v="2"/>
    <x v="199"/>
    <x v="24"/>
    <x v="5"/>
    <n v="25"/>
    <x v="2"/>
    <x v="1"/>
    <x v="437"/>
    <x v="0"/>
    <s v="DISCOUNT NOT ALLOWED"/>
    <s v="discount not allowed"/>
    <s v="DISCOUNT NOT ALLOWED"/>
    <s v="Discount Not Allowed"/>
    <s v="23/08/24"/>
  </r>
  <r>
    <s v="TXN_3103409"/>
    <s v="CUST_16"/>
    <x v="0"/>
    <x v="154"/>
    <x v="19"/>
    <x v="8"/>
    <n v="25"/>
    <x v="0"/>
    <x v="0"/>
    <x v="956"/>
    <x v="1"/>
    <s v="DISCOUNT ALLOWED"/>
    <s v="discount allowed"/>
    <s v="DISCOUNT ALLOWED"/>
    <s v="Discount Allowed"/>
    <s v="28/12/22"/>
  </r>
  <r>
    <s v="TXN_3119039"/>
    <s v="CUST_13"/>
    <x v="2"/>
    <x v="199"/>
    <x v="24"/>
    <x v="5"/>
    <n v="25"/>
    <x v="0"/>
    <x v="1"/>
    <x v="423"/>
    <x v="0"/>
    <s v="DISCOUNT NOT ALLOWED"/>
    <s v="discount not allowed"/>
    <s v="DISCOUNT NOT ALLOWED"/>
    <s v="Discount Not Allowed"/>
    <s v="13/07/24"/>
  </r>
  <r>
    <s v="TXN_3122232"/>
    <s v="CUST_03"/>
    <x v="0"/>
    <x v="154"/>
    <x v="19"/>
    <x v="8"/>
    <n v="25"/>
    <x v="0"/>
    <x v="0"/>
    <x v="512"/>
    <x v="1"/>
    <s v="DISCOUNT ALLOWED"/>
    <s v="discount allowed"/>
    <s v="DISCOUNT ALLOWED"/>
    <s v="Discount Allowed"/>
    <s v="24/06/22"/>
  </r>
  <r>
    <s v="TXN_3384109"/>
    <s v="CUST_10"/>
    <x v="7"/>
    <x v="153"/>
    <x v="19"/>
    <x v="8"/>
    <n v="25"/>
    <x v="0"/>
    <x v="1"/>
    <x v="992"/>
    <x v="0"/>
    <s v="DISCOUNT NOT ALLOWED"/>
    <s v="discount not allowed"/>
    <s v="DISCOUNT NOT ALLOWED"/>
    <s v="Discount Not Allowed"/>
    <s v="30/09/22"/>
  </r>
  <r>
    <s v="TXN_3442308"/>
    <s v="CUST_05"/>
    <x v="7"/>
    <x v="192"/>
    <x v="24"/>
    <x v="5"/>
    <n v="25"/>
    <x v="0"/>
    <x v="1"/>
    <x v="805"/>
    <x v="1"/>
    <s v="DISCOUNT ALLOWED"/>
    <s v="discount allowed"/>
    <s v="DISCOUNT ALLOWED"/>
    <s v="Discount Allowed"/>
    <s v="04/06/22"/>
  </r>
  <r>
    <s v="TXN_3493022"/>
    <s v="CUST_15"/>
    <x v="5"/>
    <x v="194"/>
    <x v="24"/>
    <x v="5"/>
    <n v="25"/>
    <x v="2"/>
    <x v="0"/>
    <x v="791"/>
    <x v="0"/>
    <s v="DISCOUNT NOT ALLOWED"/>
    <s v="discount not allowed"/>
    <s v="DISCOUNT NOT ALLOWED"/>
    <s v="Discount Not Allowed"/>
    <s v="25/11/23"/>
  </r>
  <r>
    <s v="TXN_3926641"/>
    <s v="CUST_08"/>
    <x v="7"/>
    <x v="192"/>
    <x v="24"/>
    <x v="5"/>
    <n v="25"/>
    <x v="2"/>
    <x v="1"/>
    <x v="872"/>
    <x v="1"/>
    <s v="DISCOUNT ALLOWED"/>
    <s v="discount allowed"/>
    <s v="DISCOUNT ALLOWED"/>
    <s v="Discount Allowed"/>
    <s v="07/06/24"/>
  </r>
  <r>
    <s v="TXN_4108548"/>
    <s v="CUST_20"/>
    <x v="5"/>
    <x v="159"/>
    <x v="19"/>
    <x v="8"/>
    <n v="25"/>
    <x v="1"/>
    <x v="0"/>
    <x v="51"/>
    <x v="0"/>
    <s v="DISCOUNT NOT ALLOWED"/>
    <s v="discount not allowed"/>
    <s v="DISCOUNT NOT ALLOWED"/>
    <s v="Discount Not Allowed"/>
    <s v="12/03/23"/>
  </r>
  <r>
    <s v="TXN_4184687"/>
    <s v="CUST_23"/>
    <x v="4"/>
    <x v="155"/>
    <x v="19"/>
    <x v="8"/>
    <n v="25"/>
    <x v="0"/>
    <x v="0"/>
    <x v="597"/>
    <x v="0"/>
    <s v="DISCOUNT NOT ALLOWED"/>
    <s v="discount not allowed"/>
    <s v="DISCOUNT NOT ALLOWED"/>
    <s v="Discount Not Allowed"/>
    <s v="10/09/22"/>
  </r>
  <r>
    <s v="TXN_4202877"/>
    <s v="CUST_17"/>
    <x v="0"/>
    <x v="195"/>
    <x v="24"/>
    <x v="5"/>
    <n v="25"/>
    <x v="0"/>
    <x v="1"/>
    <x v="1072"/>
    <x v="1"/>
    <s v="DISCOUNT ALLOWED"/>
    <s v="discount allowed"/>
    <s v="DISCOUNT ALLOWED"/>
    <s v="Discount Allowed"/>
    <s v="17/12/23"/>
  </r>
  <r>
    <s v="TXN_4237098"/>
    <s v="CUST_07"/>
    <x v="5"/>
    <x v="159"/>
    <x v="19"/>
    <x v="8"/>
    <n v="25"/>
    <x v="0"/>
    <x v="0"/>
    <x v="773"/>
    <x v="1"/>
    <s v="DISCOUNT ALLOWED"/>
    <s v="discount allowed"/>
    <s v="DISCOUNT ALLOWED"/>
    <s v="Discount Allowed"/>
    <s v="16/09/23"/>
  </r>
  <r>
    <s v="TXN_4244094"/>
    <s v="CUST_04"/>
    <x v="4"/>
    <x v="155"/>
    <x v="19"/>
    <x v="8"/>
    <n v="25"/>
    <x v="0"/>
    <x v="1"/>
    <x v="90"/>
    <x v="0"/>
    <s v="DISCOUNT NOT ALLOWED"/>
    <s v="discount not allowed"/>
    <s v="DISCOUNT NOT ALLOWED"/>
    <s v="Discount Not Allowed"/>
    <s v="06/09/22"/>
  </r>
  <r>
    <s v="TXN_4376968"/>
    <s v="CUST_22"/>
    <x v="2"/>
    <x v="158"/>
    <x v="19"/>
    <x v="8"/>
    <n v="25"/>
    <x v="0"/>
    <x v="1"/>
    <x v="710"/>
    <x v="0"/>
    <s v="DISCOUNT NOT ALLOWED"/>
    <s v="discount not allowed"/>
    <s v="DISCOUNT NOT ALLOWED"/>
    <s v="Discount Not Allowed"/>
    <s v="05/08/24"/>
  </r>
  <r>
    <s v="TXN_4383123"/>
    <s v="CUST_13"/>
    <x v="7"/>
    <x v="192"/>
    <x v="24"/>
    <x v="5"/>
    <n v="25"/>
    <x v="0"/>
    <x v="1"/>
    <x v="774"/>
    <x v="0"/>
    <s v="DISCOUNT NOT ALLOWED"/>
    <s v="discount not allowed"/>
    <s v="DISCOUNT NOT ALLOWED"/>
    <s v="Discount Not Allowed"/>
    <s v="17/04/22"/>
  </r>
  <r>
    <s v="TXN_4502266"/>
    <s v="CUST_05"/>
    <x v="6"/>
    <x v="196"/>
    <x v="24"/>
    <x v="5"/>
    <n v="25"/>
    <x v="2"/>
    <x v="0"/>
    <x v="337"/>
    <x v="0"/>
    <s v="DISCOUNT NOT ALLOWED"/>
    <s v="discount not allowed"/>
    <s v="DISCOUNT NOT ALLOWED"/>
    <s v="Discount Not Allowed"/>
    <s v="20/08/24"/>
  </r>
  <r>
    <s v="TXN_4538100"/>
    <s v="CUST_01"/>
    <x v="3"/>
    <x v="157"/>
    <x v="19"/>
    <x v="8"/>
    <n v="25"/>
    <x v="1"/>
    <x v="1"/>
    <x v="866"/>
    <x v="1"/>
    <s v="DISCOUNT ALLOWED"/>
    <s v="discount allowed"/>
    <s v="DISCOUNT ALLOWED"/>
    <s v="Discount Allowed"/>
    <s v="04/10/22"/>
  </r>
  <r>
    <s v="TXN_4571221"/>
    <s v="CUST_12"/>
    <x v="4"/>
    <x v="198"/>
    <x v="24"/>
    <x v="5"/>
    <n v="25"/>
    <x v="0"/>
    <x v="0"/>
    <x v="785"/>
    <x v="0"/>
    <s v="DISCOUNT NOT ALLOWED"/>
    <s v="discount not allowed"/>
    <s v="DISCOUNT NOT ALLOWED"/>
    <s v="Discount Not Allowed"/>
    <s v="30/03/22"/>
  </r>
  <r>
    <s v="TXN_4963384"/>
    <s v="CUST_22"/>
    <x v="0"/>
    <x v="154"/>
    <x v="19"/>
    <x v="8"/>
    <n v="25"/>
    <x v="2"/>
    <x v="0"/>
    <x v="82"/>
    <x v="0"/>
    <s v="DISCOUNT NOT ALLOWED"/>
    <s v="discount not allowed"/>
    <s v="DISCOUNT NOT ALLOWED"/>
    <s v="Discount Not Allowed"/>
    <s v="07/10/24"/>
  </r>
  <r>
    <s v="TXN_4976644"/>
    <s v="CUST_16"/>
    <x v="1"/>
    <x v="193"/>
    <x v="24"/>
    <x v="5"/>
    <n v="25"/>
    <x v="0"/>
    <x v="1"/>
    <x v="572"/>
    <x v="1"/>
    <s v="DISCOUNT ALLOWED"/>
    <s v="discount allowed"/>
    <s v="DISCOUNT ALLOWED"/>
    <s v="Discount Allowed"/>
    <s v="17/02/23"/>
  </r>
  <r>
    <s v="TXN_4979630"/>
    <s v="CUST_07"/>
    <x v="3"/>
    <x v="157"/>
    <x v="19"/>
    <x v="8"/>
    <n v="25"/>
    <x v="0"/>
    <x v="1"/>
    <x v="660"/>
    <x v="0"/>
    <s v="DISCOUNT NOT ALLOWED"/>
    <s v="discount not allowed"/>
    <s v="DISCOUNT NOT ALLOWED"/>
    <s v="Discount Not Allowed"/>
    <s v="25/04/22"/>
  </r>
  <r>
    <s v="TXN_5230040"/>
    <s v="CUST_25"/>
    <x v="1"/>
    <x v="193"/>
    <x v="24"/>
    <x v="5"/>
    <n v="25"/>
    <x v="0"/>
    <x v="0"/>
    <x v="879"/>
    <x v="0"/>
    <s v="DISCOUNT NOT ALLOWED"/>
    <s v="discount not allowed"/>
    <s v="DISCOUNT NOT ALLOWED"/>
    <s v="Discount Not Allowed"/>
    <s v="12/07/22"/>
  </r>
  <r>
    <s v="TXN_5381188"/>
    <s v="CUST_17"/>
    <x v="2"/>
    <x v="199"/>
    <x v="24"/>
    <x v="5"/>
    <n v="25"/>
    <x v="2"/>
    <x v="0"/>
    <x v="925"/>
    <x v="1"/>
    <s v="DISCOUNT ALLOWED"/>
    <s v="discount allowed"/>
    <s v="DISCOUNT ALLOWED"/>
    <s v="Discount Allowed"/>
    <s v="15/12/22"/>
  </r>
  <r>
    <s v="TXN_5692167"/>
    <s v="CUST_18"/>
    <x v="5"/>
    <x v="159"/>
    <x v="19"/>
    <x v="8"/>
    <n v="25"/>
    <x v="1"/>
    <x v="1"/>
    <x v="66"/>
    <x v="0"/>
    <s v="DISCOUNT NOT ALLOWED"/>
    <s v="discount not allowed"/>
    <s v="DISCOUNT NOT ALLOWED"/>
    <s v="Discount Not Allowed"/>
    <s v="25/09/24"/>
  </r>
  <r>
    <s v="TXN_5701600"/>
    <s v="CUST_18"/>
    <x v="6"/>
    <x v="196"/>
    <x v="24"/>
    <x v="5"/>
    <n v="25"/>
    <x v="2"/>
    <x v="1"/>
    <x v="508"/>
    <x v="1"/>
    <s v="DISCOUNT ALLOWED"/>
    <s v="discount allowed"/>
    <s v="DISCOUNT ALLOWED"/>
    <s v="Discount Allowed"/>
    <s v="01/06/22"/>
  </r>
  <r>
    <s v="TXN_5806795"/>
    <s v="CUST_16"/>
    <x v="0"/>
    <x v="195"/>
    <x v="24"/>
    <x v="5"/>
    <n v="25"/>
    <x v="1"/>
    <x v="0"/>
    <x v="1102"/>
    <x v="1"/>
    <s v="DISCOUNT ALLOWED"/>
    <s v="discount allowed"/>
    <s v="DISCOUNT ALLOWED"/>
    <s v="Discount Allowed"/>
    <s v="14/03/22"/>
  </r>
  <r>
    <s v="TXN_5836421"/>
    <s v="CUST_01"/>
    <x v="2"/>
    <x v="158"/>
    <x v="19"/>
    <x v="8"/>
    <n v="25"/>
    <x v="2"/>
    <x v="0"/>
    <x v="945"/>
    <x v="1"/>
    <s v="DISCOUNT ALLOWED"/>
    <s v="discount allowed"/>
    <s v="DISCOUNT ALLOWED"/>
    <s v="Discount Allowed"/>
    <s v="10/03/22"/>
  </r>
  <r>
    <s v="TXN_5853925"/>
    <s v="CUST_01"/>
    <x v="7"/>
    <x v="153"/>
    <x v="19"/>
    <x v="8"/>
    <n v="25"/>
    <x v="2"/>
    <x v="0"/>
    <x v="858"/>
    <x v="1"/>
    <s v="DISCOUNT ALLOWED"/>
    <s v="discount allowed"/>
    <s v="DISCOUNT ALLOWED"/>
    <s v="Discount Allowed"/>
    <s v="23/06/24"/>
  </r>
  <r>
    <s v="TXN_5985965"/>
    <s v="CUST_25"/>
    <x v="2"/>
    <x v="199"/>
    <x v="24"/>
    <x v="5"/>
    <n v="25"/>
    <x v="0"/>
    <x v="0"/>
    <x v="318"/>
    <x v="0"/>
    <s v="DISCOUNT NOT ALLOWED"/>
    <s v="discount not allowed"/>
    <s v="DISCOUNT NOT ALLOWED"/>
    <s v="Discount Not Allowed"/>
    <s v="20/03/24"/>
  </r>
  <r>
    <s v="TXN_6001401"/>
    <s v="CUST_13"/>
    <x v="3"/>
    <x v="197"/>
    <x v="24"/>
    <x v="5"/>
    <n v="25"/>
    <x v="1"/>
    <x v="0"/>
    <x v="168"/>
    <x v="1"/>
    <s v="DISCOUNT ALLOWED"/>
    <s v="discount allowed"/>
    <s v="DISCOUNT ALLOWED"/>
    <s v="Discount Allowed"/>
    <s v="29/06/22"/>
  </r>
  <r>
    <s v="TXN_6008262"/>
    <s v="CUST_11"/>
    <x v="2"/>
    <x v="158"/>
    <x v="19"/>
    <x v="8"/>
    <n v="25"/>
    <x v="2"/>
    <x v="1"/>
    <x v="59"/>
    <x v="0"/>
    <s v="DISCOUNT NOT ALLOWED"/>
    <s v="discount not allowed"/>
    <s v="DISCOUNT NOT ALLOWED"/>
    <s v="Discount Not Allowed"/>
    <s v="24/11/22"/>
  </r>
  <r>
    <s v="TXN_6012250"/>
    <s v="CUST_11"/>
    <x v="0"/>
    <x v="154"/>
    <x v="19"/>
    <x v="8"/>
    <n v="25"/>
    <x v="2"/>
    <x v="1"/>
    <x v="1019"/>
    <x v="0"/>
    <s v="DISCOUNT NOT ALLOWED"/>
    <s v="discount not allowed"/>
    <s v="DISCOUNT NOT ALLOWED"/>
    <s v="Discount Not Allowed"/>
    <s v="24/08/24"/>
  </r>
  <r>
    <s v="TXN_6190160"/>
    <s v="CUST_05"/>
    <x v="3"/>
    <x v="157"/>
    <x v="19"/>
    <x v="8"/>
    <n v="25"/>
    <x v="2"/>
    <x v="1"/>
    <x v="784"/>
    <x v="1"/>
    <s v="DISCOUNT ALLOWED"/>
    <s v="discount allowed"/>
    <s v="DISCOUNT ALLOWED"/>
    <s v="Discount Allowed"/>
    <s v="17/06/23"/>
  </r>
  <r>
    <s v="TXN_6581631"/>
    <s v="CUST_04"/>
    <x v="0"/>
    <x v="195"/>
    <x v="24"/>
    <x v="5"/>
    <n v="25"/>
    <x v="1"/>
    <x v="1"/>
    <x v="786"/>
    <x v="1"/>
    <s v="DISCOUNT ALLOWED"/>
    <s v="discount allowed"/>
    <s v="DISCOUNT ALLOWED"/>
    <s v="Discount Allowed"/>
    <s v="07/08/22"/>
  </r>
  <r>
    <s v="TXN_6667228"/>
    <s v="CUST_02"/>
    <x v="3"/>
    <x v="157"/>
    <x v="19"/>
    <x v="8"/>
    <n v="25"/>
    <x v="1"/>
    <x v="0"/>
    <x v="506"/>
    <x v="1"/>
    <s v="DISCOUNT ALLOWED"/>
    <s v="discount allowed"/>
    <s v="DISCOUNT ALLOWED"/>
    <s v="Discount Allowed"/>
    <s v="09/10/22"/>
  </r>
  <r>
    <s v="TXN_6902939"/>
    <s v="CUST_05"/>
    <x v="5"/>
    <x v="159"/>
    <x v="19"/>
    <x v="8"/>
    <n v="25"/>
    <x v="0"/>
    <x v="1"/>
    <x v="222"/>
    <x v="0"/>
    <s v="DISCOUNT NOT ALLOWED"/>
    <s v="discount not allowed"/>
    <s v="DISCOUNT NOT ALLOWED"/>
    <s v="Discount Not Allowed"/>
    <s v="13/12/22"/>
  </r>
  <r>
    <s v="TXN_6920881"/>
    <s v="CUST_07"/>
    <x v="5"/>
    <x v="194"/>
    <x v="24"/>
    <x v="5"/>
    <n v="25"/>
    <x v="2"/>
    <x v="1"/>
    <x v="284"/>
    <x v="0"/>
    <s v="DISCOUNT NOT ALLOWED"/>
    <s v="discount not allowed"/>
    <s v="DISCOUNT NOT ALLOWED"/>
    <s v="Discount Not Allowed"/>
    <s v="10/05/23"/>
  </r>
  <r>
    <s v="TXN_7016226"/>
    <s v="CUST_10"/>
    <x v="4"/>
    <x v="155"/>
    <x v="19"/>
    <x v="8"/>
    <n v="25"/>
    <x v="2"/>
    <x v="0"/>
    <x v="105"/>
    <x v="0"/>
    <s v="DISCOUNT NOT ALLOWED"/>
    <s v="discount not allowed"/>
    <s v="DISCOUNT NOT ALLOWED"/>
    <s v="Discount Not Allowed"/>
    <s v="19/09/24"/>
  </r>
  <r>
    <s v="TXN_7129969"/>
    <s v="CUST_18"/>
    <x v="2"/>
    <x v="199"/>
    <x v="24"/>
    <x v="5"/>
    <n v="25"/>
    <x v="2"/>
    <x v="1"/>
    <x v="365"/>
    <x v="1"/>
    <s v="DISCOUNT ALLOWED"/>
    <s v="discount allowed"/>
    <s v="DISCOUNT ALLOWED"/>
    <s v="Discount Allowed"/>
    <s v="19/03/22"/>
  </r>
  <r>
    <s v="TXN_7183009"/>
    <s v="CUST_05"/>
    <x v="0"/>
    <x v="154"/>
    <x v="19"/>
    <x v="8"/>
    <n v="25"/>
    <x v="2"/>
    <x v="0"/>
    <x v="153"/>
    <x v="1"/>
    <s v="DISCOUNT ALLOWED"/>
    <s v="discount allowed"/>
    <s v="DISCOUNT ALLOWED"/>
    <s v="Discount Allowed"/>
    <s v="28/05/23"/>
  </r>
  <r>
    <s v="TXN_7455673"/>
    <s v="CUST_22"/>
    <x v="3"/>
    <x v="157"/>
    <x v="19"/>
    <x v="8"/>
    <n v="25"/>
    <x v="1"/>
    <x v="0"/>
    <x v="599"/>
    <x v="1"/>
    <s v="DISCOUNT ALLOWED"/>
    <s v="discount allowed"/>
    <s v="DISCOUNT ALLOWED"/>
    <s v="Discount Allowed"/>
    <s v="10/07/23"/>
  </r>
  <r>
    <s v="TXN_7533515"/>
    <s v="CUST_05"/>
    <x v="2"/>
    <x v="158"/>
    <x v="19"/>
    <x v="8"/>
    <n v="25"/>
    <x v="2"/>
    <x v="1"/>
    <x v="539"/>
    <x v="1"/>
    <s v="DISCOUNT ALLOWED"/>
    <s v="discount allowed"/>
    <s v="DISCOUNT ALLOWED"/>
    <s v="Discount Allowed"/>
    <s v="13/02/23"/>
  </r>
  <r>
    <s v="TXN_7545653"/>
    <s v="CUST_22"/>
    <x v="0"/>
    <x v="154"/>
    <x v="19"/>
    <x v="8"/>
    <n v="25"/>
    <x v="0"/>
    <x v="1"/>
    <x v="719"/>
    <x v="1"/>
    <s v="DISCOUNT ALLOWED"/>
    <s v="discount allowed"/>
    <s v="DISCOUNT ALLOWED"/>
    <s v="Discount Allowed"/>
    <s v="28/11/22"/>
  </r>
  <r>
    <s v="TXN_7755336"/>
    <s v="CUST_08"/>
    <x v="0"/>
    <x v="195"/>
    <x v="24"/>
    <x v="5"/>
    <n v="25"/>
    <x v="1"/>
    <x v="0"/>
    <x v="248"/>
    <x v="1"/>
    <s v="DISCOUNT ALLOWED"/>
    <s v="discount allowed"/>
    <s v="DISCOUNT ALLOWED"/>
    <s v="Discount Allowed"/>
    <s v="31/01/22"/>
  </r>
  <r>
    <s v="TXN_7979491"/>
    <s v="CUST_20"/>
    <x v="2"/>
    <x v="158"/>
    <x v="19"/>
    <x v="8"/>
    <n v="25"/>
    <x v="0"/>
    <x v="0"/>
    <x v="902"/>
    <x v="1"/>
    <s v="DISCOUNT ALLOWED"/>
    <s v="discount allowed"/>
    <s v="DISCOUNT ALLOWED"/>
    <s v="Discount Allowed"/>
    <s v="29/08/24"/>
  </r>
  <r>
    <s v="TXN_8049831"/>
    <s v="CUST_18"/>
    <x v="1"/>
    <x v="156"/>
    <x v="19"/>
    <x v="8"/>
    <n v="25"/>
    <x v="1"/>
    <x v="1"/>
    <x v="485"/>
    <x v="0"/>
    <s v="DISCOUNT NOT ALLOWED"/>
    <s v="discount not allowed"/>
    <s v="DISCOUNT NOT ALLOWED"/>
    <s v="Discount Not Allowed"/>
    <s v="05/01/23"/>
  </r>
  <r>
    <s v="TXN_8078608"/>
    <s v="CUST_07"/>
    <x v="6"/>
    <x v="152"/>
    <x v="19"/>
    <x v="8"/>
    <n v="25"/>
    <x v="2"/>
    <x v="0"/>
    <x v="520"/>
    <x v="1"/>
    <s v="DISCOUNT ALLOWED"/>
    <s v="discount allowed"/>
    <s v="DISCOUNT ALLOWED"/>
    <s v="Discount Allowed"/>
    <s v="08/08/22"/>
  </r>
  <r>
    <s v="TXN_8406652"/>
    <s v="CUST_10"/>
    <x v="4"/>
    <x v="155"/>
    <x v="19"/>
    <x v="8"/>
    <n v="25"/>
    <x v="1"/>
    <x v="1"/>
    <x v="474"/>
    <x v="1"/>
    <s v="DISCOUNT ALLOWED"/>
    <s v="discount allowed"/>
    <s v="DISCOUNT ALLOWED"/>
    <s v="Discount Allowed"/>
    <s v="24/02/23"/>
  </r>
  <r>
    <s v="TXN_8637678"/>
    <s v="CUST_16"/>
    <x v="7"/>
    <x v="153"/>
    <x v="19"/>
    <x v="8"/>
    <n v="25"/>
    <x v="1"/>
    <x v="0"/>
    <x v="1100"/>
    <x v="1"/>
    <s v="DISCOUNT ALLOWED"/>
    <s v="discount allowed"/>
    <s v="DISCOUNT ALLOWED"/>
    <s v="Discount Allowed"/>
    <s v="08/12/23"/>
  </r>
  <r>
    <s v="TXN_8736586"/>
    <s v="CUST_10"/>
    <x v="0"/>
    <x v="195"/>
    <x v="24"/>
    <x v="5"/>
    <n v="25"/>
    <x v="2"/>
    <x v="0"/>
    <x v="344"/>
    <x v="1"/>
    <s v="DISCOUNT ALLOWED"/>
    <s v="discount allowed"/>
    <s v="DISCOUNT ALLOWED"/>
    <s v="Discount Allowed"/>
    <s v="01/04/22"/>
  </r>
  <r>
    <s v="TXN_8737799"/>
    <s v="CUST_16"/>
    <x v="4"/>
    <x v="155"/>
    <x v="19"/>
    <x v="8"/>
    <n v="25"/>
    <x v="0"/>
    <x v="1"/>
    <x v="993"/>
    <x v="0"/>
    <s v="DISCOUNT NOT ALLOWED"/>
    <s v="discount not allowed"/>
    <s v="DISCOUNT NOT ALLOWED"/>
    <s v="Discount Not Allowed"/>
    <s v="20/08/22"/>
  </r>
  <r>
    <s v="TXN_8775503"/>
    <s v="CUST_08"/>
    <x v="6"/>
    <x v="152"/>
    <x v="19"/>
    <x v="8"/>
    <n v="25"/>
    <x v="0"/>
    <x v="1"/>
    <x v="626"/>
    <x v="0"/>
    <s v="DISCOUNT NOT ALLOWED"/>
    <s v="discount not allowed"/>
    <s v="DISCOUNT NOT ALLOWED"/>
    <s v="Discount Not Allowed"/>
    <s v="11/10/24"/>
  </r>
  <r>
    <s v="TXN_8941189"/>
    <s v="CUST_14"/>
    <x v="0"/>
    <x v="154"/>
    <x v="19"/>
    <x v="8"/>
    <n v="25"/>
    <x v="2"/>
    <x v="0"/>
    <x v="950"/>
    <x v="0"/>
    <s v="DISCOUNT NOT ALLOWED"/>
    <s v="discount not allowed"/>
    <s v="DISCOUNT NOT ALLOWED"/>
    <s v="Discount Not Allowed"/>
    <s v="20/09/22"/>
  </r>
  <r>
    <s v="TXN_9048177"/>
    <s v="CUST_08"/>
    <x v="7"/>
    <x v="153"/>
    <x v="19"/>
    <x v="8"/>
    <n v="25"/>
    <x v="0"/>
    <x v="1"/>
    <x v="664"/>
    <x v="0"/>
    <s v="DISCOUNT NOT ALLOWED"/>
    <s v="discount not allowed"/>
    <s v="DISCOUNT NOT ALLOWED"/>
    <s v="Discount Not Allowed"/>
    <s v="03/11/23"/>
  </r>
  <r>
    <s v="TXN_9147712"/>
    <s v="CUST_01"/>
    <x v="0"/>
    <x v="154"/>
    <x v="19"/>
    <x v="8"/>
    <n v="25"/>
    <x v="1"/>
    <x v="0"/>
    <x v="614"/>
    <x v="1"/>
    <s v="DISCOUNT ALLOWED"/>
    <s v="discount allowed"/>
    <s v="DISCOUNT ALLOWED"/>
    <s v="Discount Allowed"/>
    <s v="07/08/23"/>
  </r>
  <r>
    <s v="TXN_9188702"/>
    <s v="CUST_25"/>
    <x v="0"/>
    <x v="154"/>
    <x v="19"/>
    <x v="8"/>
    <n v="25"/>
    <x v="1"/>
    <x v="0"/>
    <x v="380"/>
    <x v="0"/>
    <s v="DISCOUNT NOT ALLOWED"/>
    <s v="discount not allowed"/>
    <s v="DISCOUNT NOT ALLOWED"/>
    <s v="Discount Not Allowed"/>
    <s v="20/07/24"/>
  </r>
  <r>
    <s v="TXN_9340286"/>
    <s v="CUST_19"/>
    <x v="0"/>
    <x v="154"/>
    <x v="19"/>
    <x v="8"/>
    <n v="25"/>
    <x v="1"/>
    <x v="1"/>
    <x v="959"/>
    <x v="0"/>
    <s v="DISCOUNT NOT ALLOWED"/>
    <s v="discount not allowed"/>
    <s v="DISCOUNT NOT ALLOWED"/>
    <s v="Discount Not Allowed"/>
    <s v="13/08/24"/>
  </r>
  <r>
    <s v="TXN_9501990"/>
    <s v="CUST_04"/>
    <x v="0"/>
    <x v="195"/>
    <x v="24"/>
    <x v="5"/>
    <n v="25"/>
    <x v="1"/>
    <x v="1"/>
    <x v="38"/>
    <x v="0"/>
    <s v="DISCOUNT NOT ALLOWED"/>
    <s v="discount not allowed"/>
    <s v="DISCOUNT NOT ALLOWED"/>
    <s v="Discount Not Allowed"/>
    <s v="18/02/22"/>
  </r>
  <r>
    <s v="TXN_9587085"/>
    <s v="CUST_15"/>
    <x v="2"/>
    <x v="199"/>
    <x v="24"/>
    <x v="5"/>
    <n v="25"/>
    <x v="1"/>
    <x v="1"/>
    <x v="923"/>
    <x v="1"/>
    <s v="DISCOUNT ALLOWED"/>
    <s v="discount allowed"/>
    <s v="DISCOUNT ALLOWED"/>
    <s v="Discount Allowed"/>
    <s v="01/12/23"/>
  </r>
  <r>
    <s v="TXN_9664075"/>
    <s v="CUST_20"/>
    <x v="0"/>
    <x v="195"/>
    <x v="24"/>
    <x v="5"/>
    <n v="25"/>
    <x v="1"/>
    <x v="0"/>
    <x v="472"/>
    <x v="0"/>
    <s v="DISCOUNT NOT ALLOWED"/>
    <s v="discount not allowed"/>
    <s v="DISCOUNT NOT ALLOWED"/>
    <s v="Discount Not Allowed"/>
    <s v="29/10/23"/>
  </r>
  <r>
    <s v="TXN_9760823"/>
    <s v="CUST_11"/>
    <x v="1"/>
    <x v="193"/>
    <x v="24"/>
    <x v="5"/>
    <n v="25"/>
    <x v="2"/>
    <x v="1"/>
    <x v="841"/>
    <x v="0"/>
    <s v="DISCOUNT NOT ALLOWED"/>
    <s v="discount not allowed"/>
    <s v="DISCOUNT NOT ALLOWED"/>
    <s v="Discount Not Allowed"/>
    <s v="14/06/23"/>
  </r>
  <r>
    <s v="TXN_9824897"/>
    <s v="CUST_13"/>
    <x v="7"/>
    <x v="192"/>
    <x v="24"/>
    <x v="5"/>
    <n v="25"/>
    <x v="2"/>
    <x v="1"/>
    <x v="994"/>
    <x v="0"/>
    <s v="DISCOUNT NOT ALLOWED"/>
    <s v="discount not allowed"/>
    <s v="DISCOUNT NOT ALLOWED"/>
    <s v="Discount Not Allowed"/>
    <s v="10/03/24"/>
  </r>
  <r>
    <s v="TXN_9861930"/>
    <s v="CUST_12"/>
    <x v="5"/>
    <x v="159"/>
    <x v="19"/>
    <x v="8"/>
    <n v="25"/>
    <x v="0"/>
    <x v="0"/>
    <x v="301"/>
    <x v="1"/>
    <s v="DISCOUNT ALLOWED"/>
    <s v="discount allowed"/>
    <s v="DISCOUNT ALLOWED"/>
    <s v="Discount Allowed"/>
    <s v="15/04/22"/>
  </r>
  <r>
    <s v="TXN_9943430"/>
    <s v="CUST_20"/>
    <x v="2"/>
    <x v="199"/>
    <x v="24"/>
    <x v="5"/>
    <n v="25"/>
    <x v="2"/>
    <x v="1"/>
    <x v="957"/>
    <x v="1"/>
    <s v="DISCOUNT ALLOWED"/>
    <s v="discount allowed"/>
    <s v="DISCOUNT ALLOWED"/>
    <s v="Discount Allowed"/>
    <s v="03/01/22"/>
  </r>
  <r>
    <s v="TXN_1318784"/>
    <s v="CUST_19"/>
    <x v="6"/>
    <x v="88"/>
    <x v="11"/>
    <x v="9"/>
    <n v="24.5"/>
    <x v="0"/>
    <x v="0"/>
    <x v="352"/>
    <x v="1"/>
    <s v="DISCOUNT ALLOWED"/>
    <s v="discount allowed"/>
    <s v="DISCOUNT ALLOWED"/>
    <s v="Discount Allowed"/>
    <s v="11/03/24"/>
  </r>
  <r>
    <s v="TXN_1509297"/>
    <s v="CUST_04"/>
    <x v="1"/>
    <x v="89"/>
    <x v="11"/>
    <x v="9"/>
    <n v="24.5"/>
    <x v="2"/>
    <x v="1"/>
    <x v="57"/>
    <x v="1"/>
    <s v="DISCOUNT ALLOWED"/>
    <s v="discount allowed"/>
    <s v="DISCOUNT ALLOWED"/>
    <s v="Discount Allowed"/>
    <s v="16/07/23"/>
  </r>
  <r>
    <s v="TXN_2379515"/>
    <s v="CUST_09"/>
    <x v="6"/>
    <x v="88"/>
    <x v="11"/>
    <x v="9"/>
    <n v="24.5"/>
    <x v="0"/>
    <x v="1"/>
    <x v="156"/>
    <x v="0"/>
    <s v="DISCOUNT NOT ALLOWED"/>
    <s v="discount not allowed"/>
    <s v="DISCOUNT NOT ALLOWED"/>
    <s v="Discount Not Allowed"/>
    <s v="04/07/22"/>
  </r>
  <r>
    <s v="TXN_3457164"/>
    <s v="CUST_05"/>
    <x v="2"/>
    <x v="90"/>
    <x v="11"/>
    <x v="9"/>
    <n v="24.5"/>
    <x v="1"/>
    <x v="1"/>
    <x v="178"/>
    <x v="0"/>
    <s v="DISCOUNT NOT ALLOWED"/>
    <s v="discount not allowed"/>
    <s v="DISCOUNT NOT ALLOWED"/>
    <s v="Discount Not Allowed"/>
    <s v="21/10/24"/>
  </r>
  <r>
    <s v="TXN_4091872"/>
    <s v="CUST_10"/>
    <x v="4"/>
    <x v="87"/>
    <x v="11"/>
    <x v="9"/>
    <n v="24.5"/>
    <x v="0"/>
    <x v="0"/>
    <x v="147"/>
    <x v="1"/>
    <s v="DISCOUNT ALLOWED"/>
    <s v="discount allowed"/>
    <s v="DISCOUNT ALLOWED"/>
    <s v="Discount Allowed"/>
    <s v="15/07/23"/>
  </r>
  <r>
    <s v="TXN_4269120"/>
    <s v="CUST_06"/>
    <x v="7"/>
    <x v="86"/>
    <x v="11"/>
    <x v="9"/>
    <n v="24.5"/>
    <x v="2"/>
    <x v="1"/>
    <x v="539"/>
    <x v="1"/>
    <s v="DISCOUNT ALLOWED"/>
    <s v="discount allowed"/>
    <s v="DISCOUNT ALLOWED"/>
    <s v="Discount Allowed"/>
    <s v="13/02/23"/>
  </r>
  <r>
    <s v="TXN_4501679"/>
    <s v="CUST_04"/>
    <x v="1"/>
    <x v="89"/>
    <x v="11"/>
    <x v="9"/>
    <n v="24.5"/>
    <x v="0"/>
    <x v="1"/>
    <x v="759"/>
    <x v="1"/>
    <s v="DISCOUNT ALLOWED"/>
    <s v="discount allowed"/>
    <s v="DISCOUNT ALLOWED"/>
    <s v="Discount Allowed"/>
    <s v="08/05/24"/>
  </r>
  <r>
    <s v="TXN_6064430"/>
    <s v="CUST_22"/>
    <x v="6"/>
    <x v="88"/>
    <x v="11"/>
    <x v="9"/>
    <n v="24.5"/>
    <x v="2"/>
    <x v="1"/>
    <x v="289"/>
    <x v="0"/>
    <s v="DISCOUNT NOT ALLOWED"/>
    <s v="discount not allowed"/>
    <s v="DISCOUNT NOT ALLOWED"/>
    <s v="Discount Not Allowed"/>
    <s v="04/03/22"/>
  </r>
  <r>
    <s v="TXN_6838499"/>
    <s v="CUST_10"/>
    <x v="7"/>
    <x v="86"/>
    <x v="11"/>
    <x v="9"/>
    <n v="24.5"/>
    <x v="0"/>
    <x v="1"/>
    <x v="697"/>
    <x v="1"/>
    <s v="DISCOUNT ALLOWED"/>
    <s v="discount allowed"/>
    <s v="DISCOUNT ALLOWED"/>
    <s v="Discount Allowed"/>
    <s v="14/08/22"/>
  </r>
  <r>
    <s v="TXN_7278878"/>
    <s v="CUST_11"/>
    <x v="7"/>
    <x v="86"/>
    <x v="11"/>
    <x v="9"/>
    <n v="24.5"/>
    <x v="2"/>
    <x v="1"/>
    <x v="827"/>
    <x v="0"/>
    <s v="DISCOUNT NOT ALLOWED"/>
    <s v="discount not allowed"/>
    <s v="DISCOUNT NOT ALLOWED"/>
    <s v="Discount Not Allowed"/>
    <s v="05/03/23"/>
  </r>
  <r>
    <s v="TXN_8030351"/>
    <s v="CUST_06"/>
    <x v="1"/>
    <x v="89"/>
    <x v="11"/>
    <x v="9"/>
    <n v="24.5"/>
    <x v="0"/>
    <x v="1"/>
    <x v="139"/>
    <x v="0"/>
    <s v="DISCOUNT NOT ALLOWED"/>
    <s v="discount not allowed"/>
    <s v="DISCOUNT NOT ALLOWED"/>
    <s v="Discount Not Allowed"/>
    <s v="13/06/24"/>
  </r>
  <r>
    <s v="TXN_9026093"/>
    <s v="CUST_21"/>
    <x v="6"/>
    <x v="88"/>
    <x v="11"/>
    <x v="9"/>
    <n v="24.5"/>
    <x v="1"/>
    <x v="0"/>
    <x v="962"/>
    <x v="1"/>
    <s v="DISCOUNT ALLOWED"/>
    <s v="discount allowed"/>
    <s v="DISCOUNT ALLOWED"/>
    <s v="Discount Allowed"/>
    <s v="04/01/24"/>
  </r>
  <r>
    <s v="TXN_9052265"/>
    <s v="CUST_05"/>
    <x v="1"/>
    <x v="89"/>
    <x v="11"/>
    <x v="9"/>
    <n v="24.5"/>
    <x v="2"/>
    <x v="1"/>
    <x v="72"/>
    <x v="1"/>
    <s v="DISCOUNT ALLOWED"/>
    <s v="discount allowed"/>
    <s v="DISCOUNT ALLOWED"/>
    <s v="Discount Allowed"/>
    <s v="25/04/24"/>
  </r>
  <r>
    <s v="TXN_9110765"/>
    <s v="CUST_19"/>
    <x v="6"/>
    <x v="88"/>
    <x v="11"/>
    <x v="9"/>
    <n v="24.5"/>
    <x v="1"/>
    <x v="1"/>
    <x v="181"/>
    <x v="1"/>
    <s v="DISCOUNT ALLOWED"/>
    <s v="discount allowed"/>
    <s v="DISCOUNT ALLOWED"/>
    <s v="Discount Allowed"/>
    <s v="14/08/23"/>
  </r>
  <r>
    <s v="TXN_9180432"/>
    <s v="CUST_15"/>
    <x v="4"/>
    <x v="87"/>
    <x v="11"/>
    <x v="9"/>
    <n v="24.5"/>
    <x v="0"/>
    <x v="1"/>
    <x v="604"/>
    <x v="0"/>
    <s v="DISCOUNT NOT ALLOWED"/>
    <s v="discount not allowed"/>
    <s v="DISCOUNT NOT ALLOWED"/>
    <s v="Discount Not Allowed"/>
    <s v="28/01/24"/>
  </r>
  <r>
    <s v="TXN_9361186"/>
    <s v="CUST_25"/>
    <x v="7"/>
    <x v="86"/>
    <x v="11"/>
    <x v="9"/>
    <n v="24.5"/>
    <x v="0"/>
    <x v="1"/>
    <x v="919"/>
    <x v="0"/>
    <s v="DISCOUNT NOT ALLOWED"/>
    <s v="discount not allowed"/>
    <s v="DISCOUNT NOT ALLOWED"/>
    <s v="Discount Not Allowed"/>
    <s v="11/04/22"/>
  </r>
  <r>
    <s v="TXN_9418798"/>
    <s v="CUST_11"/>
    <x v="2"/>
    <x v="90"/>
    <x v="11"/>
    <x v="9"/>
    <n v="24.5"/>
    <x v="2"/>
    <x v="0"/>
    <x v="840"/>
    <x v="0"/>
    <s v="DISCOUNT NOT ALLOWED"/>
    <s v="discount not allowed"/>
    <s v="DISCOUNT NOT ALLOWED"/>
    <s v="Discount Not Allowed"/>
    <s v="07/03/22"/>
  </r>
  <r>
    <s v="TXN_9601038"/>
    <s v="CUST_02"/>
    <x v="7"/>
    <x v="86"/>
    <x v="11"/>
    <x v="9"/>
    <n v="24.5"/>
    <x v="2"/>
    <x v="0"/>
    <x v="933"/>
    <x v="1"/>
    <s v="DISCOUNT ALLOWED"/>
    <s v="discount allowed"/>
    <s v="DISCOUNT ALLOWED"/>
    <s v="Discount Allowed"/>
    <s v="29/10/24"/>
  </r>
  <r>
    <s v="TXN_1430909"/>
    <s v="CUST_20"/>
    <x v="4"/>
    <x v="176"/>
    <x v="22"/>
    <x v="7"/>
    <n v="24"/>
    <x v="0"/>
    <x v="1"/>
    <x v="54"/>
    <x v="1"/>
    <s v="DISCOUNT ALLOWED"/>
    <s v="discount allowed"/>
    <s v="DISCOUNT ALLOWED"/>
    <s v="Discount Allowed"/>
    <s v="23/02/23"/>
  </r>
  <r>
    <s v="TXN_1625647"/>
    <s v="CUST_22"/>
    <x v="6"/>
    <x v="182"/>
    <x v="22"/>
    <x v="7"/>
    <n v="24"/>
    <x v="0"/>
    <x v="1"/>
    <x v="618"/>
    <x v="1"/>
    <s v="DISCOUNT ALLOWED"/>
    <s v="discount allowed"/>
    <s v="DISCOUNT ALLOWED"/>
    <s v="Discount Allowed"/>
    <s v="23/01/24"/>
  </r>
  <r>
    <s v="TXN_1686913"/>
    <s v="CUST_05"/>
    <x v="6"/>
    <x v="182"/>
    <x v="22"/>
    <x v="7"/>
    <n v="24"/>
    <x v="0"/>
    <x v="1"/>
    <x v="1031"/>
    <x v="0"/>
    <s v="DISCOUNT NOT ALLOWED"/>
    <s v="discount not allowed"/>
    <s v="DISCOUNT NOT ALLOWED"/>
    <s v="Discount Not Allowed"/>
    <s v="02/07/23"/>
  </r>
  <r>
    <s v="TXN_1921846"/>
    <s v="CUST_04"/>
    <x v="0"/>
    <x v="179"/>
    <x v="22"/>
    <x v="7"/>
    <n v="24"/>
    <x v="2"/>
    <x v="1"/>
    <x v="690"/>
    <x v="0"/>
    <s v="DISCOUNT NOT ALLOWED"/>
    <s v="discount not allowed"/>
    <s v="DISCOUNT NOT ALLOWED"/>
    <s v="Discount Not Allowed"/>
    <s v="12/12/24"/>
  </r>
  <r>
    <s v="TXN_1935246"/>
    <s v="CUST_20"/>
    <x v="1"/>
    <x v="180"/>
    <x v="22"/>
    <x v="7"/>
    <n v="24"/>
    <x v="2"/>
    <x v="1"/>
    <x v="912"/>
    <x v="1"/>
    <s v="DISCOUNT ALLOWED"/>
    <s v="discount allowed"/>
    <s v="DISCOUNT ALLOWED"/>
    <s v="Discount Allowed"/>
    <s v="19/01/24"/>
  </r>
  <r>
    <s v="TXN_1965640"/>
    <s v="CUST_21"/>
    <x v="4"/>
    <x v="176"/>
    <x v="22"/>
    <x v="7"/>
    <n v="24"/>
    <x v="2"/>
    <x v="0"/>
    <x v="980"/>
    <x v="1"/>
    <s v="DISCOUNT ALLOWED"/>
    <s v="discount allowed"/>
    <s v="DISCOUNT ALLOWED"/>
    <s v="Discount Allowed"/>
    <s v="05/05/23"/>
  </r>
  <r>
    <s v="TXN_2100342"/>
    <s v="CUST_21"/>
    <x v="1"/>
    <x v="180"/>
    <x v="22"/>
    <x v="7"/>
    <n v="24"/>
    <x v="2"/>
    <x v="0"/>
    <x v="985"/>
    <x v="1"/>
    <s v="DISCOUNT ALLOWED"/>
    <s v="discount allowed"/>
    <s v="DISCOUNT ALLOWED"/>
    <s v="Discount Allowed"/>
    <s v="23/11/24"/>
  </r>
  <r>
    <s v="TXN_2172684"/>
    <s v="CUST_14"/>
    <x v="0"/>
    <x v="179"/>
    <x v="22"/>
    <x v="7"/>
    <n v="24"/>
    <x v="2"/>
    <x v="1"/>
    <x v="811"/>
    <x v="1"/>
    <s v="DISCOUNT ALLOWED"/>
    <s v="discount allowed"/>
    <s v="DISCOUNT ALLOWED"/>
    <s v="Discount Allowed"/>
    <s v="28/07/23"/>
  </r>
  <r>
    <s v="TXN_2694211"/>
    <s v="CUST_24"/>
    <x v="1"/>
    <x v="180"/>
    <x v="22"/>
    <x v="7"/>
    <n v="24"/>
    <x v="2"/>
    <x v="1"/>
    <x v="854"/>
    <x v="1"/>
    <s v="DISCOUNT ALLOWED"/>
    <s v="discount allowed"/>
    <s v="DISCOUNT ALLOWED"/>
    <s v="Discount Allowed"/>
    <s v="19/02/23"/>
  </r>
  <r>
    <s v="TXN_3001024"/>
    <s v="CUST_16"/>
    <x v="0"/>
    <x v="179"/>
    <x v="22"/>
    <x v="7"/>
    <n v="24"/>
    <x v="0"/>
    <x v="1"/>
    <x v="156"/>
    <x v="1"/>
    <s v="DISCOUNT ALLOWED"/>
    <s v="discount allowed"/>
    <s v="DISCOUNT ALLOWED"/>
    <s v="Discount Allowed"/>
    <s v="04/07/22"/>
  </r>
  <r>
    <s v="TXN_3031828"/>
    <s v="CUST_07"/>
    <x v="2"/>
    <x v="178"/>
    <x v="22"/>
    <x v="7"/>
    <n v="24"/>
    <x v="0"/>
    <x v="1"/>
    <x v="335"/>
    <x v="1"/>
    <s v="DISCOUNT ALLOWED"/>
    <s v="discount allowed"/>
    <s v="DISCOUNT ALLOWED"/>
    <s v="Discount Allowed"/>
    <s v="02/01/25"/>
  </r>
  <r>
    <s v="TXN_3180157"/>
    <s v="CUST_17"/>
    <x v="1"/>
    <x v="180"/>
    <x v="22"/>
    <x v="7"/>
    <n v="24"/>
    <x v="0"/>
    <x v="1"/>
    <x v="114"/>
    <x v="0"/>
    <s v="DISCOUNT NOT ALLOWED"/>
    <s v="discount not allowed"/>
    <s v="DISCOUNT NOT ALLOWED"/>
    <s v="Discount Not Allowed"/>
    <s v="13/04/22"/>
  </r>
  <r>
    <s v="TXN_3874098"/>
    <s v="CUST_18"/>
    <x v="0"/>
    <x v="179"/>
    <x v="22"/>
    <x v="7"/>
    <n v="24"/>
    <x v="0"/>
    <x v="1"/>
    <x v="459"/>
    <x v="1"/>
    <s v="DISCOUNT ALLOWED"/>
    <s v="discount allowed"/>
    <s v="DISCOUNT ALLOWED"/>
    <s v="Discount Allowed"/>
    <s v="08/01/23"/>
  </r>
  <r>
    <s v="TXN_3908189"/>
    <s v="CUST_11"/>
    <x v="1"/>
    <x v="180"/>
    <x v="22"/>
    <x v="7"/>
    <n v="24"/>
    <x v="1"/>
    <x v="1"/>
    <x v="752"/>
    <x v="0"/>
    <s v="DISCOUNT NOT ALLOWED"/>
    <s v="discount not allowed"/>
    <s v="DISCOUNT NOT ALLOWED"/>
    <s v="Discount Not Allowed"/>
    <s v="18/05/23"/>
  </r>
  <r>
    <s v="TXN_4494629"/>
    <s v="CUST_24"/>
    <x v="0"/>
    <x v="179"/>
    <x v="22"/>
    <x v="7"/>
    <n v="24"/>
    <x v="1"/>
    <x v="0"/>
    <x v="347"/>
    <x v="0"/>
    <s v="DISCOUNT NOT ALLOWED"/>
    <s v="discount not allowed"/>
    <s v="DISCOUNT NOT ALLOWED"/>
    <s v="Discount Not Allowed"/>
    <s v="11/12/24"/>
  </r>
  <r>
    <s v="TXN_5110591"/>
    <s v="CUST_19"/>
    <x v="1"/>
    <x v="180"/>
    <x v="22"/>
    <x v="7"/>
    <n v="24"/>
    <x v="2"/>
    <x v="1"/>
    <x v="244"/>
    <x v="1"/>
    <s v="DISCOUNT ALLOWED"/>
    <s v="discount allowed"/>
    <s v="DISCOUNT ALLOWED"/>
    <s v="Discount Allowed"/>
    <s v="22/02/23"/>
  </r>
  <r>
    <s v="TXN_5986903"/>
    <s v="CUST_05"/>
    <x v="3"/>
    <x v="177"/>
    <x v="22"/>
    <x v="7"/>
    <n v="24"/>
    <x v="0"/>
    <x v="0"/>
    <x v="269"/>
    <x v="0"/>
    <s v="DISCOUNT NOT ALLOWED"/>
    <s v="discount not allowed"/>
    <s v="DISCOUNT NOT ALLOWED"/>
    <s v="Discount Not Allowed"/>
    <s v="26/07/22"/>
  </r>
  <r>
    <s v="TXN_6020454"/>
    <s v="CUST_12"/>
    <x v="0"/>
    <x v="179"/>
    <x v="22"/>
    <x v="7"/>
    <n v="24"/>
    <x v="0"/>
    <x v="0"/>
    <x v="773"/>
    <x v="0"/>
    <s v="DISCOUNT NOT ALLOWED"/>
    <s v="discount not allowed"/>
    <s v="DISCOUNT NOT ALLOWED"/>
    <s v="Discount Not Allowed"/>
    <s v="16/09/23"/>
  </r>
  <r>
    <s v="TXN_6053470"/>
    <s v="CUST_14"/>
    <x v="0"/>
    <x v="179"/>
    <x v="22"/>
    <x v="7"/>
    <n v="24"/>
    <x v="1"/>
    <x v="1"/>
    <x v="680"/>
    <x v="1"/>
    <s v="DISCOUNT ALLOWED"/>
    <s v="discount allowed"/>
    <s v="DISCOUNT ALLOWED"/>
    <s v="Discount Allowed"/>
    <s v="02/03/23"/>
  </r>
  <r>
    <s v="TXN_6116778"/>
    <s v="CUST_18"/>
    <x v="0"/>
    <x v="179"/>
    <x v="22"/>
    <x v="7"/>
    <n v="24"/>
    <x v="0"/>
    <x v="0"/>
    <x v="1108"/>
    <x v="1"/>
    <s v="DISCOUNT ALLOWED"/>
    <s v="discount allowed"/>
    <s v="DISCOUNT ALLOWED"/>
    <s v="Discount Allowed"/>
    <s v="30/05/23"/>
  </r>
  <r>
    <s v="TXN_6837182"/>
    <s v="CUST_18"/>
    <x v="6"/>
    <x v="182"/>
    <x v="22"/>
    <x v="7"/>
    <n v="24"/>
    <x v="2"/>
    <x v="0"/>
    <x v="453"/>
    <x v="0"/>
    <s v="DISCOUNT NOT ALLOWED"/>
    <s v="discount not allowed"/>
    <s v="DISCOUNT NOT ALLOWED"/>
    <s v="Discount Not Allowed"/>
    <s v="26/06/22"/>
  </r>
  <r>
    <s v="TXN_6910697"/>
    <s v="CUST_05"/>
    <x v="0"/>
    <x v="179"/>
    <x v="22"/>
    <x v="7"/>
    <n v="24"/>
    <x v="2"/>
    <x v="1"/>
    <x v="344"/>
    <x v="0"/>
    <s v="DISCOUNT NOT ALLOWED"/>
    <s v="discount not allowed"/>
    <s v="DISCOUNT NOT ALLOWED"/>
    <s v="Discount Not Allowed"/>
    <s v="01/04/22"/>
  </r>
  <r>
    <s v="TXN_7180483"/>
    <s v="CUST_23"/>
    <x v="3"/>
    <x v="177"/>
    <x v="22"/>
    <x v="7"/>
    <n v="24"/>
    <x v="1"/>
    <x v="0"/>
    <x v="1012"/>
    <x v="0"/>
    <s v="DISCOUNT NOT ALLOWED"/>
    <s v="discount not allowed"/>
    <s v="DISCOUNT NOT ALLOWED"/>
    <s v="Discount Not Allowed"/>
    <s v="17/01/23"/>
  </r>
  <r>
    <s v="TXN_7512354"/>
    <s v="CUST_13"/>
    <x v="0"/>
    <x v="179"/>
    <x v="22"/>
    <x v="7"/>
    <n v="24"/>
    <x v="2"/>
    <x v="0"/>
    <x v="917"/>
    <x v="0"/>
    <s v="DISCOUNT NOT ALLOWED"/>
    <s v="discount not allowed"/>
    <s v="DISCOUNT NOT ALLOWED"/>
    <s v="Discount Not Allowed"/>
    <s v="13/09/22"/>
  </r>
  <r>
    <s v="TXN_8017236"/>
    <s v="CUST_08"/>
    <x v="0"/>
    <x v="179"/>
    <x v="22"/>
    <x v="7"/>
    <n v="24"/>
    <x v="0"/>
    <x v="0"/>
    <x v="841"/>
    <x v="0"/>
    <s v="DISCOUNT NOT ALLOWED"/>
    <s v="discount not allowed"/>
    <s v="DISCOUNT NOT ALLOWED"/>
    <s v="Discount Not Allowed"/>
    <s v="14/06/23"/>
  </r>
  <r>
    <s v="TXN_8345096"/>
    <s v="CUST_12"/>
    <x v="0"/>
    <x v="179"/>
    <x v="22"/>
    <x v="7"/>
    <n v="24"/>
    <x v="0"/>
    <x v="0"/>
    <x v="278"/>
    <x v="1"/>
    <s v="DISCOUNT ALLOWED"/>
    <s v="discount allowed"/>
    <s v="DISCOUNT ALLOWED"/>
    <s v="Discount Allowed"/>
    <s v="26/12/24"/>
  </r>
  <r>
    <s v="TXN_8431956"/>
    <s v="CUST_01"/>
    <x v="1"/>
    <x v="180"/>
    <x v="22"/>
    <x v="7"/>
    <n v="24"/>
    <x v="2"/>
    <x v="0"/>
    <x v="600"/>
    <x v="0"/>
    <s v="DISCOUNT NOT ALLOWED"/>
    <s v="discount not allowed"/>
    <s v="DISCOUNT NOT ALLOWED"/>
    <s v="Discount Not Allowed"/>
    <s v="26/10/22"/>
  </r>
  <r>
    <s v="TXN_8467828"/>
    <s v="CUST_13"/>
    <x v="4"/>
    <x v="176"/>
    <x v="22"/>
    <x v="7"/>
    <n v="24"/>
    <x v="2"/>
    <x v="0"/>
    <x v="478"/>
    <x v="1"/>
    <s v="DISCOUNT ALLOWED"/>
    <s v="discount allowed"/>
    <s v="DISCOUNT ALLOWED"/>
    <s v="Discount Allowed"/>
    <s v="28/11/23"/>
  </r>
  <r>
    <s v="TXN_9884690"/>
    <s v="CUST_05"/>
    <x v="3"/>
    <x v="177"/>
    <x v="22"/>
    <x v="7"/>
    <n v="24"/>
    <x v="2"/>
    <x v="0"/>
    <x v="838"/>
    <x v="0"/>
    <s v="DISCOUNT NOT ALLOWED"/>
    <s v="discount not allowed"/>
    <s v="DISCOUNT NOT ALLOWED"/>
    <s v="Discount Not Allowed"/>
    <s v="24/10/22"/>
  </r>
  <r>
    <s v="TXN_9896775"/>
    <s v="CUST_10"/>
    <x v="4"/>
    <x v="176"/>
    <x v="22"/>
    <x v="7"/>
    <n v="24"/>
    <x v="1"/>
    <x v="0"/>
    <x v="503"/>
    <x v="0"/>
    <s v="DISCOUNT NOT ALLOWED"/>
    <s v="discount not allowed"/>
    <s v="DISCOUNT NOT ALLOWED"/>
    <s v="Discount Not Allowed"/>
    <s v="16/08/22"/>
  </r>
  <r>
    <s v="TXN_9930960"/>
    <s v="CUST_08"/>
    <x v="0"/>
    <x v="179"/>
    <x v="22"/>
    <x v="7"/>
    <n v="24"/>
    <x v="0"/>
    <x v="0"/>
    <x v="1026"/>
    <x v="0"/>
    <s v="DISCOUNT NOT ALLOWED"/>
    <s v="discount not allowed"/>
    <s v="DISCOUNT NOT ALLOWED"/>
    <s v="Discount Not Allowed"/>
    <s v="02/11/23"/>
  </r>
  <r>
    <s v="TXN_9980683"/>
    <s v="CUST_02"/>
    <x v="2"/>
    <x v="178"/>
    <x v="22"/>
    <x v="7"/>
    <n v="24"/>
    <x v="0"/>
    <x v="1"/>
    <x v="209"/>
    <x v="1"/>
    <s v="DISCOUNT ALLOWED"/>
    <s v="discount allowed"/>
    <s v="DISCOUNT ALLOWED"/>
    <s v="Discount Allowed"/>
    <s v="01/07/23"/>
  </r>
  <r>
    <s v="TXN_1408851"/>
    <s v="CUST_20"/>
    <x v="6"/>
    <x v="93"/>
    <x v="12"/>
    <x v="9"/>
    <n v="23"/>
    <x v="1"/>
    <x v="0"/>
    <x v="959"/>
    <x v="1"/>
    <s v="DISCOUNT ALLOWED"/>
    <s v="discount allowed"/>
    <s v="DISCOUNT ALLOWED"/>
    <s v="Discount Allowed"/>
    <s v="13/08/24"/>
  </r>
  <r>
    <s v="TXN_1481798"/>
    <s v="CUST_21"/>
    <x v="5"/>
    <x v="97"/>
    <x v="12"/>
    <x v="9"/>
    <n v="23"/>
    <x v="2"/>
    <x v="0"/>
    <x v="1075"/>
    <x v="0"/>
    <s v="DISCOUNT NOT ALLOWED"/>
    <s v="discount not allowed"/>
    <s v="DISCOUNT NOT ALLOWED"/>
    <s v="Discount Not Allowed"/>
    <s v="09/05/23"/>
  </r>
  <r>
    <s v="TXN_1634027"/>
    <s v="CUST_05"/>
    <x v="0"/>
    <x v="98"/>
    <x v="12"/>
    <x v="9"/>
    <n v="23"/>
    <x v="0"/>
    <x v="0"/>
    <x v="245"/>
    <x v="1"/>
    <s v="DISCOUNT ALLOWED"/>
    <s v="discount allowed"/>
    <s v="DISCOUNT ALLOWED"/>
    <s v="Discount Allowed"/>
    <s v="03/02/23"/>
  </r>
  <r>
    <s v="TXN_1807679"/>
    <s v="CUST_04"/>
    <x v="7"/>
    <x v="96"/>
    <x v="12"/>
    <x v="9"/>
    <n v="23"/>
    <x v="2"/>
    <x v="1"/>
    <x v="776"/>
    <x v="0"/>
    <s v="DISCOUNT NOT ALLOWED"/>
    <s v="discount not allowed"/>
    <s v="DISCOUNT NOT ALLOWED"/>
    <s v="Discount Not Allowed"/>
    <s v="15/12/24"/>
  </r>
  <r>
    <s v="TXN_2239968"/>
    <s v="CUST_01"/>
    <x v="3"/>
    <x v="95"/>
    <x v="12"/>
    <x v="9"/>
    <n v="23"/>
    <x v="1"/>
    <x v="0"/>
    <x v="509"/>
    <x v="0"/>
    <s v="DISCOUNT NOT ALLOWED"/>
    <s v="discount not allowed"/>
    <s v="DISCOUNT NOT ALLOWED"/>
    <s v="Discount Not Allowed"/>
    <s v="14/09/23"/>
  </r>
  <r>
    <s v="TXN_2628993"/>
    <s v="CUST_14"/>
    <x v="0"/>
    <x v="98"/>
    <x v="12"/>
    <x v="9"/>
    <n v="23"/>
    <x v="2"/>
    <x v="0"/>
    <x v="782"/>
    <x v="0"/>
    <s v="DISCOUNT NOT ALLOWED"/>
    <s v="discount not allowed"/>
    <s v="DISCOUNT NOT ALLOWED"/>
    <s v="Discount Not Allowed"/>
    <s v="13/09/23"/>
  </r>
  <r>
    <s v="TXN_2918886"/>
    <s v="CUST_07"/>
    <x v="5"/>
    <x v="97"/>
    <x v="12"/>
    <x v="9"/>
    <n v="23"/>
    <x v="2"/>
    <x v="0"/>
    <x v="107"/>
    <x v="0"/>
    <s v="DISCOUNT NOT ALLOWED"/>
    <s v="discount not allowed"/>
    <s v="DISCOUNT NOT ALLOWED"/>
    <s v="Discount Not Allowed"/>
    <s v="11/07/22"/>
  </r>
  <r>
    <s v="TXN_3170394"/>
    <s v="CUST_15"/>
    <x v="4"/>
    <x v="94"/>
    <x v="12"/>
    <x v="9"/>
    <n v="23"/>
    <x v="0"/>
    <x v="0"/>
    <x v="861"/>
    <x v="0"/>
    <s v="DISCOUNT NOT ALLOWED"/>
    <s v="discount not allowed"/>
    <s v="DISCOUNT NOT ALLOWED"/>
    <s v="Discount Not Allowed"/>
    <s v="14/08/24"/>
  </r>
  <r>
    <s v="TXN_3638356"/>
    <s v="CUST_08"/>
    <x v="0"/>
    <x v="98"/>
    <x v="12"/>
    <x v="9"/>
    <n v="23"/>
    <x v="1"/>
    <x v="1"/>
    <x v="120"/>
    <x v="0"/>
    <s v="DISCOUNT NOT ALLOWED"/>
    <s v="discount not allowed"/>
    <s v="DISCOUNT NOT ALLOWED"/>
    <s v="Discount Not Allowed"/>
    <s v="10/05/22"/>
  </r>
  <r>
    <s v="TXN_4169525"/>
    <s v="CUST_12"/>
    <x v="6"/>
    <x v="93"/>
    <x v="12"/>
    <x v="9"/>
    <n v="23"/>
    <x v="1"/>
    <x v="1"/>
    <x v="883"/>
    <x v="0"/>
    <s v="DISCOUNT NOT ALLOWED"/>
    <s v="discount not allowed"/>
    <s v="DISCOUNT NOT ALLOWED"/>
    <s v="Discount Not Allowed"/>
    <s v="20/10/24"/>
  </r>
  <r>
    <s v="TXN_4274208"/>
    <s v="CUST_11"/>
    <x v="3"/>
    <x v="95"/>
    <x v="12"/>
    <x v="9"/>
    <n v="23"/>
    <x v="2"/>
    <x v="1"/>
    <x v="997"/>
    <x v="1"/>
    <s v="DISCOUNT ALLOWED"/>
    <s v="discount allowed"/>
    <s v="DISCOUNT ALLOWED"/>
    <s v="Discount Allowed"/>
    <s v="31/07/22"/>
  </r>
  <r>
    <s v="TXN_4287352"/>
    <s v="CUST_01"/>
    <x v="5"/>
    <x v="97"/>
    <x v="12"/>
    <x v="9"/>
    <n v="23"/>
    <x v="2"/>
    <x v="1"/>
    <x v="111"/>
    <x v="1"/>
    <s v="DISCOUNT ALLOWED"/>
    <s v="discount allowed"/>
    <s v="DISCOUNT ALLOWED"/>
    <s v="Discount Allowed"/>
    <s v="03/11/24"/>
  </r>
  <r>
    <s v="TXN_4396807"/>
    <s v="CUST_17"/>
    <x v="5"/>
    <x v="97"/>
    <x v="12"/>
    <x v="9"/>
    <n v="23"/>
    <x v="0"/>
    <x v="1"/>
    <x v="190"/>
    <x v="0"/>
    <s v="DISCOUNT NOT ALLOWED"/>
    <s v="discount not allowed"/>
    <s v="DISCOUNT NOT ALLOWED"/>
    <s v="Discount Not Allowed"/>
    <s v="07/02/22"/>
  </r>
  <r>
    <s v="TXN_4623433"/>
    <s v="CUST_05"/>
    <x v="4"/>
    <x v="94"/>
    <x v="12"/>
    <x v="9"/>
    <n v="23"/>
    <x v="2"/>
    <x v="0"/>
    <x v="953"/>
    <x v="0"/>
    <s v="DISCOUNT NOT ALLOWED"/>
    <s v="discount not allowed"/>
    <s v="DISCOUNT NOT ALLOWED"/>
    <s v="Discount Not Allowed"/>
    <s v="25/01/23"/>
  </r>
  <r>
    <s v="TXN_4923775"/>
    <s v="CUST_04"/>
    <x v="6"/>
    <x v="93"/>
    <x v="12"/>
    <x v="9"/>
    <n v="23"/>
    <x v="0"/>
    <x v="1"/>
    <x v="522"/>
    <x v="0"/>
    <s v="DISCOUNT NOT ALLOWED"/>
    <s v="discount not allowed"/>
    <s v="DISCOUNT NOT ALLOWED"/>
    <s v="Discount Not Allowed"/>
    <s v="27/08/24"/>
  </r>
  <r>
    <s v="TXN_5028536"/>
    <s v="CUST_03"/>
    <x v="3"/>
    <x v="95"/>
    <x v="12"/>
    <x v="9"/>
    <n v="23"/>
    <x v="0"/>
    <x v="1"/>
    <x v="763"/>
    <x v="0"/>
    <s v="DISCOUNT NOT ALLOWED"/>
    <s v="discount not allowed"/>
    <s v="DISCOUNT NOT ALLOWED"/>
    <s v="Discount Not Allowed"/>
    <s v="21/09/24"/>
  </r>
  <r>
    <s v="TXN_5215490"/>
    <s v="CUST_18"/>
    <x v="3"/>
    <x v="95"/>
    <x v="12"/>
    <x v="9"/>
    <n v="23"/>
    <x v="0"/>
    <x v="1"/>
    <x v="267"/>
    <x v="0"/>
    <s v="DISCOUNT NOT ALLOWED"/>
    <s v="discount not allowed"/>
    <s v="DISCOUNT NOT ALLOWED"/>
    <s v="Discount Not Allowed"/>
    <s v="18/09/24"/>
  </r>
  <r>
    <s v="TXN_5732305"/>
    <s v="CUST_21"/>
    <x v="3"/>
    <x v="95"/>
    <x v="12"/>
    <x v="9"/>
    <n v="23"/>
    <x v="2"/>
    <x v="0"/>
    <x v="1092"/>
    <x v="1"/>
    <s v="DISCOUNT ALLOWED"/>
    <s v="discount allowed"/>
    <s v="DISCOUNT ALLOWED"/>
    <s v="Discount Allowed"/>
    <s v="05/02/22"/>
  </r>
  <r>
    <s v="TXN_5848699"/>
    <s v="CUST_19"/>
    <x v="7"/>
    <x v="96"/>
    <x v="12"/>
    <x v="9"/>
    <n v="23"/>
    <x v="0"/>
    <x v="0"/>
    <x v="472"/>
    <x v="0"/>
    <s v="DISCOUNT NOT ALLOWED"/>
    <s v="discount not allowed"/>
    <s v="DISCOUNT NOT ALLOWED"/>
    <s v="Discount Not Allowed"/>
    <s v="29/10/23"/>
  </r>
  <r>
    <s v="TXN_6280148"/>
    <s v="CUST_19"/>
    <x v="6"/>
    <x v="93"/>
    <x v="12"/>
    <x v="9"/>
    <n v="23"/>
    <x v="2"/>
    <x v="0"/>
    <x v="777"/>
    <x v="1"/>
    <s v="DISCOUNT ALLOWED"/>
    <s v="discount allowed"/>
    <s v="DISCOUNT ALLOWED"/>
    <s v="Discount Allowed"/>
    <s v="25/07/24"/>
  </r>
  <r>
    <s v="TXN_6711906"/>
    <s v="CUST_09"/>
    <x v="0"/>
    <x v="98"/>
    <x v="12"/>
    <x v="9"/>
    <n v="23"/>
    <x v="1"/>
    <x v="1"/>
    <x v="641"/>
    <x v="0"/>
    <s v="DISCOUNT NOT ALLOWED"/>
    <s v="discount not allowed"/>
    <s v="DISCOUNT NOT ALLOWED"/>
    <s v="Discount Not Allowed"/>
    <s v="09/01/22"/>
  </r>
  <r>
    <s v="TXN_6893703"/>
    <s v="CUST_13"/>
    <x v="7"/>
    <x v="96"/>
    <x v="12"/>
    <x v="9"/>
    <n v="23"/>
    <x v="2"/>
    <x v="1"/>
    <x v="722"/>
    <x v="1"/>
    <s v="DISCOUNT ALLOWED"/>
    <s v="discount allowed"/>
    <s v="DISCOUNT ALLOWED"/>
    <s v="Discount Allowed"/>
    <s v="03/09/23"/>
  </r>
  <r>
    <s v="TXN_6983480"/>
    <s v="CUST_17"/>
    <x v="0"/>
    <x v="98"/>
    <x v="12"/>
    <x v="9"/>
    <n v="23"/>
    <x v="0"/>
    <x v="0"/>
    <x v="471"/>
    <x v="1"/>
    <s v="DISCOUNT ALLOWED"/>
    <s v="discount allowed"/>
    <s v="DISCOUNT ALLOWED"/>
    <s v="Discount Allowed"/>
    <s v="12/05/22"/>
  </r>
  <r>
    <s v="TXN_7467487"/>
    <s v="CUST_07"/>
    <x v="3"/>
    <x v="95"/>
    <x v="12"/>
    <x v="9"/>
    <n v="23"/>
    <x v="2"/>
    <x v="0"/>
    <x v="711"/>
    <x v="1"/>
    <s v="DISCOUNT ALLOWED"/>
    <s v="discount allowed"/>
    <s v="DISCOUNT ALLOWED"/>
    <s v="Discount Allowed"/>
    <s v="04/04/22"/>
  </r>
  <r>
    <s v="TXN_8397249"/>
    <s v="CUST_15"/>
    <x v="5"/>
    <x v="97"/>
    <x v="12"/>
    <x v="9"/>
    <n v="23"/>
    <x v="1"/>
    <x v="1"/>
    <x v="407"/>
    <x v="1"/>
    <s v="DISCOUNT ALLOWED"/>
    <s v="discount allowed"/>
    <s v="DISCOUNT ALLOWED"/>
    <s v="Discount Allowed"/>
    <s v="10/10/22"/>
  </r>
  <r>
    <s v="TXN_8868134"/>
    <s v="CUST_20"/>
    <x v="1"/>
    <x v="99"/>
    <x v="12"/>
    <x v="9"/>
    <n v="23"/>
    <x v="1"/>
    <x v="0"/>
    <x v="683"/>
    <x v="1"/>
    <s v="DISCOUNT ALLOWED"/>
    <s v="discount allowed"/>
    <s v="DISCOUNT ALLOWED"/>
    <s v="Discount Allowed"/>
    <s v="21/02/22"/>
  </r>
  <r>
    <s v="TXN_8870473"/>
    <s v="CUST_17"/>
    <x v="0"/>
    <x v="98"/>
    <x v="12"/>
    <x v="9"/>
    <n v="23"/>
    <x v="2"/>
    <x v="1"/>
    <x v="637"/>
    <x v="0"/>
    <s v="DISCOUNT NOT ALLOWED"/>
    <s v="discount not allowed"/>
    <s v="DISCOUNT NOT ALLOWED"/>
    <s v="Discount Not Allowed"/>
    <s v="29/05/23"/>
  </r>
  <r>
    <s v="TXN_8875381"/>
    <s v="CUST_07"/>
    <x v="5"/>
    <x v="97"/>
    <x v="12"/>
    <x v="9"/>
    <n v="23"/>
    <x v="2"/>
    <x v="1"/>
    <x v="881"/>
    <x v="0"/>
    <s v="DISCOUNT NOT ALLOWED"/>
    <s v="discount not allowed"/>
    <s v="DISCOUNT NOT ALLOWED"/>
    <s v="Discount Not Allowed"/>
    <s v="14/12/24"/>
  </r>
  <r>
    <s v="TXN_9077506"/>
    <s v="CUST_22"/>
    <x v="0"/>
    <x v="98"/>
    <x v="12"/>
    <x v="9"/>
    <n v="23"/>
    <x v="2"/>
    <x v="0"/>
    <x v="819"/>
    <x v="1"/>
    <s v="DISCOUNT ALLOWED"/>
    <s v="discount allowed"/>
    <s v="DISCOUNT ALLOWED"/>
    <s v="Discount Allowed"/>
    <s v="11/07/23"/>
  </r>
  <r>
    <s v="TXN_9275757"/>
    <s v="CUST_19"/>
    <x v="5"/>
    <x v="97"/>
    <x v="12"/>
    <x v="9"/>
    <n v="23"/>
    <x v="2"/>
    <x v="1"/>
    <x v="275"/>
    <x v="1"/>
    <s v="DISCOUNT ALLOWED"/>
    <s v="discount allowed"/>
    <s v="DISCOUNT ALLOWED"/>
    <s v="Discount Allowed"/>
    <s v="16/06/24"/>
  </r>
  <r>
    <s v="TXN_9495725"/>
    <s v="CUST_07"/>
    <x v="0"/>
    <x v="98"/>
    <x v="12"/>
    <x v="9"/>
    <n v="23"/>
    <x v="2"/>
    <x v="0"/>
    <x v="19"/>
    <x v="1"/>
    <s v="DISCOUNT ALLOWED"/>
    <s v="discount allowed"/>
    <s v="DISCOUNT ALLOWED"/>
    <s v="Discount Allowed"/>
    <s v="13/08/23"/>
  </r>
  <r>
    <s v="TXN_9760843"/>
    <s v="CUST_17"/>
    <x v="6"/>
    <x v="93"/>
    <x v="12"/>
    <x v="9"/>
    <n v="23"/>
    <x v="2"/>
    <x v="1"/>
    <x v="516"/>
    <x v="0"/>
    <s v="DISCOUNT NOT ALLOWED"/>
    <s v="discount not allowed"/>
    <s v="DISCOUNT NOT ALLOWED"/>
    <s v="Discount Not Allowed"/>
    <s v="28/12/23"/>
  </r>
  <r>
    <s v="TXN_1205880"/>
    <s v="CUST_04"/>
    <x v="2"/>
    <x v="161"/>
    <x v="20"/>
    <x v="8"/>
    <n v="22"/>
    <x v="1"/>
    <x v="0"/>
    <x v="784"/>
    <x v="0"/>
    <s v="DISCOUNT NOT ALLOWED"/>
    <s v="discount not allowed"/>
    <s v="DISCOUNT NOT ALLOWED"/>
    <s v="Discount Not Allowed"/>
    <s v="17/06/23"/>
  </r>
  <r>
    <s v="TXN_1845915"/>
    <s v="CUST_02"/>
    <x v="2"/>
    <x v="161"/>
    <x v="20"/>
    <x v="8"/>
    <n v="22"/>
    <x v="2"/>
    <x v="1"/>
    <x v="806"/>
    <x v="1"/>
    <s v="DISCOUNT ALLOWED"/>
    <s v="discount allowed"/>
    <s v="DISCOUNT ALLOWED"/>
    <s v="Discount Allowed"/>
    <s v="27/06/22"/>
  </r>
  <r>
    <s v="TXN_2250059"/>
    <s v="CUST_07"/>
    <x v="3"/>
    <x v="164"/>
    <x v="20"/>
    <x v="8"/>
    <n v="22"/>
    <x v="2"/>
    <x v="0"/>
    <x v="1010"/>
    <x v="0"/>
    <s v="DISCOUNT NOT ALLOWED"/>
    <s v="discount not allowed"/>
    <s v="DISCOUNT NOT ALLOWED"/>
    <s v="Discount Not Allowed"/>
    <s v="30/10/23"/>
  </r>
  <r>
    <s v="TXN_2689920"/>
    <s v="CUST_21"/>
    <x v="4"/>
    <x v="163"/>
    <x v="20"/>
    <x v="8"/>
    <n v="22"/>
    <x v="1"/>
    <x v="1"/>
    <x v="1070"/>
    <x v="1"/>
    <s v="DISCOUNT ALLOWED"/>
    <s v="discount allowed"/>
    <s v="DISCOUNT ALLOWED"/>
    <s v="Discount Allowed"/>
    <s v="29/02/24"/>
  </r>
  <r>
    <s v="TXN_2722008"/>
    <s v="CUST_19"/>
    <x v="4"/>
    <x v="163"/>
    <x v="20"/>
    <x v="8"/>
    <n v="22"/>
    <x v="2"/>
    <x v="0"/>
    <x v="68"/>
    <x v="0"/>
    <s v="DISCOUNT NOT ALLOWED"/>
    <s v="discount not allowed"/>
    <s v="DISCOUNT NOT ALLOWED"/>
    <s v="Discount Not Allowed"/>
    <s v="05/11/23"/>
  </r>
  <r>
    <s v="TXN_2794176"/>
    <s v="CUST_01"/>
    <x v="5"/>
    <x v="160"/>
    <x v="20"/>
    <x v="8"/>
    <n v="22"/>
    <x v="1"/>
    <x v="0"/>
    <x v="570"/>
    <x v="1"/>
    <s v="DISCOUNT ALLOWED"/>
    <s v="discount allowed"/>
    <s v="DISCOUNT ALLOWED"/>
    <s v="Discount Allowed"/>
    <s v="03/01/25"/>
  </r>
  <r>
    <s v="TXN_2802887"/>
    <s v="CUST_24"/>
    <x v="6"/>
    <x v="162"/>
    <x v="20"/>
    <x v="8"/>
    <n v="22"/>
    <x v="0"/>
    <x v="0"/>
    <x v="547"/>
    <x v="1"/>
    <s v="DISCOUNT ALLOWED"/>
    <s v="discount allowed"/>
    <s v="DISCOUNT ALLOWED"/>
    <s v="Discount Allowed"/>
    <s v="14/10/23"/>
  </r>
  <r>
    <s v="TXN_3008793"/>
    <s v="CUST_04"/>
    <x v="5"/>
    <x v="160"/>
    <x v="20"/>
    <x v="8"/>
    <n v="22"/>
    <x v="2"/>
    <x v="1"/>
    <x v="668"/>
    <x v="1"/>
    <s v="DISCOUNT ALLOWED"/>
    <s v="discount allowed"/>
    <s v="DISCOUNT ALLOWED"/>
    <s v="Discount Allowed"/>
    <s v="24/06/24"/>
  </r>
  <r>
    <s v="TXN_3044362"/>
    <s v="CUST_01"/>
    <x v="6"/>
    <x v="162"/>
    <x v="20"/>
    <x v="8"/>
    <n v="22"/>
    <x v="0"/>
    <x v="1"/>
    <x v="592"/>
    <x v="1"/>
    <s v="DISCOUNT ALLOWED"/>
    <s v="discount allowed"/>
    <s v="DISCOUNT ALLOWED"/>
    <s v="Discount Allowed"/>
    <s v="11/12/23"/>
  </r>
  <r>
    <s v="TXN_3678974"/>
    <s v="CUST_25"/>
    <x v="2"/>
    <x v="161"/>
    <x v="20"/>
    <x v="8"/>
    <n v="22"/>
    <x v="2"/>
    <x v="1"/>
    <x v="802"/>
    <x v="1"/>
    <s v="DISCOUNT ALLOWED"/>
    <s v="discount allowed"/>
    <s v="DISCOUNT ALLOWED"/>
    <s v="Discount Allowed"/>
    <s v="05/10/24"/>
  </r>
  <r>
    <s v="TXN_3758485"/>
    <s v="CUST_04"/>
    <x v="5"/>
    <x v="160"/>
    <x v="20"/>
    <x v="8"/>
    <n v="22"/>
    <x v="2"/>
    <x v="1"/>
    <x v="939"/>
    <x v="1"/>
    <s v="DISCOUNT ALLOWED"/>
    <s v="discount allowed"/>
    <s v="DISCOUNT ALLOWED"/>
    <s v="Discount Allowed"/>
    <s v="26/10/24"/>
  </r>
  <r>
    <s v="TXN_4000119"/>
    <s v="CUST_15"/>
    <x v="4"/>
    <x v="163"/>
    <x v="20"/>
    <x v="8"/>
    <n v="22"/>
    <x v="1"/>
    <x v="1"/>
    <x v="155"/>
    <x v="1"/>
    <s v="DISCOUNT ALLOWED"/>
    <s v="discount allowed"/>
    <s v="DISCOUNT ALLOWED"/>
    <s v="Discount Allowed"/>
    <s v="19/02/22"/>
  </r>
  <r>
    <s v="TXN_4401677"/>
    <s v="CUST_25"/>
    <x v="2"/>
    <x v="161"/>
    <x v="20"/>
    <x v="8"/>
    <n v="22"/>
    <x v="0"/>
    <x v="1"/>
    <x v="487"/>
    <x v="1"/>
    <s v="DISCOUNT ALLOWED"/>
    <s v="discount allowed"/>
    <s v="DISCOUNT ALLOWED"/>
    <s v="Discount Allowed"/>
    <s v="06/02/22"/>
  </r>
  <r>
    <s v="TXN_4478162"/>
    <s v="CUST_25"/>
    <x v="5"/>
    <x v="160"/>
    <x v="20"/>
    <x v="8"/>
    <n v="22"/>
    <x v="2"/>
    <x v="1"/>
    <x v="369"/>
    <x v="0"/>
    <s v="DISCOUNT NOT ALLOWED"/>
    <s v="discount not allowed"/>
    <s v="DISCOUNT NOT ALLOWED"/>
    <s v="Discount Not Allowed"/>
    <s v="05/10/23"/>
  </r>
  <r>
    <s v="TXN_4617673"/>
    <s v="CUST_24"/>
    <x v="2"/>
    <x v="161"/>
    <x v="20"/>
    <x v="8"/>
    <n v="22"/>
    <x v="0"/>
    <x v="1"/>
    <x v="329"/>
    <x v="0"/>
    <s v="DISCOUNT NOT ALLOWED"/>
    <s v="discount not allowed"/>
    <s v="DISCOUNT NOT ALLOWED"/>
    <s v="Discount Not Allowed"/>
    <s v="02/03/22"/>
  </r>
  <r>
    <s v="TXN_5498300"/>
    <s v="CUST_04"/>
    <x v="4"/>
    <x v="163"/>
    <x v="20"/>
    <x v="8"/>
    <n v="22"/>
    <x v="2"/>
    <x v="1"/>
    <x v="85"/>
    <x v="0"/>
    <s v="DISCOUNT NOT ALLOWED"/>
    <s v="discount not allowed"/>
    <s v="DISCOUNT NOT ALLOWED"/>
    <s v="Discount Not Allowed"/>
    <s v="18/10/24"/>
  </r>
  <r>
    <s v="TXN_5698793"/>
    <s v="CUST_13"/>
    <x v="4"/>
    <x v="163"/>
    <x v="20"/>
    <x v="8"/>
    <n v="22"/>
    <x v="2"/>
    <x v="1"/>
    <x v="429"/>
    <x v="0"/>
    <s v="DISCOUNT NOT ALLOWED"/>
    <s v="discount not allowed"/>
    <s v="DISCOUNT NOT ALLOWED"/>
    <s v="Discount Not Allowed"/>
    <s v="18/03/24"/>
  </r>
  <r>
    <s v="TXN_5894246"/>
    <s v="CUST_14"/>
    <x v="2"/>
    <x v="161"/>
    <x v="20"/>
    <x v="8"/>
    <n v="22"/>
    <x v="0"/>
    <x v="1"/>
    <x v="441"/>
    <x v="0"/>
    <s v="DISCOUNT NOT ALLOWED"/>
    <s v="discount not allowed"/>
    <s v="DISCOUNT NOT ALLOWED"/>
    <s v="Discount Not Allowed"/>
    <s v="09/05/22"/>
  </r>
  <r>
    <s v="TXN_5991912"/>
    <s v="CUST_24"/>
    <x v="2"/>
    <x v="161"/>
    <x v="20"/>
    <x v="8"/>
    <n v="22"/>
    <x v="0"/>
    <x v="0"/>
    <x v="7"/>
    <x v="0"/>
    <s v="DISCOUNT NOT ALLOWED"/>
    <s v="discount not allowed"/>
    <s v="DISCOUNT NOT ALLOWED"/>
    <s v="Discount Not Allowed"/>
    <s v="23/02/22"/>
  </r>
  <r>
    <s v="TXN_6360170"/>
    <s v="CUST_22"/>
    <x v="2"/>
    <x v="161"/>
    <x v="20"/>
    <x v="8"/>
    <n v="22"/>
    <x v="2"/>
    <x v="1"/>
    <x v="139"/>
    <x v="1"/>
    <s v="DISCOUNT ALLOWED"/>
    <s v="discount allowed"/>
    <s v="DISCOUNT ALLOWED"/>
    <s v="Discount Allowed"/>
    <s v="13/06/24"/>
  </r>
  <r>
    <s v="TXN_6509903"/>
    <s v="CUST_21"/>
    <x v="2"/>
    <x v="161"/>
    <x v="20"/>
    <x v="8"/>
    <n v="22"/>
    <x v="2"/>
    <x v="0"/>
    <x v="579"/>
    <x v="1"/>
    <s v="DISCOUNT ALLOWED"/>
    <s v="discount allowed"/>
    <s v="DISCOUNT ALLOWED"/>
    <s v="Discount Allowed"/>
    <s v="26/08/22"/>
  </r>
  <r>
    <s v="TXN_6809427"/>
    <s v="CUST_16"/>
    <x v="2"/>
    <x v="161"/>
    <x v="20"/>
    <x v="8"/>
    <n v="22"/>
    <x v="0"/>
    <x v="0"/>
    <x v="348"/>
    <x v="1"/>
    <s v="DISCOUNT ALLOWED"/>
    <s v="discount allowed"/>
    <s v="DISCOUNT ALLOWED"/>
    <s v="Discount Allowed"/>
    <s v="30/09/24"/>
  </r>
  <r>
    <s v="TXN_6946214"/>
    <s v="CUST_21"/>
    <x v="3"/>
    <x v="164"/>
    <x v="20"/>
    <x v="8"/>
    <n v="22"/>
    <x v="1"/>
    <x v="1"/>
    <x v="556"/>
    <x v="1"/>
    <s v="DISCOUNT ALLOWED"/>
    <s v="discount allowed"/>
    <s v="DISCOUNT ALLOWED"/>
    <s v="Discount Allowed"/>
    <s v="16/02/24"/>
  </r>
  <r>
    <s v="TXN_6991509"/>
    <s v="CUST_25"/>
    <x v="2"/>
    <x v="161"/>
    <x v="20"/>
    <x v="8"/>
    <n v="22"/>
    <x v="2"/>
    <x v="0"/>
    <x v="842"/>
    <x v="0"/>
    <s v="DISCOUNT NOT ALLOWED"/>
    <s v="discount not allowed"/>
    <s v="DISCOUNT NOT ALLOWED"/>
    <s v="Discount Not Allowed"/>
    <s v="30/03/24"/>
  </r>
  <r>
    <s v="TXN_7676502"/>
    <s v="CUST_08"/>
    <x v="4"/>
    <x v="163"/>
    <x v="20"/>
    <x v="8"/>
    <n v="22"/>
    <x v="0"/>
    <x v="1"/>
    <x v="1005"/>
    <x v="0"/>
    <s v="DISCOUNT NOT ALLOWED"/>
    <s v="discount not allowed"/>
    <s v="DISCOUNT NOT ALLOWED"/>
    <s v="Discount Not Allowed"/>
    <s v="26/03/24"/>
  </r>
  <r>
    <s v="TXN_7972987"/>
    <s v="CUST_23"/>
    <x v="4"/>
    <x v="163"/>
    <x v="20"/>
    <x v="8"/>
    <n v="22"/>
    <x v="0"/>
    <x v="0"/>
    <x v="103"/>
    <x v="0"/>
    <s v="DISCOUNT NOT ALLOWED"/>
    <s v="discount not allowed"/>
    <s v="DISCOUNT NOT ALLOWED"/>
    <s v="Discount Not Allowed"/>
    <s v="30/05/22"/>
  </r>
  <r>
    <s v="TXN_8133054"/>
    <s v="CUST_12"/>
    <x v="2"/>
    <x v="161"/>
    <x v="20"/>
    <x v="8"/>
    <n v="22"/>
    <x v="2"/>
    <x v="0"/>
    <x v="738"/>
    <x v="0"/>
    <s v="DISCOUNT NOT ALLOWED"/>
    <s v="discount not allowed"/>
    <s v="DISCOUNT NOT ALLOWED"/>
    <s v="Discount Not Allowed"/>
    <s v="09/02/24"/>
  </r>
  <r>
    <s v="TXN_8261937"/>
    <s v="CUST_14"/>
    <x v="5"/>
    <x v="160"/>
    <x v="20"/>
    <x v="8"/>
    <n v="22"/>
    <x v="0"/>
    <x v="1"/>
    <x v="945"/>
    <x v="1"/>
    <s v="DISCOUNT ALLOWED"/>
    <s v="discount allowed"/>
    <s v="DISCOUNT ALLOWED"/>
    <s v="Discount Allowed"/>
    <s v="10/03/22"/>
  </r>
  <r>
    <s v="TXN_8421920"/>
    <s v="CUST_04"/>
    <x v="4"/>
    <x v="163"/>
    <x v="20"/>
    <x v="8"/>
    <n v="22"/>
    <x v="2"/>
    <x v="1"/>
    <x v="935"/>
    <x v="1"/>
    <s v="DISCOUNT ALLOWED"/>
    <s v="discount allowed"/>
    <s v="DISCOUNT ALLOWED"/>
    <s v="Discount Allowed"/>
    <s v="09/02/23"/>
  </r>
  <r>
    <s v="TXN_8603145"/>
    <s v="CUST_15"/>
    <x v="5"/>
    <x v="160"/>
    <x v="20"/>
    <x v="8"/>
    <n v="22"/>
    <x v="0"/>
    <x v="1"/>
    <x v="1082"/>
    <x v="0"/>
    <s v="DISCOUNT NOT ALLOWED"/>
    <s v="discount not allowed"/>
    <s v="DISCOUNT NOT ALLOWED"/>
    <s v="Discount Not Allowed"/>
    <s v="15/02/24"/>
  </r>
  <r>
    <s v="TXN_8971441"/>
    <s v="CUST_23"/>
    <x v="2"/>
    <x v="161"/>
    <x v="20"/>
    <x v="8"/>
    <n v="22"/>
    <x v="2"/>
    <x v="1"/>
    <x v="952"/>
    <x v="1"/>
    <s v="DISCOUNT ALLOWED"/>
    <s v="discount allowed"/>
    <s v="DISCOUNT ALLOWED"/>
    <s v="Discount Allowed"/>
    <s v="27/11/24"/>
  </r>
  <r>
    <s v="TXN_9254604"/>
    <s v="CUST_21"/>
    <x v="7"/>
    <x v="165"/>
    <x v="20"/>
    <x v="8"/>
    <n v="22"/>
    <x v="2"/>
    <x v="1"/>
    <x v="454"/>
    <x v="1"/>
    <s v="DISCOUNT ALLOWED"/>
    <s v="discount allowed"/>
    <s v="DISCOUNT ALLOWED"/>
    <s v="Discount Allowed"/>
    <s v="19/04/24"/>
  </r>
  <r>
    <s v="TXN_9754668"/>
    <s v="CUST_10"/>
    <x v="4"/>
    <x v="163"/>
    <x v="20"/>
    <x v="8"/>
    <n v="22"/>
    <x v="0"/>
    <x v="0"/>
    <x v="474"/>
    <x v="0"/>
    <s v="DISCOUNT NOT ALLOWED"/>
    <s v="discount not allowed"/>
    <s v="DISCOUNT NOT ALLOWED"/>
    <s v="Discount Not Allowed"/>
    <s v="24/02/23"/>
  </r>
  <r>
    <s v="TXN_1212058"/>
    <s v="CUST_07"/>
    <x v="5"/>
    <x v="102"/>
    <x v="13"/>
    <x v="9"/>
    <n v="21.5"/>
    <x v="1"/>
    <x v="0"/>
    <x v="549"/>
    <x v="1"/>
    <s v="DISCOUNT ALLOWED"/>
    <s v="discount allowed"/>
    <s v="DISCOUNT ALLOWED"/>
    <s v="Discount Allowed"/>
    <s v="18/03/23"/>
  </r>
  <r>
    <s v="TXN_1457601"/>
    <s v="CUST_07"/>
    <x v="6"/>
    <x v="104"/>
    <x v="13"/>
    <x v="9"/>
    <n v="21.5"/>
    <x v="0"/>
    <x v="1"/>
    <x v="1057"/>
    <x v="0"/>
    <s v="DISCOUNT NOT ALLOWED"/>
    <s v="discount not allowed"/>
    <s v="DISCOUNT NOT ALLOWED"/>
    <s v="Discount Not Allowed"/>
    <s v="19/03/23"/>
  </r>
  <r>
    <s v="TXN_2749140"/>
    <s v="CUST_14"/>
    <x v="3"/>
    <x v="103"/>
    <x v="13"/>
    <x v="9"/>
    <n v="21.5"/>
    <x v="0"/>
    <x v="1"/>
    <x v="381"/>
    <x v="0"/>
    <s v="DISCOUNT NOT ALLOWED"/>
    <s v="discount not allowed"/>
    <s v="DISCOUNT NOT ALLOWED"/>
    <s v="Discount Not Allowed"/>
    <s v="06/03/22"/>
  </r>
  <r>
    <s v="TXN_3409198"/>
    <s v="CUST_16"/>
    <x v="1"/>
    <x v="105"/>
    <x v="13"/>
    <x v="9"/>
    <n v="21.5"/>
    <x v="2"/>
    <x v="1"/>
    <x v="1030"/>
    <x v="0"/>
    <s v="DISCOUNT NOT ALLOWED"/>
    <s v="discount not allowed"/>
    <s v="DISCOUNT NOT ALLOWED"/>
    <s v="Discount Not Allowed"/>
    <s v="20/12/22"/>
  </r>
  <r>
    <s v="TXN_3434610"/>
    <s v="CUST_05"/>
    <x v="0"/>
    <x v="116"/>
    <x v="13"/>
    <x v="9"/>
    <n v="21.5"/>
    <x v="2"/>
    <x v="1"/>
    <x v="451"/>
    <x v="1"/>
    <s v="DISCOUNT ALLOWED"/>
    <s v="discount allowed"/>
    <s v="DISCOUNT ALLOWED"/>
    <s v="Discount Allowed"/>
    <s v="06/01/24"/>
  </r>
  <r>
    <s v="TXN_3522960"/>
    <s v="CUST_10"/>
    <x v="5"/>
    <x v="102"/>
    <x v="13"/>
    <x v="9"/>
    <n v="21.5"/>
    <x v="0"/>
    <x v="0"/>
    <x v="571"/>
    <x v="1"/>
    <s v="DISCOUNT ALLOWED"/>
    <s v="discount allowed"/>
    <s v="DISCOUNT ALLOWED"/>
    <s v="Discount Allowed"/>
    <s v="01/08/23"/>
  </r>
  <r>
    <s v="TXN_3623366"/>
    <s v="CUST_06"/>
    <x v="1"/>
    <x v="105"/>
    <x v="13"/>
    <x v="9"/>
    <n v="21.5"/>
    <x v="0"/>
    <x v="1"/>
    <x v="905"/>
    <x v="1"/>
    <s v="DISCOUNT ALLOWED"/>
    <s v="discount allowed"/>
    <s v="DISCOUNT ALLOWED"/>
    <s v="Discount Allowed"/>
    <s v="05/01/25"/>
  </r>
  <r>
    <s v="TXN_3919560"/>
    <s v="CUST_10"/>
    <x v="6"/>
    <x v="104"/>
    <x v="13"/>
    <x v="9"/>
    <n v="21.5"/>
    <x v="1"/>
    <x v="1"/>
    <x v="772"/>
    <x v="1"/>
    <s v="DISCOUNT ALLOWED"/>
    <s v="discount allowed"/>
    <s v="DISCOUNT ALLOWED"/>
    <s v="Discount Allowed"/>
    <s v="19/07/22"/>
  </r>
  <r>
    <s v="TXN_4053847"/>
    <s v="CUST_09"/>
    <x v="6"/>
    <x v="104"/>
    <x v="13"/>
    <x v="9"/>
    <n v="21.5"/>
    <x v="2"/>
    <x v="0"/>
    <x v="1084"/>
    <x v="1"/>
    <s v="DISCOUNT ALLOWED"/>
    <s v="discount allowed"/>
    <s v="DISCOUNT ALLOWED"/>
    <s v="Discount Allowed"/>
    <s v="29/05/22"/>
  </r>
  <r>
    <s v="TXN_4611340"/>
    <s v="CUST_21"/>
    <x v="2"/>
    <x v="108"/>
    <x v="13"/>
    <x v="9"/>
    <n v="21.5"/>
    <x v="1"/>
    <x v="1"/>
    <x v="707"/>
    <x v="1"/>
    <s v="DISCOUNT ALLOWED"/>
    <s v="discount allowed"/>
    <s v="DISCOUNT ALLOWED"/>
    <s v="Discount Allowed"/>
    <s v="08/06/23"/>
  </r>
  <r>
    <s v="TXN_5197744"/>
    <s v="CUST_16"/>
    <x v="7"/>
    <x v="106"/>
    <x v="13"/>
    <x v="9"/>
    <n v="21.5"/>
    <x v="2"/>
    <x v="1"/>
    <x v="934"/>
    <x v="0"/>
    <s v="DISCOUNT NOT ALLOWED"/>
    <s v="discount not allowed"/>
    <s v="DISCOUNT NOT ALLOWED"/>
    <s v="Discount Not Allowed"/>
    <s v="27/05/24"/>
  </r>
  <r>
    <s v="TXN_5490508"/>
    <s v="CUST_08"/>
    <x v="4"/>
    <x v="107"/>
    <x v="13"/>
    <x v="9"/>
    <n v="21.5"/>
    <x v="1"/>
    <x v="0"/>
    <x v="153"/>
    <x v="1"/>
    <s v="DISCOUNT ALLOWED"/>
    <s v="discount allowed"/>
    <s v="DISCOUNT ALLOWED"/>
    <s v="Discount Allowed"/>
    <s v="28/05/23"/>
  </r>
  <r>
    <s v="TXN_5674806"/>
    <s v="CUST_14"/>
    <x v="3"/>
    <x v="103"/>
    <x v="13"/>
    <x v="9"/>
    <n v="21.5"/>
    <x v="2"/>
    <x v="1"/>
    <x v="658"/>
    <x v="1"/>
    <s v="DISCOUNT ALLOWED"/>
    <s v="discount allowed"/>
    <s v="DISCOUNT ALLOWED"/>
    <s v="Discount Allowed"/>
    <s v="29/09/22"/>
  </r>
  <r>
    <s v="TXN_5703601"/>
    <s v="CUST_20"/>
    <x v="5"/>
    <x v="102"/>
    <x v="13"/>
    <x v="9"/>
    <n v="21.5"/>
    <x v="0"/>
    <x v="0"/>
    <x v="611"/>
    <x v="0"/>
    <s v="DISCOUNT NOT ALLOWED"/>
    <s v="discount not allowed"/>
    <s v="DISCOUNT NOT ALLOWED"/>
    <s v="Discount Not Allowed"/>
    <s v="18/12/22"/>
  </r>
  <r>
    <s v="TXN_5706555"/>
    <s v="CUST_13"/>
    <x v="2"/>
    <x v="108"/>
    <x v="13"/>
    <x v="9"/>
    <n v="21.5"/>
    <x v="1"/>
    <x v="0"/>
    <x v="166"/>
    <x v="1"/>
    <s v="DISCOUNT ALLOWED"/>
    <s v="discount allowed"/>
    <s v="DISCOUNT ALLOWED"/>
    <s v="Discount Allowed"/>
    <s v="06/05/24"/>
  </r>
  <r>
    <s v="TXN_6135201"/>
    <s v="CUST_22"/>
    <x v="1"/>
    <x v="105"/>
    <x v="13"/>
    <x v="9"/>
    <n v="21.5"/>
    <x v="1"/>
    <x v="0"/>
    <x v="402"/>
    <x v="0"/>
    <s v="DISCOUNT NOT ALLOWED"/>
    <s v="discount not allowed"/>
    <s v="DISCOUNT NOT ALLOWED"/>
    <s v="Discount Not Allowed"/>
    <s v="07/09/23"/>
  </r>
  <r>
    <s v="TXN_6403470"/>
    <s v="CUST_13"/>
    <x v="6"/>
    <x v="104"/>
    <x v="13"/>
    <x v="9"/>
    <n v="21.5"/>
    <x v="1"/>
    <x v="1"/>
    <x v="973"/>
    <x v="0"/>
    <s v="DISCOUNT NOT ALLOWED"/>
    <s v="discount not allowed"/>
    <s v="DISCOUNT NOT ALLOWED"/>
    <s v="Discount Not Allowed"/>
    <s v="03/06/22"/>
  </r>
  <r>
    <s v="TXN_6407825"/>
    <s v="CUST_08"/>
    <x v="6"/>
    <x v="104"/>
    <x v="13"/>
    <x v="9"/>
    <n v="21.5"/>
    <x v="0"/>
    <x v="1"/>
    <x v="144"/>
    <x v="1"/>
    <s v="DISCOUNT ALLOWED"/>
    <s v="discount allowed"/>
    <s v="DISCOUNT ALLOWED"/>
    <s v="Discount Allowed"/>
    <s v="08/11/24"/>
  </r>
  <r>
    <s v="TXN_6582092"/>
    <s v="CUST_18"/>
    <x v="1"/>
    <x v="105"/>
    <x v="13"/>
    <x v="9"/>
    <n v="21.5"/>
    <x v="2"/>
    <x v="0"/>
    <x v="58"/>
    <x v="1"/>
    <s v="DISCOUNT ALLOWED"/>
    <s v="discount allowed"/>
    <s v="DISCOUNT ALLOWED"/>
    <s v="Discount Allowed"/>
    <s v="09/04/24"/>
  </r>
  <r>
    <s v="TXN_6690069"/>
    <s v="CUST_22"/>
    <x v="7"/>
    <x v="106"/>
    <x v="13"/>
    <x v="9"/>
    <n v="21.5"/>
    <x v="2"/>
    <x v="1"/>
    <x v="826"/>
    <x v="0"/>
    <s v="DISCOUNT NOT ALLOWED"/>
    <s v="discount not allowed"/>
    <s v="DISCOUNT NOT ALLOWED"/>
    <s v="Discount Not Allowed"/>
    <s v="03/08/22"/>
  </r>
  <r>
    <s v="TXN_6778962"/>
    <s v="CUST_24"/>
    <x v="7"/>
    <x v="106"/>
    <x v="13"/>
    <x v="9"/>
    <n v="21.5"/>
    <x v="1"/>
    <x v="0"/>
    <x v="869"/>
    <x v="1"/>
    <s v="DISCOUNT ALLOWED"/>
    <s v="discount allowed"/>
    <s v="DISCOUNT ALLOWED"/>
    <s v="Discount Allowed"/>
    <s v="16/07/22"/>
  </r>
  <r>
    <s v="TXN_6923046"/>
    <s v="CUST_11"/>
    <x v="3"/>
    <x v="103"/>
    <x v="13"/>
    <x v="9"/>
    <n v="21.5"/>
    <x v="2"/>
    <x v="0"/>
    <x v="1053"/>
    <x v="0"/>
    <s v="DISCOUNT NOT ALLOWED"/>
    <s v="discount not allowed"/>
    <s v="DISCOUNT NOT ALLOWED"/>
    <s v="Discount Not Allowed"/>
    <s v="22/08/23"/>
  </r>
  <r>
    <s v="TXN_6942391"/>
    <s v="CUST_20"/>
    <x v="3"/>
    <x v="103"/>
    <x v="13"/>
    <x v="9"/>
    <n v="21.5"/>
    <x v="1"/>
    <x v="1"/>
    <x v="783"/>
    <x v="0"/>
    <s v="DISCOUNT NOT ALLOWED"/>
    <s v="discount not allowed"/>
    <s v="DISCOUNT NOT ALLOWED"/>
    <s v="Discount Not Allowed"/>
    <s v="04/02/23"/>
  </r>
  <r>
    <s v="TXN_7132270"/>
    <s v="CUST_09"/>
    <x v="7"/>
    <x v="106"/>
    <x v="13"/>
    <x v="9"/>
    <n v="21.5"/>
    <x v="1"/>
    <x v="0"/>
    <x v="395"/>
    <x v="0"/>
    <s v="DISCOUNT NOT ALLOWED"/>
    <s v="discount not allowed"/>
    <s v="DISCOUNT NOT ALLOWED"/>
    <s v="Discount Not Allowed"/>
    <s v="21/06/22"/>
  </r>
  <r>
    <s v="TXN_7388794"/>
    <s v="CUST_03"/>
    <x v="1"/>
    <x v="105"/>
    <x v="13"/>
    <x v="9"/>
    <n v="21.5"/>
    <x v="2"/>
    <x v="1"/>
    <x v="874"/>
    <x v="0"/>
    <s v="DISCOUNT NOT ALLOWED"/>
    <s v="discount not allowed"/>
    <s v="DISCOUNT NOT ALLOWED"/>
    <s v="Discount Not Allowed"/>
    <s v="06/09/24"/>
  </r>
  <r>
    <s v="TXN_7745477"/>
    <s v="CUST_02"/>
    <x v="3"/>
    <x v="103"/>
    <x v="13"/>
    <x v="9"/>
    <n v="21.5"/>
    <x v="0"/>
    <x v="1"/>
    <x v="1077"/>
    <x v="0"/>
    <s v="DISCOUNT NOT ALLOWED"/>
    <s v="discount not allowed"/>
    <s v="DISCOUNT NOT ALLOWED"/>
    <s v="Discount Not Allowed"/>
    <s v="13/03/23"/>
  </r>
  <r>
    <s v="TXN_7969813"/>
    <s v="CUST_17"/>
    <x v="5"/>
    <x v="102"/>
    <x v="13"/>
    <x v="9"/>
    <n v="21.5"/>
    <x v="2"/>
    <x v="1"/>
    <x v="995"/>
    <x v="1"/>
    <s v="DISCOUNT ALLOWED"/>
    <s v="discount allowed"/>
    <s v="DISCOUNT ALLOWED"/>
    <s v="Discount Allowed"/>
    <s v="16/06/22"/>
  </r>
  <r>
    <s v="TXN_8218511"/>
    <s v="CUST_09"/>
    <x v="3"/>
    <x v="103"/>
    <x v="13"/>
    <x v="9"/>
    <n v="21.5"/>
    <x v="0"/>
    <x v="1"/>
    <x v="146"/>
    <x v="0"/>
    <s v="DISCOUNT NOT ALLOWED"/>
    <s v="discount not allowed"/>
    <s v="DISCOUNT NOT ALLOWED"/>
    <s v="Discount Not Allowed"/>
    <s v="06/12/24"/>
  </r>
  <r>
    <s v="TXN_8332750"/>
    <s v="CUST_12"/>
    <x v="6"/>
    <x v="104"/>
    <x v="13"/>
    <x v="9"/>
    <n v="21.5"/>
    <x v="0"/>
    <x v="1"/>
    <x v="605"/>
    <x v="1"/>
    <s v="DISCOUNT ALLOWED"/>
    <s v="discount allowed"/>
    <s v="DISCOUNT ALLOWED"/>
    <s v="Discount Allowed"/>
    <s v="27/12/22"/>
  </r>
  <r>
    <s v="TXN_8532994"/>
    <s v="CUST_17"/>
    <x v="5"/>
    <x v="102"/>
    <x v="13"/>
    <x v="9"/>
    <n v="21.5"/>
    <x v="1"/>
    <x v="0"/>
    <x v="314"/>
    <x v="1"/>
    <s v="DISCOUNT ALLOWED"/>
    <s v="discount allowed"/>
    <s v="DISCOUNT ALLOWED"/>
    <s v="Discount Allowed"/>
    <s v="04/05/22"/>
  </r>
  <r>
    <s v="TXN_8688377"/>
    <s v="CUST_25"/>
    <x v="0"/>
    <x v="116"/>
    <x v="13"/>
    <x v="9"/>
    <n v="21.5"/>
    <x v="2"/>
    <x v="0"/>
    <x v="138"/>
    <x v="1"/>
    <s v="DISCOUNT ALLOWED"/>
    <s v="discount allowed"/>
    <s v="DISCOUNT ALLOWED"/>
    <s v="Discount Allowed"/>
    <s v="10/02/24"/>
  </r>
  <r>
    <s v="TXN_8849152"/>
    <s v="CUST_05"/>
    <x v="4"/>
    <x v="107"/>
    <x v="13"/>
    <x v="9"/>
    <n v="21.5"/>
    <x v="1"/>
    <x v="0"/>
    <x v="210"/>
    <x v="1"/>
    <s v="DISCOUNT ALLOWED"/>
    <s v="discount allowed"/>
    <s v="DISCOUNT ALLOWED"/>
    <s v="Discount Allowed"/>
    <s v="15/08/22"/>
  </r>
  <r>
    <s v="TXN_9557968"/>
    <s v="CUST_14"/>
    <x v="7"/>
    <x v="106"/>
    <x v="13"/>
    <x v="9"/>
    <n v="21.5"/>
    <x v="1"/>
    <x v="1"/>
    <x v="367"/>
    <x v="0"/>
    <s v="DISCOUNT NOT ALLOWED"/>
    <s v="discount not allowed"/>
    <s v="DISCOUNT NOT ALLOWED"/>
    <s v="Discount Not Allowed"/>
    <s v="13/10/23"/>
  </r>
  <r>
    <s v="TXN_9588085"/>
    <s v="CUST_08"/>
    <x v="1"/>
    <x v="105"/>
    <x v="13"/>
    <x v="9"/>
    <n v="21.5"/>
    <x v="0"/>
    <x v="1"/>
    <x v="858"/>
    <x v="0"/>
    <s v="DISCOUNT NOT ALLOWED"/>
    <s v="discount not allowed"/>
    <s v="DISCOUNT NOT ALLOWED"/>
    <s v="Discount Not Allowed"/>
    <s v="23/06/24"/>
  </r>
  <r>
    <s v="TXN_9763916"/>
    <s v="CUST_22"/>
    <x v="5"/>
    <x v="102"/>
    <x v="13"/>
    <x v="9"/>
    <n v="21.5"/>
    <x v="1"/>
    <x v="0"/>
    <x v="976"/>
    <x v="0"/>
    <s v="DISCOUNT NOT ALLOWED"/>
    <s v="discount not allowed"/>
    <s v="DISCOUNT NOT ALLOWED"/>
    <s v="Discount Not Allowed"/>
    <s v="26/07/24"/>
  </r>
  <r>
    <s v="TXN_9957726"/>
    <s v="CUST_25"/>
    <x v="3"/>
    <x v="103"/>
    <x v="13"/>
    <x v="9"/>
    <n v="21.5"/>
    <x v="0"/>
    <x v="1"/>
    <x v="642"/>
    <x v="0"/>
    <s v="DISCOUNT NOT ALLOWED"/>
    <s v="discount not allowed"/>
    <s v="DISCOUNT NOT ALLOWED"/>
    <s v="Discount Not Allowed"/>
    <s v="22/06/22"/>
  </r>
  <r>
    <s v="TXN_1127219"/>
    <s v="CUST_05"/>
    <x v="5"/>
    <x v="194"/>
    <x v="24"/>
    <x v="6"/>
    <n v="20"/>
    <x v="1"/>
    <x v="0"/>
    <x v="950"/>
    <x v="0"/>
    <s v="DISCOUNT NOT ALLOWED"/>
    <s v="discount not allowed"/>
    <s v="DISCOUNT NOT ALLOWED"/>
    <s v="Discount Not Allowed"/>
    <s v="20/09/22"/>
  </r>
  <r>
    <s v="TXN_1358739"/>
    <s v="CUST_25"/>
    <x v="6"/>
    <x v="196"/>
    <x v="24"/>
    <x v="6"/>
    <n v="20"/>
    <x v="0"/>
    <x v="1"/>
    <x v="650"/>
    <x v="1"/>
    <s v="DISCOUNT ALLOWED"/>
    <s v="discount allowed"/>
    <s v="DISCOUNT ALLOWED"/>
    <s v="Discount Allowed"/>
    <s v="03/01/23"/>
  </r>
  <r>
    <s v="TXN_1585530"/>
    <s v="CUST_11"/>
    <x v="0"/>
    <x v="195"/>
    <x v="24"/>
    <x v="6"/>
    <n v="20"/>
    <x v="2"/>
    <x v="0"/>
    <x v="98"/>
    <x v="1"/>
    <s v="DISCOUNT ALLOWED"/>
    <s v="discount allowed"/>
    <s v="DISCOUNT ALLOWED"/>
    <s v="Discount Allowed"/>
    <s v="04/04/23"/>
  </r>
  <r>
    <s v="TXN_1721597"/>
    <s v="CUST_22"/>
    <x v="6"/>
    <x v="112"/>
    <x v="14"/>
    <x v="9"/>
    <n v="20"/>
    <x v="2"/>
    <x v="0"/>
    <x v="613"/>
    <x v="0"/>
    <s v="DISCOUNT NOT ALLOWED"/>
    <s v="discount not allowed"/>
    <s v="DISCOUNT NOT ALLOWED"/>
    <s v="Discount Not Allowed"/>
    <s v="20/04/23"/>
  </r>
  <r>
    <s v="TXN_2177659"/>
    <s v="CUST_14"/>
    <x v="5"/>
    <x v="111"/>
    <x v="14"/>
    <x v="9"/>
    <n v="20"/>
    <x v="0"/>
    <x v="0"/>
    <x v="721"/>
    <x v="1"/>
    <s v="DISCOUNT ALLOWED"/>
    <s v="discount allowed"/>
    <s v="DISCOUNT ALLOWED"/>
    <s v="Discount Allowed"/>
    <s v="03/07/24"/>
  </r>
  <r>
    <s v="TXN_2226385"/>
    <s v="CUST_20"/>
    <x v="3"/>
    <x v="197"/>
    <x v="24"/>
    <x v="6"/>
    <n v="20"/>
    <x v="2"/>
    <x v="1"/>
    <x v="707"/>
    <x v="1"/>
    <s v="DISCOUNT ALLOWED"/>
    <s v="discount allowed"/>
    <s v="DISCOUNT ALLOWED"/>
    <s v="Discount Allowed"/>
    <s v="08/06/23"/>
  </r>
  <r>
    <s v="TXN_2733243"/>
    <s v="CUST_01"/>
    <x v="6"/>
    <x v="112"/>
    <x v="14"/>
    <x v="9"/>
    <n v="20"/>
    <x v="1"/>
    <x v="0"/>
    <x v="821"/>
    <x v="0"/>
    <s v="DISCOUNT NOT ALLOWED"/>
    <s v="discount not allowed"/>
    <s v="DISCOUNT NOT ALLOWED"/>
    <s v="Discount Not Allowed"/>
    <s v="14/05/22"/>
  </r>
  <r>
    <s v="TXN_2943718"/>
    <s v="CUST_24"/>
    <x v="4"/>
    <x v="109"/>
    <x v="14"/>
    <x v="9"/>
    <n v="20"/>
    <x v="0"/>
    <x v="0"/>
    <x v="474"/>
    <x v="0"/>
    <s v="DISCOUNT NOT ALLOWED"/>
    <s v="discount not allowed"/>
    <s v="DISCOUNT NOT ALLOWED"/>
    <s v="Discount Not Allowed"/>
    <s v="24/02/23"/>
  </r>
  <r>
    <s v="TXN_3073415"/>
    <s v="CUST_24"/>
    <x v="1"/>
    <x v="193"/>
    <x v="24"/>
    <x v="6"/>
    <n v="20"/>
    <x v="1"/>
    <x v="1"/>
    <x v="997"/>
    <x v="0"/>
    <s v="DISCOUNT NOT ALLOWED"/>
    <s v="discount not allowed"/>
    <s v="DISCOUNT NOT ALLOWED"/>
    <s v="Discount Not Allowed"/>
    <s v="31/07/22"/>
  </r>
  <r>
    <s v="TXN_3362535"/>
    <s v="CUST_21"/>
    <x v="2"/>
    <x v="113"/>
    <x v="14"/>
    <x v="9"/>
    <n v="20"/>
    <x v="1"/>
    <x v="0"/>
    <x v="770"/>
    <x v="1"/>
    <s v="DISCOUNT ALLOWED"/>
    <s v="discount allowed"/>
    <s v="DISCOUNT ALLOWED"/>
    <s v="Discount Allowed"/>
    <s v="03/02/24"/>
  </r>
  <r>
    <s v="TXN_3375368"/>
    <s v="CUST_12"/>
    <x v="0"/>
    <x v="115"/>
    <x v="14"/>
    <x v="9"/>
    <n v="20"/>
    <x v="0"/>
    <x v="1"/>
    <x v="272"/>
    <x v="0"/>
    <s v="DISCOUNT NOT ALLOWED"/>
    <s v="discount not allowed"/>
    <s v="DISCOUNT NOT ALLOWED"/>
    <s v="Discount Not Allowed"/>
    <s v="08/04/22"/>
  </r>
  <r>
    <s v="TXN_3388920"/>
    <s v="CUST_04"/>
    <x v="7"/>
    <x v="192"/>
    <x v="24"/>
    <x v="6"/>
    <n v="20"/>
    <x v="0"/>
    <x v="0"/>
    <x v="194"/>
    <x v="0"/>
    <s v="DISCOUNT NOT ALLOWED"/>
    <s v="discount not allowed"/>
    <s v="DISCOUNT NOT ALLOWED"/>
    <s v="Discount Not Allowed"/>
    <s v="25/12/22"/>
  </r>
  <r>
    <s v="TXN_3410016"/>
    <s v="CUST_16"/>
    <x v="4"/>
    <x v="198"/>
    <x v="24"/>
    <x v="6"/>
    <n v="20"/>
    <x v="0"/>
    <x v="0"/>
    <x v="716"/>
    <x v="1"/>
    <s v="DISCOUNT ALLOWED"/>
    <s v="discount allowed"/>
    <s v="DISCOUNT ALLOWED"/>
    <s v="Discount Allowed"/>
    <s v="19/05/22"/>
  </r>
  <r>
    <s v="TXN_3513596"/>
    <s v="CUST_08"/>
    <x v="6"/>
    <x v="112"/>
    <x v="14"/>
    <x v="9"/>
    <n v="20"/>
    <x v="2"/>
    <x v="0"/>
    <x v="368"/>
    <x v="0"/>
    <s v="DISCOUNT NOT ALLOWED"/>
    <s v="discount not allowed"/>
    <s v="DISCOUNT NOT ALLOWED"/>
    <s v="Discount Not Allowed"/>
    <s v="12/06/22"/>
  </r>
  <r>
    <s v="TXN_3867722"/>
    <s v="CUST_06"/>
    <x v="2"/>
    <x v="113"/>
    <x v="14"/>
    <x v="9"/>
    <n v="20"/>
    <x v="2"/>
    <x v="1"/>
    <x v="473"/>
    <x v="1"/>
    <s v="DISCOUNT ALLOWED"/>
    <s v="discount allowed"/>
    <s v="DISCOUNT ALLOWED"/>
    <s v="Discount Allowed"/>
    <s v="02/12/24"/>
  </r>
  <r>
    <s v="TXN_4044183"/>
    <s v="CUST_03"/>
    <x v="1"/>
    <x v="193"/>
    <x v="24"/>
    <x v="6"/>
    <n v="20"/>
    <x v="0"/>
    <x v="1"/>
    <x v="145"/>
    <x v="0"/>
    <s v="DISCOUNT NOT ALLOWED"/>
    <s v="discount not allowed"/>
    <s v="DISCOUNT NOT ALLOWED"/>
    <s v="Discount Not Allowed"/>
    <s v="31/07/23"/>
  </r>
  <r>
    <s v="TXN_4142429"/>
    <s v="CUST_20"/>
    <x v="2"/>
    <x v="113"/>
    <x v="14"/>
    <x v="9"/>
    <n v="20"/>
    <x v="0"/>
    <x v="0"/>
    <x v="681"/>
    <x v="1"/>
    <s v="DISCOUNT ALLOWED"/>
    <s v="discount allowed"/>
    <s v="DISCOUNT ALLOWED"/>
    <s v="Discount Allowed"/>
    <s v="14/12/22"/>
  </r>
  <r>
    <s v="TXN_4222067"/>
    <s v="CUST_13"/>
    <x v="0"/>
    <x v="115"/>
    <x v="14"/>
    <x v="9"/>
    <n v="20"/>
    <x v="0"/>
    <x v="0"/>
    <x v="617"/>
    <x v="0"/>
    <s v="DISCOUNT NOT ALLOWED"/>
    <s v="discount not allowed"/>
    <s v="DISCOUNT NOT ALLOWED"/>
    <s v="Discount Not Allowed"/>
    <s v="28/11/24"/>
  </r>
  <r>
    <s v="TXN_4257383"/>
    <s v="CUST_10"/>
    <x v="5"/>
    <x v="194"/>
    <x v="24"/>
    <x v="6"/>
    <n v="20"/>
    <x v="0"/>
    <x v="0"/>
    <x v="345"/>
    <x v="1"/>
    <s v="DISCOUNT ALLOWED"/>
    <s v="discount allowed"/>
    <s v="DISCOUNT ALLOWED"/>
    <s v="Discount Allowed"/>
    <s v="12/05/24"/>
  </r>
  <r>
    <s v="TXN_4347202"/>
    <s v="CUST_16"/>
    <x v="0"/>
    <x v="115"/>
    <x v="14"/>
    <x v="9"/>
    <n v="20"/>
    <x v="2"/>
    <x v="0"/>
    <x v="31"/>
    <x v="1"/>
    <s v="DISCOUNT ALLOWED"/>
    <s v="discount allowed"/>
    <s v="DISCOUNT ALLOWED"/>
    <s v="Discount Allowed"/>
    <s v="05/07/22"/>
  </r>
  <r>
    <s v="TXN_4407953"/>
    <s v="CUST_11"/>
    <x v="1"/>
    <x v="193"/>
    <x v="24"/>
    <x v="6"/>
    <n v="20"/>
    <x v="0"/>
    <x v="0"/>
    <x v="151"/>
    <x v="1"/>
    <s v="DISCOUNT ALLOWED"/>
    <s v="discount allowed"/>
    <s v="DISCOUNT ALLOWED"/>
    <s v="Discount Allowed"/>
    <s v="17/06/24"/>
  </r>
  <r>
    <s v="TXN_4471644"/>
    <s v="CUST_25"/>
    <x v="3"/>
    <x v="126"/>
    <x v="14"/>
    <x v="9"/>
    <n v="20"/>
    <x v="0"/>
    <x v="1"/>
    <x v="132"/>
    <x v="1"/>
    <s v="DISCOUNT ALLOWED"/>
    <s v="discount allowed"/>
    <s v="DISCOUNT ALLOWED"/>
    <s v="Discount Allowed"/>
    <s v="12/09/23"/>
  </r>
  <r>
    <s v="TXN_4545143"/>
    <s v="CUST_19"/>
    <x v="3"/>
    <x v="197"/>
    <x v="24"/>
    <x v="6"/>
    <n v="20"/>
    <x v="0"/>
    <x v="0"/>
    <x v="264"/>
    <x v="1"/>
    <s v="DISCOUNT ALLOWED"/>
    <s v="discount allowed"/>
    <s v="DISCOUNT ALLOWED"/>
    <s v="Discount Allowed"/>
    <s v="15/07/24"/>
  </r>
  <r>
    <s v="TXN_4563856"/>
    <s v="CUST_15"/>
    <x v="2"/>
    <x v="199"/>
    <x v="24"/>
    <x v="6"/>
    <n v="20"/>
    <x v="1"/>
    <x v="1"/>
    <x v="23"/>
    <x v="1"/>
    <s v="DISCOUNT ALLOWED"/>
    <s v="discount allowed"/>
    <s v="DISCOUNT ALLOWED"/>
    <s v="Discount Allowed"/>
    <s v="31/08/24"/>
  </r>
  <r>
    <s v="TXN_4734390"/>
    <s v="CUST_02"/>
    <x v="5"/>
    <x v="111"/>
    <x v="14"/>
    <x v="9"/>
    <n v="20"/>
    <x v="0"/>
    <x v="0"/>
    <x v="861"/>
    <x v="0"/>
    <s v="DISCOUNT NOT ALLOWED"/>
    <s v="discount not allowed"/>
    <s v="DISCOUNT NOT ALLOWED"/>
    <s v="Discount Not Allowed"/>
    <s v="14/08/24"/>
  </r>
  <r>
    <s v="TXN_4769945"/>
    <s v="CUST_25"/>
    <x v="2"/>
    <x v="199"/>
    <x v="24"/>
    <x v="6"/>
    <n v="20"/>
    <x v="2"/>
    <x v="1"/>
    <x v="537"/>
    <x v="0"/>
    <s v="DISCOUNT NOT ALLOWED"/>
    <s v="discount not allowed"/>
    <s v="DISCOUNT NOT ALLOWED"/>
    <s v="Discount Not Allowed"/>
    <s v="27/09/22"/>
  </r>
  <r>
    <s v="TXN_4880074"/>
    <s v="CUST_05"/>
    <x v="2"/>
    <x v="113"/>
    <x v="14"/>
    <x v="9"/>
    <n v="20"/>
    <x v="2"/>
    <x v="0"/>
    <x v="173"/>
    <x v="1"/>
    <s v="DISCOUNT ALLOWED"/>
    <s v="discount allowed"/>
    <s v="DISCOUNT ALLOWED"/>
    <s v="Discount Allowed"/>
    <s v="17/11/23"/>
  </r>
  <r>
    <s v="TXN_4942365"/>
    <s v="CUST_13"/>
    <x v="2"/>
    <x v="113"/>
    <x v="14"/>
    <x v="9"/>
    <n v="20"/>
    <x v="0"/>
    <x v="0"/>
    <x v="830"/>
    <x v="1"/>
    <s v="DISCOUNT ALLOWED"/>
    <s v="discount allowed"/>
    <s v="DISCOUNT ALLOWED"/>
    <s v="Discount Allowed"/>
    <s v="29/12/23"/>
  </r>
  <r>
    <s v="TXN_5152448"/>
    <s v="CUST_11"/>
    <x v="3"/>
    <x v="197"/>
    <x v="24"/>
    <x v="6"/>
    <n v="20"/>
    <x v="2"/>
    <x v="1"/>
    <x v="448"/>
    <x v="1"/>
    <s v="DISCOUNT ALLOWED"/>
    <s v="discount allowed"/>
    <s v="DISCOUNT ALLOWED"/>
    <s v="Discount Allowed"/>
    <s v="13/11/23"/>
  </r>
  <r>
    <s v="TXN_5200496"/>
    <s v="CUST_15"/>
    <x v="6"/>
    <x v="112"/>
    <x v="14"/>
    <x v="9"/>
    <n v="20"/>
    <x v="0"/>
    <x v="1"/>
    <x v="733"/>
    <x v="0"/>
    <s v="DISCOUNT NOT ALLOWED"/>
    <s v="discount not allowed"/>
    <s v="DISCOUNT NOT ALLOWED"/>
    <s v="Discount Not Allowed"/>
    <s v="16/05/22"/>
  </r>
  <r>
    <s v="TXN_5296489"/>
    <s v="CUST_09"/>
    <x v="0"/>
    <x v="195"/>
    <x v="24"/>
    <x v="6"/>
    <n v="20"/>
    <x v="2"/>
    <x v="0"/>
    <x v="729"/>
    <x v="1"/>
    <s v="DISCOUNT ALLOWED"/>
    <s v="discount allowed"/>
    <s v="DISCOUNT ALLOWED"/>
    <s v="Discount Allowed"/>
    <s v="07/12/24"/>
  </r>
  <r>
    <s v="TXN_5711730"/>
    <s v="CUST_05"/>
    <x v="5"/>
    <x v="111"/>
    <x v="14"/>
    <x v="9"/>
    <n v="20"/>
    <x v="0"/>
    <x v="1"/>
    <x v="172"/>
    <x v="1"/>
    <s v="DISCOUNT ALLOWED"/>
    <s v="discount allowed"/>
    <s v="DISCOUNT ALLOWED"/>
    <s v="Discount Allowed"/>
    <s v="25/09/23"/>
  </r>
  <r>
    <s v="TXN_5806136"/>
    <s v="CUST_14"/>
    <x v="7"/>
    <x v="192"/>
    <x v="24"/>
    <x v="6"/>
    <n v="20"/>
    <x v="1"/>
    <x v="0"/>
    <x v="448"/>
    <x v="1"/>
    <s v="DISCOUNT ALLOWED"/>
    <s v="discount allowed"/>
    <s v="DISCOUNT ALLOWED"/>
    <s v="Discount Allowed"/>
    <s v="13/11/23"/>
  </r>
  <r>
    <s v="TXN_5866486"/>
    <s v="CUST_16"/>
    <x v="7"/>
    <x v="192"/>
    <x v="24"/>
    <x v="6"/>
    <n v="20"/>
    <x v="2"/>
    <x v="1"/>
    <x v="1091"/>
    <x v="1"/>
    <s v="DISCOUNT ALLOWED"/>
    <s v="discount allowed"/>
    <s v="DISCOUNT ALLOWED"/>
    <s v="Discount Allowed"/>
    <s v="06/01/22"/>
  </r>
  <r>
    <s v="TXN_5899902"/>
    <s v="CUST_17"/>
    <x v="0"/>
    <x v="195"/>
    <x v="24"/>
    <x v="6"/>
    <n v="20"/>
    <x v="2"/>
    <x v="0"/>
    <x v="96"/>
    <x v="1"/>
    <s v="DISCOUNT ALLOWED"/>
    <s v="discount allowed"/>
    <s v="DISCOUNT ALLOWED"/>
    <s v="Discount Allowed"/>
    <s v="11/04/23"/>
  </r>
  <r>
    <s v="TXN_5926927"/>
    <s v="CUST_24"/>
    <x v="7"/>
    <x v="110"/>
    <x v="14"/>
    <x v="9"/>
    <n v="20"/>
    <x v="2"/>
    <x v="0"/>
    <x v="570"/>
    <x v="0"/>
    <s v="DISCOUNT NOT ALLOWED"/>
    <s v="discount not allowed"/>
    <s v="DISCOUNT NOT ALLOWED"/>
    <s v="Discount Not Allowed"/>
    <s v="03/01/25"/>
  </r>
  <r>
    <s v="TXN_5965598"/>
    <s v="CUST_24"/>
    <x v="0"/>
    <x v="115"/>
    <x v="14"/>
    <x v="9"/>
    <n v="20"/>
    <x v="0"/>
    <x v="0"/>
    <x v="393"/>
    <x v="0"/>
    <s v="DISCOUNT NOT ALLOWED"/>
    <s v="discount not allowed"/>
    <s v="DISCOUNT NOT ALLOWED"/>
    <s v="Discount Not Allowed"/>
    <s v="18/10/22"/>
  </r>
  <r>
    <s v="TXN_6008086"/>
    <s v="CUST_10"/>
    <x v="7"/>
    <x v="110"/>
    <x v="14"/>
    <x v="9"/>
    <n v="20"/>
    <x v="1"/>
    <x v="1"/>
    <x v="445"/>
    <x v="1"/>
    <s v="DISCOUNT ALLOWED"/>
    <s v="discount allowed"/>
    <s v="DISCOUNT ALLOWED"/>
    <s v="Discount Allowed"/>
    <s v="02/10/23"/>
  </r>
  <r>
    <s v="TXN_6017693"/>
    <s v="CUST_14"/>
    <x v="1"/>
    <x v="114"/>
    <x v="14"/>
    <x v="9"/>
    <n v="20"/>
    <x v="0"/>
    <x v="0"/>
    <x v="17"/>
    <x v="1"/>
    <s v="DISCOUNT ALLOWED"/>
    <s v="discount allowed"/>
    <s v="DISCOUNT ALLOWED"/>
    <s v="Discount Allowed"/>
    <s v="24/02/22"/>
  </r>
  <r>
    <s v="TXN_6053836"/>
    <s v="CUST_11"/>
    <x v="2"/>
    <x v="113"/>
    <x v="14"/>
    <x v="9"/>
    <n v="20"/>
    <x v="1"/>
    <x v="1"/>
    <x v="399"/>
    <x v="1"/>
    <s v="DISCOUNT ALLOWED"/>
    <s v="discount allowed"/>
    <s v="DISCOUNT ALLOWED"/>
    <s v="Discount Allowed"/>
    <s v="12/12/23"/>
  </r>
  <r>
    <s v="TXN_6243391"/>
    <s v="CUST_19"/>
    <x v="2"/>
    <x v="113"/>
    <x v="14"/>
    <x v="9"/>
    <n v="20"/>
    <x v="1"/>
    <x v="0"/>
    <x v="78"/>
    <x v="1"/>
    <s v="DISCOUNT ALLOWED"/>
    <s v="discount allowed"/>
    <s v="DISCOUNT ALLOWED"/>
    <s v="Discount Allowed"/>
    <s v="04/07/24"/>
  </r>
  <r>
    <s v="TXN_6287862"/>
    <s v="CUST_15"/>
    <x v="4"/>
    <x v="109"/>
    <x v="14"/>
    <x v="9"/>
    <n v="20"/>
    <x v="2"/>
    <x v="1"/>
    <x v="568"/>
    <x v="1"/>
    <s v="DISCOUNT ALLOWED"/>
    <s v="discount allowed"/>
    <s v="DISCOUNT ALLOWED"/>
    <s v="Discount Allowed"/>
    <s v="07/09/24"/>
  </r>
  <r>
    <s v="TXN_6298574"/>
    <s v="CUST_01"/>
    <x v="0"/>
    <x v="195"/>
    <x v="24"/>
    <x v="6"/>
    <n v="20"/>
    <x v="1"/>
    <x v="0"/>
    <x v="1075"/>
    <x v="0"/>
    <s v="DISCOUNT NOT ALLOWED"/>
    <s v="discount not allowed"/>
    <s v="DISCOUNT NOT ALLOWED"/>
    <s v="Discount Not Allowed"/>
    <s v="09/05/23"/>
  </r>
  <r>
    <s v="TXN_6400472"/>
    <s v="CUST_24"/>
    <x v="6"/>
    <x v="196"/>
    <x v="24"/>
    <x v="6"/>
    <n v="20"/>
    <x v="1"/>
    <x v="1"/>
    <x v="223"/>
    <x v="0"/>
    <s v="DISCOUNT NOT ALLOWED"/>
    <s v="discount not allowed"/>
    <s v="DISCOUNT NOT ALLOWED"/>
    <s v="Discount Not Allowed"/>
    <s v="29/12/24"/>
  </r>
  <r>
    <s v="TXN_6531036"/>
    <s v="CUST_17"/>
    <x v="0"/>
    <x v="195"/>
    <x v="24"/>
    <x v="6"/>
    <n v="20"/>
    <x v="1"/>
    <x v="0"/>
    <x v="1038"/>
    <x v="0"/>
    <s v="DISCOUNT NOT ALLOWED"/>
    <s v="discount not allowed"/>
    <s v="DISCOUNT NOT ALLOWED"/>
    <s v="Discount Not Allowed"/>
    <s v="07/07/23"/>
  </r>
  <r>
    <s v="TXN_6612014"/>
    <s v="CUST_22"/>
    <x v="2"/>
    <x v="199"/>
    <x v="24"/>
    <x v="6"/>
    <n v="20"/>
    <x v="2"/>
    <x v="0"/>
    <x v="68"/>
    <x v="0"/>
    <s v="DISCOUNT NOT ALLOWED"/>
    <s v="discount not allowed"/>
    <s v="DISCOUNT NOT ALLOWED"/>
    <s v="Discount Not Allowed"/>
    <s v="05/11/23"/>
  </r>
  <r>
    <s v="TXN_6878442"/>
    <s v="CUST_12"/>
    <x v="2"/>
    <x v="199"/>
    <x v="24"/>
    <x v="6"/>
    <n v="20"/>
    <x v="2"/>
    <x v="1"/>
    <x v="7"/>
    <x v="1"/>
    <s v="DISCOUNT ALLOWED"/>
    <s v="discount allowed"/>
    <s v="DISCOUNT ALLOWED"/>
    <s v="Discount Allowed"/>
    <s v="23/02/22"/>
  </r>
  <r>
    <s v="TXN_6924343"/>
    <s v="CUST_11"/>
    <x v="1"/>
    <x v="193"/>
    <x v="24"/>
    <x v="6"/>
    <n v="20"/>
    <x v="1"/>
    <x v="0"/>
    <x v="460"/>
    <x v="1"/>
    <s v="DISCOUNT ALLOWED"/>
    <s v="discount allowed"/>
    <s v="DISCOUNT ALLOWED"/>
    <s v="Discount Allowed"/>
    <s v="11/03/23"/>
  </r>
  <r>
    <s v="TXN_6959909"/>
    <s v="CUST_18"/>
    <x v="1"/>
    <x v="114"/>
    <x v="14"/>
    <x v="9"/>
    <n v="20"/>
    <x v="0"/>
    <x v="0"/>
    <x v="229"/>
    <x v="0"/>
    <s v="DISCOUNT NOT ALLOWED"/>
    <s v="discount not allowed"/>
    <s v="DISCOUNT NOT ALLOWED"/>
    <s v="Discount Not Allowed"/>
    <s v="16/03/24"/>
  </r>
  <r>
    <s v="TXN_7072572"/>
    <s v="CUST_13"/>
    <x v="0"/>
    <x v="115"/>
    <x v="14"/>
    <x v="9"/>
    <n v="20"/>
    <x v="1"/>
    <x v="1"/>
    <x v="464"/>
    <x v="1"/>
    <s v="DISCOUNT ALLOWED"/>
    <s v="discount allowed"/>
    <s v="DISCOUNT ALLOWED"/>
    <s v="Discount Allowed"/>
    <s v="13/01/22"/>
  </r>
  <r>
    <s v="TXN_7177847"/>
    <s v="CUST_07"/>
    <x v="7"/>
    <x v="192"/>
    <x v="24"/>
    <x v="6"/>
    <n v="20"/>
    <x v="1"/>
    <x v="1"/>
    <x v="684"/>
    <x v="1"/>
    <s v="DISCOUNT ALLOWED"/>
    <s v="discount allowed"/>
    <s v="DISCOUNT ALLOWED"/>
    <s v="Discount Allowed"/>
    <s v="13/03/24"/>
  </r>
  <r>
    <s v="TXN_7534544"/>
    <s v="CUST_03"/>
    <x v="3"/>
    <x v="126"/>
    <x v="14"/>
    <x v="9"/>
    <n v="20"/>
    <x v="0"/>
    <x v="0"/>
    <x v="697"/>
    <x v="0"/>
    <s v="DISCOUNT NOT ALLOWED"/>
    <s v="discount not allowed"/>
    <s v="DISCOUNT NOT ALLOWED"/>
    <s v="Discount Not Allowed"/>
    <s v="14/08/22"/>
  </r>
  <r>
    <s v="TXN_7565362"/>
    <s v="CUST_18"/>
    <x v="6"/>
    <x v="112"/>
    <x v="14"/>
    <x v="9"/>
    <n v="20"/>
    <x v="2"/>
    <x v="1"/>
    <x v="889"/>
    <x v="0"/>
    <s v="DISCOUNT NOT ALLOWED"/>
    <s v="discount not allowed"/>
    <s v="DISCOUNT NOT ALLOWED"/>
    <s v="Discount Not Allowed"/>
    <s v="10/10/24"/>
  </r>
  <r>
    <s v="TXN_7757078"/>
    <s v="CUST_22"/>
    <x v="4"/>
    <x v="109"/>
    <x v="14"/>
    <x v="9"/>
    <n v="20"/>
    <x v="0"/>
    <x v="0"/>
    <x v="239"/>
    <x v="0"/>
    <s v="DISCOUNT NOT ALLOWED"/>
    <s v="discount not allowed"/>
    <s v="DISCOUNT NOT ALLOWED"/>
    <s v="Discount Not Allowed"/>
    <s v="21/02/23"/>
  </r>
  <r>
    <s v="TXN_8031867"/>
    <s v="CUST_10"/>
    <x v="0"/>
    <x v="115"/>
    <x v="14"/>
    <x v="9"/>
    <n v="20"/>
    <x v="0"/>
    <x v="1"/>
    <x v="588"/>
    <x v="1"/>
    <s v="DISCOUNT ALLOWED"/>
    <s v="discount allowed"/>
    <s v="DISCOUNT ALLOWED"/>
    <s v="Discount Allowed"/>
    <s v="10/01/22"/>
  </r>
  <r>
    <s v="TXN_8061783"/>
    <s v="CUST_18"/>
    <x v="3"/>
    <x v="126"/>
    <x v="14"/>
    <x v="9"/>
    <n v="20"/>
    <x v="2"/>
    <x v="1"/>
    <x v="113"/>
    <x v="1"/>
    <s v="DISCOUNT ALLOWED"/>
    <s v="discount allowed"/>
    <s v="DISCOUNT ALLOWED"/>
    <s v="Discount Allowed"/>
    <s v="18/07/22"/>
  </r>
  <r>
    <s v="TXN_8243756"/>
    <s v="CUST_15"/>
    <x v="6"/>
    <x v="112"/>
    <x v="14"/>
    <x v="9"/>
    <n v="20"/>
    <x v="2"/>
    <x v="0"/>
    <x v="209"/>
    <x v="1"/>
    <s v="DISCOUNT ALLOWED"/>
    <s v="discount allowed"/>
    <s v="DISCOUNT ALLOWED"/>
    <s v="Discount Allowed"/>
    <s v="01/07/23"/>
  </r>
  <r>
    <s v="TXN_8310704"/>
    <s v="CUST_18"/>
    <x v="4"/>
    <x v="198"/>
    <x v="24"/>
    <x v="6"/>
    <n v="20"/>
    <x v="0"/>
    <x v="0"/>
    <x v="914"/>
    <x v="1"/>
    <s v="DISCOUNT ALLOWED"/>
    <s v="discount allowed"/>
    <s v="DISCOUNT ALLOWED"/>
    <s v="Discount Allowed"/>
    <s v="16/12/23"/>
  </r>
  <r>
    <s v="TXN_8644182"/>
    <s v="CUST_09"/>
    <x v="5"/>
    <x v="111"/>
    <x v="14"/>
    <x v="9"/>
    <n v="20"/>
    <x v="2"/>
    <x v="0"/>
    <x v="633"/>
    <x v="1"/>
    <s v="DISCOUNT ALLOWED"/>
    <s v="discount allowed"/>
    <s v="DISCOUNT ALLOWED"/>
    <s v="Discount Allowed"/>
    <s v="03/08/24"/>
  </r>
  <r>
    <s v="TXN_8974501"/>
    <s v="CUST_24"/>
    <x v="0"/>
    <x v="115"/>
    <x v="14"/>
    <x v="9"/>
    <n v="20"/>
    <x v="1"/>
    <x v="0"/>
    <x v="322"/>
    <x v="0"/>
    <s v="DISCOUNT NOT ALLOWED"/>
    <s v="discount not allowed"/>
    <s v="DISCOUNT NOT ALLOWED"/>
    <s v="Discount Not Allowed"/>
    <s v="22/06/23"/>
  </r>
  <r>
    <s v="TXN_9093222"/>
    <s v="CUST_02"/>
    <x v="3"/>
    <x v="126"/>
    <x v="14"/>
    <x v="9"/>
    <n v="20"/>
    <x v="2"/>
    <x v="0"/>
    <x v="928"/>
    <x v="1"/>
    <s v="DISCOUNT ALLOWED"/>
    <s v="discount allowed"/>
    <s v="DISCOUNT ALLOWED"/>
    <s v="Discount Allowed"/>
    <s v="11/03/22"/>
  </r>
  <r>
    <s v="TXN_9280381"/>
    <s v="CUST_04"/>
    <x v="0"/>
    <x v="115"/>
    <x v="14"/>
    <x v="9"/>
    <n v="20"/>
    <x v="0"/>
    <x v="0"/>
    <x v="503"/>
    <x v="1"/>
    <s v="DISCOUNT ALLOWED"/>
    <s v="discount allowed"/>
    <s v="DISCOUNT ALLOWED"/>
    <s v="Discount Allowed"/>
    <s v="16/08/22"/>
  </r>
  <r>
    <s v="TXN_9290887"/>
    <s v="CUST_21"/>
    <x v="0"/>
    <x v="115"/>
    <x v="14"/>
    <x v="9"/>
    <n v="20"/>
    <x v="0"/>
    <x v="1"/>
    <x v="1068"/>
    <x v="0"/>
    <s v="DISCOUNT NOT ALLOWED"/>
    <s v="discount not allowed"/>
    <s v="DISCOUNT NOT ALLOWED"/>
    <s v="Discount Not Allowed"/>
    <s v="13/04/23"/>
  </r>
  <r>
    <s v="TXN_9362268"/>
    <s v="CUST_20"/>
    <x v="6"/>
    <x v="112"/>
    <x v="14"/>
    <x v="9"/>
    <n v="20"/>
    <x v="2"/>
    <x v="1"/>
    <x v="856"/>
    <x v="1"/>
    <s v="DISCOUNT ALLOWED"/>
    <s v="discount allowed"/>
    <s v="DISCOUNT ALLOWED"/>
    <s v="Discount Allowed"/>
    <s v="23/12/22"/>
  </r>
  <r>
    <s v="TXN_9416079"/>
    <s v="CUST_24"/>
    <x v="7"/>
    <x v="192"/>
    <x v="24"/>
    <x v="6"/>
    <n v="20"/>
    <x v="1"/>
    <x v="0"/>
    <x v="340"/>
    <x v="0"/>
    <s v="DISCOUNT NOT ALLOWED"/>
    <s v="discount not allowed"/>
    <s v="DISCOUNT NOT ALLOWED"/>
    <s v="Discount Not Allowed"/>
    <s v="05/03/22"/>
  </r>
  <r>
    <s v="TXN_9736021"/>
    <s v="CUST_20"/>
    <x v="2"/>
    <x v="113"/>
    <x v="14"/>
    <x v="9"/>
    <n v="20"/>
    <x v="0"/>
    <x v="1"/>
    <x v="406"/>
    <x v="1"/>
    <s v="DISCOUNT ALLOWED"/>
    <s v="discount allowed"/>
    <s v="DISCOUNT ALLOWED"/>
    <s v="Discount Allowed"/>
    <s v="27/12/23"/>
  </r>
  <r>
    <s v="TXN_9807056"/>
    <s v="CUST_19"/>
    <x v="0"/>
    <x v="195"/>
    <x v="24"/>
    <x v="6"/>
    <n v="20"/>
    <x v="0"/>
    <x v="1"/>
    <x v="289"/>
    <x v="0"/>
    <s v="DISCOUNT NOT ALLOWED"/>
    <s v="discount not allowed"/>
    <s v="DISCOUNT NOT ALLOWED"/>
    <s v="Discount Not Allowed"/>
    <s v="04/03/22"/>
  </r>
  <r>
    <s v="TXN_1164425"/>
    <s v="CUST_05"/>
    <x v="1"/>
    <x v="184"/>
    <x v="23"/>
    <x v="7"/>
    <n v="19.5"/>
    <x v="2"/>
    <x v="1"/>
    <x v="172"/>
    <x v="1"/>
    <s v="DISCOUNT ALLOWED"/>
    <s v="discount allowed"/>
    <s v="DISCOUNT ALLOWED"/>
    <s v="Discount Allowed"/>
    <s v="25/09/23"/>
  </r>
  <r>
    <s v="TXN_1199362"/>
    <s v="CUST_23"/>
    <x v="1"/>
    <x v="184"/>
    <x v="23"/>
    <x v="7"/>
    <n v="19.5"/>
    <x v="2"/>
    <x v="1"/>
    <x v="452"/>
    <x v="0"/>
    <s v="DISCOUNT NOT ALLOWED"/>
    <s v="discount not allowed"/>
    <s v="DISCOUNT NOT ALLOWED"/>
    <s v="Discount Not Allowed"/>
    <s v="26/09/22"/>
  </r>
  <r>
    <s v="TXN_1232531"/>
    <s v="CUST_12"/>
    <x v="1"/>
    <x v="184"/>
    <x v="23"/>
    <x v="7"/>
    <n v="19.5"/>
    <x v="1"/>
    <x v="0"/>
    <x v="934"/>
    <x v="1"/>
    <s v="DISCOUNT ALLOWED"/>
    <s v="discount allowed"/>
    <s v="DISCOUNT ALLOWED"/>
    <s v="Discount Allowed"/>
    <s v="27/05/24"/>
  </r>
  <r>
    <s v="TXN_1315418"/>
    <s v="CUST_16"/>
    <x v="1"/>
    <x v="184"/>
    <x v="23"/>
    <x v="7"/>
    <n v="19.5"/>
    <x v="1"/>
    <x v="1"/>
    <x v="10"/>
    <x v="0"/>
    <s v="DISCOUNT NOT ALLOWED"/>
    <s v="discount not allowed"/>
    <s v="DISCOUNT NOT ALLOWED"/>
    <s v="Discount Not Allowed"/>
    <s v="29/08/22"/>
  </r>
  <r>
    <s v="TXN_1362426"/>
    <s v="CUST_20"/>
    <x v="1"/>
    <x v="184"/>
    <x v="23"/>
    <x v="7"/>
    <n v="19.5"/>
    <x v="2"/>
    <x v="0"/>
    <x v="824"/>
    <x v="1"/>
    <s v="DISCOUNT ALLOWED"/>
    <s v="discount allowed"/>
    <s v="DISCOUNT ALLOWED"/>
    <s v="Discount Allowed"/>
    <s v="14/07/24"/>
  </r>
  <r>
    <s v="TXN_1661404"/>
    <s v="CUST_09"/>
    <x v="6"/>
    <x v="188"/>
    <x v="23"/>
    <x v="7"/>
    <n v="19.5"/>
    <x v="2"/>
    <x v="0"/>
    <x v="671"/>
    <x v="1"/>
    <s v="DISCOUNT ALLOWED"/>
    <s v="discount allowed"/>
    <s v="DISCOUNT ALLOWED"/>
    <s v="Discount Allowed"/>
    <s v="09/08/24"/>
  </r>
  <r>
    <s v="TXN_1751349"/>
    <s v="CUST_22"/>
    <x v="2"/>
    <x v="187"/>
    <x v="23"/>
    <x v="7"/>
    <n v="19.5"/>
    <x v="2"/>
    <x v="0"/>
    <x v="1017"/>
    <x v="1"/>
    <s v="DISCOUNT ALLOWED"/>
    <s v="discount allowed"/>
    <s v="DISCOUNT ALLOWED"/>
    <s v="Discount Allowed"/>
    <s v="26/02/24"/>
  </r>
  <r>
    <s v="TXN_1873507"/>
    <s v="CUST_24"/>
    <x v="1"/>
    <x v="184"/>
    <x v="23"/>
    <x v="7"/>
    <n v="19.5"/>
    <x v="0"/>
    <x v="0"/>
    <x v="512"/>
    <x v="0"/>
    <s v="DISCOUNT NOT ALLOWED"/>
    <s v="discount not allowed"/>
    <s v="DISCOUNT NOT ALLOWED"/>
    <s v="Discount Not Allowed"/>
    <s v="24/06/22"/>
  </r>
  <r>
    <s v="TXN_2071777"/>
    <s v="CUST_08"/>
    <x v="1"/>
    <x v="184"/>
    <x v="23"/>
    <x v="7"/>
    <n v="19.5"/>
    <x v="1"/>
    <x v="1"/>
    <x v="178"/>
    <x v="0"/>
    <s v="DISCOUNT NOT ALLOWED"/>
    <s v="discount not allowed"/>
    <s v="DISCOUNT NOT ALLOWED"/>
    <s v="Discount Not Allowed"/>
    <s v="21/10/24"/>
  </r>
  <r>
    <s v="TXN_2209765"/>
    <s v="CUST_21"/>
    <x v="6"/>
    <x v="188"/>
    <x v="23"/>
    <x v="7"/>
    <n v="19.5"/>
    <x v="1"/>
    <x v="0"/>
    <x v="987"/>
    <x v="1"/>
    <s v="DISCOUNT ALLOWED"/>
    <s v="discount allowed"/>
    <s v="DISCOUNT ALLOWED"/>
    <s v="Discount Allowed"/>
    <s v="06/07/22"/>
  </r>
  <r>
    <s v="TXN_2796296"/>
    <s v="CUST_23"/>
    <x v="2"/>
    <x v="187"/>
    <x v="23"/>
    <x v="7"/>
    <n v="19.5"/>
    <x v="0"/>
    <x v="0"/>
    <x v="953"/>
    <x v="1"/>
    <s v="DISCOUNT ALLOWED"/>
    <s v="discount allowed"/>
    <s v="DISCOUNT ALLOWED"/>
    <s v="Discount Allowed"/>
    <s v="25/01/23"/>
  </r>
  <r>
    <s v="TXN_2912976"/>
    <s v="CUST_07"/>
    <x v="1"/>
    <x v="184"/>
    <x v="23"/>
    <x v="7"/>
    <n v="19.5"/>
    <x v="2"/>
    <x v="1"/>
    <x v="1034"/>
    <x v="1"/>
    <s v="DISCOUNT ALLOWED"/>
    <s v="discount allowed"/>
    <s v="DISCOUNT ALLOWED"/>
    <s v="Discount Allowed"/>
    <s v="05/04/24"/>
  </r>
  <r>
    <s v="TXN_2996741"/>
    <s v="CUST_16"/>
    <x v="1"/>
    <x v="184"/>
    <x v="23"/>
    <x v="7"/>
    <n v="19.5"/>
    <x v="2"/>
    <x v="1"/>
    <x v="520"/>
    <x v="0"/>
    <s v="DISCOUNT NOT ALLOWED"/>
    <s v="discount not allowed"/>
    <s v="DISCOUNT NOT ALLOWED"/>
    <s v="Discount Not Allowed"/>
    <s v="08/08/22"/>
  </r>
  <r>
    <s v="TXN_3030324"/>
    <s v="CUST_04"/>
    <x v="7"/>
    <x v="191"/>
    <x v="23"/>
    <x v="7"/>
    <n v="19.5"/>
    <x v="1"/>
    <x v="1"/>
    <x v="128"/>
    <x v="1"/>
    <s v="DISCOUNT ALLOWED"/>
    <s v="discount allowed"/>
    <s v="DISCOUNT ALLOWED"/>
    <s v="Discount Allowed"/>
    <s v="18/08/24"/>
  </r>
  <r>
    <s v="TXN_3044686"/>
    <s v="CUST_07"/>
    <x v="5"/>
    <x v="190"/>
    <x v="23"/>
    <x v="7"/>
    <n v="19.5"/>
    <x v="0"/>
    <x v="1"/>
    <x v="1104"/>
    <x v="1"/>
    <s v="DISCOUNT ALLOWED"/>
    <s v="discount allowed"/>
    <s v="DISCOUNT ALLOWED"/>
    <s v="Discount Allowed"/>
    <s v="16/09/22"/>
  </r>
  <r>
    <s v="TXN_3074632"/>
    <s v="CUST_12"/>
    <x v="1"/>
    <x v="184"/>
    <x v="23"/>
    <x v="7"/>
    <n v="19.5"/>
    <x v="1"/>
    <x v="1"/>
    <x v="684"/>
    <x v="1"/>
    <s v="DISCOUNT ALLOWED"/>
    <s v="discount allowed"/>
    <s v="DISCOUNT ALLOWED"/>
    <s v="Discount Allowed"/>
    <s v="13/03/24"/>
  </r>
  <r>
    <s v="TXN_3422017"/>
    <s v="CUST_22"/>
    <x v="0"/>
    <x v="186"/>
    <x v="23"/>
    <x v="7"/>
    <n v="19.5"/>
    <x v="1"/>
    <x v="1"/>
    <x v="851"/>
    <x v="1"/>
    <s v="DISCOUNT ALLOWED"/>
    <s v="discount allowed"/>
    <s v="DISCOUNT ALLOWED"/>
    <s v="Discount Allowed"/>
    <s v="28/03/22"/>
  </r>
  <r>
    <s v="TXN_3687567"/>
    <s v="CUST_20"/>
    <x v="5"/>
    <x v="190"/>
    <x v="23"/>
    <x v="7"/>
    <n v="19.5"/>
    <x v="0"/>
    <x v="1"/>
    <x v="954"/>
    <x v="1"/>
    <s v="DISCOUNT ALLOWED"/>
    <s v="discount allowed"/>
    <s v="DISCOUNT ALLOWED"/>
    <s v="Discount Allowed"/>
    <s v="02/04/22"/>
  </r>
  <r>
    <s v="TXN_3932434"/>
    <s v="CUST_15"/>
    <x v="5"/>
    <x v="190"/>
    <x v="23"/>
    <x v="7"/>
    <n v="19.5"/>
    <x v="2"/>
    <x v="0"/>
    <x v="20"/>
    <x v="1"/>
    <s v="DISCOUNT ALLOWED"/>
    <s v="discount allowed"/>
    <s v="DISCOUNT ALLOWED"/>
    <s v="Discount Allowed"/>
    <s v="24/12/24"/>
  </r>
  <r>
    <s v="TXN_4124586"/>
    <s v="CUST_06"/>
    <x v="3"/>
    <x v="189"/>
    <x v="23"/>
    <x v="7"/>
    <n v="19.5"/>
    <x v="2"/>
    <x v="0"/>
    <x v="510"/>
    <x v="1"/>
    <s v="DISCOUNT ALLOWED"/>
    <s v="discount allowed"/>
    <s v="DISCOUNT ALLOWED"/>
    <s v="Discount Allowed"/>
    <s v="14/02/23"/>
  </r>
  <r>
    <s v="TXN_4636584"/>
    <s v="CUST_15"/>
    <x v="5"/>
    <x v="190"/>
    <x v="23"/>
    <x v="7"/>
    <n v="19.5"/>
    <x v="2"/>
    <x v="1"/>
    <x v="709"/>
    <x v="1"/>
    <s v="DISCOUNT ALLOWED"/>
    <s v="discount allowed"/>
    <s v="DISCOUNT ALLOWED"/>
    <s v="Discount Allowed"/>
    <s v="02/01/24"/>
  </r>
  <r>
    <s v="TXN_4751419"/>
    <s v="CUST_10"/>
    <x v="1"/>
    <x v="184"/>
    <x v="23"/>
    <x v="7"/>
    <n v="19.5"/>
    <x v="2"/>
    <x v="1"/>
    <x v="980"/>
    <x v="1"/>
    <s v="DISCOUNT ALLOWED"/>
    <s v="discount allowed"/>
    <s v="DISCOUNT ALLOWED"/>
    <s v="Discount Allowed"/>
    <s v="05/05/23"/>
  </r>
  <r>
    <s v="TXN_4897989"/>
    <s v="CUST_20"/>
    <x v="0"/>
    <x v="186"/>
    <x v="23"/>
    <x v="7"/>
    <n v="19.5"/>
    <x v="0"/>
    <x v="0"/>
    <x v="509"/>
    <x v="0"/>
    <s v="DISCOUNT NOT ALLOWED"/>
    <s v="discount not allowed"/>
    <s v="DISCOUNT NOT ALLOWED"/>
    <s v="Discount Not Allowed"/>
    <s v="14/09/23"/>
  </r>
  <r>
    <s v="TXN_4912510"/>
    <s v="CUST_08"/>
    <x v="3"/>
    <x v="189"/>
    <x v="23"/>
    <x v="7"/>
    <n v="19.5"/>
    <x v="2"/>
    <x v="0"/>
    <x v="121"/>
    <x v="0"/>
    <s v="DISCOUNT NOT ALLOWED"/>
    <s v="discount not allowed"/>
    <s v="DISCOUNT NOT ALLOWED"/>
    <s v="Discount Not Allowed"/>
    <s v="21/08/24"/>
  </r>
  <r>
    <s v="TXN_5078259"/>
    <s v="CUST_22"/>
    <x v="7"/>
    <x v="191"/>
    <x v="23"/>
    <x v="7"/>
    <n v="19.5"/>
    <x v="1"/>
    <x v="1"/>
    <x v="828"/>
    <x v="0"/>
    <s v="DISCOUNT NOT ALLOWED"/>
    <s v="discount not allowed"/>
    <s v="DISCOUNT NOT ALLOWED"/>
    <s v="Discount Not Allowed"/>
    <s v="16/01/23"/>
  </r>
  <r>
    <s v="TXN_5471094"/>
    <s v="CUST_14"/>
    <x v="3"/>
    <x v="189"/>
    <x v="23"/>
    <x v="7"/>
    <n v="19.5"/>
    <x v="0"/>
    <x v="1"/>
    <x v="40"/>
    <x v="0"/>
    <s v="DISCOUNT NOT ALLOWED"/>
    <s v="discount not allowed"/>
    <s v="DISCOUNT NOT ALLOWED"/>
    <s v="Discount Not Allowed"/>
    <s v="24/08/22"/>
  </r>
  <r>
    <s v="TXN_5665870"/>
    <s v="CUST_24"/>
    <x v="1"/>
    <x v="184"/>
    <x v="23"/>
    <x v="7"/>
    <n v="19.5"/>
    <x v="0"/>
    <x v="0"/>
    <x v="43"/>
    <x v="1"/>
    <s v="DISCOUNT ALLOWED"/>
    <s v="discount allowed"/>
    <s v="DISCOUNT ALLOWED"/>
    <s v="Discount Allowed"/>
    <s v="10/06/24"/>
  </r>
  <r>
    <s v="TXN_6195176"/>
    <s v="CUST_08"/>
    <x v="1"/>
    <x v="184"/>
    <x v="23"/>
    <x v="7"/>
    <n v="19.5"/>
    <x v="1"/>
    <x v="1"/>
    <x v="224"/>
    <x v="0"/>
    <s v="DISCOUNT NOT ALLOWED"/>
    <s v="discount not allowed"/>
    <s v="DISCOUNT NOT ALLOWED"/>
    <s v="Discount Not Allowed"/>
    <s v="10/06/23"/>
  </r>
  <r>
    <s v="TXN_6461094"/>
    <s v="CUST_19"/>
    <x v="1"/>
    <x v="184"/>
    <x v="23"/>
    <x v="7"/>
    <n v="19.5"/>
    <x v="1"/>
    <x v="1"/>
    <x v="476"/>
    <x v="1"/>
    <s v="DISCOUNT ALLOWED"/>
    <s v="discount allowed"/>
    <s v="DISCOUNT ALLOWED"/>
    <s v="Discount Allowed"/>
    <s v="04/04/24"/>
  </r>
  <r>
    <s v="TXN_7020339"/>
    <s v="CUST_18"/>
    <x v="1"/>
    <x v="184"/>
    <x v="23"/>
    <x v="7"/>
    <n v="19.5"/>
    <x v="0"/>
    <x v="0"/>
    <x v="1047"/>
    <x v="1"/>
    <s v="DISCOUNT ALLOWED"/>
    <s v="discount allowed"/>
    <s v="DISCOUNT ALLOWED"/>
    <s v="Discount Allowed"/>
    <s v="19/06/24"/>
  </r>
  <r>
    <s v="TXN_7056129"/>
    <s v="CUST_08"/>
    <x v="0"/>
    <x v="186"/>
    <x v="23"/>
    <x v="7"/>
    <n v="19.5"/>
    <x v="1"/>
    <x v="0"/>
    <x v="723"/>
    <x v="0"/>
    <s v="DISCOUNT NOT ALLOWED"/>
    <s v="discount not allowed"/>
    <s v="DISCOUNT NOT ALLOWED"/>
    <s v="Discount Not Allowed"/>
    <s v="05/05/24"/>
  </r>
  <r>
    <s v="TXN_7193311"/>
    <s v="CUST_21"/>
    <x v="0"/>
    <x v="186"/>
    <x v="23"/>
    <x v="7"/>
    <n v="19.5"/>
    <x v="0"/>
    <x v="0"/>
    <x v="731"/>
    <x v="0"/>
    <s v="DISCOUNT NOT ALLOWED"/>
    <s v="discount not allowed"/>
    <s v="DISCOUNT NOT ALLOWED"/>
    <s v="Discount Not Allowed"/>
    <s v="09/07/24"/>
  </r>
  <r>
    <s v="TXN_7467332"/>
    <s v="CUST_15"/>
    <x v="2"/>
    <x v="187"/>
    <x v="23"/>
    <x v="7"/>
    <n v="19.5"/>
    <x v="0"/>
    <x v="0"/>
    <x v="124"/>
    <x v="0"/>
    <s v="DISCOUNT NOT ALLOWED"/>
    <s v="discount not allowed"/>
    <s v="DISCOUNT NOT ALLOWED"/>
    <s v="Discount Not Allowed"/>
    <s v="19/04/22"/>
  </r>
  <r>
    <s v="TXN_7672104"/>
    <s v="CUST_22"/>
    <x v="2"/>
    <x v="187"/>
    <x v="23"/>
    <x v="7"/>
    <n v="19.5"/>
    <x v="0"/>
    <x v="1"/>
    <x v="263"/>
    <x v="0"/>
    <s v="DISCOUNT NOT ALLOWED"/>
    <s v="discount not allowed"/>
    <s v="DISCOUNT NOT ALLOWED"/>
    <s v="Discount Not Allowed"/>
    <s v="09/06/24"/>
  </r>
  <r>
    <s v="TXN_7998829"/>
    <s v="CUST_11"/>
    <x v="6"/>
    <x v="188"/>
    <x v="23"/>
    <x v="7"/>
    <n v="19.5"/>
    <x v="2"/>
    <x v="1"/>
    <x v="651"/>
    <x v="1"/>
    <s v="DISCOUNT ALLOWED"/>
    <s v="discount allowed"/>
    <s v="DISCOUNT ALLOWED"/>
    <s v="Discount Allowed"/>
    <s v="01/05/22"/>
  </r>
  <r>
    <s v="TXN_9323213"/>
    <s v="CUST_22"/>
    <x v="6"/>
    <x v="188"/>
    <x v="23"/>
    <x v="7"/>
    <n v="19.5"/>
    <x v="0"/>
    <x v="0"/>
    <x v="473"/>
    <x v="0"/>
    <s v="DISCOUNT NOT ALLOWED"/>
    <s v="discount not allowed"/>
    <s v="DISCOUNT NOT ALLOWED"/>
    <s v="Discount Not Allowed"/>
    <s v="02/12/24"/>
  </r>
  <r>
    <s v="TXN_9386080"/>
    <s v="CUST_05"/>
    <x v="6"/>
    <x v="188"/>
    <x v="23"/>
    <x v="7"/>
    <n v="19.5"/>
    <x v="1"/>
    <x v="1"/>
    <x v="996"/>
    <x v="1"/>
    <s v="DISCOUNT ALLOWED"/>
    <s v="discount allowed"/>
    <s v="DISCOUNT ALLOWED"/>
    <s v="Discount Allowed"/>
    <s v="27/04/23"/>
  </r>
  <r>
    <s v="TXN_9584772"/>
    <s v="CUST_14"/>
    <x v="6"/>
    <x v="188"/>
    <x v="23"/>
    <x v="7"/>
    <n v="19.5"/>
    <x v="0"/>
    <x v="0"/>
    <x v="411"/>
    <x v="0"/>
    <s v="DISCOUNT NOT ALLOWED"/>
    <s v="discount not allowed"/>
    <s v="DISCOUNT NOT ALLOWED"/>
    <s v="Discount Not Allowed"/>
    <s v="03/12/23"/>
  </r>
  <r>
    <s v="TXN_9743568"/>
    <s v="CUST_25"/>
    <x v="3"/>
    <x v="189"/>
    <x v="23"/>
    <x v="7"/>
    <n v="19.5"/>
    <x v="0"/>
    <x v="1"/>
    <x v="383"/>
    <x v="0"/>
    <s v="DISCOUNT NOT ALLOWED"/>
    <s v="discount not allowed"/>
    <s v="DISCOUNT NOT ALLOWED"/>
    <s v="Discount Not Allowed"/>
    <s v="23/10/24"/>
  </r>
  <r>
    <s v="TXN_9951016"/>
    <s v="CUST_25"/>
    <x v="7"/>
    <x v="191"/>
    <x v="23"/>
    <x v="7"/>
    <n v="19.5"/>
    <x v="1"/>
    <x v="0"/>
    <x v="414"/>
    <x v="0"/>
    <s v="DISCOUNT NOT ALLOWED"/>
    <s v="discount not allowed"/>
    <s v="DISCOUNT NOT ALLOWED"/>
    <s v="Discount Not Allowed"/>
    <s v="01/02/22"/>
  </r>
  <r>
    <s v="TXN_9961587"/>
    <s v="CUST_18"/>
    <x v="1"/>
    <x v="184"/>
    <x v="23"/>
    <x v="7"/>
    <n v="19.5"/>
    <x v="1"/>
    <x v="0"/>
    <x v="541"/>
    <x v="0"/>
    <s v="DISCOUNT NOT ALLOWED"/>
    <s v="discount not allowed"/>
    <s v="DISCOUNT NOT ALLOWED"/>
    <s v="Discount Not Allowed"/>
    <s v="21/11/22"/>
  </r>
  <r>
    <s v="TXN_1422416"/>
    <s v="CUST_03"/>
    <x v="2"/>
    <x v="171"/>
    <x v="21"/>
    <x v="8"/>
    <n v="19"/>
    <x v="2"/>
    <x v="0"/>
    <x v="457"/>
    <x v="0"/>
    <s v="DISCOUNT NOT ALLOWED"/>
    <s v="discount not allowed"/>
    <s v="DISCOUNT NOT ALLOWED"/>
    <s v="Discount Not Allowed"/>
    <s v="21/01/22"/>
  </r>
  <r>
    <s v="TXN_1514654"/>
    <s v="CUST_07"/>
    <x v="5"/>
    <x v="167"/>
    <x v="21"/>
    <x v="8"/>
    <n v="19"/>
    <x v="1"/>
    <x v="0"/>
    <x v="228"/>
    <x v="1"/>
    <s v="DISCOUNT ALLOWED"/>
    <s v="discount allowed"/>
    <s v="DISCOUNT ALLOWED"/>
    <s v="Discount Allowed"/>
    <s v="27/02/22"/>
  </r>
  <r>
    <s v="TXN_1523065"/>
    <s v="CUST_18"/>
    <x v="4"/>
    <x v="166"/>
    <x v="21"/>
    <x v="8"/>
    <n v="19"/>
    <x v="1"/>
    <x v="0"/>
    <x v="210"/>
    <x v="1"/>
    <s v="DISCOUNT ALLOWED"/>
    <s v="discount allowed"/>
    <s v="DISCOUNT ALLOWED"/>
    <s v="Discount Allowed"/>
    <s v="15/08/22"/>
  </r>
  <r>
    <s v="TXN_1733313"/>
    <s v="CUST_13"/>
    <x v="6"/>
    <x v="172"/>
    <x v="21"/>
    <x v="8"/>
    <n v="19"/>
    <x v="2"/>
    <x v="0"/>
    <x v="400"/>
    <x v="0"/>
    <s v="DISCOUNT NOT ALLOWED"/>
    <s v="discount not allowed"/>
    <s v="DISCOUNT NOT ALLOWED"/>
    <s v="Discount Not Allowed"/>
    <s v="27/09/24"/>
  </r>
  <r>
    <s v="TXN_2198875"/>
    <s v="CUST_09"/>
    <x v="7"/>
    <x v="170"/>
    <x v="21"/>
    <x v="8"/>
    <n v="19"/>
    <x v="1"/>
    <x v="0"/>
    <x v="653"/>
    <x v="1"/>
    <s v="DISCOUNT ALLOWED"/>
    <s v="discount allowed"/>
    <s v="DISCOUNT ALLOWED"/>
    <s v="Discount Allowed"/>
    <s v="31/05/23"/>
  </r>
  <r>
    <s v="TXN_2205807"/>
    <s v="CUST_13"/>
    <x v="5"/>
    <x v="167"/>
    <x v="21"/>
    <x v="8"/>
    <n v="19"/>
    <x v="0"/>
    <x v="1"/>
    <x v="246"/>
    <x v="1"/>
    <s v="DISCOUNT ALLOWED"/>
    <s v="discount allowed"/>
    <s v="DISCOUNT ALLOWED"/>
    <s v="Discount Allowed"/>
    <s v="13/08/22"/>
  </r>
  <r>
    <s v="TXN_2210266"/>
    <s v="CUST_11"/>
    <x v="2"/>
    <x v="171"/>
    <x v="21"/>
    <x v="8"/>
    <n v="19"/>
    <x v="2"/>
    <x v="1"/>
    <x v="80"/>
    <x v="0"/>
    <s v="DISCOUNT NOT ALLOWED"/>
    <s v="discount not allowed"/>
    <s v="DISCOUNT NOT ALLOWED"/>
    <s v="Discount Not Allowed"/>
    <s v="08/02/24"/>
  </r>
  <r>
    <s v="TXN_2477647"/>
    <s v="CUST_03"/>
    <x v="4"/>
    <x v="166"/>
    <x v="21"/>
    <x v="8"/>
    <n v="19"/>
    <x v="2"/>
    <x v="0"/>
    <x v="780"/>
    <x v="1"/>
    <s v="DISCOUNT ALLOWED"/>
    <s v="discount allowed"/>
    <s v="DISCOUNT ALLOWED"/>
    <s v="Discount Allowed"/>
    <s v="22/04/24"/>
  </r>
  <r>
    <s v="TXN_3081988"/>
    <s v="CUST_16"/>
    <x v="1"/>
    <x v="169"/>
    <x v="21"/>
    <x v="8"/>
    <n v="19"/>
    <x v="2"/>
    <x v="0"/>
    <x v="328"/>
    <x v="0"/>
    <s v="DISCOUNT NOT ALLOWED"/>
    <s v="discount not allowed"/>
    <s v="DISCOUNT NOT ALLOWED"/>
    <s v="Discount Not Allowed"/>
    <s v="08/06/24"/>
  </r>
  <r>
    <s v="TXN_3909456"/>
    <s v="CUST_02"/>
    <x v="0"/>
    <x v="168"/>
    <x v="21"/>
    <x v="8"/>
    <n v="19"/>
    <x v="2"/>
    <x v="1"/>
    <x v="787"/>
    <x v="0"/>
    <s v="DISCOUNT NOT ALLOWED"/>
    <s v="discount not allowed"/>
    <s v="DISCOUNT NOT ALLOWED"/>
    <s v="Discount Not Allowed"/>
    <s v="11/06/24"/>
  </r>
  <r>
    <s v="TXN_4176409"/>
    <s v="CUST_20"/>
    <x v="3"/>
    <x v="173"/>
    <x v="21"/>
    <x v="8"/>
    <n v="19"/>
    <x v="1"/>
    <x v="0"/>
    <x v="913"/>
    <x v="0"/>
    <s v="DISCOUNT NOT ALLOWED"/>
    <s v="discount not allowed"/>
    <s v="DISCOUNT NOT ALLOWED"/>
    <s v="Discount Not Allowed"/>
    <s v="12/01/23"/>
  </r>
  <r>
    <s v="TXN_4394615"/>
    <s v="CUST_20"/>
    <x v="0"/>
    <x v="168"/>
    <x v="21"/>
    <x v="8"/>
    <n v="19"/>
    <x v="2"/>
    <x v="1"/>
    <x v="883"/>
    <x v="0"/>
    <s v="DISCOUNT NOT ALLOWED"/>
    <s v="discount not allowed"/>
    <s v="DISCOUNT NOT ALLOWED"/>
    <s v="Discount Not Allowed"/>
    <s v="20/10/24"/>
  </r>
  <r>
    <s v="TXN_4621919"/>
    <s v="CUST_12"/>
    <x v="7"/>
    <x v="170"/>
    <x v="21"/>
    <x v="8"/>
    <n v="19"/>
    <x v="2"/>
    <x v="0"/>
    <x v="759"/>
    <x v="0"/>
    <s v="DISCOUNT NOT ALLOWED"/>
    <s v="discount not allowed"/>
    <s v="DISCOUNT NOT ALLOWED"/>
    <s v="Discount Not Allowed"/>
    <s v="08/05/24"/>
  </r>
  <r>
    <s v="TXN_5181239"/>
    <s v="CUST_04"/>
    <x v="2"/>
    <x v="171"/>
    <x v="21"/>
    <x v="8"/>
    <n v="19"/>
    <x v="1"/>
    <x v="1"/>
    <x v="382"/>
    <x v="1"/>
    <s v="DISCOUNT ALLOWED"/>
    <s v="discount allowed"/>
    <s v="DISCOUNT ALLOWED"/>
    <s v="Discount Allowed"/>
    <s v="25/07/22"/>
  </r>
  <r>
    <s v="TXN_5308673"/>
    <s v="CUST_14"/>
    <x v="3"/>
    <x v="173"/>
    <x v="21"/>
    <x v="8"/>
    <n v="19"/>
    <x v="2"/>
    <x v="1"/>
    <x v="1040"/>
    <x v="1"/>
    <s v="DISCOUNT ALLOWED"/>
    <s v="discount allowed"/>
    <s v="DISCOUNT ALLOWED"/>
    <s v="Discount Allowed"/>
    <s v="21/03/22"/>
  </r>
  <r>
    <s v="TXN_5436799"/>
    <s v="CUST_15"/>
    <x v="1"/>
    <x v="169"/>
    <x v="21"/>
    <x v="8"/>
    <n v="19"/>
    <x v="0"/>
    <x v="1"/>
    <x v="775"/>
    <x v="0"/>
    <s v="DISCOUNT NOT ALLOWED"/>
    <s v="discount not allowed"/>
    <s v="DISCOUNT NOT ALLOWED"/>
    <s v="Discount Not Allowed"/>
    <s v="31/03/24"/>
  </r>
  <r>
    <s v="TXN_5709336"/>
    <s v="CUST_10"/>
    <x v="4"/>
    <x v="166"/>
    <x v="21"/>
    <x v="8"/>
    <n v="19"/>
    <x v="2"/>
    <x v="1"/>
    <x v="214"/>
    <x v="1"/>
    <s v="DISCOUNT ALLOWED"/>
    <s v="discount allowed"/>
    <s v="DISCOUNT ALLOWED"/>
    <s v="Discount Allowed"/>
    <s v="18/01/25"/>
  </r>
  <r>
    <s v="TXN_6346223"/>
    <s v="CUST_04"/>
    <x v="7"/>
    <x v="170"/>
    <x v="21"/>
    <x v="8"/>
    <n v="19"/>
    <x v="0"/>
    <x v="1"/>
    <x v="911"/>
    <x v="1"/>
    <s v="DISCOUNT ALLOWED"/>
    <s v="discount allowed"/>
    <s v="DISCOUNT ALLOWED"/>
    <s v="Discount Allowed"/>
    <s v="08/11/22"/>
  </r>
  <r>
    <s v="TXN_6370101"/>
    <s v="CUST_10"/>
    <x v="0"/>
    <x v="168"/>
    <x v="21"/>
    <x v="8"/>
    <n v="19"/>
    <x v="0"/>
    <x v="0"/>
    <x v="614"/>
    <x v="0"/>
    <s v="DISCOUNT NOT ALLOWED"/>
    <s v="discount not allowed"/>
    <s v="DISCOUNT NOT ALLOWED"/>
    <s v="Discount Not Allowed"/>
    <s v="07/08/23"/>
  </r>
  <r>
    <s v="TXN_6717903"/>
    <s v="CUST_19"/>
    <x v="2"/>
    <x v="171"/>
    <x v="21"/>
    <x v="8"/>
    <n v="19"/>
    <x v="1"/>
    <x v="1"/>
    <x v="852"/>
    <x v="0"/>
    <s v="DISCOUNT NOT ALLOWED"/>
    <s v="discount not allowed"/>
    <s v="DISCOUNT NOT ALLOWED"/>
    <s v="Discount Not Allowed"/>
    <s v="26/05/22"/>
  </r>
  <r>
    <s v="TXN_7583936"/>
    <s v="CUST_01"/>
    <x v="4"/>
    <x v="166"/>
    <x v="21"/>
    <x v="8"/>
    <n v="19"/>
    <x v="0"/>
    <x v="0"/>
    <x v="606"/>
    <x v="1"/>
    <s v="DISCOUNT ALLOWED"/>
    <s v="discount allowed"/>
    <s v="DISCOUNT ALLOWED"/>
    <s v="Discount Allowed"/>
    <s v="02/08/23"/>
  </r>
  <r>
    <s v="TXN_8620480"/>
    <s v="CUST_03"/>
    <x v="5"/>
    <x v="167"/>
    <x v="21"/>
    <x v="8"/>
    <n v="19"/>
    <x v="2"/>
    <x v="0"/>
    <x v="73"/>
    <x v="1"/>
    <s v="DISCOUNT ALLOWED"/>
    <s v="discount allowed"/>
    <s v="DISCOUNT ALLOWED"/>
    <s v="Discount Allowed"/>
    <s v="01/09/23"/>
  </r>
  <r>
    <s v="TXN_8898496"/>
    <s v="CUST_08"/>
    <x v="4"/>
    <x v="166"/>
    <x v="21"/>
    <x v="8"/>
    <n v="19"/>
    <x v="2"/>
    <x v="0"/>
    <x v="483"/>
    <x v="1"/>
    <s v="DISCOUNT ALLOWED"/>
    <s v="discount allowed"/>
    <s v="DISCOUNT ALLOWED"/>
    <s v="Discount Allowed"/>
    <s v="13/12/23"/>
  </r>
  <r>
    <s v="TXN_9038605"/>
    <s v="CUST_09"/>
    <x v="0"/>
    <x v="168"/>
    <x v="21"/>
    <x v="8"/>
    <n v="19"/>
    <x v="2"/>
    <x v="1"/>
    <x v="175"/>
    <x v="1"/>
    <s v="DISCOUNT ALLOWED"/>
    <s v="discount allowed"/>
    <s v="DISCOUNT ALLOWED"/>
    <s v="Discount Allowed"/>
    <s v="25/12/24"/>
  </r>
  <r>
    <s v="TXN_9199770"/>
    <s v="CUST_24"/>
    <x v="2"/>
    <x v="171"/>
    <x v="21"/>
    <x v="8"/>
    <n v="19"/>
    <x v="1"/>
    <x v="1"/>
    <x v="960"/>
    <x v="1"/>
    <s v="DISCOUNT ALLOWED"/>
    <s v="discount allowed"/>
    <s v="DISCOUNT ALLOWED"/>
    <s v="Discount Allowed"/>
    <s v="25/11/22"/>
  </r>
  <r>
    <s v="TXN_9307798"/>
    <s v="CUST_05"/>
    <x v="7"/>
    <x v="170"/>
    <x v="21"/>
    <x v="8"/>
    <n v="19"/>
    <x v="0"/>
    <x v="1"/>
    <x v="371"/>
    <x v="1"/>
    <s v="DISCOUNT ALLOWED"/>
    <s v="discount allowed"/>
    <s v="DISCOUNT ALLOWED"/>
    <s v="Discount Allowed"/>
    <s v="05/07/23"/>
  </r>
  <r>
    <s v="TXN_2109847"/>
    <s v="CUST_21"/>
    <x v="6"/>
    <x v="120"/>
    <x v="15"/>
    <x v="9"/>
    <n v="18.5"/>
    <x v="0"/>
    <x v="1"/>
    <x v="175"/>
    <x v="1"/>
    <s v="DISCOUNT ALLOWED"/>
    <s v="discount allowed"/>
    <s v="DISCOUNT ALLOWED"/>
    <s v="Discount Allowed"/>
    <s v="25/12/24"/>
  </r>
  <r>
    <s v="TXN_2330418"/>
    <s v="CUST_03"/>
    <x v="3"/>
    <x v="124"/>
    <x v="15"/>
    <x v="9"/>
    <n v="18.5"/>
    <x v="0"/>
    <x v="1"/>
    <x v="137"/>
    <x v="0"/>
    <s v="DISCOUNT NOT ALLOWED"/>
    <s v="discount not allowed"/>
    <s v="DISCOUNT NOT ALLOWED"/>
    <s v="Discount Not Allowed"/>
    <s v="24/11/23"/>
  </r>
  <r>
    <s v="TXN_2728490"/>
    <s v="CUST_25"/>
    <x v="7"/>
    <x v="119"/>
    <x v="15"/>
    <x v="9"/>
    <n v="18.5"/>
    <x v="2"/>
    <x v="0"/>
    <x v="1067"/>
    <x v="1"/>
    <s v="DISCOUNT ALLOWED"/>
    <s v="discount allowed"/>
    <s v="DISCOUNT ALLOWED"/>
    <s v="Discount Allowed"/>
    <s v="31/10/23"/>
  </r>
  <r>
    <s v="TXN_3314099"/>
    <s v="CUST_04"/>
    <x v="4"/>
    <x v="118"/>
    <x v="15"/>
    <x v="9"/>
    <n v="18.5"/>
    <x v="1"/>
    <x v="0"/>
    <x v="290"/>
    <x v="0"/>
    <s v="DISCOUNT NOT ALLOWED"/>
    <s v="discount not allowed"/>
    <s v="DISCOUNT NOT ALLOWED"/>
    <s v="Discount Not Allowed"/>
    <s v="30/09/23"/>
  </r>
  <r>
    <s v="TXN_3552188"/>
    <s v="CUST_23"/>
    <x v="4"/>
    <x v="118"/>
    <x v="15"/>
    <x v="9"/>
    <n v="18.5"/>
    <x v="1"/>
    <x v="0"/>
    <x v="826"/>
    <x v="1"/>
    <s v="DISCOUNT ALLOWED"/>
    <s v="discount allowed"/>
    <s v="DISCOUNT ALLOWED"/>
    <s v="Discount Allowed"/>
    <s v="03/08/22"/>
  </r>
  <r>
    <s v="TXN_3639113"/>
    <s v="CUST_12"/>
    <x v="5"/>
    <x v="122"/>
    <x v="15"/>
    <x v="9"/>
    <n v="18.5"/>
    <x v="0"/>
    <x v="0"/>
    <x v="216"/>
    <x v="1"/>
    <s v="DISCOUNT ALLOWED"/>
    <s v="discount allowed"/>
    <s v="DISCOUNT ALLOWED"/>
    <s v="Discount Allowed"/>
    <s v="19/04/23"/>
  </r>
  <r>
    <s v="TXN_4008428"/>
    <s v="CUST_07"/>
    <x v="6"/>
    <x v="120"/>
    <x v="15"/>
    <x v="9"/>
    <n v="18.5"/>
    <x v="2"/>
    <x v="0"/>
    <x v="634"/>
    <x v="1"/>
    <s v="DISCOUNT ALLOWED"/>
    <s v="discount allowed"/>
    <s v="DISCOUNT ALLOWED"/>
    <s v="Discount Allowed"/>
    <s v="19/08/24"/>
  </r>
  <r>
    <s v="TXN_4454614"/>
    <s v="CUST_25"/>
    <x v="7"/>
    <x v="119"/>
    <x v="15"/>
    <x v="9"/>
    <n v="18.5"/>
    <x v="2"/>
    <x v="1"/>
    <x v="1080"/>
    <x v="1"/>
    <s v="DISCOUNT ALLOWED"/>
    <s v="discount allowed"/>
    <s v="DISCOUNT ALLOWED"/>
    <s v="Discount Allowed"/>
    <s v="13/01/25"/>
  </r>
  <r>
    <s v="TXN_4678063"/>
    <s v="CUST_04"/>
    <x v="6"/>
    <x v="120"/>
    <x v="15"/>
    <x v="9"/>
    <n v="18.5"/>
    <x v="2"/>
    <x v="1"/>
    <x v="970"/>
    <x v="0"/>
    <s v="DISCOUNT NOT ALLOWED"/>
    <s v="discount not allowed"/>
    <s v="DISCOUNT NOT ALLOWED"/>
    <s v="Discount Not Allowed"/>
    <s v="10/04/22"/>
  </r>
  <r>
    <s v="TXN_4785966"/>
    <s v="CUST_09"/>
    <x v="5"/>
    <x v="122"/>
    <x v="15"/>
    <x v="9"/>
    <n v="18.5"/>
    <x v="0"/>
    <x v="1"/>
    <x v="16"/>
    <x v="1"/>
    <s v="DISCOUNT ALLOWED"/>
    <s v="discount allowed"/>
    <s v="DISCOUNT ALLOWED"/>
    <s v="Discount Allowed"/>
    <s v="11/09/22"/>
  </r>
  <r>
    <s v="TXN_5161441"/>
    <s v="CUST_15"/>
    <x v="7"/>
    <x v="119"/>
    <x v="15"/>
    <x v="9"/>
    <n v="18.5"/>
    <x v="2"/>
    <x v="0"/>
    <x v="474"/>
    <x v="0"/>
    <s v="DISCOUNT NOT ALLOWED"/>
    <s v="discount not allowed"/>
    <s v="DISCOUNT NOT ALLOWED"/>
    <s v="Discount Not Allowed"/>
    <s v="24/02/23"/>
  </r>
  <r>
    <s v="TXN_5830740"/>
    <s v="CUST_19"/>
    <x v="5"/>
    <x v="122"/>
    <x v="15"/>
    <x v="9"/>
    <n v="18.5"/>
    <x v="2"/>
    <x v="0"/>
    <x v="1049"/>
    <x v="0"/>
    <s v="DISCOUNT NOT ALLOWED"/>
    <s v="discount not allowed"/>
    <s v="DISCOUNT NOT ALLOWED"/>
    <s v="Discount Not Allowed"/>
    <s v="20/11/23"/>
  </r>
  <r>
    <s v="TXN_7277962"/>
    <s v="CUST_16"/>
    <x v="6"/>
    <x v="120"/>
    <x v="15"/>
    <x v="9"/>
    <n v="18.5"/>
    <x v="1"/>
    <x v="1"/>
    <x v="206"/>
    <x v="1"/>
    <s v="DISCOUNT ALLOWED"/>
    <s v="discount allowed"/>
    <s v="DISCOUNT ALLOWED"/>
    <s v="Discount Allowed"/>
    <s v="08/02/22"/>
  </r>
  <r>
    <s v="TXN_7522804"/>
    <s v="CUST_20"/>
    <x v="6"/>
    <x v="120"/>
    <x v="15"/>
    <x v="9"/>
    <n v="18.5"/>
    <x v="1"/>
    <x v="0"/>
    <x v="854"/>
    <x v="1"/>
    <s v="DISCOUNT ALLOWED"/>
    <s v="discount allowed"/>
    <s v="DISCOUNT ALLOWED"/>
    <s v="Discount Allowed"/>
    <s v="19/02/23"/>
  </r>
  <r>
    <s v="TXN_7898844"/>
    <s v="CUST_13"/>
    <x v="5"/>
    <x v="122"/>
    <x v="15"/>
    <x v="9"/>
    <n v="18.5"/>
    <x v="1"/>
    <x v="0"/>
    <x v="509"/>
    <x v="1"/>
    <s v="DISCOUNT ALLOWED"/>
    <s v="discount allowed"/>
    <s v="DISCOUNT ALLOWED"/>
    <s v="Discount Allowed"/>
    <s v="14/09/23"/>
  </r>
  <r>
    <s v="TXN_9238218"/>
    <s v="CUST_08"/>
    <x v="2"/>
    <x v="117"/>
    <x v="15"/>
    <x v="9"/>
    <n v="18.5"/>
    <x v="1"/>
    <x v="1"/>
    <x v="559"/>
    <x v="0"/>
    <s v="DISCOUNT NOT ALLOWED"/>
    <s v="discount not allowed"/>
    <s v="DISCOUNT NOT ALLOWED"/>
    <s v="Discount Not Allowed"/>
    <s v="14/10/22"/>
  </r>
  <r>
    <s v="TXN_9250241"/>
    <s v="CUST_05"/>
    <x v="1"/>
    <x v="121"/>
    <x v="15"/>
    <x v="9"/>
    <n v="18.5"/>
    <x v="1"/>
    <x v="0"/>
    <x v="750"/>
    <x v="1"/>
    <s v="DISCOUNT ALLOWED"/>
    <s v="discount allowed"/>
    <s v="DISCOUNT ALLOWED"/>
    <s v="Discount Allowed"/>
    <s v="17/11/24"/>
  </r>
  <r>
    <s v="TXN_9534348"/>
    <s v="CUST_19"/>
    <x v="4"/>
    <x v="118"/>
    <x v="15"/>
    <x v="9"/>
    <n v="18.5"/>
    <x v="2"/>
    <x v="0"/>
    <x v="855"/>
    <x v="1"/>
    <s v="DISCOUNT ALLOWED"/>
    <s v="discount allowed"/>
    <s v="DISCOUNT ALLOWED"/>
    <s v="Discount Allowed"/>
    <s v="09/09/23"/>
  </r>
  <r>
    <s v="TXN_9708536"/>
    <s v="CUST_24"/>
    <x v="6"/>
    <x v="120"/>
    <x v="15"/>
    <x v="9"/>
    <n v="18.5"/>
    <x v="1"/>
    <x v="0"/>
    <x v="542"/>
    <x v="0"/>
    <s v="DISCOUNT NOT ALLOWED"/>
    <s v="discount not allowed"/>
    <s v="DISCOUNT NOT ALLOWED"/>
    <s v="Discount Not Allowed"/>
    <s v="28/08/23"/>
  </r>
  <r>
    <s v="TXN_1574964"/>
    <s v="CUST_06"/>
    <x v="4"/>
    <x v="130"/>
    <x v="16"/>
    <x v="9"/>
    <n v="17"/>
    <x v="2"/>
    <x v="1"/>
    <x v="435"/>
    <x v="0"/>
    <s v="DISCOUNT NOT ALLOWED"/>
    <s v="discount not allowed"/>
    <s v="DISCOUNT NOT ALLOWED"/>
    <s v="Discount Not Allowed"/>
    <s v="26/10/23"/>
  </r>
  <r>
    <s v="TXN_2337021"/>
    <s v="CUST_17"/>
    <x v="6"/>
    <x v="132"/>
    <x v="16"/>
    <x v="9"/>
    <n v="17"/>
    <x v="1"/>
    <x v="1"/>
    <x v="604"/>
    <x v="0"/>
    <s v="DISCOUNT NOT ALLOWED"/>
    <s v="discount not allowed"/>
    <s v="DISCOUNT NOT ALLOWED"/>
    <s v="Discount Not Allowed"/>
    <s v="28/01/24"/>
  </r>
  <r>
    <s v="TXN_3412638"/>
    <s v="CUST_04"/>
    <x v="5"/>
    <x v="128"/>
    <x v="16"/>
    <x v="9"/>
    <n v="17"/>
    <x v="0"/>
    <x v="0"/>
    <x v="719"/>
    <x v="1"/>
    <s v="DISCOUNT ALLOWED"/>
    <s v="discount allowed"/>
    <s v="DISCOUNT ALLOWED"/>
    <s v="Discount Allowed"/>
    <s v="28/11/22"/>
  </r>
  <r>
    <s v="TXN_3414423"/>
    <s v="CUST_05"/>
    <x v="7"/>
    <x v="133"/>
    <x v="16"/>
    <x v="9"/>
    <n v="17"/>
    <x v="1"/>
    <x v="0"/>
    <x v="769"/>
    <x v="1"/>
    <s v="DISCOUNT ALLOWED"/>
    <s v="discount allowed"/>
    <s v="DISCOUNT ALLOWED"/>
    <s v="Discount Allowed"/>
    <s v="02/12/22"/>
  </r>
  <r>
    <s v="TXN_3547918"/>
    <s v="CUST_09"/>
    <x v="3"/>
    <x v="142"/>
    <x v="16"/>
    <x v="9"/>
    <n v="17"/>
    <x v="1"/>
    <x v="0"/>
    <x v="869"/>
    <x v="0"/>
    <s v="DISCOUNT NOT ALLOWED"/>
    <s v="discount not allowed"/>
    <s v="DISCOUNT NOT ALLOWED"/>
    <s v="Discount Not Allowed"/>
    <s v="16/07/22"/>
  </r>
  <r>
    <s v="TXN_3958528"/>
    <s v="CUST_08"/>
    <x v="5"/>
    <x v="128"/>
    <x v="16"/>
    <x v="9"/>
    <n v="17"/>
    <x v="1"/>
    <x v="0"/>
    <x v="1077"/>
    <x v="1"/>
    <s v="DISCOUNT ALLOWED"/>
    <s v="discount allowed"/>
    <s v="DISCOUNT ALLOWED"/>
    <s v="Discount Allowed"/>
    <s v="13/03/23"/>
  </r>
  <r>
    <s v="TXN_4002469"/>
    <s v="CUST_12"/>
    <x v="2"/>
    <x v="131"/>
    <x v="16"/>
    <x v="9"/>
    <n v="17"/>
    <x v="2"/>
    <x v="0"/>
    <x v="923"/>
    <x v="1"/>
    <s v="DISCOUNT ALLOWED"/>
    <s v="discount allowed"/>
    <s v="DISCOUNT ALLOWED"/>
    <s v="Discount Allowed"/>
    <s v="01/12/23"/>
  </r>
  <r>
    <s v="TXN_4914355"/>
    <s v="CUST_17"/>
    <x v="7"/>
    <x v="133"/>
    <x v="16"/>
    <x v="9"/>
    <n v="17"/>
    <x v="1"/>
    <x v="0"/>
    <x v="79"/>
    <x v="1"/>
    <s v="DISCOUNT ALLOWED"/>
    <s v="discount allowed"/>
    <s v="DISCOUNT ALLOWED"/>
    <s v="Discount Allowed"/>
    <s v="07/04/23"/>
  </r>
  <r>
    <s v="TXN_5056575"/>
    <s v="CUST_10"/>
    <x v="4"/>
    <x v="130"/>
    <x v="16"/>
    <x v="9"/>
    <n v="17"/>
    <x v="1"/>
    <x v="0"/>
    <x v="851"/>
    <x v="1"/>
    <s v="DISCOUNT ALLOWED"/>
    <s v="discount allowed"/>
    <s v="DISCOUNT ALLOWED"/>
    <s v="Discount Allowed"/>
    <s v="28/03/22"/>
  </r>
  <r>
    <s v="TXN_5240612"/>
    <s v="CUST_01"/>
    <x v="7"/>
    <x v="133"/>
    <x v="16"/>
    <x v="9"/>
    <n v="17"/>
    <x v="1"/>
    <x v="1"/>
    <x v="102"/>
    <x v="1"/>
    <s v="DISCOUNT ALLOWED"/>
    <s v="discount allowed"/>
    <s v="DISCOUNT ALLOWED"/>
    <s v="Discount Allowed"/>
    <s v="31/03/23"/>
  </r>
  <r>
    <s v="TXN_7799651"/>
    <s v="CUST_05"/>
    <x v="7"/>
    <x v="133"/>
    <x v="16"/>
    <x v="9"/>
    <n v="17"/>
    <x v="2"/>
    <x v="0"/>
    <x v="336"/>
    <x v="0"/>
    <s v="DISCOUNT NOT ALLOWED"/>
    <s v="discount not allowed"/>
    <s v="DISCOUNT NOT ALLOWED"/>
    <s v="Discount Not Allowed"/>
    <s v="05/11/24"/>
  </r>
  <r>
    <s v="TXN_8822878"/>
    <s v="CUST_18"/>
    <x v="1"/>
    <x v="129"/>
    <x v="16"/>
    <x v="9"/>
    <n v="17"/>
    <x v="1"/>
    <x v="0"/>
    <x v="682"/>
    <x v="0"/>
    <s v="DISCOUNT NOT ALLOWED"/>
    <s v="discount not allowed"/>
    <s v="DISCOUNT NOT ALLOWED"/>
    <s v="Discount Not Allowed"/>
    <s v="01/12/22"/>
  </r>
  <r>
    <s v="TXN_9413476"/>
    <s v="CUST_25"/>
    <x v="5"/>
    <x v="128"/>
    <x v="16"/>
    <x v="9"/>
    <n v="17"/>
    <x v="2"/>
    <x v="1"/>
    <x v="616"/>
    <x v="0"/>
    <s v="DISCOUNT NOT ALLOWED"/>
    <s v="discount not allowed"/>
    <s v="DISCOUNT NOT ALLOWED"/>
    <s v="Discount Not Allowed"/>
    <s v="17/08/23"/>
  </r>
  <r>
    <s v="TXN_9509119"/>
    <s v="CUST_15"/>
    <x v="4"/>
    <x v="130"/>
    <x v="16"/>
    <x v="9"/>
    <n v="17"/>
    <x v="2"/>
    <x v="1"/>
    <x v="652"/>
    <x v="0"/>
    <s v="DISCOUNT NOT ALLOWED"/>
    <s v="discount not allowed"/>
    <s v="DISCOUNT NOT ALLOWED"/>
    <s v="Discount Not Allowed"/>
    <s v="12/11/23"/>
  </r>
  <r>
    <s v="TXN_1900258"/>
    <s v="CUST_16"/>
    <x v="4"/>
    <x v="176"/>
    <x v="22"/>
    <x v="8"/>
    <n v="16"/>
    <x v="2"/>
    <x v="1"/>
    <x v="995"/>
    <x v="1"/>
    <s v="DISCOUNT ALLOWED"/>
    <s v="discount allowed"/>
    <s v="DISCOUNT ALLOWED"/>
    <s v="Discount Allowed"/>
    <s v="16/06/22"/>
  </r>
  <r>
    <s v="TXN_2496499"/>
    <s v="CUST_06"/>
    <x v="7"/>
    <x v="181"/>
    <x v="22"/>
    <x v="8"/>
    <n v="16"/>
    <x v="2"/>
    <x v="1"/>
    <x v="27"/>
    <x v="1"/>
    <s v="DISCOUNT ALLOWED"/>
    <s v="discount allowed"/>
    <s v="DISCOUNT ALLOWED"/>
    <s v="Discount Allowed"/>
    <s v="25/12/23"/>
  </r>
  <r>
    <s v="TXN_3404090"/>
    <s v="CUST_08"/>
    <x v="3"/>
    <x v="177"/>
    <x v="22"/>
    <x v="8"/>
    <n v="16"/>
    <x v="0"/>
    <x v="0"/>
    <x v="646"/>
    <x v="0"/>
    <s v="DISCOUNT NOT ALLOWED"/>
    <s v="discount not allowed"/>
    <s v="DISCOUNT NOT ALLOWED"/>
    <s v="Discount Not Allowed"/>
    <s v="27/07/22"/>
  </r>
  <r>
    <s v="TXN_3668440"/>
    <s v="CUST_21"/>
    <x v="3"/>
    <x v="177"/>
    <x v="22"/>
    <x v="8"/>
    <n v="16"/>
    <x v="1"/>
    <x v="1"/>
    <x v="386"/>
    <x v="1"/>
    <s v="DISCOUNT ALLOWED"/>
    <s v="discount allowed"/>
    <s v="DISCOUNT ALLOWED"/>
    <s v="Discount Allowed"/>
    <s v="18/01/22"/>
  </r>
  <r>
    <s v="TXN_3931564"/>
    <s v="CUST_21"/>
    <x v="0"/>
    <x v="179"/>
    <x v="22"/>
    <x v="8"/>
    <n v="16"/>
    <x v="2"/>
    <x v="0"/>
    <x v="697"/>
    <x v="0"/>
    <s v="DISCOUNT NOT ALLOWED"/>
    <s v="discount not allowed"/>
    <s v="DISCOUNT NOT ALLOWED"/>
    <s v="Discount Not Allowed"/>
    <s v="14/08/22"/>
  </r>
  <r>
    <s v="TXN_4146156"/>
    <s v="CUST_08"/>
    <x v="0"/>
    <x v="179"/>
    <x v="22"/>
    <x v="8"/>
    <n v="16"/>
    <x v="1"/>
    <x v="1"/>
    <x v="944"/>
    <x v="1"/>
    <s v="DISCOUNT ALLOWED"/>
    <s v="discount allowed"/>
    <s v="DISCOUNT ALLOWED"/>
    <s v="Discount Allowed"/>
    <s v="14/01/24"/>
  </r>
  <r>
    <s v="TXN_5016365"/>
    <s v="CUST_04"/>
    <x v="4"/>
    <x v="176"/>
    <x v="22"/>
    <x v="8"/>
    <n v="16"/>
    <x v="0"/>
    <x v="0"/>
    <x v="81"/>
    <x v="0"/>
    <s v="DISCOUNT NOT ALLOWED"/>
    <s v="discount not allowed"/>
    <s v="DISCOUNT NOT ALLOWED"/>
    <s v="Discount Not Allowed"/>
    <s v="08/01/25"/>
  </r>
  <r>
    <s v="TXN_5138253"/>
    <s v="CUST_20"/>
    <x v="1"/>
    <x v="180"/>
    <x v="22"/>
    <x v="8"/>
    <n v="16"/>
    <x v="1"/>
    <x v="0"/>
    <x v="667"/>
    <x v="1"/>
    <s v="DISCOUNT ALLOWED"/>
    <s v="discount allowed"/>
    <s v="DISCOUNT ALLOWED"/>
    <s v="Discount Allowed"/>
    <s v="18/12/23"/>
  </r>
  <r>
    <s v="TXN_5171621"/>
    <s v="CUST_12"/>
    <x v="6"/>
    <x v="182"/>
    <x v="22"/>
    <x v="8"/>
    <n v="16"/>
    <x v="0"/>
    <x v="0"/>
    <x v="55"/>
    <x v="1"/>
    <s v="DISCOUNT ALLOWED"/>
    <s v="discount allowed"/>
    <s v="DISCOUNT ALLOWED"/>
    <s v="Discount Allowed"/>
    <s v="26/05/23"/>
  </r>
  <r>
    <s v="TXN_6415667"/>
    <s v="CUST_10"/>
    <x v="6"/>
    <x v="182"/>
    <x v="22"/>
    <x v="8"/>
    <n v="16"/>
    <x v="1"/>
    <x v="0"/>
    <x v="179"/>
    <x v="1"/>
    <s v="DISCOUNT ALLOWED"/>
    <s v="discount allowed"/>
    <s v="DISCOUNT ALLOWED"/>
    <s v="Discount Allowed"/>
    <s v="05/09/22"/>
  </r>
  <r>
    <s v="TXN_6749563"/>
    <s v="CUST_15"/>
    <x v="0"/>
    <x v="179"/>
    <x v="22"/>
    <x v="8"/>
    <n v="16"/>
    <x v="1"/>
    <x v="0"/>
    <x v="1067"/>
    <x v="1"/>
    <s v="DISCOUNT ALLOWED"/>
    <s v="discount allowed"/>
    <s v="DISCOUNT ALLOWED"/>
    <s v="Discount Allowed"/>
    <s v="31/10/23"/>
  </r>
  <r>
    <s v="TXN_6807818"/>
    <s v="CUST_21"/>
    <x v="7"/>
    <x v="181"/>
    <x v="22"/>
    <x v="8"/>
    <n v="16"/>
    <x v="1"/>
    <x v="0"/>
    <x v="832"/>
    <x v="1"/>
    <s v="DISCOUNT ALLOWED"/>
    <s v="discount allowed"/>
    <s v="DISCOUNT ALLOWED"/>
    <s v="Discount Allowed"/>
    <s v="27/08/22"/>
  </r>
  <r>
    <s v="TXN_6829985"/>
    <s v="CUST_05"/>
    <x v="1"/>
    <x v="180"/>
    <x v="22"/>
    <x v="8"/>
    <n v="16"/>
    <x v="1"/>
    <x v="0"/>
    <x v="926"/>
    <x v="0"/>
    <s v="DISCOUNT NOT ALLOWED"/>
    <s v="discount not allowed"/>
    <s v="DISCOUNT NOT ALLOWED"/>
    <s v="Discount Not Allowed"/>
    <s v="22/11/23"/>
  </r>
  <r>
    <s v="TXN_7828591"/>
    <s v="CUST_02"/>
    <x v="7"/>
    <x v="181"/>
    <x v="22"/>
    <x v="8"/>
    <n v="16"/>
    <x v="0"/>
    <x v="1"/>
    <x v="207"/>
    <x v="1"/>
    <s v="DISCOUNT ALLOWED"/>
    <s v="discount allowed"/>
    <s v="DISCOUNT ALLOWED"/>
    <s v="Discount Allowed"/>
    <s v="25/09/22"/>
  </r>
  <r>
    <s v="TXN_8197683"/>
    <s v="CUST_21"/>
    <x v="2"/>
    <x v="178"/>
    <x v="22"/>
    <x v="8"/>
    <n v="16"/>
    <x v="1"/>
    <x v="0"/>
    <x v="86"/>
    <x v="0"/>
    <s v="DISCOUNT NOT ALLOWED"/>
    <s v="discount not allowed"/>
    <s v="DISCOUNT NOT ALLOWED"/>
    <s v="Discount Not Allowed"/>
    <s v="30/04/23"/>
  </r>
  <r>
    <s v="TXN_8886427"/>
    <s v="CUST_03"/>
    <x v="4"/>
    <x v="176"/>
    <x v="22"/>
    <x v="8"/>
    <n v="16"/>
    <x v="2"/>
    <x v="0"/>
    <x v="675"/>
    <x v="1"/>
    <s v="DISCOUNT ALLOWED"/>
    <s v="discount allowed"/>
    <s v="DISCOUNT ALLOWED"/>
    <s v="Discount Allowed"/>
    <s v="02/01/23"/>
  </r>
  <r>
    <s v="TXN_9110304"/>
    <s v="CUST_01"/>
    <x v="3"/>
    <x v="177"/>
    <x v="22"/>
    <x v="8"/>
    <n v="16"/>
    <x v="1"/>
    <x v="0"/>
    <x v="248"/>
    <x v="0"/>
    <s v="DISCOUNT NOT ALLOWED"/>
    <s v="discount not allowed"/>
    <s v="DISCOUNT NOT ALLOWED"/>
    <s v="Discount Not Allowed"/>
    <s v="31/01/22"/>
  </r>
  <r>
    <s v="TXN_9284513"/>
    <s v="CUST_06"/>
    <x v="3"/>
    <x v="177"/>
    <x v="22"/>
    <x v="8"/>
    <n v="16"/>
    <x v="1"/>
    <x v="0"/>
    <x v="383"/>
    <x v="1"/>
    <s v="DISCOUNT ALLOWED"/>
    <s v="discount allowed"/>
    <s v="DISCOUNT ALLOWED"/>
    <s v="Discount Allowed"/>
    <s v="23/10/24"/>
  </r>
  <r>
    <s v="TXN_1395838"/>
    <s v="CUST_05"/>
    <x v="3"/>
    <x v="134"/>
    <x v="17"/>
    <x v="9"/>
    <n v="15.5"/>
    <x v="1"/>
    <x v="0"/>
    <x v="1040"/>
    <x v="1"/>
    <s v="DISCOUNT ALLOWED"/>
    <s v="discount allowed"/>
    <s v="DISCOUNT ALLOWED"/>
    <s v="Discount Allowed"/>
    <s v="21/03/22"/>
  </r>
  <r>
    <s v="TXN_1407421"/>
    <s v="CUST_15"/>
    <x v="5"/>
    <x v="138"/>
    <x v="17"/>
    <x v="9"/>
    <n v="15.5"/>
    <x v="1"/>
    <x v="1"/>
    <x v="931"/>
    <x v="0"/>
    <s v="DISCOUNT NOT ALLOWED"/>
    <s v="discount not allowed"/>
    <s v="DISCOUNT NOT ALLOWED"/>
    <s v="Discount Not Allowed"/>
    <s v="14/05/23"/>
  </r>
  <r>
    <s v="TXN_1503110"/>
    <s v="CUST_07"/>
    <x v="6"/>
    <x v="140"/>
    <x v="17"/>
    <x v="9"/>
    <n v="15.5"/>
    <x v="0"/>
    <x v="1"/>
    <x v="671"/>
    <x v="1"/>
    <s v="DISCOUNT ALLOWED"/>
    <s v="discount allowed"/>
    <s v="DISCOUNT ALLOWED"/>
    <s v="Discount Allowed"/>
    <s v="09/08/24"/>
  </r>
  <r>
    <s v="TXN_1839621"/>
    <s v="CUST_01"/>
    <x v="3"/>
    <x v="134"/>
    <x v="17"/>
    <x v="9"/>
    <n v="15.5"/>
    <x v="0"/>
    <x v="0"/>
    <x v="1055"/>
    <x v="1"/>
    <s v="DISCOUNT ALLOWED"/>
    <s v="discount allowed"/>
    <s v="DISCOUNT ALLOWED"/>
    <s v="Discount Allowed"/>
    <s v="07/04/24"/>
  </r>
  <r>
    <s v="TXN_1884808"/>
    <s v="CUST_03"/>
    <x v="1"/>
    <x v="136"/>
    <x v="17"/>
    <x v="9"/>
    <n v="15.5"/>
    <x v="0"/>
    <x v="1"/>
    <x v="643"/>
    <x v="1"/>
    <s v="DISCOUNT ALLOWED"/>
    <s v="discount allowed"/>
    <s v="DISCOUNT ALLOWED"/>
    <s v="Discount Allowed"/>
    <s v="26/01/23"/>
  </r>
  <r>
    <s v="TXN_2128705"/>
    <s v="CUST_01"/>
    <x v="1"/>
    <x v="136"/>
    <x v="17"/>
    <x v="9"/>
    <n v="15.5"/>
    <x v="0"/>
    <x v="1"/>
    <x v="261"/>
    <x v="0"/>
    <s v="DISCOUNT NOT ALLOWED"/>
    <s v="discount not allowed"/>
    <s v="DISCOUNT NOT ALLOWED"/>
    <s v="Discount Not Allowed"/>
    <s v="14/05/24"/>
  </r>
  <r>
    <s v="TXN_2138629"/>
    <s v="CUST_12"/>
    <x v="1"/>
    <x v="136"/>
    <x v="17"/>
    <x v="9"/>
    <n v="15.5"/>
    <x v="0"/>
    <x v="0"/>
    <x v="624"/>
    <x v="0"/>
    <s v="DISCOUNT NOT ALLOWED"/>
    <s v="discount not allowed"/>
    <s v="DISCOUNT NOT ALLOWED"/>
    <s v="Discount Not Allowed"/>
    <s v="30/01/22"/>
  </r>
  <r>
    <s v="TXN_2202231"/>
    <s v="CUST_05"/>
    <x v="5"/>
    <x v="138"/>
    <x v="17"/>
    <x v="9"/>
    <n v="15.5"/>
    <x v="2"/>
    <x v="0"/>
    <x v="94"/>
    <x v="0"/>
    <s v="DISCOUNT NOT ALLOWED"/>
    <s v="discount not allowed"/>
    <s v="DISCOUNT NOT ALLOWED"/>
    <s v="Discount Not Allowed"/>
    <s v="19/03/24"/>
  </r>
  <r>
    <s v="TXN_2714155"/>
    <s v="CUST_18"/>
    <x v="6"/>
    <x v="140"/>
    <x v="17"/>
    <x v="9"/>
    <n v="15.5"/>
    <x v="0"/>
    <x v="0"/>
    <x v="621"/>
    <x v="0"/>
    <s v="DISCOUNT NOT ALLOWED"/>
    <s v="discount not allowed"/>
    <s v="DISCOUNT NOT ALLOWED"/>
    <s v="Discount Not Allowed"/>
    <s v="03/06/23"/>
  </r>
  <r>
    <s v="TXN_3557485"/>
    <s v="CUST_22"/>
    <x v="5"/>
    <x v="138"/>
    <x v="17"/>
    <x v="9"/>
    <n v="15.5"/>
    <x v="2"/>
    <x v="0"/>
    <x v="513"/>
    <x v="0"/>
    <s v="DISCOUNT NOT ALLOWED"/>
    <s v="discount not allowed"/>
    <s v="DISCOUNT NOT ALLOWED"/>
    <s v="Discount Not Allowed"/>
    <s v="01/07/24"/>
  </r>
  <r>
    <s v="TXN_3646004"/>
    <s v="CUST_18"/>
    <x v="1"/>
    <x v="136"/>
    <x v="17"/>
    <x v="9"/>
    <n v="15.5"/>
    <x v="1"/>
    <x v="0"/>
    <x v="538"/>
    <x v="1"/>
    <s v="DISCOUNT ALLOWED"/>
    <s v="discount allowed"/>
    <s v="DISCOUNT ALLOWED"/>
    <s v="Discount Allowed"/>
    <s v="16/07/24"/>
  </r>
  <r>
    <s v="TXN_4090699"/>
    <s v="CUST_20"/>
    <x v="2"/>
    <x v="135"/>
    <x v="17"/>
    <x v="9"/>
    <n v="15.5"/>
    <x v="0"/>
    <x v="1"/>
    <x v="110"/>
    <x v="1"/>
    <s v="DISCOUNT ALLOWED"/>
    <s v="discount allowed"/>
    <s v="DISCOUNT ALLOWED"/>
    <s v="Discount Allowed"/>
    <s v="27/07/24"/>
  </r>
  <r>
    <s v="TXN_4287814"/>
    <s v="CUST_06"/>
    <x v="5"/>
    <x v="138"/>
    <x v="17"/>
    <x v="9"/>
    <n v="15.5"/>
    <x v="1"/>
    <x v="1"/>
    <x v="1067"/>
    <x v="0"/>
    <s v="DISCOUNT NOT ALLOWED"/>
    <s v="discount not allowed"/>
    <s v="DISCOUNT NOT ALLOWED"/>
    <s v="Discount Not Allowed"/>
    <s v="31/10/23"/>
  </r>
  <r>
    <s v="TXN_4600404"/>
    <s v="CUST_25"/>
    <x v="7"/>
    <x v="137"/>
    <x v="17"/>
    <x v="9"/>
    <n v="15.5"/>
    <x v="1"/>
    <x v="0"/>
    <x v="1051"/>
    <x v="0"/>
    <s v="DISCOUNT NOT ALLOWED"/>
    <s v="discount not allowed"/>
    <s v="DISCOUNT NOT ALLOWED"/>
    <s v="Discount Not Allowed"/>
    <s v="05/07/24"/>
  </r>
  <r>
    <s v="TXN_4942678"/>
    <s v="CUST_11"/>
    <x v="7"/>
    <x v="137"/>
    <x v="17"/>
    <x v="9"/>
    <n v="15.5"/>
    <x v="2"/>
    <x v="1"/>
    <x v="522"/>
    <x v="1"/>
    <s v="DISCOUNT ALLOWED"/>
    <s v="discount allowed"/>
    <s v="DISCOUNT ALLOWED"/>
    <s v="Discount Allowed"/>
    <s v="27/08/24"/>
  </r>
  <r>
    <s v="TXN_5047057"/>
    <s v="CUST_10"/>
    <x v="3"/>
    <x v="134"/>
    <x v="17"/>
    <x v="9"/>
    <n v="15.5"/>
    <x v="1"/>
    <x v="1"/>
    <x v="569"/>
    <x v="0"/>
    <s v="DISCOUNT NOT ALLOWED"/>
    <s v="discount not allowed"/>
    <s v="DISCOUNT NOT ALLOWED"/>
    <s v="Discount Not Allowed"/>
    <s v="02/05/24"/>
  </r>
  <r>
    <s v="TXN_5246412"/>
    <s v="CUST_10"/>
    <x v="1"/>
    <x v="136"/>
    <x v="17"/>
    <x v="9"/>
    <n v="15.5"/>
    <x v="1"/>
    <x v="1"/>
    <x v="1028"/>
    <x v="0"/>
    <s v="DISCOUNT NOT ALLOWED"/>
    <s v="discount not allowed"/>
    <s v="DISCOUNT NOT ALLOWED"/>
    <s v="Discount Not Allowed"/>
    <s v="15/09/23"/>
  </r>
  <r>
    <s v="TXN_5416951"/>
    <s v="CUST_25"/>
    <x v="2"/>
    <x v="135"/>
    <x v="17"/>
    <x v="9"/>
    <n v="15.5"/>
    <x v="2"/>
    <x v="1"/>
    <x v="934"/>
    <x v="0"/>
    <s v="DISCOUNT NOT ALLOWED"/>
    <s v="discount not allowed"/>
    <s v="DISCOUNT NOT ALLOWED"/>
    <s v="Discount Not Allowed"/>
    <s v="27/05/24"/>
  </r>
  <r>
    <s v="TXN_6490751"/>
    <s v="CUST_07"/>
    <x v="5"/>
    <x v="138"/>
    <x v="17"/>
    <x v="9"/>
    <n v="15.5"/>
    <x v="2"/>
    <x v="1"/>
    <x v="996"/>
    <x v="1"/>
    <s v="DISCOUNT ALLOWED"/>
    <s v="discount allowed"/>
    <s v="DISCOUNT ALLOWED"/>
    <s v="Discount Allowed"/>
    <s v="27/04/23"/>
  </r>
  <r>
    <s v="TXN_6931532"/>
    <s v="CUST_15"/>
    <x v="3"/>
    <x v="134"/>
    <x v="17"/>
    <x v="9"/>
    <n v="15.5"/>
    <x v="2"/>
    <x v="0"/>
    <x v="511"/>
    <x v="1"/>
    <s v="DISCOUNT ALLOWED"/>
    <s v="discount allowed"/>
    <s v="DISCOUNT ALLOWED"/>
    <s v="Discount Allowed"/>
    <s v="16/11/22"/>
  </r>
  <r>
    <s v="TXN_7440936"/>
    <s v="CUST_22"/>
    <x v="5"/>
    <x v="138"/>
    <x v="17"/>
    <x v="9"/>
    <n v="15.5"/>
    <x v="0"/>
    <x v="0"/>
    <x v="337"/>
    <x v="0"/>
    <s v="DISCOUNT NOT ALLOWED"/>
    <s v="discount not allowed"/>
    <s v="DISCOUNT NOT ALLOWED"/>
    <s v="Discount Not Allowed"/>
    <s v="20/08/24"/>
  </r>
  <r>
    <s v="TXN_7586036"/>
    <s v="CUST_16"/>
    <x v="2"/>
    <x v="135"/>
    <x v="17"/>
    <x v="9"/>
    <n v="15.5"/>
    <x v="1"/>
    <x v="1"/>
    <x v="127"/>
    <x v="0"/>
    <s v="DISCOUNT NOT ALLOWED"/>
    <s v="discount not allowed"/>
    <s v="DISCOUNT NOT ALLOWED"/>
    <s v="Discount Not Allowed"/>
    <s v="23/05/24"/>
  </r>
  <r>
    <s v="TXN_7622517"/>
    <s v="CUST_02"/>
    <x v="5"/>
    <x v="138"/>
    <x v="17"/>
    <x v="9"/>
    <n v="15.5"/>
    <x v="2"/>
    <x v="1"/>
    <x v="301"/>
    <x v="1"/>
    <s v="DISCOUNT ALLOWED"/>
    <s v="discount allowed"/>
    <s v="DISCOUNT ALLOWED"/>
    <s v="Discount Allowed"/>
    <s v="15/04/22"/>
  </r>
  <r>
    <s v="TXN_7829206"/>
    <s v="CUST_23"/>
    <x v="3"/>
    <x v="134"/>
    <x v="17"/>
    <x v="9"/>
    <n v="15.5"/>
    <x v="1"/>
    <x v="0"/>
    <x v="52"/>
    <x v="1"/>
    <s v="DISCOUNT ALLOWED"/>
    <s v="discount allowed"/>
    <s v="DISCOUNT ALLOWED"/>
    <s v="Discount Allowed"/>
    <s v="05/12/24"/>
  </r>
  <r>
    <s v="TXN_7929854"/>
    <s v="CUST_04"/>
    <x v="7"/>
    <x v="137"/>
    <x v="17"/>
    <x v="9"/>
    <n v="15.5"/>
    <x v="0"/>
    <x v="0"/>
    <x v="782"/>
    <x v="0"/>
    <s v="DISCOUNT NOT ALLOWED"/>
    <s v="discount not allowed"/>
    <s v="DISCOUNT NOT ALLOWED"/>
    <s v="Discount Not Allowed"/>
    <s v="13/09/23"/>
  </r>
  <r>
    <s v="TXN_8572389"/>
    <s v="CUST_14"/>
    <x v="7"/>
    <x v="137"/>
    <x v="17"/>
    <x v="9"/>
    <n v="15.5"/>
    <x v="1"/>
    <x v="1"/>
    <x v="136"/>
    <x v="0"/>
    <s v="DISCOUNT NOT ALLOWED"/>
    <s v="discount not allowed"/>
    <s v="DISCOUNT NOT ALLOWED"/>
    <s v="Discount Not Allowed"/>
    <s v="07/07/22"/>
  </r>
  <r>
    <s v="TXN_8889008"/>
    <s v="CUST_09"/>
    <x v="2"/>
    <x v="135"/>
    <x v="17"/>
    <x v="9"/>
    <n v="15.5"/>
    <x v="2"/>
    <x v="1"/>
    <x v="114"/>
    <x v="0"/>
    <s v="DISCOUNT NOT ALLOWED"/>
    <s v="discount not allowed"/>
    <s v="DISCOUNT NOT ALLOWED"/>
    <s v="Discount Not Allowed"/>
    <s v="13/04/22"/>
  </r>
  <r>
    <s v="TXN_9324731"/>
    <s v="CUST_14"/>
    <x v="0"/>
    <x v="139"/>
    <x v="17"/>
    <x v="9"/>
    <n v="15.5"/>
    <x v="0"/>
    <x v="1"/>
    <x v="520"/>
    <x v="1"/>
    <s v="DISCOUNT ALLOWED"/>
    <s v="discount allowed"/>
    <s v="DISCOUNT ALLOWED"/>
    <s v="Discount Allowed"/>
    <s v="08/08/22"/>
  </r>
  <r>
    <s v="TXN_9886688"/>
    <s v="CUST_08"/>
    <x v="2"/>
    <x v="135"/>
    <x v="17"/>
    <x v="9"/>
    <n v="15.5"/>
    <x v="1"/>
    <x v="1"/>
    <x v="803"/>
    <x v="0"/>
    <s v="DISCOUNT NOT ALLOWED"/>
    <s v="discount not allowed"/>
    <s v="DISCOUNT NOT ALLOWED"/>
    <s v="Discount Not Allowed"/>
    <s v="24/04/22"/>
  </r>
  <r>
    <s v="TXN_1736098"/>
    <s v="CUST_23"/>
    <x v="7"/>
    <x v="192"/>
    <x v="24"/>
    <x v="7"/>
    <n v="15"/>
    <x v="1"/>
    <x v="0"/>
    <x v="393"/>
    <x v="0"/>
    <s v="DISCOUNT NOT ALLOWED"/>
    <s v="discount not allowed"/>
    <s v="DISCOUNT NOT ALLOWED"/>
    <s v="Discount Not Allowed"/>
    <s v="18/10/22"/>
  </r>
  <r>
    <s v="TXN_1899099"/>
    <s v="CUST_06"/>
    <x v="4"/>
    <x v="198"/>
    <x v="24"/>
    <x v="7"/>
    <n v="15"/>
    <x v="1"/>
    <x v="1"/>
    <x v="1058"/>
    <x v="1"/>
    <s v="DISCOUNT ALLOWED"/>
    <s v="discount allowed"/>
    <s v="DISCOUNT ALLOWED"/>
    <s v="Discount Allowed"/>
    <s v="06/08/22"/>
  </r>
  <r>
    <s v="TXN_2196056"/>
    <s v="CUST_02"/>
    <x v="0"/>
    <x v="195"/>
    <x v="24"/>
    <x v="7"/>
    <n v="15"/>
    <x v="2"/>
    <x v="1"/>
    <x v="738"/>
    <x v="1"/>
    <s v="DISCOUNT ALLOWED"/>
    <s v="discount allowed"/>
    <s v="DISCOUNT ALLOWED"/>
    <s v="Discount Allowed"/>
    <s v="09/02/24"/>
  </r>
  <r>
    <s v="TXN_2206004"/>
    <s v="CUST_10"/>
    <x v="1"/>
    <x v="193"/>
    <x v="24"/>
    <x v="7"/>
    <n v="15"/>
    <x v="0"/>
    <x v="1"/>
    <x v="612"/>
    <x v="1"/>
    <s v="DISCOUNT ALLOWED"/>
    <s v="discount allowed"/>
    <s v="DISCOUNT ALLOWED"/>
    <s v="Discount Allowed"/>
    <s v="18/11/24"/>
  </r>
  <r>
    <s v="TXN_2641403"/>
    <s v="CUST_04"/>
    <x v="2"/>
    <x v="199"/>
    <x v="24"/>
    <x v="7"/>
    <n v="15"/>
    <x v="0"/>
    <x v="0"/>
    <x v="879"/>
    <x v="1"/>
    <s v="DISCOUNT ALLOWED"/>
    <s v="discount allowed"/>
    <s v="DISCOUNT ALLOWED"/>
    <s v="Discount Allowed"/>
    <s v="12/07/22"/>
  </r>
  <r>
    <s v="TXN_2745420"/>
    <s v="CUST_09"/>
    <x v="6"/>
    <x v="196"/>
    <x v="24"/>
    <x v="7"/>
    <n v="15"/>
    <x v="0"/>
    <x v="1"/>
    <x v="853"/>
    <x v="1"/>
    <s v="DISCOUNT ALLOWED"/>
    <s v="discount allowed"/>
    <s v="DISCOUNT ALLOWED"/>
    <s v="Discount Allowed"/>
    <s v="12/08/24"/>
  </r>
  <r>
    <s v="TXN_2804850"/>
    <s v="CUST_17"/>
    <x v="3"/>
    <x v="197"/>
    <x v="24"/>
    <x v="7"/>
    <n v="15"/>
    <x v="2"/>
    <x v="1"/>
    <x v="999"/>
    <x v="1"/>
    <s v="DISCOUNT ALLOWED"/>
    <s v="discount allowed"/>
    <s v="DISCOUNT ALLOWED"/>
    <s v="Discount Allowed"/>
    <s v="13/02/24"/>
  </r>
  <r>
    <s v="TXN_3507613"/>
    <s v="CUST_03"/>
    <x v="7"/>
    <x v="192"/>
    <x v="24"/>
    <x v="7"/>
    <n v="15"/>
    <x v="0"/>
    <x v="1"/>
    <x v="963"/>
    <x v="0"/>
    <s v="DISCOUNT NOT ALLOWED"/>
    <s v="discount not allowed"/>
    <s v="DISCOUNT NOT ALLOWED"/>
    <s v="Discount Not Allowed"/>
    <s v="27/11/23"/>
  </r>
  <r>
    <s v="TXN_3869371"/>
    <s v="CUST_03"/>
    <x v="2"/>
    <x v="199"/>
    <x v="24"/>
    <x v="7"/>
    <n v="15"/>
    <x v="0"/>
    <x v="0"/>
    <x v="254"/>
    <x v="1"/>
    <s v="DISCOUNT ALLOWED"/>
    <s v="discount allowed"/>
    <s v="DISCOUNT ALLOWED"/>
    <s v="Discount Allowed"/>
    <s v="13/02/22"/>
  </r>
  <r>
    <s v="TXN_4229762"/>
    <s v="CUST_20"/>
    <x v="0"/>
    <x v="195"/>
    <x v="24"/>
    <x v="7"/>
    <n v="15"/>
    <x v="1"/>
    <x v="1"/>
    <x v="21"/>
    <x v="0"/>
    <s v="DISCOUNT NOT ALLOWED"/>
    <s v="discount not allowed"/>
    <s v="DISCOUNT NOT ALLOWED"/>
    <s v="Discount Not Allowed"/>
    <s v="20/05/23"/>
  </r>
  <r>
    <s v="TXN_4421008"/>
    <s v="CUST_24"/>
    <x v="3"/>
    <x v="197"/>
    <x v="24"/>
    <x v="7"/>
    <n v="15"/>
    <x v="2"/>
    <x v="1"/>
    <x v="873"/>
    <x v="0"/>
    <s v="DISCOUNT NOT ALLOWED"/>
    <s v="discount not allowed"/>
    <s v="DISCOUNT NOT ALLOWED"/>
    <s v="Discount Not Allowed"/>
    <s v="12/02/24"/>
  </r>
  <r>
    <s v="TXN_4778282"/>
    <s v="CUST_16"/>
    <x v="0"/>
    <x v="195"/>
    <x v="24"/>
    <x v="7"/>
    <n v="15"/>
    <x v="0"/>
    <x v="1"/>
    <x v="907"/>
    <x v="0"/>
    <s v="DISCOUNT NOT ALLOWED"/>
    <s v="discount not allowed"/>
    <s v="DISCOUNT NOT ALLOWED"/>
    <s v="Discount Not Allowed"/>
    <s v="09/04/23"/>
  </r>
  <r>
    <s v="TXN_4801202"/>
    <s v="CUST_16"/>
    <x v="2"/>
    <x v="199"/>
    <x v="24"/>
    <x v="7"/>
    <n v="15"/>
    <x v="0"/>
    <x v="0"/>
    <x v="1074"/>
    <x v="0"/>
    <s v="DISCOUNT NOT ALLOWED"/>
    <s v="discount not allowed"/>
    <s v="DISCOUNT NOT ALLOWED"/>
    <s v="Discount Not Allowed"/>
    <s v="31/05/24"/>
  </r>
  <r>
    <s v="TXN_6459760"/>
    <s v="CUST_09"/>
    <x v="0"/>
    <x v="195"/>
    <x v="24"/>
    <x v="7"/>
    <n v="15"/>
    <x v="1"/>
    <x v="1"/>
    <x v="116"/>
    <x v="0"/>
    <s v="DISCOUNT NOT ALLOWED"/>
    <s v="discount not allowed"/>
    <s v="DISCOUNT NOT ALLOWED"/>
    <s v="Discount Not Allowed"/>
    <s v="25/10/23"/>
  </r>
  <r>
    <s v="TXN_6553626"/>
    <s v="CUST_23"/>
    <x v="6"/>
    <x v="196"/>
    <x v="24"/>
    <x v="7"/>
    <n v="15"/>
    <x v="2"/>
    <x v="0"/>
    <x v="716"/>
    <x v="1"/>
    <s v="DISCOUNT ALLOWED"/>
    <s v="discount allowed"/>
    <s v="DISCOUNT ALLOWED"/>
    <s v="Discount Allowed"/>
    <s v="19/05/22"/>
  </r>
  <r>
    <s v="TXN_6947851"/>
    <s v="CUST_08"/>
    <x v="1"/>
    <x v="193"/>
    <x v="24"/>
    <x v="7"/>
    <n v="15"/>
    <x v="0"/>
    <x v="1"/>
    <x v="357"/>
    <x v="1"/>
    <s v="DISCOUNT ALLOWED"/>
    <s v="discount allowed"/>
    <s v="DISCOUNT ALLOWED"/>
    <s v="Discount Allowed"/>
    <s v="09/07/23"/>
  </r>
  <r>
    <s v="TXN_7515524"/>
    <s v="CUST_16"/>
    <x v="2"/>
    <x v="199"/>
    <x v="24"/>
    <x v="7"/>
    <n v="15"/>
    <x v="0"/>
    <x v="0"/>
    <x v="1020"/>
    <x v="1"/>
    <s v="DISCOUNT ALLOWED"/>
    <s v="discount allowed"/>
    <s v="DISCOUNT ALLOWED"/>
    <s v="Discount Allowed"/>
    <s v="16/10/23"/>
  </r>
  <r>
    <s v="TXN_7522989"/>
    <s v="CUST_06"/>
    <x v="5"/>
    <x v="194"/>
    <x v="24"/>
    <x v="7"/>
    <n v="15"/>
    <x v="2"/>
    <x v="0"/>
    <x v="583"/>
    <x v="1"/>
    <s v="DISCOUNT ALLOWED"/>
    <s v="discount allowed"/>
    <s v="DISCOUNT ALLOWED"/>
    <s v="Discount Allowed"/>
    <s v="16/03/22"/>
  </r>
  <r>
    <s v="TXN_8310973"/>
    <s v="CUST_10"/>
    <x v="0"/>
    <x v="195"/>
    <x v="24"/>
    <x v="7"/>
    <n v="15"/>
    <x v="2"/>
    <x v="1"/>
    <x v="780"/>
    <x v="1"/>
    <s v="DISCOUNT ALLOWED"/>
    <s v="discount allowed"/>
    <s v="DISCOUNT ALLOWED"/>
    <s v="Discount Allowed"/>
    <s v="22/04/24"/>
  </r>
  <r>
    <s v="TXN_8367191"/>
    <s v="CUST_24"/>
    <x v="3"/>
    <x v="197"/>
    <x v="24"/>
    <x v="7"/>
    <n v="15"/>
    <x v="1"/>
    <x v="1"/>
    <x v="155"/>
    <x v="1"/>
    <s v="DISCOUNT ALLOWED"/>
    <s v="discount allowed"/>
    <s v="DISCOUNT ALLOWED"/>
    <s v="Discount Allowed"/>
    <s v="19/02/22"/>
  </r>
  <r>
    <s v="TXN_8825993"/>
    <s v="CUST_06"/>
    <x v="5"/>
    <x v="194"/>
    <x v="24"/>
    <x v="7"/>
    <n v="15"/>
    <x v="1"/>
    <x v="0"/>
    <x v="569"/>
    <x v="1"/>
    <s v="DISCOUNT ALLOWED"/>
    <s v="discount allowed"/>
    <s v="DISCOUNT ALLOWED"/>
    <s v="Discount Allowed"/>
    <s v="02/05/24"/>
  </r>
  <r>
    <s v="TXN_8840155"/>
    <s v="CUST_11"/>
    <x v="0"/>
    <x v="195"/>
    <x v="24"/>
    <x v="7"/>
    <n v="15"/>
    <x v="0"/>
    <x v="0"/>
    <x v="776"/>
    <x v="0"/>
    <s v="DISCOUNT NOT ALLOWED"/>
    <s v="discount not allowed"/>
    <s v="DISCOUNT NOT ALLOWED"/>
    <s v="Discount Not Allowed"/>
    <s v="15/12/24"/>
  </r>
  <r>
    <s v="TXN_8883555"/>
    <s v="CUST_12"/>
    <x v="2"/>
    <x v="199"/>
    <x v="24"/>
    <x v="7"/>
    <n v="15"/>
    <x v="2"/>
    <x v="1"/>
    <x v="396"/>
    <x v="1"/>
    <s v="DISCOUNT ALLOWED"/>
    <s v="discount allowed"/>
    <s v="DISCOUNT ALLOWED"/>
    <s v="Discount Allowed"/>
    <s v="12/10/22"/>
  </r>
  <r>
    <s v="TXN_9027302"/>
    <s v="CUST_05"/>
    <x v="2"/>
    <x v="199"/>
    <x v="24"/>
    <x v="7"/>
    <n v="15"/>
    <x v="1"/>
    <x v="0"/>
    <x v="863"/>
    <x v="0"/>
    <s v="DISCOUNT NOT ALLOWED"/>
    <s v="discount not allowed"/>
    <s v="DISCOUNT NOT ALLOWED"/>
    <s v="Discount Not Allowed"/>
    <s v="26/12/22"/>
  </r>
  <r>
    <s v="TXN_9165480"/>
    <s v="CUST_15"/>
    <x v="0"/>
    <x v="195"/>
    <x v="24"/>
    <x v="7"/>
    <n v="15"/>
    <x v="1"/>
    <x v="1"/>
    <x v="752"/>
    <x v="0"/>
    <s v="DISCOUNT NOT ALLOWED"/>
    <s v="discount not allowed"/>
    <s v="DISCOUNT NOT ALLOWED"/>
    <s v="Discount Not Allowed"/>
    <s v="18/05/23"/>
  </r>
  <r>
    <s v="TXN_9504371"/>
    <s v="CUST_22"/>
    <x v="3"/>
    <x v="197"/>
    <x v="24"/>
    <x v="7"/>
    <n v="15"/>
    <x v="2"/>
    <x v="0"/>
    <x v="177"/>
    <x v="0"/>
    <s v="DISCOUNT NOT ALLOWED"/>
    <s v="discount not allowed"/>
    <s v="DISCOUNT NOT ALLOWED"/>
    <s v="Discount Not Allowed"/>
    <s v="14/06/24"/>
  </r>
  <r>
    <s v="TXN_9731608"/>
    <s v="CUST_21"/>
    <x v="7"/>
    <x v="192"/>
    <x v="24"/>
    <x v="7"/>
    <n v="15"/>
    <x v="1"/>
    <x v="0"/>
    <x v="47"/>
    <x v="0"/>
    <s v="DISCOUNT NOT ALLOWED"/>
    <s v="discount not allowed"/>
    <s v="DISCOUNT NOT ALLOWED"/>
    <s v="Discount Not Allowed"/>
    <s v="01/01/24"/>
  </r>
  <r>
    <s v="TXN_9970141"/>
    <s v="CUST_10"/>
    <x v="5"/>
    <x v="194"/>
    <x v="24"/>
    <x v="7"/>
    <n v="15"/>
    <x v="1"/>
    <x v="1"/>
    <x v="920"/>
    <x v="0"/>
    <s v="DISCOUNT NOT ALLOWED"/>
    <s v="discount not allowed"/>
    <s v="DISCOUNT NOT ALLOWED"/>
    <s v="Discount Not Allowed"/>
    <s v="03/07/23"/>
  </r>
  <r>
    <s v="TXN_1038808"/>
    <s v="CUST_02"/>
    <x v="0"/>
    <x v="150"/>
    <x v="18"/>
    <x v="9"/>
    <n v="14"/>
    <x v="0"/>
    <x v="1"/>
    <x v="1070"/>
    <x v="1"/>
    <s v="DISCOUNT ALLOWED"/>
    <s v="discount allowed"/>
    <s v="DISCOUNT ALLOWED"/>
    <s v="Discount Allowed"/>
    <s v="29/02/24"/>
  </r>
  <r>
    <s v="TXN_1238927"/>
    <s v="CUST_01"/>
    <x v="7"/>
    <x v="146"/>
    <x v="18"/>
    <x v="9"/>
    <n v="14"/>
    <x v="0"/>
    <x v="1"/>
    <x v="856"/>
    <x v="1"/>
    <s v="DISCOUNT ALLOWED"/>
    <s v="discount allowed"/>
    <s v="DISCOUNT ALLOWED"/>
    <s v="Discount Allowed"/>
    <s v="23/12/22"/>
  </r>
  <r>
    <s v="TXN_1633301"/>
    <s v="CUST_02"/>
    <x v="6"/>
    <x v="145"/>
    <x v="18"/>
    <x v="9"/>
    <n v="14"/>
    <x v="0"/>
    <x v="0"/>
    <x v="336"/>
    <x v="1"/>
    <s v="DISCOUNT ALLOWED"/>
    <s v="discount allowed"/>
    <s v="DISCOUNT ALLOWED"/>
    <s v="Discount Allowed"/>
    <s v="05/11/24"/>
  </r>
  <r>
    <s v="TXN_1818008"/>
    <s v="CUST_19"/>
    <x v="5"/>
    <x v="143"/>
    <x v="18"/>
    <x v="9"/>
    <n v="14"/>
    <x v="0"/>
    <x v="0"/>
    <x v="334"/>
    <x v="0"/>
    <s v="DISCOUNT NOT ALLOWED"/>
    <s v="discount not allowed"/>
    <s v="DISCOUNT NOT ALLOWED"/>
    <s v="Discount Not Allowed"/>
    <s v="29/03/22"/>
  </r>
  <r>
    <s v="TXN_2466028"/>
    <s v="CUST_04"/>
    <x v="3"/>
    <x v="144"/>
    <x v="18"/>
    <x v="9"/>
    <n v="14"/>
    <x v="1"/>
    <x v="0"/>
    <x v="174"/>
    <x v="0"/>
    <s v="DISCOUNT NOT ALLOWED"/>
    <s v="discount not allowed"/>
    <s v="DISCOUNT NOT ALLOWED"/>
    <s v="Discount Not Allowed"/>
    <s v="29/11/22"/>
  </r>
  <r>
    <s v="TXN_3409638"/>
    <s v="CUST_22"/>
    <x v="6"/>
    <x v="145"/>
    <x v="18"/>
    <x v="9"/>
    <n v="14"/>
    <x v="2"/>
    <x v="1"/>
    <x v="658"/>
    <x v="0"/>
    <s v="DISCOUNT NOT ALLOWED"/>
    <s v="discount not allowed"/>
    <s v="DISCOUNT NOT ALLOWED"/>
    <s v="Discount Not Allowed"/>
    <s v="29/09/22"/>
  </r>
  <r>
    <s v="TXN_3504313"/>
    <s v="CUST_11"/>
    <x v="1"/>
    <x v="149"/>
    <x v="18"/>
    <x v="9"/>
    <n v="14"/>
    <x v="0"/>
    <x v="0"/>
    <x v="986"/>
    <x v="0"/>
    <s v="DISCOUNT NOT ALLOWED"/>
    <s v="discount not allowed"/>
    <s v="DISCOUNT NOT ALLOWED"/>
    <s v="Discount Not Allowed"/>
    <s v="07/11/23"/>
  </r>
  <r>
    <s v="TXN_3525754"/>
    <s v="CUST_06"/>
    <x v="1"/>
    <x v="149"/>
    <x v="18"/>
    <x v="9"/>
    <n v="14"/>
    <x v="2"/>
    <x v="1"/>
    <x v="556"/>
    <x v="1"/>
    <s v="DISCOUNT ALLOWED"/>
    <s v="discount allowed"/>
    <s v="DISCOUNT ALLOWED"/>
    <s v="Discount Allowed"/>
    <s v="16/02/24"/>
  </r>
  <r>
    <s v="TXN_3652625"/>
    <s v="CUST_20"/>
    <x v="7"/>
    <x v="146"/>
    <x v="18"/>
    <x v="9"/>
    <n v="14"/>
    <x v="1"/>
    <x v="1"/>
    <x v="143"/>
    <x v="1"/>
    <s v="DISCOUNT ALLOWED"/>
    <s v="discount allowed"/>
    <s v="DISCOUNT ALLOWED"/>
    <s v="Discount Allowed"/>
    <s v="23/08/23"/>
  </r>
  <r>
    <s v="TXN_4242984"/>
    <s v="CUST_17"/>
    <x v="1"/>
    <x v="149"/>
    <x v="18"/>
    <x v="9"/>
    <n v="14"/>
    <x v="2"/>
    <x v="1"/>
    <x v="246"/>
    <x v="1"/>
    <s v="DISCOUNT ALLOWED"/>
    <s v="discount allowed"/>
    <s v="DISCOUNT ALLOWED"/>
    <s v="Discount Allowed"/>
    <s v="13/08/22"/>
  </r>
  <r>
    <s v="TXN_4437831"/>
    <s v="CUST_03"/>
    <x v="0"/>
    <x v="150"/>
    <x v="18"/>
    <x v="9"/>
    <n v="14"/>
    <x v="1"/>
    <x v="1"/>
    <x v="803"/>
    <x v="1"/>
    <s v="DISCOUNT ALLOWED"/>
    <s v="discount allowed"/>
    <s v="DISCOUNT ALLOWED"/>
    <s v="Discount Allowed"/>
    <s v="24/04/22"/>
  </r>
  <r>
    <s v="TXN_5086683"/>
    <s v="CUST_02"/>
    <x v="2"/>
    <x v="148"/>
    <x v="18"/>
    <x v="9"/>
    <n v="14"/>
    <x v="0"/>
    <x v="0"/>
    <x v="916"/>
    <x v="0"/>
    <s v="DISCOUNT NOT ALLOWED"/>
    <s v="discount not allowed"/>
    <s v="DISCOUNT NOT ALLOWED"/>
    <s v="Discount Not Allowed"/>
    <s v="13/10/24"/>
  </r>
  <r>
    <s v="TXN_5233566"/>
    <s v="CUST_02"/>
    <x v="0"/>
    <x v="150"/>
    <x v="18"/>
    <x v="9"/>
    <n v="14"/>
    <x v="0"/>
    <x v="0"/>
    <x v="373"/>
    <x v="0"/>
    <s v="DISCOUNT NOT ALLOWED"/>
    <s v="discount not allowed"/>
    <s v="DISCOUNT NOT ALLOWED"/>
    <s v="Discount Not Allowed"/>
    <s v="23/09/24"/>
  </r>
  <r>
    <s v="TXN_5687185"/>
    <s v="CUST_21"/>
    <x v="3"/>
    <x v="144"/>
    <x v="18"/>
    <x v="9"/>
    <n v="14"/>
    <x v="0"/>
    <x v="1"/>
    <x v="1092"/>
    <x v="1"/>
    <s v="DISCOUNT ALLOWED"/>
    <s v="discount allowed"/>
    <s v="DISCOUNT ALLOWED"/>
    <s v="Discount Allowed"/>
    <s v="05/02/22"/>
  </r>
  <r>
    <s v="TXN_5799395"/>
    <s v="CUST_18"/>
    <x v="0"/>
    <x v="150"/>
    <x v="18"/>
    <x v="9"/>
    <n v="14"/>
    <x v="1"/>
    <x v="0"/>
    <x v="932"/>
    <x v="1"/>
    <s v="DISCOUNT ALLOWED"/>
    <s v="discount allowed"/>
    <s v="DISCOUNT ALLOWED"/>
    <s v="Discount Allowed"/>
    <s v="22/04/22"/>
  </r>
  <r>
    <s v="TXN_5938028"/>
    <s v="CUST_18"/>
    <x v="6"/>
    <x v="145"/>
    <x v="18"/>
    <x v="9"/>
    <n v="14"/>
    <x v="0"/>
    <x v="0"/>
    <x v="160"/>
    <x v="1"/>
    <s v="DISCOUNT ALLOWED"/>
    <s v="discount allowed"/>
    <s v="DISCOUNT ALLOWED"/>
    <s v="Discount Allowed"/>
    <s v="20/02/23"/>
  </r>
  <r>
    <s v="TXN_6057467"/>
    <s v="CUST_07"/>
    <x v="0"/>
    <x v="150"/>
    <x v="18"/>
    <x v="9"/>
    <n v="14"/>
    <x v="2"/>
    <x v="1"/>
    <x v="111"/>
    <x v="1"/>
    <s v="DISCOUNT ALLOWED"/>
    <s v="discount allowed"/>
    <s v="DISCOUNT ALLOWED"/>
    <s v="Discount Allowed"/>
    <s v="03/11/24"/>
  </r>
  <r>
    <s v="TXN_6124315"/>
    <s v="CUST_15"/>
    <x v="2"/>
    <x v="148"/>
    <x v="18"/>
    <x v="9"/>
    <n v="14"/>
    <x v="0"/>
    <x v="0"/>
    <x v="10"/>
    <x v="1"/>
    <s v="DISCOUNT ALLOWED"/>
    <s v="discount allowed"/>
    <s v="DISCOUNT ALLOWED"/>
    <s v="Discount Allowed"/>
    <s v="29/08/22"/>
  </r>
  <r>
    <s v="TXN_6283940"/>
    <s v="CUST_01"/>
    <x v="4"/>
    <x v="147"/>
    <x v="18"/>
    <x v="9"/>
    <n v="14"/>
    <x v="2"/>
    <x v="1"/>
    <x v="636"/>
    <x v="1"/>
    <s v="DISCOUNT ALLOWED"/>
    <s v="discount allowed"/>
    <s v="DISCOUNT ALLOWED"/>
    <s v="Discount Allowed"/>
    <s v="21/09/22"/>
  </r>
  <r>
    <s v="TXN_6610649"/>
    <s v="CUST_22"/>
    <x v="1"/>
    <x v="149"/>
    <x v="18"/>
    <x v="9"/>
    <n v="14"/>
    <x v="1"/>
    <x v="0"/>
    <x v="151"/>
    <x v="0"/>
    <s v="DISCOUNT NOT ALLOWED"/>
    <s v="discount not allowed"/>
    <s v="DISCOUNT NOT ALLOWED"/>
    <s v="Discount Not Allowed"/>
    <s v="17/06/24"/>
  </r>
  <r>
    <s v="TXN_6699706"/>
    <s v="CUST_23"/>
    <x v="2"/>
    <x v="148"/>
    <x v="18"/>
    <x v="9"/>
    <n v="14"/>
    <x v="0"/>
    <x v="0"/>
    <x v="183"/>
    <x v="0"/>
    <s v="DISCOUNT NOT ALLOWED"/>
    <s v="discount not allowed"/>
    <s v="DISCOUNT NOT ALLOWED"/>
    <s v="Discount Not Allowed"/>
    <s v="31/12/23"/>
  </r>
  <r>
    <s v="TXN_6771805"/>
    <s v="CUST_07"/>
    <x v="5"/>
    <x v="143"/>
    <x v="18"/>
    <x v="9"/>
    <n v="14"/>
    <x v="0"/>
    <x v="1"/>
    <x v="667"/>
    <x v="1"/>
    <s v="DISCOUNT ALLOWED"/>
    <s v="discount allowed"/>
    <s v="DISCOUNT ALLOWED"/>
    <s v="Discount Allowed"/>
    <s v="18/12/23"/>
  </r>
  <r>
    <s v="TXN_7904450"/>
    <s v="CUST_02"/>
    <x v="0"/>
    <x v="150"/>
    <x v="18"/>
    <x v="9"/>
    <n v="14"/>
    <x v="2"/>
    <x v="0"/>
    <x v="1048"/>
    <x v="0"/>
    <s v="DISCOUNT NOT ALLOWED"/>
    <s v="discount not allowed"/>
    <s v="DISCOUNT NOT ALLOWED"/>
    <s v="Discount Not Allowed"/>
    <s v="17/06/22"/>
  </r>
  <r>
    <s v="TXN_8265493"/>
    <s v="CUST_03"/>
    <x v="3"/>
    <x v="144"/>
    <x v="18"/>
    <x v="9"/>
    <n v="14"/>
    <x v="2"/>
    <x v="0"/>
    <x v="218"/>
    <x v="0"/>
    <s v="DISCOUNT NOT ALLOWED"/>
    <s v="discount not allowed"/>
    <s v="DISCOUNT NOT ALLOWED"/>
    <s v="Discount Not Allowed"/>
    <s v="06/10/22"/>
  </r>
  <r>
    <s v="TXN_8286837"/>
    <s v="CUST_15"/>
    <x v="0"/>
    <x v="150"/>
    <x v="18"/>
    <x v="9"/>
    <n v="14"/>
    <x v="2"/>
    <x v="1"/>
    <x v="666"/>
    <x v="0"/>
    <s v="DISCOUNT NOT ALLOWED"/>
    <s v="discount not allowed"/>
    <s v="DISCOUNT NOT ALLOWED"/>
    <s v="Discount Not Allowed"/>
    <s v="19/12/23"/>
  </r>
  <r>
    <s v="TXN_8586265"/>
    <s v="CUST_14"/>
    <x v="0"/>
    <x v="150"/>
    <x v="18"/>
    <x v="9"/>
    <n v="14"/>
    <x v="0"/>
    <x v="1"/>
    <x v="482"/>
    <x v="1"/>
    <s v="DISCOUNT ALLOWED"/>
    <s v="discount allowed"/>
    <s v="DISCOUNT ALLOWED"/>
    <s v="Discount Allowed"/>
    <s v="03/03/23"/>
  </r>
  <r>
    <s v="TXN_8613508"/>
    <s v="CUST_08"/>
    <x v="3"/>
    <x v="144"/>
    <x v="18"/>
    <x v="9"/>
    <n v="14"/>
    <x v="1"/>
    <x v="0"/>
    <x v="408"/>
    <x v="1"/>
    <s v="DISCOUNT ALLOWED"/>
    <s v="discount allowed"/>
    <s v="DISCOUNT ALLOWED"/>
    <s v="Discount Allowed"/>
    <s v="24/11/24"/>
  </r>
  <r>
    <s v="TXN_8822985"/>
    <s v="CUST_18"/>
    <x v="3"/>
    <x v="144"/>
    <x v="18"/>
    <x v="9"/>
    <n v="14"/>
    <x v="0"/>
    <x v="0"/>
    <x v="868"/>
    <x v="0"/>
    <s v="DISCOUNT NOT ALLOWED"/>
    <s v="discount not allowed"/>
    <s v="DISCOUNT NOT ALLOWED"/>
    <s v="Discount Not Allowed"/>
    <s v="22/08/24"/>
  </r>
  <r>
    <s v="TXN_9160928"/>
    <s v="CUST_11"/>
    <x v="7"/>
    <x v="146"/>
    <x v="18"/>
    <x v="9"/>
    <n v="14"/>
    <x v="0"/>
    <x v="0"/>
    <x v="826"/>
    <x v="0"/>
    <s v="DISCOUNT NOT ALLOWED"/>
    <s v="discount not allowed"/>
    <s v="DISCOUNT NOT ALLOWED"/>
    <s v="Discount Not Allowed"/>
    <s v="03/08/22"/>
  </r>
  <r>
    <s v="TXN_9297266"/>
    <s v="CUST_16"/>
    <x v="7"/>
    <x v="146"/>
    <x v="18"/>
    <x v="9"/>
    <n v="14"/>
    <x v="0"/>
    <x v="0"/>
    <x v="372"/>
    <x v="0"/>
    <s v="DISCOUNT NOT ALLOWED"/>
    <s v="discount not allowed"/>
    <s v="DISCOUNT NOT ALLOWED"/>
    <s v="Discount Not Allowed"/>
    <s v="17/07/24"/>
  </r>
  <r>
    <s v="TXN_9344795"/>
    <s v="CUST_12"/>
    <x v="0"/>
    <x v="150"/>
    <x v="18"/>
    <x v="9"/>
    <n v="14"/>
    <x v="1"/>
    <x v="1"/>
    <x v="883"/>
    <x v="1"/>
    <s v="DISCOUNT ALLOWED"/>
    <s v="discount allowed"/>
    <s v="DISCOUNT ALLOWED"/>
    <s v="Discount Allowed"/>
    <s v="20/10/24"/>
  </r>
  <r>
    <s v="TXN_9441394"/>
    <s v="CUST_21"/>
    <x v="1"/>
    <x v="149"/>
    <x v="18"/>
    <x v="9"/>
    <n v="14"/>
    <x v="0"/>
    <x v="0"/>
    <x v="504"/>
    <x v="1"/>
    <s v="DISCOUNT ALLOWED"/>
    <s v="discount allowed"/>
    <s v="DISCOUNT ALLOWED"/>
    <s v="Discount Allowed"/>
    <s v="12/02/22"/>
  </r>
  <r>
    <s v="TXN_9458229"/>
    <s v="CUST_17"/>
    <x v="1"/>
    <x v="149"/>
    <x v="18"/>
    <x v="9"/>
    <n v="14"/>
    <x v="1"/>
    <x v="1"/>
    <x v="289"/>
    <x v="0"/>
    <s v="DISCOUNT NOT ALLOWED"/>
    <s v="discount not allowed"/>
    <s v="DISCOUNT NOT ALLOWED"/>
    <s v="Discount Not Allowed"/>
    <s v="04/03/22"/>
  </r>
  <r>
    <s v="TXN_1603699"/>
    <s v="CUST_17"/>
    <x v="6"/>
    <x v="188"/>
    <x v="23"/>
    <x v="8"/>
    <n v="13"/>
    <x v="0"/>
    <x v="1"/>
    <x v="795"/>
    <x v="1"/>
    <s v="DISCOUNT ALLOWED"/>
    <s v="discount allowed"/>
    <s v="DISCOUNT ALLOWED"/>
    <s v="Discount Allowed"/>
    <s v="23/10/23"/>
  </r>
  <r>
    <s v="TXN_1608080"/>
    <s v="CUST_23"/>
    <x v="3"/>
    <x v="189"/>
    <x v="23"/>
    <x v="8"/>
    <n v="13"/>
    <x v="2"/>
    <x v="1"/>
    <x v="428"/>
    <x v="0"/>
    <s v="DISCOUNT NOT ALLOWED"/>
    <s v="discount not allowed"/>
    <s v="DISCOUNT NOT ALLOWED"/>
    <s v="Discount Not Allowed"/>
    <s v="01/05/23"/>
  </r>
  <r>
    <s v="TXN_1983263"/>
    <s v="CUST_06"/>
    <x v="5"/>
    <x v="190"/>
    <x v="23"/>
    <x v="8"/>
    <n v="13"/>
    <x v="2"/>
    <x v="1"/>
    <x v="396"/>
    <x v="0"/>
    <s v="DISCOUNT NOT ALLOWED"/>
    <s v="discount not allowed"/>
    <s v="DISCOUNT NOT ALLOWED"/>
    <s v="Discount Not Allowed"/>
    <s v="12/10/22"/>
  </r>
  <r>
    <s v="TXN_2028406"/>
    <s v="CUST_15"/>
    <x v="3"/>
    <x v="189"/>
    <x v="23"/>
    <x v="8"/>
    <n v="13"/>
    <x v="0"/>
    <x v="1"/>
    <x v="818"/>
    <x v="1"/>
    <s v="DISCOUNT ALLOWED"/>
    <s v="discount allowed"/>
    <s v="DISCOUNT ALLOWED"/>
    <s v="Discount Allowed"/>
    <s v="30/10/22"/>
  </r>
  <r>
    <s v="TXN_2412514"/>
    <s v="CUST_20"/>
    <x v="1"/>
    <x v="184"/>
    <x v="23"/>
    <x v="8"/>
    <n v="13"/>
    <x v="1"/>
    <x v="1"/>
    <x v="282"/>
    <x v="0"/>
    <s v="DISCOUNT NOT ALLOWED"/>
    <s v="discount not allowed"/>
    <s v="DISCOUNT NOT ALLOWED"/>
    <s v="Discount Not Allowed"/>
    <s v="20/06/23"/>
  </r>
  <r>
    <s v="TXN_2579665"/>
    <s v="CUST_24"/>
    <x v="1"/>
    <x v="184"/>
    <x v="23"/>
    <x v="8"/>
    <n v="13"/>
    <x v="2"/>
    <x v="0"/>
    <x v="156"/>
    <x v="0"/>
    <s v="DISCOUNT NOT ALLOWED"/>
    <s v="discount not allowed"/>
    <s v="DISCOUNT NOT ALLOWED"/>
    <s v="Discount Not Allowed"/>
    <s v="04/07/22"/>
  </r>
  <r>
    <s v="TXN_2940238"/>
    <s v="CUST_16"/>
    <x v="5"/>
    <x v="190"/>
    <x v="23"/>
    <x v="8"/>
    <n v="13"/>
    <x v="2"/>
    <x v="0"/>
    <x v="15"/>
    <x v="0"/>
    <s v="DISCOUNT NOT ALLOWED"/>
    <s v="discount not allowed"/>
    <s v="DISCOUNT NOT ALLOWED"/>
    <s v="Discount Not Allowed"/>
    <s v="28/07/22"/>
  </r>
  <r>
    <s v="TXN_3194714"/>
    <s v="CUST_03"/>
    <x v="6"/>
    <x v="188"/>
    <x v="23"/>
    <x v="8"/>
    <n v="13"/>
    <x v="2"/>
    <x v="0"/>
    <x v="510"/>
    <x v="0"/>
    <s v="DISCOUNT NOT ALLOWED"/>
    <s v="discount not allowed"/>
    <s v="DISCOUNT NOT ALLOWED"/>
    <s v="Discount Not Allowed"/>
    <s v="14/02/23"/>
  </r>
  <r>
    <s v="TXN_3206633"/>
    <s v="CUST_16"/>
    <x v="6"/>
    <x v="188"/>
    <x v="23"/>
    <x v="8"/>
    <n v="13"/>
    <x v="0"/>
    <x v="0"/>
    <x v="547"/>
    <x v="0"/>
    <s v="DISCOUNT NOT ALLOWED"/>
    <s v="discount not allowed"/>
    <s v="DISCOUNT NOT ALLOWED"/>
    <s v="Discount Not Allowed"/>
    <s v="14/10/23"/>
  </r>
  <r>
    <s v="TXN_3599726"/>
    <s v="CUST_06"/>
    <x v="2"/>
    <x v="187"/>
    <x v="23"/>
    <x v="8"/>
    <n v="13"/>
    <x v="1"/>
    <x v="1"/>
    <x v="960"/>
    <x v="1"/>
    <s v="DISCOUNT ALLOWED"/>
    <s v="discount allowed"/>
    <s v="DISCOUNT ALLOWED"/>
    <s v="Discount Allowed"/>
    <s v="25/11/22"/>
  </r>
  <r>
    <s v="TXN_3784506"/>
    <s v="CUST_11"/>
    <x v="3"/>
    <x v="189"/>
    <x v="23"/>
    <x v="8"/>
    <n v="13"/>
    <x v="2"/>
    <x v="0"/>
    <x v="770"/>
    <x v="1"/>
    <s v="DISCOUNT ALLOWED"/>
    <s v="discount allowed"/>
    <s v="DISCOUNT ALLOWED"/>
    <s v="Discount Allowed"/>
    <s v="03/02/24"/>
  </r>
  <r>
    <s v="TXN_4004492"/>
    <s v="CUST_03"/>
    <x v="0"/>
    <x v="186"/>
    <x v="23"/>
    <x v="8"/>
    <n v="13"/>
    <x v="0"/>
    <x v="1"/>
    <x v="1079"/>
    <x v="1"/>
    <s v="DISCOUNT ALLOWED"/>
    <s v="discount allowed"/>
    <s v="DISCOUNT ALLOWED"/>
    <s v="Discount Allowed"/>
    <s v="15/01/25"/>
  </r>
  <r>
    <s v="TXN_4059881"/>
    <s v="CUST_02"/>
    <x v="0"/>
    <x v="186"/>
    <x v="23"/>
    <x v="8"/>
    <n v="13"/>
    <x v="0"/>
    <x v="1"/>
    <x v="538"/>
    <x v="1"/>
    <s v="DISCOUNT ALLOWED"/>
    <s v="discount allowed"/>
    <s v="DISCOUNT ALLOWED"/>
    <s v="Discount Allowed"/>
    <s v="16/07/24"/>
  </r>
  <r>
    <s v="TXN_4399717"/>
    <s v="CUST_16"/>
    <x v="0"/>
    <x v="186"/>
    <x v="23"/>
    <x v="8"/>
    <n v="13"/>
    <x v="2"/>
    <x v="1"/>
    <x v="925"/>
    <x v="1"/>
    <s v="DISCOUNT ALLOWED"/>
    <s v="discount allowed"/>
    <s v="DISCOUNT ALLOWED"/>
    <s v="Discount Allowed"/>
    <s v="15/12/22"/>
  </r>
  <r>
    <s v="TXN_4892743"/>
    <s v="CUST_11"/>
    <x v="1"/>
    <x v="184"/>
    <x v="23"/>
    <x v="8"/>
    <n v="13"/>
    <x v="1"/>
    <x v="1"/>
    <x v="600"/>
    <x v="0"/>
    <s v="DISCOUNT NOT ALLOWED"/>
    <s v="discount not allowed"/>
    <s v="DISCOUNT NOT ALLOWED"/>
    <s v="Discount Not Allowed"/>
    <s v="26/10/22"/>
  </r>
  <r>
    <s v="TXN_5439767"/>
    <s v="CUST_18"/>
    <x v="2"/>
    <x v="187"/>
    <x v="23"/>
    <x v="8"/>
    <n v="13"/>
    <x v="1"/>
    <x v="1"/>
    <x v="620"/>
    <x v="1"/>
    <s v="DISCOUNT ALLOWED"/>
    <s v="discount allowed"/>
    <s v="DISCOUNT ALLOWED"/>
    <s v="Discount Allowed"/>
    <s v="19/09/23"/>
  </r>
  <r>
    <s v="TXN_5585168"/>
    <s v="CUST_09"/>
    <x v="2"/>
    <x v="187"/>
    <x v="23"/>
    <x v="8"/>
    <n v="13"/>
    <x v="2"/>
    <x v="1"/>
    <x v="306"/>
    <x v="1"/>
    <s v="DISCOUNT ALLOWED"/>
    <s v="discount allowed"/>
    <s v="DISCOUNT ALLOWED"/>
    <s v="Discount Allowed"/>
    <s v="07/01/25"/>
  </r>
  <r>
    <s v="TXN_6685616"/>
    <s v="CUST_08"/>
    <x v="3"/>
    <x v="189"/>
    <x v="23"/>
    <x v="8"/>
    <n v="13"/>
    <x v="2"/>
    <x v="1"/>
    <x v="457"/>
    <x v="1"/>
    <s v="DISCOUNT ALLOWED"/>
    <s v="discount allowed"/>
    <s v="DISCOUNT ALLOWED"/>
    <s v="Discount Allowed"/>
    <s v="21/01/22"/>
  </r>
  <r>
    <s v="TXN_7310787"/>
    <s v="CUST_15"/>
    <x v="2"/>
    <x v="187"/>
    <x v="23"/>
    <x v="8"/>
    <n v="13"/>
    <x v="2"/>
    <x v="1"/>
    <x v="383"/>
    <x v="0"/>
    <s v="DISCOUNT NOT ALLOWED"/>
    <s v="discount not allowed"/>
    <s v="DISCOUNT NOT ALLOWED"/>
    <s v="Discount Not Allowed"/>
    <s v="23/10/24"/>
  </r>
  <r>
    <s v="TXN_7342615"/>
    <s v="CUST_15"/>
    <x v="1"/>
    <x v="184"/>
    <x v="23"/>
    <x v="8"/>
    <n v="13"/>
    <x v="0"/>
    <x v="0"/>
    <x v="738"/>
    <x v="0"/>
    <s v="DISCOUNT NOT ALLOWED"/>
    <s v="discount not allowed"/>
    <s v="DISCOUNT NOT ALLOWED"/>
    <s v="Discount Not Allowed"/>
    <s v="09/02/24"/>
  </r>
  <r>
    <s v="TXN_7871836"/>
    <s v="CUST_01"/>
    <x v="4"/>
    <x v="185"/>
    <x v="23"/>
    <x v="8"/>
    <n v="13"/>
    <x v="0"/>
    <x v="1"/>
    <x v="767"/>
    <x v="0"/>
    <s v="DISCOUNT NOT ALLOWED"/>
    <s v="discount not allowed"/>
    <s v="DISCOUNT NOT ALLOWED"/>
    <s v="Discount Not Allowed"/>
    <s v="24/07/22"/>
  </r>
  <r>
    <s v="TXN_8053690"/>
    <s v="CUST_01"/>
    <x v="1"/>
    <x v="184"/>
    <x v="23"/>
    <x v="8"/>
    <n v="13"/>
    <x v="0"/>
    <x v="1"/>
    <x v="812"/>
    <x v="0"/>
    <s v="DISCOUNT NOT ALLOWED"/>
    <s v="discount not allowed"/>
    <s v="DISCOUNT NOT ALLOWED"/>
    <s v="Discount Not Allowed"/>
    <s v="21/04/24"/>
  </r>
  <r>
    <s v="TXN_8206691"/>
    <s v="CUST_06"/>
    <x v="5"/>
    <x v="190"/>
    <x v="23"/>
    <x v="8"/>
    <n v="13"/>
    <x v="2"/>
    <x v="0"/>
    <x v="195"/>
    <x v="1"/>
    <s v="DISCOUNT ALLOWED"/>
    <s v="discount allowed"/>
    <s v="DISCOUNT ALLOWED"/>
    <s v="Discount Allowed"/>
    <s v="01/07/22"/>
  </r>
  <r>
    <s v="TXN_8481601"/>
    <s v="CUST_23"/>
    <x v="2"/>
    <x v="187"/>
    <x v="23"/>
    <x v="8"/>
    <n v="13"/>
    <x v="0"/>
    <x v="0"/>
    <x v="168"/>
    <x v="1"/>
    <s v="DISCOUNT ALLOWED"/>
    <s v="discount allowed"/>
    <s v="DISCOUNT ALLOWED"/>
    <s v="Discount Allowed"/>
    <s v="29/06/22"/>
  </r>
  <r>
    <s v="TXN_8571165"/>
    <s v="CUST_04"/>
    <x v="3"/>
    <x v="189"/>
    <x v="23"/>
    <x v="8"/>
    <n v="13"/>
    <x v="0"/>
    <x v="1"/>
    <x v="931"/>
    <x v="0"/>
    <s v="DISCOUNT NOT ALLOWED"/>
    <s v="discount not allowed"/>
    <s v="DISCOUNT NOT ALLOWED"/>
    <s v="Discount Not Allowed"/>
    <s v="14/05/23"/>
  </r>
  <r>
    <s v="TXN_8617279"/>
    <s v="CUST_17"/>
    <x v="4"/>
    <x v="185"/>
    <x v="23"/>
    <x v="8"/>
    <n v="13"/>
    <x v="2"/>
    <x v="1"/>
    <x v="587"/>
    <x v="0"/>
    <s v="DISCOUNT NOT ALLOWED"/>
    <s v="discount not allowed"/>
    <s v="DISCOUNT NOT ALLOWED"/>
    <s v="Discount Not Allowed"/>
    <s v="05/04/22"/>
  </r>
  <r>
    <s v="TXN_9139150"/>
    <s v="CUST_08"/>
    <x v="1"/>
    <x v="184"/>
    <x v="23"/>
    <x v="8"/>
    <n v="13"/>
    <x v="0"/>
    <x v="1"/>
    <x v="1046"/>
    <x v="1"/>
    <s v="DISCOUNT ALLOWED"/>
    <s v="discount allowed"/>
    <s v="DISCOUNT ALLOWED"/>
    <s v="Discount Allowed"/>
    <s v="05/03/24"/>
  </r>
  <r>
    <s v="TXN_9185169"/>
    <s v="CUST_14"/>
    <x v="6"/>
    <x v="188"/>
    <x v="23"/>
    <x v="8"/>
    <n v="13"/>
    <x v="2"/>
    <x v="1"/>
    <x v="679"/>
    <x v="0"/>
    <s v="DISCOUNT NOT ALLOWED"/>
    <s v="discount not allowed"/>
    <s v="DISCOUNT NOT ALLOWED"/>
    <s v="Discount Not Allowed"/>
    <s v="12/05/23"/>
  </r>
  <r>
    <s v="TXN_9216790"/>
    <s v="CUST_15"/>
    <x v="6"/>
    <x v="188"/>
    <x v="23"/>
    <x v="8"/>
    <n v="13"/>
    <x v="2"/>
    <x v="0"/>
    <x v="874"/>
    <x v="1"/>
    <s v="DISCOUNT ALLOWED"/>
    <s v="discount allowed"/>
    <s v="DISCOUNT ALLOWED"/>
    <s v="Discount Allowed"/>
    <s v="06/09/24"/>
  </r>
  <r>
    <s v="TXN_9344833"/>
    <s v="CUST_20"/>
    <x v="3"/>
    <x v="189"/>
    <x v="23"/>
    <x v="8"/>
    <n v="13"/>
    <x v="2"/>
    <x v="1"/>
    <x v="514"/>
    <x v="1"/>
    <s v="DISCOUNT ALLOWED"/>
    <s v="discount allowed"/>
    <s v="DISCOUNT ALLOWED"/>
    <s v="Discount Allowed"/>
    <s v="28/05/22"/>
  </r>
  <r>
    <s v="TXN_9364997"/>
    <s v="CUST_25"/>
    <x v="2"/>
    <x v="187"/>
    <x v="23"/>
    <x v="8"/>
    <n v="13"/>
    <x v="1"/>
    <x v="1"/>
    <x v="1073"/>
    <x v="1"/>
    <s v="DISCOUNT ALLOWED"/>
    <s v="discount allowed"/>
    <s v="DISCOUNT ALLOWED"/>
    <s v="Discount Allowed"/>
    <s v="02/08/22"/>
  </r>
  <r>
    <s v="TXN_9576699"/>
    <s v="CUST_24"/>
    <x v="1"/>
    <x v="184"/>
    <x v="23"/>
    <x v="8"/>
    <n v="13"/>
    <x v="1"/>
    <x v="0"/>
    <x v="121"/>
    <x v="0"/>
    <s v="DISCOUNT NOT ALLOWED"/>
    <s v="discount not allowed"/>
    <s v="DISCOUNT NOT ALLOWED"/>
    <s v="Discount Not Allowed"/>
    <s v="21/08/24"/>
  </r>
  <r>
    <s v="TXN_9993395"/>
    <s v="CUST_22"/>
    <x v="3"/>
    <x v="189"/>
    <x v="23"/>
    <x v="8"/>
    <n v="13"/>
    <x v="2"/>
    <x v="1"/>
    <x v="935"/>
    <x v="1"/>
    <s v="DISCOUNT ALLOWED"/>
    <s v="discount allowed"/>
    <s v="DISCOUNT ALLOWED"/>
    <s v="Discount Allowed"/>
    <s v="09/02/23"/>
  </r>
  <r>
    <s v="TXN_1224321"/>
    <s v="CUST_05"/>
    <x v="6"/>
    <x v="152"/>
    <x v="19"/>
    <x v="9"/>
    <n v="12.5"/>
    <x v="0"/>
    <x v="0"/>
    <x v="465"/>
    <x v="0"/>
    <s v="DISCOUNT NOT ALLOWED"/>
    <s v="discount not allowed"/>
    <s v="DISCOUNT NOT ALLOWED"/>
    <s v="Discount Not Allowed"/>
    <s v="22/08/22"/>
  </r>
  <r>
    <s v="TXN_1481272"/>
    <s v="CUST_24"/>
    <x v="5"/>
    <x v="159"/>
    <x v="19"/>
    <x v="9"/>
    <n v="12.5"/>
    <x v="1"/>
    <x v="0"/>
    <x v="716"/>
    <x v="1"/>
    <s v="DISCOUNT ALLOWED"/>
    <s v="discount allowed"/>
    <s v="DISCOUNT ALLOWED"/>
    <s v="Discount Allowed"/>
    <s v="19/05/22"/>
  </r>
  <r>
    <s v="TXN_1941756"/>
    <s v="CUST_13"/>
    <x v="7"/>
    <x v="153"/>
    <x v="19"/>
    <x v="9"/>
    <n v="12.5"/>
    <x v="0"/>
    <x v="1"/>
    <x v="829"/>
    <x v="1"/>
    <s v="DISCOUNT ALLOWED"/>
    <s v="discount allowed"/>
    <s v="DISCOUNT ALLOWED"/>
    <s v="Discount Allowed"/>
    <s v="29/06/23"/>
  </r>
  <r>
    <s v="TXN_2042782"/>
    <s v="CUST_24"/>
    <x v="0"/>
    <x v="154"/>
    <x v="19"/>
    <x v="9"/>
    <n v="12.5"/>
    <x v="0"/>
    <x v="1"/>
    <x v="465"/>
    <x v="0"/>
    <s v="DISCOUNT NOT ALLOWED"/>
    <s v="discount not allowed"/>
    <s v="DISCOUNT NOT ALLOWED"/>
    <s v="Discount Not Allowed"/>
    <s v="22/08/22"/>
  </r>
  <r>
    <s v="TXN_2127584"/>
    <s v="CUST_02"/>
    <x v="2"/>
    <x v="158"/>
    <x v="19"/>
    <x v="9"/>
    <n v="12.5"/>
    <x v="1"/>
    <x v="0"/>
    <x v="783"/>
    <x v="0"/>
    <s v="DISCOUNT NOT ALLOWED"/>
    <s v="discount not allowed"/>
    <s v="DISCOUNT NOT ALLOWED"/>
    <s v="Discount Not Allowed"/>
    <s v="04/02/23"/>
  </r>
  <r>
    <s v="TXN_2169979"/>
    <s v="CUST_13"/>
    <x v="6"/>
    <x v="152"/>
    <x v="19"/>
    <x v="9"/>
    <n v="12.5"/>
    <x v="0"/>
    <x v="1"/>
    <x v="936"/>
    <x v="1"/>
    <s v="DISCOUNT ALLOWED"/>
    <s v="discount allowed"/>
    <s v="DISCOUNT ALLOWED"/>
    <s v="Discount Allowed"/>
    <s v="25/01/22"/>
  </r>
  <r>
    <s v="TXN_2767877"/>
    <s v="CUST_09"/>
    <x v="7"/>
    <x v="153"/>
    <x v="19"/>
    <x v="9"/>
    <n v="12.5"/>
    <x v="1"/>
    <x v="1"/>
    <x v="1050"/>
    <x v="0"/>
    <s v="DISCOUNT NOT ALLOWED"/>
    <s v="discount not allowed"/>
    <s v="DISCOUNT NOT ALLOWED"/>
    <s v="Discount Not Allowed"/>
    <s v="01/08/24"/>
  </r>
  <r>
    <s v="TXN_2844235"/>
    <s v="CUST_03"/>
    <x v="0"/>
    <x v="154"/>
    <x v="19"/>
    <x v="9"/>
    <n v="12.5"/>
    <x v="2"/>
    <x v="0"/>
    <x v="296"/>
    <x v="0"/>
    <s v="DISCOUNT NOT ALLOWED"/>
    <s v="discount not allowed"/>
    <s v="DISCOUNT NOT ALLOWED"/>
    <s v="Discount Not Allowed"/>
    <s v="06/11/24"/>
  </r>
  <r>
    <s v="TXN_2854455"/>
    <s v="CUST_17"/>
    <x v="4"/>
    <x v="155"/>
    <x v="19"/>
    <x v="9"/>
    <n v="12.5"/>
    <x v="2"/>
    <x v="0"/>
    <x v="142"/>
    <x v="1"/>
    <s v="DISCOUNT ALLOWED"/>
    <s v="discount allowed"/>
    <s v="DISCOUNT ALLOWED"/>
    <s v="Discount Allowed"/>
    <s v="02/08/24"/>
  </r>
  <r>
    <s v="TXN_2952993"/>
    <s v="CUST_08"/>
    <x v="1"/>
    <x v="156"/>
    <x v="19"/>
    <x v="9"/>
    <n v="12.5"/>
    <x v="2"/>
    <x v="1"/>
    <x v="221"/>
    <x v="1"/>
    <s v="DISCOUNT ALLOWED"/>
    <s v="discount allowed"/>
    <s v="DISCOUNT ALLOWED"/>
    <s v="Discount Allowed"/>
    <s v="20/11/24"/>
  </r>
  <r>
    <s v="TXN_3325191"/>
    <s v="CUST_22"/>
    <x v="2"/>
    <x v="158"/>
    <x v="19"/>
    <x v="9"/>
    <n v="12.5"/>
    <x v="0"/>
    <x v="0"/>
    <x v="672"/>
    <x v="1"/>
    <s v="DISCOUNT ALLOWED"/>
    <s v="discount allowed"/>
    <s v="DISCOUNT ALLOWED"/>
    <s v="Discount Allowed"/>
    <s v="20/09/23"/>
  </r>
  <r>
    <s v="TXN_3572918"/>
    <s v="CUST_19"/>
    <x v="5"/>
    <x v="159"/>
    <x v="19"/>
    <x v="9"/>
    <n v="12.5"/>
    <x v="1"/>
    <x v="0"/>
    <x v="1064"/>
    <x v="1"/>
    <s v="DISCOUNT ALLOWED"/>
    <s v="discount allowed"/>
    <s v="DISCOUNT ALLOWED"/>
    <s v="Discount Allowed"/>
    <s v="16/02/22"/>
  </r>
  <r>
    <s v="TXN_4488468"/>
    <s v="CUST_05"/>
    <x v="0"/>
    <x v="154"/>
    <x v="19"/>
    <x v="9"/>
    <n v="12.5"/>
    <x v="1"/>
    <x v="1"/>
    <x v="131"/>
    <x v="1"/>
    <s v="DISCOUNT ALLOWED"/>
    <s v="discount allowed"/>
    <s v="DISCOUNT ALLOWED"/>
    <s v="Discount Allowed"/>
    <s v="15/05/23"/>
  </r>
  <r>
    <s v="TXN_4524628"/>
    <s v="CUST_11"/>
    <x v="5"/>
    <x v="159"/>
    <x v="19"/>
    <x v="9"/>
    <n v="12.5"/>
    <x v="2"/>
    <x v="0"/>
    <x v="972"/>
    <x v="1"/>
    <s v="DISCOUNT ALLOWED"/>
    <s v="discount allowed"/>
    <s v="DISCOUNT ALLOWED"/>
    <s v="Discount Allowed"/>
    <s v="06/08/23"/>
  </r>
  <r>
    <s v="TXN_4537208"/>
    <s v="CUST_03"/>
    <x v="3"/>
    <x v="157"/>
    <x v="19"/>
    <x v="9"/>
    <n v="12.5"/>
    <x v="0"/>
    <x v="1"/>
    <x v="541"/>
    <x v="0"/>
    <s v="DISCOUNT NOT ALLOWED"/>
    <s v="discount not allowed"/>
    <s v="DISCOUNT NOT ALLOWED"/>
    <s v="Discount Not Allowed"/>
    <s v="21/11/22"/>
  </r>
  <r>
    <s v="TXN_4920125"/>
    <s v="CUST_10"/>
    <x v="4"/>
    <x v="155"/>
    <x v="19"/>
    <x v="9"/>
    <n v="12.5"/>
    <x v="0"/>
    <x v="1"/>
    <x v="796"/>
    <x v="0"/>
    <s v="DISCOUNT NOT ALLOWED"/>
    <s v="discount not allowed"/>
    <s v="DISCOUNT NOT ALLOWED"/>
    <s v="Discount Not Allowed"/>
    <s v="14/03/23"/>
  </r>
  <r>
    <s v="TXN_5229606"/>
    <s v="CUST_10"/>
    <x v="3"/>
    <x v="157"/>
    <x v="19"/>
    <x v="9"/>
    <n v="12.5"/>
    <x v="1"/>
    <x v="1"/>
    <x v="1084"/>
    <x v="1"/>
    <s v="DISCOUNT ALLOWED"/>
    <s v="discount allowed"/>
    <s v="DISCOUNT ALLOWED"/>
    <s v="Discount Allowed"/>
    <s v="29/05/22"/>
  </r>
  <r>
    <s v="TXN_5302343"/>
    <s v="CUST_04"/>
    <x v="4"/>
    <x v="155"/>
    <x v="19"/>
    <x v="9"/>
    <n v="12.5"/>
    <x v="0"/>
    <x v="0"/>
    <x v="587"/>
    <x v="1"/>
    <s v="DISCOUNT ALLOWED"/>
    <s v="discount allowed"/>
    <s v="DISCOUNT ALLOWED"/>
    <s v="Discount Allowed"/>
    <s v="05/04/22"/>
  </r>
  <r>
    <s v="TXN_5562705"/>
    <s v="CUST_02"/>
    <x v="0"/>
    <x v="154"/>
    <x v="19"/>
    <x v="9"/>
    <n v="12.5"/>
    <x v="1"/>
    <x v="0"/>
    <x v="163"/>
    <x v="1"/>
    <s v="DISCOUNT ALLOWED"/>
    <s v="discount allowed"/>
    <s v="DISCOUNT ALLOWED"/>
    <s v="Discount Allowed"/>
    <s v="21/07/22"/>
  </r>
  <r>
    <s v="TXN_5661146"/>
    <s v="CUST_22"/>
    <x v="2"/>
    <x v="158"/>
    <x v="19"/>
    <x v="9"/>
    <n v="12.5"/>
    <x v="2"/>
    <x v="0"/>
    <x v="733"/>
    <x v="0"/>
    <s v="DISCOUNT NOT ALLOWED"/>
    <s v="discount not allowed"/>
    <s v="DISCOUNT NOT ALLOWED"/>
    <s v="Discount Not Allowed"/>
    <s v="16/05/22"/>
  </r>
  <r>
    <s v="TXN_5841902"/>
    <s v="CUST_05"/>
    <x v="0"/>
    <x v="154"/>
    <x v="19"/>
    <x v="9"/>
    <n v="12.5"/>
    <x v="2"/>
    <x v="0"/>
    <x v="599"/>
    <x v="1"/>
    <s v="DISCOUNT ALLOWED"/>
    <s v="discount allowed"/>
    <s v="DISCOUNT ALLOWED"/>
    <s v="Discount Allowed"/>
    <s v="10/07/23"/>
  </r>
  <r>
    <s v="TXN_5942238"/>
    <s v="CUST_12"/>
    <x v="1"/>
    <x v="156"/>
    <x v="19"/>
    <x v="9"/>
    <n v="12.5"/>
    <x v="1"/>
    <x v="0"/>
    <x v="428"/>
    <x v="1"/>
    <s v="DISCOUNT ALLOWED"/>
    <s v="discount allowed"/>
    <s v="DISCOUNT ALLOWED"/>
    <s v="Discount Allowed"/>
    <s v="01/05/23"/>
  </r>
  <r>
    <s v="TXN_6049911"/>
    <s v="CUST_10"/>
    <x v="0"/>
    <x v="154"/>
    <x v="19"/>
    <x v="9"/>
    <n v="12.5"/>
    <x v="0"/>
    <x v="1"/>
    <x v="917"/>
    <x v="0"/>
    <s v="DISCOUNT NOT ALLOWED"/>
    <s v="discount not allowed"/>
    <s v="DISCOUNT NOT ALLOWED"/>
    <s v="Discount Not Allowed"/>
    <s v="13/09/22"/>
  </r>
  <r>
    <s v="TXN_6178045"/>
    <s v="CUST_06"/>
    <x v="4"/>
    <x v="155"/>
    <x v="19"/>
    <x v="9"/>
    <n v="12.5"/>
    <x v="2"/>
    <x v="0"/>
    <x v="770"/>
    <x v="0"/>
    <s v="DISCOUNT NOT ALLOWED"/>
    <s v="discount not allowed"/>
    <s v="DISCOUNT NOT ALLOWED"/>
    <s v="Discount Not Allowed"/>
    <s v="03/02/24"/>
  </r>
  <r>
    <s v="TXN_7198271"/>
    <s v="CUST_03"/>
    <x v="2"/>
    <x v="158"/>
    <x v="19"/>
    <x v="9"/>
    <n v="12.5"/>
    <x v="2"/>
    <x v="1"/>
    <x v="1054"/>
    <x v="1"/>
    <s v="DISCOUNT ALLOWED"/>
    <s v="discount allowed"/>
    <s v="DISCOUNT ALLOWED"/>
    <s v="Discount Allowed"/>
    <s v="24/06/23"/>
  </r>
  <r>
    <s v="TXN_7306114"/>
    <s v="CUST_15"/>
    <x v="2"/>
    <x v="158"/>
    <x v="19"/>
    <x v="9"/>
    <n v="12.5"/>
    <x v="1"/>
    <x v="0"/>
    <x v="314"/>
    <x v="0"/>
    <s v="DISCOUNT NOT ALLOWED"/>
    <s v="discount not allowed"/>
    <s v="DISCOUNT NOT ALLOWED"/>
    <s v="Discount Not Allowed"/>
    <s v="04/05/22"/>
  </r>
  <r>
    <s v="TXN_8328068"/>
    <s v="CUST_16"/>
    <x v="0"/>
    <x v="154"/>
    <x v="19"/>
    <x v="9"/>
    <n v="12.5"/>
    <x v="0"/>
    <x v="1"/>
    <x v="908"/>
    <x v="0"/>
    <s v="DISCOUNT NOT ALLOWED"/>
    <s v="discount not allowed"/>
    <s v="DISCOUNT NOT ALLOWED"/>
    <s v="Discount Not Allowed"/>
    <s v="26/04/23"/>
  </r>
  <r>
    <s v="TXN_9269245"/>
    <s v="CUST_07"/>
    <x v="3"/>
    <x v="157"/>
    <x v="19"/>
    <x v="9"/>
    <n v="12.5"/>
    <x v="2"/>
    <x v="1"/>
    <x v="776"/>
    <x v="1"/>
    <s v="DISCOUNT ALLOWED"/>
    <s v="discount allowed"/>
    <s v="DISCOUNT ALLOWED"/>
    <s v="Discount Allowed"/>
    <s v="15/12/24"/>
  </r>
  <r>
    <s v="TXN_9684703"/>
    <s v="CUST_15"/>
    <x v="6"/>
    <x v="152"/>
    <x v="19"/>
    <x v="9"/>
    <n v="12.5"/>
    <x v="0"/>
    <x v="1"/>
    <x v="930"/>
    <x v="0"/>
    <s v="DISCOUNT NOT ALLOWED"/>
    <s v="discount not allowed"/>
    <s v="DISCOUNT NOT ALLOWED"/>
    <s v="Discount Not Allowed"/>
    <s v="05/02/24"/>
  </r>
  <r>
    <s v="TXN_1047304"/>
    <s v="CUST_08"/>
    <x v="1"/>
    <x v="175"/>
    <x v="20"/>
    <x v="9"/>
    <n v="11"/>
    <x v="1"/>
    <x v="1"/>
    <x v="116"/>
    <x v="0"/>
    <s v="DISCOUNT NOT ALLOWED"/>
    <s v="discount not allowed"/>
    <s v="DISCOUNT NOT ALLOWED"/>
    <s v="Discount Not Allowed"/>
    <s v="25/10/23"/>
  </r>
  <r>
    <s v="TXN_1331679"/>
    <s v="CUST_20"/>
    <x v="3"/>
    <x v="164"/>
    <x v="20"/>
    <x v="9"/>
    <n v="11"/>
    <x v="1"/>
    <x v="1"/>
    <x v="543"/>
    <x v="1"/>
    <s v="DISCOUNT ALLOWED"/>
    <s v="discount allowed"/>
    <s v="DISCOUNT ALLOWED"/>
    <s v="Discount Allowed"/>
    <s v="17/11/22"/>
  </r>
  <r>
    <s v="TXN_1606266"/>
    <s v="CUST_23"/>
    <x v="4"/>
    <x v="163"/>
    <x v="20"/>
    <x v="9"/>
    <n v="11"/>
    <x v="1"/>
    <x v="1"/>
    <x v="1020"/>
    <x v="1"/>
    <s v="DISCOUNT ALLOWED"/>
    <s v="discount allowed"/>
    <s v="DISCOUNT ALLOWED"/>
    <s v="Discount Allowed"/>
    <s v="16/10/23"/>
  </r>
  <r>
    <s v="TXN_2221764"/>
    <s v="CUST_20"/>
    <x v="7"/>
    <x v="165"/>
    <x v="20"/>
    <x v="9"/>
    <n v="11"/>
    <x v="2"/>
    <x v="0"/>
    <x v="173"/>
    <x v="1"/>
    <s v="DISCOUNT ALLOWED"/>
    <s v="discount allowed"/>
    <s v="DISCOUNT ALLOWED"/>
    <s v="Discount Allowed"/>
    <s v="17/11/23"/>
  </r>
  <r>
    <s v="TXN_2718872"/>
    <s v="CUST_17"/>
    <x v="6"/>
    <x v="162"/>
    <x v="20"/>
    <x v="9"/>
    <n v="11"/>
    <x v="0"/>
    <x v="1"/>
    <x v="942"/>
    <x v="0"/>
    <s v="DISCOUNT NOT ALLOWED"/>
    <s v="discount not allowed"/>
    <s v="DISCOUNT NOT ALLOWED"/>
    <s v="Discount Not Allowed"/>
    <s v="05/08/23"/>
  </r>
  <r>
    <s v="TXN_2864845"/>
    <s v="CUST_16"/>
    <x v="2"/>
    <x v="161"/>
    <x v="20"/>
    <x v="9"/>
    <n v="11"/>
    <x v="0"/>
    <x v="0"/>
    <x v="513"/>
    <x v="1"/>
    <s v="DISCOUNT ALLOWED"/>
    <s v="discount allowed"/>
    <s v="DISCOUNT ALLOWED"/>
    <s v="Discount Allowed"/>
    <s v="01/07/24"/>
  </r>
  <r>
    <s v="TXN_3108828"/>
    <s v="CUST_01"/>
    <x v="4"/>
    <x v="163"/>
    <x v="20"/>
    <x v="9"/>
    <n v="11"/>
    <x v="1"/>
    <x v="1"/>
    <x v="418"/>
    <x v="0"/>
    <s v="DISCOUNT NOT ALLOWED"/>
    <s v="discount not allowed"/>
    <s v="DISCOUNT NOT ALLOWED"/>
    <s v="Discount Not Allowed"/>
    <s v="29/09/24"/>
  </r>
  <r>
    <s v="TXN_3352471"/>
    <s v="CUST_20"/>
    <x v="2"/>
    <x v="161"/>
    <x v="20"/>
    <x v="9"/>
    <n v="11"/>
    <x v="1"/>
    <x v="1"/>
    <x v="513"/>
    <x v="1"/>
    <s v="DISCOUNT ALLOWED"/>
    <s v="discount allowed"/>
    <s v="DISCOUNT ALLOWED"/>
    <s v="Discount Allowed"/>
    <s v="01/07/24"/>
  </r>
  <r>
    <s v="TXN_3422782"/>
    <s v="CUST_24"/>
    <x v="6"/>
    <x v="162"/>
    <x v="20"/>
    <x v="9"/>
    <n v="11"/>
    <x v="1"/>
    <x v="1"/>
    <x v="113"/>
    <x v="1"/>
    <s v="DISCOUNT ALLOWED"/>
    <s v="discount allowed"/>
    <s v="DISCOUNT ALLOWED"/>
    <s v="Discount Allowed"/>
    <s v="18/07/22"/>
  </r>
  <r>
    <s v="TXN_3504901"/>
    <s v="CUST_01"/>
    <x v="5"/>
    <x v="160"/>
    <x v="20"/>
    <x v="9"/>
    <n v="11"/>
    <x v="0"/>
    <x v="1"/>
    <x v="1103"/>
    <x v="0"/>
    <s v="DISCOUNT NOT ALLOWED"/>
    <s v="discount not allowed"/>
    <s v="DISCOUNT NOT ALLOWED"/>
    <s v="Discount Not Allowed"/>
    <s v="06/12/22"/>
  </r>
  <r>
    <s v="TXN_3581663"/>
    <s v="CUST_20"/>
    <x v="5"/>
    <x v="160"/>
    <x v="20"/>
    <x v="9"/>
    <n v="11"/>
    <x v="1"/>
    <x v="0"/>
    <x v="223"/>
    <x v="0"/>
    <s v="DISCOUNT NOT ALLOWED"/>
    <s v="discount not allowed"/>
    <s v="DISCOUNT NOT ALLOWED"/>
    <s v="Discount Not Allowed"/>
    <s v="29/12/24"/>
  </r>
  <r>
    <s v="TXN_4118770"/>
    <s v="CUST_20"/>
    <x v="2"/>
    <x v="161"/>
    <x v="20"/>
    <x v="9"/>
    <n v="11"/>
    <x v="1"/>
    <x v="1"/>
    <x v="663"/>
    <x v="0"/>
    <s v="DISCOUNT NOT ALLOWED"/>
    <s v="discount not allowed"/>
    <s v="DISCOUNT NOT ALLOWED"/>
    <s v="Discount Not Allowed"/>
    <s v="05/04/23"/>
  </r>
  <r>
    <s v="TXN_4559367"/>
    <s v="CUST_06"/>
    <x v="4"/>
    <x v="163"/>
    <x v="20"/>
    <x v="9"/>
    <n v="11"/>
    <x v="0"/>
    <x v="1"/>
    <x v="301"/>
    <x v="1"/>
    <s v="DISCOUNT ALLOWED"/>
    <s v="discount allowed"/>
    <s v="DISCOUNT ALLOWED"/>
    <s v="Discount Allowed"/>
    <s v="15/04/22"/>
  </r>
  <r>
    <s v="TXN_5017877"/>
    <s v="CUST_02"/>
    <x v="5"/>
    <x v="160"/>
    <x v="20"/>
    <x v="9"/>
    <n v="11"/>
    <x v="1"/>
    <x v="0"/>
    <x v="859"/>
    <x v="1"/>
    <s v="DISCOUNT ALLOWED"/>
    <s v="discount allowed"/>
    <s v="DISCOUNT ALLOWED"/>
    <s v="Discount Allowed"/>
    <s v="21/01/23"/>
  </r>
  <r>
    <s v="TXN_5276329"/>
    <s v="CUST_09"/>
    <x v="4"/>
    <x v="163"/>
    <x v="20"/>
    <x v="9"/>
    <n v="11"/>
    <x v="1"/>
    <x v="0"/>
    <x v="667"/>
    <x v="0"/>
    <s v="DISCOUNT NOT ALLOWED"/>
    <s v="discount not allowed"/>
    <s v="DISCOUNT NOT ALLOWED"/>
    <s v="Discount Not Allowed"/>
    <s v="18/12/23"/>
  </r>
  <r>
    <s v="TXN_6390873"/>
    <s v="CUST_07"/>
    <x v="5"/>
    <x v="160"/>
    <x v="20"/>
    <x v="9"/>
    <n v="11"/>
    <x v="0"/>
    <x v="1"/>
    <x v="411"/>
    <x v="0"/>
    <s v="DISCOUNT NOT ALLOWED"/>
    <s v="discount not allowed"/>
    <s v="DISCOUNT NOT ALLOWED"/>
    <s v="Discount Not Allowed"/>
    <s v="03/12/23"/>
  </r>
  <r>
    <s v="TXN_6615544"/>
    <s v="CUST_07"/>
    <x v="2"/>
    <x v="161"/>
    <x v="20"/>
    <x v="9"/>
    <n v="11"/>
    <x v="0"/>
    <x v="0"/>
    <x v="106"/>
    <x v="0"/>
    <s v="DISCOUNT NOT ALLOWED"/>
    <s v="discount not allowed"/>
    <s v="DISCOUNT NOT ALLOWED"/>
    <s v="Discount Not Allowed"/>
    <s v="01/09/24"/>
  </r>
  <r>
    <s v="TXN_6856074"/>
    <s v="CUST_10"/>
    <x v="6"/>
    <x v="162"/>
    <x v="20"/>
    <x v="9"/>
    <n v="11"/>
    <x v="0"/>
    <x v="0"/>
    <x v="736"/>
    <x v="0"/>
    <s v="DISCOUNT NOT ALLOWED"/>
    <s v="discount not allowed"/>
    <s v="DISCOUNT NOT ALLOWED"/>
    <s v="Discount Not Allowed"/>
    <s v="13/05/24"/>
  </r>
  <r>
    <s v="TXN_7060106"/>
    <s v="CUST_04"/>
    <x v="2"/>
    <x v="161"/>
    <x v="20"/>
    <x v="9"/>
    <n v="11"/>
    <x v="0"/>
    <x v="0"/>
    <x v="693"/>
    <x v="0"/>
    <s v="DISCOUNT NOT ALLOWED"/>
    <s v="discount not allowed"/>
    <s v="DISCOUNT NOT ALLOWED"/>
    <s v="Discount Not Allowed"/>
    <s v="07/05/24"/>
  </r>
  <r>
    <s v="TXN_7909783"/>
    <s v="CUST_12"/>
    <x v="6"/>
    <x v="162"/>
    <x v="20"/>
    <x v="9"/>
    <n v="11"/>
    <x v="2"/>
    <x v="0"/>
    <x v="1072"/>
    <x v="1"/>
    <s v="DISCOUNT ALLOWED"/>
    <s v="discount allowed"/>
    <s v="DISCOUNT ALLOWED"/>
    <s v="Discount Allowed"/>
    <s v="17/12/23"/>
  </r>
  <r>
    <s v="TXN_8514175"/>
    <s v="CUST_10"/>
    <x v="7"/>
    <x v="165"/>
    <x v="20"/>
    <x v="9"/>
    <n v="11"/>
    <x v="0"/>
    <x v="1"/>
    <x v="526"/>
    <x v="1"/>
    <s v="DISCOUNT ALLOWED"/>
    <s v="discount allowed"/>
    <s v="DISCOUNT ALLOWED"/>
    <s v="Discount Allowed"/>
    <s v="28/12/24"/>
  </r>
  <r>
    <s v="TXN_8623799"/>
    <s v="CUST_24"/>
    <x v="5"/>
    <x v="160"/>
    <x v="20"/>
    <x v="9"/>
    <n v="11"/>
    <x v="1"/>
    <x v="0"/>
    <x v="46"/>
    <x v="0"/>
    <s v="DISCOUNT NOT ALLOWED"/>
    <s v="discount not allowed"/>
    <s v="DISCOUNT NOT ALLOWED"/>
    <s v="Discount Not Allowed"/>
    <s v="24/04/24"/>
  </r>
  <r>
    <s v="TXN_8814811"/>
    <s v="CUST_14"/>
    <x v="4"/>
    <x v="163"/>
    <x v="20"/>
    <x v="9"/>
    <n v="11"/>
    <x v="1"/>
    <x v="1"/>
    <x v="1074"/>
    <x v="0"/>
    <s v="DISCOUNT NOT ALLOWED"/>
    <s v="discount not allowed"/>
    <s v="DISCOUNT NOT ALLOWED"/>
    <s v="Discount Not Allowed"/>
    <s v="31/05/24"/>
  </r>
  <r>
    <s v="TXN_8983531"/>
    <s v="CUST_16"/>
    <x v="2"/>
    <x v="161"/>
    <x v="20"/>
    <x v="9"/>
    <n v="11"/>
    <x v="2"/>
    <x v="1"/>
    <x v="678"/>
    <x v="1"/>
    <s v="DISCOUNT ALLOWED"/>
    <s v="discount allowed"/>
    <s v="DISCOUNT ALLOWED"/>
    <s v="Discount Allowed"/>
    <s v="09/03/23"/>
  </r>
  <r>
    <s v="TXN_9034288"/>
    <s v="CUST_01"/>
    <x v="2"/>
    <x v="161"/>
    <x v="20"/>
    <x v="9"/>
    <n v="11"/>
    <x v="0"/>
    <x v="0"/>
    <x v="122"/>
    <x v="0"/>
    <s v="DISCOUNT NOT ALLOWED"/>
    <s v="discount not allowed"/>
    <s v="DISCOUNT NOT ALLOWED"/>
    <s v="Discount Not Allowed"/>
    <s v="09/04/22"/>
  </r>
  <r>
    <s v="TXN_1118794"/>
    <s v="CUST_06"/>
    <x v="2"/>
    <x v="199"/>
    <x v="24"/>
    <x v="8"/>
    <n v="10"/>
    <x v="2"/>
    <x v="0"/>
    <x v="930"/>
    <x v="1"/>
    <s v="DISCOUNT ALLOWED"/>
    <s v="discount allowed"/>
    <s v="DISCOUNT ALLOWED"/>
    <s v="Discount Allowed"/>
    <s v="05/02/24"/>
  </r>
  <r>
    <s v="TXN_1245154"/>
    <s v="CUST_13"/>
    <x v="2"/>
    <x v="199"/>
    <x v="24"/>
    <x v="8"/>
    <n v="10"/>
    <x v="1"/>
    <x v="1"/>
    <x v="415"/>
    <x v="1"/>
    <s v="DISCOUNT ALLOWED"/>
    <s v="discount allowed"/>
    <s v="DISCOUNT ALLOWED"/>
    <s v="Discount Allowed"/>
    <s v="09/12/24"/>
  </r>
  <r>
    <s v="TXN_1530750"/>
    <s v="CUST_08"/>
    <x v="0"/>
    <x v="195"/>
    <x v="24"/>
    <x v="8"/>
    <n v="10"/>
    <x v="1"/>
    <x v="0"/>
    <x v="951"/>
    <x v="1"/>
    <s v="DISCOUNT ALLOWED"/>
    <s v="discount allowed"/>
    <s v="DISCOUNT ALLOWED"/>
    <s v="Discount Allowed"/>
    <s v="12/11/22"/>
  </r>
  <r>
    <s v="TXN_1585678"/>
    <s v="CUST_24"/>
    <x v="0"/>
    <x v="195"/>
    <x v="24"/>
    <x v="8"/>
    <n v="10"/>
    <x v="1"/>
    <x v="0"/>
    <x v="48"/>
    <x v="0"/>
    <s v="DISCOUNT NOT ALLOWED"/>
    <s v="discount not allowed"/>
    <s v="DISCOUNT NOT ALLOWED"/>
    <s v="Discount Not Allowed"/>
    <s v="03/12/22"/>
  </r>
  <r>
    <s v="TXN_2283732"/>
    <s v="CUST_19"/>
    <x v="7"/>
    <x v="192"/>
    <x v="24"/>
    <x v="8"/>
    <n v="10"/>
    <x v="2"/>
    <x v="0"/>
    <x v="541"/>
    <x v="0"/>
    <s v="DISCOUNT NOT ALLOWED"/>
    <s v="discount not allowed"/>
    <s v="DISCOUNT NOT ALLOWED"/>
    <s v="Discount Not Allowed"/>
    <s v="21/11/22"/>
  </r>
  <r>
    <s v="TXN_2455053"/>
    <s v="CUST_12"/>
    <x v="0"/>
    <x v="195"/>
    <x v="24"/>
    <x v="8"/>
    <n v="10"/>
    <x v="1"/>
    <x v="1"/>
    <x v="300"/>
    <x v="0"/>
    <s v="DISCOUNT NOT ALLOWED"/>
    <s v="discount not allowed"/>
    <s v="DISCOUNT NOT ALLOWED"/>
    <s v="Discount Not Allowed"/>
    <s v="14/04/22"/>
  </r>
  <r>
    <s v="TXN_2860283"/>
    <s v="CUST_04"/>
    <x v="5"/>
    <x v="194"/>
    <x v="24"/>
    <x v="8"/>
    <n v="10"/>
    <x v="2"/>
    <x v="1"/>
    <x v="744"/>
    <x v="1"/>
    <s v="DISCOUNT ALLOWED"/>
    <s v="discount allowed"/>
    <s v="DISCOUNT ALLOWED"/>
    <s v="Discount Allowed"/>
    <s v="15/06/24"/>
  </r>
  <r>
    <s v="TXN_3150131"/>
    <s v="CUST_02"/>
    <x v="3"/>
    <x v="197"/>
    <x v="24"/>
    <x v="8"/>
    <n v="10"/>
    <x v="1"/>
    <x v="1"/>
    <x v="134"/>
    <x v="0"/>
    <s v="DISCOUNT NOT ALLOWED"/>
    <s v="discount not allowed"/>
    <s v="DISCOUNT NOT ALLOWED"/>
    <s v="Discount Not Allowed"/>
    <s v="11/02/22"/>
  </r>
  <r>
    <s v="TXN_3554015"/>
    <s v="CUST_24"/>
    <x v="0"/>
    <x v="195"/>
    <x v="24"/>
    <x v="8"/>
    <n v="10"/>
    <x v="2"/>
    <x v="1"/>
    <x v="609"/>
    <x v="0"/>
    <s v="DISCOUNT NOT ALLOWED"/>
    <s v="discount not allowed"/>
    <s v="DISCOUNT NOT ALLOWED"/>
    <s v="Discount Not Allowed"/>
    <s v="14/02/24"/>
  </r>
  <r>
    <s v="TXN_3798801"/>
    <s v="CUST_20"/>
    <x v="0"/>
    <x v="195"/>
    <x v="24"/>
    <x v="8"/>
    <n v="10"/>
    <x v="2"/>
    <x v="1"/>
    <x v="567"/>
    <x v="0"/>
    <s v="DISCOUNT NOT ALLOWED"/>
    <s v="discount not allowed"/>
    <s v="DISCOUNT NOT ALLOWED"/>
    <s v="Discount Not Allowed"/>
    <s v="01/03/22"/>
  </r>
  <r>
    <s v="TXN_4271465"/>
    <s v="CUST_17"/>
    <x v="0"/>
    <x v="195"/>
    <x v="24"/>
    <x v="8"/>
    <n v="10"/>
    <x v="2"/>
    <x v="0"/>
    <x v="174"/>
    <x v="0"/>
    <s v="DISCOUNT NOT ALLOWED"/>
    <s v="discount not allowed"/>
    <s v="DISCOUNT NOT ALLOWED"/>
    <s v="Discount Not Allowed"/>
    <s v="29/11/22"/>
  </r>
  <r>
    <s v="TXN_4541742"/>
    <s v="CUST_04"/>
    <x v="1"/>
    <x v="193"/>
    <x v="24"/>
    <x v="8"/>
    <n v="10"/>
    <x v="2"/>
    <x v="0"/>
    <x v="834"/>
    <x v="0"/>
    <s v="DISCOUNT NOT ALLOWED"/>
    <s v="discount not allowed"/>
    <s v="DISCOUNT NOT ALLOWED"/>
    <s v="Discount Not Allowed"/>
    <s v="21/02/24"/>
  </r>
  <r>
    <s v="TXN_5387968"/>
    <s v="CUST_18"/>
    <x v="5"/>
    <x v="194"/>
    <x v="24"/>
    <x v="8"/>
    <n v="10"/>
    <x v="0"/>
    <x v="0"/>
    <x v="478"/>
    <x v="1"/>
    <s v="DISCOUNT ALLOWED"/>
    <s v="discount allowed"/>
    <s v="DISCOUNT ALLOWED"/>
    <s v="Discount Allowed"/>
    <s v="28/11/23"/>
  </r>
  <r>
    <s v="TXN_5930877"/>
    <s v="CUST_02"/>
    <x v="2"/>
    <x v="199"/>
    <x v="24"/>
    <x v="8"/>
    <n v="10"/>
    <x v="0"/>
    <x v="0"/>
    <x v="495"/>
    <x v="1"/>
    <s v="DISCOUNT ALLOWED"/>
    <s v="discount allowed"/>
    <s v="DISCOUNT ALLOWED"/>
    <s v="Discount Allowed"/>
    <s v="02/02/22"/>
  </r>
  <r>
    <s v="TXN_6084238"/>
    <s v="CUST_11"/>
    <x v="0"/>
    <x v="195"/>
    <x v="24"/>
    <x v="8"/>
    <n v="10"/>
    <x v="2"/>
    <x v="1"/>
    <x v="376"/>
    <x v="0"/>
    <s v="DISCOUNT NOT ALLOWED"/>
    <s v="discount not allowed"/>
    <s v="DISCOUNT NOT ALLOWED"/>
    <s v="Discount Not Allowed"/>
    <s v="28/10/23"/>
  </r>
  <r>
    <s v="TXN_6096878"/>
    <s v="CUST_20"/>
    <x v="4"/>
    <x v="198"/>
    <x v="24"/>
    <x v="8"/>
    <n v="10"/>
    <x v="2"/>
    <x v="0"/>
    <x v="675"/>
    <x v="1"/>
    <s v="DISCOUNT ALLOWED"/>
    <s v="discount allowed"/>
    <s v="DISCOUNT ALLOWED"/>
    <s v="Discount Allowed"/>
    <s v="02/01/23"/>
  </r>
  <r>
    <s v="TXN_6705072"/>
    <s v="CUST_12"/>
    <x v="0"/>
    <x v="195"/>
    <x v="24"/>
    <x v="8"/>
    <n v="10"/>
    <x v="0"/>
    <x v="1"/>
    <x v="197"/>
    <x v="0"/>
    <s v="DISCOUNT NOT ALLOWED"/>
    <s v="discount not allowed"/>
    <s v="DISCOUNT NOT ALLOWED"/>
    <s v="Discount Not Allowed"/>
    <s v="01/09/22"/>
  </r>
  <r>
    <s v="TXN_6818931"/>
    <s v="CUST_02"/>
    <x v="5"/>
    <x v="194"/>
    <x v="24"/>
    <x v="8"/>
    <n v="10"/>
    <x v="0"/>
    <x v="0"/>
    <x v="729"/>
    <x v="0"/>
    <s v="DISCOUNT NOT ALLOWED"/>
    <s v="discount not allowed"/>
    <s v="DISCOUNT NOT ALLOWED"/>
    <s v="Discount Not Allowed"/>
    <s v="07/12/24"/>
  </r>
  <r>
    <s v="TXN_7166227"/>
    <s v="CUST_06"/>
    <x v="7"/>
    <x v="192"/>
    <x v="24"/>
    <x v="8"/>
    <n v="10"/>
    <x v="1"/>
    <x v="1"/>
    <x v="870"/>
    <x v="1"/>
    <s v="DISCOUNT ALLOWED"/>
    <s v="discount allowed"/>
    <s v="DISCOUNT ALLOWED"/>
    <s v="Discount Allowed"/>
    <s v="18/09/22"/>
  </r>
  <r>
    <s v="TXN_7443511"/>
    <s v="CUST_08"/>
    <x v="0"/>
    <x v="195"/>
    <x v="24"/>
    <x v="8"/>
    <n v="10"/>
    <x v="0"/>
    <x v="0"/>
    <x v="403"/>
    <x v="1"/>
    <s v="DISCOUNT ALLOWED"/>
    <s v="discount allowed"/>
    <s v="DISCOUNT ALLOWED"/>
    <s v="Discount Allowed"/>
    <s v="07/05/23"/>
  </r>
  <r>
    <s v="TXN_7688189"/>
    <s v="CUST_23"/>
    <x v="3"/>
    <x v="197"/>
    <x v="24"/>
    <x v="8"/>
    <n v="10"/>
    <x v="1"/>
    <x v="1"/>
    <x v="75"/>
    <x v="0"/>
    <s v="DISCOUNT NOT ALLOWED"/>
    <s v="discount not allowed"/>
    <s v="DISCOUNT NOT ALLOWED"/>
    <s v="Discount Not Allowed"/>
    <s v="02/01/22"/>
  </r>
  <r>
    <s v="TXN_8414492"/>
    <s v="CUST_07"/>
    <x v="0"/>
    <x v="195"/>
    <x v="24"/>
    <x v="8"/>
    <n v="10"/>
    <x v="2"/>
    <x v="0"/>
    <x v="771"/>
    <x v="1"/>
    <s v="DISCOUNT ALLOWED"/>
    <s v="discount allowed"/>
    <s v="DISCOUNT ALLOWED"/>
    <s v="Discount Allowed"/>
    <s v="24/07/24"/>
  </r>
  <r>
    <s v="TXN_8960682"/>
    <s v="CUST_25"/>
    <x v="5"/>
    <x v="194"/>
    <x v="24"/>
    <x v="8"/>
    <n v="10"/>
    <x v="1"/>
    <x v="0"/>
    <x v="224"/>
    <x v="0"/>
    <s v="DISCOUNT NOT ALLOWED"/>
    <s v="discount not allowed"/>
    <s v="DISCOUNT NOT ALLOWED"/>
    <s v="Discount Not Allowed"/>
    <s v="10/06/23"/>
  </r>
  <r>
    <s v="TXN_9044453"/>
    <s v="CUST_01"/>
    <x v="7"/>
    <x v="192"/>
    <x v="24"/>
    <x v="8"/>
    <n v="10"/>
    <x v="1"/>
    <x v="1"/>
    <x v="432"/>
    <x v="1"/>
    <s v="DISCOUNT ALLOWED"/>
    <s v="discount allowed"/>
    <s v="DISCOUNT ALLOWED"/>
    <s v="Discount Allowed"/>
    <s v="06/10/24"/>
  </r>
  <r>
    <s v="TXN_9245240"/>
    <s v="CUST_03"/>
    <x v="6"/>
    <x v="196"/>
    <x v="24"/>
    <x v="8"/>
    <n v="10"/>
    <x v="2"/>
    <x v="1"/>
    <x v="1019"/>
    <x v="1"/>
    <s v="DISCOUNT ALLOWED"/>
    <s v="discount allowed"/>
    <s v="DISCOUNT ALLOWED"/>
    <s v="Discount Allowed"/>
    <s v="24/08/24"/>
  </r>
  <r>
    <s v="TXN_9253623"/>
    <s v="CUST_08"/>
    <x v="7"/>
    <x v="192"/>
    <x v="24"/>
    <x v="8"/>
    <n v="10"/>
    <x v="1"/>
    <x v="0"/>
    <x v="279"/>
    <x v="0"/>
    <s v="DISCOUNT NOT ALLOWED"/>
    <s v="discount not allowed"/>
    <s v="DISCOUNT NOT ALLOWED"/>
    <s v="Discount Not Allowed"/>
    <s v="06/01/23"/>
  </r>
  <r>
    <s v="TXN_9599898"/>
    <s v="CUST_17"/>
    <x v="3"/>
    <x v="197"/>
    <x v="24"/>
    <x v="8"/>
    <n v="10"/>
    <x v="0"/>
    <x v="0"/>
    <x v="823"/>
    <x v="0"/>
    <s v="DISCOUNT NOT ALLOWED"/>
    <s v="discount not allowed"/>
    <s v="DISCOUNT NOT ALLOWED"/>
    <s v="Discount Not Allowed"/>
    <s v="17/09/22"/>
  </r>
  <r>
    <s v="TXN_1411096"/>
    <s v="CUST_07"/>
    <x v="7"/>
    <x v="170"/>
    <x v="21"/>
    <x v="9"/>
    <n v="9.5"/>
    <x v="0"/>
    <x v="0"/>
    <x v="177"/>
    <x v="0"/>
    <s v="DISCOUNT NOT ALLOWED"/>
    <s v="discount not allowed"/>
    <s v="DISCOUNT NOT ALLOWED"/>
    <s v="Discount Not Allowed"/>
    <s v="14/06/24"/>
  </r>
  <r>
    <s v="TXN_1632221"/>
    <s v="CUST_18"/>
    <x v="2"/>
    <x v="171"/>
    <x v="21"/>
    <x v="9"/>
    <n v="9.5"/>
    <x v="2"/>
    <x v="0"/>
    <x v="740"/>
    <x v="1"/>
    <s v="DISCOUNT ALLOWED"/>
    <s v="discount allowed"/>
    <s v="DISCOUNT ALLOWED"/>
    <s v="Discount Allowed"/>
    <s v="04/09/22"/>
  </r>
  <r>
    <s v="TXN_1695036"/>
    <s v="CUST_02"/>
    <x v="5"/>
    <x v="167"/>
    <x v="21"/>
    <x v="9"/>
    <n v="9.5"/>
    <x v="0"/>
    <x v="1"/>
    <x v="128"/>
    <x v="0"/>
    <s v="DISCOUNT NOT ALLOWED"/>
    <s v="discount not allowed"/>
    <s v="DISCOUNT NOT ALLOWED"/>
    <s v="Discount Not Allowed"/>
    <s v="18/08/24"/>
  </r>
  <r>
    <s v="TXN_1750091"/>
    <s v="CUST_01"/>
    <x v="0"/>
    <x v="168"/>
    <x v="21"/>
    <x v="9"/>
    <n v="9.5"/>
    <x v="2"/>
    <x v="1"/>
    <x v="37"/>
    <x v="1"/>
    <s v="DISCOUNT ALLOWED"/>
    <s v="discount allowed"/>
    <s v="DISCOUNT ALLOWED"/>
    <s v="Discount Allowed"/>
    <s v="19/06/23"/>
  </r>
  <r>
    <s v="TXN_1822926"/>
    <s v="CUST_25"/>
    <x v="1"/>
    <x v="169"/>
    <x v="21"/>
    <x v="9"/>
    <n v="9.5"/>
    <x v="2"/>
    <x v="0"/>
    <x v="998"/>
    <x v="1"/>
    <s v="DISCOUNT ALLOWED"/>
    <s v="discount allowed"/>
    <s v="DISCOUNT ALLOWED"/>
    <s v="Discount Allowed"/>
    <s v="25/03/22"/>
  </r>
  <r>
    <s v="TXN_2343171"/>
    <s v="CUST_03"/>
    <x v="2"/>
    <x v="171"/>
    <x v="21"/>
    <x v="9"/>
    <n v="9.5"/>
    <x v="1"/>
    <x v="1"/>
    <x v="393"/>
    <x v="0"/>
    <s v="DISCOUNT NOT ALLOWED"/>
    <s v="discount not allowed"/>
    <s v="DISCOUNT NOT ALLOWED"/>
    <s v="Discount Not Allowed"/>
    <s v="18/10/22"/>
  </r>
  <r>
    <s v="TXN_2755139"/>
    <s v="CUST_21"/>
    <x v="0"/>
    <x v="168"/>
    <x v="21"/>
    <x v="9"/>
    <n v="9.5"/>
    <x v="0"/>
    <x v="0"/>
    <x v="666"/>
    <x v="0"/>
    <s v="DISCOUNT NOT ALLOWED"/>
    <s v="discount not allowed"/>
    <s v="DISCOUNT NOT ALLOWED"/>
    <s v="Discount Not Allowed"/>
    <s v="19/12/23"/>
  </r>
  <r>
    <s v="TXN_2951334"/>
    <s v="CUST_11"/>
    <x v="0"/>
    <x v="168"/>
    <x v="21"/>
    <x v="9"/>
    <n v="9.5"/>
    <x v="1"/>
    <x v="1"/>
    <x v="338"/>
    <x v="1"/>
    <s v="DISCOUNT ALLOWED"/>
    <s v="discount allowed"/>
    <s v="DISCOUNT ALLOWED"/>
    <s v="Discount Allowed"/>
    <s v="03/12/24"/>
  </r>
  <r>
    <s v="TXN_3070264"/>
    <s v="CUST_18"/>
    <x v="5"/>
    <x v="167"/>
    <x v="21"/>
    <x v="9"/>
    <n v="9.5"/>
    <x v="0"/>
    <x v="0"/>
    <x v="952"/>
    <x v="1"/>
    <s v="DISCOUNT ALLOWED"/>
    <s v="discount allowed"/>
    <s v="DISCOUNT ALLOWED"/>
    <s v="Discount Allowed"/>
    <s v="27/11/24"/>
  </r>
  <r>
    <s v="TXN_3689994"/>
    <s v="CUST_23"/>
    <x v="0"/>
    <x v="168"/>
    <x v="21"/>
    <x v="9"/>
    <n v="9.5"/>
    <x v="0"/>
    <x v="1"/>
    <x v="237"/>
    <x v="0"/>
    <s v="DISCOUNT NOT ALLOWED"/>
    <s v="discount not allowed"/>
    <s v="DISCOUNT NOT ALLOWED"/>
    <s v="Discount Not Allowed"/>
    <s v="23/07/22"/>
  </r>
  <r>
    <s v="TXN_4183289"/>
    <s v="CUST_12"/>
    <x v="0"/>
    <x v="168"/>
    <x v="21"/>
    <x v="9"/>
    <n v="9.5"/>
    <x v="2"/>
    <x v="1"/>
    <x v="741"/>
    <x v="1"/>
    <s v="DISCOUNT ALLOWED"/>
    <s v="discount allowed"/>
    <s v="DISCOUNT ALLOWED"/>
    <s v="Discount Allowed"/>
    <s v="22/11/22"/>
  </r>
  <r>
    <s v="TXN_4308632"/>
    <s v="CUST_15"/>
    <x v="0"/>
    <x v="168"/>
    <x v="21"/>
    <x v="9"/>
    <n v="9.5"/>
    <x v="0"/>
    <x v="0"/>
    <x v="559"/>
    <x v="1"/>
    <s v="DISCOUNT ALLOWED"/>
    <s v="discount allowed"/>
    <s v="DISCOUNT ALLOWED"/>
    <s v="Discount Allowed"/>
    <s v="14/10/22"/>
  </r>
  <r>
    <s v="TXN_5017412"/>
    <s v="CUST_07"/>
    <x v="1"/>
    <x v="169"/>
    <x v="21"/>
    <x v="9"/>
    <n v="9.5"/>
    <x v="1"/>
    <x v="1"/>
    <x v="938"/>
    <x v="0"/>
    <s v="DISCOUNT NOT ALLOWED"/>
    <s v="discount not allowed"/>
    <s v="DISCOUNT NOT ALLOWED"/>
    <s v="Discount Not Allowed"/>
    <s v="05/06/24"/>
  </r>
  <r>
    <s v="TXN_5336983"/>
    <s v="CUST_10"/>
    <x v="6"/>
    <x v="172"/>
    <x v="21"/>
    <x v="9"/>
    <n v="9.5"/>
    <x v="2"/>
    <x v="0"/>
    <x v="35"/>
    <x v="0"/>
    <s v="DISCOUNT NOT ALLOWED"/>
    <s v="discount not allowed"/>
    <s v="DISCOUNT NOT ALLOWED"/>
    <s v="Discount Not Allowed"/>
    <s v="22/03/24"/>
  </r>
  <r>
    <s v="TXN_5846086"/>
    <s v="CUST_18"/>
    <x v="7"/>
    <x v="170"/>
    <x v="21"/>
    <x v="9"/>
    <n v="9.5"/>
    <x v="2"/>
    <x v="0"/>
    <x v="301"/>
    <x v="0"/>
    <s v="DISCOUNT NOT ALLOWED"/>
    <s v="discount not allowed"/>
    <s v="DISCOUNT NOT ALLOWED"/>
    <s v="Discount Not Allowed"/>
    <s v="15/04/22"/>
  </r>
  <r>
    <s v="TXN_5870039"/>
    <s v="CUST_08"/>
    <x v="3"/>
    <x v="173"/>
    <x v="21"/>
    <x v="9"/>
    <n v="9.5"/>
    <x v="2"/>
    <x v="0"/>
    <x v="851"/>
    <x v="1"/>
    <s v="DISCOUNT ALLOWED"/>
    <s v="discount allowed"/>
    <s v="DISCOUNT ALLOWED"/>
    <s v="Discount Allowed"/>
    <s v="28/03/22"/>
  </r>
  <r>
    <s v="TXN_5999343"/>
    <s v="CUST_19"/>
    <x v="5"/>
    <x v="167"/>
    <x v="21"/>
    <x v="9"/>
    <n v="9.5"/>
    <x v="0"/>
    <x v="1"/>
    <x v="525"/>
    <x v="0"/>
    <s v="DISCOUNT NOT ALLOWED"/>
    <s v="discount not allowed"/>
    <s v="DISCOUNT NOT ALLOWED"/>
    <s v="Discount Not Allowed"/>
    <s v="17/07/22"/>
  </r>
  <r>
    <s v="TXN_6474195"/>
    <s v="CUST_16"/>
    <x v="5"/>
    <x v="167"/>
    <x v="21"/>
    <x v="9"/>
    <n v="9.5"/>
    <x v="0"/>
    <x v="0"/>
    <x v="538"/>
    <x v="0"/>
    <s v="DISCOUNT NOT ALLOWED"/>
    <s v="discount not allowed"/>
    <s v="DISCOUNT NOT ALLOWED"/>
    <s v="Discount Not Allowed"/>
    <s v="16/07/24"/>
  </r>
  <r>
    <s v="TXN_6500682"/>
    <s v="CUST_19"/>
    <x v="3"/>
    <x v="173"/>
    <x v="21"/>
    <x v="9"/>
    <n v="9.5"/>
    <x v="0"/>
    <x v="0"/>
    <x v="835"/>
    <x v="1"/>
    <s v="DISCOUNT ALLOWED"/>
    <s v="discount allowed"/>
    <s v="DISCOUNT ALLOWED"/>
    <s v="Discount Allowed"/>
    <s v="20/03/22"/>
  </r>
  <r>
    <s v="TXN_7539741"/>
    <s v="CUST_06"/>
    <x v="7"/>
    <x v="170"/>
    <x v="21"/>
    <x v="9"/>
    <n v="9.5"/>
    <x v="0"/>
    <x v="1"/>
    <x v="417"/>
    <x v="1"/>
    <s v="DISCOUNT ALLOWED"/>
    <s v="discount allowed"/>
    <s v="DISCOUNT ALLOWED"/>
    <s v="Discount Allowed"/>
    <s v="17/10/24"/>
  </r>
  <r>
    <s v="TXN_7561371"/>
    <s v="CUST_12"/>
    <x v="4"/>
    <x v="166"/>
    <x v="21"/>
    <x v="9"/>
    <n v="9.5"/>
    <x v="2"/>
    <x v="0"/>
    <x v="939"/>
    <x v="0"/>
    <s v="DISCOUNT NOT ALLOWED"/>
    <s v="discount not allowed"/>
    <s v="DISCOUNT NOT ALLOWED"/>
    <s v="Discount Not Allowed"/>
    <s v="26/10/24"/>
  </r>
  <r>
    <s v="TXN_8314850"/>
    <s v="CUST_06"/>
    <x v="3"/>
    <x v="173"/>
    <x v="21"/>
    <x v="9"/>
    <n v="9.5"/>
    <x v="0"/>
    <x v="0"/>
    <x v="21"/>
    <x v="1"/>
    <s v="DISCOUNT ALLOWED"/>
    <s v="discount allowed"/>
    <s v="DISCOUNT ALLOWED"/>
    <s v="Discount Allowed"/>
    <s v="20/05/23"/>
  </r>
  <r>
    <s v="TXN_8963699"/>
    <s v="CUST_04"/>
    <x v="2"/>
    <x v="171"/>
    <x v="21"/>
    <x v="9"/>
    <n v="9.5"/>
    <x v="1"/>
    <x v="1"/>
    <x v="666"/>
    <x v="1"/>
    <s v="DISCOUNT ALLOWED"/>
    <s v="discount allowed"/>
    <s v="DISCOUNT ALLOWED"/>
    <s v="Discount Allowed"/>
    <s v="19/12/23"/>
  </r>
  <r>
    <s v="TXN_9153686"/>
    <s v="CUST_04"/>
    <x v="5"/>
    <x v="167"/>
    <x v="21"/>
    <x v="9"/>
    <n v="9.5"/>
    <x v="1"/>
    <x v="0"/>
    <x v="725"/>
    <x v="1"/>
    <s v="DISCOUNT ALLOWED"/>
    <s v="discount allowed"/>
    <s v="DISCOUNT ALLOWED"/>
    <s v="Discount Allowed"/>
    <s v="14/04/24"/>
  </r>
  <r>
    <s v="TXN_1311744"/>
    <s v="CUST_24"/>
    <x v="4"/>
    <x v="176"/>
    <x v="22"/>
    <x v="9"/>
    <n v="8"/>
    <x v="0"/>
    <x v="0"/>
    <x v="642"/>
    <x v="0"/>
    <s v="DISCOUNT NOT ALLOWED"/>
    <s v="discount not allowed"/>
    <s v="DISCOUNT NOT ALLOWED"/>
    <s v="Discount Not Allowed"/>
    <s v="22/06/22"/>
  </r>
  <r>
    <s v="TXN_1794604"/>
    <s v="CUST_16"/>
    <x v="0"/>
    <x v="179"/>
    <x v="22"/>
    <x v="9"/>
    <n v="8"/>
    <x v="0"/>
    <x v="1"/>
    <x v="920"/>
    <x v="0"/>
    <s v="DISCOUNT NOT ALLOWED"/>
    <s v="discount not allowed"/>
    <s v="DISCOUNT NOT ALLOWED"/>
    <s v="Discount Not Allowed"/>
    <s v="03/07/23"/>
  </r>
  <r>
    <s v="TXN_1821104"/>
    <s v="CUST_22"/>
    <x v="4"/>
    <x v="176"/>
    <x v="22"/>
    <x v="9"/>
    <n v="8"/>
    <x v="2"/>
    <x v="1"/>
    <x v="328"/>
    <x v="1"/>
    <s v="DISCOUNT ALLOWED"/>
    <s v="discount allowed"/>
    <s v="DISCOUNT ALLOWED"/>
    <s v="Discount Allowed"/>
    <s v="08/06/24"/>
  </r>
  <r>
    <s v="TXN_1900392"/>
    <s v="CUST_17"/>
    <x v="5"/>
    <x v="183"/>
    <x v="22"/>
    <x v="9"/>
    <n v="8"/>
    <x v="2"/>
    <x v="1"/>
    <x v="817"/>
    <x v="1"/>
    <s v="DISCOUNT ALLOWED"/>
    <s v="discount allowed"/>
    <s v="DISCOUNT ALLOWED"/>
    <s v="Discount Allowed"/>
    <s v="07/02/23"/>
  </r>
  <r>
    <s v="TXN_2206834"/>
    <s v="CUST_25"/>
    <x v="0"/>
    <x v="179"/>
    <x v="22"/>
    <x v="9"/>
    <n v="8"/>
    <x v="2"/>
    <x v="1"/>
    <x v="892"/>
    <x v="1"/>
    <s v="DISCOUNT ALLOWED"/>
    <s v="discount allowed"/>
    <s v="DISCOUNT ALLOWED"/>
    <s v="Discount Allowed"/>
    <s v="07/01/22"/>
  </r>
  <r>
    <s v="TXN_2279728"/>
    <s v="CUST_07"/>
    <x v="1"/>
    <x v="180"/>
    <x v="22"/>
    <x v="9"/>
    <n v="8"/>
    <x v="1"/>
    <x v="1"/>
    <x v="384"/>
    <x v="1"/>
    <s v="DISCOUNT ALLOWED"/>
    <s v="discount allowed"/>
    <s v="DISCOUNT ALLOWED"/>
    <s v="Discount Allowed"/>
    <s v="12/11/24"/>
  </r>
  <r>
    <s v="TXN_2920931"/>
    <s v="CUST_15"/>
    <x v="3"/>
    <x v="177"/>
    <x v="22"/>
    <x v="9"/>
    <n v="8"/>
    <x v="1"/>
    <x v="1"/>
    <x v="67"/>
    <x v="1"/>
    <s v="DISCOUNT ALLOWED"/>
    <s v="discount allowed"/>
    <s v="DISCOUNT ALLOWED"/>
    <s v="Discount Allowed"/>
    <s v="18/08/22"/>
  </r>
  <r>
    <s v="TXN_4116590"/>
    <s v="CUST_11"/>
    <x v="4"/>
    <x v="176"/>
    <x v="22"/>
    <x v="9"/>
    <n v="8"/>
    <x v="1"/>
    <x v="1"/>
    <x v="803"/>
    <x v="1"/>
    <s v="DISCOUNT ALLOWED"/>
    <s v="discount allowed"/>
    <s v="DISCOUNT ALLOWED"/>
    <s v="Discount Allowed"/>
    <s v="24/04/22"/>
  </r>
  <r>
    <s v="TXN_4562594"/>
    <s v="CUST_19"/>
    <x v="0"/>
    <x v="179"/>
    <x v="22"/>
    <x v="9"/>
    <n v="8"/>
    <x v="2"/>
    <x v="1"/>
    <x v="844"/>
    <x v="1"/>
    <s v="DISCOUNT ALLOWED"/>
    <s v="discount allowed"/>
    <s v="DISCOUNT ALLOWED"/>
    <s v="Discount Allowed"/>
    <s v="15/12/23"/>
  </r>
  <r>
    <s v="TXN_4777165"/>
    <s v="CUST_08"/>
    <x v="0"/>
    <x v="179"/>
    <x v="22"/>
    <x v="9"/>
    <n v="8"/>
    <x v="1"/>
    <x v="1"/>
    <x v="508"/>
    <x v="1"/>
    <s v="DISCOUNT ALLOWED"/>
    <s v="discount allowed"/>
    <s v="DISCOUNT ALLOWED"/>
    <s v="Discount Allowed"/>
    <s v="01/06/22"/>
  </r>
  <r>
    <s v="TXN_4856537"/>
    <s v="CUST_07"/>
    <x v="3"/>
    <x v="177"/>
    <x v="22"/>
    <x v="9"/>
    <n v="8"/>
    <x v="1"/>
    <x v="1"/>
    <x v="540"/>
    <x v="1"/>
    <s v="DISCOUNT ALLOWED"/>
    <s v="discount allowed"/>
    <s v="DISCOUNT ALLOWED"/>
    <s v="Discount Allowed"/>
    <s v="17/05/22"/>
  </r>
  <r>
    <s v="TXN_4972248"/>
    <s v="CUST_03"/>
    <x v="1"/>
    <x v="180"/>
    <x v="22"/>
    <x v="9"/>
    <n v="8"/>
    <x v="1"/>
    <x v="1"/>
    <x v="575"/>
    <x v="0"/>
    <s v="DISCOUNT NOT ALLOWED"/>
    <s v="discount not allowed"/>
    <s v="DISCOUNT NOT ALLOWED"/>
    <s v="Discount Not Allowed"/>
    <s v="09/01/23"/>
  </r>
  <r>
    <s v="TXN_5069695"/>
    <s v="CUST_01"/>
    <x v="0"/>
    <x v="179"/>
    <x v="22"/>
    <x v="9"/>
    <n v="8"/>
    <x v="1"/>
    <x v="1"/>
    <x v="737"/>
    <x v="0"/>
    <s v="DISCOUNT NOT ALLOWED"/>
    <s v="discount not allowed"/>
    <s v="DISCOUNT NOT ALLOWED"/>
    <s v="Discount Not Allowed"/>
    <s v="21/11/24"/>
  </r>
  <r>
    <s v="TXN_5307105"/>
    <s v="CUST_21"/>
    <x v="0"/>
    <x v="179"/>
    <x v="22"/>
    <x v="9"/>
    <n v="8"/>
    <x v="1"/>
    <x v="1"/>
    <x v="824"/>
    <x v="1"/>
    <s v="DISCOUNT ALLOWED"/>
    <s v="discount allowed"/>
    <s v="DISCOUNT ALLOWED"/>
    <s v="Discount Allowed"/>
    <s v="14/07/24"/>
  </r>
  <r>
    <s v="TXN_5355489"/>
    <s v="CUST_25"/>
    <x v="2"/>
    <x v="178"/>
    <x v="22"/>
    <x v="9"/>
    <n v="8"/>
    <x v="0"/>
    <x v="0"/>
    <x v="618"/>
    <x v="1"/>
    <s v="DISCOUNT ALLOWED"/>
    <s v="discount allowed"/>
    <s v="DISCOUNT ALLOWED"/>
    <s v="Discount Allowed"/>
    <s v="23/01/24"/>
  </r>
  <r>
    <s v="TXN_5917033"/>
    <s v="CUST_23"/>
    <x v="0"/>
    <x v="179"/>
    <x v="22"/>
    <x v="9"/>
    <n v="8"/>
    <x v="2"/>
    <x v="1"/>
    <x v="89"/>
    <x v="1"/>
    <s v="DISCOUNT ALLOWED"/>
    <s v="discount allowed"/>
    <s v="DISCOUNT ALLOWED"/>
    <s v="Discount Allowed"/>
    <s v="14/01/22"/>
  </r>
  <r>
    <s v="TXN_6076046"/>
    <s v="CUST_18"/>
    <x v="0"/>
    <x v="179"/>
    <x v="22"/>
    <x v="9"/>
    <n v="8"/>
    <x v="1"/>
    <x v="0"/>
    <x v="628"/>
    <x v="1"/>
    <s v="DISCOUNT ALLOWED"/>
    <s v="discount allowed"/>
    <s v="DISCOUNT ALLOWED"/>
    <s v="Discount Allowed"/>
    <s v="25/01/24"/>
  </r>
  <r>
    <s v="TXN_6271059"/>
    <s v="CUST_10"/>
    <x v="2"/>
    <x v="178"/>
    <x v="22"/>
    <x v="9"/>
    <n v="8"/>
    <x v="0"/>
    <x v="0"/>
    <x v="871"/>
    <x v="0"/>
    <s v="DISCOUNT NOT ALLOWED"/>
    <s v="discount not allowed"/>
    <s v="DISCOUNT NOT ALLOWED"/>
    <s v="Discount Not Allowed"/>
    <s v="17/03/24"/>
  </r>
  <r>
    <s v="TXN_6469412"/>
    <s v="CUST_15"/>
    <x v="1"/>
    <x v="180"/>
    <x v="22"/>
    <x v="9"/>
    <n v="8"/>
    <x v="0"/>
    <x v="1"/>
    <x v="98"/>
    <x v="1"/>
    <s v="DISCOUNT ALLOWED"/>
    <s v="discount allowed"/>
    <s v="DISCOUNT ALLOWED"/>
    <s v="Discount Allowed"/>
    <s v="04/04/23"/>
  </r>
  <r>
    <s v="TXN_6619258"/>
    <s v="CUST_21"/>
    <x v="3"/>
    <x v="177"/>
    <x v="22"/>
    <x v="9"/>
    <n v="8"/>
    <x v="2"/>
    <x v="0"/>
    <x v="406"/>
    <x v="1"/>
    <s v="DISCOUNT ALLOWED"/>
    <s v="discount allowed"/>
    <s v="DISCOUNT ALLOWED"/>
    <s v="Discount Allowed"/>
    <s v="27/12/23"/>
  </r>
  <r>
    <s v="TXN_6766304"/>
    <s v="CUST_03"/>
    <x v="0"/>
    <x v="179"/>
    <x v="22"/>
    <x v="9"/>
    <n v="8"/>
    <x v="1"/>
    <x v="1"/>
    <x v="531"/>
    <x v="0"/>
    <s v="DISCOUNT NOT ALLOWED"/>
    <s v="discount not allowed"/>
    <s v="DISCOUNT NOT ALLOWED"/>
    <s v="Discount Not Allowed"/>
    <s v="08/10/23"/>
  </r>
  <r>
    <s v="TXN_7093524"/>
    <s v="CUST_13"/>
    <x v="7"/>
    <x v="181"/>
    <x v="22"/>
    <x v="9"/>
    <n v="8"/>
    <x v="0"/>
    <x v="1"/>
    <x v="795"/>
    <x v="1"/>
    <s v="DISCOUNT ALLOWED"/>
    <s v="discount allowed"/>
    <s v="DISCOUNT ALLOWED"/>
    <s v="Discount Allowed"/>
    <s v="23/10/23"/>
  </r>
  <r>
    <s v="TXN_7938026"/>
    <s v="CUST_13"/>
    <x v="3"/>
    <x v="177"/>
    <x v="22"/>
    <x v="9"/>
    <n v="8"/>
    <x v="0"/>
    <x v="1"/>
    <x v="187"/>
    <x v="0"/>
    <s v="DISCOUNT NOT ALLOWED"/>
    <s v="discount not allowed"/>
    <s v="DISCOUNT NOT ALLOWED"/>
    <s v="Discount Not Allowed"/>
    <s v="18/02/23"/>
  </r>
  <r>
    <s v="TXN_8231669"/>
    <s v="CUST_20"/>
    <x v="0"/>
    <x v="179"/>
    <x v="22"/>
    <x v="9"/>
    <n v="8"/>
    <x v="2"/>
    <x v="0"/>
    <x v="623"/>
    <x v="1"/>
    <s v="DISCOUNT ALLOWED"/>
    <s v="discount allowed"/>
    <s v="DISCOUNT ALLOWED"/>
    <s v="Discount Allowed"/>
    <s v="26/08/24"/>
  </r>
  <r>
    <s v="TXN_8385569"/>
    <s v="CUST_11"/>
    <x v="1"/>
    <x v="180"/>
    <x v="22"/>
    <x v="9"/>
    <n v="8"/>
    <x v="0"/>
    <x v="0"/>
    <x v="1068"/>
    <x v="0"/>
    <s v="DISCOUNT NOT ALLOWED"/>
    <s v="discount not allowed"/>
    <s v="DISCOUNT NOT ALLOWED"/>
    <s v="Discount Not Allowed"/>
    <s v="13/04/23"/>
  </r>
  <r>
    <s v="TXN_9810114"/>
    <s v="CUST_09"/>
    <x v="0"/>
    <x v="179"/>
    <x v="22"/>
    <x v="9"/>
    <n v="8"/>
    <x v="1"/>
    <x v="0"/>
    <x v="181"/>
    <x v="0"/>
    <s v="DISCOUNT NOT ALLOWED"/>
    <s v="discount not allowed"/>
    <s v="DISCOUNT NOT ALLOWED"/>
    <s v="Discount Not Allowed"/>
    <s v="14/08/23"/>
  </r>
  <r>
    <s v="TXN_9862117"/>
    <s v="CUST_20"/>
    <x v="7"/>
    <x v="181"/>
    <x v="22"/>
    <x v="9"/>
    <n v="8"/>
    <x v="2"/>
    <x v="0"/>
    <x v="1084"/>
    <x v="0"/>
    <s v="DISCOUNT NOT ALLOWED"/>
    <s v="discount not allowed"/>
    <s v="DISCOUNT NOT ALLOWED"/>
    <s v="Discount Not Allowed"/>
    <s v="29/05/22"/>
  </r>
  <r>
    <s v="TXN_1384868"/>
    <s v="CUST_10"/>
    <x v="2"/>
    <x v="187"/>
    <x v="23"/>
    <x v="9"/>
    <n v="6.5"/>
    <x v="2"/>
    <x v="1"/>
    <x v="1021"/>
    <x v="1"/>
    <s v="DISCOUNT ALLOWED"/>
    <s v="discount allowed"/>
    <s v="DISCOUNT ALLOWED"/>
    <s v="Discount Allowed"/>
    <s v="27/09/23"/>
  </r>
  <r>
    <s v="TXN_1876426"/>
    <s v="CUST_09"/>
    <x v="2"/>
    <x v="187"/>
    <x v="23"/>
    <x v="9"/>
    <n v="6.5"/>
    <x v="1"/>
    <x v="0"/>
    <x v="316"/>
    <x v="1"/>
    <s v="DISCOUNT ALLOWED"/>
    <s v="discount allowed"/>
    <s v="DISCOUNT ALLOWED"/>
    <s v="Discount Allowed"/>
    <s v="27/05/22"/>
  </r>
  <r>
    <s v="TXN_2034268"/>
    <s v="CUST_11"/>
    <x v="6"/>
    <x v="188"/>
    <x v="23"/>
    <x v="9"/>
    <n v="6.5"/>
    <x v="1"/>
    <x v="0"/>
    <x v="617"/>
    <x v="0"/>
    <s v="DISCOUNT NOT ALLOWED"/>
    <s v="discount not allowed"/>
    <s v="DISCOUNT NOT ALLOWED"/>
    <s v="Discount Not Allowed"/>
    <s v="28/11/24"/>
  </r>
  <r>
    <s v="TXN_2688839"/>
    <s v="CUST_05"/>
    <x v="7"/>
    <x v="191"/>
    <x v="23"/>
    <x v="9"/>
    <n v="6.5"/>
    <x v="1"/>
    <x v="0"/>
    <x v="155"/>
    <x v="1"/>
    <s v="DISCOUNT ALLOWED"/>
    <s v="discount allowed"/>
    <s v="DISCOUNT ALLOWED"/>
    <s v="Discount Allowed"/>
    <s v="19/02/22"/>
  </r>
  <r>
    <s v="TXN_3023874"/>
    <s v="CUST_03"/>
    <x v="7"/>
    <x v="191"/>
    <x v="23"/>
    <x v="9"/>
    <n v="6.5"/>
    <x v="0"/>
    <x v="1"/>
    <x v="46"/>
    <x v="1"/>
    <s v="DISCOUNT ALLOWED"/>
    <s v="discount allowed"/>
    <s v="DISCOUNT ALLOWED"/>
    <s v="Discount Allowed"/>
    <s v="24/04/24"/>
  </r>
  <r>
    <s v="TXN_3463769"/>
    <s v="CUST_02"/>
    <x v="0"/>
    <x v="186"/>
    <x v="23"/>
    <x v="9"/>
    <n v="6.5"/>
    <x v="0"/>
    <x v="0"/>
    <x v="310"/>
    <x v="0"/>
    <s v="DISCOUNT NOT ALLOWED"/>
    <s v="discount not allowed"/>
    <s v="DISCOUNT NOT ALLOWED"/>
    <s v="Discount Not Allowed"/>
    <s v="01/11/24"/>
  </r>
  <r>
    <s v="TXN_3608682"/>
    <s v="CUST_24"/>
    <x v="6"/>
    <x v="188"/>
    <x v="23"/>
    <x v="9"/>
    <n v="6.5"/>
    <x v="1"/>
    <x v="1"/>
    <x v="777"/>
    <x v="1"/>
    <s v="DISCOUNT ALLOWED"/>
    <s v="discount allowed"/>
    <s v="DISCOUNT ALLOWED"/>
    <s v="Discount Allowed"/>
    <s v="25/07/24"/>
  </r>
  <r>
    <s v="TXN_3913187"/>
    <s v="CUST_11"/>
    <x v="1"/>
    <x v="184"/>
    <x v="23"/>
    <x v="9"/>
    <n v="6.5"/>
    <x v="0"/>
    <x v="1"/>
    <x v="964"/>
    <x v="1"/>
    <s v="DISCOUNT ALLOWED"/>
    <s v="discount allowed"/>
    <s v="DISCOUNT ALLOWED"/>
    <s v="Discount Allowed"/>
    <s v="11/04/24"/>
  </r>
  <r>
    <s v="TXN_4167564"/>
    <s v="CUST_19"/>
    <x v="7"/>
    <x v="191"/>
    <x v="23"/>
    <x v="9"/>
    <n v="6.5"/>
    <x v="2"/>
    <x v="1"/>
    <x v="1017"/>
    <x v="1"/>
    <s v="DISCOUNT ALLOWED"/>
    <s v="discount allowed"/>
    <s v="DISCOUNT ALLOWED"/>
    <s v="Discount Allowed"/>
    <s v="26/02/24"/>
  </r>
  <r>
    <s v="TXN_4373603"/>
    <s v="CUST_08"/>
    <x v="5"/>
    <x v="190"/>
    <x v="23"/>
    <x v="9"/>
    <n v="6.5"/>
    <x v="0"/>
    <x v="1"/>
    <x v="781"/>
    <x v="0"/>
    <s v="DISCOUNT NOT ALLOWED"/>
    <s v="discount not allowed"/>
    <s v="DISCOUNT NOT ALLOWED"/>
    <s v="Discount Not Allowed"/>
    <s v="14/07/22"/>
  </r>
  <r>
    <s v="TXN_4477147"/>
    <s v="CUST_20"/>
    <x v="2"/>
    <x v="187"/>
    <x v="23"/>
    <x v="9"/>
    <n v="6.5"/>
    <x v="1"/>
    <x v="1"/>
    <x v="433"/>
    <x v="1"/>
    <s v="DISCOUNT ALLOWED"/>
    <s v="discount allowed"/>
    <s v="DISCOUNT ALLOWED"/>
    <s v="Discount Allowed"/>
    <s v="28/04/22"/>
  </r>
  <r>
    <s v="TXN_5725550"/>
    <s v="CUST_18"/>
    <x v="2"/>
    <x v="187"/>
    <x v="23"/>
    <x v="9"/>
    <n v="6.5"/>
    <x v="2"/>
    <x v="1"/>
    <x v="750"/>
    <x v="0"/>
    <s v="DISCOUNT NOT ALLOWED"/>
    <s v="discount not allowed"/>
    <s v="DISCOUNT NOT ALLOWED"/>
    <s v="Discount Not Allowed"/>
    <s v="17/11/24"/>
  </r>
  <r>
    <s v="TXN_5777361"/>
    <s v="CUST_11"/>
    <x v="7"/>
    <x v="191"/>
    <x v="23"/>
    <x v="9"/>
    <n v="6.5"/>
    <x v="0"/>
    <x v="0"/>
    <x v="429"/>
    <x v="0"/>
    <s v="DISCOUNT NOT ALLOWED"/>
    <s v="discount not allowed"/>
    <s v="DISCOUNT NOT ALLOWED"/>
    <s v="Discount Not Allowed"/>
    <s v="18/03/24"/>
  </r>
  <r>
    <s v="TXN_5962064"/>
    <s v="CUST_21"/>
    <x v="4"/>
    <x v="185"/>
    <x v="23"/>
    <x v="9"/>
    <n v="6.5"/>
    <x v="0"/>
    <x v="1"/>
    <x v="911"/>
    <x v="0"/>
    <s v="DISCOUNT NOT ALLOWED"/>
    <s v="discount not allowed"/>
    <s v="DISCOUNT NOT ALLOWED"/>
    <s v="Discount Not Allowed"/>
    <s v="08/11/22"/>
  </r>
  <r>
    <s v="TXN_6170543"/>
    <s v="CUST_08"/>
    <x v="2"/>
    <x v="187"/>
    <x v="23"/>
    <x v="9"/>
    <n v="6.5"/>
    <x v="2"/>
    <x v="1"/>
    <x v="490"/>
    <x v="1"/>
    <s v="DISCOUNT ALLOWED"/>
    <s v="discount allowed"/>
    <s v="DISCOUNT ALLOWED"/>
    <s v="Discount Allowed"/>
    <s v="13/11/24"/>
  </r>
  <r>
    <s v="TXN_6817577"/>
    <s v="CUST_08"/>
    <x v="6"/>
    <x v="188"/>
    <x v="23"/>
    <x v="9"/>
    <n v="6.5"/>
    <x v="2"/>
    <x v="0"/>
    <x v="1016"/>
    <x v="1"/>
    <s v="DISCOUNT ALLOWED"/>
    <s v="discount allowed"/>
    <s v="DISCOUNT ALLOWED"/>
    <s v="Discount Allowed"/>
    <s v="14/03/24"/>
  </r>
  <r>
    <s v="TXN_7137586"/>
    <s v="CUST_05"/>
    <x v="1"/>
    <x v="184"/>
    <x v="23"/>
    <x v="9"/>
    <n v="6.5"/>
    <x v="2"/>
    <x v="0"/>
    <x v="23"/>
    <x v="0"/>
    <s v="DISCOUNT NOT ALLOWED"/>
    <s v="discount not allowed"/>
    <s v="DISCOUNT NOT ALLOWED"/>
    <s v="Discount Not Allowed"/>
    <s v="31/08/24"/>
  </r>
  <r>
    <s v="TXN_7172192"/>
    <s v="CUST_20"/>
    <x v="3"/>
    <x v="189"/>
    <x v="23"/>
    <x v="9"/>
    <n v="6.5"/>
    <x v="2"/>
    <x v="1"/>
    <x v="920"/>
    <x v="1"/>
    <s v="DISCOUNT ALLOWED"/>
    <s v="discount allowed"/>
    <s v="DISCOUNT ALLOWED"/>
    <s v="Discount Allowed"/>
    <s v="03/07/23"/>
  </r>
  <r>
    <s v="TXN_7248220"/>
    <s v="CUST_08"/>
    <x v="1"/>
    <x v="184"/>
    <x v="23"/>
    <x v="9"/>
    <n v="6.5"/>
    <x v="1"/>
    <x v="1"/>
    <x v="631"/>
    <x v="1"/>
    <s v="DISCOUNT ALLOWED"/>
    <s v="discount allowed"/>
    <s v="DISCOUNT ALLOWED"/>
    <s v="Discount Allowed"/>
    <s v="05/09/24"/>
  </r>
  <r>
    <s v="TXN_7575263"/>
    <s v="CUST_22"/>
    <x v="5"/>
    <x v="190"/>
    <x v="23"/>
    <x v="9"/>
    <n v="6.5"/>
    <x v="0"/>
    <x v="1"/>
    <x v="534"/>
    <x v="1"/>
    <s v="DISCOUNT ALLOWED"/>
    <s v="discount allowed"/>
    <s v="DISCOUNT ALLOWED"/>
    <s v="Discount Allowed"/>
    <s v="25/02/24"/>
  </r>
  <r>
    <s v="TXN_7989998"/>
    <s v="CUST_10"/>
    <x v="6"/>
    <x v="188"/>
    <x v="23"/>
    <x v="9"/>
    <n v="6.5"/>
    <x v="0"/>
    <x v="0"/>
    <x v="755"/>
    <x v="0"/>
    <s v="DISCOUNT NOT ALLOWED"/>
    <s v="discount not allowed"/>
    <s v="DISCOUNT NOT ALLOWED"/>
    <s v="Discount Not Allowed"/>
    <s v="22/07/24"/>
  </r>
  <r>
    <s v="TXN_8170521"/>
    <s v="CUST_09"/>
    <x v="2"/>
    <x v="187"/>
    <x v="23"/>
    <x v="9"/>
    <n v="6.5"/>
    <x v="0"/>
    <x v="1"/>
    <x v="794"/>
    <x v="1"/>
    <s v="DISCOUNT ALLOWED"/>
    <s v="discount allowed"/>
    <s v="DISCOUNT ALLOWED"/>
    <s v="Discount Allowed"/>
    <s v="19/02/24"/>
  </r>
  <r>
    <s v="TXN_8741691"/>
    <s v="CUST_19"/>
    <x v="1"/>
    <x v="184"/>
    <x v="23"/>
    <x v="9"/>
    <n v="6.5"/>
    <x v="0"/>
    <x v="0"/>
    <x v="247"/>
    <x v="0"/>
    <s v="DISCOUNT NOT ALLOWED"/>
    <s v="discount not allowed"/>
    <s v="DISCOUNT NOT ALLOWED"/>
    <s v="Discount Not Allowed"/>
    <s v="24/05/24"/>
  </r>
  <r>
    <s v="TXN_8759839"/>
    <s v="CUST_10"/>
    <x v="0"/>
    <x v="186"/>
    <x v="23"/>
    <x v="9"/>
    <n v="6.5"/>
    <x v="0"/>
    <x v="0"/>
    <x v="493"/>
    <x v="0"/>
    <s v="DISCOUNT NOT ALLOWED"/>
    <s v="discount not allowed"/>
    <s v="DISCOUNT NOT ALLOWED"/>
    <s v="Discount Not Allowed"/>
    <s v="03/06/24"/>
  </r>
  <r>
    <s v="TXN_9131959"/>
    <s v="CUST_01"/>
    <x v="0"/>
    <x v="186"/>
    <x v="23"/>
    <x v="9"/>
    <n v="6.5"/>
    <x v="2"/>
    <x v="0"/>
    <x v="438"/>
    <x v="0"/>
    <s v="DISCOUNT NOT ALLOWED"/>
    <s v="discount not allowed"/>
    <s v="DISCOUNT NOT ALLOWED"/>
    <s v="Discount Not Allowed"/>
    <s v="11/01/22"/>
  </r>
  <r>
    <s v="TXN_9850952"/>
    <s v="CUST_06"/>
    <x v="2"/>
    <x v="187"/>
    <x v="23"/>
    <x v="9"/>
    <n v="6.5"/>
    <x v="0"/>
    <x v="1"/>
    <x v="509"/>
    <x v="1"/>
    <s v="DISCOUNT ALLOWED"/>
    <s v="discount allowed"/>
    <s v="DISCOUNT ALLOWED"/>
    <s v="Discount Allowed"/>
    <s v="14/09/23"/>
  </r>
  <r>
    <s v="TXN_1284168"/>
    <s v="CUST_01"/>
    <x v="1"/>
    <x v="193"/>
    <x v="24"/>
    <x v="9"/>
    <n v="5"/>
    <x v="2"/>
    <x v="1"/>
    <x v="880"/>
    <x v="1"/>
    <s v="DISCOUNT ALLOWED"/>
    <s v="discount allowed"/>
    <s v="DISCOUNT ALLOWED"/>
    <s v="Discount Allowed"/>
    <s v="21/04/23"/>
  </r>
  <r>
    <s v="TXN_1284960"/>
    <s v="CUST_01"/>
    <x v="2"/>
    <x v="199"/>
    <x v="24"/>
    <x v="9"/>
    <n v="5"/>
    <x v="1"/>
    <x v="0"/>
    <x v="732"/>
    <x v="1"/>
    <s v="DISCOUNT ALLOWED"/>
    <s v="discount allowed"/>
    <s v="DISCOUNT ALLOWED"/>
    <s v="Discount Allowed"/>
    <s v="17/08/24"/>
  </r>
  <r>
    <s v="TXN_1456329"/>
    <s v="CUST_01"/>
    <x v="0"/>
    <x v="195"/>
    <x v="24"/>
    <x v="9"/>
    <n v="5"/>
    <x v="2"/>
    <x v="1"/>
    <x v="83"/>
    <x v="0"/>
    <s v="DISCOUNT NOT ALLOWED"/>
    <s v="discount not allowed"/>
    <s v="DISCOUNT NOT ALLOWED"/>
    <s v="Discount Not Allowed"/>
    <s v="21/12/23"/>
  </r>
  <r>
    <s v="TXN_1745928"/>
    <s v="CUST_17"/>
    <x v="6"/>
    <x v="196"/>
    <x v="24"/>
    <x v="9"/>
    <n v="5"/>
    <x v="2"/>
    <x v="0"/>
    <x v="626"/>
    <x v="1"/>
    <s v="DISCOUNT ALLOWED"/>
    <s v="discount allowed"/>
    <s v="DISCOUNT ALLOWED"/>
    <s v="Discount Allowed"/>
    <s v="11/10/24"/>
  </r>
  <r>
    <s v="TXN_2006169"/>
    <s v="CUST_23"/>
    <x v="1"/>
    <x v="193"/>
    <x v="24"/>
    <x v="9"/>
    <n v="5"/>
    <x v="0"/>
    <x v="0"/>
    <x v="1003"/>
    <x v="1"/>
    <s v="DISCOUNT ALLOWED"/>
    <s v="discount allowed"/>
    <s v="DISCOUNT ALLOWED"/>
    <s v="Discount Allowed"/>
    <s v="09/09/24"/>
  </r>
  <r>
    <s v="TXN_2477555"/>
    <s v="CUST_20"/>
    <x v="3"/>
    <x v="197"/>
    <x v="24"/>
    <x v="9"/>
    <n v="5"/>
    <x v="2"/>
    <x v="1"/>
    <x v="47"/>
    <x v="0"/>
    <s v="DISCOUNT NOT ALLOWED"/>
    <s v="discount not allowed"/>
    <s v="DISCOUNT NOT ALLOWED"/>
    <s v="Discount Not Allowed"/>
    <s v="01/01/24"/>
  </r>
  <r>
    <s v="TXN_2566721"/>
    <s v="CUST_09"/>
    <x v="6"/>
    <x v="196"/>
    <x v="24"/>
    <x v="9"/>
    <n v="5"/>
    <x v="1"/>
    <x v="0"/>
    <x v="362"/>
    <x v="0"/>
    <s v="DISCOUNT NOT ALLOWED"/>
    <s v="discount not allowed"/>
    <s v="DISCOUNT NOT ALLOWED"/>
    <s v="Discount Not Allowed"/>
    <s v="10/03/23"/>
  </r>
  <r>
    <s v="TXN_2985304"/>
    <s v="CUST_19"/>
    <x v="0"/>
    <x v="195"/>
    <x v="24"/>
    <x v="9"/>
    <n v="5"/>
    <x v="1"/>
    <x v="0"/>
    <x v="966"/>
    <x v="1"/>
    <s v="DISCOUNT ALLOWED"/>
    <s v="discount allowed"/>
    <s v="DISCOUNT ALLOWED"/>
    <s v="Discount Allowed"/>
    <s v="26/02/22"/>
  </r>
  <r>
    <s v="TXN_3023847"/>
    <s v="CUST_12"/>
    <x v="0"/>
    <x v="195"/>
    <x v="24"/>
    <x v="9"/>
    <n v="5"/>
    <x v="1"/>
    <x v="1"/>
    <x v="711"/>
    <x v="1"/>
    <s v="DISCOUNT ALLOWED"/>
    <s v="discount allowed"/>
    <s v="DISCOUNT ALLOWED"/>
    <s v="Discount Allowed"/>
    <s v="04/04/22"/>
  </r>
  <r>
    <s v="TXN_3217988"/>
    <s v="CUST_25"/>
    <x v="0"/>
    <x v="195"/>
    <x v="24"/>
    <x v="9"/>
    <n v="5"/>
    <x v="0"/>
    <x v="0"/>
    <x v="663"/>
    <x v="1"/>
    <s v="DISCOUNT ALLOWED"/>
    <s v="discount allowed"/>
    <s v="DISCOUNT ALLOWED"/>
    <s v="Discount Allowed"/>
    <s v="05/04/23"/>
  </r>
  <r>
    <s v="TXN_3481766"/>
    <s v="CUST_05"/>
    <x v="1"/>
    <x v="193"/>
    <x v="24"/>
    <x v="9"/>
    <n v="5"/>
    <x v="0"/>
    <x v="0"/>
    <x v="1027"/>
    <x v="1"/>
    <s v="DISCOUNT ALLOWED"/>
    <s v="discount allowed"/>
    <s v="DISCOUNT ALLOWED"/>
    <s v="Discount Allowed"/>
    <s v="30/05/24"/>
  </r>
  <r>
    <s v="TXN_4506079"/>
    <s v="CUST_05"/>
    <x v="7"/>
    <x v="192"/>
    <x v="24"/>
    <x v="9"/>
    <n v="5"/>
    <x v="2"/>
    <x v="1"/>
    <x v="130"/>
    <x v="1"/>
    <s v="DISCOUNT ALLOWED"/>
    <s v="discount allowed"/>
    <s v="DISCOUNT ALLOWED"/>
    <s v="Discount Allowed"/>
    <s v="21/09/23"/>
  </r>
  <r>
    <s v="TXN_5259478"/>
    <s v="CUST_02"/>
    <x v="2"/>
    <x v="199"/>
    <x v="24"/>
    <x v="9"/>
    <n v="5"/>
    <x v="2"/>
    <x v="1"/>
    <x v="228"/>
    <x v="0"/>
    <s v="DISCOUNT NOT ALLOWED"/>
    <s v="discount not allowed"/>
    <s v="DISCOUNT NOT ALLOWED"/>
    <s v="Discount Not Allowed"/>
    <s v="27/02/22"/>
  </r>
  <r>
    <s v="TXN_5512644"/>
    <s v="CUST_13"/>
    <x v="5"/>
    <x v="194"/>
    <x v="24"/>
    <x v="9"/>
    <n v="5"/>
    <x v="1"/>
    <x v="1"/>
    <x v="103"/>
    <x v="0"/>
    <s v="DISCOUNT NOT ALLOWED"/>
    <s v="discount not allowed"/>
    <s v="DISCOUNT NOT ALLOWED"/>
    <s v="Discount Not Allowed"/>
    <s v="30/05/22"/>
  </r>
  <r>
    <s v="TXN_6229274"/>
    <s v="CUST_05"/>
    <x v="3"/>
    <x v="197"/>
    <x v="24"/>
    <x v="9"/>
    <n v="5"/>
    <x v="1"/>
    <x v="1"/>
    <x v="810"/>
    <x v="1"/>
    <s v="DISCOUNT ALLOWED"/>
    <s v="discount allowed"/>
    <s v="DISCOUNT ALLOWED"/>
    <s v="Discount Allowed"/>
    <s v="16/11/23"/>
  </r>
  <r>
    <s v="TXN_6571048"/>
    <s v="CUST_07"/>
    <x v="4"/>
    <x v="198"/>
    <x v="24"/>
    <x v="9"/>
    <n v="5"/>
    <x v="0"/>
    <x v="1"/>
    <x v="1015"/>
    <x v="0"/>
    <s v="DISCOUNT NOT ALLOWED"/>
    <s v="discount not allowed"/>
    <s v="DISCOUNT NOT ALLOWED"/>
    <s v="Discount Not Allowed"/>
    <s v="31/08/23"/>
  </r>
  <r>
    <s v="TXN_7350390"/>
    <s v="CUST_09"/>
    <x v="0"/>
    <x v="195"/>
    <x v="24"/>
    <x v="9"/>
    <n v="5"/>
    <x v="2"/>
    <x v="0"/>
    <x v="360"/>
    <x v="0"/>
    <s v="DISCOUNT NOT ALLOWED"/>
    <s v="discount not allowed"/>
    <s v="DISCOUNT NOT ALLOWED"/>
    <s v="Discount Not Allowed"/>
    <s v="20/06/22"/>
  </r>
  <r>
    <s v="TXN_7765690"/>
    <s v="CUST_25"/>
    <x v="7"/>
    <x v="192"/>
    <x v="24"/>
    <x v="9"/>
    <n v="5"/>
    <x v="1"/>
    <x v="0"/>
    <x v="92"/>
    <x v="1"/>
    <s v="DISCOUNT ALLOWED"/>
    <s v="discount allowed"/>
    <s v="DISCOUNT ALLOWED"/>
    <s v="Discount Allowed"/>
    <s v="03/03/24"/>
  </r>
  <r>
    <s v="TXN_7781357"/>
    <s v="CUST_24"/>
    <x v="5"/>
    <x v="194"/>
    <x v="24"/>
    <x v="9"/>
    <n v="5"/>
    <x v="0"/>
    <x v="0"/>
    <x v="657"/>
    <x v="1"/>
    <s v="DISCOUNT ALLOWED"/>
    <s v="discount allowed"/>
    <s v="DISCOUNT ALLOWED"/>
    <s v="Discount Allowed"/>
    <s v="22/03/22"/>
  </r>
  <r>
    <s v="TXN_8139295"/>
    <s v="CUST_08"/>
    <x v="1"/>
    <x v="193"/>
    <x v="24"/>
    <x v="9"/>
    <n v="5"/>
    <x v="2"/>
    <x v="0"/>
    <x v="371"/>
    <x v="1"/>
    <s v="DISCOUNT ALLOWED"/>
    <s v="discount allowed"/>
    <s v="DISCOUNT ALLOWED"/>
    <s v="Discount Allowed"/>
    <s v="05/07/23"/>
  </r>
  <r>
    <s v="TXN_8240632"/>
    <s v="CUST_11"/>
    <x v="0"/>
    <x v="195"/>
    <x v="24"/>
    <x v="9"/>
    <n v="5"/>
    <x v="1"/>
    <x v="1"/>
    <x v="696"/>
    <x v="1"/>
    <s v="DISCOUNT ALLOWED"/>
    <s v="discount allowed"/>
    <s v="DISCOUNT ALLOWED"/>
    <s v="Discount Allowed"/>
    <s v="01/10/23"/>
  </r>
  <r>
    <s v="TXN_8504691"/>
    <s v="CUST_08"/>
    <x v="0"/>
    <x v="195"/>
    <x v="24"/>
    <x v="9"/>
    <n v="5"/>
    <x v="2"/>
    <x v="0"/>
    <x v="83"/>
    <x v="1"/>
    <s v="DISCOUNT ALLOWED"/>
    <s v="discount allowed"/>
    <s v="DISCOUNT ALLOWED"/>
    <s v="Discount Allowed"/>
    <s v="21/12/23"/>
  </r>
  <r>
    <s v="TXN_8746609"/>
    <s v="CUST_23"/>
    <x v="6"/>
    <x v="196"/>
    <x v="24"/>
    <x v="9"/>
    <n v="5"/>
    <x v="1"/>
    <x v="0"/>
    <x v="499"/>
    <x v="1"/>
    <s v="DISCOUNT ALLOWED"/>
    <s v="discount allowed"/>
    <s v="DISCOUNT ALLOWED"/>
    <s v="Discount Allowed"/>
    <s v="12/04/22"/>
  </r>
  <r>
    <s v="TXN_9042764"/>
    <s v="CUST_18"/>
    <x v="7"/>
    <x v="192"/>
    <x v="24"/>
    <x v="9"/>
    <n v="5"/>
    <x v="0"/>
    <x v="1"/>
    <x v="824"/>
    <x v="1"/>
    <s v="DISCOUNT ALLOWED"/>
    <s v="discount allowed"/>
    <s v="DISCOUNT ALLOWED"/>
    <s v="Discount Allowed"/>
    <s v="14/07/24"/>
  </r>
  <r>
    <s v="TXN_9216601"/>
    <s v="CUST_05"/>
    <x v="7"/>
    <x v="192"/>
    <x v="24"/>
    <x v="9"/>
    <n v="5"/>
    <x v="1"/>
    <x v="1"/>
    <x v="142"/>
    <x v="0"/>
    <s v="DISCOUNT NOT ALLOWED"/>
    <s v="discount not allowed"/>
    <s v="DISCOUNT NOT ALLOWED"/>
    <s v="Discount Not Allowed"/>
    <s v="02/08/24"/>
  </r>
  <r>
    <s v="TXN_9680847"/>
    <s v="CUST_23"/>
    <x v="5"/>
    <x v="194"/>
    <x v="24"/>
    <x v="9"/>
    <n v="5"/>
    <x v="2"/>
    <x v="1"/>
    <x v="944"/>
    <x v="1"/>
    <s v="DISCOUNT ALLOWED"/>
    <s v="discount allowed"/>
    <s v="DISCOUNT ALLOWED"/>
    <s v="Discount Allowed"/>
    <s v="14/01/24"/>
  </r>
  <r>
    <s v="TXN_9895162"/>
    <s v="CUST_09"/>
    <x v="4"/>
    <x v="198"/>
    <x v="24"/>
    <x v="9"/>
    <n v="5"/>
    <x v="2"/>
    <x v="0"/>
    <x v="458"/>
    <x v="1"/>
    <s v="DISCOUNT ALLOWED"/>
    <s v="discount allowed"/>
    <s v="DISCOUNT ALLOWED"/>
    <s v="Discount Allowed"/>
    <s v="18/05/24"/>
  </r>
  <r>
    <s v="TXN_9911488"/>
    <s v="CUST_25"/>
    <x v="5"/>
    <x v="194"/>
    <x v="24"/>
    <x v="9"/>
    <n v="5"/>
    <x v="0"/>
    <x v="0"/>
    <x v="65"/>
    <x v="0"/>
    <s v="DISCOUNT NOT ALLOWED"/>
    <s v="discount not allowed"/>
    <s v="DISCOUNT NOT ALLOWED"/>
    <s v="Discount Not Allowed"/>
    <s v="02/09/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4BC2A8-69AF-495F-9D93-51A181F42DA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3:E22" firstHeaderRow="1" firstDataRow="1" firstDataCol="1"/>
  <pivotFields count="19">
    <pivotField dataField="1" showAll="0"/>
    <pivotField showAll="0"/>
    <pivotField axis="axisRow" showAll="0" sortType="descending">
      <items count="9">
        <item x="1"/>
        <item x="3"/>
        <item x="6"/>
        <item x="5"/>
        <item x="4"/>
        <item x="2"/>
        <item x="0"/>
        <item x="7"/>
        <item t="default"/>
      </items>
      <autoSortScope>
        <pivotArea dataOnly="0" outline="0" fieldPosition="0">
          <references count="1">
            <reference field="4294967294" count="1" selected="0">
              <x v="0"/>
            </reference>
          </references>
        </pivotArea>
      </autoSortScope>
    </pivotField>
    <pivotField showAll="0"/>
    <pivotField numFmtId="164" showAll="0"/>
    <pivotField numFmtId="1" showAll="0"/>
    <pivotField numFmtId="164" showAll="0"/>
    <pivotField showAll="0">
      <items count="5">
        <item m="1" x="3"/>
        <item x="1"/>
        <item x="2"/>
        <item x="0"/>
        <item t="default"/>
      </items>
    </pivotField>
    <pivotField showAll="0">
      <items count="3">
        <item x="1"/>
        <item x="0"/>
        <item t="default"/>
      </items>
    </pivotField>
    <pivotField numFmtId="14" showAll="0">
      <items count="1111">
        <item x="184"/>
        <item x="75"/>
        <item x="957"/>
        <item x="231"/>
        <item x="320"/>
        <item x="1091"/>
        <item x="892"/>
        <item x="193"/>
        <item x="641"/>
        <item x="588"/>
        <item x="438"/>
        <item x="489"/>
        <item x="464"/>
        <item x="89"/>
        <item x="350"/>
        <item x="234"/>
        <item x="50"/>
        <item x="386"/>
        <item x="5"/>
        <item x="910"/>
        <item x="457"/>
        <item x="548"/>
        <item x="669"/>
        <item x="797"/>
        <item x="936"/>
        <item x="164"/>
        <item x="906"/>
        <item x="477"/>
        <item x="200"/>
        <item x="624"/>
        <item x="248"/>
        <item x="414"/>
        <item x="495"/>
        <item x="298"/>
        <item x="665"/>
        <item x="1092"/>
        <item x="487"/>
        <item x="190"/>
        <item x="206"/>
        <item x="702"/>
        <item x="152"/>
        <item x="134"/>
        <item x="504"/>
        <item x="254"/>
        <item x="896"/>
        <item x="877"/>
        <item x="1064"/>
        <item x="325"/>
        <item x="38"/>
        <item x="155"/>
        <item x="427"/>
        <item x="683"/>
        <item x="463"/>
        <item x="7"/>
        <item x="17"/>
        <item x="589"/>
        <item x="966"/>
        <item x="228"/>
        <item x="232"/>
        <item x="567"/>
        <item x="329"/>
        <item x="1000"/>
        <item x="289"/>
        <item x="340"/>
        <item x="381"/>
        <item x="840"/>
        <item x="468"/>
        <item x="904"/>
        <item x="945"/>
        <item x="928"/>
        <item x="285"/>
        <item x="140"/>
        <item x="1102"/>
        <item x="545"/>
        <item x="583"/>
        <item x="479"/>
        <item x="125"/>
        <item x="365"/>
        <item x="835"/>
        <item x="1040"/>
        <item x="657"/>
        <item x="496"/>
        <item x="251"/>
        <item x="998"/>
        <item x="1088"/>
        <item x="449"/>
        <item x="851"/>
        <item x="334"/>
        <item x="785"/>
        <item x="295"/>
        <item x="344"/>
        <item x="954"/>
        <item x="887"/>
        <item x="711"/>
        <item x="587"/>
        <item x="988"/>
        <item x="891"/>
        <item x="272"/>
        <item x="122"/>
        <item x="970"/>
        <item x="919"/>
        <item x="499"/>
        <item x="114"/>
        <item x="300"/>
        <item x="301"/>
        <item x="167"/>
        <item x="774"/>
        <item x="1043"/>
        <item x="124"/>
        <item x="560"/>
        <item x="581"/>
        <item x="932"/>
        <item x="1083"/>
        <item x="803"/>
        <item x="660"/>
        <item x="84"/>
        <item x="118"/>
        <item x="433"/>
        <item x="268"/>
        <item x="712"/>
        <item x="651"/>
        <item x="536"/>
        <item x="764"/>
        <item x="314"/>
        <item x="532"/>
        <item x="800"/>
        <item x="1109"/>
        <item x="557"/>
        <item x="441"/>
        <item x="120"/>
        <item x="655"/>
        <item x="471"/>
        <item x="215"/>
        <item x="821"/>
        <item x="717"/>
        <item x="733"/>
        <item x="540"/>
        <item x="467"/>
        <item x="716"/>
        <item x="726"/>
        <item x="546"/>
        <item x="836"/>
        <item x="739"/>
        <item x="574"/>
        <item x="308"/>
        <item x="852"/>
        <item x="316"/>
        <item x="514"/>
        <item x="1084"/>
        <item x="103"/>
        <item x="975"/>
        <item x="508"/>
        <item x="885"/>
        <item x="973"/>
        <item x="805"/>
        <item x="109"/>
        <item x="346"/>
        <item x="14"/>
        <item x="157"/>
        <item x="71"/>
        <item x="654"/>
        <item x="205"/>
        <item x="368"/>
        <item x="149"/>
        <item x="728"/>
        <item x="941"/>
        <item x="995"/>
        <item x="1048"/>
        <item x="436"/>
        <item x="9"/>
        <item x="360"/>
        <item x="395"/>
        <item x="642"/>
        <item x="692"/>
        <item x="512"/>
        <item x="706"/>
        <item x="453"/>
        <item x="806"/>
        <item x="385"/>
        <item x="168"/>
        <item x="974"/>
        <item x="195"/>
        <item x="375"/>
        <item x="743"/>
        <item x="156"/>
        <item x="31"/>
        <item x="987"/>
        <item x="136"/>
        <item x="391"/>
        <item x="294"/>
        <item x="593"/>
        <item x="107"/>
        <item x="879"/>
        <item x="638"/>
        <item x="781"/>
        <item x="585"/>
        <item x="869"/>
        <item x="525"/>
        <item x="113"/>
        <item x="772"/>
        <item x="899"/>
        <item x="163"/>
        <item x="943"/>
        <item x="237"/>
        <item x="767"/>
        <item x="382"/>
        <item x="269"/>
        <item x="646"/>
        <item x="15"/>
        <item x="713"/>
        <item x="158"/>
        <item x="997"/>
        <item x="332"/>
        <item x="1073"/>
        <item x="826"/>
        <item x="971"/>
        <item x="1061"/>
        <item x="1058"/>
        <item x="786"/>
        <item x="520"/>
        <item x="359"/>
        <item x="659"/>
        <item x="730"/>
        <item x="425"/>
        <item x="246"/>
        <item x="697"/>
        <item x="210"/>
        <item x="503"/>
        <item x="968"/>
        <item x="67"/>
        <item x="498"/>
        <item x="993"/>
        <item x="115"/>
        <item x="465"/>
        <item x="0"/>
        <item x="40"/>
        <item x="607"/>
        <item x="579"/>
        <item x="832"/>
        <item x="1101"/>
        <item x="10"/>
        <item x="894"/>
        <item x="809"/>
        <item x="197"/>
        <item x="42"/>
        <item x="339"/>
        <item x="740"/>
        <item x="179"/>
        <item x="90"/>
        <item x="689"/>
        <item x="13"/>
        <item x="867"/>
        <item x="597"/>
        <item x="16"/>
        <item x="211"/>
        <item x="917"/>
        <item x="49"/>
        <item x="186"/>
        <item x="1104"/>
        <item x="823"/>
        <item x="870"/>
        <item x="230"/>
        <item x="950"/>
        <item x="636"/>
        <item x="1069"/>
        <item x="203"/>
        <item x="25"/>
        <item x="207"/>
        <item x="452"/>
        <item x="537"/>
        <item x="947"/>
        <item x="658"/>
        <item x="992"/>
        <item x="358"/>
        <item x="44"/>
        <item x="897"/>
        <item x="866"/>
        <item x="1042"/>
        <item x="218"/>
        <item x="984"/>
        <item x="687"/>
        <item x="506"/>
        <item x="407"/>
        <item x="299"/>
        <item x="396"/>
        <item x="878"/>
        <item x="559"/>
        <item x="1097"/>
        <item x="286"/>
        <item x="412"/>
        <item x="393"/>
        <item x="444"/>
        <item x="486"/>
        <item x="848"/>
        <item x="622"/>
        <item x="838"/>
        <item x="530"/>
        <item x="600"/>
        <item x="501"/>
        <item x="405"/>
        <item x="893"/>
        <item x="818"/>
        <item x="790"/>
        <item x="521"/>
        <item x="578"/>
        <item x="1004"/>
        <item x="2"/>
        <item x="302"/>
        <item x="1071"/>
        <item x="312"/>
        <item x="911"/>
        <item x="1066"/>
        <item x="580"/>
        <item x="591"/>
        <item x="951"/>
        <item x="625"/>
        <item x="323"/>
        <item x="1045"/>
        <item x="511"/>
        <item x="543"/>
        <item x="839"/>
        <item x="608"/>
        <item x="481"/>
        <item x="541"/>
        <item x="741"/>
        <item x="404"/>
        <item x="59"/>
        <item x="960"/>
        <item x="271"/>
        <item x="74"/>
        <item x="719"/>
        <item x="174"/>
        <item x="760"/>
        <item x="682"/>
        <item x="769"/>
        <item x="48"/>
        <item x="948"/>
        <item x="590"/>
        <item x="1103"/>
        <item x="159"/>
        <item x="93"/>
        <item x="766"/>
        <item x="212"/>
        <item x="196"/>
        <item x="715"/>
        <item x="222"/>
        <item x="681"/>
        <item x="925"/>
        <item x="333"/>
        <item x="361"/>
        <item x="611"/>
        <item x="1106"/>
        <item x="1030"/>
        <item x="1056"/>
        <item x="801"/>
        <item x="856"/>
        <item x="1099"/>
        <item x="194"/>
        <item x="863"/>
        <item x="605"/>
        <item x="956"/>
        <item x="426"/>
        <item x="387"/>
        <item x="88"/>
        <item x="491"/>
        <item x="675"/>
        <item x="650"/>
        <item x="751"/>
        <item x="485"/>
        <item x="279"/>
        <item x="1039"/>
        <item x="459"/>
        <item x="575"/>
        <item x="779"/>
        <item x="266"/>
        <item x="913"/>
        <item x="392"/>
        <item x="123"/>
        <item x="283"/>
        <item x="828"/>
        <item x="1012"/>
        <item x="61"/>
        <item x="36"/>
        <item x="226"/>
        <item x="859"/>
        <item x="983"/>
        <item x="388"/>
        <item x="351"/>
        <item x="953"/>
        <item x="643"/>
        <item x="814"/>
        <item x="694"/>
        <item x="1087"/>
        <item x="698"/>
        <item x="564"/>
        <item x="849"/>
        <item x="277"/>
        <item x="245"/>
        <item x="783"/>
        <item x="422"/>
        <item x="281"/>
        <item x="817"/>
        <item x="991"/>
        <item x="935"/>
        <item x="898"/>
        <item x="949"/>
        <item x="673"/>
        <item x="539"/>
        <item x="510"/>
        <item x="565"/>
        <item x="18"/>
        <item x="572"/>
        <item x="187"/>
        <item x="854"/>
        <item x="160"/>
        <item x="239"/>
        <item x="244"/>
        <item x="54"/>
        <item x="474"/>
        <item x="937"/>
        <item x="586"/>
        <item x="276"/>
        <item x="815"/>
        <item x="700"/>
        <item x="680"/>
        <item x="482"/>
        <item x="99"/>
        <item x="827"/>
        <item x="1041"/>
        <item x="808"/>
        <item x="519"/>
        <item x="678"/>
        <item x="362"/>
        <item x="460"/>
        <item x="51"/>
        <item x="1077"/>
        <item x="796"/>
        <item x="1022"/>
        <item x="1105"/>
        <item x="549"/>
        <item x="1057"/>
        <item x="363"/>
        <item x="450"/>
        <item x="648"/>
        <item x="442"/>
        <item x="699"/>
        <item x="324"/>
        <item x="225"/>
        <item x="311"/>
        <item x="53"/>
        <item x="846"/>
        <item x="1032"/>
        <item x="102"/>
        <item x="1"/>
        <item x="233"/>
        <item x="865"/>
        <item x="98"/>
        <item x="663"/>
        <item x="413"/>
        <item x="79"/>
        <item x="584"/>
        <item x="907"/>
        <item x="747"/>
        <item x="96"/>
        <item x="242"/>
        <item x="1068"/>
        <item x="252"/>
        <item x="1094"/>
        <item x="701"/>
        <item x="895"/>
        <item x="165"/>
        <item x="216"/>
        <item x="613"/>
        <item x="880"/>
        <item x="287"/>
        <item x="714"/>
        <item x="749"/>
        <item x="201"/>
        <item x="908"/>
        <item x="996"/>
        <item x="529"/>
        <item x="378"/>
        <item x="86"/>
        <item x="428"/>
        <item x="354"/>
        <item x="1001"/>
        <item x="430"/>
        <item x="980"/>
        <item x="1025"/>
        <item x="403"/>
        <item x="676"/>
        <item x="1075"/>
        <item x="284"/>
        <item x="1014"/>
        <item x="679"/>
        <item x="742"/>
        <item x="931"/>
        <item x="131"/>
        <item x="1033"/>
        <item x="1096"/>
        <item x="752"/>
        <item x="627"/>
        <item x="21"/>
        <item x="305"/>
        <item x="255"/>
        <item x="219"/>
        <item x="1037"/>
        <item x="204"/>
        <item x="55"/>
        <item x="377"/>
        <item x="153"/>
        <item x="637"/>
        <item x="1108"/>
        <item x="653"/>
        <item x="397"/>
        <item x="208"/>
        <item x="621"/>
        <item x="154"/>
        <item x="95"/>
        <item x="707"/>
        <item x="1006"/>
        <item x="224"/>
        <item x="649"/>
        <item x="661"/>
        <item x="1063"/>
        <item x="841"/>
        <item x="756"/>
        <item x="500"/>
        <item x="784"/>
        <item x="1060"/>
        <item x="37"/>
        <item x="282"/>
        <item x="748"/>
        <item x="322"/>
        <item x="677"/>
        <item x="1054"/>
        <item x="517"/>
        <item x="62"/>
        <item x="969"/>
        <item x="280"/>
        <item x="829"/>
        <item x="410"/>
        <item x="209"/>
        <item x="1031"/>
        <item x="920"/>
        <item x="260"/>
        <item x="371"/>
        <item x="924"/>
        <item x="1038"/>
        <item x="761"/>
        <item x="357"/>
        <item x="599"/>
        <item x="819"/>
        <item x="389"/>
        <item x="409"/>
        <item x="213"/>
        <item x="147"/>
        <item x="57"/>
        <item x="544"/>
        <item x="1086"/>
        <item x="958"/>
        <item x="685"/>
        <item x="686"/>
        <item x="813"/>
        <item x="87"/>
        <item x="645"/>
        <item x="603"/>
        <item x="778"/>
        <item x="882"/>
        <item x="811"/>
        <item x="990"/>
        <item x="117"/>
        <item x="145"/>
        <item x="571"/>
        <item x="606"/>
        <item x="1013"/>
        <item x="1085"/>
        <item x="942"/>
        <item x="972"/>
        <item x="614"/>
        <item x="864"/>
        <item x="238"/>
        <item x="888"/>
        <item x="734"/>
        <item x="273"/>
        <item x="19"/>
        <item x="181"/>
        <item x="1081"/>
        <item x="735"/>
        <item x="616"/>
        <item x="497"/>
        <item x="695"/>
        <item x="527"/>
        <item x="940"/>
        <item x="1053"/>
        <item x="143"/>
        <item x="32"/>
        <item x="401"/>
        <item x="825"/>
        <item x="816"/>
        <item x="542"/>
        <item x="857"/>
        <item x="353"/>
        <item x="1015"/>
        <item x="73"/>
        <item x="76"/>
        <item x="722"/>
        <item x="518"/>
        <item x="788"/>
        <item x="632"/>
        <item x="402"/>
        <item x="875"/>
        <item x="855"/>
        <item x="104"/>
        <item x="921"/>
        <item x="132"/>
        <item x="782"/>
        <item x="509"/>
        <item x="1028"/>
        <item x="773"/>
        <item x="918"/>
        <item x="1052"/>
        <item x="620"/>
        <item x="672"/>
        <item x="130"/>
        <item x="189"/>
        <item x="860"/>
        <item x="789"/>
        <item x="172"/>
        <item x="674"/>
        <item x="1021"/>
        <item x="315"/>
        <item x="494"/>
        <item x="290"/>
        <item x="696"/>
        <item x="445"/>
        <item x="11"/>
        <item x="837"/>
        <item x="369"/>
        <item x="727"/>
        <item x="820"/>
        <item x="531"/>
        <item x="108"/>
        <item x="33"/>
        <item x="1062"/>
        <item x="594"/>
        <item x="367"/>
        <item x="547"/>
        <item x="582"/>
        <item x="1020"/>
        <item x="595"/>
        <item x="961"/>
        <item x="807"/>
        <item x="256"/>
        <item x="126"/>
        <item x="670"/>
        <item x="795"/>
        <item x="292"/>
        <item x="116"/>
        <item x="435"/>
        <item x="850"/>
        <item x="376"/>
        <item x="472"/>
        <item x="1010"/>
        <item x="1067"/>
        <item x="461"/>
        <item x="1026"/>
        <item x="664"/>
        <item x="198"/>
        <item x="68"/>
        <item x="900"/>
        <item x="986"/>
        <item x="270"/>
        <item x="1011"/>
        <item x="792"/>
        <item x="1036"/>
        <item x="652"/>
        <item x="448"/>
        <item x="69"/>
        <item x="288"/>
        <item x="810"/>
        <item x="173"/>
        <item x="576"/>
        <item x="977"/>
        <item x="1049"/>
        <item x="718"/>
        <item x="926"/>
        <item x="1090"/>
        <item x="137"/>
        <item x="791"/>
        <item x="635"/>
        <item x="963"/>
        <item x="478"/>
        <item x="469"/>
        <item x="331"/>
        <item x="923"/>
        <item x="615"/>
        <item x="411"/>
        <item x="768"/>
        <item x="180"/>
        <item x="596"/>
        <item x="981"/>
        <item x="1100"/>
        <item x="91"/>
        <item x="1065"/>
        <item x="592"/>
        <item x="399"/>
        <item x="483"/>
        <item x="188"/>
        <item x="844"/>
        <item x="914"/>
        <item x="1072"/>
        <item x="667"/>
        <item x="666"/>
        <item x="6"/>
        <item x="83"/>
        <item x="319"/>
        <item x="831"/>
        <item x="119"/>
        <item x="27"/>
        <item x="754"/>
        <item x="406"/>
        <item x="516"/>
        <item x="830"/>
        <item x="440"/>
        <item x="183"/>
        <item x="47"/>
        <item x="709"/>
        <item x="1029"/>
        <item x="962"/>
        <item x="524"/>
        <item x="451"/>
        <item x="822"/>
        <item x="447"/>
        <item x="798"/>
        <item x="148"/>
        <item x="979"/>
        <item x="217"/>
        <item x="884"/>
        <item x="944"/>
        <item x="1078"/>
        <item x="647"/>
        <item x="133"/>
        <item x="903"/>
        <item x="912"/>
        <item x="746"/>
        <item x="150"/>
        <item x="602"/>
        <item x="618"/>
        <item x="22"/>
        <item x="628"/>
        <item x="601"/>
        <item x="34"/>
        <item x="604"/>
        <item x="77"/>
        <item x="488"/>
        <item x="703"/>
        <item x="176"/>
        <item x="523"/>
        <item x="770"/>
        <item x="1044"/>
        <item x="930"/>
        <item x="922"/>
        <item x="241"/>
        <item x="80"/>
        <item x="738"/>
        <item x="138"/>
        <item x="1023"/>
        <item x="873"/>
        <item x="999"/>
        <item x="609"/>
        <item x="1082"/>
        <item x="556"/>
        <item x="876"/>
        <item x="100"/>
        <item x="794"/>
        <item x="554"/>
        <item x="834"/>
        <item x="291"/>
        <item x="356"/>
        <item x="1059"/>
        <item x="534"/>
        <item x="1017"/>
        <item x="398"/>
        <item x="443"/>
        <item x="1070"/>
        <item x="793"/>
        <item x="704"/>
        <item x="92"/>
        <item x="688"/>
        <item x="1046"/>
        <item x="598"/>
        <item x="909"/>
        <item x="162"/>
        <item x="64"/>
        <item x="994"/>
        <item x="352"/>
        <item x="1035"/>
        <item x="684"/>
        <item x="1016"/>
        <item x="379"/>
        <item x="229"/>
        <item x="871"/>
        <item x="429"/>
        <item x="94"/>
        <item x="318"/>
        <item x="886"/>
        <item x="35"/>
        <item x="4"/>
        <item x="3"/>
        <item x="220"/>
        <item x="1005"/>
        <item x="28"/>
        <item x="321"/>
        <item x="492"/>
        <item x="842"/>
        <item x="775"/>
        <item x="1024"/>
        <item x="63"/>
        <item x="135"/>
        <item x="476"/>
        <item x="1034"/>
        <item x="455"/>
        <item x="1055"/>
        <item x="419"/>
        <item x="58"/>
        <item x="202"/>
        <item x="964"/>
        <item x="249"/>
        <item x="505"/>
        <item x="725"/>
        <item x="967"/>
        <item x="56"/>
        <item x="558"/>
        <item x="434"/>
        <item x="454"/>
        <item x="29"/>
        <item x="812"/>
        <item x="780"/>
        <item x="330"/>
        <item x="46"/>
        <item x="72"/>
        <item x="1107"/>
        <item x="561"/>
        <item x="182"/>
        <item x="421"/>
        <item x="708"/>
        <item x="24"/>
        <item x="569"/>
        <item x="169"/>
        <item x="762"/>
        <item x="723"/>
        <item x="166"/>
        <item x="693"/>
        <item x="759"/>
        <item x="845"/>
        <item x="170"/>
        <item x="573"/>
        <item x="345"/>
        <item x="736"/>
        <item x="261"/>
        <item x="41"/>
        <item x="745"/>
        <item x="192"/>
        <item x="458"/>
        <item x="327"/>
        <item x="317"/>
        <item x="250"/>
        <item x="833"/>
        <item x="127"/>
        <item x="247"/>
        <item x="416"/>
        <item x="1095"/>
        <item x="934"/>
        <item x="691"/>
        <item x="30"/>
        <item x="1027"/>
        <item x="1074"/>
        <item x="60"/>
        <item x="965"/>
        <item x="493"/>
        <item x="161"/>
        <item x="938"/>
        <item x="129"/>
        <item x="872"/>
        <item x="328"/>
        <item x="263"/>
        <item x="43"/>
        <item x="787"/>
        <item x="227"/>
        <item x="139"/>
        <item x="177"/>
        <item x="744"/>
        <item x="275"/>
        <item x="151"/>
        <item x="70"/>
        <item x="1047"/>
        <item x="97"/>
        <item x="191"/>
        <item x="577"/>
        <item x="858"/>
        <item x="668"/>
        <item x="644"/>
        <item x="484"/>
        <item x="343"/>
        <item x="466"/>
        <item x="112"/>
        <item x="265"/>
        <item x="513"/>
        <item x="342"/>
        <item x="721"/>
        <item x="78"/>
        <item x="1051"/>
        <item x="535"/>
        <item x="313"/>
        <item x="240"/>
        <item x="731"/>
        <item x="630"/>
        <item x="259"/>
        <item x="341"/>
        <item x="423"/>
        <item x="824"/>
        <item x="264"/>
        <item x="538"/>
        <item x="372"/>
        <item x="456"/>
        <item x="720"/>
        <item x="380"/>
        <item x="243"/>
        <item x="755"/>
        <item x="12"/>
        <item x="771"/>
        <item x="777"/>
        <item x="976"/>
        <item x="110"/>
        <item x="901"/>
        <item x="639"/>
        <item x="171"/>
        <item x="253"/>
        <item x="1050"/>
        <item x="142"/>
        <item x="633"/>
        <item x="553"/>
        <item x="710"/>
        <item x="562"/>
        <item x="843"/>
        <item x="185"/>
        <item x="671"/>
        <item x="101"/>
        <item x="915"/>
        <item x="853"/>
        <item x="959"/>
        <item x="861"/>
        <item x="610"/>
        <item x="293"/>
        <item x="732"/>
        <item x="128"/>
        <item x="634"/>
        <item x="337"/>
        <item x="121"/>
        <item x="868"/>
        <item x="437"/>
        <item x="1019"/>
        <item x="424"/>
        <item x="623"/>
        <item x="522"/>
        <item x="555"/>
        <item x="902"/>
        <item x="1098"/>
        <item x="23"/>
        <item x="106"/>
        <item x="65"/>
        <item x="475"/>
        <item x="349"/>
        <item x="631"/>
        <item x="874"/>
        <item x="568"/>
        <item x="757"/>
        <item x="1003"/>
        <item x="326"/>
        <item x="528"/>
        <item x="446"/>
        <item x="1018"/>
        <item x="1093"/>
        <item x="619"/>
        <item x="890"/>
        <item x="804"/>
        <item x="267"/>
        <item x="105"/>
        <item x="502"/>
        <item x="763"/>
        <item x="552"/>
        <item x="373"/>
        <item x="1009"/>
        <item x="66"/>
        <item x="640"/>
        <item x="400"/>
        <item x="420"/>
        <item x="418"/>
        <item x="348"/>
        <item x="45"/>
        <item x="309"/>
        <item x="563"/>
        <item x="374"/>
        <item x="802"/>
        <item x="432"/>
        <item x="82"/>
        <item x="724"/>
        <item x="989"/>
        <item x="889"/>
        <item x="626"/>
        <item x="141"/>
        <item x="916"/>
        <item x="533"/>
        <item x="304"/>
        <item x="1089"/>
        <item x="417"/>
        <item x="85"/>
        <item x="439"/>
        <item x="883"/>
        <item x="178"/>
        <item x="862"/>
        <item x="383"/>
        <item x="929"/>
        <item x="1008"/>
        <item x="939"/>
        <item x="705"/>
        <item x="927"/>
        <item x="933"/>
        <item x="799"/>
        <item x="470"/>
        <item x="310"/>
        <item x="462"/>
        <item x="111"/>
        <item x="847"/>
        <item x="336"/>
        <item x="296"/>
        <item x="236"/>
        <item x="144"/>
        <item x="257"/>
        <item x="758"/>
        <item x="297"/>
        <item x="384"/>
        <item x="490"/>
        <item x="364"/>
        <item x="550"/>
        <item x="566"/>
        <item x="750"/>
        <item x="612"/>
        <item x="982"/>
        <item x="221"/>
        <item x="737"/>
        <item x="390"/>
        <item x="985"/>
        <item x="408"/>
        <item x="946"/>
        <item x="1076"/>
        <item x="952"/>
        <item x="617"/>
        <item x="366"/>
        <item x="274"/>
        <item x="551"/>
        <item x="473"/>
        <item x="338"/>
        <item x="258"/>
        <item x="52"/>
        <item x="146"/>
        <item x="729"/>
        <item x="1002"/>
        <item x="415"/>
        <item x="307"/>
        <item x="347"/>
        <item x="690"/>
        <item x="394"/>
        <item x="881"/>
        <item x="776"/>
        <item x="629"/>
        <item x="662"/>
        <item x="1007"/>
        <item x="765"/>
        <item x="262"/>
        <item x="955"/>
        <item x="303"/>
        <item x="355"/>
        <item x="20"/>
        <item x="175"/>
        <item x="278"/>
        <item x="199"/>
        <item x="526"/>
        <item x="223"/>
        <item x="507"/>
        <item x="26"/>
        <item x="431"/>
        <item x="335"/>
        <item x="570"/>
        <item x="8"/>
        <item x="905"/>
        <item x="656"/>
        <item x="306"/>
        <item x="81"/>
        <item x="978"/>
        <item x="39"/>
        <item x="235"/>
        <item x="753"/>
        <item x="1080"/>
        <item x="370"/>
        <item x="1079"/>
        <item x="515"/>
        <item x="480"/>
        <item x="214"/>
        <item t="default"/>
      </items>
    </pivotField>
    <pivotField showAll="0">
      <items count="3">
        <item x="0"/>
        <item x="1"/>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9">
    <i>
      <x v="6"/>
    </i>
    <i>
      <x v="2"/>
    </i>
    <i>
      <x v="1"/>
    </i>
    <i>
      <x v="4"/>
    </i>
    <i>
      <x v="3"/>
    </i>
    <i>
      <x v="5"/>
    </i>
    <i>
      <x/>
    </i>
    <i>
      <x v="7"/>
    </i>
    <i t="grand">
      <x/>
    </i>
  </rowItems>
  <colItems count="1">
    <i/>
  </colItems>
  <dataFields count="1">
    <dataField name="Count of Transaction ID" fld="0" subtotal="count" showDataAs="percentOfTotal" baseField="0" baseItem="0" numFmtId="10"/>
  </dataFields>
  <formats count="5">
    <format dxfId="4">
      <pivotArea grandRow="1" outline="0" collapsedLevelsAreSubtotals="1" fieldPosition="0"/>
    </format>
    <format dxfId="3">
      <pivotArea outline="0" fieldPosition="0">
        <references count="1">
          <reference field="4294967294" count="1">
            <x v="0"/>
          </reference>
        </references>
      </pivotArea>
    </format>
    <format dxfId="2">
      <pivotArea collapsedLevelsAreSubtotals="1" fieldPosition="0">
        <references count="1">
          <reference field="2" count="1">
            <x v="4"/>
          </reference>
        </references>
      </pivotArea>
    </format>
    <format dxfId="1">
      <pivotArea collapsedLevelsAreSubtotals="1" fieldPosition="0">
        <references count="1">
          <reference field="2"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EDFE4-E6AB-43FF-AF2B-F62F6828D2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4:E8" firstHeaderRow="1" firstDataRow="1" firstDataCol="1"/>
  <pivotFields count="19">
    <pivotField showAll="0"/>
    <pivotField showAll="0"/>
    <pivotField showAll="0"/>
    <pivotField showAll="0"/>
    <pivotField numFmtId="164" showAll="0"/>
    <pivotField numFmtId="1" showAll="0"/>
    <pivotField dataField="1" numFmtId="164" showAll="0"/>
    <pivotField axis="axisRow" showAll="0">
      <items count="5">
        <item m="1" x="3"/>
        <item x="1"/>
        <item x="2"/>
        <item x="0"/>
        <item t="default"/>
      </items>
    </pivotField>
    <pivotField showAll="0">
      <items count="3">
        <item x="1"/>
        <item x="0"/>
        <item t="default"/>
      </items>
    </pivotField>
    <pivotField numFmtId="14" showAll="0">
      <items count="1111">
        <item x="184"/>
        <item x="75"/>
        <item x="957"/>
        <item x="231"/>
        <item x="320"/>
        <item x="1091"/>
        <item x="892"/>
        <item x="193"/>
        <item x="641"/>
        <item x="588"/>
        <item x="438"/>
        <item x="489"/>
        <item x="464"/>
        <item x="89"/>
        <item x="350"/>
        <item x="234"/>
        <item x="50"/>
        <item x="386"/>
        <item x="5"/>
        <item x="910"/>
        <item x="457"/>
        <item x="548"/>
        <item x="669"/>
        <item x="797"/>
        <item x="936"/>
        <item x="164"/>
        <item x="906"/>
        <item x="477"/>
        <item x="200"/>
        <item x="624"/>
        <item x="248"/>
        <item x="414"/>
        <item x="495"/>
        <item x="298"/>
        <item x="665"/>
        <item x="1092"/>
        <item x="487"/>
        <item x="190"/>
        <item x="206"/>
        <item x="702"/>
        <item x="152"/>
        <item x="134"/>
        <item x="504"/>
        <item x="254"/>
        <item x="896"/>
        <item x="877"/>
        <item x="1064"/>
        <item x="325"/>
        <item x="38"/>
        <item x="155"/>
        <item x="427"/>
        <item x="683"/>
        <item x="463"/>
        <item x="7"/>
        <item x="17"/>
        <item x="589"/>
        <item x="966"/>
        <item x="228"/>
        <item x="232"/>
        <item x="567"/>
        <item x="329"/>
        <item x="1000"/>
        <item x="289"/>
        <item x="340"/>
        <item x="381"/>
        <item x="840"/>
        <item x="468"/>
        <item x="904"/>
        <item x="945"/>
        <item x="928"/>
        <item x="285"/>
        <item x="140"/>
        <item x="1102"/>
        <item x="545"/>
        <item x="583"/>
        <item x="479"/>
        <item x="125"/>
        <item x="365"/>
        <item x="835"/>
        <item x="1040"/>
        <item x="657"/>
        <item x="496"/>
        <item x="251"/>
        <item x="998"/>
        <item x="1088"/>
        <item x="449"/>
        <item x="851"/>
        <item x="334"/>
        <item x="785"/>
        <item x="295"/>
        <item x="344"/>
        <item x="954"/>
        <item x="887"/>
        <item x="711"/>
        <item x="587"/>
        <item x="988"/>
        <item x="891"/>
        <item x="272"/>
        <item x="122"/>
        <item x="970"/>
        <item x="919"/>
        <item x="499"/>
        <item x="114"/>
        <item x="300"/>
        <item x="301"/>
        <item x="167"/>
        <item x="774"/>
        <item x="1043"/>
        <item x="124"/>
        <item x="560"/>
        <item x="581"/>
        <item x="932"/>
        <item x="1083"/>
        <item x="803"/>
        <item x="660"/>
        <item x="84"/>
        <item x="118"/>
        <item x="433"/>
        <item x="268"/>
        <item x="712"/>
        <item x="651"/>
        <item x="536"/>
        <item x="764"/>
        <item x="314"/>
        <item x="532"/>
        <item x="800"/>
        <item x="1109"/>
        <item x="557"/>
        <item x="441"/>
        <item x="120"/>
        <item x="655"/>
        <item x="471"/>
        <item x="215"/>
        <item x="821"/>
        <item x="717"/>
        <item x="733"/>
        <item x="540"/>
        <item x="467"/>
        <item x="716"/>
        <item x="726"/>
        <item x="546"/>
        <item x="836"/>
        <item x="739"/>
        <item x="574"/>
        <item x="308"/>
        <item x="852"/>
        <item x="316"/>
        <item x="514"/>
        <item x="1084"/>
        <item x="103"/>
        <item x="975"/>
        <item x="508"/>
        <item x="885"/>
        <item x="973"/>
        <item x="805"/>
        <item x="109"/>
        <item x="346"/>
        <item x="14"/>
        <item x="157"/>
        <item x="71"/>
        <item x="654"/>
        <item x="205"/>
        <item x="368"/>
        <item x="149"/>
        <item x="728"/>
        <item x="941"/>
        <item x="995"/>
        <item x="1048"/>
        <item x="436"/>
        <item x="9"/>
        <item x="360"/>
        <item x="395"/>
        <item x="642"/>
        <item x="692"/>
        <item x="512"/>
        <item x="706"/>
        <item x="453"/>
        <item x="806"/>
        <item x="385"/>
        <item x="168"/>
        <item x="974"/>
        <item x="195"/>
        <item x="375"/>
        <item x="743"/>
        <item x="156"/>
        <item x="31"/>
        <item x="987"/>
        <item x="136"/>
        <item x="391"/>
        <item x="294"/>
        <item x="593"/>
        <item x="107"/>
        <item x="879"/>
        <item x="638"/>
        <item x="781"/>
        <item x="585"/>
        <item x="869"/>
        <item x="525"/>
        <item x="113"/>
        <item x="772"/>
        <item x="899"/>
        <item x="163"/>
        <item x="943"/>
        <item x="237"/>
        <item x="767"/>
        <item x="382"/>
        <item x="269"/>
        <item x="646"/>
        <item x="15"/>
        <item x="713"/>
        <item x="158"/>
        <item x="997"/>
        <item x="332"/>
        <item x="1073"/>
        <item x="826"/>
        <item x="971"/>
        <item x="1061"/>
        <item x="1058"/>
        <item x="786"/>
        <item x="520"/>
        <item x="359"/>
        <item x="659"/>
        <item x="730"/>
        <item x="425"/>
        <item x="246"/>
        <item x="697"/>
        <item x="210"/>
        <item x="503"/>
        <item x="968"/>
        <item x="67"/>
        <item x="498"/>
        <item x="993"/>
        <item x="115"/>
        <item x="465"/>
        <item x="0"/>
        <item x="40"/>
        <item x="607"/>
        <item x="579"/>
        <item x="832"/>
        <item x="1101"/>
        <item x="10"/>
        <item x="894"/>
        <item x="809"/>
        <item x="197"/>
        <item x="42"/>
        <item x="339"/>
        <item x="740"/>
        <item x="179"/>
        <item x="90"/>
        <item x="689"/>
        <item x="13"/>
        <item x="867"/>
        <item x="597"/>
        <item x="16"/>
        <item x="211"/>
        <item x="917"/>
        <item x="49"/>
        <item x="186"/>
        <item x="1104"/>
        <item x="823"/>
        <item x="870"/>
        <item x="230"/>
        <item x="950"/>
        <item x="636"/>
        <item x="1069"/>
        <item x="203"/>
        <item x="25"/>
        <item x="207"/>
        <item x="452"/>
        <item x="537"/>
        <item x="947"/>
        <item x="658"/>
        <item x="992"/>
        <item x="358"/>
        <item x="44"/>
        <item x="897"/>
        <item x="866"/>
        <item x="1042"/>
        <item x="218"/>
        <item x="984"/>
        <item x="687"/>
        <item x="506"/>
        <item x="407"/>
        <item x="299"/>
        <item x="396"/>
        <item x="878"/>
        <item x="559"/>
        <item x="1097"/>
        <item x="286"/>
        <item x="412"/>
        <item x="393"/>
        <item x="444"/>
        <item x="486"/>
        <item x="848"/>
        <item x="622"/>
        <item x="838"/>
        <item x="530"/>
        <item x="600"/>
        <item x="501"/>
        <item x="405"/>
        <item x="893"/>
        <item x="818"/>
        <item x="790"/>
        <item x="521"/>
        <item x="578"/>
        <item x="1004"/>
        <item x="2"/>
        <item x="302"/>
        <item x="1071"/>
        <item x="312"/>
        <item x="911"/>
        <item x="1066"/>
        <item x="580"/>
        <item x="591"/>
        <item x="951"/>
        <item x="625"/>
        <item x="323"/>
        <item x="1045"/>
        <item x="511"/>
        <item x="543"/>
        <item x="839"/>
        <item x="608"/>
        <item x="481"/>
        <item x="541"/>
        <item x="741"/>
        <item x="404"/>
        <item x="59"/>
        <item x="960"/>
        <item x="271"/>
        <item x="74"/>
        <item x="719"/>
        <item x="174"/>
        <item x="760"/>
        <item x="682"/>
        <item x="769"/>
        <item x="48"/>
        <item x="948"/>
        <item x="590"/>
        <item x="1103"/>
        <item x="159"/>
        <item x="93"/>
        <item x="766"/>
        <item x="212"/>
        <item x="196"/>
        <item x="715"/>
        <item x="222"/>
        <item x="681"/>
        <item x="925"/>
        <item x="333"/>
        <item x="361"/>
        <item x="611"/>
        <item x="1106"/>
        <item x="1030"/>
        <item x="1056"/>
        <item x="801"/>
        <item x="856"/>
        <item x="1099"/>
        <item x="194"/>
        <item x="863"/>
        <item x="605"/>
        <item x="956"/>
        <item x="426"/>
        <item x="387"/>
        <item x="88"/>
        <item x="491"/>
        <item x="675"/>
        <item x="650"/>
        <item x="751"/>
        <item x="485"/>
        <item x="279"/>
        <item x="1039"/>
        <item x="459"/>
        <item x="575"/>
        <item x="779"/>
        <item x="266"/>
        <item x="913"/>
        <item x="392"/>
        <item x="123"/>
        <item x="283"/>
        <item x="828"/>
        <item x="1012"/>
        <item x="61"/>
        <item x="36"/>
        <item x="226"/>
        <item x="859"/>
        <item x="983"/>
        <item x="388"/>
        <item x="351"/>
        <item x="953"/>
        <item x="643"/>
        <item x="814"/>
        <item x="694"/>
        <item x="1087"/>
        <item x="698"/>
        <item x="564"/>
        <item x="849"/>
        <item x="277"/>
        <item x="245"/>
        <item x="783"/>
        <item x="422"/>
        <item x="281"/>
        <item x="817"/>
        <item x="991"/>
        <item x="935"/>
        <item x="898"/>
        <item x="949"/>
        <item x="673"/>
        <item x="539"/>
        <item x="510"/>
        <item x="565"/>
        <item x="18"/>
        <item x="572"/>
        <item x="187"/>
        <item x="854"/>
        <item x="160"/>
        <item x="239"/>
        <item x="244"/>
        <item x="54"/>
        <item x="474"/>
        <item x="937"/>
        <item x="586"/>
        <item x="276"/>
        <item x="815"/>
        <item x="700"/>
        <item x="680"/>
        <item x="482"/>
        <item x="99"/>
        <item x="827"/>
        <item x="1041"/>
        <item x="808"/>
        <item x="519"/>
        <item x="678"/>
        <item x="362"/>
        <item x="460"/>
        <item x="51"/>
        <item x="1077"/>
        <item x="796"/>
        <item x="1022"/>
        <item x="1105"/>
        <item x="549"/>
        <item x="1057"/>
        <item x="363"/>
        <item x="450"/>
        <item x="648"/>
        <item x="442"/>
        <item x="699"/>
        <item x="324"/>
        <item x="225"/>
        <item x="311"/>
        <item x="53"/>
        <item x="846"/>
        <item x="1032"/>
        <item x="102"/>
        <item x="1"/>
        <item x="233"/>
        <item x="865"/>
        <item x="98"/>
        <item x="663"/>
        <item x="413"/>
        <item x="79"/>
        <item x="584"/>
        <item x="907"/>
        <item x="747"/>
        <item x="96"/>
        <item x="242"/>
        <item x="1068"/>
        <item x="252"/>
        <item x="1094"/>
        <item x="701"/>
        <item x="895"/>
        <item x="165"/>
        <item x="216"/>
        <item x="613"/>
        <item x="880"/>
        <item x="287"/>
        <item x="714"/>
        <item x="749"/>
        <item x="201"/>
        <item x="908"/>
        <item x="996"/>
        <item x="529"/>
        <item x="378"/>
        <item x="86"/>
        <item x="428"/>
        <item x="354"/>
        <item x="1001"/>
        <item x="430"/>
        <item x="980"/>
        <item x="1025"/>
        <item x="403"/>
        <item x="676"/>
        <item x="1075"/>
        <item x="284"/>
        <item x="1014"/>
        <item x="679"/>
        <item x="742"/>
        <item x="931"/>
        <item x="131"/>
        <item x="1033"/>
        <item x="1096"/>
        <item x="752"/>
        <item x="627"/>
        <item x="21"/>
        <item x="305"/>
        <item x="255"/>
        <item x="219"/>
        <item x="1037"/>
        <item x="204"/>
        <item x="55"/>
        <item x="377"/>
        <item x="153"/>
        <item x="637"/>
        <item x="1108"/>
        <item x="653"/>
        <item x="397"/>
        <item x="208"/>
        <item x="621"/>
        <item x="154"/>
        <item x="95"/>
        <item x="707"/>
        <item x="1006"/>
        <item x="224"/>
        <item x="649"/>
        <item x="661"/>
        <item x="1063"/>
        <item x="841"/>
        <item x="756"/>
        <item x="500"/>
        <item x="784"/>
        <item x="1060"/>
        <item x="37"/>
        <item x="282"/>
        <item x="748"/>
        <item x="322"/>
        <item x="677"/>
        <item x="1054"/>
        <item x="517"/>
        <item x="62"/>
        <item x="969"/>
        <item x="280"/>
        <item x="829"/>
        <item x="410"/>
        <item x="209"/>
        <item x="1031"/>
        <item x="920"/>
        <item x="260"/>
        <item x="371"/>
        <item x="924"/>
        <item x="1038"/>
        <item x="761"/>
        <item x="357"/>
        <item x="599"/>
        <item x="819"/>
        <item x="389"/>
        <item x="409"/>
        <item x="213"/>
        <item x="147"/>
        <item x="57"/>
        <item x="544"/>
        <item x="1086"/>
        <item x="958"/>
        <item x="685"/>
        <item x="686"/>
        <item x="813"/>
        <item x="87"/>
        <item x="645"/>
        <item x="603"/>
        <item x="778"/>
        <item x="882"/>
        <item x="811"/>
        <item x="990"/>
        <item x="117"/>
        <item x="145"/>
        <item x="571"/>
        <item x="606"/>
        <item x="1013"/>
        <item x="1085"/>
        <item x="942"/>
        <item x="972"/>
        <item x="614"/>
        <item x="864"/>
        <item x="238"/>
        <item x="888"/>
        <item x="734"/>
        <item x="273"/>
        <item x="19"/>
        <item x="181"/>
        <item x="1081"/>
        <item x="735"/>
        <item x="616"/>
        <item x="497"/>
        <item x="695"/>
        <item x="527"/>
        <item x="940"/>
        <item x="1053"/>
        <item x="143"/>
        <item x="32"/>
        <item x="401"/>
        <item x="825"/>
        <item x="816"/>
        <item x="542"/>
        <item x="857"/>
        <item x="353"/>
        <item x="1015"/>
        <item x="73"/>
        <item x="76"/>
        <item x="722"/>
        <item x="518"/>
        <item x="788"/>
        <item x="632"/>
        <item x="402"/>
        <item x="875"/>
        <item x="855"/>
        <item x="104"/>
        <item x="921"/>
        <item x="132"/>
        <item x="782"/>
        <item x="509"/>
        <item x="1028"/>
        <item x="773"/>
        <item x="918"/>
        <item x="1052"/>
        <item x="620"/>
        <item x="672"/>
        <item x="130"/>
        <item x="189"/>
        <item x="860"/>
        <item x="789"/>
        <item x="172"/>
        <item x="674"/>
        <item x="1021"/>
        <item x="315"/>
        <item x="494"/>
        <item x="290"/>
        <item x="696"/>
        <item x="445"/>
        <item x="11"/>
        <item x="837"/>
        <item x="369"/>
        <item x="727"/>
        <item x="820"/>
        <item x="531"/>
        <item x="108"/>
        <item x="33"/>
        <item x="1062"/>
        <item x="594"/>
        <item x="367"/>
        <item x="547"/>
        <item x="582"/>
        <item x="1020"/>
        <item x="595"/>
        <item x="961"/>
        <item x="807"/>
        <item x="256"/>
        <item x="126"/>
        <item x="670"/>
        <item x="795"/>
        <item x="292"/>
        <item x="116"/>
        <item x="435"/>
        <item x="850"/>
        <item x="376"/>
        <item x="472"/>
        <item x="1010"/>
        <item x="1067"/>
        <item x="461"/>
        <item x="1026"/>
        <item x="664"/>
        <item x="198"/>
        <item x="68"/>
        <item x="900"/>
        <item x="986"/>
        <item x="270"/>
        <item x="1011"/>
        <item x="792"/>
        <item x="1036"/>
        <item x="652"/>
        <item x="448"/>
        <item x="69"/>
        <item x="288"/>
        <item x="810"/>
        <item x="173"/>
        <item x="576"/>
        <item x="977"/>
        <item x="1049"/>
        <item x="718"/>
        <item x="926"/>
        <item x="1090"/>
        <item x="137"/>
        <item x="791"/>
        <item x="635"/>
        <item x="963"/>
        <item x="478"/>
        <item x="469"/>
        <item x="331"/>
        <item x="923"/>
        <item x="615"/>
        <item x="411"/>
        <item x="768"/>
        <item x="180"/>
        <item x="596"/>
        <item x="981"/>
        <item x="1100"/>
        <item x="91"/>
        <item x="1065"/>
        <item x="592"/>
        <item x="399"/>
        <item x="483"/>
        <item x="188"/>
        <item x="844"/>
        <item x="914"/>
        <item x="1072"/>
        <item x="667"/>
        <item x="666"/>
        <item x="6"/>
        <item x="83"/>
        <item x="319"/>
        <item x="831"/>
        <item x="119"/>
        <item x="27"/>
        <item x="754"/>
        <item x="406"/>
        <item x="516"/>
        <item x="830"/>
        <item x="440"/>
        <item x="183"/>
        <item x="47"/>
        <item x="709"/>
        <item x="1029"/>
        <item x="962"/>
        <item x="524"/>
        <item x="451"/>
        <item x="822"/>
        <item x="447"/>
        <item x="798"/>
        <item x="148"/>
        <item x="979"/>
        <item x="217"/>
        <item x="884"/>
        <item x="944"/>
        <item x="1078"/>
        <item x="647"/>
        <item x="133"/>
        <item x="903"/>
        <item x="912"/>
        <item x="746"/>
        <item x="150"/>
        <item x="602"/>
        <item x="618"/>
        <item x="22"/>
        <item x="628"/>
        <item x="601"/>
        <item x="34"/>
        <item x="604"/>
        <item x="77"/>
        <item x="488"/>
        <item x="703"/>
        <item x="176"/>
        <item x="523"/>
        <item x="770"/>
        <item x="1044"/>
        <item x="930"/>
        <item x="922"/>
        <item x="241"/>
        <item x="80"/>
        <item x="738"/>
        <item x="138"/>
        <item x="1023"/>
        <item x="873"/>
        <item x="999"/>
        <item x="609"/>
        <item x="1082"/>
        <item x="556"/>
        <item x="876"/>
        <item x="100"/>
        <item x="794"/>
        <item x="554"/>
        <item x="834"/>
        <item x="291"/>
        <item x="356"/>
        <item x="1059"/>
        <item x="534"/>
        <item x="1017"/>
        <item x="398"/>
        <item x="443"/>
        <item x="1070"/>
        <item x="793"/>
        <item x="704"/>
        <item x="92"/>
        <item x="688"/>
        <item x="1046"/>
        <item x="598"/>
        <item x="909"/>
        <item x="162"/>
        <item x="64"/>
        <item x="994"/>
        <item x="352"/>
        <item x="1035"/>
        <item x="684"/>
        <item x="1016"/>
        <item x="379"/>
        <item x="229"/>
        <item x="871"/>
        <item x="429"/>
        <item x="94"/>
        <item x="318"/>
        <item x="886"/>
        <item x="35"/>
        <item x="4"/>
        <item x="3"/>
        <item x="220"/>
        <item x="1005"/>
        <item x="28"/>
        <item x="321"/>
        <item x="492"/>
        <item x="842"/>
        <item x="775"/>
        <item x="1024"/>
        <item x="63"/>
        <item x="135"/>
        <item x="476"/>
        <item x="1034"/>
        <item x="455"/>
        <item x="1055"/>
        <item x="419"/>
        <item x="58"/>
        <item x="202"/>
        <item x="964"/>
        <item x="249"/>
        <item x="505"/>
        <item x="725"/>
        <item x="967"/>
        <item x="56"/>
        <item x="558"/>
        <item x="434"/>
        <item x="454"/>
        <item x="29"/>
        <item x="812"/>
        <item x="780"/>
        <item x="330"/>
        <item x="46"/>
        <item x="72"/>
        <item x="1107"/>
        <item x="561"/>
        <item x="182"/>
        <item x="421"/>
        <item x="708"/>
        <item x="24"/>
        <item x="569"/>
        <item x="169"/>
        <item x="762"/>
        <item x="723"/>
        <item x="166"/>
        <item x="693"/>
        <item x="759"/>
        <item x="845"/>
        <item x="170"/>
        <item x="573"/>
        <item x="345"/>
        <item x="736"/>
        <item x="261"/>
        <item x="41"/>
        <item x="745"/>
        <item x="192"/>
        <item x="458"/>
        <item x="327"/>
        <item x="317"/>
        <item x="250"/>
        <item x="833"/>
        <item x="127"/>
        <item x="247"/>
        <item x="416"/>
        <item x="1095"/>
        <item x="934"/>
        <item x="691"/>
        <item x="30"/>
        <item x="1027"/>
        <item x="1074"/>
        <item x="60"/>
        <item x="965"/>
        <item x="493"/>
        <item x="161"/>
        <item x="938"/>
        <item x="129"/>
        <item x="872"/>
        <item x="328"/>
        <item x="263"/>
        <item x="43"/>
        <item x="787"/>
        <item x="227"/>
        <item x="139"/>
        <item x="177"/>
        <item x="744"/>
        <item x="275"/>
        <item x="151"/>
        <item x="70"/>
        <item x="1047"/>
        <item x="97"/>
        <item x="191"/>
        <item x="577"/>
        <item x="858"/>
        <item x="668"/>
        <item x="644"/>
        <item x="484"/>
        <item x="343"/>
        <item x="466"/>
        <item x="112"/>
        <item x="265"/>
        <item x="513"/>
        <item x="342"/>
        <item x="721"/>
        <item x="78"/>
        <item x="1051"/>
        <item x="535"/>
        <item x="313"/>
        <item x="240"/>
        <item x="731"/>
        <item x="630"/>
        <item x="259"/>
        <item x="341"/>
        <item x="423"/>
        <item x="824"/>
        <item x="264"/>
        <item x="538"/>
        <item x="372"/>
        <item x="456"/>
        <item x="720"/>
        <item x="380"/>
        <item x="243"/>
        <item x="755"/>
        <item x="12"/>
        <item x="771"/>
        <item x="777"/>
        <item x="976"/>
        <item x="110"/>
        <item x="901"/>
        <item x="639"/>
        <item x="171"/>
        <item x="253"/>
        <item x="1050"/>
        <item x="142"/>
        <item x="633"/>
        <item x="553"/>
        <item x="710"/>
        <item x="562"/>
        <item x="843"/>
        <item x="185"/>
        <item x="671"/>
        <item x="101"/>
        <item x="915"/>
        <item x="853"/>
        <item x="959"/>
        <item x="861"/>
        <item x="610"/>
        <item x="293"/>
        <item x="732"/>
        <item x="128"/>
        <item x="634"/>
        <item x="337"/>
        <item x="121"/>
        <item x="868"/>
        <item x="437"/>
        <item x="1019"/>
        <item x="424"/>
        <item x="623"/>
        <item x="522"/>
        <item x="555"/>
        <item x="902"/>
        <item x="1098"/>
        <item x="23"/>
        <item x="106"/>
        <item x="65"/>
        <item x="475"/>
        <item x="349"/>
        <item x="631"/>
        <item x="874"/>
        <item x="568"/>
        <item x="757"/>
        <item x="1003"/>
        <item x="326"/>
        <item x="528"/>
        <item x="446"/>
        <item x="1018"/>
        <item x="1093"/>
        <item x="619"/>
        <item x="890"/>
        <item x="804"/>
        <item x="267"/>
        <item x="105"/>
        <item x="502"/>
        <item x="763"/>
        <item x="552"/>
        <item x="373"/>
        <item x="1009"/>
        <item x="66"/>
        <item x="640"/>
        <item x="400"/>
        <item x="420"/>
        <item x="418"/>
        <item x="348"/>
        <item x="45"/>
        <item x="309"/>
        <item x="563"/>
        <item x="374"/>
        <item x="802"/>
        <item x="432"/>
        <item x="82"/>
        <item x="724"/>
        <item x="989"/>
        <item x="889"/>
        <item x="626"/>
        <item x="141"/>
        <item x="916"/>
        <item x="533"/>
        <item x="304"/>
        <item x="1089"/>
        <item x="417"/>
        <item x="85"/>
        <item x="439"/>
        <item x="883"/>
        <item x="178"/>
        <item x="862"/>
        <item x="383"/>
        <item x="929"/>
        <item x="1008"/>
        <item x="939"/>
        <item x="705"/>
        <item x="927"/>
        <item x="933"/>
        <item x="799"/>
        <item x="470"/>
        <item x="310"/>
        <item x="462"/>
        <item x="111"/>
        <item x="847"/>
        <item x="336"/>
        <item x="296"/>
        <item x="236"/>
        <item x="144"/>
        <item x="257"/>
        <item x="758"/>
        <item x="297"/>
        <item x="384"/>
        <item x="490"/>
        <item x="364"/>
        <item x="550"/>
        <item x="566"/>
        <item x="750"/>
        <item x="612"/>
        <item x="982"/>
        <item x="221"/>
        <item x="737"/>
        <item x="390"/>
        <item x="985"/>
        <item x="408"/>
        <item x="946"/>
        <item x="1076"/>
        <item x="952"/>
        <item x="617"/>
        <item x="366"/>
        <item x="274"/>
        <item x="551"/>
        <item x="473"/>
        <item x="338"/>
        <item x="258"/>
        <item x="52"/>
        <item x="146"/>
        <item x="729"/>
        <item x="1002"/>
        <item x="415"/>
        <item x="307"/>
        <item x="347"/>
        <item x="690"/>
        <item x="394"/>
        <item x="881"/>
        <item x="776"/>
        <item x="629"/>
        <item x="662"/>
        <item x="1007"/>
        <item x="765"/>
        <item x="262"/>
        <item x="955"/>
        <item x="303"/>
        <item x="355"/>
        <item x="20"/>
        <item x="175"/>
        <item x="278"/>
        <item x="199"/>
        <item x="526"/>
        <item x="223"/>
        <item x="507"/>
        <item x="26"/>
        <item x="431"/>
        <item x="335"/>
        <item x="570"/>
        <item x="8"/>
        <item x="905"/>
        <item x="656"/>
        <item x="306"/>
        <item x="81"/>
        <item x="978"/>
        <item x="39"/>
        <item x="235"/>
        <item x="753"/>
        <item x="1080"/>
        <item x="370"/>
        <item x="1079"/>
        <item x="515"/>
        <item x="480"/>
        <item x="214"/>
        <item t="default"/>
      </items>
    </pivotField>
    <pivotField showAll="0">
      <items count="3">
        <item x="0"/>
        <item x="1"/>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v="1"/>
    </i>
    <i>
      <x v="2"/>
    </i>
    <i>
      <x v="3"/>
    </i>
    <i t="grand">
      <x/>
    </i>
  </rowItems>
  <colItems count="1">
    <i/>
  </colItems>
  <dataFields count="1">
    <dataField name="Sum of Total Spent" fld="6" showDataAs="percentOfTotal" baseField="7" baseItem="1" numFmtId="10"/>
  </dataFields>
  <formats count="2">
    <format dxfId="6">
      <pivotArea collapsedLevelsAreSubtotals="1" fieldPosition="0">
        <references count="1">
          <reference field="7" count="0"/>
        </references>
      </pivotArea>
    </format>
    <format dxfId="5">
      <pivotArea grandRow="1" outline="0" collapsedLevelsAreSubtotals="1" fieldPosition="0"/>
    </format>
  </formats>
  <chartFormats count="4">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7" count="1" selected="0">
            <x v="1"/>
          </reference>
        </references>
      </pivotArea>
    </chartFormat>
    <chartFormat chart="14" format="7">
      <pivotArea type="data" outline="0" fieldPosition="0">
        <references count="2">
          <reference field="4294967294" count="1" selected="0">
            <x v="0"/>
          </reference>
          <reference field="7" count="1" selected="0">
            <x v="2"/>
          </reference>
        </references>
      </pivotArea>
    </chartFormat>
    <chartFormat chart="14"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D7D159-3C2B-45C7-9D78-6869A6AC4D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2:B17" firstHeaderRow="1" firstDataRow="1" firstDataCol="1"/>
  <pivotFields count="19">
    <pivotField showAll="0"/>
    <pivotField showAll="0"/>
    <pivotField showAll="0">
      <items count="9">
        <item x="1"/>
        <item x="3"/>
        <item x="6"/>
        <item x="5"/>
        <item x="4"/>
        <item x="2"/>
        <item x="0"/>
        <item x="7"/>
        <item t="default"/>
      </items>
    </pivotField>
    <pivotField showAll="0"/>
    <pivotField numFmtId="164" showAll="0">
      <items count="26">
        <item x="24"/>
        <item x="23"/>
        <item x="22"/>
        <item x="21"/>
        <item x="20"/>
        <item x="19"/>
        <item x="18"/>
        <item x="17"/>
        <item x="16"/>
        <item x="15"/>
        <item x="14"/>
        <item x="13"/>
        <item x="12"/>
        <item x="11"/>
        <item x="10"/>
        <item x="9"/>
        <item x="8"/>
        <item x="7"/>
        <item x="6"/>
        <item x="5"/>
        <item x="4"/>
        <item x="3"/>
        <item x="2"/>
        <item x="1"/>
        <item x="0"/>
        <item t="default"/>
      </items>
    </pivotField>
    <pivotField numFmtId="1" showAll="0">
      <items count="11">
        <item x="9"/>
        <item x="8"/>
        <item x="7"/>
        <item x="6"/>
        <item x="5"/>
        <item x="4"/>
        <item x="3"/>
        <item x="2"/>
        <item x="1"/>
        <item x="0"/>
        <item t="default"/>
      </items>
    </pivotField>
    <pivotField dataField="1" numFmtId="164" showAll="0"/>
    <pivotField showAll="0">
      <items count="5">
        <item m="1" x="3"/>
        <item x="1"/>
        <item x="2"/>
        <item x="0"/>
        <item t="default"/>
      </items>
    </pivotField>
    <pivotField showAll="0">
      <items count="3">
        <item x="1"/>
        <item x="0"/>
        <item t="default"/>
      </items>
    </pivotField>
    <pivotField axis="axisRow" numFmtId="14" showAll="0">
      <items count="1111">
        <item x="184"/>
        <item x="75"/>
        <item x="957"/>
        <item x="231"/>
        <item x="320"/>
        <item x="1091"/>
        <item x="892"/>
        <item x="193"/>
        <item x="641"/>
        <item x="588"/>
        <item x="438"/>
        <item x="489"/>
        <item x="464"/>
        <item x="89"/>
        <item x="350"/>
        <item x="234"/>
        <item x="50"/>
        <item x="386"/>
        <item x="5"/>
        <item x="910"/>
        <item x="457"/>
        <item x="548"/>
        <item x="669"/>
        <item x="797"/>
        <item x="936"/>
        <item x="164"/>
        <item x="906"/>
        <item x="477"/>
        <item x="200"/>
        <item x="624"/>
        <item x="248"/>
        <item x="414"/>
        <item x="495"/>
        <item x="298"/>
        <item x="665"/>
        <item x="1092"/>
        <item x="487"/>
        <item x="190"/>
        <item x="206"/>
        <item x="702"/>
        <item x="152"/>
        <item x="134"/>
        <item x="504"/>
        <item x="254"/>
        <item x="896"/>
        <item x="877"/>
        <item x="1064"/>
        <item x="325"/>
        <item x="38"/>
        <item x="155"/>
        <item x="427"/>
        <item x="683"/>
        <item x="463"/>
        <item x="7"/>
        <item x="17"/>
        <item x="589"/>
        <item x="966"/>
        <item x="228"/>
        <item x="232"/>
        <item x="567"/>
        <item x="329"/>
        <item x="1000"/>
        <item x="289"/>
        <item x="340"/>
        <item x="381"/>
        <item x="840"/>
        <item x="468"/>
        <item x="904"/>
        <item x="945"/>
        <item x="928"/>
        <item x="285"/>
        <item x="140"/>
        <item x="1102"/>
        <item x="545"/>
        <item x="583"/>
        <item x="479"/>
        <item x="125"/>
        <item x="365"/>
        <item x="835"/>
        <item x="1040"/>
        <item x="657"/>
        <item x="496"/>
        <item x="251"/>
        <item x="998"/>
        <item x="1088"/>
        <item x="449"/>
        <item x="851"/>
        <item x="334"/>
        <item x="785"/>
        <item x="295"/>
        <item x="344"/>
        <item x="954"/>
        <item x="887"/>
        <item x="711"/>
        <item x="587"/>
        <item x="988"/>
        <item x="891"/>
        <item x="272"/>
        <item x="122"/>
        <item x="970"/>
        <item x="919"/>
        <item x="499"/>
        <item x="114"/>
        <item x="300"/>
        <item x="301"/>
        <item x="167"/>
        <item x="774"/>
        <item x="1043"/>
        <item x="124"/>
        <item x="560"/>
        <item x="581"/>
        <item x="932"/>
        <item x="1083"/>
        <item x="803"/>
        <item x="660"/>
        <item x="84"/>
        <item x="118"/>
        <item x="433"/>
        <item x="268"/>
        <item x="712"/>
        <item x="651"/>
        <item x="536"/>
        <item x="764"/>
        <item x="314"/>
        <item x="532"/>
        <item x="800"/>
        <item x="1109"/>
        <item x="557"/>
        <item x="441"/>
        <item x="120"/>
        <item x="655"/>
        <item x="471"/>
        <item x="215"/>
        <item x="821"/>
        <item x="717"/>
        <item x="733"/>
        <item x="540"/>
        <item x="467"/>
        <item x="716"/>
        <item x="726"/>
        <item x="546"/>
        <item x="836"/>
        <item x="739"/>
        <item x="574"/>
        <item x="308"/>
        <item x="852"/>
        <item x="316"/>
        <item x="514"/>
        <item x="1084"/>
        <item x="103"/>
        <item x="975"/>
        <item x="508"/>
        <item x="885"/>
        <item x="973"/>
        <item x="805"/>
        <item x="109"/>
        <item x="346"/>
        <item x="14"/>
        <item x="157"/>
        <item x="71"/>
        <item x="654"/>
        <item x="205"/>
        <item x="368"/>
        <item x="149"/>
        <item x="728"/>
        <item x="941"/>
        <item x="995"/>
        <item x="1048"/>
        <item x="436"/>
        <item x="9"/>
        <item x="360"/>
        <item x="395"/>
        <item x="642"/>
        <item x="692"/>
        <item x="512"/>
        <item x="706"/>
        <item x="453"/>
        <item x="806"/>
        <item x="385"/>
        <item x="168"/>
        <item x="974"/>
        <item x="195"/>
        <item x="375"/>
        <item x="743"/>
        <item x="156"/>
        <item x="31"/>
        <item x="987"/>
        <item x="136"/>
        <item x="391"/>
        <item x="294"/>
        <item x="593"/>
        <item x="107"/>
        <item x="879"/>
        <item x="638"/>
        <item x="781"/>
        <item x="585"/>
        <item x="869"/>
        <item x="525"/>
        <item x="113"/>
        <item x="772"/>
        <item x="899"/>
        <item x="163"/>
        <item x="943"/>
        <item x="237"/>
        <item x="767"/>
        <item x="382"/>
        <item x="269"/>
        <item x="646"/>
        <item x="15"/>
        <item x="713"/>
        <item x="158"/>
        <item x="997"/>
        <item x="332"/>
        <item x="1073"/>
        <item x="826"/>
        <item x="971"/>
        <item x="1061"/>
        <item x="1058"/>
        <item x="786"/>
        <item x="520"/>
        <item x="359"/>
        <item x="659"/>
        <item x="730"/>
        <item x="425"/>
        <item x="246"/>
        <item x="697"/>
        <item x="210"/>
        <item x="503"/>
        <item x="968"/>
        <item x="67"/>
        <item x="498"/>
        <item x="993"/>
        <item x="115"/>
        <item x="465"/>
        <item x="0"/>
        <item x="40"/>
        <item x="607"/>
        <item x="579"/>
        <item x="832"/>
        <item x="1101"/>
        <item x="10"/>
        <item x="894"/>
        <item x="809"/>
        <item x="197"/>
        <item x="42"/>
        <item x="339"/>
        <item x="740"/>
        <item x="179"/>
        <item x="90"/>
        <item x="689"/>
        <item x="13"/>
        <item x="867"/>
        <item x="597"/>
        <item x="16"/>
        <item x="211"/>
        <item x="917"/>
        <item x="49"/>
        <item x="186"/>
        <item x="1104"/>
        <item x="823"/>
        <item x="870"/>
        <item x="230"/>
        <item x="950"/>
        <item x="636"/>
        <item x="1069"/>
        <item x="203"/>
        <item x="25"/>
        <item x="207"/>
        <item x="452"/>
        <item x="537"/>
        <item x="947"/>
        <item x="658"/>
        <item x="992"/>
        <item x="358"/>
        <item x="44"/>
        <item x="897"/>
        <item x="866"/>
        <item x="1042"/>
        <item x="218"/>
        <item x="984"/>
        <item x="687"/>
        <item x="506"/>
        <item x="407"/>
        <item x="299"/>
        <item x="396"/>
        <item x="878"/>
        <item x="559"/>
        <item x="1097"/>
        <item x="286"/>
        <item x="412"/>
        <item x="393"/>
        <item x="444"/>
        <item x="486"/>
        <item x="848"/>
        <item x="622"/>
        <item x="838"/>
        <item x="530"/>
        <item x="600"/>
        <item x="501"/>
        <item x="405"/>
        <item x="893"/>
        <item x="818"/>
        <item x="790"/>
        <item x="521"/>
        <item x="578"/>
        <item x="1004"/>
        <item x="2"/>
        <item x="302"/>
        <item x="1071"/>
        <item x="312"/>
        <item x="911"/>
        <item x="1066"/>
        <item x="580"/>
        <item x="591"/>
        <item x="951"/>
        <item x="625"/>
        <item x="323"/>
        <item x="1045"/>
        <item x="511"/>
        <item x="543"/>
        <item x="839"/>
        <item x="608"/>
        <item x="481"/>
        <item x="541"/>
        <item x="741"/>
        <item x="404"/>
        <item x="59"/>
        <item x="960"/>
        <item x="271"/>
        <item x="74"/>
        <item x="719"/>
        <item x="174"/>
        <item x="760"/>
        <item x="682"/>
        <item x="769"/>
        <item x="48"/>
        <item x="948"/>
        <item x="590"/>
        <item x="1103"/>
        <item x="159"/>
        <item x="93"/>
        <item x="766"/>
        <item x="212"/>
        <item x="196"/>
        <item x="715"/>
        <item x="222"/>
        <item x="681"/>
        <item x="925"/>
        <item x="333"/>
        <item x="361"/>
        <item x="611"/>
        <item x="1106"/>
        <item x="1030"/>
        <item x="1056"/>
        <item x="801"/>
        <item x="856"/>
        <item x="1099"/>
        <item x="194"/>
        <item x="863"/>
        <item x="605"/>
        <item x="956"/>
        <item x="426"/>
        <item x="387"/>
        <item x="88"/>
        <item x="491"/>
        <item x="675"/>
        <item x="650"/>
        <item x="751"/>
        <item x="485"/>
        <item x="279"/>
        <item x="1039"/>
        <item x="459"/>
        <item x="575"/>
        <item x="779"/>
        <item x="266"/>
        <item x="913"/>
        <item x="392"/>
        <item x="123"/>
        <item x="283"/>
        <item x="828"/>
        <item x="1012"/>
        <item x="61"/>
        <item x="36"/>
        <item x="226"/>
        <item x="859"/>
        <item x="983"/>
        <item x="388"/>
        <item x="351"/>
        <item x="953"/>
        <item x="643"/>
        <item x="814"/>
        <item x="694"/>
        <item x="1087"/>
        <item x="698"/>
        <item x="564"/>
        <item x="849"/>
        <item x="277"/>
        <item x="245"/>
        <item x="783"/>
        <item x="422"/>
        <item x="281"/>
        <item x="817"/>
        <item x="991"/>
        <item x="935"/>
        <item x="898"/>
        <item x="949"/>
        <item x="673"/>
        <item x="539"/>
        <item x="510"/>
        <item x="565"/>
        <item x="18"/>
        <item x="572"/>
        <item x="187"/>
        <item x="854"/>
        <item x="160"/>
        <item x="239"/>
        <item x="244"/>
        <item x="54"/>
        <item x="474"/>
        <item x="937"/>
        <item x="586"/>
        <item x="276"/>
        <item x="815"/>
        <item x="700"/>
        <item x="680"/>
        <item x="482"/>
        <item x="99"/>
        <item x="827"/>
        <item x="1041"/>
        <item x="808"/>
        <item x="519"/>
        <item x="678"/>
        <item x="362"/>
        <item x="460"/>
        <item x="51"/>
        <item x="1077"/>
        <item x="796"/>
        <item x="1022"/>
        <item x="1105"/>
        <item x="549"/>
        <item x="1057"/>
        <item x="363"/>
        <item x="450"/>
        <item x="648"/>
        <item x="442"/>
        <item x="699"/>
        <item x="324"/>
        <item x="225"/>
        <item x="311"/>
        <item x="53"/>
        <item x="846"/>
        <item x="1032"/>
        <item x="102"/>
        <item x="1"/>
        <item x="233"/>
        <item x="865"/>
        <item x="98"/>
        <item x="663"/>
        <item x="413"/>
        <item x="79"/>
        <item x="584"/>
        <item x="907"/>
        <item x="747"/>
        <item x="96"/>
        <item x="242"/>
        <item x="1068"/>
        <item x="252"/>
        <item x="1094"/>
        <item x="701"/>
        <item x="895"/>
        <item x="165"/>
        <item x="216"/>
        <item x="613"/>
        <item x="880"/>
        <item x="287"/>
        <item x="714"/>
        <item x="749"/>
        <item x="201"/>
        <item x="908"/>
        <item x="996"/>
        <item x="529"/>
        <item x="378"/>
        <item x="86"/>
        <item x="428"/>
        <item x="354"/>
        <item x="1001"/>
        <item x="430"/>
        <item x="980"/>
        <item x="1025"/>
        <item x="403"/>
        <item x="676"/>
        <item x="1075"/>
        <item x="284"/>
        <item x="1014"/>
        <item x="679"/>
        <item x="742"/>
        <item x="931"/>
        <item x="131"/>
        <item x="1033"/>
        <item x="1096"/>
        <item x="752"/>
        <item x="627"/>
        <item x="21"/>
        <item x="305"/>
        <item x="255"/>
        <item x="219"/>
        <item x="1037"/>
        <item x="204"/>
        <item x="55"/>
        <item x="377"/>
        <item x="153"/>
        <item x="637"/>
        <item x="1108"/>
        <item x="653"/>
        <item x="397"/>
        <item x="208"/>
        <item x="621"/>
        <item x="154"/>
        <item x="95"/>
        <item x="707"/>
        <item x="1006"/>
        <item x="224"/>
        <item x="649"/>
        <item x="661"/>
        <item x="1063"/>
        <item x="841"/>
        <item x="756"/>
        <item x="500"/>
        <item x="784"/>
        <item x="1060"/>
        <item x="37"/>
        <item x="282"/>
        <item x="748"/>
        <item x="322"/>
        <item x="677"/>
        <item x="1054"/>
        <item x="517"/>
        <item x="62"/>
        <item x="969"/>
        <item x="280"/>
        <item x="829"/>
        <item x="410"/>
        <item x="209"/>
        <item x="1031"/>
        <item x="920"/>
        <item x="260"/>
        <item x="371"/>
        <item x="924"/>
        <item x="1038"/>
        <item x="761"/>
        <item x="357"/>
        <item x="599"/>
        <item x="819"/>
        <item x="389"/>
        <item x="409"/>
        <item x="213"/>
        <item x="147"/>
        <item x="57"/>
        <item x="544"/>
        <item x="1086"/>
        <item x="958"/>
        <item x="685"/>
        <item x="686"/>
        <item x="813"/>
        <item x="87"/>
        <item x="645"/>
        <item x="603"/>
        <item x="778"/>
        <item x="882"/>
        <item x="811"/>
        <item x="990"/>
        <item x="117"/>
        <item x="145"/>
        <item x="571"/>
        <item x="606"/>
        <item x="1013"/>
        <item x="1085"/>
        <item x="942"/>
        <item x="972"/>
        <item x="614"/>
        <item x="864"/>
        <item x="238"/>
        <item x="888"/>
        <item x="734"/>
        <item x="273"/>
        <item x="19"/>
        <item x="181"/>
        <item x="1081"/>
        <item x="735"/>
        <item x="616"/>
        <item x="497"/>
        <item x="695"/>
        <item x="527"/>
        <item x="940"/>
        <item x="1053"/>
        <item x="143"/>
        <item x="32"/>
        <item x="401"/>
        <item x="825"/>
        <item x="816"/>
        <item x="542"/>
        <item x="857"/>
        <item x="353"/>
        <item x="1015"/>
        <item x="73"/>
        <item x="76"/>
        <item x="722"/>
        <item x="518"/>
        <item x="788"/>
        <item x="632"/>
        <item x="402"/>
        <item x="875"/>
        <item x="855"/>
        <item x="104"/>
        <item x="921"/>
        <item x="132"/>
        <item x="782"/>
        <item x="509"/>
        <item x="1028"/>
        <item x="773"/>
        <item x="918"/>
        <item x="1052"/>
        <item x="620"/>
        <item x="672"/>
        <item x="130"/>
        <item x="189"/>
        <item x="860"/>
        <item x="789"/>
        <item x="172"/>
        <item x="674"/>
        <item x="1021"/>
        <item x="315"/>
        <item x="494"/>
        <item x="290"/>
        <item x="696"/>
        <item x="445"/>
        <item x="11"/>
        <item x="837"/>
        <item x="369"/>
        <item x="727"/>
        <item x="820"/>
        <item x="531"/>
        <item x="108"/>
        <item x="33"/>
        <item x="1062"/>
        <item x="594"/>
        <item x="367"/>
        <item x="547"/>
        <item x="582"/>
        <item x="1020"/>
        <item x="595"/>
        <item x="961"/>
        <item x="807"/>
        <item x="256"/>
        <item x="126"/>
        <item x="670"/>
        <item x="795"/>
        <item x="292"/>
        <item x="116"/>
        <item x="435"/>
        <item x="850"/>
        <item x="376"/>
        <item x="472"/>
        <item x="1010"/>
        <item x="1067"/>
        <item x="461"/>
        <item x="1026"/>
        <item x="664"/>
        <item x="198"/>
        <item x="68"/>
        <item x="900"/>
        <item x="986"/>
        <item x="270"/>
        <item x="1011"/>
        <item x="792"/>
        <item x="1036"/>
        <item x="652"/>
        <item x="448"/>
        <item x="69"/>
        <item x="288"/>
        <item x="810"/>
        <item x="173"/>
        <item x="576"/>
        <item x="977"/>
        <item x="1049"/>
        <item x="718"/>
        <item x="926"/>
        <item x="1090"/>
        <item x="137"/>
        <item x="791"/>
        <item x="635"/>
        <item x="963"/>
        <item x="478"/>
        <item x="469"/>
        <item x="331"/>
        <item x="923"/>
        <item x="615"/>
        <item x="411"/>
        <item x="768"/>
        <item x="180"/>
        <item x="596"/>
        <item x="981"/>
        <item x="1100"/>
        <item x="91"/>
        <item x="1065"/>
        <item x="592"/>
        <item x="399"/>
        <item x="483"/>
        <item x="188"/>
        <item x="844"/>
        <item x="914"/>
        <item x="1072"/>
        <item x="667"/>
        <item x="666"/>
        <item x="6"/>
        <item x="83"/>
        <item x="319"/>
        <item x="831"/>
        <item x="119"/>
        <item x="27"/>
        <item x="754"/>
        <item x="406"/>
        <item x="516"/>
        <item x="830"/>
        <item x="440"/>
        <item x="183"/>
        <item x="47"/>
        <item x="709"/>
        <item x="1029"/>
        <item x="962"/>
        <item x="524"/>
        <item x="451"/>
        <item x="822"/>
        <item x="447"/>
        <item x="798"/>
        <item x="148"/>
        <item x="979"/>
        <item x="217"/>
        <item x="884"/>
        <item x="944"/>
        <item x="1078"/>
        <item x="647"/>
        <item x="133"/>
        <item x="903"/>
        <item x="912"/>
        <item x="746"/>
        <item x="150"/>
        <item x="602"/>
        <item x="618"/>
        <item x="22"/>
        <item x="628"/>
        <item x="601"/>
        <item x="34"/>
        <item x="604"/>
        <item x="77"/>
        <item x="488"/>
        <item x="703"/>
        <item x="176"/>
        <item x="523"/>
        <item x="770"/>
        <item x="1044"/>
        <item x="930"/>
        <item x="922"/>
        <item x="241"/>
        <item x="80"/>
        <item x="738"/>
        <item x="138"/>
        <item x="1023"/>
        <item x="873"/>
        <item x="999"/>
        <item x="609"/>
        <item x="1082"/>
        <item x="556"/>
        <item x="876"/>
        <item x="100"/>
        <item x="794"/>
        <item x="554"/>
        <item x="834"/>
        <item x="291"/>
        <item x="356"/>
        <item x="1059"/>
        <item x="534"/>
        <item x="1017"/>
        <item x="398"/>
        <item x="443"/>
        <item x="1070"/>
        <item x="793"/>
        <item x="704"/>
        <item x="92"/>
        <item x="688"/>
        <item x="1046"/>
        <item x="598"/>
        <item x="909"/>
        <item x="162"/>
        <item x="64"/>
        <item x="994"/>
        <item x="352"/>
        <item x="1035"/>
        <item x="684"/>
        <item x="1016"/>
        <item x="379"/>
        <item x="229"/>
        <item x="871"/>
        <item x="429"/>
        <item x="94"/>
        <item x="318"/>
        <item x="886"/>
        <item x="35"/>
        <item x="4"/>
        <item x="3"/>
        <item x="220"/>
        <item x="1005"/>
        <item x="28"/>
        <item x="321"/>
        <item x="492"/>
        <item x="842"/>
        <item x="775"/>
        <item x="1024"/>
        <item x="63"/>
        <item x="135"/>
        <item x="476"/>
        <item x="1034"/>
        <item x="455"/>
        <item x="1055"/>
        <item x="419"/>
        <item x="58"/>
        <item x="202"/>
        <item x="964"/>
        <item x="249"/>
        <item x="505"/>
        <item x="725"/>
        <item x="967"/>
        <item x="56"/>
        <item x="558"/>
        <item x="434"/>
        <item x="454"/>
        <item x="29"/>
        <item x="812"/>
        <item x="780"/>
        <item x="330"/>
        <item x="46"/>
        <item x="72"/>
        <item x="1107"/>
        <item x="561"/>
        <item x="182"/>
        <item x="421"/>
        <item x="708"/>
        <item x="24"/>
        <item x="569"/>
        <item x="169"/>
        <item x="762"/>
        <item x="723"/>
        <item x="166"/>
        <item x="693"/>
        <item x="759"/>
        <item x="845"/>
        <item x="170"/>
        <item x="573"/>
        <item x="345"/>
        <item x="736"/>
        <item x="261"/>
        <item x="41"/>
        <item x="745"/>
        <item x="192"/>
        <item x="458"/>
        <item x="327"/>
        <item x="317"/>
        <item x="250"/>
        <item x="833"/>
        <item x="127"/>
        <item x="247"/>
        <item x="416"/>
        <item x="1095"/>
        <item x="934"/>
        <item x="691"/>
        <item x="30"/>
        <item x="1027"/>
        <item x="1074"/>
        <item x="60"/>
        <item x="965"/>
        <item x="493"/>
        <item x="161"/>
        <item x="938"/>
        <item x="129"/>
        <item x="872"/>
        <item x="328"/>
        <item x="263"/>
        <item x="43"/>
        <item x="787"/>
        <item x="227"/>
        <item x="139"/>
        <item x="177"/>
        <item x="744"/>
        <item x="275"/>
        <item x="151"/>
        <item x="70"/>
        <item x="1047"/>
        <item x="97"/>
        <item x="191"/>
        <item x="577"/>
        <item x="858"/>
        <item x="668"/>
        <item x="644"/>
        <item x="484"/>
        <item x="343"/>
        <item x="466"/>
        <item x="112"/>
        <item x="265"/>
        <item x="513"/>
        <item x="342"/>
        <item x="721"/>
        <item x="78"/>
        <item x="1051"/>
        <item x="535"/>
        <item x="313"/>
        <item x="240"/>
        <item x="731"/>
        <item x="630"/>
        <item x="259"/>
        <item x="341"/>
        <item x="423"/>
        <item x="824"/>
        <item x="264"/>
        <item x="538"/>
        <item x="372"/>
        <item x="456"/>
        <item x="720"/>
        <item x="380"/>
        <item x="243"/>
        <item x="755"/>
        <item x="12"/>
        <item x="771"/>
        <item x="777"/>
        <item x="976"/>
        <item x="110"/>
        <item x="901"/>
        <item x="639"/>
        <item x="171"/>
        <item x="253"/>
        <item x="1050"/>
        <item x="142"/>
        <item x="633"/>
        <item x="553"/>
        <item x="710"/>
        <item x="562"/>
        <item x="843"/>
        <item x="185"/>
        <item x="671"/>
        <item x="101"/>
        <item x="915"/>
        <item x="853"/>
        <item x="959"/>
        <item x="861"/>
        <item x="610"/>
        <item x="293"/>
        <item x="732"/>
        <item x="128"/>
        <item x="634"/>
        <item x="337"/>
        <item x="121"/>
        <item x="868"/>
        <item x="437"/>
        <item x="1019"/>
        <item x="424"/>
        <item x="623"/>
        <item x="522"/>
        <item x="555"/>
        <item x="902"/>
        <item x="1098"/>
        <item x="23"/>
        <item x="106"/>
        <item x="65"/>
        <item x="475"/>
        <item x="349"/>
        <item x="631"/>
        <item x="874"/>
        <item x="568"/>
        <item x="757"/>
        <item x="1003"/>
        <item x="326"/>
        <item x="528"/>
        <item x="446"/>
        <item x="1018"/>
        <item x="1093"/>
        <item x="619"/>
        <item x="890"/>
        <item x="804"/>
        <item x="267"/>
        <item x="105"/>
        <item x="502"/>
        <item x="763"/>
        <item x="552"/>
        <item x="373"/>
        <item x="1009"/>
        <item x="66"/>
        <item x="640"/>
        <item x="400"/>
        <item x="420"/>
        <item x="418"/>
        <item x="348"/>
        <item x="45"/>
        <item x="309"/>
        <item x="563"/>
        <item x="374"/>
        <item x="802"/>
        <item x="432"/>
        <item x="82"/>
        <item x="724"/>
        <item x="989"/>
        <item x="889"/>
        <item x="626"/>
        <item x="141"/>
        <item x="916"/>
        <item x="533"/>
        <item x="304"/>
        <item x="1089"/>
        <item x="417"/>
        <item x="85"/>
        <item x="439"/>
        <item x="883"/>
        <item x="178"/>
        <item x="862"/>
        <item x="383"/>
        <item x="929"/>
        <item x="1008"/>
        <item x="939"/>
        <item x="705"/>
        <item x="927"/>
        <item x="933"/>
        <item x="799"/>
        <item x="470"/>
        <item x="310"/>
        <item x="462"/>
        <item x="111"/>
        <item x="847"/>
        <item x="336"/>
        <item x="296"/>
        <item x="236"/>
        <item x="144"/>
        <item x="257"/>
        <item x="758"/>
        <item x="297"/>
        <item x="384"/>
        <item x="490"/>
        <item x="364"/>
        <item x="550"/>
        <item x="566"/>
        <item x="750"/>
        <item x="612"/>
        <item x="982"/>
        <item x="221"/>
        <item x="737"/>
        <item x="390"/>
        <item x="985"/>
        <item x="408"/>
        <item x="946"/>
        <item x="1076"/>
        <item x="952"/>
        <item x="617"/>
        <item x="366"/>
        <item x="274"/>
        <item x="551"/>
        <item x="473"/>
        <item x="338"/>
        <item x="258"/>
        <item x="52"/>
        <item x="146"/>
        <item x="729"/>
        <item x="1002"/>
        <item x="415"/>
        <item x="307"/>
        <item x="347"/>
        <item x="690"/>
        <item x="394"/>
        <item x="881"/>
        <item x="776"/>
        <item x="629"/>
        <item x="662"/>
        <item x="1007"/>
        <item x="765"/>
        <item x="262"/>
        <item x="955"/>
        <item x="303"/>
        <item x="355"/>
        <item x="20"/>
        <item x="175"/>
        <item x="278"/>
        <item x="199"/>
        <item x="526"/>
        <item x="223"/>
        <item x="507"/>
        <item x="26"/>
        <item x="431"/>
        <item x="335"/>
        <item x="570"/>
        <item x="8"/>
        <item x="905"/>
        <item x="656"/>
        <item x="306"/>
        <item x="81"/>
        <item x="978"/>
        <item x="39"/>
        <item x="235"/>
        <item x="753"/>
        <item x="1080"/>
        <item x="370"/>
        <item x="1079"/>
        <item x="515"/>
        <item x="480"/>
        <item x="214"/>
        <item t="default"/>
      </items>
    </pivotField>
    <pivotField showAll="0">
      <items count="3">
        <item x="0"/>
        <item x="1"/>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8"/>
    <field x="17"/>
    <field x="16"/>
    <field x="9"/>
  </rowFields>
  <rowItems count="5">
    <i>
      <x v="1"/>
    </i>
    <i>
      <x v="2"/>
    </i>
    <i>
      <x v="3"/>
    </i>
    <i>
      <x v="4"/>
    </i>
    <i t="grand">
      <x/>
    </i>
  </rowItems>
  <colItems count="1">
    <i/>
  </colItems>
  <dataFields count="1">
    <dataField name="Sum of Total Spent" fld="6" baseField="0" baseItem="0" numFmtId="164"/>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D8FFB3-C889-4A0F-988C-248FE0F704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9">
    <pivotField showAll="0"/>
    <pivotField showAll="0"/>
    <pivotField showAll="0"/>
    <pivotField showAll="0"/>
    <pivotField dataField="1" numFmtId="164" showAll="0"/>
    <pivotField numFmtId="1" showAll="0"/>
    <pivotField numFmtId="164" showAll="0"/>
    <pivotField axis="axisRow" showAll="0" sortType="ascending">
      <items count="5">
        <item m="1" x="3"/>
        <item x="1"/>
        <item x="2"/>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numFmtId="14" showAll="0">
      <items count="1111">
        <item x="184"/>
        <item x="75"/>
        <item x="957"/>
        <item x="231"/>
        <item x="320"/>
        <item x="1091"/>
        <item x="892"/>
        <item x="193"/>
        <item x="641"/>
        <item x="588"/>
        <item x="438"/>
        <item x="489"/>
        <item x="464"/>
        <item x="89"/>
        <item x="350"/>
        <item x="234"/>
        <item x="50"/>
        <item x="386"/>
        <item x="5"/>
        <item x="910"/>
        <item x="457"/>
        <item x="548"/>
        <item x="669"/>
        <item x="797"/>
        <item x="936"/>
        <item x="164"/>
        <item x="906"/>
        <item x="477"/>
        <item x="200"/>
        <item x="624"/>
        <item x="248"/>
        <item x="414"/>
        <item x="495"/>
        <item x="298"/>
        <item x="665"/>
        <item x="1092"/>
        <item x="487"/>
        <item x="190"/>
        <item x="206"/>
        <item x="702"/>
        <item x="152"/>
        <item x="134"/>
        <item x="504"/>
        <item x="254"/>
        <item x="896"/>
        <item x="877"/>
        <item x="1064"/>
        <item x="325"/>
        <item x="38"/>
        <item x="155"/>
        <item x="427"/>
        <item x="683"/>
        <item x="463"/>
        <item x="7"/>
        <item x="17"/>
        <item x="589"/>
        <item x="966"/>
        <item x="228"/>
        <item x="232"/>
        <item x="567"/>
        <item x="329"/>
        <item x="1000"/>
        <item x="289"/>
        <item x="340"/>
        <item x="381"/>
        <item x="840"/>
        <item x="468"/>
        <item x="904"/>
        <item x="945"/>
        <item x="928"/>
        <item x="285"/>
        <item x="140"/>
        <item x="1102"/>
        <item x="545"/>
        <item x="583"/>
        <item x="479"/>
        <item x="125"/>
        <item x="365"/>
        <item x="835"/>
        <item x="1040"/>
        <item x="657"/>
        <item x="496"/>
        <item x="251"/>
        <item x="998"/>
        <item x="1088"/>
        <item x="449"/>
        <item x="851"/>
        <item x="334"/>
        <item x="785"/>
        <item x="295"/>
        <item x="344"/>
        <item x="954"/>
        <item x="887"/>
        <item x="711"/>
        <item x="587"/>
        <item x="988"/>
        <item x="891"/>
        <item x="272"/>
        <item x="122"/>
        <item x="970"/>
        <item x="919"/>
        <item x="499"/>
        <item x="114"/>
        <item x="300"/>
        <item x="301"/>
        <item x="167"/>
        <item x="774"/>
        <item x="1043"/>
        <item x="124"/>
        <item x="560"/>
        <item x="581"/>
        <item x="932"/>
        <item x="1083"/>
        <item x="803"/>
        <item x="660"/>
        <item x="84"/>
        <item x="118"/>
        <item x="433"/>
        <item x="268"/>
        <item x="712"/>
        <item x="651"/>
        <item x="536"/>
        <item x="764"/>
        <item x="314"/>
        <item x="532"/>
        <item x="800"/>
        <item x="1109"/>
        <item x="557"/>
        <item x="441"/>
        <item x="120"/>
        <item x="655"/>
        <item x="471"/>
        <item x="215"/>
        <item x="821"/>
        <item x="717"/>
        <item x="733"/>
        <item x="540"/>
        <item x="467"/>
        <item x="716"/>
        <item x="726"/>
        <item x="546"/>
        <item x="836"/>
        <item x="739"/>
        <item x="574"/>
        <item x="308"/>
        <item x="852"/>
        <item x="316"/>
        <item x="514"/>
        <item x="1084"/>
        <item x="103"/>
        <item x="975"/>
        <item x="508"/>
        <item x="885"/>
        <item x="973"/>
        <item x="805"/>
        <item x="109"/>
        <item x="346"/>
        <item x="14"/>
        <item x="157"/>
        <item x="71"/>
        <item x="654"/>
        <item x="205"/>
        <item x="368"/>
        <item x="149"/>
        <item x="728"/>
        <item x="941"/>
        <item x="995"/>
        <item x="1048"/>
        <item x="436"/>
        <item x="9"/>
        <item x="360"/>
        <item x="395"/>
        <item x="642"/>
        <item x="692"/>
        <item x="512"/>
        <item x="706"/>
        <item x="453"/>
        <item x="806"/>
        <item x="385"/>
        <item x="168"/>
        <item x="974"/>
        <item x="195"/>
        <item x="375"/>
        <item x="743"/>
        <item x="156"/>
        <item x="31"/>
        <item x="987"/>
        <item x="136"/>
        <item x="391"/>
        <item x="294"/>
        <item x="593"/>
        <item x="107"/>
        <item x="879"/>
        <item x="638"/>
        <item x="781"/>
        <item x="585"/>
        <item x="869"/>
        <item x="525"/>
        <item x="113"/>
        <item x="772"/>
        <item x="899"/>
        <item x="163"/>
        <item x="943"/>
        <item x="237"/>
        <item x="767"/>
        <item x="382"/>
        <item x="269"/>
        <item x="646"/>
        <item x="15"/>
        <item x="713"/>
        <item x="158"/>
        <item x="997"/>
        <item x="332"/>
        <item x="1073"/>
        <item x="826"/>
        <item x="971"/>
        <item x="1061"/>
        <item x="1058"/>
        <item x="786"/>
        <item x="520"/>
        <item x="359"/>
        <item x="659"/>
        <item x="730"/>
        <item x="425"/>
        <item x="246"/>
        <item x="697"/>
        <item x="210"/>
        <item x="503"/>
        <item x="968"/>
        <item x="67"/>
        <item x="498"/>
        <item x="993"/>
        <item x="115"/>
        <item x="465"/>
        <item x="0"/>
        <item x="40"/>
        <item x="607"/>
        <item x="579"/>
        <item x="832"/>
        <item x="1101"/>
        <item x="10"/>
        <item x="894"/>
        <item x="809"/>
        <item x="197"/>
        <item x="42"/>
        <item x="339"/>
        <item x="740"/>
        <item x="179"/>
        <item x="90"/>
        <item x="689"/>
        <item x="13"/>
        <item x="867"/>
        <item x="597"/>
        <item x="16"/>
        <item x="211"/>
        <item x="917"/>
        <item x="49"/>
        <item x="186"/>
        <item x="1104"/>
        <item x="823"/>
        <item x="870"/>
        <item x="230"/>
        <item x="950"/>
        <item x="636"/>
        <item x="1069"/>
        <item x="203"/>
        <item x="25"/>
        <item x="207"/>
        <item x="452"/>
        <item x="537"/>
        <item x="947"/>
        <item x="658"/>
        <item x="992"/>
        <item x="358"/>
        <item x="44"/>
        <item x="897"/>
        <item x="866"/>
        <item x="1042"/>
        <item x="218"/>
        <item x="984"/>
        <item x="687"/>
        <item x="506"/>
        <item x="407"/>
        <item x="299"/>
        <item x="396"/>
        <item x="878"/>
        <item x="559"/>
        <item x="1097"/>
        <item x="286"/>
        <item x="412"/>
        <item x="393"/>
        <item x="444"/>
        <item x="486"/>
        <item x="848"/>
        <item x="622"/>
        <item x="838"/>
        <item x="530"/>
        <item x="600"/>
        <item x="501"/>
        <item x="405"/>
        <item x="893"/>
        <item x="818"/>
        <item x="790"/>
        <item x="521"/>
        <item x="578"/>
        <item x="1004"/>
        <item x="2"/>
        <item x="302"/>
        <item x="1071"/>
        <item x="312"/>
        <item x="911"/>
        <item x="1066"/>
        <item x="580"/>
        <item x="591"/>
        <item x="951"/>
        <item x="625"/>
        <item x="323"/>
        <item x="1045"/>
        <item x="511"/>
        <item x="543"/>
        <item x="839"/>
        <item x="608"/>
        <item x="481"/>
        <item x="541"/>
        <item x="741"/>
        <item x="404"/>
        <item x="59"/>
        <item x="960"/>
        <item x="271"/>
        <item x="74"/>
        <item x="719"/>
        <item x="174"/>
        <item x="760"/>
        <item x="682"/>
        <item x="769"/>
        <item x="48"/>
        <item x="948"/>
        <item x="590"/>
        <item x="1103"/>
        <item x="159"/>
        <item x="93"/>
        <item x="766"/>
        <item x="212"/>
        <item x="196"/>
        <item x="715"/>
        <item x="222"/>
        <item x="681"/>
        <item x="925"/>
        <item x="333"/>
        <item x="361"/>
        <item x="611"/>
        <item x="1106"/>
        <item x="1030"/>
        <item x="1056"/>
        <item x="801"/>
        <item x="856"/>
        <item x="1099"/>
        <item x="194"/>
        <item x="863"/>
        <item x="605"/>
        <item x="956"/>
        <item x="426"/>
        <item x="387"/>
        <item x="88"/>
        <item x="491"/>
        <item x="675"/>
        <item x="650"/>
        <item x="751"/>
        <item x="485"/>
        <item x="279"/>
        <item x="1039"/>
        <item x="459"/>
        <item x="575"/>
        <item x="779"/>
        <item x="266"/>
        <item x="913"/>
        <item x="392"/>
        <item x="123"/>
        <item x="283"/>
        <item x="828"/>
        <item x="1012"/>
        <item x="61"/>
        <item x="36"/>
        <item x="226"/>
        <item x="859"/>
        <item x="983"/>
        <item x="388"/>
        <item x="351"/>
        <item x="953"/>
        <item x="643"/>
        <item x="814"/>
        <item x="694"/>
        <item x="1087"/>
        <item x="698"/>
        <item x="564"/>
        <item x="849"/>
        <item x="277"/>
        <item x="245"/>
        <item x="783"/>
        <item x="422"/>
        <item x="281"/>
        <item x="817"/>
        <item x="991"/>
        <item x="935"/>
        <item x="898"/>
        <item x="949"/>
        <item x="673"/>
        <item x="539"/>
        <item x="510"/>
        <item x="565"/>
        <item x="18"/>
        <item x="572"/>
        <item x="187"/>
        <item x="854"/>
        <item x="160"/>
        <item x="239"/>
        <item x="244"/>
        <item x="54"/>
        <item x="474"/>
        <item x="937"/>
        <item x="586"/>
        <item x="276"/>
        <item x="815"/>
        <item x="700"/>
        <item x="680"/>
        <item x="482"/>
        <item x="99"/>
        <item x="827"/>
        <item x="1041"/>
        <item x="808"/>
        <item x="519"/>
        <item x="678"/>
        <item x="362"/>
        <item x="460"/>
        <item x="51"/>
        <item x="1077"/>
        <item x="796"/>
        <item x="1022"/>
        <item x="1105"/>
        <item x="549"/>
        <item x="1057"/>
        <item x="363"/>
        <item x="450"/>
        <item x="648"/>
        <item x="442"/>
        <item x="699"/>
        <item x="324"/>
        <item x="225"/>
        <item x="311"/>
        <item x="53"/>
        <item x="846"/>
        <item x="1032"/>
        <item x="102"/>
        <item x="1"/>
        <item x="233"/>
        <item x="865"/>
        <item x="98"/>
        <item x="663"/>
        <item x="413"/>
        <item x="79"/>
        <item x="584"/>
        <item x="907"/>
        <item x="747"/>
        <item x="96"/>
        <item x="242"/>
        <item x="1068"/>
        <item x="252"/>
        <item x="1094"/>
        <item x="701"/>
        <item x="895"/>
        <item x="165"/>
        <item x="216"/>
        <item x="613"/>
        <item x="880"/>
        <item x="287"/>
        <item x="714"/>
        <item x="749"/>
        <item x="201"/>
        <item x="908"/>
        <item x="996"/>
        <item x="529"/>
        <item x="378"/>
        <item x="86"/>
        <item x="428"/>
        <item x="354"/>
        <item x="1001"/>
        <item x="430"/>
        <item x="980"/>
        <item x="1025"/>
        <item x="403"/>
        <item x="676"/>
        <item x="1075"/>
        <item x="284"/>
        <item x="1014"/>
        <item x="679"/>
        <item x="742"/>
        <item x="931"/>
        <item x="131"/>
        <item x="1033"/>
        <item x="1096"/>
        <item x="752"/>
        <item x="627"/>
        <item x="21"/>
        <item x="305"/>
        <item x="255"/>
        <item x="219"/>
        <item x="1037"/>
        <item x="204"/>
        <item x="55"/>
        <item x="377"/>
        <item x="153"/>
        <item x="637"/>
        <item x="1108"/>
        <item x="653"/>
        <item x="397"/>
        <item x="208"/>
        <item x="621"/>
        <item x="154"/>
        <item x="95"/>
        <item x="707"/>
        <item x="1006"/>
        <item x="224"/>
        <item x="649"/>
        <item x="661"/>
        <item x="1063"/>
        <item x="841"/>
        <item x="756"/>
        <item x="500"/>
        <item x="784"/>
        <item x="1060"/>
        <item x="37"/>
        <item x="282"/>
        <item x="748"/>
        <item x="322"/>
        <item x="677"/>
        <item x="1054"/>
        <item x="517"/>
        <item x="62"/>
        <item x="969"/>
        <item x="280"/>
        <item x="829"/>
        <item x="410"/>
        <item x="209"/>
        <item x="1031"/>
        <item x="920"/>
        <item x="260"/>
        <item x="371"/>
        <item x="924"/>
        <item x="1038"/>
        <item x="761"/>
        <item x="357"/>
        <item x="599"/>
        <item x="819"/>
        <item x="389"/>
        <item x="409"/>
        <item x="213"/>
        <item x="147"/>
        <item x="57"/>
        <item x="544"/>
        <item x="1086"/>
        <item x="958"/>
        <item x="685"/>
        <item x="686"/>
        <item x="813"/>
        <item x="87"/>
        <item x="645"/>
        <item x="603"/>
        <item x="778"/>
        <item x="882"/>
        <item x="811"/>
        <item x="990"/>
        <item x="117"/>
        <item x="145"/>
        <item x="571"/>
        <item x="606"/>
        <item x="1013"/>
        <item x="1085"/>
        <item x="942"/>
        <item x="972"/>
        <item x="614"/>
        <item x="864"/>
        <item x="238"/>
        <item x="888"/>
        <item x="734"/>
        <item x="273"/>
        <item x="19"/>
        <item x="181"/>
        <item x="1081"/>
        <item x="735"/>
        <item x="616"/>
        <item x="497"/>
        <item x="695"/>
        <item x="527"/>
        <item x="940"/>
        <item x="1053"/>
        <item x="143"/>
        <item x="32"/>
        <item x="401"/>
        <item x="825"/>
        <item x="816"/>
        <item x="542"/>
        <item x="857"/>
        <item x="353"/>
        <item x="1015"/>
        <item x="73"/>
        <item x="76"/>
        <item x="722"/>
        <item x="518"/>
        <item x="788"/>
        <item x="632"/>
        <item x="402"/>
        <item x="875"/>
        <item x="855"/>
        <item x="104"/>
        <item x="921"/>
        <item x="132"/>
        <item x="782"/>
        <item x="509"/>
        <item x="1028"/>
        <item x="773"/>
        <item x="918"/>
        <item x="1052"/>
        <item x="620"/>
        <item x="672"/>
        <item x="130"/>
        <item x="189"/>
        <item x="860"/>
        <item x="789"/>
        <item x="172"/>
        <item x="674"/>
        <item x="1021"/>
        <item x="315"/>
        <item x="494"/>
        <item x="290"/>
        <item x="696"/>
        <item x="445"/>
        <item x="11"/>
        <item x="837"/>
        <item x="369"/>
        <item x="727"/>
        <item x="820"/>
        <item x="531"/>
        <item x="108"/>
        <item x="33"/>
        <item x="1062"/>
        <item x="594"/>
        <item x="367"/>
        <item x="547"/>
        <item x="582"/>
        <item x="1020"/>
        <item x="595"/>
        <item x="961"/>
        <item x="807"/>
        <item x="256"/>
        <item x="126"/>
        <item x="670"/>
        <item x="795"/>
        <item x="292"/>
        <item x="116"/>
        <item x="435"/>
        <item x="850"/>
        <item x="376"/>
        <item x="472"/>
        <item x="1010"/>
        <item x="1067"/>
        <item x="461"/>
        <item x="1026"/>
        <item x="664"/>
        <item x="198"/>
        <item x="68"/>
        <item x="900"/>
        <item x="986"/>
        <item x="270"/>
        <item x="1011"/>
        <item x="792"/>
        <item x="1036"/>
        <item x="652"/>
        <item x="448"/>
        <item x="69"/>
        <item x="288"/>
        <item x="810"/>
        <item x="173"/>
        <item x="576"/>
        <item x="977"/>
        <item x="1049"/>
        <item x="718"/>
        <item x="926"/>
        <item x="1090"/>
        <item x="137"/>
        <item x="791"/>
        <item x="635"/>
        <item x="963"/>
        <item x="478"/>
        <item x="469"/>
        <item x="331"/>
        <item x="923"/>
        <item x="615"/>
        <item x="411"/>
        <item x="768"/>
        <item x="180"/>
        <item x="596"/>
        <item x="981"/>
        <item x="1100"/>
        <item x="91"/>
        <item x="1065"/>
        <item x="592"/>
        <item x="399"/>
        <item x="483"/>
        <item x="188"/>
        <item x="844"/>
        <item x="914"/>
        <item x="1072"/>
        <item x="667"/>
        <item x="666"/>
        <item x="6"/>
        <item x="83"/>
        <item x="319"/>
        <item x="831"/>
        <item x="119"/>
        <item x="27"/>
        <item x="754"/>
        <item x="406"/>
        <item x="516"/>
        <item x="830"/>
        <item x="440"/>
        <item x="183"/>
        <item x="47"/>
        <item x="709"/>
        <item x="1029"/>
        <item x="962"/>
        <item x="524"/>
        <item x="451"/>
        <item x="822"/>
        <item x="447"/>
        <item x="798"/>
        <item x="148"/>
        <item x="979"/>
        <item x="217"/>
        <item x="884"/>
        <item x="944"/>
        <item x="1078"/>
        <item x="647"/>
        <item x="133"/>
        <item x="903"/>
        <item x="912"/>
        <item x="746"/>
        <item x="150"/>
        <item x="602"/>
        <item x="618"/>
        <item x="22"/>
        <item x="628"/>
        <item x="601"/>
        <item x="34"/>
        <item x="604"/>
        <item x="77"/>
        <item x="488"/>
        <item x="703"/>
        <item x="176"/>
        <item x="523"/>
        <item x="770"/>
        <item x="1044"/>
        <item x="930"/>
        <item x="922"/>
        <item x="241"/>
        <item x="80"/>
        <item x="738"/>
        <item x="138"/>
        <item x="1023"/>
        <item x="873"/>
        <item x="999"/>
        <item x="609"/>
        <item x="1082"/>
        <item x="556"/>
        <item x="876"/>
        <item x="100"/>
        <item x="794"/>
        <item x="554"/>
        <item x="834"/>
        <item x="291"/>
        <item x="356"/>
        <item x="1059"/>
        <item x="534"/>
        <item x="1017"/>
        <item x="398"/>
        <item x="443"/>
        <item x="1070"/>
        <item x="793"/>
        <item x="704"/>
        <item x="92"/>
        <item x="688"/>
        <item x="1046"/>
        <item x="598"/>
        <item x="909"/>
        <item x="162"/>
        <item x="64"/>
        <item x="994"/>
        <item x="352"/>
        <item x="1035"/>
        <item x="684"/>
        <item x="1016"/>
        <item x="379"/>
        <item x="229"/>
        <item x="871"/>
        <item x="429"/>
        <item x="94"/>
        <item x="318"/>
        <item x="886"/>
        <item x="35"/>
        <item x="4"/>
        <item x="3"/>
        <item x="220"/>
        <item x="1005"/>
        <item x="28"/>
        <item x="321"/>
        <item x="492"/>
        <item x="842"/>
        <item x="775"/>
        <item x="1024"/>
        <item x="63"/>
        <item x="135"/>
        <item x="476"/>
        <item x="1034"/>
        <item x="455"/>
        <item x="1055"/>
        <item x="419"/>
        <item x="58"/>
        <item x="202"/>
        <item x="964"/>
        <item x="249"/>
        <item x="505"/>
        <item x="725"/>
        <item x="967"/>
        <item x="56"/>
        <item x="558"/>
        <item x="434"/>
        <item x="454"/>
        <item x="29"/>
        <item x="812"/>
        <item x="780"/>
        <item x="330"/>
        <item x="46"/>
        <item x="72"/>
        <item x="1107"/>
        <item x="561"/>
        <item x="182"/>
        <item x="421"/>
        <item x="708"/>
        <item x="24"/>
        <item x="569"/>
        <item x="169"/>
        <item x="762"/>
        <item x="723"/>
        <item x="166"/>
        <item x="693"/>
        <item x="759"/>
        <item x="845"/>
        <item x="170"/>
        <item x="573"/>
        <item x="345"/>
        <item x="736"/>
        <item x="261"/>
        <item x="41"/>
        <item x="745"/>
        <item x="192"/>
        <item x="458"/>
        <item x="327"/>
        <item x="317"/>
        <item x="250"/>
        <item x="833"/>
        <item x="127"/>
        <item x="247"/>
        <item x="416"/>
        <item x="1095"/>
        <item x="934"/>
        <item x="691"/>
        <item x="30"/>
        <item x="1027"/>
        <item x="1074"/>
        <item x="60"/>
        <item x="965"/>
        <item x="493"/>
        <item x="161"/>
        <item x="938"/>
        <item x="129"/>
        <item x="872"/>
        <item x="328"/>
        <item x="263"/>
        <item x="43"/>
        <item x="787"/>
        <item x="227"/>
        <item x="139"/>
        <item x="177"/>
        <item x="744"/>
        <item x="275"/>
        <item x="151"/>
        <item x="70"/>
        <item x="1047"/>
        <item x="97"/>
        <item x="191"/>
        <item x="577"/>
        <item x="858"/>
        <item x="668"/>
        <item x="644"/>
        <item x="484"/>
        <item x="343"/>
        <item x="466"/>
        <item x="112"/>
        <item x="265"/>
        <item x="513"/>
        <item x="342"/>
        <item x="721"/>
        <item x="78"/>
        <item x="1051"/>
        <item x="535"/>
        <item x="313"/>
        <item x="240"/>
        <item x="731"/>
        <item x="630"/>
        <item x="259"/>
        <item x="341"/>
        <item x="423"/>
        <item x="824"/>
        <item x="264"/>
        <item x="538"/>
        <item x="372"/>
        <item x="456"/>
        <item x="720"/>
        <item x="380"/>
        <item x="243"/>
        <item x="755"/>
        <item x="12"/>
        <item x="771"/>
        <item x="777"/>
        <item x="976"/>
        <item x="110"/>
        <item x="901"/>
        <item x="639"/>
        <item x="171"/>
        <item x="253"/>
        <item x="1050"/>
        <item x="142"/>
        <item x="633"/>
        <item x="553"/>
        <item x="710"/>
        <item x="562"/>
        <item x="843"/>
        <item x="185"/>
        <item x="671"/>
        <item x="101"/>
        <item x="915"/>
        <item x="853"/>
        <item x="959"/>
        <item x="861"/>
        <item x="610"/>
        <item x="293"/>
        <item x="732"/>
        <item x="128"/>
        <item x="634"/>
        <item x="337"/>
        <item x="121"/>
        <item x="868"/>
        <item x="437"/>
        <item x="1019"/>
        <item x="424"/>
        <item x="623"/>
        <item x="522"/>
        <item x="555"/>
        <item x="902"/>
        <item x="1098"/>
        <item x="23"/>
        <item x="106"/>
        <item x="65"/>
        <item x="475"/>
        <item x="349"/>
        <item x="631"/>
        <item x="874"/>
        <item x="568"/>
        <item x="757"/>
        <item x="1003"/>
        <item x="326"/>
        <item x="528"/>
        <item x="446"/>
        <item x="1018"/>
        <item x="1093"/>
        <item x="619"/>
        <item x="890"/>
        <item x="804"/>
        <item x="267"/>
        <item x="105"/>
        <item x="502"/>
        <item x="763"/>
        <item x="552"/>
        <item x="373"/>
        <item x="1009"/>
        <item x="66"/>
        <item x="640"/>
        <item x="400"/>
        <item x="420"/>
        <item x="418"/>
        <item x="348"/>
        <item x="45"/>
        <item x="309"/>
        <item x="563"/>
        <item x="374"/>
        <item x="802"/>
        <item x="432"/>
        <item x="82"/>
        <item x="724"/>
        <item x="989"/>
        <item x="889"/>
        <item x="626"/>
        <item x="141"/>
        <item x="916"/>
        <item x="533"/>
        <item x="304"/>
        <item x="1089"/>
        <item x="417"/>
        <item x="85"/>
        <item x="439"/>
        <item x="883"/>
        <item x="178"/>
        <item x="862"/>
        <item x="383"/>
        <item x="929"/>
        <item x="1008"/>
        <item x="939"/>
        <item x="705"/>
        <item x="927"/>
        <item x="933"/>
        <item x="799"/>
        <item x="470"/>
        <item x="310"/>
        <item x="462"/>
        <item x="111"/>
        <item x="847"/>
        <item x="336"/>
        <item x="296"/>
        <item x="236"/>
        <item x="144"/>
        <item x="257"/>
        <item x="758"/>
        <item x="297"/>
        <item x="384"/>
        <item x="490"/>
        <item x="364"/>
        <item x="550"/>
        <item x="566"/>
        <item x="750"/>
        <item x="612"/>
        <item x="982"/>
        <item x="221"/>
        <item x="737"/>
        <item x="390"/>
        <item x="985"/>
        <item x="408"/>
        <item x="946"/>
        <item x="1076"/>
        <item x="952"/>
        <item x="617"/>
        <item x="366"/>
        <item x="274"/>
        <item x="551"/>
        <item x="473"/>
        <item x="338"/>
        <item x="258"/>
        <item x="52"/>
        <item x="146"/>
        <item x="729"/>
        <item x="1002"/>
        <item x="415"/>
        <item x="307"/>
        <item x="347"/>
        <item x="690"/>
        <item x="394"/>
        <item x="881"/>
        <item x="776"/>
        <item x="629"/>
        <item x="662"/>
        <item x="1007"/>
        <item x="765"/>
        <item x="262"/>
        <item x="955"/>
        <item x="303"/>
        <item x="355"/>
        <item x="20"/>
        <item x="175"/>
        <item x="278"/>
        <item x="199"/>
        <item x="526"/>
        <item x="223"/>
        <item x="507"/>
        <item x="26"/>
        <item x="431"/>
        <item x="335"/>
        <item x="570"/>
        <item x="8"/>
        <item x="905"/>
        <item x="656"/>
        <item x="306"/>
        <item x="81"/>
        <item x="978"/>
        <item x="39"/>
        <item x="235"/>
        <item x="753"/>
        <item x="1080"/>
        <item x="370"/>
        <item x="1079"/>
        <item x="515"/>
        <item x="480"/>
        <item x="214"/>
        <item t="default"/>
      </items>
    </pivotField>
    <pivotField showAll="0">
      <items count="3">
        <item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v="2"/>
    </i>
    <i>
      <x v="3"/>
    </i>
    <i>
      <x v="1"/>
    </i>
    <i t="grand">
      <x/>
    </i>
  </rowItems>
  <colItems count="1">
    <i/>
  </colItems>
  <dataFields count="1">
    <dataField name="Sum of Price Per Unit" fld="4"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FC49BB-A094-4CD2-95A6-62E611CF94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9">
    <pivotField showAll="0"/>
    <pivotField showAll="0"/>
    <pivotField showAll="0"/>
    <pivotField showAll="0">
      <items count="201">
        <item x="193"/>
        <item x="197"/>
        <item x="196"/>
        <item x="194"/>
        <item x="198"/>
        <item x="199"/>
        <item x="195"/>
        <item x="192"/>
        <item x="121"/>
        <item x="124"/>
        <item x="120"/>
        <item x="122"/>
        <item x="118"/>
        <item x="117"/>
        <item x="123"/>
        <item x="119"/>
        <item x="114"/>
        <item x="126"/>
        <item x="112"/>
        <item x="111"/>
        <item x="109"/>
        <item x="113"/>
        <item x="115"/>
        <item x="110"/>
        <item x="105"/>
        <item x="103"/>
        <item x="104"/>
        <item x="102"/>
        <item x="107"/>
        <item x="108"/>
        <item x="116"/>
        <item x="106"/>
        <item x="99"/>
        <item x="95"/>
        <item x="93"/>
        <item x="97"/>
        <item x="94"/>
        <item x="125"/>
        <item x="98"/>
        <item x="96"/>
        <item x="89"/>
        <item x="92"/>
        <item x="88"/>
        <item x="100"/>
        <item x="87"/>
        <item x="90"/>
        <item x="91"/>
        <item x="86"/>
        <item x="78"/>
        <item x="80"/>
        <item x="82"/>
        <item x="81"/>
        <item x="79"/>
        <item x="77"/>
        <item x="84"/>
        <item x="83"/>
        <item x="71"/>
        <item x="74"/>
        <item x="70"/>
        <item x="75"/>
        <item x="101"/>
        <item x="76"/>
        <item x="73"/>
        <item x="72"/>
        <item x="64"/>
        <item x="65"/>
        <item x="62"/>
        <item x="67"/>
        <item x="66"/>
        <item x="68"/>
        <item x="61"/>
        <item x="63"/>
        <item x="59"/>
        <item x="55"/>
        <item x="58"/>
        <item x="54"/>
        <item x="53"/>
        <item x="56"/>
        <item x="57"/>
        <item x="60"/>
        <item x="50"/>
        <item x="46"/>
        <item x="49"/>
        <item x="48"/>
        <item x="69"/>
        <item x="85"/>
        <item x="47"/>
        <item x="45"/>
        <item x="184"/>
        <item x="189"/>
        <item x="188"/>
        <item x="190"/>
        <item x="185"/>
        <item x="187"/>
        <item x="186"/>
        <item x="191"/>
        <item x="37"/>
        <item x="41"/>
        <item x="43"/>
        <item x="38"/>
        <item x="42"/>
        <item x="39"/>
        <item x="40"/>
        <item x="44"/>
        <item x="34"/>
        <item x="52"/>
        <item x="33"/>
        <item x="35"/>
        <item x="36"/>
        <item x="32"/>
        <item x="31"/>
        <item x="127"/>
        <item x="29"/>
        <item x="24"/>
        <item x="26"/>
        <item x="28"/>
        <item x="27"/>
        <item x="23"/>
        <item x="25"/>
        <item x="30"/>
        <item x="19"/>
        <item x="16"/>
        <item x="18"/>
        <item x="15"/>
        <item x="22"/>
        <item x="20"/>
        <item x="17"/>
        <item x="21"/>
        <item x="8"/>
        <item x="12"/>
        <item x="51"/>
        <item x="13"/>
        <item x="11"/>
        <item x="9"/>
        <item x="14"/>
        <item x="10"/>
        <item x="1"/>
        <item x="3"/>
        <item x="6"/>
        <item x="5"/>
        <item x="4"/>
        <item x="2"/>
        <item x="0"/>
        <item x="7"/>
        <item x="180"/>
        <item x="177"/>
        <item x="182"/>
        <item x="183"/>
        <item x="176"/>
        <item x="178"/>
        <item x="179"/>
        <item x="181"/>
        <item x="169"/>
        <item x="173"/>
        <item x="172"/>
        <item x="167"/>
        <item x="166"/>
        <item x="171"/>
        <item x="168"/>
        <item x="170"/>
        <item x="175"/>
        <item x="164"/>
        <item x="162"/>
        <item x="160"/>
        <item x="163"/>
        <item x="161"/>
        <item x="174"/>
        <item x="165"/>
        <item x="156"/>
        <item x="157"/>
        <item x="152"/>
        <item x="159"/>
        <item x="155"/>
        <item x="158"/>
        <item x="154"/>
        <item x="153"/>
        <item x="149"/>
        <item x="144"/>
        <item x="145"/>
        <item x="143"/>
        <item x="147"/>
        <item x="148"/>
        <item x="150"/>
        <item x="146"/>
        <item x="136"/>
        <item x="134"/>
        <item x="140"/>
        <item x="138"/>
        <item x="141"/>
        <item x="135"/>
        <item x="139"/>
        <item x="137"/>
        <item x="129"/>
        <item x="142"/>
        <item x="132"/>
        <item x="128"/>
        <item x="130"/>
        <item x="131"/>
        <item x="151"/>
        <item x="133"/>
        <item t="default"/>
      </items>
    </pivotField>
    <pivotField numFmtId="164" showAll="0"/>
    <pivotField dataField="1" numFmtId="1" showAll="0"/>
    <pivotField numFmtId="164" showAll="0"/>
    <pivotField showAll="0">
      <items count="5">
        <item m="1" x="3"/>
        <item x="1"/>
        <item x="2"/>
        <item x="0"/>
        <item t="default"/>
      </items>
    </pivotField>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numFmtId="14" showAll="0">
      <items count="1111">
        <item x="184"/>
        <item x="75"/>
        <item x="957"/>
        <item x="231"/>
        <item x="320"/>
        <item x="1091"/>
        <item x="892"/>
        <item x="193"/>
        <item x="641"/>
        <item x="588"/>
        <item x="438"/>
        <item x="489"/>
        <item x="464"/>
        <item x="89"/>
        <item x="350"/>
        <item x="234"/>
        <item x="50"/>
        <item x="386"/>
        <item x="5"/>
        <item x="910"/>
        <item x="457"/>
        <item x="548"/>
        <item x="669"/>
        <item x="797"/>
        <item x="936"/>
        <item x="164"/>
        <item x="906"/>
        <item x="477"/>
        <item x="200"/>
        <item x="624"/>
        <item x="248"/>
        <item x="414"/>
        <item x="495"/>
        <item x="298"/>
        <item x="665"/>
        <item x="1092"/>
        <item x="487"/>
        <item x="190"/>
        <item x="206"/>
        <item x="702"/>
        <item x="152"/>
        <item x="134"/>
        <item x="504"/>
        <item x="254"/>
        <item x="896"/>
        <item x="877"/>
        <item x="1064"/>
        <item x="325"/>
        <item x="38"/>
        <item x="155"/>
        <item x="427"/>
        <item x="683"/>
        <item x="463"/>
        <item x="7"/>
        <item x="17"/>
        <item x="589"/>
        <item x="966"/>
        <item x="228"/>
        <item x="232"/>
        <item x="567"/>
        <item x="329"/>
        <item x="1000"/>
        <item x="289"/>
        <item x="340"/>
        <item x="381"/>
        <item x="840"/>
        <item x="468"/>
        <item x="904"/>
        <item x="945"/>
        <item x="928"/>
        <item x="285"/>
        <item x="140"/>
        <item x="1102"/>
        <item x="545"/>
        <item x="583"/>
        <item x="479"/>
        <item x="125"/>
        <item x="365"/>
        <item x="835"/>
        <item x="1040"/>
        <item x="657"/>
        <item x="496"/>
        <item x="251"/>
        <item x="998"/>
        <item x="1088"/>
        <item x="449"/>
        <item x="851"/>
        <item x="334"/>
        <item x="785"/>
        <item x="295"/>
        <item x="344"/>
        <item x="954"/>
        <item x="887"/>
        <item x="711"/>
        <item x="587"/>
        <item x="988"/>
        <item x="891"/>
        <item x="272"/>
        <item x="122"/>
        <item x="970"/>
        <item x="919"/>
        <item x="499"/>
        <item x="114"/>
        <item x="300"/>
        <item x="301"/>
        <item x="167"/>
        <item x="774"/>
        <item x="1043"/>
        <item x="124"/>
        <item x="560"/>
        <item x="581"/>
        <item x="932"/>
        <item x="1083"/>
        <item x="803"/>
        <item x="660"/>
        <item x="84"/>
        <item x="118"/>
        <item x="433"/>
        <item x="268"/>
        <item x="712"/>
        <item x="651"/>
        <item x="536"/>
        <item x="764"/>
        <item x="314"/>
        <item x="532"/>
        <item x="800"/>
        <item x="1109"/>
        <item x="557"/>
        <item x="441"/>
        <item x="120"/>
        <item x="655"/>
        <item x="471"/>
        <item x="215"/>
        <item x="821"/>
        <item x="717"/>
        <item x="733"/>
        <item x="540"/>
        <item x="467"/>
        <item x="716"/>
        <item x="726"/>
        <item x="546"/>
        <item x="836"/>
        <item x="739"/>
        <item x="574"/>
        <item x="308"/>
        <item x="852"/>
        <item x="316"/>
        <item x="514"/>
        <item x="1084"/>
        <item x="103"/>
        <item x="975"/>
        <item x="508"/>
        <item x="885"/>
        <item x="973"/>
        <item x="805"/>
        <item x="109"/>
        <item x="346"/>
        <item x="14"/>
        <item x="157"/>
        <item x="71"/>
        <item x="654"/>
        <item x="205"/>
        <item x="368"/>
        <item x="149"/>
        <item x="728"/>
        <item x="941"/>
        <item x="995"/>
        <item x="1048"/>
        <item x="436"/>
        <item x="9"/>
        <item x="360"/>
        <item x="395"/>
        <item x="642"/>
        <item x="692"/>
        <item x="512"/>
        <item x="706"/>
        <item x="453"/>
        <item x="806"/>
        <item x="385"/>
        <item x="168"/>
        <item x="974"/>
        <item x="195"/>
        <item x="375"/>
        <item x="743"/>
        <item x="156"/>
        <item x="31"/>
        <item x="987"/>
        <item x="136"/>
        <item x="391"/>
        <item x="294"/>
        <item x="593"/>
        <item x="107"/>
        <item x="879"/>
        <item x="638"/>
        <item x="781"/>
        <item x="585"/>
        <item x="869"/>
        <item x="525"/>
        <item x="113"/>
        <item x="772"/>
        <item x="899"/>
        <item x="163"/>
        <item x="943"/>
        <item x="237"/>
        <item x="767"/>
        <item x="382"/>
        <item x="269"/>
        <item x="646"/>
        <item x="15"/>
        <item x="713"/>
        <item x="158"/>
        <item x="997"/>
        <item x="332"/>
        <item x="1073"/>
        <item x="826"/>
        <item x="971"/>
        <item x="1061"/>
        <item x="1058"/>
        <item x="786"/>
        <item x="520"/>
        <item x="359"/>
        <item x="659"/>
        <item x="730"/>
        <item x="425"/>
        <item x="246"/>
        <item x="697"/>
        <item x="210"/>
        <item x="503"/>
        <item x="968"/>
        <item x="67"/>
        <item x="498"/>
        <item x="993"/>
        <item x="115"/>
        <item x="465"/>
        <item x="0"/>
        <item x="40"/>
        <item x="607"/>
        <item x="579"/>
        <item x="832"/>
        <item x="1101"/>
        <item x="10"/>
        <item x="894"/>
        <item x="809"/>
        <item x="197"/>
        <item x="42"/>
        <item x="339"/>
        <item x="740"/>
        <item x="179"/>
        <item x="90"/>
        <item x="689"/>
        <item x="13"/>
        <item x="867"/>
        <item x="597"/>
        <item x="16"/>
        <item x="211"/>
        <item x="917"/>
        <item x="49"/>
        <item x="186"/>
        <item x="1104"/>
        <item x="823"/>
        <item x="870"/>
        <item x="230"/>
        <item x="950"/>
        <item x="636"/>
        <item x="1069"/>
        <item x="203"/>
        <item x="25"/>
        <item x="207"/>
        <item x="452"/>
        <item x="537"/>
        <item x="947"/>
        <item x="658"/>
        <item x="992"/>
        <item x="358"/>
        <item x="44"/>
        <item x="897"/>
        <item x="866"/>
        <item x="1042"/>
        <item x="218"/>
        <item x="984"/>
        <item x="687"/>
        <item x="506"/>
        <item x="407"/>
        <item x="299"/>
        <item x="396"/>
        <item x="878"/>
        <item x="559"/>
        <item x="1097"/>
        <item x="286"/>
        <item x="412"/>
        <item x="393"/>
        <item x="444"/>
        <item x="486"/>
        <item x="848"/>
        <item x="622"/>
        <item x="838"/>
        <item x="530"/>
        <item x="600"/>
        <item x="501"/>
        <item x="405"/>
        <item x="893"/>
        <item x="818"/>
        <item x="790"/>
        <item x="521"/>
        <item x="578"/>
        <item x="1004"/>
        <item x="2"/>
        <item x="302"/>
        <item x="1071"/>
        <item x="312"/>
        <item x="911"/>
        <item x="1066"/>
        <item x="580"/>
        <item x="591"/>
        <item x="951"/>
        <item x="625"/>
        <item x="323"/>
        <item x="1045"/>
        <item x="511"/>
        <item x="543"/>
        <item x="839"/>
        <item x="608"/>
        <item x="481"/>
        <item x="541"/>
        <item x="741"/>
        <item x="404"/>
        <item x="59"/>
        <item x="960"/>
        <item x="271"/>
        <item x="74"/>
        <item x="719"/>
        <item x="174"/>
        <item x="760"/>
        <item x="682"/>
        <item x="769"/>
        <item x="48"/>
        <item x="948"/>
        <item x="590"/>
        <item x="1103"/>
        <item x="159"/>
        <item x="93"/>
        <item x="766"/>
        <item x="212"/>
        <item x="196"/>
        <item x="715"/>
        <item x="222"/>
        <item x="681"/>
        <item x="925"/>
        <item x="333"/>
        <item x="361"/>
        <item x="611"/>
        <item x="1106"/>
        <item x="1030"/>
        <item x="1056"/>
        <item x="801"/>
        <item x="856"/>
        <item x="1099"/>
        <item x="194"/>
        <item x="863"/>
        <item x="605"/>
        <item x="956"/>
        <item x="426"/>
        <item x="387"/>
        <item x="88"/>
        <item x="491"/>
        <item x="675"/>
        <item x="650"/>
        <item x="751"/>
        <item x="485"/>
        <item x="279"/>
        <item x="1039"/>
        <item x="459"/>
        <item x="575"/>
        <item x="779"/>
        <item x="266"/>
        <item x="913"/>
        <item x="392"/>
        <item x="123"/>
        <item x="283"/>
        <item x="828"/>
        <item x="1012"/>
        <item x="61"/>
        <item x="36"/>
        <item x="226"/>
        <item x="859"/>
        <item x="983"/>
        <item x="388"/>
        <item x="351"/>
        <item x="953"/>
        <item x="643"/>
        <item x="814"/>
        <item x="694"/>
        <item x="1087"/>
        <item x="698"/>
        <item x="564"/>
        <item x="849"/>
        <item x="277"/>
        <item x="245"/>
        <item x="783"/>
        <item x="422"/>
        <item x="281"/>
        <item x="817"/>
        <item x="991"/>
        <item x="935"/>
        <item x="898"/>
        <item x="949"/>
        <item x="673"/>
        <item x="539"/>
        <item x="510"/>
        <item x="565"/>
        <item x="18"/>
        <item x="572"/>
        <item x="187"/>
        <item x="854"/>
        <item x="160"/>
        <item x="239"/>
        <item x="244"/>
        <item x="54"/>
        <item x="474"/>
        <item x="937"/>
        <item x="586"/>
        <item x="276"/>
        <item x="815"/>
        <item x="700"/>
        <item x="680"/>
        <item x="482"/>
        <item x="99"/>
        <item x="827"/>
        <item x="1041"/>
        <item x="808"/>
        <item x="519"/>
        <item x="678"/>
        <item x="362"/>
        <item x="460"/>
        <item x="51"/>
        <item x="1077"/>
        <item x="796"/>
        <item x="1022"/>
        <item x="1105"/>
        <item x="549"/>
        <item x="1057"/>
        <item x="363"/>
        <item x="450"/>
        <item x="648"/>
        <item x="442"/>
        <item x="699"/>
        <item x="324"/>
        <item x="225"/>
        <item x="311"/>
        <item x="53"/>
        <item x="846"/>
        <item x="1032"/>
        <item x="102"/>
        <item x="1"/>
        <item x="233"/>
        <item x="865"/>
        <item x="98"/>
        <item x="663"/>
        <item x="413"/>
        <item x="79"/>
        <item x="584"/>
        <item x="907"/>
        <item x="747"/>
        <item x="96"/>
        <item x="242"/>
        <item x="1068"/>
        <item x="252"/>
        <item x="1094"/>
        <item x="701"/>
        <item x="895"/>
        <item x="165"/>
        <item x="216"/>
        <item x="613"/>
        <item x="880"/>
        <item x="287"/>
        <item x="714"/>
        <item x="749"/>
        <item x="201"/>
        <item x="908"/>
        <item x="996"/>
        <item x="529"/>
        <item x="378"/>
        <item x="86"/>
        <item x="428"/>
        <item x="354"/>
        <item x="1001"/>
        <item x="430"/>
        <item x="980"/>
        <item x="1025"/>
        <item x="403"/>
        <item x="676"/>
        <item x="1075"/>
        <item x="284"/>
        <item x="1014"/>
        <item x="679"/>
        <item x="742"/>
        <item x="931"/>
        <item x="131"/>
        <item x="1033"/>
        <item x="1096"/>
        <item x="752"/>
        <item x="627"/>
        <item x="21"/>
        <item x="305"/>
        <item x="255"/>
        <item x="219"/>
        <item x="1037"/>
        <item x="204"/>
        <item x="55"/>
        <item x="377"/>
        <item x="153"/>
        <item x="637"/>
        <item x="1108"/>
        <item x="653"/>
        <item x="397"/>
        <item x="208"/>
        <item x="621"/>
        <item x="154"/>
        <item x="95"/>
        <item x="707"/>
        <item x="1006"/>
        <item x="224"/>
        <item x="649"/>
        <item x="661"/>
        <item x="1063"/>
        <item x="841"/>
        <item x="756"/>
        <item x="500"/>
        <item x="784"/>
        <item x="1060"/>
        <item x="37"/>
        <item x="282"/>
        <item x="748"/>
        <item x="322"/>
        <item x="677"/>
        <item x="1054"/>
        <item x="517"/>
        <item x="62"/>
        <item x="969"/>
        <item x="280"/>
        <item x="829"/>
        <item x="410"/>
        <item x="209"/>
        <item x="1031"/>
        <item x="920"/>
        <item x="260"/>
        <item x="371"/>
        <item x="924"/>
        <item x="1038"/>
        <item x="761"/>
        <item x="357"/>
        <item x="599"/>
        <item x="819"/>
        <item x="389"/>
        <item x="409"/>
        <item x="213"/>
        <item x="147"/>
        <item x="57"/>
        <item x="544"/>
        <item x="1086"/>
        <item x="958"/>
        <item x="685"/>
        <item x="686"/>
        <item x="813"/>
        <item x="87"/>
        <item x="645"/>
        <item x="603"/>
        <item x="778"/>
        <item x="882"/>
        <item x="811"/>
        <item x="990"/>
        <item x="117"/>
        <item x="145"/>
        <item x="571"/>
        <item x="606"/>
        <item x="1013"/>
        <item x="1085"/>
        <item x="942"/>
        <item x="972"/>
        <item x="614"/>
        <item x="864"/>
        <item x="238"/>
        <item x="888"/>
        <item x="734"/>
        <item x="273"/>
        <item x="19"/>
        <item x="181"/>
        <item x="1081"/>
        <item x="735"/>
        <item x="616"/>
        <item x="497"/>
        <item x="695"/>
        <item x="527"/>
        <item x="940"/>
        <item x="1053"/>
        <item x="143"/>
        <item x="32"/>
        <item x="401"/>
        <item x="825"/>
        <item x="816"/>
        <item x="542"/>
        <item x="857"/>
        <item x="353"/>
        <item x="1015"/>
        <item x="73"/>
        <item x="76"/>
        <item x="722"/>
        <item x="518"/>
        <item x="788"/>
        <item x="632"/>
        <item x="402"/>
        <item x="875"/>
        <item x="855"/>
        <item x="104"/>
        <item x="921"/>
        <item x="132"/>
        <item x="782"/>
        <item x="509"/>
        <item x="1028"/>
        <item x="773"/>
        <item x="918"/>
        <item x="1052"/>
        <item x="620"/>
        <item x="672"/>
        <item x="130"/>
        <item x="189"/>
        <item x="860"/>
        <item x="789"/>
        <item x="172"/>
        <item x="674"/>
        <item x="1021"/>
        <item x="315"/>
        <item x="494"/>
        <item x="290"/>
        <item x="696"/>
        <item x="445"/>
        <item x="11"/>
        <item x="837"/>
        <item x="369"/>
        <item x="727"/>
        <item x="820"/>
        <item x="531"/>
        <item x="108"/>
        <item x="33"/>
        <item x="1062"/>
        <item x="594"/>
        <item x="367"/>
        <item x="547"/>
        <item x="582"/>
        <item x="1020"/>
        <item x="595"/>
        <item x="961"/>
        <item x="807"/>
        <item x="256"/>
        <item x="126"/>
        <item x="670"/>
        <item x="795"/>
        <item x="292"/>
        <item x="116"/>
        <item x="435"/>
        <item x="850"/>
        <item x="376"/>
        <item x="472"/>
        <item x="1010"/>
        <item x="1067"/>
        <item x="461"/>
        <item x="1026"/>
        <item x="664"/>
        <item x="198"/>
        <item x="68"/>
        <item x="900"/>
        <item x="986"/>
        <item x="270"/>
        <item x="1011"/>
        <item x="792"/>
        <item x="1036"/>
        <item x="652"/>
        <item x="448"/>
        <item x="69"/>
        <item x="288"/>
        <item x="810"/>
        <item x="173"/>
        <item x="576"/>
        <item x="977"/>
        <item x="1049"/>
        <item x="718"/>
        <item x="926"/>
        <item x="1090"/>
        <item x="137"/>
        <item x="791"/>
        <item x="635"/>
        <item x="963"/>
        <item x="478"/>
        <item x="469"/>
        <item x="331"/>
        <item x="923"/>
        <item x="615"/>
        <item x="411"/>
        <item x="768"/>
        <item x="180"/>
        <item x="596"/>
        <item x="981"/>
        <item x="1100"/>
        <item x="91"/>
        <item x="1065"/>
        <item x="592"/>
        <item x="399"/>
        <item x="483"/>
        <item x="188"/>
        <item x="844"/>
        <item x="914"/>
        <item x="1072"/>
        <item x="667"/>
        <item x="666"/>
        <item x="6"/>
        <item x="83"/>
        <item x="319"/>
        <item x="831"/>
        <item x="119"/>
        <item x="27"/>
        <item x="754"/>
        <item x="406"/>
        <item x="516"/>
        <item x="830"/>
        <item x="440"/>
        <item x="183"/>
        <item x="47"/>
        <item x="709"/>
        <item x="1029"/>
        <item x="962"/>
        <item x="524"/>
        <item x="451"/>
        <item x="822"/>
        <item x="447"/>
        <item x="798"/>
        <item x="148"/>
        <item x="979"/>
        <item x="217"/>
        <item x="884"/>
        <item x="944"/>
        <item x="1078"/>
        <item x="647"/>
        <item x="133"/>
        <item x="903"/>
        <item x="912"/>
        <item x="746"/>
        <item x="150"/>
        <item x="602"/>
        <item x="618"/>
        <item x="22"/>
        <item x="628"/>
        <item x="601"/>
        <item x="34"/>
        <item x="604"/>
        <item x="77"/>
        <item x="488"/>
        <item x="703"/>
        <item x="176"/>
        <item x="523"/>
        <item x="770"/>
        <item x="1044"/>
        <item x="930"/>
        <item x="922"/>
        <item x="241"/>
        <item x="80"/>
        <item x="738"/>
        <item x="138"/>
        <item x="1023"/>
        <item x="873"/>
        <item x="999"/>
        <item x="609"/>
        <item x="1082"/>
        <item x="556"/>
        <item x="876"/>
        <item x="100"/>
        <item x="794"/>
        <item x="554"/>
        <item x="834"/>
        <item x="291"/>
        <item x="356"/>
        <item x="1059"/>
        <item x="534"/>
        <item x="1017"/>
        <item x="398"/>
        <item x="443"/>
        <item x="1070"/>
        <item x="793"/>
        <item x="704"/>
        <item x="92"/>
        <item x="688"/>
        <item x="1046"/>
        <item x="598"/>
        <item x="909"/>
        <item x="162"/>
        <item x="64"/>
        <item x="994"/>
        <item x="352"/>
        <item x="1035"/>
        <item x="684"/>
        <item x="1016"/>
        <item x="379"/>
        <item x="229"/>
        <item x="871"/>
        <item x="429"/>
        <item x="94"/>
        <item x="318"/>
        <item x="886"/>
        <item x="35"/>
        <item x="4"/>
        <item x="3"/>
        <item x="220"/>
        <item x="1005"/>
        <item x="28"/>
        <item x="321"/>
        <item x="492"/>
        <item x="842"/>
        <item x="775"/>
        <item x="1024"/>
        <item x="63"/>
        <item x="135"/>
        <item x="476"/>
        <item x="1034"/>
        <item x="455"/>
        <item x="1055"/>
        <item x="419"/>
        <item x="58"/>
        <item x="202"/>
        <item x="964"/>
        <item x="249"/>
        <item x="505"/>
        <item x="725"/>
        <item x="967"/>
        <item x="56"/>
        <item x="558"/>
        <item x="434"/>
        <item x="454"/>
        <item x="29"/>
        <item x="812"/>
        <item x="780"/>
        <item x="330"/>
        <item x="46"/>
        <item x="72"/>
        <item x="1107"/>
        <item x="561"/>
        <item x="182"/>
        <item x="421"/>
        <item x="708"/>
        <item x="24"/>
        <item x="569"/>
        <item x="169"/>
        <item x="762"/>
        <item x="723"/>
        <item x="166"/>
        <item x="693"/>
        <item x="759"/>
        <item x="845"/>
        <item x="170"/>
        <item x="573"/>
        <item x="345"/>
        <item x="736"/>
        <item x="261"/>
        <item x="41"/>
        <item x="745"/>
        <item x="192"/>
        <item x="458"/>
        <item x="327"/>
        <item x="317"/>
        <item x="250"/>
        <item x="833"/>
        <item x="127"/>
        <item x="247"/>
        <item x="416"/>
        <item x="1095"/>
        <item x="934"/>
        <item x="691"/>
        <item x="30"/>
        <item x="1027"/>
        <item x="1074"/>
        <item x="60"/>
        <item x="965"/>
        <item x="493"/>
        <item x="161"/>
        <item x="938"/>
        <item x="129"/>
        <item x="872"/>
        <item x="328"/>
        <item x="263"/>
        <item x="43"/>
        <item x="787"/>
        <item x="227"/>
        <item x="139"/>
        <item x="177"/>
        <item x="744"/>
        <item x="275"/>
        <item x="151"/>
        <item x="70"/>
        <item x="1047"/>
        <item x="97"/>
        <item x="191"/>
        <item x="577"/>
        <item x="858"/>
        <item x="668"/>
        <item x="644"/>
        <item x="484"/>
        <item x="343"/>
        <item x="466"/>
        <item x="112"/>
        <item x="265"/>
        <item x="513"/>
        <item x="342"/>
        <item x="721"/>
        <item x="78"/>
        <item x="1051"/>
        <item x="535"/>
        <item x="313"/>
        <item x="240"/>
        <item x="731"/>
        <item x="630"/>
        <item x="259"/>
        <item x="341"/>
        <item x="423"/>
        <item x="824"/>
        <item x="264"/>
        <item x="538"/>
        <item x="372"/>
        <item x="456"/>
        <item x="720"/>
        <item x="380"/>
        <item x="243"/>
        <item x="755"/>
        <item x="12"/>
        <item x="771"/>
        <item x="777"/>
        <item x="976"/>
        <item x="110"/>
        <item x="901"/>
        <item x="639"/>
        <item x="171"/>
        <item x="253"/>
        <item x="1050"/>
        <item x="142"/>
        <item x="633"/>
        <item x="553"/>
        <item x="710"/>
        <item x="562"/>
        <item x="843"/>
        <item x="185"/>
        <item x="671"/>
        <item x="101"/>
        <item x="915"/>
        <item x="853"/>
        <item x="959"/>
        <item x="861"/>
        <item x="610"/>
        <item x="293"/>
        <item x="732"/>
        <item x="128"/>
        <item x="634"/>
        <item x="337"/>
        <item x="121"/>
        <item x="868"/>
        <item x="437"/>
        <item x="1019"/>
        <item x="424"/>
        <item x="623"/>
        <item x="522"/>
        <item x="555"/>
        <item x="902"/>
        <item x="1098"/>
        <item x="23"/>
        <item x="106"/>
        <item x="65"/>
        <item x="475"/>
        <item x="349"/>
        <item x="631"/>
        <item x="874"/>
        <item x="568"/>
        <item x="757"/>
        <item x="1003"/>
        <item x="326"/>
        <item x="528"/>
        <item x="446"/>
        <item x="1018"/>
        <item x="1093"/>
        <item x="619"/>
        <item x="890"/>
        <item x="804"/>
        <item x="267"/>
        <item x="105"/>
        <item x="502"/>
        <item x="763"/>
        <item x="552"/>
        <item x="373"/>
        <item x="1009"/>
        <item x="66"/>
        <item x="640"/>
        <item x="400"/>
        <item x="420"/>
        <item x="418"/>
        <item x="348"/>
        <item x="45"/>
        <item x="309"/>
        <item x="563"/>
        <item x="374"/>
        <item x="802"/>
        <item x="432"/>
        <item x="82"/>
        <item x="724"/>
        <item x="989"/>
        <item x="889"/>
        <item x="626"/>
        <item x="141"/>
        <item x="916"/>
        <item x="533"/>
        <item x="304"/>
        <item x="1089"/>
        <item x="417"/>
        <item x="85"/>
        <item x="439"/>
        <item x="883"/>
        <item x="178"/>
        <item x="862"/>
        <item x="383"/>
        <item x="929"/>
        <item x="1008"/>
        <item x="939"/>
        <item x="705"/>
        <item x="927"/>
        <item x="933"/>
        <item x="799"/>
        <item x="470"/>
        <item x="310"/>
        <item x="462"/>
        <item x="111"/>
        <item x="847"/>
        <item x="336"/>
        <item x="296"/>
        <item x="236"/>
        <item x="144"/>
        <item x="257"/>
        <item x="758"/>
        <item x="297"/>
        <item x="384"/>
        <item x="490"/>
        <item x="364"/>
        <item x="550"/>
        <item x="566"/>
        <item x="750"/>
        <item x="612"/>
        <item x="982"/>
        <item x="221"/>
        <item x="737"/>
        <item x="390"/>
        <item x="985"/>
        <item x="408"/>
        <item x="946"/>
        <item x="1076"/>
        <item x="952"/>
        <item x="617"/>
        <item x="366"/>
        <item x="274"/>
        <item x="551"/>
        <item x="473"/>
        <item x="338"/>
        <item x="258"/>
        <item x="52"/>
        <item x="146"/>
        <item x="729"/>
        <item x="1002"/>
        <item x="415"/>
        <item x="307"/>
        <item x="347"/>
        <item x="690"/>
        <item x="394"/>
        <item x="881"/>
        <item x="776"/>
        <item x="629"/>
        <item x="662"/>
        <item x="1007"/>
        <item x="765"/>
        <item x="262"/>
        <item x="955"/>
        <item x="303"/>
        <item x="355"/>
        <item x="20"/>
        <item x="175"/>
        <item x="278"/>
        <item x="199"/>
        <item x="526"/>
        <item x="223"/>
        <item x="507"/>
        <item x="26"/>
        <item x="431"/>
        <item x="335"/>
        <item x="570"/>
        <item x="8"/>
        <item x="905"/>
        <item x="656"/>
        <item x="306"/>
        <item x="81"/>
        <item x="978"/>
        <item x="39"/>
        <item x="235"/>
        <item x="753"/>
        <item x="1080"/>
        <item x="370"/>
        <item x="1079"/>
        <item x="515"/>
        <item x="480"/>
        <item x="214"/>
        <item t="default"/>
      </items>
    </pivotField>
    <pivotField showAll="0">
      <items count="3">
        <item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Quantity" fld="5" baseField="0"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51E640-E330-46AF-83F3-CBF3E58830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9">
    <pivotField showAll="0"/>
    <pivotField showAll="0"/>
    <pivotField showAll="0"/>
    <pivotField showAll="0"/>
    <pivotField dataField="1" numFmtId="164" showAll="0"/>
    <pivotField axis="axisRow" numFmtId="1" showAll="0" measureFilter="1" sortType="ascending">
      <items count="11">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numFmtId="164" showAll="0"/>
    <pivotField showAll="0">
      <items count="5">
        <item m="1" x="3"/>
        <item x="1"/>
        <item x="2"/>
        <item x="0"/>
        <item t="default"/>
      </items>
    </pivotField>
    <pivotField showAll="0">
      <items count="3">
        <item x="1"/>
        <item x="0"/>
        <item t="default"/>
      </items>
    </pivotField>
    <pivotField numFmtId="14" showAll="0">
      <items count="1111">
        <item x="184"/>
        <item x="75"/>
        <item x="957"/>
        <item x="231"/>
        <item x="320"/>
        <item x="1091"/>
        <item x="892"/>
        <item x="193"/>
        <item x="641"/>
        <item x="588"/>
        <item x="438"/>
        <item x="489"/>
        <item x="464"/>
        <item x="89"/>
        <item x="350"/>
        <item x="234"/>
        <item x="50"/>
        <item x="386"/>
        <item x="5"/>
        <item x="910"/>
        <item x="457"/>
        <item x="548"/>
        <item x="669"/>
        <item x="797"/>
        <item x="936"/>
        <item x="164"/>
        <item x="906"/>
        <item x="477"/>
        <item x="200"/>
        <item x="624"/>
        <item x="248"/>
        <item x="414"/>
        <item x="495"/>
        <item x="298"/>
        <item x="665"/>
        <item x="1092"/>
        <item x="487"/>
        <item x="190"/>
        <item x="206"/>
        <item x="702"/>
        <item x="152"/>
        <item x="134"/>
        <item x="504"/>
        <item x="254"/>
        <item x="896"/>
        <item x="877"/>
        <item x="1064"/>
        <item x="325"/>
        <item x="38"/>
        <item x="155"/>
        <item x="427"/>
        <item x="683"/>
        <item x="463"/>
        <item x="7"/>
        <item x="17"/>
        <item x="589"/>
        <item x="966"/>
        <item x="228"/>
        <item x="232"/>
        <item x="567"/>
        <item x="329"/>
        <item x="1000"/>
        <item x="289"/>
        <item x="340"/>
        <item x="381"/>
        <item x="840"/>
        <item x="468"/>
        <item x="904"/>
        <item x="945"/>
        <item x="928"/>
        <item x="285"/>
        <item x="140"/>
        <item x="1102"/>
        <item x="545"/>
        <item x="583"/>
        <item x="479"/>
        <item x="125"/>
        <item x="365"/>
        <item x="835"/>
        <item x="1040"/>
        <item x="657"/>
        <item x="496"/>
        <item x="251"/>
        <item x="998"/>
        <item x="1088"/>
        <item x="449"/>
        <item x="851"/>
        <item x="334"/>
        <item x="785"/>
        <item x="295"/>
        <item x="344"/>
        <item x="954"/>
        <item x="887"/>
        <item x="711"/>
        <item x="587"/>
        <item x="988"/>
        <item x="891"/>
        <item x="272"/>
        <item x="122"/>
        <item x="970"/>
        <item x="919"/>
        <item x="499"/>
        <item x="114"/>
        <item x="300"/>
        <item x="301"/>
        <item x="167"/>
        <item x="774"/>
        <item x="1043"/>
        <item x="124"/>
        <item x="560"/>
        <item x="581"/>
        <item x="932"/>
        <item x="1083"/>
        <item x="803"/>
        <item x="660"/>
        <item x="84"/>
        <item x="118"/>
        <item x="433"/>
        <item x="268"/>
        <item x="712"/>
        <item x="651"/>
        <item x="536"/>
        <item x="764"/>
        <item x="314"/>
        <item x="532"/>
        <item x="800"/>
        <item x="1109"/>
        <item x="557"/>
        <item x="441"/>
        <item x="120"/>
        <item x="655"/>
        <item x="471"/>
        <item x="215"/>
        <item x="821"/>
        <item x="717"/>
        <item x="733"/>
        <item x="540"/>
        <item x="467"/>
        <item x="716"/>
        <item x="726"/>
        <item x="546"/>
        <item x="836"/>
        <item x="739"/>
        <item x="574"/>
        <item x="308"/>
        <item x="852"/>
        <item x="316"/>
        <item x="514"/>
        <item x="1084"/>
        <item x="103"/>
        <item x="975"/>
        <item x="508"/>
        <item x="885"/>
        <item x="973"/>
        <item x="805"/>
        <item x="109"/>
        <item x="346"/>
        <item x="14"/>
        <item x="157"/>
        <item x="71"/>
        <item x="654"/>
        <item x="205"/>
        <item x="368"/>
        <item x="149"/>
        <item x="728"/>
        <item x="941"/>
        <item x="995"/>
        <item x="1048"/>
        <item x="436"/>
        <item x="9"/>
        <item x="360"/>
        <item x="395"/>
        <item x="642"/>
        <item x="692"/>
        <item x="512"/>
        <item x="706"/>
        <item x="453"/>
        <item x="806"/>
        <item x="385"/>
        <item x="168"/>
        <item x="974"/>
        <item x="195"/>
        <item x="375"/>
        <item x="743"/>
        <item x="156"/>
        <item x="31"/>
        <item x="987"/>
        <item x="136"/>
        <item x="391"/>
        <item x="294"/>
        <item x="593"/>
        <item x="107"/>
        <item x="879"/>
        <item x="638"/>
        <item x="781"/>
        <item x="585"/>
        <item x="869"/>
        <item x="525"/>
        <item x="113"/>
        <item x="772"/>
        <item x="899"/>
        <item x="163"/>
        <item x="943"/>
        <item x="237"/>
        <item x="767"/>
        <item x="382"/>
        <item x="269"/>
        <item x="646"/>
        <item x="15"/>
        <item x="713"/>
        <item x="158"/>
        <item x="997"/>
        <item x="332"/>
        <item x="1073"/>
        <item x="826"/>
        <item x="971"/>
        <item x="1061"/>
        <item x="1058"/>
        <item x="786"/>
        <item x="520"/>
        <item x="359"/>
        <item x="659"/>
        <item x="730"/>
        <item x="425"/>
        <item x="246"/>
        <item x="697"/>
        <item x="210"/>
        <item x="503"/>
        <item x="968"/>
        <item x="67"/>
        <item x="498"/>
        <item x="993"/>
        <item x="115"/>
        <item x="465"/>
        <item x="0"/>
        <item x="40"/>
        <item x="607"/>
        <item x="579"/>
        <item x="832"/>
        <item x="1101"/>
        <item x="10"/>
        <item x="894"/>
        <item x="809"/>
        <item x="197"/>
        <item x="42"/>
        <item x="339"/>
        <item x="740"/>
        <item x="179"/>
        <item x="90"/>
        <item x="689"/>
        <item x="13"/>
        <item x="867"/>
        <item x="597"/>
        <item x="16"/>
        <item x="211"/>
        <item x="917"/>
        <item x="49"/>
        <item x="186"/>
        <item x="1104"/>
        <item x="823"/>
        <item x="870"/>
        <item x="230"/>
        <item x="950"/>
        <item x="636"/>
        <item x="1069"/>
        <item x="203"/>
        <item x="25"/>
        <item x="207"/>
        <item x="452"/>
        <item x="537"/>
        <item x="947"/>
        <item x="658"/>
        <item x="992"/>
        <item x="358"/>
        <item x="44"/>
        <item x="897"/>
        <item x="866"/>
        <item x="1042"/>
        <item x="218"/>
        <item x="984"/>
        <item x="687"/>
        <item x="506"/>
        <item x="407"/>
        <item x="299"/>
        <item x="396"/>
        <item x="878"/>
        <item x="559"/>
        <item x="1097"/>
        <item x="286"/>
        <item x="412"/>
        <item x="393"/>
        <item x="444"/>
        <item x="486"/>
        <item x="848"/>
        <item x="622"/>
        <item x="838"/>
        <item x="530"/>
        <item x="600"/>
        <item x="501"/>
        <item x="405"/>
        <item x="893"/>
        <item x="818"/>
        <item x="790"/>
        <item x="521"/>
        <item x="578"/>
        <item x="1004"/>
        <item x="2"/>
        <item x="302"/>
        <item x="1071"/>
        <item x="312"/>
        <item x="911"/>
        <item x="1066"/>
        <item x="580"/>
        <item x="591"/>
        <item x="951"/>
        <item x="625"/>
        <item x="323"/>
        <item x="1045"/>
        <item x="511"/>
        <item x="543"/>
        <item x="839"/>
        <item x="608"/>
        <item x="481"/>
        <item x="541"/>
        <item x="741"/>
        <item x="404"/>
        <item x="59"/>
        <item x="960"/>
        <item x="271"/>
        <item x="74"/>
        <item x="719"/>
        <item x="174"/>
        <item x="760"/>
        <item x="682"/>
        <item x="769"/>
        <item x="48"/>
        <item x="948"/>
        <item x="590"/>
        <item x="1103"/>
        <item x="159"/>
        <item x="93"/>
        <item x="766"/>
        <item x="212"/>
        <item x="196"/>
        <item x="715"/>
        <item x="222"/>
        <item x="681"/>
        <item x="925"/>
        <item x="333"/>
        <item x="361"/>
        <item x="611"/>
        <item x="1106"/>
        <item x="1030"/>
        <item x="1056"/>
        <item x="801"/>
        <item x="856"/>
        <item x="1099"/>
        <item x="194"/>
        <item x="863"/>
        <item x="605"/>
        <item x="956"/>
        <item x="426"/>
        <item x="387"/>
        <item x="88"/>
        <item x="491"/>
        <item x="675"/>
        <item x="650"/>
        <item x="751"/>
        <item x="485"/>
        <item x="279"/>
        <item x="1039"/>
        <item x="459"/>
        <item x="575"/>
        <item x="779"/>
        <item x="266"/>
        <item x="913"/>
        <item x="392"/>
        <item x="123"/>
        <item x="283"/>
        <item x="828"/>
        <item x="1012"/>
        <item x="61"/>
        <item x="36"/>
        <item x="226"/>
        <item x="859"/>
        <item x="983"/>
        <item x="388"/>
        <item x="351"/>
        <item x="953"/>
        <item x="643"/>
        <item x="814"/>
        <item x="694"/>
        <item x="1087"/>
        <item x="698"/>
        <item x="564"/>
        <item x="849"/>
        <item x="277"/>
        <item x="245"/>
        <item x="783"/>
        <item x="422"/>
        <item x="281"/>
        <item x="817"/>
        <item x="991"/>
        <item x="935"/>
        <item x="898"/>
        <item x="949"/>
        <item x="673"/>
        <item x="539"/>
        <item x="510"/>
        <item x="565"/>
        <item x="18"/>
        <item x="572"/>
        <item x="187"/>
        <item x="854"/>
        <item x="160"/>
        <item x="239"/>
        <item x="244"/>
        <item x="54"/>
        <item x="474"/>
        <item x="937"/>
        <item x="586"/>
        <item x="276"/>
        <item x="815"/>
        <item x="700"/>
        <item x="680"/>
        <item x="482"/>
        <item x="99"/>
        <item x="827"/>
        <item x="1041"/>
        <item x="808"/>
        <item x="519"/>
        <item x="678"/>
        <item x="362"/>
        <item x="460"/>
        <item x="51"/>
        <item x="1077"/>
        <item x="796"/>
        <item x="1022"/>
        <item x="1105"/>
        <item x="549"/>
        <item x="1057"/>
        <item x="363"/>
        <item x="450"/>
        <item x="648"/>
        <item x="442"/>
        <item x="699"/>
        <item x="324"/>
        <item x="225"/>
        <item x="311"/>
        <item x="53"/>
        <item x="846"/>
        <item x="1032"/>
        <item x="102"/>
        <item x="1"/>
        <item x="233"/>
        <item x="865"/>
        <item x="98"/>
        <item x="663"/>
        <item x="413"/>
        <item x="79"/>
        <item x="584"/>
        <item x="907"/>
        <item x="747"/>
        <item x="96"/>
        <item x="242"/>
        <item x="1068"/>
        <item x="252"/>
        <item x="1094"/>
        <item x="701"/>
        <item x="895"/>
        <item x="165"/>
        <item x="216"/>
        <item x="613"/>
        <item x="880"/>
        <item x="287"/>
        <item x="714"/>
        <item x="749"/>
        <item x="201"/>
        <item x="908"/>
        <item x="996"/>
        <item x="529"/>
        <item x="378"/>
        <item x="86"/>
        <item x="428"/>
        <item x="354"/>
        <item x="1001"/>
        <item x="430"/>
        <item x="980"/>
        <item x="1025"/>
        <item x="403"/>
        <item x="676"/>
        <item x="1075"/>
        <item x="284"/>
        <item x="1014"/>
        <item x="679"/>
        <item x="742"/>
        <item x="931"/>
        <item x="131"/>
        <item x="1033"/>
        <item x="1096"/>
        <item x="752"/>
        <item x="627"/>
        <item x="21"/>
        <item x="305"/>
        <item x="255"/>
        <item x="219"/>
        <item x="1037"/>
        <item x="204"/>
        <item x="55"/>
        <item x="377"/>
        <item x="153"/>
        <item x="637"/>
        <item x="1108"/>
        <item x="653"/>
        <item x="397"/>
        <item x="208"/>
        <item x="621"/>
        <item x="154"/>
        <item x="95"/>
        <item x="707"/>
        <item x="1006"/>
        <item x="224"/>
        <item x="649"/>
        <item x="661"/>
        <item x="1063"/>
        <item x="841"/>
        <item x="756"/>
        <item x="500"/>
        <item x="784"/>
        <item x="1060"/>
        <item x="37"/>
        <item x="282"/>
        <item x="748"/>
        <item x="322"/>
        <item x="677"/>
        <item x="1054"/>
        <item x="517"/>
        <item x="62"/>
        <item x="969"/>
        <item x="280"/>
        <item x="829"/>
        <item x="410"/>
        <item x="209"/>
        <item x="1031"/>
        <item x="920"/>
        <item x="260"/>
        <item x="371"/>
        <item x="924"/>
        <item x="1038"/>
        <item x="761"/>
        <item x="357"/>
        <item x="599"/>
        <item x="819"/>
        <item x="389"/>
        <item x="409"/>
        <item x="213"/>
        <item x="147"/>
        <item x="57"/>
        <item x="544"/>
        <item x="1086"/>
        <item x="958"/>
        <item x="685"/>
        <item x="686"/>
        <item x="813"/>
        <item x="87"/>
        <item x="645"/>
        <item x="603"/>
        <item x="778"/>
        <item x="882"/>
        <item x="811"/>
        <item x="990"/>
        <item x="117"/>
        <item x="145"/>
        <item x="571"/>
        <item x="606"/>
        <item x="1013"/>
        <item x="1085"/>
        <item x="942"/>
        <item x="972"/>
        <item x="614"/>
        <item x="864"/>
        <item x="238"/>
        <item x="888"/>
        <item x="734"/>
        <item x="273"/>
        <item x="19"/>
        <item x="181"/>
        <item x="1081"/>
        <item x="735"/>
        <item x="616"/>
        <item x="497"/>
        <item x="695"/>
        <item x="527"/>
        <item x="940"/>
        <item x="1053"/>
        <item x="143"/>
        <item x="32"/>
        <item x="401"/>
        <item x="825"/>
        <item x="816"/>
        <item x="542"/>
        <item x="857"/>
        <item x="353"/>
        <item x="1015"/>
        <item x="73"/>
        <item x="76"/>
        <item x="722"/>
        <item x="518"/>
        <item x="788"/>
        <item x="632"/>
        <item x="402"/>
        <item x="875"/>
        <item x="855"/>
        <item x="104"/>
        <item x="921"/>
        <item x="132"/>
        <item x="782"/>
        <item x="509"/>
        <item x="1028"/>
        <item x="773"/>
        <item x="918"/>
        <item x="1052"/>
        <item x="620"/>
        <item x="672"/>
        <item x="130"/>
        <item x="189"/>
        <item x="860"/>
        <item x="789"/>
        <item x="172"/>
        <item x="674"/>
        <item x="1021"/>
        <item x="315"/>
        <item x="494"/>
        <item x="290"/>
        <item x="696"/>
        <item x="445"/>
        <item x="11"/>
        <item x="837"/>
        <item x="369"/>
        <item x="727"/>
        <item x="820"/>
        <item x="531"/>
        <item x="108"/>
        <item x="33"/>
        <item x="1062"/>
        <item x="594"/>
        <item x="367"/>
        <item x="547"/>
        <item x="582"/>
        <item x="1020"/>
        <item x="595"/>
        <item x="961"/>
        <item x="807"/>
        <item x="256"/>
        <item x="126"/>
        <item x="670"/>
        <item x="795"/>
        <item x="292"/>
        <item x="116"/>
        <item x="435"/>
        <item x="850"/>
        <item x="376"/>
        <item x="472"/>
        <item x="1010"/>
        <item x="1067"/>
        <item x="461"/>
        <item x="1026"/>
        <item x="664"/>
        <item x="198"/>
        <item x="68"/>
        <item x="900"/>
        <item x="986"/>
        <item x="270"/>
        <item x="1011"/>
        <item x="792"/>
        <item x="1036"/>
        <item x="652"/>
        <item x="448"/>
        <item x="69"/>
        <item x="288"/>
        <item x="810"/>
        <item x="173"/>
        <item x="576"/>
        <item x="977"/>
        <item x="1049"/>
        <item x="718"/>
        <item x="926"/>
        <item x="1090"/>
        <item x="137"/>
        <item x="791"/>
        <item x="635"/>
        <item x="963"/>
        <item x="478"/>
        <item x="469"/>
        <item x="331"/>
        <item x="923"/>
        <item x="615"/>
        <item x="411"/>
        <item x="768"/>
        <item x="180"/>
        <item x="596"/>
        <item x="981"/>
        <item x="1100"/>
        <item x="91"/>
        <item x="1065"/>
        <item x="592"/>
        <item x="399"/>
        <item x="483"/>
        <item x="188"/>
        <item x="844"/>
        <item x="914"/>
        <item x="1072"/>
        <item x="667"/>
        <item x="666"/>
        <item x="6"/>
        <item x="83"/>
        <item x="319"/>
        <item x="831"/>
        <item x="119"/>
        <item x="27"/>
        <item x="754"/>
        <item x="406"/>
        <item x="516"/>
        <item x="830"/>
        <item x="440"/>
        <item x="183"/>
        <item x="47"/>
        <item x="709"/>
        <item x="1029"/>
        <item x="962"/>
        <item x="524"/>
        <item x="451"/>
        <item x="822"/>
        <item x="447"/>
        <item x="798"/>
        <item x="148"/>
        <item x="979"/>
        <item x="217"/>
        <item x="884"/>
        <item x="944"/>
        <item x="1078"/>
        <item x="647"/>
        <item x="133"/>
        <item x="903"/>
        <item x="912"/>
        <item x="746"/>
        <item x="150"/>
        <item x="602"/>
        <item x="618"/>
        <item x="22"/>
        <item x="628"/>
        <item x="601"/>
        <item x="34"/>
        <item x="604"/>
        <item x="77"/>
        <item x="488"/>
        <item x="703"/>
        <item x="176"/>
        <item x="523"/>
        <item x="770"/>
        <item x="1044"/>
        <item x="930"/>
        <item x="922"/>
        <item x="241"/>
        <item x="80"/>
        <item x="738"/>
        <item x="138"/>
        <item x="1023"/>
        <item x="873"/>
        <item x="999"/>
        <item x="609"/>
        <item x="1082"/>
        <item x="556"/>
        <item x="876"/>
        <item x="100"/>
        <item x="794"/>
        <item x="554"/>
        <item x="834"/>
        <item x="291"/>
        <item x="356"/>
        <item x="1059"/>
        <item x="534"/>
        <item x="1017"/>
        <item x="398"/>
        <item x="443"/>
        <item x="1070"/>
        <item x="793"/>
        <item x="704"/>
        <item x="92"/>
        <item x="688"/>
        <item x="1046"/>
        <item x="598"/>
        <item x="909"/>
        <item x="162"/>
        <item x="64"/>
        <item x="994"/>
        <item x="352"/>
        <item x="1035"/>
        <item x="684"/>
        <item x="1016"/>
        <item x="379"/>
        <item x="229"/>
        <item x="871"/>
        <item x="429"/>
        <item x="94"/>
        <item x="318"/>
        <item x="886"/>
        <item x="35"/>
        <item x="4"/>
        <item x="3"/>
        <item x="220"/>
        <item x="1005"/>
        <item x="28"/>
        <item x="321"/>
        <item x="492"/>
        <item x="842"/>
        <item x="775"/>
        <item x="1024"/>
        <item x="63"/>
        <item x="135"/>
        <item x="476"/>
        <item x="1034"/>
        <item x="455"/>
        <item x="1055"/>
        <item x="419"/>
        <item x="58"/>
        <item x="202"/>
        <item x="964"/>
        <item x="249"/>
        <item x="505"/>
        <item x="725"/>
        <item x="967"/>
        <item x="56"/>
        <item x="558"/>
        <item x="434"/>
        <item x="454"/>
        <item x="29"/>
        <item x="812"/>
        <item x="780"/>
        <item x="330"/>
        <item x="46"/>
        <item x="72"/>
        <item x="1107"/>
        <item x="561"/>
        <item x="182"/>
        <item x="421"/>
        <item x="708"/>
        <item x="24"/>
        <item x="569"/>
        <item x="169"/>
        <item x="762"/>
        <item x="723"/>
        <item x="166"/>
        <item x="693"/>
        <item x="759"/>
        <item x="845"/>
        <item x="170"/>
        <item x="573"/>
        <item x="345"/>
        <item x="736"/>
        <item x="261"/>
        <item x="41"/>
        <item x="745"/>
        <item x="192"/>
        <item x="458"/>
        <item x="327"/>
        <item x="317"/>
        <item x="250"/>
        <item x="833"/>
        <item x="127"/>
        <item x="247"/>
        <item x="416"/>
        <item x="1095"/>
        <item x="934"/>
        <item x="691"/>
        <item x="30"/>
        <item x="1027"/>
        <item x="1074"/>
        <item x="60"/>
        <item x="965"/>
        <item x="493"/>
        <item x="161"/>
        <item x="938"/>
        <item x="129"/>
        <item x="872"/>
        <item x="328"/>
        <item x="263"/>
        <item x="43"/>
        <item x="787"/>
        <item x="227"/>
        <item x="139"/>
        <item x="177"/>
        <item x="744"/>
        <item x="275"/>
        <item x="151"/>
        <item x="70"/>
        <item x="1047"/>
        <item x="97"/>
        <item x="191"/>
        <item x="577"/>
        <item x="858"/>
        <item x="668"/>
        <item x="644"/>
        <item x="484"/>
        <item x="343"/>
        <item x="466"/>
        <item x="112"/>
        <item x="265"/>
        <item x="513"/>
        <item x="342"/>
        <item x="721"/>
        <item x="78"/>
        <item x="1051"/>
        <item x="535"/>
        <item x="313"/>
        <item x="240"/>
        <item x="731"/>
        <item x="630"/>
        <item x="259"/>
        <item x="341"/>
        <item x="423"/>
        <item x="824"/>
        <item x="264"/>
        <item x="538"/>
        <item x="372"/>
        <item x="456"/>
        <item x="720"/>
        <item x="380"/>
        <item x="243"/>
        <item x="755"/>
        <item x="12"/>
        <item x="771"/>
        <item x="777"/>
        <item x="976"/>
        <item x="110"/>
        <item x="901"/>
        <item x="639"/>
        <item x="171"/>
        <item x="253"/>
        <item x="1050"/>
        <item x="142"/>
        <item x="633"/>
        <item x="553"/>
        <item x="710"/>
        <item x="562"/>
        <item x="843"/>
        <item x="185"/>
        <item x="671"/>
        <item x="101"/>
        <item x="915"/>
        <item x="853"/>
        <item x="959"/>
        <item x="861"/>
        <item x="610"/>
        <item x="293"/>
        <item x="732"/>
        <item x="128"/>
        <item x="634"/>
        <item x="337"/>
        <item x="121"/>
        <item x="868"/>
        <item x="437"/>
        <item x="1019"/>
        <item x="424"/>
        <item x="623"/>
        <item x="522"/>
        <item x="555"/>
        <item x="902"/>
        <item x="1098"/>
        <item x="23"/>
        <item x="106"/>
        <item x="65"/>
        <item x="475"/>
        <item x="349"/>
        <item x="631"/>
        <item x="874"/>
        <item x="568"/>
        <item x="757"/>
        <item x="1003"/>
        <item x="326"/>
        <item x="528"/>
        <item x="446"/>
        <item x="1018"/>
        <item x="1093"/>
        <item x="619"/>
        <item x="890"/>
        <item x="804"/>
        <item x="267"/>
        <item x="105"/>
        <item x="502"/>
        <item x="763"/>
        <item x="552"/>
        <item x="373"/>
        <item x="1009"/>
        <item x="66"/>
        <item x="640"/>
        <item x="400"/>
        <item x="420"/>
        <item x="418"/>
        <item x="348"/>
        <item x="45"/>
        <item x="309"/>
        <item x="563"/>
        <item x="374"/>
        <item x="802"/>
        <item x="432"/>
        <item x="82"/>
        <item x="724"/>
        <item x="989"/>
        <item x="889"/>
        <item x="626"/>
        <item x="141"/>
        <item x="916"/>
        <item x="533"/>
        <item x="304"/>
        <item x="1089"/>
        <item x="417"/>
        <item x="85"/>
        <item x="439"/>
        <item x="883"/>
        <item x="178"/>
        <item x="862"/>
        <item x="383"/>
        <item x="929"/>
        <item x="1008"/>
        <item x="939"/>
        <item x="705"/>
        <item x="927"/>
        <item x="933"/>
        <item x="799"/>
        <item x="470"/>
        <item x="310"/>
        <item x="462"/>
        <item x="111"/>
        <item x="847"/>
        <item x="336"/>
        <item x="296"/>
        <item x="236"/>
        <item x="144"/>
        <item x="257"/>
        <item x="758"/>
        <item x="297"/>
        <item x="384"/>
        <item x="490"/>
        <item x="364"/>
        <item x="550"/>
        <item x="566"/>
        <item x="750"/>
        <item x="612"/>
        <item x="982"/>
        <item x="221"/>
        <item x="737"/>
        <item x="390"/>
        <item x="985"/>
        <item x="408"/>
        <item x="946"/>
        <item x="1076"/>
        <item x="952"/>
        <item x="617"/>
        <item x="366"/>
        <item x="274"/>
        <item x="551"/>
        <item x="473"/>
        <item x="338"/>
        <item x="258"/>
        <item x="52"/>
        <item x="146"/>
        <item x="729"/>
        <item x="1002"/>
        <item x="415"/>
        <item x="307"/>
        <item x="347"/>
        <item x="690"/>
        <item x="394"/>
        <item x="881"/>
        <item x="776"/>
        <item x="629"/>
        <item x="662"/>
        <item x="1007"/>
        <item x="765"/>
        <item x="262"/>
        <item x="955"/>
        <item x="303"/>
        <item x="355"/>
        <item x="20"/>
        <item x="175"/>
        <item x="278"/>
        <item x="199"/>
        <item x="526"/>
        <item x="223"/>
        <item x="507"/>
        <item x="26"/>
        <item x="431"/>
        <item x="335"/>
        <item x="570"/>
        <item x="8"/>
        <item x="905"/>
        <item x="656"/>
        <item x="306"/>
        <item x="81"/>
        <item x="978"/>
        <item x="39"/>
        <item x="235"/>
        <item x="753"/>
        <item x="1080"/>
        <item x="370"/>
        <item x="1079"/>
        <item x="515"/>
        <item x="480"/>
        <item x="214"/>
        <item t="default"/>
      </items>
    </pivotField>
    <pivotField showAll="0">
      <items count="3">
        <item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6">
    <i>
      <x v="2"/>
    </i>
    <i>
      <x v="4"/>
    </i>
    <i>
      <x v="7"/>
    </i>
    <i>
      <x v="5"/>
    </i>
    <i>
      <x v="9"/>
    </i>
    <i t="grand">
      <x/>
    </i>
  </rowItems>
  <colItems count="1">
    <i/>
  </colItems>
  <dataFields count="1">
    <dataField name="Sum of Price Per Unit" fld="4"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BBA972-AB9E-4048-9D14-B23E8710C3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11" firstHeaderRow="1" firstDataRow="1" firstDataCol="1"/>
  <pivotFields count="19">
    <pivotField showAll="0"/>
    <pivotField showAll="0"/>
    <pivotField axis="axisRow" showAll="0">
      <items count="9">
        <item x="1"/>
        <item x="3"/>
        <item x="6"/>
        <item x="5"/>
        <item x="4"/>
        <item x="2"/>
        <item x="0"/>
        <item x="7"/>
        <item t="default"/>
      </items>
    </pivotField>
    <pivotField showAll="0"/>
    <pivotField numFmtId="164" showAll="0"/>
    <pivotField numFmtId="1" showAll="0"/>
    <pivotField dataField="1" numFmtId="164" showAll="0"/>
    <pivotField showAll="0">
      <items count="5">
        <item m="1" x="3"/>
        <item x="1"/>
        <item x="2"/>
        <item x="0"/>
        <item t="default"/>
      </items>
    </pivotField>
    <pivotField showAll="0">
      <items count="3">
        <item x="1"/>
        <item x="0"/>
        <item t="default"/>
      </items>
    </pivotField>
    <pivotField numFmtId="14" showAll="0">
      <items count="1111">
        <item x="184"/>
        <item x="75"/>
        <item x="957"/>
        <item x="231"/>
        <item x="320"/>
        <item x="1091"/>
        <item x="892"/>
        <item x="193"/>
        <item x="641"/>
        <item x="588"/>
        <item x="438"/>
        <item x="489"/>
        <item x="464"/>
        <item x="89"/>
        <item x="350"/>
        <item x="234"/>
        <item x="50"/>
        <item x="386"/>
        <item x="5"/>
        <item x="910"/>
        <item x="457"/>
        <item x="548"/>
        <item x="669"/>
        <item x="797"/>
        <item x="936"/>
        <item x="164"/>
        <item x="906"/>
        <item x="477"/>
        <item x="200"/>
        <item x="624"/>
        <item x="248"/>
        <item x="414"/>
        <item x="495"/>
        <item x="298"/>
        <item x="665"/>
        <item x="1092"/>
        <item x="487"/>
        <item x="190"/>
        <item x="206"/>
        <item x="702"/>
        <item x="152"/>
        <item x="134"/>
        <item x="504"/>
        <item x="254"/>
        <item x="896"/>
        <item x="877"/>
        <item x="1064"/>
        <item x="325"/>
        <item x="38"/>
        <item x="155"/>
        <item x="427"/>
        <item x="683"/>
        <item x="463"/>
        <item x="7"/>
        <item x="17"/>
        <item x="589"/>
        <item x="966"/>
        <item x="228"/>
        <item x="232"/>
        <item x="567"/>
        <item x="329"/>
        <item x="1000"/>
        <item x="289"/>
        <item x="340"/>
        <item x="381"/>
        <item x="840"/>
        <item x="468"/>
        <item x="904"/>
        <item x="945"/>
        <item x="928"/>
        <item x="285"/>
        <item x="140"/>
        <item x="1102"/>
        <item x="545"/>
        <item x="583"/>
        <item x="479"/>
        <item x="125"/>
        <item x="365"/>
        <item x="835"/>
        <item x="1040"/>
        <item x="657"/>
        <item x="496"/>
        <item x="251"/>
        <item x="998"/>
        <item x="1088"/>
        <item x="449"/>
        <item x="851"/>
        <item x="334"/>
        <item x="785"/>
        <item x="295"/>
        <item x="344"/>
        <item x="954"/>
        <item x="887"/>
        <item x="711"/>
        <item x="587"/>
        <item x="988"/>
        <item x="891"/>
        <item x="272"/>
        <item x="122"/>
        <item x="970"/>
        <item x="919"/>
        <item x="499"/>
        <item x="114"/>
        <item x="300"/>
        <item x="301"/>
        <item x="167"/>
        <item x="774"/>
        <item x="1043"/>
        <item x="124"/>
        <item x="560"/>
        <item x="581"/>
        <item x="932"/>
        <item x="1083"/>
        <item x="803"/>
        <item x="660"/>
        <item x="84"/>
        <item x="118"/>
        <item x="433"/>
        <item x="268"/>
        <item x="712"/>
        <item x="651"/>
        <item x="536"/>
        <item x="764"/>
        <item x="314"/>
        <item x="532"/>
        <item x="800"/>
        <item x="1109"/>
        <item x="557"/>
        <item x="441"/>
        <item x="120"/>
        <item x="655"/>
        <item x="471"/>
        <item x="215"/>
        <item x="821"/>
        <item x="717"/>
        <item x="733"/>
        <item x="540"/>
        <item x="467"/>
        <item x="716"/>
        <item x="726"/>
        <item x="546"/>
        <item x="836"/>
        <item x="739"/>
        <item x="574"/>
        <item x="308"/>
        <item x="852"/>
        <item x="316"/>
        <item x="514"/>
        <item x="1084"/>
        <item x="103"/>
        <item x="975"/>
        <item x="508"/>
        <item x="885"/>
        <item x="973"/>
        <item x="805"/>
        <item x="109"/>
        <item x="346"/>
        <item x="14"/>
        <item x="157"/>
        <item x="71"/>
        <item x="654"/>
        <item x="205"/>
        <item x="368"/>
        <item x="149"/>
        <item x="728"/>
        <item x="941"/>
        <item x="995"/>
        <item x="1048"/>
        <item x="436"/>
        <item x="9"/>
        <item x="360"/>
        <item x="395"/>
        <item x="642"/>
        <item x="692"/>
        <item x="512"/>
        <item x="706"/>
        <item x="453"/>
        <item x="806"/>
        <item x="385"/>
        <item x="168"/>
        <item x="974"/>
        <item x="195"/>
        <item x="375"/>
        <item x="743"/>
        <item x="156"/>
        <item x="31"/>
        <item x="987"/>
        <item x="136"/>
        <item x="391"/>
        <item x="294"/>
        <item x="593"/>
        <item x="107"/>
        <item x="879"/>
        <item x="638"/>
        <item x="781"/>
        <item x="585"/>
        <item x="869"/>
        <item x="525"/>
        <item x="113"/>
        <item x="772"/>
        <item x="899"/>
        <item x="163"/>
        <item x="943"/>
        <item x="237"/>
        <item x="767"/>
        <item x="382"/>
        <item x="269"/>
        <item x="646"/>
        <item x="15"/>
        <item x="713"/>
        <item x="158"/>
        <item x="997"/>
        <item x="332"/>
        <item x="1073"/>
        <item x="826"/>
        <item x="971"/>
        <item x="1061"/>
        <item x="1058"/>
        <item x="786"/>
        <item x="520"/>
        <item x="359"/>
        <item x="659"/>
        <item x="730"/>
        <item x="425"/>
        <item x="246"/>
        <item x="697"/>
        <item x="210"/>
        <item x="503"/>
        <item x="968"/>
        <item x="67"/>
        <item x="498"/>
        <item x="993"/>
        <item x="115"/>
        <item x="465"/>
        <item x="0"/>
        <item x="40"/>
        <item x="607"/>
        <item x="579"/>
        <item x="832"/>
        <item x="1101"/>
        <item x="10"/>
        <item x="894"/>
        <item x="809"/>
        <item x="197"/>
        <item x="42"/>
        <item x="339"/>
        <item x="740"/>
        <item x="179"/>
        <item x="90"/>
        <item x="689"/>
        <item x="13"/>
        <item x="867"/>
        <item x="597"/>
        <item x="16"/>
        <item x="211"/>
        <item x="917"/>
        <item x="49"/>
        <item x="186"/>
        <item x="1104"/>
        <item x="823"/>
        <item x="870"/>
        <item x="230"/>
        <item x="950"/>
        <item x="636"/>
        <item x="1069"/>
        <item x="203"/>
        <item x="25"/>
        <item x="207"/>
        <item x="452"/>
        <item x="537"/>
        <item x="947"/>
        <item x="658"/>
        <item x="992"/>
        <item x="358"/>
        <item x="44"/>
        <item x="897"/>
        <item x="866"/>
        <item x="1042"/>
        <item x="218"/>
        <item x="984"/>
        <item x="687"/>
        <item x="506"/>
        <item x="407"/>
        <item x="299"/>
        <item x="396"/>
        <item x="878"/>
        <item x="559"/>
        <item x="1097"/>
        <item x="286"/>
        <item x="412"/>
        <item x="393"/>
        <item x="444"/>
        <item x="486"/>
        <item x="848"/>
        <item x="622"/>
        <item x="838"/>
        <item x="530"/>
        <item x="600"/>
        <item x="501"/>
        <item x="405"/>
        <item x="893"/>
        <item x="818"/>
        <item x="790"/>
        <item x="521"/>
        <item x="578"/>
        <item x="1004"/>
        <item x="2"/>
        <item x="302"/>
        <item x="1071"/>
        <item x="312"/>
        <item x="911"/>
        <item x="1066"/>
        <item x="580"/>
        <item x="591"/>
        <item x="951"/>
        <item x="625"/>
        <item x="323"/>
        <item x="1045"/>
        <item x="511"/>
        <item x="543"/>
        <item x="839"/>
        <item x="608"/>
        <item x="481"/>
        <item x="541"/>
        <item x="741"/>
        <item x="404"/>
        <item x="59"/>
        <item x="960"/>
        <item x="271"/>
        <item x="74"/>
        <item x="719"/>
        <item x="174"/>
        <item x="760"/>
        <item x="682"/>
        <item x="769"/>
        <item x="48"/>
        <item x="948"/>
        <item x="590"/>
        <item x="1103"/>
        <item x="159"/>
        <item x="93"/>
        <item x="766"/>
        <item x="212"/>
        <item x="196"/>
        <item x="715"/>
        <item x="222"/>
        <item x="681"/>
        <item x="925"/>
        <item x="333"/>
        <item x="361"/>
        <item x="611"/>
        <item x="1106"/>
        <item x="1030"/>
        <item x="1056"/>
        <item x="801"/>
        <item x="856"/>
        <item x="1099"/>
        <item x="194"/>
        <item x="863"/>
        <item x="605"/>
        <item x="956"/>
        <item x="426"/>
        <item x="387"/>
        <item x="88"/>
        <item x="491"/>
        <item x="675"/>
        <item x="650"/>
        <item x="751"/>
        <item x="485"/>
        <item x="279"/>
        <item x="1039"/>
        <item x="459"/>
        <item x="575"/>
        <item x="779"/>
        <item x="266"/>
        <item x="913"/>
        <item x="392"/>
        <item x="123"/>
        <item x="283"/>
        <item x="828"/>
        <item x="1012"/>
        <item x="61"/>
        <item x="36"/>
        <item x="226"/>
        <item x="859"/>
        <item x="983"/>
        <item x="388"/>
        <item x="351"/>
        <item x="953"/>
        <item x="643"/>
        <item x="814"/>
        <item x="694"/>
        <item x="1087"/>
        <item x="698"/>
        <item x="564"/>
        <item x="849"/>
        <item x="277"/>
        <item x="245"/>
        <item x="783"/>
        <item x="422"/>
        <item x="281"/>
        <item x="817"/>
        <item x="991"/>
        <item x="935"/>
        <item x="898"/>
        <item x="949"/>
        <item x="673"/>
        <item x="539"/>
        <item x="510"/>
        <item x="565"/>
        <item x="18"/>
        <item x="572"/>
        <item x="187"/>
        <item x="854"/>
        <item x="160"/>
        <item x="239"/>
        <item x="244"/>
        <item x="54"/>
        <item x="474"/>
        <item x="937"/>
        <item x="586"/>
        <item x="276"/>
        <item x="815"/>
        <item x="700"/>
        <item x="680"/>
        <item x="482"/>
        <item x="99"/>
        <item x="827"/>
        <item x="1041"/>
        <item x="808"/>
        <item x="519"/>
        <item x="678"/>
        <item x="362"/>
        <item x="460"/>
        <item x="51"/>
        <item x="1077"/>
        <item x="796"/>
        <item x="1022"/>
        <item x="1105"/>
        <item x="549"/>
        <item x="1057"/>
        <item x="363"/>
        <item x="450"/>
        <item x="648"/>
        <item x="442"/>
        <item x="699"/>
        <item x="324"/>
        <item x="225"/>
        <item x="311"/>
        <item x="53"/>
        <item x="846"/>
        <item x="1032"/>
        <item x="102"/>
        <item x="1"/>
        <item x="233"/>
        <item x="865"/>
        <item x="98"/>
        <item x="663"/>
        <item x="413"/>
        <item x="79"/>
        <item x="584"/>
        <item x="907"/>
        <item x="747"/>
        <item x="96"/>
        <item x="242"/>
        <item x="1068"/>
        <item x="252"/>
        <item x="1094"/>
        <item x="701"/>
        <item x="895"/>
        <item x="165"/>
        <item x="216"/>
        <item x="613"/>
        <item x="880"/>
        <item x="287"/>
        <item x="714"/>
        <item x="749"/>
        <item x="201"/>
        <item x="908"/>
        <item x="996"/>
        <item x="529"/>
        <item x="378"/>
        <item x="86"/>
        <item x="428"/>
        <item x="354"/>
        <item x="1001"/>
        <item x="430"/>
        <item x="980"/>
        <item x="1025"/>
        <item x="403"/>
        <item x="676"/>
        <item x="1075"/>
        <item x="284"/>
        <item x="1014"/>
        <item x="679"/>
        <item x="742"/>
        <item x="931"/>
        <item x="131"/>
        <item x="1033"/>
        <item x="1096"/>
        <item x="752"/>
        <item x="627"/>
        <item x="21"/>
        <item x="305"/>
        <item x="255"/>
        <item x="219"/>
        <item x="1037"/>
        <item x="204"/>
        <item x="55"/>
        <item x="377"/>
        <item x="153"/>
        <item x="637"/>
        <item x="1108"/>
        <item x="653"/>
        <item x="397"/>
        <item x="208"/>
        <item x="621"/>
        <item x="154"/>
        <item x="95"/>
        <item x="707"/>
        <item x="1006"/>
        <item x="224"/>
        <item x="649"/>
        <item x="661"/>
        <item x="1063"/>
        <item x="841"/>
        <item x="756"/>
        <item x="500"/>
        <item x="784"/>
        <item x="1060"/>
        <item x="37"/>
        <item x="282"/>
        <item x="748"/>
        <item x="322"/>
        <item x="677"/>
        <item x="1054"/>
        <item x="517"/>
        <item x="62"/>
        <item x="969"/>
        <item x="280"/>
        <item x="829"/>
        <item x="410"/>
        <item x="209"/>
        <item x="1031"/>
        <item x="920"/>
        <item x="260"/>
        <item x="371"/>
        <item x="924"/>
        <item x="1038"/>
        <item x="761"/>
        <item x="357"/>
        <item x="599"/>
        <item x="819"/>
        <item x="389"/>
        <item x="409"/>
        <item x="213"/>
        <item x="147"/>
        <item x="57"/>
        <item x="544"/>
        <item x="1086"/>
        <item x="958"/>
        <item x="685"/>
        <item x="686"/>
        <item x="813"/>
        <item x="87"/>
        <item x="645"/>
        <item x="603"/>
        <item x="778"/>
        <item x="882"/>
        <item x="811"/>
        <item x="990"/>
        <item x="117"/>
        <item x="145"/>
        <item x="571"/>
        <item x="606"/>
        <item x="1013"/>
        <item x="1085"/>
        <item x="942"/>
        <item x="972"/>
        <item x="614"/>
        <item x="864"/>
        <item x="238"/>
        <item x="888"/>
        <item x="734"/>
        <item x="273"/>
        <item x="19"/>
        <item x="181"/>
        <item x="1081"/>
        <item x="735"/>
        <item x="616"/>
        <item x="497"/>
        <item x="695"/>
        <item x="527"/>
        <item x="940"/>
        <item x="1053"/>
        <item x="143"/>
        <item x="32"/>
        <item x="401"/>
        <item x="825"/>
        <item x="816"/>
        <item x="542"/>
        <item x="857"/>
        <item x="353"/>
        <item x="1015"/>
        <item x="73"/>
        <item x="76"/>
        <item x="722"/>
        <item x="518"/>
        <item x="788"/>
        <item x="632"/>
        <item x="402"/>
        <item x="875"/>
        <item x="855"/>
        <item x="104"/>
        <item x="921"/>
        <item x="132"/>
        <item x="782"/>
        <item x="509"/>
        <item x="1028"/>
        <item x="773"/>
        <item x="918"/>
        <item x="1052"/>
        <item x="620"/>
        <item x="672"/>
        <item x="130"/>
        <item x="189"/>
        <item x="860"/>
        <item x="789"/>
        <item x="172"/>
        <item x="674"/>
        <item x="1021"/>
        <item x="315"/>
        <item x="494"/>
        <item x="290"/>
        <item x="696"/>
        <item x="445"/>
        <item x="11"/>
        <item x="837"/>
        <item x="369"/>
        <item x="727"/>
        <item x="820"/>
        <item x="531"/>
        <item x="108"/>
        <item x="33"/>
        <item x="1062"/>
        <item x="594"/>
        <item x="367"/>
        <item x="547"/>
        <item x="582"/>
        <item x="1020"/>
        <item x="595"/>
        <item x="961"/>
        <item x="807"/>
        <item x="256"/>
        <item x="126"/>
        <item x="670"/>
        <item x="795"/>
        <item x="292"/>
        <item x="116"/>
        <item x="435"/>
        <item x="850"/>
        <item x="376"/>
        <item x="472"/>
        <item x="1010"/>
        <item x="1067"/>
        <item x="461"/>
        <item x="1026"/>
        <item x="664"/>
        <item x="198"/>
        <item x="68"/>
        <item x="900"/>
        <item x="986"/>
        <item x="270"/>
        <item x="1011"/>
        <item x="792"/>
        <item x="1036"/>
        <item x="652"/>
        <item x="448"/>
        <item x="69"/>
        <item x="288"/>
        <item x="810"/>
        <item x="173"/>
        <item x="576"/>
        <item x="977"/>
        <item x="1049"/>
        <item x="718"/>
        <item x="926"/>
        <item x="1090"/>
        <item x="137"/>
        <item x="791"/>
        <item x="635"/>
        <item x="963"/>
        <item x="478"/>
        <item x="469"/>
        <item x="331"/>
        <item x="923"/>
        <item x="615"/>
        <item x="411"/>
        <item x="768"/>
        <item x="180"/>
        <item x="596"/>
        <item x="981"/>
        <item x="1100"/>
        <item x="91"/>
        <item x="1065"/>
        <item x="592"/>
        <item x="399"/>
        <item x="483"/>
        <item x="188"/>
        <item x="844"/>
        <item x="914"/>
        <item x="1072"/>
        <item x="667"/>
        <item x="666"/>
        <item x="6"/>
        <item x="83"/>
        <item x="319"/>
        <item x="831"/>
        <item x="119"/>
        <item x="27"/>
        <item x="754"/>
        <item x="406"/>
        <item x="516"/>
        <item x="830"/>
        <item x="440"/>
        <item x="183"/>
        <item x="47"/>
        <item x="709"/>
        <item x="1029"/>
        <item x="962"/>
        <item x="524"/>
        <item x="451"/>
        <item x="822"/>
        <item x="447"/>
        <item x="798"/>
        <item x="148"/>
        <item x="979"/>
        <item x="217"/>
        <item x="884"/>
        <item x="944"/>
        <item x="1078"/>
        <item x="647"/>
        <item x="133"/>
        <item x="903"/>
        <item x="912"/>
        <item x="746"/>
        <item x="150"/>
        <item x="602"/>
        <item x="618"/>
        <item x="22"/>
        <item x="628"/>
        <item x="601"/>
        <item x="34"/>
        <item x="604"/>
        <item x="77"/>
        <item x="488"/>
        <item x="703"/>
        <item x="176"/>
        <item x="523"/>
        <item x="770"/>
        <item x="1044"/>
        <item x="930"/>
        <item x="922"/>
        <item x="241"/>
        <item x="80"/>
        <item x="738"/>
        <item x="138"/>
        <item x="1023"/>
        <item x="873"/>
        <item x="999"/>
        <item x="609"/>
        <item x="1082"/>
        <item x="556"/>
        <item x="876"/>
        <item x="100"/>
        <item x="794"/>
        <item x="554"/>
        <item x="834"/>
        <item x="291"/>
        <item x="356"/>
        <item x="1059"/>
        <item x="534"/>
        <item x="1017"/>
        <item x="398"/>
        <item x="443"/>
        <item x="1070"/>
        <item x="793"/>
        <item x="704"/>
        <item x="92"/>
        <item x="688"/>
        <item x="1046"/>
        <item x="598"/>
        <item x="909"/>
        <item x="162"/>
        <item x="64"/>
        <item x="994"/>
        <item x="352"/>
        <item x="1035"/>
        <item x="684"/>
        <item x="1016"/>
        <item x="379"/>
        <item x="229"/>
        <item x="871"/>
        <item x="429"/>
        <item x="94"/>
        <item x="318"/>
        <item x="886"/>
        <item x="35"/>
        <item x="4"/>
        <item x="3"/>
        <item x="220"/>
        <item x="1005"/>
        <item x="28"/>
        <item x="321"/>
        <item x="492"/>
        <item x="842"/>
        <item x="775"/>
        <item x="1024"/>
        <item x="63"/>
        <item x="135"/>
        <item x="476"/>
        <item x="1034"/>
        <item x="455"/>
        <item x="1055"/>
        <item x="419"/>
        <item x="58"/>
        <item x="202"/>
        <item x="964"/>
        <item x="249"/>
        <item x="505"/>
        <item x="725"/>
        <item x="967"/>
        <item x="56"/>
        <item x="558"/>
        <item x="434"/>
        <item x="454"/>
        <item x="29"/>
        <item x="812"/>
        <item x="780"/>
        <item x="330"/>
        <item x="46"/>
        <item x="72"/>
        <item x="1107"/>
        <item x="561"/>
        <item x="182"/>
        <item x="421"/>
        <item x="708"/>
        <item x="24"/>
        <item x="569"/>
        <item x="169"/>
        <item x="762"/>
        <item x="723"/>
        <item x="166"/>
        <item x="693"/>
        <item x="759"/>
        <item x="845"/>
        <item x="170"/>
        <item x="573"/>
        <item x="345"/>
        <item x="736"/>
        <item x="261"/>
        <item x="41"/>
        <item x="745"/>
        <item x="192"/>
        <item x="458"/>
        <item x="327"/>
        <item x="317"/>
        <item x="250"/>
        <item x="833"/>
        <item x="127"/>
        <item x="247"/>
        <item x="416"/>
        <item x="1095"/>
        <item x="934"/>
        <item x="691"/>
        <item x="30"/>
        <item x="1027"/>
        <item x="1074"/>
        <item x="60"/>
        <item x="965"/>
        <item x="493"/>
        <item x="161"/>
        <item x="938"/>
        <item x="129"/>
        <item x="872"/>
        <item x="328"/>
        <item x="263"/>
        <item x="43"/>
        <item x="787"/>
        <item x="227"/>
        <item x="139"/>
        <item x="177"/>
        <item x="744"/>
        <item x="275"/>
        <item x="151"/>
        <item x="70"/>
        <item x="1047"/>
        <item x="97"/>
        <item x="191"/>
        <item x="577"/>
        <item x="858"/>
        <item x="668"/>
        <item x="644"/>
        <item x="484"/>
        <item x="343"/>
        <item x="466"/>
        <item x="112"/>
        <item x="265"/>
        <item x="513"/>
        <item x="342"/>
        <item x="721"/>
        <item x="78"/>
        <item x="1051"/>
        <item x="535"/>
        <item x="313"/>
        <item x="240"/>
        <item x="731"/>
        <item x="630"/>
        <item x="259"/>
        <item x="341"/>
        <item x="423"/>
        <item x="824"/>
        <item x="264"/>
        <item x="538"/>
        <item x="372"/>
        <item x="456"/>
        <item x="720"/>
        <item x="380"/>
        <item x="243"/>
        <item x="755"/>
        <item x="12"/>
        <item x="771"/>
        <item x="777"/>
        <item x="976"/>
        <item x="110"/>
        <item x="901"/>
        <item x="639"/>
        <item x="171"/>
        <item x="253"/>
        <item x="1050"/>
        <item x="142"/>
        <item x="633"/>
        <item x="553"/>
        <item x="710"/>
        <item x="562"/>
        <item x="843"/>
        <item x="185"/>
        <item x="671"/>
        <item x="101"/>
        <item x="915"/>
        <item x="853"/>
        <item x="959"/>
        <item x="861"/>
        <item x="610"/>
        <item x="293"/>
        <item x="732"/>
        <item x="128"/>
        <item x="634"/>
        <item x="337"/>
        <item x="121"/>
        <item x="868"/>
        <item x="437"/>
        <item x="1019"/>
        <item x="424"/>
        <item x="623"/>
        <item x="522"/>
        <item x="555"/>
        <item x="902"/>
        <item x="1098"/>
        <item x="23"/>
        <item x="106"/>
        <item x="65"/>
        <item x="475"/>
        <item x="349"/>
        <item x="631"/>
        <item x="874"/>
        <item x="568"/>
        <item x="757"/>
        <item x="1003"/>
        <item x="326"/>
        <item x="528"/>
        <item x="446"/>
        <item x="1018"/>
        <item x="1093"/>
        <item x="619"/>
        <item x="890"/>
        <item x="804"/>
        <item x="267"/>
        <item x="105"/>
        <item x="502"/>
        <item x="763"/>
        <item x="552"/>
        <item x="373"/>
        <item x="1009"/>
        <item x="66"/>
        <item x="640"/>
        <item x="400"/>
        <item x="420"/>
        <item x="418"/>
        <item x="348"/>
        <item x="45"/>
        <item x="309"/>
        <item x="563"/>
        <item x="374"/>
        <item x="802"/>
        <item x="432"/>
        <item x="82"/>
        <item x="724"/>
        <item x="989"/>
        <item x="889"/>
        <item x="626"/>
        <item x="141"/>
        <item x="916"/>
        <item x="533"/>
        <item x="304"/>
        <item x="1089"/>
        <item x="417"/>
        <item x="85"/>
        <item x="439"/>
        <item x="883"/>
        <item x="178"/>
        <item x="862"/>
        <item x="383"/>
        <item x="929"/>
        <item x="1008"/>
        <item x="939"/>
        <item x="705"/>
        <item x="927"/>
        <item x="933"/>
        <item x="799"/>
        <item x="470"/>
        <item x="310"/>
        <item x="462"/>
        <item x="111"/>
        <item x="847"/>
        <item x="336"/>
        <item x="296"/>
        <item x="236"/>
        <item x="144"/>
        <item x="257"/>
        <item x="758"/>
        <item x="297"/>
        <item x="384"/>
        <item x="490"/>
        <item x="364"/>
        <item x="550"/>
        <item x="566"/>
        <item x="750"/>
        <item x="612"/>
        <item x="982"/>
        <item x="221"/>
        <item x="737"/>
        <item x="390"/>
        <item x="985"/>
        <item x="408"/>
        <item x="946"/>
        <item x="1076"/>
        <item x="952"/>
        <item x="617"/>
        <item x="366"/>
        <item x="274"/>
        <item x="551"/>
        <item x="473"/>
        <item x="338"/>
        <item x="258"/>
        <item x="52"/>
        <item x="146"/>
        <item x="729"/>
        <item x="1002"/>
        <item x="415"/>
        <item x="307"/>
        <item x="347"/>
        <item x="690"/>
        <item x="394"/>
        <item x="881"/>
        <item x="776"/>
        <item x="629"/>
        <item x="662"/>
        <item x="1007"/>
        <item x="765"/>
        <item x="262"/>
        <item x="955"/>
        <item x="303"/>
        <item x="355"/>
        <item x="20"/>
        <item x="175"/>
        <item x="278"/>
        <item x="199"/>
        <item x="526"/>
        <item x="223"/>
        <item x="507"/>
        <item x="26"/>
        <item x="431"/>
        <item x="335"/>
        <item x="570"/>
        <item x="8"/>
        <item x="905"/>
        <item x="656"/>
        <item x="306"/>
        <item x="81"/>
        <item x="978"/>
        <item x="39"/>
        <item x="235"/>
        <item x="753"/>
        <item x="1080"/>
        <item x="370"/>
        <item x="1079"/>
        <item x="515"/>
        <item x="480"/>
        <item x="214"/>
        <item t="default"/>
      </items>
    </pivotField>
    <pivotField showAll="0">
      <items count="3">
        <item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Items count="1">
    <i/>
  </colItems>
  <dataFields count="1">
    <dataField name="Sum of Total Spent" fld="6" baseField="2" baseItem="4"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BB8DA13-EE99-4598-81DD-9708D6AC58ED}" sourceName="Location">
  <pivotTables>
    <pivotTable tabId="5" name="PivotTable3"/>
    <pivotTable tabId="3" name="PivotTable2"/>
    <pivotTable tabId="6" name="PivotTable4"/>
    <pivotTable tabId="7" name="PivotTable5"/>
    <pivotTable tabId="5" name="PivotTable6"/>
    <pivotTable tabId="5" name="PivotTable7"/>
    <pivotTable tabId="5" name="PivotTable8"/>
  </pivotTables>
  <data>
    <tabular pivotCacheId="941352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7938B579-4111-45C2-8726-A6D9B63ED234}" sourceName="Discount Applied">
  <pivotTables>
    <pivotTable tabId="5" name="PivotTable3"/>
    <pivotTable tabId="3" name="PivotTable2"/>
    <pivotTable tabId="6" name="PivotTable4"/>
    <pivotTable tabId="7" name="PivotTable5"/>
    <pivotTable tabId="5" name="PivotTable6"/>
    <pivotTable tabId="5" name="PivotTable7"/>
    <pivotTable tabId="5" name="PivotTable8"/>
  </pivotTables>
  <data>
    <tabular pivotCacheId="9413524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58C3A81-43FA-43E9-8C6C-AAEF105C6381}" sourceName="Payment Method">
  <pivotTables>
    <pivotTable tabId="5" name="PivotTable3"/>
    <pivotTable tabId="3" name="PivotTable2"/>
    <pivotTable tabId="5" name="PivotTable6"/>
    <pivotTable tabId="6" name="PivotTable4"/>
    <pivotTable tabId="7" name="PivotTable5"/>
    <pivotTable tabId="5" name="PivotTable7"/>
    <pivotTable tabId="5" name="PivotTable8"/>
  </pivotTables>
  <data>
    <tabular pivotCacheId="94135249">
      <items count="4">
        <i x="1" s="1"/>
        <i x="2"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8074FCF-B548-4B45-ABE2-BD1EFD2CF0A6}" sourceName="Category">
  <pivotTables>
    <pivotTable tabId="5" name="PivotTable6"/>
  </pivotTables>
  <data>
    <tabular pivotCacheId="94135249">
      <items count="8">
        <i x="1" s="1"/>
        <i x="3" s="1"/>
        <i x="6" s="1"/>
        <i x="5" s="1"/>
        <i x="4" s="1"/>
        <i x="2" s="1"/>
        <i x="0"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1F53C47E-BA1D-4FE2-9508-FFE2A379BF60}" cache="Slicer_Location" caption="Location" style="SlicerStyleDark2" rowHeight="257175"/>
  <slicer name="Discount Applied" xr10:uid="{2EACFFCD-D353-44A9-9C16-C8FE54C02C7C}" cache="Slicer_Discount_Applied" caption="Discount Applied" style="SlicerStyleDark2" rowHeight="257175"/>
  <slicer name="Payment Method" xr10:uid="{67E0E573-8DAA-434D-98CD-028885BD8AEB}" cache="Slicer_Payment_Method" caption="Payment Method" style="SlicerStyleDark2" rowHeight="257175"/>
  <slicer name="Category" xr10:uid="{23E6A740-81BD-4A66-B09D-F710E3B89B31}" cache="Slicer_Category" caption="Category"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DBD3A-B523-458E-B092-7D185907A2A3}" name="Table1" displayName="Table1" ref="A1:K7580" totalsRowShown="0">
  <autoFilter ref="A1:K7580" xr:uid="{86B9D51C-E594-4D19-835D-151AE0DBCB67}"/>
  <tableColumns count="11">
    <tableColumn id="1" xr3:uid="{133CEE09-EA8C-4E61-968F-B0DB53773931}" name="Transaction ID"/>
    <tableColumn id="2" xr3:uid="{648BB7F9-3359-401C-B527-8C3498754364}" name="Customer ID"/>
    <tableColumn id="3" xr3:uid="{2840DC03-F468-4DA4-988A-28282956D4B8}" name="Category"/>
    <tableColumn id="4" xr3:uid="{049530B4-1A68-444D-8626-C493CFC34A1A}" name="Item"/>
    <tableColumn id="5" xr3:uid="{E7C7D0B8-00DB-4296-836C-95554BB023F3}" name="Price Per Unit" dataDxfId="10"/>
    <tableColumn id="6" xr3:uid="{3CF8C57D-AD7A-4202-8649-263CFE5A215E}" name="Quantity" dataDxfId="9"/>
    <tableColumn id="7" xr3:uid="{22387F60-52F5-43D6-B15F-8D6636AF0DEF}" name="Total Spent" dataDxfId="8"/>
    <tableColumn id="8" xr3:uid="{83A97278-BA46-486E-A450-61ABEC110776}" name="Payment Method"/>
    <tableColumn id="9" xr3:uid="{0E582C9F-CFD7-4A0A-BE4B-BAE9067DFCAF}" name="Location"/>
    <tableColumn id="10" xr3:uid="{2B566C56-1663-4B86-9B9C-55EED77613EE}" name="Transaction Date" dataDxfId="7"/>
    <tableColumn id="11" xr3:uid="{B5AE287E-6D2E-4A57-A9AD-AB8C0B192F72}" name="Discount Appli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B1A4-3BE9-4DC7-B307-78913898646F}">
  <dimension ref="A3:H22"/>
  <sheetViews>
    <sheetView topLeftCell="A7" workbookViewId="0">
      <selection activeCell="V9" sqref="V9"/>
    </sheetView>
  </sheetViews>
  <sheetFormatPr defaultRowHeight="15" x14ac:dyDescent="0.25"/>
  <cols>
    <col min="1" max="1" width="13.42578125" bestFit="1" customWidth="1"/>
    <col min="2" max="2" width="18.140625" bestFit="1" customWidth="1"/>
    <col min="4" max="4" width="33" bestFit="1" customWidth="1"/>
    <col min="5" max="5" width="22.5703125" bestFit="1" customWidth="1"/>
    <col min="7" max="7" width="12.5703125" bestFit="1" customWidth="1"/>
    <col min="8" max="8" width="19.42578125" bestFit="1" customWidth="1"/>
  </cols>
  <sheetData>
    <row r="3" spans="1:8" x14ac:dyDescent="0.25">
      <c r="A3" s="6" t="s">
        <v>7858</v>
      </c>
      <c r="B3" t="s">
        <v>7862</v>
      </c>
    </row>
    <row r="4" spans="1:8" x14ac:dyDescent="0.25">
      <c r="A4" s="7" t="s">
        <v>25</v>
      </c>
      <c r="B4" s="2">
        <v>57920</v>
      </c>
      <c r="D4" s="6" t="s">
        <v>7858</v>
      </c>
      <c r="E4" t="s">
        <v>7860</v>
      </c>
    </row>
    <row r="5" spans="1:8" x14ac:dyDescent="0.25">
      <c r="A5" s="7" t="s">
        <v>15</v>
      </c>
      <c r="B5" s="2">
        <v>58378.5</v>
      </c>
      <c r="D5" s="7" t="s">
        <v>45</v>
      </c>
      <c r="E5" s="10">
        <v>0.34776730300967212</v>
      </c>
    </row>
    <row r="6" spans="1:8" x14ac:dyDescent="0.25">
      <c r="A6" s="7" t="s">
        <v>45</v>
      </c>
      <c r="B6" s="2">
        <v>61269</v>
      </c>
      <c r="D6" s="7" t="s">
        <v>25</v>
      </c>
      <c r="E6" s="10">
        <v>0.32778071709729667</v>
      </c>
    </row>
    <row r="7" spans="1:8" x14ac:dyDescent="0.25">
      <c r="A7" s="7" t="s">
        <v>7859</v>
      </c>
      <c r="B7" s="2">
        <v>177567.5</v>
      </c>
      <c r="D7" s="7" t="s">
        <v>15</v>
      </c>
      <c r="E7" s="10">
        <v>0.32445197989303126</v>
      </c>
    </row>
    <row r="8" spans="1:8" x14ac:dyDescent="0.25">
      <c r="D8" s="7" t="s">
        <v>7859</v>
      </c>
      <c r="E8" s="10">
        <v>1</v>
      </c>
    </row>
    <row r="12" spans="1:8" x14ac:dyDescent="0.25">
      <c r="A12" s="6" t="s">
        <v>7858</v>
      </c>
      <c r="B12" t="s">
        <v>7860</v>
      </c>
    </row>
    <row r="13" spans="1:8" x14ac:dyDescent="0.25">
      <c r="A13" s="7" t="s">
        <v>7863</v>
      </c>
      <c r="B13" s="2">
        <v>329939</v>
      </c>
      <c r="D13" s="6" t="s">
        <v>7858</v>
      </c>
      <c r="E13" t="s">
        <v>7867</v>
      </c>
    </row>
    <row r="14" spans="1:8" x14ac:dyDescent="0.25">
      <c r="A14" s="7" t="s">
        <v>7864</v>
      </c>
      <c r="B14" s="2">
        <v>303318</v>
      </c>
      <c r="D14" s="7" t="s">
        <v>19</v>
      </c>
      <c r="E14" s="9">
        <v>0.12917271407837447</v>
      </c>
    </row>
    <row r="15" spans="1:8" x14ac:dyDescent="0.25">
      <c r="A15" s="7" t="s">
        <v>7865</v>
      </c>
      <c r="B15" s="2">
        <v>338900</v>
      </c>
      <c r="D15" s="7" t="s">
        <v>110</v>
      </c>
      <c r="E15" s="9">
        <v>0.12838105290935481</v>
      </c>
      <c r="G15" t="s">
        <v>7868</v>
      </c>
      <c r="H15" t="s">
        <v>7869</v>
      </c>
    </row>
    <row r="16" spans="1:8" x14ac:dyDescent="0.25">
      <c r="A16" s="7" t="s">
        <v>7866</v>
      </c>
      <c r="B16" s="2">
        <v>16356</v>
      </c>
      <c r="D16" s="7" t="s">
        <v>23</v>
      </c>
      <c r="E16" s="9">
        <v>0.1262699564586357</v>
      </c>
    </row>
    <row r="17" spans="1:5" x14ac:dyDescent="0.25">
      <c r="A17" s="7" t="s">
        <v>7859</v>
      </c>
      <c r="B17" s="2">
        <v>988513</v>
      </c>
      <c r="D17" s="7" t="s">
        <v>31</v>
      </c>
      <c r="E17" s="9">
        <v>0.12561023881778599</v>
      </c>
    </row>
    <row r="18" spans="1:5" x14ac:dyDescent="0.25">
      <c r="D18" s="7" t="s">
        <v>59</v>
      </c>
      <c r="E18" s="9">
        <v>0.12521440823327615</v>
      </c>
    </row>
    <row r="19" spans="1:5" x14ac:dyDescent="0.25">
      <c r="D19" s="7" t="s">
        <v>38</v>
      </c>
      <c r="E19" s="9">
        <v>0.12376302942340678</v>
      </c>
    </row>
    <row r="20" spans="1:5" x14ac:dyDescent="0.25">
      <c r="D20" s="7" t="s">
        <v>27</v>
      </c>
      <c r="E20" s="9">
        <v>0.1213880459163478</v>
      </c>
    </row>
    <row r="21" spans="1:5" x14ac:dyDescent="0.25">
      <c r="D21" s="7" t="s">
        <v>13</v>
      </c>
      <c r="E21" s="9">
        <v>0.12020055416281832</v>
      </c>
    </row>
    <row r="22" spans="1:5" x14ac:dyDescent="0.25">
      <c r="D22" s="7" t="s">
        <v>7859</v>
      </c>
      <c r="E22" s="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B1511-978A-491B-A883-23B4768FC753}">
  <dimension ref="A1"/>
  <sheetViews>
    <sheetView showGridLines="0" zoomScaleNormal="100" workbookViewId="0">
      <selection activeCell="U5" sqref="U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3B842-EEAE-481C-9DE2-4B9C8D84132F}">
  <dimension ref="A3:B6"/>
  <sheetViews>
    <sheetView workbookViewId="0">
      <selection activeCell="B5" sqref="B5"/>
    </sheetView>
  </sheetViews>
  <sheetFormatPr defaultRowHeight="15" x14ac:dyDescent="0.25"/>
  <cols>
    <col min="1" max="1" width="13.42578125" bestFit="1" customWidth="1"/>
    <col min="2" max="2" width="15.5703125" bestFit="1" customWidth="1"/>
  </cols>
  <sheetData>
    <row r="3" spans="1:2" x14ac:dyDescent="0.25">
      <c r="A3" s="6" t="s">
        <v>7858</v>
      </c>
      <c r="B3" t="s">
        <v>7861</v>
      </c>
    </row>
    <row r="4" spans="1:2" x14ac:dyDescent="0.25">
      <c r="A4" s="7" t="s">
        <v>36</v>
      </c>
      <c r="B4" s="4">
        <v>20635</v>
      </c>
    </row>
    <row r="5" spans="1:2" x14ac:dyDescent="0.25">
      <c r="A5" s="7" t="s">
        <v>16</v>
      </c>
      <c r="B5" s="4">
        <v>21484</v>
      </c>
    </row>
    <row r="6" spans="1:2" x14ac:dyDescent="0.25">
      <c r="A6" s="7" t="s">
        <v>7859</v>
      </c>
      <c r="B6" s="4">
        <v>42119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51BC8-D7E6-4425-B9F0-D6C1AAB06877}">
  <dimension ref="A3:B9"/>
  <sheetViews>
    <sheetView workbookViewId="0">
      <selection activeCell="B7" sqref="B7"/>
    </sheetView>
  </sheetViews>
  <sheetFormatPr defaultRowHeight="15" x14ac:dyDescent="0.25"/>
  <cols>
    <col min="1" max="1" width="13.42578125" bestFit="1" customWidth="1"/>
    <col min="2" max="2" width="20.140625" bestFit="1" customWidth="1"/>
  </cols>
  <sheetData>
    <row r="3" spans="1:2" x14ac:dyDescent="0.25">
      <c r="A3" s="6" t="s">
        <v>7858</v>
      </c>
      <c r="B3" t="s">
        <v>7862</v>
      </c>
    </row>
    <row r="4" spans="1:2" x14ac:dyDescent="0.25">
      <c r="A4" s="8">
        <v>3</v>
      </c>
      <c r="B4" s="2">
        <v>17987.5</v>
      </c>
    </row>
    <row r="5" spans="1:2" x14ac:dyDescent="0.25">
      <c r="A5" s="8">
        <v>5</v>
      </c>
      <c r="B5" s="2">
        <v>18238</v>
      </c>
    </row>
    <row r="6" spans="1:2" x14ac:dyDescent="0.25">
      <c r="A6" s="8">
        <v>8</v>
      </c>
      <c r="B6" s="2">
        <v>18267.5</v>
      </c>
    </row>
    <row r="7" spans="1:2" x14ac:dyDescent="0.25">
      <c r="A7" s="8">
        <v>6</v>
      </c>
      <c r="B7" s="2">
        <v>18595</v>
      </c>
    </row>
    <row r="8" spans="1:2" x14ac:dyDescent="0.25">
      <c r="A8" s="8">
        <v>10</v>
      </c>
      <c r="B8" s="2">
        <v>18645.5</v>
      </c>
    </row>
    <row r="9" spans="1:2" x14ac:dyDescent="0.25">
      <c r="A9" s="8" t="s">
        <v>7859</v>
      </c>
      <c r="B9" s="2">
        <v>91733.5</v>
      </c>
    </row>
  </sheetData>
  <conditionalFormatting sqref="A3:B3 A10:B14 A4:A9">
    <cfRule type="top10" priority="1"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D51C-E594-4D19-835D-151AE0DBCB67}">
  <dimension ref="A1:K8349"/>
  <sheetViews>
    <sheetView tabSelected="1" topLeftCell="G1" workbookViewId="0">
      <selection activeCell="L4" sqref="L4"/>
    </sheetView>
  </sheetViews>
  <sheetFormatPr defaultRowHeight="15" x14ac:dyDescent="0.25"/>
  <cols>
    <col min="1" max="1" width="16" customWidth="1"/>
    <col min="2" max="2" width="14.5703125" customWidth="1"/>
    <col min="3" max="3" width="33" bestFit="1" customWidth="1"/>
    <col min="4" max="4" width="13.85546875" bestFit="1" customWidth="1"/>
    <col min="5" max="5" width="15.28515625" style="2" customWidth="1"/>
    <col min="6" max="6" width="10.85546875" style="4" customWidth="1"/>
    <col min="7" max="7" width="13.28515625" style="2" customWidth="1"/>
    <col min="8" max="8" width="35.5703125" customWidth="1"/>
    <col min="9" max="9" width="10.85546875" customWidth="1"/>
    <col min="10" max="10" width="28.85546875" style="1" bestFit="1" customWidth="1"/>
    <col min="11" max="11" width="18.5703125" customWidth="1"/>
    <col min="12" max="12" width="23.5703125" bestFit="1" customWidth="1"/>
    <col min="13" max="13" width="19.7109375" bestFit="1" customWidth="1"/>
    <col min="14" max="14" width="23.5703125" bestFit="1" customWidth="1"/>
    <col min="15" max="15" width="20.140625" bestFit="1" customWidth="1"/>
    <col min="16" max="16" width="11.140625" bestFit="1" customWidth="1"/>
  </cols>
  <sheetData>
    <row r="1" spans="1:11" x14ac:dyDescent="0.25">
      <c r="A1" t="s">
        <v>0</v>
      </c>
      <c r="B1" t="s">
        <v>1</v>
      </c>
      <c r="C1" t="s">
        <v>2</v>
      </c>
      <c r="D1" t="s">
        <v>3</v>
      </c>
      <c r="E1" s="2" t="s">
        <v>4</v>
      </c>
      <c r="F1" s="4" t="s">
        <v>5</v>
      </c>
      <c r="G1" s="2" t="s">
        <v>6</v>
      </c>
      <c r="H1" t="s">
        <v>7</v>
      </c>
      <c r="I1" t="s">
        <v>8</v>
      </c>
      <c r="J1" s="1" t="s">
        <v>9</v>
      </c>
      <c r="K1" t="s">
        <v>10</v>
      </c>
    </row>
    <row r="2" spans="1:11" x14ac:dyDescent="0.25">
      <c r="A2" t="s">
        <v>7625</v>
      </c>
      <c r="B2" t="s">
        <v>93</v>
      </c>
      <c r="C2" t="s">
        <v>19</v>
      </c>
      <c r="D2" t="s">
        <v>787</v>
      </c>
      <c r="E2" s="2">
        <v>41</v>
      </c>
      <c r="F2" s="4">
        <v>10</v>
      </c>
      <c r="G2" s="2">
        <v>410</v>
      </c>
      <c r="H2" t="s">
        <v>15</v>
      </c>
      <c r="I2" t="s">
        <v>16</v>
      </c>
      <c r="J2" s="1">
        <v>44796</v>
      </c>
      <c r="K2" t="b">
        <v>0</v>
      </c>
    </row>
    <row r="3" spans="1:11" x14ac:dyDescent="0.25">
      <c r="A3" t="s">
        <v>1601</v>
      </c>
      <c r="B3" t="s">
        <v>77</v>
      </c>
      <c r="C3" t="s">
        <v>27</v>
      </c>
      <c r="D3" t="s">
        <v>89</v>
      </c>
      <c r="E3" s="2">
        <v>41</v>
      </c>
      <c r="F3" s="4">
        <v>10</v>
      </c>
      <c r="G3" s="2">
        <v>410</v>
      </c>
      <c r="H3" t="s">
        <v>45</v>
      </c>
      <c r="I3" t="s">
        <v>36</v>
      </c>
      <c r="J3" s="1">
        <v>45017</v>
      </c>
      <c r="K3" t="b">
        <v>1</v>
      </c>
    </row>
    <row r="4" spans="1:11" x14ac:dyDescent="0.25">
      <c r="A4" t="s">
        <v>909</v>
      </c>
      <c r="B4" t="s">
        <v>18</v>
      </c>
      <c r="C4" t="s">
        <v>27</v>
      </c>
      <c r="D4" t="s">
        <v>89</v>
      </c>
      <c r="E4" s="2">
        <v>41</v>
      </c>
      <c r="F4" s="4">
        <v>10</v>
      </c>
      <c r="G4" s="2">
        <v>410</v>
      </c>
      <c r="H4" t="s">
        <v>15</v>
      </c>
      <c r="I4" t="s">
        <v>36</v>
      </c>
      <c r="J4" s="1">
        <v>44869</v>
      </c>
      <c r="K4" t="b">
        <v>1</v>
      </c>
    </row>
    <row r="5" spans="1:11" x14ac:dyDescent="0.25">
      <c r="A5" t="s">
        <v>74</v>
      </c>
      <c r="B5" t="s">
        <v>51</v>
      </c>
      <c r="C5" t="s">
        <v>38</v>
      </c>
      <c r="D5" t="s">
        <v>75</v>
      </c>
      <c r="E5" s="2">
        <v>41</v>
      </c>
      <c r="F5" s="4">
        <v>10</v>
      </c>
      <c r="G5" s="2">
        <v>410</v>
      </c>
      <c r="H5" t="s">
        <v>25</v>
      </c>
      <c r="I5" t="s">
        <v>36</v>
      </c>
      <c r="J5" s="1">
        <v>45375</v>
      </c>
      <c r="K5" t="b">
        <v>1</v>
      </c>
    </row>
    <row r="6" spans="1:11" x14ac:dyDescent="0.25">
      <c r="A6" t="s">
        <v>6350</v>
      </c>
      <c r="B6" t="s">
        <v>142</v>
      </c>
      <c r="C6" t="s">
        <v>19</v>
      </c>
      <c r="D6" t="s">
        <v>787</v>
      </c>
      <c r="E6" s="2">
        <v>41</v>
      </c>
      <c r="F6" s="4">
        <v>10</v>
      </c>
      <c r="G6" s="2">
        <v>410</v>
      </c>
      <c r="H6" t="s">
        <v>45</v>
      </c>
      <c r="I6" t="s">
        <v>16</v>
      </c>
      <c r="J6" s="1">
        <v>45374</v>
      </c>
      <c r="K6" t="b">
        <v>0</v>
      </c>
    </row>
    <row r="7" spans="1:11" x14ac:dyDescent="0.25">
      <c r="A7" t="s">
        <v>1453</v>
      </c>
      <c r="B7" t="s">
        <v>61</v>
      </c>
      <c r="C7" t="s">
        <v>38</v>
      </c>
      <c r="D7" t="s">
        <v>75</v>
      </c>
      <c r="E7" s="2">
        <v>41</v>
      </c>
      <c r="F7" s="4">
        <v>10</v>
      </c>
      <c r="G7" s="2">
        <v>410</v>
      </c>
      <c r="H7" t="s">
        <v>15</v>
      </c>
      <c r="I7" t="s">
        <v>16</v>
      </c>
      <c r="J7" s="1">
        <v>44580</v>
      </c>
      <c r="K7" t="b">
        <v>1</v>
      </c>
    </row>
    <row r="8" spans="1:11" x14ac:dyDescent="0.25">
      <c r="A8" t="s">
        <v>1157</v>
      </c>
      <c r="B8" t="s">
        <v>58</v>
      </c>
      <c r="C8" t="s">
        <v>23</v>
      </c>
      <c r="D8" t="s">
        <v>302</v>
      </c>
      <c r="E8" s="2">
        <v>41</v>
      </c>
      <c r="F8" s="4">
        <v>10</v>
      </c>
      <c r="G8" s="2">
        <v>410</v>
      </c>
      <c r="H8" t="s">
        <v>15</v>
      </c>
      <c r="I8" t="s">
        <v>36</v>
      </c>
      <c r="J8" s="1">
        <v>45280</v>
      </c>
      <c r="K8" t="b">
        <v>1</v>
      </c>
    </row>
    <row r="9" spans="1:11" x14ac:dyDescent="0.25">
      <c r="A9" t="s">
        <v>1816</v>
      </c>
      <c r="B9" t="s">
        <v>30</v>
      </c>
      <c r="C9" t="s">
        <v>27</v>
      </c>
      <c r="D9" t="s">
        <v>89</v>
      </c>
      <c r="E9" s="2">
        <v>41</v>
      </c>
      <c r="F9" s="4">
        <v>10</v>
      </c>
      <c r="G9" s="2">
        <v>410</v>
      </c>
      <c r="H9" t="s">
        <v>25</v>
      </c>
      <c r="I9" t="s">
        <v>16</v>
      </c>
      <c r="J9" s="1">
        <v>44615</v>
      </c>
      <c r="K9" t="b">
        <v>1</v>
      </c>
    </row>
    <row r="10" spans="1:11" x14ac:dyDescent="0.25">
      <c r="A10" t="s">
        <v>6065</v>
      </c>
      <c r="B10" t="s">
        <v>51</v>
      </c>
      <c r="C10" t="s">
        <v>38</v>
      </c>
      <c r="D10" t="s">
        <v>75</v>
      </c>
      <c r="E10" s="2">
        <v>41</v>
      </c>
      <c r="F10" s="4">
        <v>10</v>
      </c>
      <c r="G10" s="2">
        <v>410</v>
      </c>
      <c r="H10" t="s">
        <v>15</v>
      </c>
      <c r="I10" t="s">
        <v>36</v>
      </c>
      <c r="J10" s="1">
        <v>45661</v>
      </c>
      <c r="K10" t="b">
        <v>1</v>
      </c>
    </row>
    <row r="11" spans="1:11" x14ac:dyDescent="0.25">
      <c r="A11" t="s">
        <v>2113</v>
      </c>
      <c r="B11" t="s">
        <v>100</v>
      </c>
      <c r="C11" t="s">
        <v>23</v>
      </c>
      <c r="D11" t="s">
        <v>302</v>
      </c>
      <c r="E11" s="2">
        <v>41</v>
      </c>
      <c r="F11" s="4">
        <v>10</v>
      </c>
      <c r="G11" s="2">
        <v>410</v>
      </c>
      <c r="H11" t="s">
        <v>15</v>
      </c>
      <c r="I11" t="s">
        <v>16</v>
      </c>
      <c r="J11" s="1">
        <v>44731</v>
      </c>
      <c r="K11" t="b">
        <v>1</v>
      </c>
    </row>
    <row r="12" spans="1:11" x14ac:dyDescent="0.25">
      <c r="A12" t="s">
        <v>5795</v>
      </c>
      <c r="B12" t="s">
        <v>93</v>
      </c>
      <c r="C12" t="s">
        <v>23</v>
      </c>
      <c r="D12" t="s">
        <v>302</v>
      </c>
      <c r="E12" s="2">
        <v>41</v>
      </c>
      <c r="F12" s="4">
        <v>10</v>
      </c>
      <c r="G12" s="2">
        <v>410</v>
      </c>
      <c r="H12" t="s">
        <v>25</v>
      </c>
      <c r="I12" t="s">
        <v>16</v>
      </c>
      <c r="J12" s="1">
        <v>44802</v>
      </c>
      <c r="K12" t="b">
        <v>1</v>
      </c>
    </row>
    <row r="13" spans="1:11" x14ac:dyDescent="0.25">
      <c r="A13" t="s">
        <v>5439</v>
      </c>
      <c r="B13" t="s">
        <v>77</v>
      </c>
      <c r="C13" t="s">
        <v>23</v>
      </c>
      <c r="D13" t="s">
        <v>302</v>
      </c>
      <c r="E13" s="2">
        <v>41</v>
      </c>
      <c r="F13" s="4">
        <v>10</v>
      </c>
      <c r="G13" s="2">
        <v>410</v>
      </c>
      <c r="H13" t="s">
        <v>25</v>
      </c>
      <c r="I13" t="s">
        <v>36</v>
      </c>
      <c r="J13" s="1">
        <v>45202</v>
      </c>
      <c r="K13" t="b">
        <v>1</v>
      </c>
    </row>
    <row r="14" spans="1:11" x14ac:dyDescent="0.25">
      <c r="A14" t="s">
        <v>3164</v>
      </c>
      <c r="B14" t="s">
        <v>86</v>
      </c>
      <c r="C14" t="s">
        <v>23</v>
      </c>
      <c r="D14" t="s">
        <v>302</v>
      </c>
      <c r="E14" s="2">
        <v>41</v>
      </c>
      <c r="F14" s="4">
        <v>10</v>
      </c>
      <c r="G14" s="2">
        <v>410</v>
      </c>
      <c r="H14" t="s">
        <v>25</v>
      </c>
      <c r="I14" t="s">
        <v>36</v>
      </c>
      <c r="J14" s="1">
        <v>45496</v>
      </c>
      <c r="K14" t="b">
        <v>0</v>
      </c>
    </row>
    <row r="15" spans="1:11" x14ac:dyDescent="0.25">
      <c r="A15" t="s">
        <v>5121</v>
      </c>
      <c r="B15" t="s">
        <v>40</v>
      </c>
      <c r="C15" t="s">
        <v>31</v>
      </c>
      <c r="D15" t="s">
        <v>286</v>
      </c>
      <c r="E15" s="2">
        <v>41</v>
      </c>
      <c r="F15" s="4">
        <v>10</v>
      </c>
      <c r="G15" s="2">
        <v>410</v>
      </c>
      <c r="H15" t="s">
        <v>45</v>
      </c>
      <c r="I15" t="s">
        <v>36</v>
      </c>
      <c r="J15" s="1">
        <v>44812</v>
      </c>
      <c r="K15" t="b">
        <v>1</v>
      </c>
    </row>
    <row r="16" spans="1:11" x14ac:dyDescent="0.25">
      <c r="A16" t="s">
        <v>5566</v>
      </c>
      <c r="B16" t="s">
        <v>40</v>
      </c>
      <c r="C16" t="s">
        <v>23</v>
      </c>
      <c r="D16" t="s">
        <v>302</v>
      </c>
      <c r="E16" s="2">
        <v>41</v>
      </c>
      <c r="F16" s="4">
        <v>10</v>
      </c>
      <c r="G16" s="2">
        <v>410</v>
      </c>
      <c r="H16" t="s">
        <v>45</v>
      </c>
      <c r="I16" t="s">
        <v>36</v>
      </c>
      <c r="J16" s="1">
        <v>44719</v>
      </c>
      <c r="K16" t="b">
        <v>0</v>
      </c>
    </row>
    <row r="17" spans="1:11" x14ac:dyDescent="0.25">
      <c r="A17" t="s">
        <v>4024</v>
      </c>
      <c r="B17" t="s">
        <v>66</v>
      </c>
      <c r="C17" t="s">
        <v>59</v>
      </c>
      <c r="D17" t="s">
        <v>325</v>
      </c>
      <c r="E17" s="2">
        <v>41</v>
      </c>
      <c r="F17" s="4">
        <v>10</v>
      </c>
      <c r="G17" s="2">
        <v>410</v>
      </c>
      <c r="H17" t="s">
        <v>15</v>
      </c>
      <c r="I17" t="s">
        <v>36</v>
      </c>
      <c r="J17" s="1">
        <v>44770</v>
      </c>
      <c r="K17" t="b">
        <v>1</v>
      </c>
    </row>
    <row r="18" spans="1:11" x14ac:dyDescent="0.25">
      <c r="A18" t="s">
        <v>3808</v>
      </c>
      <c r="B18" t="s">
        <v>100</v>
      </c>
      <c r="C18" t="s">
        <v>59</v>
      </c>
      <c r="D18" t="s">
        <v>325</v>
      </c>
      <c r="E18" s="2">
        <v>41</v>
      </c>
      <c r="F18" s="4">
        <v>10</v>
      </c>
      <c r="G18" s="2">
        <v>410</v>
      </c>
      <c r="H18" t="s">
        <v>45</v>
      </c>
      <c r="I18" t="s">
        <v>16</v>
      </c>
      <c r="J18" s="1">
        <v>44815</v>
      </c>
      <c r="K18" t="b">
        <v>1</v>
      </c>
    </row>
    <row r="19" spans="1:11" x14ac:dyDescent="0.25">
      <c r="A19" t="s">
        <v>4641</v>
      </c>
      <c r="B19" t="s">
        <v>97</v>
      </c>
      <c r="C19" t="s">
        <v>59</v>
      </c>
      <c r="D19" t="s">
        <v>325</v>
      </c>
      <c r="E19" s="2">
        <v>41</v>
      </c>
      <c r="F19" s="4">
        <v>10</v>
      </c>
      <c r="G19" s="2">
        <v>410</v>
      </c>
      <c r="H19" t="s">
        <v>15</v>
      </c>
      <c r="I19" t="s">
        <v>16</v>
      </c>
      <c r="J19" s="1">
        <v>45280</v>
      </c>
      <c r="K19" t="b">
        <v>1</v>
      </c>
    </row>
    <row r="20" spans="1:11" x14ac:dyDescent="0.25">
      <c r="A20" t="s">
        <v>7602</v>
      </c>
      <c r="B20" t="s">
        <v>69</v>
      </c>
      <c r="C20" t="s">
        <v>59</v>
      </c>
      <c r="D20" t="s">
        <v>325</v>
      </c>
      <c r="E20" s="2">
        <v>41</v>
      </c>
      <c r="F20" s="4">
        <v>10</v>
      </c>
      <c r="G20" s="2">
        <v>410</v>
      </c>
      <c r="H20" t="s">
        <v>15</v>
      </c>
      <c r="I20" t="s">
        <v>16</v>
      </c>
      <c r="J20" s="1">
        <v>44616</v>
      </c>
      <c r="K20" t="b">
        <v>1</v>
      </c>
    </row>
    <row r="21" spans="1:11" x14ac:dyDescent="0.25">
      <c r="A21" t="s">
        <v>6816</v>
      </c>
      <c r="B21" t="s">
        <v>100</v>
      </c>
      <c r="C21" t="s">
        <v>31</v>
      </c>
      <c r="D21" t="s">
        <v>286</v>
      </c>
      <c r="E21" s="2">
        <v>41</v>
      </c>
      <c r="F21" s="4">
        <v>10</v>
      </c>
      <c r="G21" s="2">
        <v>410</v>
      </c>
      <c r="H21" t="s">
        <v>15</v>
      </c>
      <c r="I21" t="s">
        <v>16</v>
      </c>
      <c r="J21" s="1">
        <v>44973</v>
      </c>
      <c r="K21" t="b">
        <v>0</v>
      </c>
    </row>
    <row r="22" spans="1:11" x14ac:dyDescent="0.25">
      <c r="A22" t="s">
        <v>6933</v>
      </c>
      <c r="B22" t="s">
        <v>37</v>
      </c>
      <c r="C22" t="s">
        <v>27</v>
      </c>
      <c r="D22" t="s">
        <v>89</v>
      </c>
      <c r="E22" s="2">
        <v>41</v>
      </c>
      <c r="F22" s="4">
        <v>10</v>
      </c>
      <c r="G22" s="2">
        <v>410</v>
      </c>
      <c r="H22" t="s">
        <v>25</v>
      </c>
      <c r="I22" t="s">
        <v>36</v>
      </c>
      <c r="J22" s="1">
        <v>45151</v>
      </c>
      <c r="K22" t="b">
        <v>1</v>
      </c>
    </row>
    <row r="23" spans="1:11" x14ac:dyDescent="0.25">
      <c r="A23" t="s">
        <v>7294</v>
      </c>
      <c r="B23" t="s">
        <v>58</v>
      </c>
      <c r="C23" t="s">
        <v>110</v>
      </c>
      <c r="D23" t="s">
        <v>185</v>
      </c>
      <c r="E23" s="2">
        <v>41</v>
      </c>
      <c r="F23" s="4">
        <v>10</v>
      </c>
      <c r="G23" s="2">
        <v>410</v>
      </c>
      <c r="H23" t="s">
        <v>25</v>
      </c>
      <c r="I23" t="s">
        <v>16</v>
      </c>
      <c r="J23" s="1">
        <v>45650</v>
      </c>
      <c r="K23" t="b">
        <v>0</v>
      </c>
    </row>
    <row r="24" spans="1:11" x14ac:dyDescent="0.25">
      <c r="A24" t="s">
        <v>4364</v>
      </c>
      <c r="B24" t="s">
        <v>51</v>
      </c>
      <c r="C24" t="s">
        <v>27</v>
      </c>
      <c r="D24" t="s">
        <v>89</v>
      </c>
      <c r="E24" s="2">
        <v>41</v>
      </c>
      <c r="F24" s="4">
        <v>10</v>
      </c>
      <c r="G24" s="2">
        <v>410</v>
      </c>
      <c r="H24" t="s">
        <v>45</v>
      </c>
      <c r="I24" t="s">
        <v>16</v>
      </c>
      <c r="J24" s="1">
        <v>45066</v>
      </c>
      <c r="K24" t="b">
        <v>0</v>
      </c>
    </row>
    <row r="25" spans="1:11" x14ac:dyDescent="0.25">
      <c r="A25" t="s">
        <v>7254</v>
      </c>
      <c r="B25" t="s">
        <v>22</v>
      </c>
      <c r="C25" t="s">
        <v>27</v>
      </c>
      <c r="D25" t="s">
        <v>89</v>
      </c>
      <c r="E25" s="2">
        <v>41</v>
      </c>
      <c r="F25" s="4">
        <v>10</v>
      </c>
      <c r="G25" s="2">
        <v>410</v>
      </c>
      <c r="H25" t="s">
        <v>45</v>
      </c>
      <c r="I25" t="s">
        <v>36</v>
      </c>
      <c r="J25" s="1">
        <v>45315</v>
      </c>
      <c r="K25" t="b">
        <v>1</v>
      </c>
    </row>
    <row r="26" spans="1:11" x14ac:dyDescent="0.25">
      <c r="A26" t="s">
        <v>2148</v>
      </c>
      <c r="B26" t="s">
        <v>63</v>
      </c>
      <c r="C26" t="s">
        <v>23</v>
      </c>
      <c r="D26" t="s">
        <v>302</v>
      </c>
      <c r="E26" s="2">
        <v>41</v>
      </c>
      <c r="F26" s="4">
        <v>10</v>
      </c>
      <c r="G26" s="2">
        <v>410</v>
      </c>
      <c r="H26" t="s">
        <v>45</v>
      </c>
      <c r="I26" t="s">
        <v>36</v>
      </c>
      <c r="J26" s="1">
        <v>45535</v>
      </c>
      <c r="K26" t="b">
        <v>0</v>
      </c>
    </row>
    <row r="27" spans="1:11" x14ac:dyDescent="0.25">
      <c r="A27" t="s">
        <v>7816</v>
      </c>
      <c r="B27" t="s">
        <v>104</v>
      </c>
      <c r="C27" t="s">
        <v>27</v>
      </c>
      <c r="D27" t="s">
        <v>89</v>
      </c>
      <c r="E27" s="2">
        <v>41</v>
      </c>
      <c r="F27" s="4">
        <v>10</v>
      </c>
      <c r="G27" s="2">
        <v>410</v>
      </c>
      <c r="H27" t="s">
        <v>15</v>
      </c>
      <c r="I27" t="s">
        <v>36</v>
      </c>
      <c r="J27" s="1">
        <v>45413</v>
      </c>
      <c r="K27" t="b">
        <v>0</v>
      </c>
    </row>
    <row r="28" spans="1:11" x14ac:dyDescent="0.25">
      <c r="A28" t="s">
        <v>6147</v>
      </c>
      <c r="B28" t="s">
        <v>142</v>
      </c>
      <c r="C28" t="s">
        <v>23</v>
      </c>
      <c r="D28" t="s">
        <v>302</v>
      </c>
      <c r="E28" s="2">
        <v>41</v>
      </c>
      <c r="F28" s="4">
        <v>10</v>
      </c>
      <c r="G28" s="2">
        <v>410</v>
      </c>
      <c r="H28" t="s">
        <v>45</v>
      </c>
      <c r="I28" t="s">
        <v>16</v>
      </c>
      <c r="J28" s="1">
        <v>44828</v>
      </c>
      <c r="K28" t="b">
        <v>0</v>
      </c>
    </row>
    <row r="29" spans="1:11" x14ac:dyDescent="0.25">
      <c r="A29" t="s">
        <v>7809</v>
      </c>
      <c r="B29" t="s">
        <v>22</v>
      </c>
      <c r="C29" t="s">
        <v>23</v>
      </c>
      <c r="D29" t="s">
        <v>302</v>
      </c>
      <c r="E29" s="2">
        <v>41</v>
      </c>
      <c r="F29" s="4">
        <v>10</v>
      </c>
      <c r="G29" s="2">
        <v>410</v>
      </c>
      <c r="H29" t="s">
        <v>25</v>
      </c>
      <c r="I29" t="s">
        <v>36</v>
      </c>
      <c r="J29" s="1">
        <v>45657</v>
      </c>
      <c r="K29" t="b">
        <v>0</v>
      </c>
    </row>
    <row r="30" spans="1:11" x14ac:dyDescent="0.25">
      <c r="A30" t="s">
        <v>1220</v>
      </c>
      <c r="B30" t="s">
        <v>51</v>
      </c>
      <c r="C30" t="s">
        <v>23</v>
      </c>
      <c r="D30" t="s">
        <v>302</v>
      </c>
      <c r="E30" s="2">
        <v>41</v>
      </c>
      <c r="F30" s="4">
        <v>10</v>
      </c>
      <c r="G30" s="2">
        <v>410</v>
      </c>
      <c r="H30" t="s">
        <v>25</v>
      </c>
      <c r="I30" t="s">
        <v>36</v>
      </c>
      <c r="J30" s="1">
        <v>45285</v>
      </c>
      <c r="K30" t="b">
        <v>1</v>
      </c>
    </row>
    <row r="31" spans="1:11" x14ac:dyDescent="0.25">
      <c r="A31" t="s">
        <v>3520</v>
      </c>
      <c r="B31" t="s">
        <v>22</v>
      </c>
      <c r="C31" t="s">
        <v>59</v>
      </c>
      <c r="D31" t="s">
        <v>325</v>
      </c>
      <c r="E31" s="2">
        <v>41</v>
      </c>
      <c r="F31" s="4">
        <v>10</v>
      </c>
      <c r="G31" s="2">
        <v>410</v>
      </c>
      <c r="H31" t="s">
        <v>25</v>
      </c>
      <c r="I31" t="s">
        <v>36</v>
      </c>
      <c r="J31" s="1">
        <v>45285</v>
      </c>
      <c r="K31" t="b">
        <v>0</v>
      </c>
    </row>
    <row r="32" spans="1:11" x14ac:dyDescent="0.25">
      <c r="A32" t="s">
        <v>1181</v>
      </c>
      <c r="B32" t="s">
        <v>86</v>
      </c>
      <c r="C32" t="s">
        <v>59</v>
      </c>
      <c r="D32" t="s">
        <v>325</v>
      </c>
      <c r="E32" s="2">
        <v>41</v>
      </c>
      <c r="F32" s="4">
        <v>10</v>
      </c>
      <c r="G32" s="2">
        <v>410</v>
      </c>
      <c r="H32" t="s">
        <v>25</v>
      </c>
      <c r="I32" t="s">
        <v>16</v>
      </c>
      <c r="J32" s="1">
        <v>45378</v>
      </c>
      <c r="K32" t="b">
        <v>1</v>
      </c>
    </row>
    <row r="33" spans="1:11" x14ac:dyDescent="0.25">
      <c r="A33" t="s">
        <v>4947</v>
      </c>
      <c r="B33" t="s">
        <v>86</v>
      </c>
      <c r="C33" t="s">
        <v>38</v>
      </c>
      <c r="D33" t="s">
        <v>75</v>
      </c>
      <c r="E33" s="2">
        <v>41</v>
      </c>
      <c r="F33" s="4">
        <v>10</v>
      </c>
      <c r="G33" s="2">
        <v>410</v>
      </c>
      <c r="H33" t="s">
        <v>15</v>
      </c>
      <c r="I33" t="s">
        <v>16</v>
      </c>
      <c r="J33" s="1">
        <v>45402</v>
      </c>
      <c r="K33" t="b">
        <v>1</v>
      </c>
    </row>
    <row r="34" spans="1:11" x14ac:dyDescent="0.25">
      <c r="A34" t="s">
        <v>6225</v>
      </c>
      <c r="B34" t="s">
        <v>69</v>
      </c>
      <c r="C34" t="s">
        <v>31</v>
      </c>
      <c r="D34" t="s">
        <v>286</v>
      </c>
      <c r="E34" s="2">
        <v>41</v>
      </c>
      <c r="F34" s="4">
        <v>10</v>
      </c>
      <c r="G34" s="2">
        <v>410</v>
      </c>
      <c r="H34" t="s">
        <v>45</v>
      </c>
      <c r="I34" t="s">
        <v>16</v>
      </c>
      <c r="J34" s="1">
        <v>45441</v>
      </c>
      <c r="K34" t="b">
        <v>0</v>
      </c>
    </row>
    <row r="35" spans="1:11" x14ac:dyDescent="0.25">
      <c r="A35" t="s">
        <v>4702</v>
      </c>
      <c r="B35" t="s">
        <v>58</v>
      </c>
      <c r="C35" t="s">
        <v>38</v>
      </c>
      <c r="D35" t="s">
        <v>75</v>
      </c>
      <c r="E35" s="2">
        <v>41</v>
      </c>
      <c r="F35" s="4">
        <v>10</v>
      </c>
      <c r="G35" s="2">
        <v>410</v>
      </c>
      <c r="H35" t="s">
        <v>15</v>
      </c>
      <c r="I35" t="s">
        <v>16</v>
      </c>
      <c r="J35" s="1">
        <v>44747</v>
      </c>
      <c r="K35" t="b">
        <v>1</v>
      </c>
    </row>
    <row r="36" spans="1:11" x14ac:dyDescent="0.25">
      <c r="A36" t="s">
        <v>5571</v>
      </c>
      <c r="B36" t="s">
        <v>61</v>
      </c>
      <c r="C36" t="s">
        <v>13</v>
      </c>
      <c r="D36" t="s">
        <v>161</v>
      </c>
      <c r="E36" s="2">
        <v>41</v>
      </c>
      <c r="F36" s="4">
        <v>10</v>
      </c>
      <c r="G36" s="2">
        <v>410</v>
      </c>
      <c r="H36" t="s">
        <v>15</v>
      </c>
      <c r="I36" t="s">
        <v>36</v>
      </c>
      <c r="J36" s="1">
        <v>45162</v>
      </c>
      <c r="K36" t="b">
        <v>0</v>
      </c>
    </row>
    <row r="37" spans="1:11" x14ac:dyDescent="0.25">
      <c r="A37" t="s">
        <v>7299</v>
      </c>
      <c r="B37" t="s">
        <v>61</v>
      </c>
      <c r="C37" t="s">
        <v>31</v>
      </c>
      <c r="D37" t="s">
        <v>286</v>
      </c>
      <c r="E37" s="2">
        <v>41</v>
      </c>
      <c r="F37" s="4">
        <v>10</v>
      </c>
      <c r="G37" s="2">
        <v>410</v>
      </c>
      <c r="H37" t="s">
        <v>15</v>
      </c>
      <c r="I37" t="s">
        <v>16</v>
      </c>
      <c r="J37" s="1">
        <v>45209</v>
      </c>
      <c r="K37" t="b">
        <v>1</v>
      </c>
    </row>
    <row r="38" spans="1:11" x14ac:dyDescent="0.25">
      <c r="A38" t="s">
        <v>7610</v>
      </c>
      <c r="B38" t="s">
        <v>72</v>
      </c>
      <c r="C38" t="s">
        <v>38</v>
      </c>
      <c r="D38" t="s">
        <v>75</v>
      </c>
      <c r="E38" s="2">
        <v>41</v>
      </c>
      <c r="F38" s="4">
        <v>10</v>
      </c>
      <c r="G38" s="2">
        <v>410</v>
      </c>
      <c r="H38" t="s">
        <v>15</v>
      </c>
      <c r="I38" t="s">
        <v>36</v>
      </c>
      <c r="J38" s="1">
        <v>45318</v>
      </c>
      <c r="K38" t="b">
        <v>0</v>
      </c>
    </row>
    <row r="39" spans="1:11" x14ac:dyDescent="0.25">
      <c r="A39" t="s">
        <v>7517</v>
      </c>
      <c r="B39" t="s">
        <v>72</v>
      </c>
      <c r="C39" t="s">
        <v>27</v>
      </c>
      <c r="D39" t="s">
        <v>482</v>
      </c>
      <c r="E39" s="2">
        <v>39.5</v>
      </c>
      <c r="F39" s="4">
        <v>10</v>
      </c>
      <c r="G39" s="2">
        <v>395</v>
      </c>
      <c r="H39" t="s">
        <v>15</v>
      </c>
      <c r="I39" t="s">
        <v>16</v>
      </c>
      <c r="J39" s="1">
        <v>45373</v>
      </c>
      <c r="K39" t="b">
        <v>0</v>
      </c>
    </row>
    <row r="40" spans="1:11" x14ac:dyDescent="0.25">
      <c r="A40" t="s">
        <v>6103</v>
      </c>
      <c r="B40" t="s">
        <v>77</v>
      </c>
      <c r="C40" t="s">
        <v>38</v>
      </c>
      <c r="D40" t="s">
        <v>165</v>
      </c>
      <c r="E40" s="2">
        <v>39.5</v>
      </c>
      <c r="F40" s="4">
        <v>10</v>
      </c>
      <c r="G40" s="2">
        <v>395</v>
      </c>
      <c r="H40" t="s">
        <v>25</v>
      </c>
      <c r="I40" t="s">
        <v>36</v>
      </c>
      <c r="J40" s="1">
        <v>44945</v>
      </c>
      <c r="K40" t="b">
        <v>0</v>
      </c>
    </row>
    <row r="41" spans="1:11" x14ac:dyDescent="0.25">
      <c r="A41" t="s">
        <v>2819</v>
      </c>
      <c r="B41" t="s">
        <v>34</v>
      </c>
      <c r="C41" t="s">
        <v>13</v>
      </c>
      <c r="D41" t="s">
        <v>52</v>
      </c>
      <c r="E41" s="2">
        <v>39.5</v>
      </c>
      <c r="F41" s="4">
        <v>10</v>
      </c>
      <c r="G41" s="2">
        <v>395</v>
      </c>
      <c r="H41" t="s">
        <v>25</v>
      </c>
      <c r="I41" t="s">
        <v>36</v>
      </c>
      <c r="J41" s="1">
        <v>45096</v>
      </c>
      <c r="K41" t="b">
        <v>1</v>
      </c>
    </row>
    <row r="42" spans="1:11" x14ac:dyDescent="0.25">
      <c r="A42" t="s">
        <v>230</v>
      </c>
      <c r="B42" t="s">
        <v>37</v>
      </c>
      <c r="C42" t="s">
        <v>31</v>
      </c>
      <c r="D42" t="s">
        <v>212</v>
      </c>
      <c r="E42" s="2">
        <v>39.5</v>
      </c>
      <c r="F42" s="4">
        <v>10</v>
      </c>
      <c r="G42" s="2">
        <v>395</v>
      </c>
      <c r="H42" t="s">
        <v>25</v>
      </c>
      <c r="I42" t="s">
        <v>16</v>
      </c>
      <c r="J42" s="1">
        <v>44610</v>
      </c>
      <c r="K42" t="b">
        <v>0</v>
      </c>
    </row>
    <row r="43" spans="1:11" x14ac:dyDescent="0.25">
      <c r="A43" t="s">
        <v>1341</v>
      </c>
      <c r="B43" t="s">
        <v>85</v>
      </c>
      <c r="C43" t="s">
        <v>38</v>
      </c>
      <c r="D43" t="s">
        <v>165</v>
      </c>
      <c r="E43" s="2">
        <v>39.5</v>
      </c>
      <c r="F43" s="4">
        <v>10</v>
      </c>
      <c r="G43" s="2">
        <v>395</v>
      </c>
      <c r="H43" t="s">
        <v>45</v>
      </c>
      <c r="I43" t="s">
        <v>16</v>
      </c>
      <c r="J43" s="1">
        <v>45667</v>
      </c>
      <c r="K43" t="b">
        <v>1</v>
      </c>
    </row>
    <row r="44" spans="1:11" x14ac:dyDescent="0.25">
      <c r="A44" t="s">
        <v>3419</v>
      </c>
      <c r="B44" t="s">
        <v>34</v>
      </c>
      <c r="C44" t="s">
        <v>23</v>
      </c>
      <c r="D44" t="s">
        <v>103</v>
      </c>
      <c r="E44" s="2">
        <v>39.5</v>
      </c>
      <c r="F44" s="4">
        <v>10</v>
      </c>
      <c r="G44" s="2">
        <v>395</v>
      </c>
      <c r="H44" t="s">
        <v>45</v>
      </c>
      <c r="I44" t="s">
        <v>36</v>
      </c>
      <c r="J44" s="1">
        <v>44797</v>
      </c>
      <c r="K44" t="b">
        <v>0</v>
      </c>
    </row>
    <row r="45" spans="1:11" x14ac:dyDescent="0.25">
      <c r="A45" t="s">
        <v>5065</v>
      </c>
      <c r="B45" t="s">
        <v>58</v>
      </c>
      <c r="C45" t="s">
        <v>13</v>
      </c>
      <c r="D45" t="s">
        <v>52</v>
      </c>
      <c r="E45" s="2">
        <v>39.5</v>
      </c>
      <c r="F45" s="4">
        <v>10</v>
      </c>
      <c r="G45" s="2">
        <v>395</v>
      </c>
      <c r="H45" t="s">
        <v>15</v>
      </c>
      <c r="I45" t="s">
        <v>16</v>
      </c>
      <c r="J45" s="1">
        <v>45427</v>
      </c>
      <c r="K45" t="b">
        <v>1</v>
      </c>
    </row>
    <row r="46" spans="1:11" x14ac:dyDescent="0.25">
      <c r="A46" t="s">
        <v>4484</v>
      </c>
      <c r="B46" t="s">
        <v>22</v>
      </c>
      <c r="C46" t="s">
        <v>27</v>
      </c>
      <c r="D46" t="s">
        <v>482</v>
      </c>
      <c r="E46" s="2">
        <v>39.5</v>
      </c>
      <c r="F46" s="4">
        <v>10</v>
      </c>
      <c r="G46" s="2">
        <v>395</v>
      </c>
      <c r="H46" t="s">
        <v>25</v>
      </c>
      <c r="I46" t="s">
        <v>16</v>
      </c>
      <c r="J46" s="1">
        <v>44806</v>
      </c>
      <c r="K46" t="b">
        <v>0</v>
      </c>
    </row>
    <row r="47" spans="1:11" x14ac:dyDescent="0.25">
      <c r="A47" t="s">
        <v>3061</v>
      </c>
      <c r="B47" t="s">
        <v>56</v>
      </c>
      <c r="C47" t="s">
        <v>59</v>
      </c>
      <c r="D47" t="s">
        <v>536</v>
      </c>
      <c r="E47" s="2">
        <v>39.5</v>
      </c>
      <c r="F47" s="4">
        <v>10</v>
      </c>
      <c r="G47" s="2">
        <v>395</v>
      </c>
      <c r="H47" t="s">
        <v>45</v>
      </c>
      <c r="I47" t="s">
        <v>16</v>
      </c>
      <c r="J47" s="1">
        <v>45453</v>
      </c>
      <c r="K47" t="b">
        <v>0</v>
      </c>
    </row>
    <row r="48" spans="1:11" x14ac:dyDescent="0.25">
      <c r="A48" t="s">
        <v>6281</v>
      </c>
      <c r="B48" t="s">
        <v>85</v>
      </c>
      <c r="C48" t="s">
        <v>38</v>
      </c>
      <c r="D48" t="s">
        <v>165</v>
      </c>
      <c r="E48" s="2">
        <v>39.5</v>
      </c>
      <c r="F48" s="4">
        <v>10</v>
      </c>
      <c r="G48" s="2">
        <v>395</v>
      </c>
      <c r="H48" t="s">
        <v>25</v>
      </c>
      <c r="I48" t="s">
        <v>36</v>
      </c>
      <c r="J48" s="1">
        <v>44836</v>
      </c>
      <c r="K48" t="b">
        <v>0</v>
      </c>
    </row>
    <row r="49" spans="1:11" x14ac:dyDescent="0.25">
      <c r="A49" t="s">
        <v>3960</v>
      </c>
      <c r="B49" t="s">
        <v>142</v>
      </c>
      <c r="C49" t="s">
        <v>27</v>
      </c>
      <c r="D49" t="s">
        <v>482</v>
      </c>
      <c r="E49" s="2">
        <v>39.5</v>
      </c>
      <c r="F49" s="4">
        <v>10</v>
      </c>
      <c r="G49" s="2">
        <v>395</v>
      </c>
      <c r="H49" t="s">
        <v>45</v>
      </c>
      <c r="I49" t="s">
        <v>36</v>
      </c>
      <c r="J49" s="1">
        <v>45566</v>
      </c>
      <c r="K49" t="b">
        <v>1</v>
      </c>
    </row>
    <row r="50" spans="1:11" x14ac:dyDescent="0.25">
      <c r="A50" t="s">
        <v>3878</v>
      </c>
      <c r="B50" t="s">
        <v>34</v>
      </c>
      <c r="C50" t="s">
        <v>38</v>
      </c>
      <c r="D50" t="s">
        <v>165</v>
      </c>
      <c r="E50" s="2">
        <v>39.5</v>
      </c>
      <c r="F50" s="4">
        <v>10</v>
      </c>
      <c r="G50" s="2">
        <v>395</v>
      </c>
      <c r="H50" t="s">
        <v>15</v>
      </c>
      <c r="I50" t="s">
        <v>36</v>
      </c>
      <c r="J50" s="1">
        <v>45406</v>
      </c>
      <c r="K50" t="b">
        <v>1</v>
      </c>
    </row>
    <row r="51" spans="1:11" x14ac:dyDescent="0.25">
      <c r="A51" t="s">
        <v>6693</v>
      </c>
      <c r="B51" t="s">
        <v>12</v>
      </c>
      <c r="C51" t="s">
        <v>31</v>
      </c>
      <c r="D51" t="s">
        <v>212</v>
      </c>
      <c r="E51" s="2">
        <v>39.5</v>
      </c>
      <c r="F51" s="4">
        <v>10</v>
      </c>
      <c r="G51" s="2">
        <v>395</v>
      </c>
      <c r="H51" t="s">
        <v>45</v>
      </c>
      <c r="I51" t="s">
        <v>16</v>
      </c>
      <c r="J51" s="1">
        <v>45292</v>
      </c>
      <c r="K51" t="b">
        <v>1</v>
      </c>
    </row>
    <row r="52" spans="1:11" x14ac:dyDescent="0.25">
      <c r="A52" t="s">
        <v>2012</v>
      </c>
      <c r="B52" t="s">
        <v>34</v>
      </c>
      <c r="C52" t="s">
        <v>38</v>
      </c>
      <c r="D52" t="s">
        <v>165</v>
      </c>
      <c r="E52" s="2">
        <v>39.5</v>
      </c>
      <c r="F52" s="4">
        <v>10</v>
      </c>
      <c r="G52" s="2">
        <v>395</v>
      </c>
      <c r="H52" t="s">
        <v>15</v>
      </c>
      <c r="I52" t="s">
        <v>16</v>
      </c>
      <c r="J52" s="1">
        <v>44898</v>
      </c>
      <c r="K52" t="b">
        <v>0</v>
      </c>
    </row>
    <row r="53" spans="1:11" x14ac:dyDescent="0.25">
      <c r="A53" t="s">
        <v>7275</v>
      </c>
      <c r="B53" t="s">
        <v>12</v>
      </c>
      <c r="C53" t="s">
        <v>27</v>
      </c>
      <c r="D53" t="s">
        <v>482</v>
      </c>
      <c r="E53" s="2">
        <v>39.5</v>
      </c>
      <c r="F53" s="4">
        <v>10</v>
      </c>
      <c r="G53" s="2">
        <v>395</v>
      </c>
      <c r="H53" t="s">
        <v>25</v>
      </c>
      <c r="I53" t="s">
        <v>16</v>
      </c>
      <c r="J53" s="1">
        <v>45315</v>
      </c>
      <c r="K53" t="b">
        <v>1</v>
      </c>
    </row>
    <row r="54" spans="1:11" x14ac:dyDescent="0.25">
      <c r="A54" t="s">
        <v>1291</v>
      </c>
      <c r="B54" t="s">
        <v>30</v>
      </c>
      <c r="C54" t="s">
        <v>27</v>
      </c>
      <c r="D54" t="s">
        <v>482</v>
      </c>
      <c r="E54" s="2">
        <v>39.5</v>
      </c>
      <c r="F54" s="4">
        <v>10</v>
      </c>
      <c r="G54" s="2">
        <v>395</v>
      </c>
      <c r="H54" t="s">
        <v>25</v>
      </c>
      <c r="I54" t="s">
        <v>16</v>
      </c>
      <c r="J54" s="1">
        <v>44818</v>
      </c>
      <c r="K54" t="b">
        <v>0</v>
      </c>
    </row>
    <row r="55" spans="1:11" x14ac:dyDescent="0.25">
      <c r="A55" t="s">
        <v>4759</v>
      </c>
      <c r="B55" t="s">
        <v>22</v>
      </c>
      <c r="C55" t="s">
        <v>19</v>
      </c>
      <c r="D55" t="s">
        <v>220</v>
      </c>
      <c r="E55" s="2">
        <v>39.5</v>
      </c>
      <c r="F55" s="4">
        <v>10</v>
      </c>
      <c r="G55" s="2">
        <v>395</v>
      </c>
      <c r="H55" t="s">
        <v>25</v>
      </c>
      <c r="I55" t="s">
        <v>36</v>
      </c>
      <c r="J55" s="1">
        <v>44578</v>
      </c>
      <c r="K55" t="b">
        <v>0</v>
      </c>
    </row>
    <row r="56" spans="1:11" x14ac:dyDescent="0.25">
      <c r="A56" t="s">
        <v>3440</v>
      </c>
      <c r="B56" t="s">
        <v>69</v>
      </c>
      <c r="C56" t="s">
        <v>13</v>
      </c>
      <c r="D56" t="s">
        <v>52</v>
      </c>
      <c r="E56" s="2">
        <v>39.5</v>
      </c>
      <c r="F56" s="4">
        <v>10</v>
      </c>
      <c r="G56" s="2">
        <v>395</v>
      </c>
      <c r="H56" t="s">
        <v>15</v>
      </c>
      <c r="I56" t="s">
        <v>36</v>
      </c>
      <c r="J56" s="1">
        <v>44997</v>
      </c>
      <c r="K56" t="b">
        <v>0</v>
      </c>
    </row>
    <row r="57" spans="1:11" x14ac:dyDescent="0.25">
      <c r="A57" t="s">
        <v>7454</v>
      </c>
      <c r="B57" t="s">
        <v>12</v>
      </c>
      <c r="C57" t="s">
        <v>38</v>
      </c>
      <c r="D57" t="s">
        <v>165</v>
      </c>
      <c r="E57" s="2">
        <v>39.5</v>
      </c>
      <c r="F57" s="4">
        <v>10</v>
      </c>
      <c r="G57" s="2">
        <v>395</v>
      </c>
      <c r="H57" t="s">
        <v>15</v>
      </c>
      <c r="I57" t="s">
        <v>36</v>
      </c>
      <c r="J57" s="1">
        <v>45631</v>
      </c>
      <c r="K57" t="b">
        <v>0</v>
      </c>
    </row>
    <row r="58" spans="1:11" x14ac:dyDescent="0.25">
      <c r="A58" t="s">
        <v>4148</v>
      </c>
      <c r="B58" t="s">
        <v>26</v>
      </c>
      <c r="C58" t="s">
        <v>38</v>
      </c>
      <c r="D58" t="s">
        <v>165</v>
      </c>
      <c r="E58" s="2">
        <v>39.5</v>
      </c>
      <c r="F58" s="4">
        <v>10</v>
      </c>
      <c r="G58" s="2">
        <v>395</v>
      </c>
      <c r="H58" t="s">
        <v>25</v>
      </c>
      <c r="I58" t="s">
        <v>36</v>
      </c>
      <c r="J58" s="1">
        <v>45013</v>
      </c>
      <c r="K58" t="b">
        <v>0</v>
      </c>
    </row>
    <row r="59" spans="1:11" x14ac:dyDescent="0.25">
      <c r="A59" t="s">
        <v>4218</v>
      </c>
      <c r="B59" t="s">
        <v>22</v>
      </c>
      <c r="C59" t="s">
        <v>19</v>
      </c>
      <c r="D59" t="s">
        <v>220</v>
      </c>
      <c r="E59" s="2">
        <v>39.5</v>
      </c>
      <c r="F59" s="4">
        <v>10</v>
      </c>
      <c r="G59" s="2">
        <v>395</v>
      </c>
      <c r="H59" t="s">
        <v>25</v>
      </c>
      <c r="I59" t="s">
        <v>16</v>
      </c>
      <c r="J59" s="1">
        <v>44980</v>
      </c>
      <c r="K59" t="b">
        <v>0</v>
      </c>
    </row>
    <row r="60" spans="1:11" x14ac:dyDescent="0.25">
      <c r="A60" t="s">
        <v>7629</v>
      </c>
      <c r="B60" t="s">
        <v>40</v>
      </c>
      <c r="C60" t="s">
        <v>13</v>
      </c>
      <c r="D60" t="s">
        <v>52</v>
      </c>
      <c r="E60" s="2">
        <v>39.5</v>
      </c>
      <c r="F60" s="4">
        <v>10</v>
      </c>
      <c r="G60" s="2">
        <v>395</v>
      </c>
      <c r="H60" t="s">
        <v>45</v>
      </c>
      <c r="I60" t="s">
        <v>16</v>
      </c>
      <c r="J60" s="1">
        <v>45072</v>
      </c>
      <c r="K60" t="b">
        <v>1</v>
      </c>
    </row>
    <row r="61" spans="1:11" x14ac:dyDescent="0.25">
      <c r="A61" t="s">
        <v>5606</v>
      </c>
      <c r="B61" t="s">
        <v>77</v>
      </c>
      <c r="C61" t="s">
        <v>59</v>
      </c>
      <c r="D61" t="s">
        <v>275</v>
      </c>
      <c r="E61" s="2">
        <v>38</v>
      </c>
      <c r="F61" s="4">
        <v>10</v>
      </c>
      <c r="G61" s="2">
        <v>380</v>
      </c>
      <c r="H61" t="s">
        <v>45</v>
      </c>
      <c r="I61" t="s">
        <v>16</v>
      </c>
      <c r="J61" s="1">
        <v>45398</v>
      </c>
      <c r="K61" t="b">
        <v>1</v>
      </c>
    </row>
    <row r="62" spans="1:11" x14ac:dyDescent="0.25">
      <c r="A62" t="s">
        <v>4409</v>
      </c>
      <c r="B62" t="s">
        <v>77</v>
      </c>
      <c r="C62" t="s">
        <v>23</v>
      </c>
      <c r="D62" t="s">
        <v>98</v>
      </c>
      <c r="E62" s="2">
        <v>38</v>
      </c>
      <c r="F62" s="4">
        <v>10</v>
      </c>
      <c r="G62" s="2">
        <v>380</v>
      </c>
      <c r="H62" t="s">
        <v>45</v>
      </c>
      <c r="I62" t="s">
        <v>36</v>
      </c>
      <c r="J62" s="1">
        <v>45123</v>
      </c>
      <c r="K62" t="b">
        <v>1</v>
      </c>
    </row>
    <row r="63" spans="1:11" x14ac:dyDescent="0.25">
      <c r="A63" t="s">
        <v>3722</v>
      </c>
      <c r="B63" t="s">
        <v>40</v>
      </c>
      <c r="C63" t="s">
        <v>23</v>
      </c>
      <c r="D63" t="s">
        <v>98</v>
      </c>
      <c r="E63" s="2">
        <v>38</v>
      </c>
      <c r="F63" s="4">
        <v>10</v>
      </c>
      <c r="G63" s="2">
        <v>380</v>
      </c>
      <c r="H63" t="s">
        <v>15</v>
      </c>
      <c r="I63" t="s">
        <v>36</v>
      </c>
      <c r="J63" s="1">
        <v>45391</v>
      </c>
      <c r="K63" t="b">
        <v>1</v>
      </c>
    </row>
    <row r="64" spans="1:11" x14ac:dyDescent="0.25">
      <c r="A64" t="s">
        <v>4944</v>
      </c>
      <c r="B64" t="s">
        <v>56</v>
      </c>
      <c r="C64" t="s">
        <v>19</v>
      </c>
      <c r="D64" t="s">
        <v>203</v>
      </c>
      <c r="E64" s="2">
        <v>38</v>
      </c>
      <c r="F64" s="4">
        <v>10</v>
      </c>
      <c r="G64" s="2">
        <v>380</v>
      </c>
      <c r="H64" t="s">
        <v>45</v>
      </c>
      <c r="I64" t="s">
        <v>36</v>
      </c>
      <c r="J64" s="1">
        <v>44889</v>
      </c>
      <c r="K64" t="b">
        <v>1</v>
      </c>
    </row>
    <row r="65" spans="1:11" x14ac:dyDescent="0.25">
      <c r="A65" t="s">
        <v>6602</v>
      </c>
      <c r="B65" t="s">
        <v>37</v>
      </c>
      <c r="C65" t="s">
        <v>110</v>
      </c>
      <c r="D65" t="s">
        <v>534</v>
      </c>
      <c r="E65" s="2">
        <v>38</v>
      </c>
      <c r="F65" s="4">
        <v>10</v>
      </c>
      <c r="G65" s="2">
        <v>380</v>
      </c>
      <c r="H65" t="s">
        <v>25</v>
      </c>
      <c r="I65" t="s">
        <v>16</v>
      </c>
      <c r="J65" s="1">
        <v>45375</v>
      </c>
      <c r="K65" t="b">
        <v>1</v>
      </c>
    </row>
    <row r="66" spans="1:11" x14ac:dyDescent="0.25">
      <c r="A66" t="s">
        <v>2523</v>
      </c>
      <c r="B66" t="s">
        <v>100</v>
      </c>
      <c r="C66" t="s">
        <v>59</v>
      </c>
      <c r="D66" t="s">
        <v>275</v>
      </c>
      <c r="E66" s="2">
        <v>38</v>
      </c>
      <c r="F66" s="4">
        <v>10</v>
      </c>
      <c r="G66" s="2">
        <v>380</v>
      </c>
      <c r="H66" t="s">
        <v>45</v>
      </c>
      <c r="I66" t="s">
        <v>16</v>
      </c>
      <c r="J66" s="1">
        <v>45444</v>
      </c>
      <c r="K66" t="b">
        <v>0</v>
      </c>
    </row>
    <row r="67" spans="1:11" x14ac:dyDescent="0.25">
      <c r="A67" t="s">
        <v>2935</v>
      </c>
      <c r="B67" t="s">
        <v>30</v>
      </c>
      <c r="C67" t="s">
        <v>19</v>
      </c>
      <c r="D67" t="s">
        <v>203</v>
      </c>
      <c r="E67" s="2">
        <v>38</v>
      </c>
      <c r="F67" s="4">
        <v>10</v>
      </c>
      <c r="G67" s="2">
        <v>380</v>
      </c>
      <c r="H67" t="s">
        <v>25</v>
      </c>
      <c r="I67" t="s">
        <v>36</v>
      </c>
      <c r="J67" s="1">
        <v>44944</v>
      </c>
      <c r="K67" t="b">
        <v>1</v>
      </c>
    </row>
    <row r="68" spans="1:11" x14ac:dyDescent="0.25">
      <c r="A68" t="s">
        <v>4412</v>
      </c>
      <c r="B68" t="s">
        <v>63</v>
      </c>
      <c r="C68" t="s">
        <v>23</v>
      </c>
      <c r="D68" t="s">
        <v>98</v>
      </c>
      <c r="E68" s="2">
        <v>38</v>
      </c>
      <c r="F68" s="4">
        <v>10</v>
      </c>
      <c r="G68" s="2">
        <v>380</v>
      </c>
      <c r="H68" t="s">
        <v>25</v>
      </c>
      <c r="I68" t="s">
        <v>36</v>
      </c>
      <c r="J68" s="1">
        <v>45103</v>
      </c>
      <c r="K68" t="b">
        <v>1</v>
      </c>
    </row>
    <row r="69" spans="1:11" x14ac:dyDescent="0.25">
      <c r="A69" t="s">
        <v>5755</v>
      </c>
      <c r="B69" t="s">
        <v>40</v>
      </c>
      <c r="C69" t="s">
        <v>27</v>
      </c>
      <c r="D69" t="s">
        <v>205</v>
      </c>
      <c r="E69" s="2">
        <v>38</v>
      </c>
      <c r="F69" s="4">
        <v>10</v>
      </c>
      <c r="G69" s="2">
        <v>380</v>
      </c>
      <c r="H69" t="s">
        <v>25</v>
      </c>
      <c r="I69" t="s">
        <v>16</v>
      </c>
      <c r="J69" s="1">
        <v>45384</v>
      </c>
      <c r="K69" t="b">
        <v>1</v>
      </c>
    </row>
    <row r="70" spans="1:11" x14ac:dyDescent="0.25">
      <c r="A70" t="s">
        <v>5684</v>
      </c>
      <c r="B70" t="s">
        <v>63</v>
      </c>
      <c r="C70" t="s">
        <v>110</v>
      </c>
      <c r="D70" t="s">
        <v>534</v>
      </c>
      <c r="E70" s="2">
        <v>38</v>
      </c>
      <c r="F70" s="4">
        <v>10</v>
      </c>
      <c r="G70" s="2">
        <v>380</v>
      </c>
      <c r="H70" t="s">
        <v>45</v>
      </c>
      <c r="I70" t="s">
        <v>36</v>
      </c>
      <c r="J70" s="1">
        <v>45413</v>
      </c>
      <c r="K70" t="b">
        <v>0</v>
      </c>
    </row>
    <row r="71" spans="1:11" x14ac:dyDescent="0.25">
      <c r="A71" t="s">
        <v>816</v>
      </c>
      <c r="B71" t="s">
        <v>86</v>
      </c>
      <c r="C71" t="s">
        <v>38</v>
      </c>
      <c r="D71" t="s">
        <v>122</v>
      </c>
      <c r="E71" s="2">
        <v>38</v>
      </c>
      <c r="F71" s="4">
        <v>10</v>
      </c>
      <c r="G71" s="2">
        <v>380</v>
      </c>
      <c r="H71" t="s">
        <v>15</v>
      </c>
      <c r="I71" t="s">
        <v>16</v>
      </c>
      <c r="J71" s="1">
        <v>45360</v>
      </c>
      <c r="K71" t="b">
        <v>0</v>
      </c>
    </row>
    <row r="72" spans="1:11" x14ac:dyDescent="0.25">
      <c r="A72" t="s">
        <v>1320</v>
      </c>
      <c r="B72" t="s">
        <v>26</v>
      </c>
      <c r="C72" t="s">
        <v>27</v>
      </c>
      <c r="D72" t="s">
        <v>205</v>
      </c>
      <c r="E72" s="2">
        <v>38</v>
      </c>
      <c r="F72" s="4">
        <v>10</v>
      </c>
      <c r="G72" s="2">
        <v>380</v>
      </c>
      <c r="H72" t="s">
        <v>15</v>
      </c>
      <c r="I72" t="s">
        <v>36</v>
      </c>
      <c r="J72" s="1">
        <v>45537</v>
      </c>
      <c r="K72" t="b">
        <v>1</v>
      </c>
    </row>
    <row r="73" spans="1:11" x14ac:dyDescent="0.25">
      <c r="A73" t="s">
        <v>1010</v>
      </c>
      <c r="B73" t="s">
        <v>34</v>
      </c>
      <c r="C73" t="s">
        <v>13</v>
      </c>
      <c r="D73" t="s">
        <v>567</v>
      </c>
      <c r="E73" s="2">
        <v>38</v>
      </c>
      <c r="F73" s="4">
        <v>10</v>
      </c>
      <c r="G73" s="2">
        <v>380</v>
      </c>
      <c r="H73" t="s">
        <v>25</v>
      </c>
      <c r="I73" t="s">
        <v>36</v>
      </c>
      <c r="J73" s="1">
        <v>45560</v>
      </c>
      <c r="K73" t="b">
        <v>1</v>
      </c>
    </row>
    <row r="74" spans="1:11" x14ac:dyDescent="0.25">
      <c r="A74" t="s">
        <v>497</v>
      </c>
      <c r="B74" t="s">
        <v>30</v>
      </c>
      <c r="C74" t="s">
        <v>59</v>
      </c>
      <c r="D74" t="s">
        <v>275</v>
      </c>
      <c r="E74" s="2">
        <v>38</v>
      </c>
      <c r="F74" s="4">
        <v>10</v>
      </c>
      <c r="G74" s="2">
        <v>380</v>
      </c>
      <c r="H74" t="s">
        <v>15</v>
      </c>
      <c r="I74" t="s">
        <v>36</v>
      </c>
      <c r="J74" s="1">
        <v>44791</v>
      </c>
      <c r="K74" t="b">
        <v>0</v>
      </c>
    </row>
    <row r="75" spans="1:11" x14ac:dyDescent="0.25">
      <c r="A75" t="s">
        <v>5242</v>
      </c>
      <c r="B75" t="s">
        <v>26</v>
      </c>
      <c r="C75" t="s">
        <v>13</v>
      </c>
      <c r="D75" t="s">
        <v>567</v>
      </c>
      <c r="E75" s="2">
        <v>38</v>
      </c>
      <c r="F75" s="4">
        <v>10</v>
      </c>
      <c r="G75" s="2">
        <v>380</v>
      </c>
      <c r="H75" t="s">
        <v>25</v>
      </c>
      <c r="I75" t="s">
        <v>36</v>
      </c>
      <c r="J75" s="1">
        <v>45235</v>
      </c>
      <c r="K75" t="b">
        <v>1</v>
      </c>
    </row>
    <row r="76" spans="1:11" x14ac:dyDescent="0.25">
      <c r="A76" t="s">
        <v>1859</v>
      </c>
      <c r="B76" t="s">
        <v>100</v>
      </c>
      <c r="C76" t="s">
        <v>38</v>
      </c>
      <c r="D76" t="s">
        <v>122</v>
      </c>
      <c r="E76" s="2">
        <v>38</v>
      </c>
      <c r="F76" s="4">
        <v>10</v>
      </c>
      <c r="G76" s="2">
        <v>380</v>
      </c>
      <c r="H76" t="s">
        <v>25</v>
      </c>
      <c r="I76" t="s">
        <v>36</v>
      </c>
      <c r="J76" s="1">
        <v>45244</v>
      </c>
      <c r="K76" t="b">
        <v>1</v>
      </c>
    </row>
    <row r="77" spans="1:11" x14ac:dyDescent="0.25">
      <c r="A77" t="s">
        <v>4650</v>
      </c>
      <c r="B77" t="s">
        <v>104</v>
      </c>
      <c r="C77" t="s">
        <v>38</v>
      </c>
      <c r="D77" t="s">
        <v>122</v>
      </c>
      <c r="E77" s="2">
        <v>38</v>
      </c>
      <c r="F77" s="4">
        <v>10</v>
      </c>
      <c r="G77" s="2">
        <v>380</v>
      </c>
      <c r="H77" t="s">
        <v>45</v>
      </c>
      <c r="I77" t="s">
        <v>36</v>
      </c>
      <c r="J77" s="1">
        <v>45461</v>
      </c>
      <c r="K77" t="b">
        <v>1</v>
      </c>
    </row>
    <row r="78" spans="1:11" x14ac:dyDescent="0.25">
      <c r="A78" t="s">
        <v>2792</v>
      </c>
      <c r="B78" t="s">
        <v>66</v>
      </c>
      <c r="C78" t="s">
        <v>13</v>
      </c>
      <c r="D78" t="s">
        <v>567</v>
      </c>
      <c r="E78" s="2">
        <v>38</v>
      </c>
      <c r="F78" s="4">
        <v>10</v>
      </c>
      <c r="G78" s="2">
        <v>380</v>
      </c>
      <c r="H78" t="s">
        <v>45</v>
      </c>
      <c r="I78" t="s">
        <v>16</v>
      </c>
      <c r="J78" s="1">
        <v>44721</v>
      </c>
      <c r="K78" t="b">
        <v>0</v>
      </c>
    </row>
    <row r="79" spans="1:11" x14ac:dyDescent="0.25">
      <c r="A79" t="s">
        <v>1301</v>
      </c>
      <c r="B79" t="s">
        <v>100</v>
      </c>
      <c r="C79" t="s">
        <v>23</v>
      </c>
      <c r="D79" t="s">
        <v>98</v>
      </c>
      <c r="E79" s="2">
        <v>38</v>
      </c>
      <c r="F79" s="4">
        <v>10</v>
      </c>
      <c r="G79" s="2">
        <v>380</v>
      </c>
      <c r="H79" t="s">
        <v>15</v>
      </c>
      <c r="I79" t="s">
        <v>16</v>
      </c>
      <c r="J79" s="1">
        <v>45407</v>
      </c>
      <c r="K79" t="b">
        <v>1</v>
      </c>
    </row>
    <row r="80" spans="1:11" x14ac:dyDescent="0.25">
      <c r="A80" t="s">
        <v>6515</v>
      </c>
      <c r="B80" t="s">
        <v>40</v>
      </c>
      <c r="C80" t="s">
        <v>13</v>
      </c>
      <c r="D80" t="s">
        <v>567</v>
      </c>
      <c r="E80" s="2">
        <v>38</v>
      </c>
      <c r="F80" s="4">
        <v>10</v>
      </c>
      <c r="G80" s="2">
        <v>380</v>
      </c>
      <c r="H80" t="s">
        <v>45</v>
      </c>
      <c r="I80" t="s">
        <v>16</v>
      </c>
      <c r="J80" s="1">
        <v>45170</v>
      </c>
      <c r="K80" t="b">
        <v>1</v>
      </c>
    </row>
    <row r="81" spans="1:11" x14ac:dyDescent="0.25">
      <c r="A81" t="s">
        <v>964</v>
      </c>
      <c r="B81" t="s">
        <v>69</v>
      </c>
      <c r="C81" t="s">
        <v>38</v>
      </c>
      <c r="D81" t="s">
        <v>122</v>
      </c>
      <c r="E81" s="2">
        <v>38</v>
      </c>
      <c r="F81" s="4">
        <v>10</v>
      </c>
      <c r="G81" s="2">
        <v>380</v>
      </c>
      <c r="H81" t="s">
        <v>25</v>
      </c>
      <c r="I81" t="s">
        <v>16</v>
      </c>
      <c r="J81" s="1">
        <v>44892</v>
      </c>
      <c r="K81" t="b">
        <v>1</v>
      </c>
    </row>
    <row r="82" spans="1:11" x14ac:dyDescent="0.25">
      <c r="A82" t="s">
        <v>4296</v>
      </c>
      <c r="B82" t="s">
        <v>26</v>
      </c>
      <c r="C82" t="s">
        <v>13</v>
      </c>
      <c r="D82" t="s">
        <v>567</v>
      </c>
      <c r="E82" s="2">
        <v>38</v>
      </c>
      <c r="F82" s="4">
        <v>10</v>
      </c>
      <c r="G82" s="2">
        <v>380</v>
      </c>
      <c r="H82" t="s">
        <v>45</v>
      </c>
      <c r="I82" t="s">
        <v>36</v>
      </c>
      <c r="J82" s="1">
        <v>44563</v>
      </c>
      <c r="K82" t="b">
        <v>1</v>
      </c>
    </row>
    <row r="83" spans="1:11" x14ac:dyDescent="0.25">
      <c r="A83" t="s">
        <v>3820</v>
      </c>
      <c r="B83" t="s">
        <v>77</v>
      </c>
      <c r="C83" t="s">
        <v>23</v>
      </c>
      <c r="D83" t="s">
        <v>98</v>
      </c>
      <c r="E83" s="2">
        <v>38</v>
      </c>
      <c r="F83" s="4">
        <v>10</v>
      </c>
      <c r="G83" s="2">
        <v>380</v>
      </c>
      <c r="H83" t="s">
        <v>45</v>
      </c>
      <c r="I83" t="s">
        <v>16</v>
      </c>
      <c r="J83" s="1">
        <v>45171</v>
      </c>
      <c r="K83" t="b">
        <v>1</v>
      </c>
    </row>
    <row r="84" spans="1:11" x14ac:dyDescent="0.25">
      <c r="A84" t="s">
        <v>5362</v>
      </c>
      <c r="B84" t="s">
        <v>100</v>
      </c>
      <c r="C84" t="s">
        <v>59</v>
      </c>
      <c r="D84" t="s">
        <v>275</v>
      </c>
      <c r="E84" s="2">
        <v>38</v>
      </c>
      <c r="F84" s="4">
        <v>10</v>
      </c>
      <c r="G84" s="2">
        <v>380</v>
      </c>
      <c r="H84" t="s">
        <v>15</v>
      </c>
      <c r="I84" t="s">
        <v>36</v>
      </c>
      <c r="J84" s="1">
        <v>45320</v>
      </c>
      <c r="K84" t="b">
        <v>1</v>
      </c>
    </row>
    <row r="85" spans="1:11" x14ac:dyDescent="0.25">
      <c r="A85" t="s">
        <v>6758</v>
      </c>
      <c r="B85" t="s">
        <v>56</v>
      </c>
      <c r="C85" t="s">
        <v>23</v>
      </c>
      <c r="D85" t="s">
        <v>98</v>
      </c>
      <c r="E85" s="2">
        <v>38</v>
      </c>
      <c r="F85" s="4">
        <v>10</v>
      </c>
      <c r="G85" s="2">
        <v>380</v>
      </c>
      <c r="H85" t="s">
        <v>25</v>
      </c>
      <c r="I85" t="s">
        <v>16</v>
      </c>
      <c r="J85" s="1">
        <v>45477</v>
      </c>
      <c r="K85" t="b">
        <v>0</v>
      </c>
    </row>
    <row r="86" spans="1:11" x14ac:dyDescent="0.25">
      <c r="A86" t="s">
        <v>5236</v>
      </c>
      <c r="B86" t="s">
        <v>93</v>
      </c>
      <c r="C86" t="s">
        <v>23</v>
      </c>
      <c r="D86" t="s">
        <v>98</v>
      </c>
      <c r="E86" s="2">
        <v>38</v>
      </c>
      <c r="F86" s="4">
        <v>10</v>
      </c>
      <c r="G86" s="2">
        <v>380</v>
      </c>
      <c r="H86" t="s">
        <v>15</v>
      </c>
      <c r="I86" t="s">
        <v>36</v>
      </c>
      <c r="J86" s="1">
        <v>45023</v>
      </c>
      <c r="K86" t="b">
        <v>1</v>
      </c>
    </row>
    <row r="87" spans="1:11" x14ac:dyDescent="0.25">
      <c r="A87" t="s">
        <v>6642</v>
      </c>
      <c r="B87" t="s">
        <v>61</v>
      </c>
      <c r="C87" t="s">
        <v>59</v>
      </c>
      <c r="D87" t="s">
        <v>275</v>
      </c>
      <c r="E87" s="2">
        <v>38</v>
      </c>
      <c r="F87" s="4">
        <v>10</v>
      </c>
      <c r="G87" s="2">
        <v>380</v>
      </c>
      <c r="H87" t="s">
        <v>15</v>
      </c>
      <c r="I87" t="s">
        <v>16</v>
      </c>
      <c r="J87" s="1">
        <v>45330</v>
      </c>
      <c r="K87" t="b">
        <v>0</v>
      </c>
    </row>
    <row r="88" spans="1:11" x14ac:dyDescent="0.25">
      <c r="A88" t="s">
        <v>1653</v>
      </c>
      <c r="B88" t="s">
        <v>34</v>
      </c>
      <c r="C88" t="s">
        <v>38</v>
      </c>
      <c r="D88" t="s">
        <v>122</v>
      </c>
      <c r="E88" s="2">
        <v>38</v>
      </c>
      <c r="F88" s="4">
        <v>10</v>
      </c>
      <c r="G88" s="2">
        <v>380</v>
      </c>
      <c r="H88" t="s">
        <v>45</v>
      </c>
      <c r="I88" t="s">
        <v>16</v>
      </c>
      <c r="J88" s="1">
        <v>45665</v>
      </c>
      <c r="K88" t="b">
        <v>0</v>
      </c>
    </row>
    <row r="89" spans="1:11" x14ac:dyDescent="0.25">
      <c r="A89" t="s">
        <v>3388</v>
      </c>
      <c r="B89" t="s">
        <v>69</v>
      </c>
      <c r="C89" t="s">
        <v>59</v>
      </c>
      <c r="D89" t="s">
        <v>275</v>
      </c>
      <c r="E89" s="2">
        <v>38</v>
      </c>
      <c r="F89" s="4">
        <v>10</v>
      </c>
      <c r="G89" s="2">
        <v>380</v>
      </c>
      <c r="H89" t="s">
        <v>45</v>
      </c>
      <c r="I89" t="s">
        <v>16</v>
      </c>
      <c r="J89" s="1">
        <v>45123</v>
      </c>
      <c r="K89" t="b">
        <v>0</v>
      </c>
    </row>
    <row r="90" spans="1:11" x14ac:dyDescent="0.25">
      <c r="A90" t="s">
        <v>2564</v>
      </c>
      <c r="B90" t="s">
        <v>86</v>
      </c>
      <c r="C90" t="s">
        <v>59</v>
      </c>
      <c r="D90" t="s">
        <v>275</v>
      </c>
      <c r="E90" s="2">
        <v>38</v>
      </c>
      <c r="F90" s="4">
        <v>10</v>
      </c>
      <c r="G90" s="2">
        <v>380</v>
      </c>
      <c r="H90" t="s">
        <v>15</v>
      </c>
      <c r="I90" t="s">
        <v>36</v>
      </c>
      <c r="J90" s="1">
        <v>45572</v>
      </c>
      <c r="K90" t="b">
        <v>1</v>
      </c>
    </row>
    <row r="91" spans="1:11" x14ac:dyDescent="0.25">
      <c r="A91" t="s">
        <v>3942</v>
      </c>
      <c r="B91" t="s">
        <v>66</v>
      </c>
      <c r="C91" t="s">
        <v>19</v>
      </c>
      <c r="D91" t="s">
        <v>203</v>
      </c>
      <c r="E91" s="2">
        <v>38</v>
      </c>
      <c r="F91" s="4">
        <v>10</v>
      </c>
      <c r="G91" s="2">
        <v>380</v>
      </c>
      <c r="H91" t="s">
        <v>15</v>
      </c>
      <c r="I91" t="s">
        <v>36</v>
      </c>
      <c r="J91" s="1">
        <v>45281</v>
      </c>
      <c r="K91" t="b">
        <v>0</v>
      </c>
    </row>
    <row r="92" spans="1:11" x14ac:dyDescent="0.25">
      <c r="A92" t="s">
        <v>6552</v>
      </c>
      <c r="B92" t="s">
        <v>104</v>
      </c>
      <c r="C92" t="s">
        <v>19</v>
      </c>
      <c r="D92" t="s">
        <v>203</v>
      </c>
      <c r="E92" s="2">
        <v>38</v>
      </c>
      <c r="F92" s="4">
        <v>10</v>
      </c>
      <c r="G92" s="2">
        <v>380</v>
      </c>
      <c r="H92" t="s">
        <v>25</v>
      </c>
      <c r="I92" t="s">
        <v>16</v>
      </c>
      <c r="J92" s="1">
        <v>44677</v>
      </c>
      <c r="K92" t="b">
        <v>0</v>
      </c>
    </row>
    <row r="93" spans="1:11" x14ac:dyDescent="0.25">
      <c r="A93" t="s">
        <v>4509</v>
      </c>
      <c r="B93" t="s">
        <v>66</v>
      </c>
      <c r="C93" t="s">
        <v>23</v>
      </c>
      <c r="D93" t="s">
        <v>98</v>
      </c>
      <c r="E93" s="2">
        <v>38</v>
      </c>
      <c r="F93" s="4">
        <v>10</v>
      </c>
      <c r="G93" s="2">
        <v>380</v>
      </c>
      <c r="H93" t="s">
        <v>25</v>
      </c>
      <c r="I93" t="s">
        <v>16</v>
      </c>
      <c r="J93" s="1">
        <v>45583</v>
      </c>
      <c r="K93" t="b">
        <v>0</v>
      </c>
    </row>
    <row r="94" spans="1:11" x14ac:dyDescent="0.25">
      <c r="A94" t="s">
        <v>3682</v>
      </c>
      <c r="B94" t="s">
        <v>100</v>
      </c>
      <c r="C94" t="s">
        <v>27</v>
      </c>
      <c r="D94" t="s">
        <v>205</v>
      </c>
      <c r="E94" s="2">
        <v>38</v>
      </c>
      <c r="F94" s="4">
        <v>10</v>
      </c>
      <c r="G94" s="2">
        <v>380</v>
      </c>
      <c r="H94" t="s">
        <v>25</v>
      </c>
      <c r="I94" t="s">
        <v>36</v>
      </c>
      <c r="J94" s="1">
        <v>45046</v>
      </c>
      <c r="K94" t="b">
        <v>0</v>
      </c>
    </row>
    <row r="95" spans="1:11" x14ac:dyDescent="0.25">
      <c r="A95" t="s">
        <v>2925</v>
      </c>
      <c r="B95" t="s">
        <v>97</v>
      </c>
      <c r="C95" t="s">
        <v>13</v>
      </c>
      <c r="D95" t="s">
        <v>567</v>
      </c>
      <c r="E95" s="2">
        <v>38</v>
      </c>
      <c r="F95" s="4">
        <v>10</v>
      </c>
      <c r="G95" s="2">
        <v>380</v>
      </c>
      <c r="H95" t="s">
        <v>15</v>
      </c>
      <c r="I95" t="s">
        <v>16</v>
      </c>
      <c r="J95" s="1">
        <v>45130</v>
      </c>
      <c r="K95" t="b">
        <v>0</v>
      </c>
    </row>
    <row r="96" spans="1:11" x14ac:dyDescent="0.25">
      <c r="A96" t="s">
        <v>5188</v>
      </c>
      <c r="B96" t="s">
        <v>85</v>
      </c>
      <c r="C96" t="s">
        <v>19</v>
      </c>
      <c r="D96" t="s">
        <v>203</v>
      </c>
      <c r="E96" s="2">
        <v>38</v>
      </c>
      <c r="F96" s="4">
        <v>10</v>
      </c>
      <c r="G96" s="2">
        <v>380</v>
      </c>
      <c r="H96" t="s">
        <v>25</v>
      </c>
      <c r="I96" t="s">
        <v>36</v>
      </c>
      <c r="J96" s="1">
        <v>44926</v>
      </c>
      <c r="K96" t="b">
        <v>0</v>
      </c>
    </row>
    <row r="97" spans="1:11" x14ac:dyDescent="0.25">
      <c r="A97" t="s">
        <v>5390</v>
      </c>
      <c r="B97" t="s">
        <v>40</v>
      </c>
      <c r="C97" t="s">
        <v>27</v>
      </c>
      <c r="D97" t="s">
        <v>205</v>
      </c>
      <c r="E97" s="2">
        <v>38</v>
      </c>
      <c r="F97" s="4">
        <v>10</v>
      </c>
      <c r="G97" s="2">
        <v>380</v>
      </c>
      <c r="H97" t="s">
        <v>45</v>
      </c>
      <c r="I97" t="s">
        <v>36</v>
      </c>
      <c r="J97" s="1">
        <v>44575</v>
      </c>
      <c r="K97" t="b">
        <v>0</v>
      </c>
    </row>
    <row r="98" spans="1:11" x14ac:dyDescent="0.25">
      <c r="A98" t="s">
        <v>3602</v>
      </c>
      <c r="B98" t="s">
        <v>51</v>
      </c>
      <c r="C98" t="s">
        <v>23</v>
      </c>
      <c r="D98" t="s">
        <v>98</v>
      </c>
      <c r="E98" s="2">
        <v>38</v>
      </c>
      <c r="F98" s="4">
        <v>10</v>
      </c>
      <c r="G98" s="2">
        <v>380</v>
      </c>
      <c r="H98" t="s">
        <v>45</v>
      </c>
      <c r="I98" t="s">
        <v>36</v>
      </c>
      <c r="J98" s="1">
        <v>44810</v>
      </c>
      <c r="K98" t="b">
        <v>1</v>
      </c>
    </row>
    <row r="99" spans="1:11" x14ac:dyDescent="0.25">
      <c r="A99" t="s">
        <v>7277</v>
      </c>
      <c r="B99" t="s">
        <v>85</v>
      </c>
      <c r="C99" t="s">
        <v>31</v>
      </c>
      <c r="D99" t="s">
        <v>91</v>
      </c>
      <c r="E99" s="2">
        <v>38</v>
      </c>
      <c r="F99" s="4">
        <v>10</v>
      </c>
      <c r="G99" s="2">
        <v>380</v>
      </c>
      <c r="H99" t="s">
        <v>15</v>
      </c>
      <c r="I99" t="s">
        <v>36</v>
      </c>
      <c r="J99" s="1">
        <v>45269</v>
      </c>
      <c r="K99" t="b">
        <v>0</v>
      </c>
    </row>
    <row r="100" spans="1:11" x14ac:dyDescent="0.25">
      <c r="A100" t="s">
        <v>2006</v>
      </c>
      <c r="B100" t="s">
        <v>72</v>
      </c>
      <c r="C100" t="s">
        <v>23</v>
      </c>
      <c r="D100" t="s">
        <v>302</v>
      </c>
      <c r="E100" s="2">
        <v>41</v>
      </c>
      <c r="F100" s="4">
        <v>9</v>
      </c>
      <c r="G100" s="2">
        <v>369</v>
      </c>
      <c r="H100" t="s">
        <v>25</v>
      </c>
      <c r="I100" t="s">
        <v>36</v>
      </c>
      <c r="J100" s="1">
        <v>45354</v>
      </c>
      <c r="K100" t="b">
        <v>1</v>
      </c>
    </row>
    <row r="101" spans="1:11" x14ac:dyDescent="0.25">
      <c r="A101" t="s">
        <v>5573</v>
      </c>
      <c r="B101" t="s">
        <v>40</v>
      </c>
      <c r="C101" t="s">
        <v>23</v>
      </c>
      <c r="D101" t="s">
        <v>302</v>
      </c>
      <c r="E101" s="2">
        <v>41</v>
      </c>
      <c r="F101" s="4">
        <v>9</v>
      </c>
      <c r="G101" s="2">
        <v>369</v>
      </c>
      <c r="H101" t="s">
        <v>45</v>
      </c>
      <c r="I101" t="s">
        <v>36</v>
      </c>
      <c r="J101" s="1">
        <v>44903</v>
      </c>
      <c r="K101" t="b">
        <v>0</v>
      </c>
    </row>
    <row r="102" spans="1:11" x14ac:dyDescent="0.25">
      <c r="A102" t="s">
        <v>3529</v>
      </c>
      <c r="B102" t="s">
        <v>58</v>
      </c>
      <c r="C102" t="s">
        <v>110</v>
      </c>
      <c r="D102" t="s">
        <v>185</v>
      </c>
      <c r="E102" s="2">
        <v>41</v>
      </c>
      <c r="F102" s="4">
        <v>9</v>
      </c>
      <c r="G102" s="2">
        <v>369</v>
      </c>
      <c r="H102" t="s">
        <v>15</v>
      </c>
      <c r="I102" t="s">
        <v>36</v>
      </c>
      <c r="J102" s="1">
        <v>45370</v>
      </c>
      <c r="K102" t="b">
        <v>0</v>
      </c>
    </row>
    <row r="103" spans="1:11" x14ac:dyDescent="0.25">
      <c r="A103" t="s">
        <v>3421</v>
      </c>
      <c r="B103" t="s">
        <v>22</v>
      </c>
      <c r="C103" t="s">
        <v>38</v>
      </c>
      <c r="D103" t="s">
        <v>75</v>
      </c>
      <c r="E103" s="2">
        <v>41</v>
      </c>
      <c r="F103" s="4">
        <v>9</v>
      </c>
      <c r="G103" s="2">
        <v>369</v>
      </c>
      <c r="H103" t="s">
        <v>15</v>
      </c>
      <c r="I103" t="s">
        <v>36</v>
      </c>
      <c r="J103" s="1">
        <v>45084</v>
      </c>
      <c r="K103" t="b">
        <v>1</v>
      </c>
    </row>
    <row r="104" spans="1:11" x14ac:dyDescent="0.25">
      <c r="A104" t="s">
        <v>5569</v>
      </c>
      <c r="B104" t="s">
        <v>58</v>
      </c>
      <c r="C104" t="s">
        <v>110</v>
      </c>
      <c r="D104" t="s">
        <v>185</v>
      </c>
      <c r="E104" s="2">
        <v>41</v>
      </c>
      <c r="F104" s="4">
        <v>9</v>
      </c>
      <c r="G104" s="2">
        <v>369</v>
      </c>
      <c r="H104" t="s">
        <v>25</v>
      </c>
      <c r="I104" t="s">
        <v>36</v>
      </c>
      <c r="J104" s="1">
        <v>45027</v>
      </c>
      <c r="K104" t="b">
        <v>0</v>
      </c>
    </row>
    <row r="105" spans="1:11" x14ac:dyDescent="0.25">
      <c r="A105" t="s">
        <v>7012</v>
      </c>
      <c r="B105" t="s">
        <v>104</v>
      </c>
      <c r="C105" t="s">
        <v>110</v>
      </c>
      <c r="D105" t="s">
        <v>185</v>
      </c>
      <c r="E105" s="2">
        <v>41</v>
      </c>
      <c r="F105" s="4">
        <v>9</v>
      </c>
      <c r="G105" s="2">
        <v>369</v>
      </c>
      <c r="H105" t="s">
        <v>25</v>
      </c>
      <c r="I105" t="s">
        <v>36</v>
      </c>
      <c r="J105" s="1">
        <v>45463</v>
      </c>
      <c r="K105" t="b">
        <v>1</v>
      </c>
    </row>
    <row r="106" spans="1:11" x14ac:dyDescent="0.25">
      <c r="A106" t="s">
        <v>5496</v>
      </c>
      <c r="B106" t="s">
        <v>69</v>
      </c>
      <c r="C106" t="s">
        <v>38</v>
      </c>
      <c r="D106" t="s">
        <v>75</v>
      </c>
      <c r="E106" s="2">
        <v>41</v>
      </c>
      <c r="F106" s="4">
        <v>9</v>
      </c>
      <c r="G106" s="2">
        <v>369</v>
      </c>
      <c r="H106" t="s">
        <v>25</v>
      </c>
      <c r="I106" t="s">
        <v>36</v>
      </c>
      <c r="J106" s="1">
        <v>45020</v>
      </c>
      <c r="K106" t="b">
        <v>0</v>
      </c>
    </row>
    <row r="107" spans="1:11" x14ac:dyDescent="0.25">
      <c r="A107" t="s">
        <v>1079</v>
      </c>
      <c r="B107" t="s">
        <v>30</v>
      </c>
      <c r="C107" t="s">
        <v>31</v>
      </c>
      <c r="D107" t="s">
        <v>286</v>
      </c>
      <c r="E107" s="2">
        <v>41</v>
      </c>
      <c r="F107" s="4">
        <v>9</v>
      </c>
      <c r="G107" s="2">
        <v>369</v>
      </c>
      <c r="H107" t="s">
        <v>45</v>
      </c>
      <c r="I107" t="s">
        <v>36</v>
      </c>
      <c r="J107" s="1">
        <v>44989</v>
      </c>
      <c r="K107" t="b">
        <v>0</v>
      </c>
    </row>
    <row r="108" spans="1:11" x14ac:dyDescent="0.25">
      <c r="A108" t="s">
        <v>2003</v>
      </c>
      <c r="B108" t="s">
        <v>30</v>
      </c>
      <c r="C108" t="s">
        <v>23</v>
      </c>
      <c r="D108" t="s">
        <v>302</v>
      </c>
      <c r="E108" s="2">
        <v>41</v>
      </c>
      <c r="F108" s="4">
        <v>9</v>
      </c>
      <c r="G108" s="2">
        <v>369</v>
      </c>
      <c r="H108" t="s">
        <v>25</v>
      </c>
      <c r="I108" t="s">
        <v>16</v>
      </c>
      <c r="J108" s="1">
        <v>45340</v>
      </c>
      <c r="K108" t="b">
        <v>1</v>
      </c>
    </row>
    <row r="109" spans="1:11" x14ac:dyDescent="0.25">
      <c r="A109" t="s">
        <v>2465</v>
      </c>
      <c r="B109" t="s">
        <v>43</v>
      </c>
      <c r="C109" t="s">
        <v>31</v>
      </c>
      <c r="D109" t="s">
        <v>286</v>
      </c>
      <c r="E109" s="2">
        <v>41</v>
      </c>
      <c r="F109" s="4">
        <v>9</v>
      </c>
      <c r="G109" s="2">
        <v>369</v>
      </c>
      <c r="H109" t="s">
        <v>25</v>
      </c>
      <c r="I109" t="s">
        <v>16</v>
      </c>
      <c r="J109" s="1">
        <v>45514</v>
      </c>
      <c r="K109" t="b">
        <v>0</v>
      </c>
    </row>
    <row r="110" spans="1:11" x14ac:dyDescent="0.25">
      <c r="A110" t="s">
        <v>3367</v>
      </c>
      <c r="B110" t="s">
        <v>58</v>
      </c>
      <c r="C110" t="s">
        <v>59</v>
      </c>
      <c r="D110" t="s">
        <v>325</v>
      </c>
      <c r="E110" s="2">
        <v>41</v>
      </c>
      <c r="F110" s="4">
        <v>9</v>
      </c>
      <c r="G110" s="2">
        <v>369</v>
      </c>
      <c r="H110" t="s">
        <v>45</v>
      </c>
      <c r="I110" t="s">
        <v>36</v>
      </c>
      <c r="J110" s="1">
        <v>45016</v>
      </c>
      <c r="K110" t="b">
        <v>1</v>
      </c>
    </row>
    <row r="111" spans="1:11" x14ac:dyDescent="0.25">
      <c r="A111" t="s">
        <v>1347</v>
      </c>
      <c r="B111" t="s">
        <v>72</v>
      </c>
      <c r="C111" t="s">
        <v>31</v>
      </c>
      <c r="D111" t="s">
        <v>286</v>
      </c>
      <c r="E111" s="2">
        <v>41</v>
      </c>
      <c r="F111" s="4">
        <v>9</v>
      </c>
      <c r="G111" s="2">
        <v>369</v>
      </c>
      <c r="H111" t="s">
        <v>15</v>
      </c>
      <c r="I111" t="s">
        <v>16</v>
      </c>
      <c r="J111" s="1">
        <v>44711</v>
      </c>
      <c r="K111" t="b">
        <v>0</v>
      </c>
    </row>
    <row r="112" spans="1:11" x14ac:dyDescent="0.25">
      <c r="A112" t="s">
        <v>2616</v>
      </c>
      <c r="B112" t="s">
        <v>58</v>
      </c>
      <c r="C112" t="s">
        <v>38</v>
      </c>
      <c r="D112" t="s">
        <v>75</v>
      </c>
      <c r="E112" s="2">
        <v>41</v>
      </c>
      <c r="F112" s="4">
        <v>9</v>
      </c>
      <c r="G112" s="2">
        <v>369</v>
      </c>
      <c r="H112" t="s">
        <v>45</v>
      </c>
      <c r="I112" t="s">
        <v>16</v>
      </c>
      <c r="J112" s="1">
        <v>45179</v>
      </c>
      <c r="K112" t="b">
        <v>1</v>
      </c>
    </row>
    <row r="113" spans="1:11" x14ac:dyDescent="0.25">
      <c r="A113" t="s">
        <v>4930</v>
      </c>
      <c r="B113" t="s">
        <v>51</v>
      </c>
      <c r="C113" t="s">
        <v>38</v>
      </c>
      <c r="D113" t="s">
        <v>75</v>
      </c>
      <c r="E113" s="2">
        <v>41</v>
      </c>
      <c r="F113" s="4">
        <v>9</v>
      </c>
      <c r="G113" s="2">
        <v>369</v>
      </c>
      <c r="H113" t="s">
        <v>15</v>
      </c>
      <c r="I113" t="s">
        <v>36</v>
      </c>
      <c r="J113" s="1">
        <v>45554</v>
      </c>
      <c r="K113" t="b">
        <v>0</v>
      </c>
    </row>
    <row r="114" spans="1:11" x14ac:dyDescent="0.25">
      <c r="A114" t="s">
        <v>5686</v>
      </c>
      <c r="B114" t="s">
        <v>37</v>
      </c>
      <c r="C114" t="s">
        <v>27</v>
      </c>
      <c r="D114" t="s">
        <v>89</v>
      </c>
      <c r="E114" s="2">
        <v>41</v>
      </c>
      <c r="F114" s="4">
        <v>9</v>
      </c>
      <c r="G114" s="2">
        <v>369</v>
      </c>
      <c r="H114" t="s">
        <v>25</v>
      </c>
      <c r="I114" t="s">
        <v>16</v>
      </c>
      <c r="J114" s="1">
        <v>45536</v>
      </c>
      <c r="K114" t="b">
        <v>1</v>
      </c>
    </row>
    <row r="115" spans="1:11" x14ac:dyDescent="0.25">
      <c r="A115" t="s">
        <v>5174</v>
      </c>
      <c r="B115" t="s">
        <v>12</v>
      </c>
      <c r="C115" t="s">
        <v>38</v>
      </c>
      <c r="D115" t="s">
        <v>75</v>
      </c>
      <c r="E115" s="2">
        <v>41</v>
      </c>
      <c r="F115" s="4">
        <v>9</v>
      </c>
      <c r="G115" s="2">
        <v>369</v>
      </c>
      <c r="H115" t="s">
        <v>15</v>
      </c>
      <c r="I115" t="s">
        <v>16</v>
      </c>
      <c r="J115" s="1">
        <v>44753</v>
      </c>
      <c r="K115" t="b">
        <v>1</v>
      </c>
    </row>
    <row r="116" spans="1:11" x14ac:dyDescent="0.25">
      <c r="A116" t="s">
        <v>6854</v>
      </c>
      <c r="B116" t="s">
        <v>18</v>
      </c>
      <c r="C116" t="s">
        <v>38</v>
      </c>
      <c r="D116" t="s">
        <v>75</v>
      </c>
      <c r="E116" s="2">
        <v>41</v>
      </c>
      <c r="F116" s="4">
        <v>9</v>
      </c>
      <c r="G116" s="2">
        <v>369</v>
      </c>
      <c r="H116" t="s">
        <v>25</v>
      </c>
      <c r="I116" t="s">
        <v>16</v>
      </c>
      <c r="J116" s="1">
        <v>45208</v>
      </c>
      <c r="K116" t="b">
        <v>0</v>
      </c>
    </row>
    <row r="117" spans="1:11" x14ac:dyDescent="0.25">
      <c r="A117" t="s">
        <v>6453</v>
      </c>
      <c r="B117" t="s">
        <v>56</v>
      </c>
      <c r="C117" t="s">
        <v>38</v>
      </c>
      <c r="D117" t="s">
        <v>75</v>
      </c>
      <c r="E117" s="2">
        <v>41</v>
      </c>
      <c r="F117" s="4">
        <v>9</v>
      </c>
      <c r="G117" s="2">
        <v>369</v>
      </c>
      <c r="H117" t="s">
        <v>15</v>
      </c>
      <c r="I117" t="s">
        <v>16</v>
      </c>
      <c r="J117" s="1">
        <v>44717</v>
      </c>
      <c r="K117" t="b">
        <v>1</v>
      </c>
    </row>
    <row r="118" spans="1:11" x14ac:dyDescent="0.25">
      <c r="A118" t="s">
        <v>7402</v>
      </c>
      <c r="B118" t="s">
        <v>63</v>
      </c>
      <c r="C118" t="s">
        <v>59</v>
      </c>
      <c r="D118" t="s">
        <v>325</v>
      </c>
      <c r="E118" s="2">
        <v>41</v>
      </c>
      <c r="F118" s="4">
        <v>9</v>
      </c>
      <c r="G118" s="2">
        <v>369</v>
      </c>
      <c r="H118" t="s">
        <v>15</v>
      </c>
      <c r="I118" t="s">
        <v>36</v>
      </c>
      <c r="J118" s="1">
        <v>45500</v>
      </c>
      <c r="K118" t="b">
        <v>1</v>
      </c>
    </row>
    <row r="119" spans="1:11" x14ac:dyDescent="0.25">
      <c r="A119" t="s">
        <v>2603</v>
      </c>
      <c r="B119" t="s">
        <v>30</v>
      </c>
      <c r="C119" t="s">
        <v>23</v>
      </c>
      <c r="D119" t="s">
        <v>302</v>
      </c>
      <c r="E119" s="2">
        <v>41</v>
      </c>
      <c r="F119" s="4">
        <v>9</v>
      </c>
      <c r="G119" s="2">
        <v>369</v>
      </c>
      <c r="H119" t="s">
        <v>45</v>
      </c>
      <c r="I119" t="s">
        <v>36</v>
      </c>
      <c r="J119" s="1">
        <v>45599</v>
      </c>
      <c r="K119" t="b">
        <v>0</v>
      </c>
    </row>
    <row r="120" spans="1:11" x14ac:dyDescent="0.25">
      <c r="A120" t="s">
        <v>2241</v>
      </c>
      <c r="B120" t="s">
        <v>51</v>
      </c>
      <c r="C120" t="s">
        <v>27</v>
      </c>
      <c r="D120" t="s">
        <v>89</v>
      </c>
      <c r="E120" s="2">
        <v>41</v>
      </c>
      <c r="F120" s="4">
        <v>9</v>
      </c>
      <c r="G120" s="2">
        <v>369</v>
      </c>
      <c r="H120" t="s">
        <v>45</v>
      </c>
      <c r="I120" t="s">
        <v>16</v>
      </c>
      <c r="J120" s="1">
        <v>45572</v>
      </c>
      <c r="K120" t="b">
        <v>0</v>
      </c>
    </row>
    <row r="121" spans="1:11" x14ac:dyDescent="0.25">
      <c r="A121" t="s">
        <v>4374</v>
      </c>
      <c r="B121" t="s">
        <v>77</v>
      </c>
      <c r="C121" t="s">
        <v>23</v>
      </c>
      <c r="D121" t="s">
        <v>302</v>
      </c>
      <c r="E121" s="2">
        <v>41</v>
      </c>
      <c r="F121" s="4">
        <v>9</v>
      </c>
      <c r="G121" s="2">
        <v>369</v>
      </c>
      <c r="H121" t="s">
        <v>45</v>
      </c>
      <c r="I121" t="s">
        <v>16</v>
      </c>
      <c r="J121" s="1">
        <v>45472</v>
      </c>
      <c r="K121" t="b">
        <v>0</v>
      </c>
    </row>
    <row r="122" spans="1:11" x14ac:dyDescent="0.25">
      <c r="A122" t="s">
        <v>6181</v>
      </c>
      <c r="B122" t="s">
        <v>30</v>
      </c>
      <c r="C122" t="s">
        <v>59</v>
      </c>
      <c r="D122" t="s">
        <v>325</v>
      </c>
      <c r="E122" s="2">
        <v>41</v>
      </c>
      <c r="F122" s="4">
        <v>9</v>
      </c>
      <c r="G122" s="2">
        <v>369</v>
      </c>
      <c r="H122" t="s">
        <v>15</v>
      </c>
      <c r="I122" t="s">
        <v>16</v>
      </c>
      <c r="J122" s="1">
        <v>44760</v>
      </c>
      <c r="K122" t="b">
        <v>1</v>
      </c>
    </row>
    <row r="123" spans="1:11" x14ac:dyDescent="0.25">
      <c r="A123" t="s">
        <v>5213</v>
      </c>
      <c r="B123" t="s">
        <v>18</v>
      </c>
      <c r="C123" t="s">
        <v>27</v>
      </c>
      <c r="D123" t="s">
        <v>89</v>
      </c>
      <c r="E123" s="2">
        <v>41</v>
      </c>
      <c r="F123" s="4">
        <v>9</v>
      </c>
      <c r="G123" s="2">
        <v>369</v>
      </c>
      <c r="H123" t="s">
        <v>45</v>
      </c>
      <c r="I123" t="s">
        <v>36</v>
      </c>
      <c r="J123" s="1">
        <v>44664</v>
      </c>
      <c r="K123" t="b">
        <v>1</v>
      </c>
    </row>
    <row r="124" spans="1:11" x14ac:dyDescent="0.25">
      <c r="A124" t="s">
        <v>2291</v>
      </c>
      <c r="B124" t="s">
        <v>40</v>
      </c>
      <c r="C124" t="s">
        <v>38</v>
      </c>
      <c r="D124" t="s">
        <v>75</v>
      </c>
      <c r="E124" s="2">
        <v>41</v>
      </c>
      <c r="F124" s="4">
        <v>9</v>
      </c>
      <c r="G124" s="2">
        <v>369</v>
      </c>
      <c r="H124" t="s">
        <v>25</v>
      </c>
      <c r="I124" t="s">
        <v>16</v>
      </c>
      <c r="J124" s="1">
        <v>44794</v>
      </c>
      <c r="K124" t="b">
        <v>0</v>
      </c>
    </row>
    <row r="125" spans="1:11" x14ac:dyDescent="0.25">
      <c r="A125" t="s">
        <v>424</v>
      </c>
      <c r="B125" t="s">
        <v>85</v>
      </c>
      <c r="C125" t="s">
        <v>27</v>
      </c>
      <c r="D125" t="s">
        <v>89</v>
      </c>
      <c r="E125" s="2">
        <v>41</v>
      </c>
      <c r="F125" s="4">
        <v>9</v>
      </c>
      <c r="G125" s="2">
        <v>369</v>
      </c>
      <c r="H125" t="s">
        <v>25</v>
      </c>
      <c r="I125" t="s">
        <v>36</v>
      </c>
      <c r="J125" s="1">
        <v>45224</v>
      </c>
      <c r="K125" t="b">
        <v>0</v>
      </c>
    </row>
    <row r="126" spans="1:11" x14ac:dyDescent="0.25">
      <c r="A126" t="s">
        <v>5449</v>
      </c>
      <c r="B126" t="s">
        <v>30</v>
      </c>
      <c r="C126" t="s">
        <v>23</v>
      </c>
      <c r="D126" t="s">
        <v>302</v>
      </c>
      <c r="E126" s="2">
        <v>41</v>
      </c>
      <c r="F126" s="4">
        <v>9</v>
      </c>
      <c r="G126" s="2">
        <v>369</v>
      </c>
      <c r="H126" t="s">
        <v>45</v>
      </c>
      <c r="I126" t="s">
        <v>36</v>
      </c>
      <c r="J126" s="1">
        <v>45137</v>
      </c>
      <c r="K126" t="b">
        <v>0</v>
      </c>
    </row>
    <row r="127" spans="1:11" x14ac:dyDescent="0.25">
      <c r="A127" t="s">
        <v>1214</v>
      </c>
      <c r="B127" t="s">
        <v>51</v>
      </c>
      <c r="C127" t="s">
        <v>59</v>
      </c>
      <c r="D127" t="s">
        <v>325</v>
      </c>
      <c r="E127" s="2">
        <v>41</v>
      </c>
      <c r="F127" s="4">
        <v>9</v>
      </c>
      <c r="G127" s="2">
        <v>369</v>
      </c>
      <c r="H127" t="s">
        <v>15</v>
      </c>
      <c r="I127" t="s">
        <v>36</v>
      </c>
      <c r="J127" s="1">
        <v>44678</v>
      </c>
      <c r="K127" t="b">
        <v>1</v>
      </c>
    </row>
    <row r="128" spans="1:11" x14ac:dyDescent="0.25">
      <c r="A128" t="s">
        <v>148</v>
      </c>
      <c r="B128" t="s">
        <v>43</v>
      </c>
      <c r="C128" t="s">
        <v>38</v>
      </c>
      <c r="D128" t="s">
        <v>149</v>
      </c>
      <c r="E128" s="2">
        <v>36.5</v>
      </c>
      <c r="F128" s="4">
        <v>10</v>
      </c>
      <c r="G128" s="2">
        <v>365</v>
      </c>
      <c r="H128" t="s">
        <v>15</v>
      </c>
      <c r="I128" t="s">
        <v>36</v>
      </c>
      <c r="J128" s="1">
        <v>45284</v>
      </c>
      <c r="K128" t="b">
        <v>1</v>
      </c>
    </row>
    <row r="129" spans="1:11" x14ac:dyDescent="0.25">
      <c r="A129" t="s">
        <v>2183</v>
      </c>
      <c r="B129" t="s">
        <v>104</v>
      </c>
      <c r="C129" t="s">
        <v>23</v>
      </c>
      <c r="D129" t="s">
        <v>44</v>
      </c>
      <c r="E129" s="2">
        <v>36.5</v>
      </c>
      <c r="F129" s="4">
        <v>10</v>
      </c>
      <c r="G129" s="2">
        <v>365</v>
      </c>
      <c r="H129" t="s">
        <v>25</v>
      </c>
      <c r="I129" t="s">
        <v>16</v>
      </c>
      <c r="J129" s="1">
        <v>44691</v>
      </c>
      <c r="K129" t="b">
        <v>1</v>
      </c>
    </row>
    <row r="130" spans="1:11" x14ac:dyDescent="0.25">
      <c r="A130" t="s">
        <v>6397</v>
      </c>
      <c r="B130" t="s">
        <v>77</v>
      </c>
      <c r="C130" t="s">
        <v>19</v>
      </c>
      <c r="D130" t="s">
        <v>412</v>
      </c>
      <c r="E130" s="2">
        <v>36.5</v>
      </c>
      <c r="F130" s="4">
        <v>10</v>
      </c>
      <c r="G130" s="2">
        <v>365</v>
      </c>
      <c r="H130" t="s">
        <v>45</v>
      </c>
      <c r="I130" t="s">
        <v>36</v>
      </c>
      <c r="J130" s="1">
        <v>45525</v>
      </c>
      <c r="K130" t="b">
        <v>1</v>
      </c>
    </row>
    <row r="131" spans="1:11" x14ac:dyDescent="0.25">
      <c r="A131" t="s">
        <v>7669</v>
      </c>
      <c r="B131" t="s">
        <v>34</v>
      </c>
      <c r="C131" t="s">
        <v>110</v>
      </c>
      <c r="D131" t="s">
        <v>134</v>
      </c>
      <c r="E131" s="2">
        <v>36.5</v>
      </c>
      <c r="F131" s="4">
        <v>10</v>
      </c>
      <c r="G131" s="2">
        <v>365</v>
      </c>
      <c r="H131" t="s">
        <v>25</v>
      </c>
      <c r="I131" t="s">
        <v>16</v>
      </c>
      <c r="J131" s="1">
        <v>44660</v>
      </c>
      <c r="K131" t="b">
        <v>1</v>
      </c>
    </row>
    <row r="132" spans="1:11" x14ac:dyDescent="0.25">
      <c r="A132" t="s">
        <v>4539</v>
      </c>
      <c r="B132" t="s">
        <v>142</v>
      </c>
      <c r="C132" t="s">
        <v>23</v>
      </c>
      <c r="D132" t="s">
        <v>44</v>
      </c>
      <c r="E132" s="2">
        <v>36.5</v>
      </c>
      <c r="F132" s="4">
        <v>10</v>
      </c>
      <c r="G132" s="2">
        <v>365</v>
      </c>
      <c r="H132" t="s">
        <v>45</v>
      </c>
      <c r="I132" t="s">
        <v>36</v>
      </c>
      <c r="J132" s="1">
        <v>44940</v>
      </c>
      <c r="K132" t="b">
        <v>0</v>
      </c>
    </row>
    <row r="133" spans="1:11" x14ac:dyDescent="0.25">
      <c r="A133" t="s">
        <v>5703</v>
      </c>
      <c r="B133" t="s">
        <v>34</v>
      </c>
      <c r="C133" t="s">
        <v>23</v>
      </c>
      <c r="D133" t="s">
        <v>44</v>
      </c>
      <c r="E133" s="2">
        <v>36.5</v>
      </c>
      <c r="F133" s="4">
        <v>10</v>
      </c>
      <c r="G133" s="2">
        <v>365</v>
      </c>
      <c r="H133" t="s">
        <v>15</v>
      </c>
      <c r="I133" t="s">
        <v>16</v>
      </c>
      <c r="J133" s="1">
        <v>44670</v>
      </c>
      <c r="K133" t="b">
        <v>1</v>
      </c>
    </row>
    <row r="134" spans="1:11" x14ac:dyDescent="0.25">
      <c r="A134" t="s">
        <v>563</v>
      </c>
      <c r="B134" t="s">
        <v>85</v>
      </c>
      <c r="C134" t="s">
        <v>23</v>
      </c>
      <c r="D134" t="s">
        <v>44</v>
      </c>
      <c r="E134" s="2">
        <v>36.5</v>
      </c>
      <c r="F134" s="4">
        <v>10</v>
      </c>
      <c r="G134" s="2">
        <v>365</v>
      </c>
      <c r="H134" t="s">
        <v>15</v>
      </c>
      <c r="I134" t="s">
        <v>36</v>
      </c>
      <c r="J134" s="1">
        <v>44638</v>
      </c>
      <c r="K134" t="b">
        <v>1</v>
      </c>
    </row>
    <row r="135" spans="1:11" x14ac:dyDescent="0.25">
      <c r="A135" t="s">
        <v>7499</v>
      </c>
      <c r="B135" t="s">
        <v>12</v>
      </c>
      <c r="C135" t="s">
        <v>31</v>
      </c>
      <c r="D135" t="s">
        <v>136</v>
      </c>
      <c r="E135" s="2">
        <v>36.5</v>
      </c>
      <c r="F135" s="4">
        <v>10</v>
      </c>
      <c r="G135" s="2">
        <v>365</v>
      </c>
      <c r="H135" t="s">
        <v>15</v>
      </c>
      <c r="I135" t="s">
        <v>16</v>
      </c>
      <c r="J135" s="1">
        <v>45220</v>
      </c>
      <c r="K135" t="b">
        <v>1</v>
      </c>
    </row>
    <row r="136" spans="1:11" x14ac:dyDescent="0.25">
      <c r="A136" t="s">
        <v>1758</v>
      </c>
      <c r="B136" t="s">
        <v>77</v>
      </c>
      <c r="C136" t="s">
        <v>23</v>
      </c>
      <c r="D136" t="s">
        <v>44</v>
      </c>
      <c r="E136" s="2">
        <v>36.5</v>
      </c>
      <c r="F136" s="4">
        <v>10</v>
      </c>
      <c r="G136" s="2">
        <v>365</v>
      </c>
      <c r="H136" t="s">
        <v>25</v>
      </c>
      <c r="I136" t="s">
        <v>36</v>
      </c>
      <c r="J136" s="1">
        <v>45435</v>
      </c>
      <c r="K136" t="b">
        <v>1</v>
      </c>
    </row>
    <row r="137" spans="1:11" x14ac:dyDescent="0.25">
      <c r="A137" t="s">
        <v>3791</v>
      </c>
      <c r="B137" t="s">
        <v>93</v>
      </c>
      <c r="C137" t="s">
        <v>59</v>
      </c>
      <c r="D137" t="s">
        <v>290</v>
      </c>
      <c r="E137" s="2">
        <v>36.5</v>
      </c>
      <c r="F137" s="4">
        <v>10</v>
      </c>
      <c r="G137" s="2">
        <v>365</v>
      </c>
      <c r="H137" t="s">
        <v>25</v>
      </c>
      <c r="I137" t="s">
        <v>16</v>
      </c>
      <c r="J137" s="1">
        <v>45522</v>
      </c>
      <c r="K137" t="b">
        <v>1</v>
      </c>
    </row>
    <row r="138" spans="1:11" x14ac:dyDescent="0.25">
      <c r="A138" t="s">
        <v>7187</v>
      </c>
      <c r="B138" t="s">
        <v>63</v>
      </c>
      <c r="C138" t="s">
        <v>27</v>
      </c>
      <c r="D138" t="s">
        <v>101</v>
      </c>
      <c r="E138" s="2">
        <v>36.5</v>
      </c>
      <c r="F138" s="4">
        <v>10</v>
      </c>
      <c r="G138" s="2">
        <v>365</v>
      </c>
      <c r="H138" t="s">
        <v>15</v>
      </c>
      <c r="I138" t="s">
        <v>16</v>
      </c>
      <c r="J138" s="1">
        <v>45449</v>
      </c>
      <c r="K138" t="b">
        <v>0</v>
      </c>
    </row>
    <row r="139" spans="1:11" x14ac:dyDescent="0.25">
      <c r="A139" t="s">
        <v>2703</v>
      </c>
      <c r="B139" t="s">
        <v>100</v>
      </c>
      <c r="C139" t="s">
        <v>23</v>
      </c>
      <c r="D139" t="s">
        <v>44</v>
      </c>
      <c r="E139" s="2">
        <v>36.5</v>
      </c>
      <c r="F139" s="4">
        <v>10</v>
      </c>
      <c r="G139" s="2">
        <v>365</v>
      </c>
      <c r="H139" t="s">
        <v>15</v>
      </c>
      <c r="I139" t="s">
        <v>36</v>
      </c>
      <c r="J139" s="1">
        <v>45190</v>
      </c>
      <c r="K139" t="b">
        <v>1</v>
      </c>
    </row>
    <row r="140" spans="1:11" x14ac:dyDescent="0.25">
      <c r="A140" t="s">
        <v>6177</v>
      </c>
      <c r="B140" t="s">
        <v>66</v>
      </c>
      <c r="C140" t="s">
        <v>110</v>
      </c>
      <c r="D140" t="s">
        <v>134</v>
      </c>
      <c r="E140" s="2">
        <v>36.5</v>
      </c>
      <c r="F140" s="4">
        <v>10</v>
      </c>
      <c r="G140" s="2">
        <v>365</v>
      </c>
      <c r="H140" t="s">
        <v>25</v>
      </c>
      <c r="I140" t="s">
        <v>16</v>
      </c>
      <c r="J140" s="1">
        <v>45061</v>
      </c>
      <c r="K140" t="b">
        <v>0</v>
      </c>
    </row>
    <row r="141" spans="1:11" x14ac:dyDescent="0.25">
      <c r="A141" t="s">
        <v>7332</v>
      </c>
      <c r="B141" t="s">
        <v>30</v>
      </c>
      <c r="C141" t="s">
        <v>23</v>
      </c>
      <c r="D141" t="s">
        <v>44</v>
      </c>
      <c r="E141" s="2">
        <v>36.5</v>
      </c>
      <c r="F141" s="4">
        <v>10</v>
      </c>
      <c r="G141" s="2">
        <v>365</v>
      </c>
      <c r="H141" t="s">
        <v>45</v>
      </c>
      <c r="I141" t="s">
        <v>16</v>
      </c>
      <c r="J141" s="1">
        <v>45181</v>
      </c>
      <c r="K141" t="b">
        <v>1</v>
      </c>
    </row>
    <row r="142" spans="1:11" x14ac:dyDescent="0.25">
      <c r="A142" t="s">
        <v>3616</v>
      </c>
      <c r="B142" t="s">
        <v>37</v>
      </c>
      <c r="C142" t="s">
        <v>59</v>
      </c>
      <c r="D142" t="s">
        <v>290</v>
      </c>
      <c r="E142" s="2">
        <v>36.5</v>
      </c>
      <c r="F142" s="4">
        <v>10</v>
      </c>
      <c r="G142" s="2">
        <v>365</v>
      </c>
      <c r="H142" t="s">
        <v>15</v>
      </c>
      <c r="I142" t="s">
        <v>36</v>
      </c>
      <c r="J142" s="1">
        <v>45308</v>
      </c>
      <c r="K142" t="b">
        <v>1</v>
      </c>
    </row>
    <row r="143" spans="1:11" x14ac:dyDescent="0.25">
      <c r="A143" t="s">
        <v>4693</v>
      </c>
      <c r="B143" t="s">
        <v>104</v>
      </c>
      <c r="C143" t="s">
        <v>31</v>
      </c>
      <c r="D143" t="s">
        <v>136</v>
      </c>
      <c r="E143" s="2">
        <v>36.5</v>
      </c>
      <c r="F143" s="4">
        <v>10</v>
      </c>
      <c r="G143" s="2">
        <v>365</v>
      </c>
      <c r="H143" t="s">
        <v>15</v>
      </c>
      <c r="I143" t="s">
        <v>36</v>
      </c>
      <c r="J143" s="1">
        <v>44603</v>
      </c>
      <c r="K143" t="b">
        <v>0</v>
      </c>
    </row>
    <row r="144" spans="1:11" x14ac:dyDescent="0.25">
      <c r="A144" t="s">
        <v>4670</v>
      </c>
      <c r="B144" t="s">
        <v>61</v>
      </c>
      <c r="C144" t="s">
        <v>27</v>
      </c>
      <c r="D144" t="s">
        <v>101</v>
      </c>
      <c r="E144" s="2">
        <v>36.5</v>
      </c>
      <c r="F144" s="4">
        <v>10</v>
      </c>
      <c r="G144" s="2">
        <v>365</v>
      </c>
      <c r="H144" t="s">
        <v>25</v>
      </c>
      <c r="I144" t="s">
        <v>36</v>
      </c>
      <c r="J144" s="1">
        <v>45385</v>
      </c>
      <c r="K144" t="b">
        <v>1</v>
      </c>
    </row>
    <row r="145" spans="1:11" x14ac:dyDescent="0.25">
      <c r="A145" t="s">
        <v>668</v>
      </c>
      <c r="B145" t="s">
        <v>93</v>
      </c>
      <c r="C145" t="s">
        <v>13</v>
      </c>
      <c r="D145" t="s">
        <v>80</v>
      </c>
      <c r="E145" s="2">
        <v>36.5</v>
      </c>
      <c r="F145" s="4">
        <v>10</v>
      </c>
      <c r="G145" s="2">
        <v>365</v>
      </c>
      <c r="H145" t="s">
        <v>45</v>
      </c>
      <c r="I145" t="s">
        <v>36</v>
      </c>
      <c r="J145" s="1">
        <v>44869</v>
      </c>
      <c r="K145" t="b">
        <v>1</v>
      </c>
    </row>
    <row r="146" spans="1:11" x14ac:dyDescent="0.25">
      <c r="A146" t="s">
        <v>6402</v>
      </c>
      <c r="B146" t="s">
        <v>18</v>
      </c>
      <c r="C146" t="s">
        <v>19</v>
      </c>
      <c r="D146" t="s">
        <v>412</v>
      </c>
      <c r="E146" s="2">
        <v>36.5</v>
      </c>
      <c r="F146" s="4">
        <v>10</v>
      </c>
      <c r="G146" s="2">
        <v>365</v>
      </c>
      <c r="H146" t="s">
        <v>25</v>
      </c>
      <c r="I146" t="s">
        <v>36</v>
      </c>
      <c r="J146" s="1">
        <v>44749</v>
      </c>
      <c r="K146" t="b">
        <v>0</v>
      </c>
    </row>
    <row r="147" spans="1:11" x14ac:dyDescent="0.25">
      <c r="A147" t="s">
        <v>7027</v>
      </c>
      <c r="B147" t="s">
        <v>26</v>
      </c>
      <c r="C147" t="s">
        <v>23</v>
      </c>
      <c r="D147" t="s">
        <v>44</v>
      </c>
      <c r="E147" s="2">
        <v>36.5</v>
      </c>
      <c r="F147" s="4">
        <v>10</v>
      </c>
      <c r="G147" s="2">
        <v>365</v>
      </c>
      <c r="H147" t="s">
        <v>45</v>
      </c>
      <c r="I147" t="s">
        <v>36</v>
      </c>
      <c r="J147" s="1">
        <v>45254</v>
      </c>
      <c r="K147" t="b">
        <v>0</v>
      </c>
    </row>
    <row r="148" spans="1:11" x14ac:dyDescent="0.25">
      <c r="A148" t="s">
        <v>3545</v>
      </c>
      <c r="B148" t="s">
        <v>30</v>
      </c>
      <c r="C148" t="s">
        <v>13</v>
      </c>
      <c r="D148" t="s">
        <v>80</v>
      </c>
      <c r="E148" s="2">
        <v>36.5</v>
      </c>
      <c r="F148" s="4">
        <v>10</v>
      </c>
      <c r="G148" s="2">
        <v>365</v>
      </c>
      <c r="H148" t="s">
        <v>25</v>
      </c>
      <c r="I148" t="s">
        <v>36</v>
      </c>
      <c r="J148" s="1">
        <v>45332</v>
      </c>
      <c r="K148" t="b">
        <v>1</v>
      </c>
    </row>
    <row r="149" spans="1:11" x14ac:dyDescent="0.25">
      <c r="A149" t="s">
        <v>3010</v>
      </c>
      <c r="B149" t="s">
        <v>40</v>
      </c>
      <c r="C149" t="s">
        <v>59</v>
      </c>
      <c r="D149" t="s">
        <v>290</v>
      </c>
      <c r="E149" s="2">
        <v>36.5</v>
      </c>
      <c r="F149" s="4">
        <v>10</v>
      </c>
      <c r="G149" s="2">
        <v>365</v>
      </c>
      <c r="H149" t="s">
        <v>45</v>
      </c>
      <c r="I149" t="s">
        <v>16</v>
      </c>
      <c r="J149" s="1">
        <v>45456</v>
      </c>
      <c r="K149" t="b">
        <v>1</v>
      </c>
    </row>
    <row r="150" spans="1:11" x14ac:dyDescent="0.25">
      <c r="A150" t="s">
        <v>1431</v>
      </c>
      <c r="B150" t="s">
        <v>56</v>
      </c>
      <c r="C150" t="s">
        <v>31</v>
      </c>
      <c r="D150" t="s">
        <v>136</v>
      </c>
      <c r="E150" s="2">
        <v>36.5</v>
      </c>
      <c r="F150" s="4">
        <v>10</v>
      </c>
      <c r="G150" s="2">
        <v>365</v>
      </c>
      <c r="H150" t="s">
        <v>45</v>
      </c>
      <c r="I150" t="s">
        <v>36</v>
      </c>
      <c r="J150" s="1">
        <v>44633</v>
      </c>
      <c r="K150" t="b">
        <v>1</v>
      </c>
    </row>
    <row r="151" spans="1:11" x14ac:dyDescent="0.25">
      <c r="A151" t="s">
        <v>4415</v>
      </c>
      <c r="B151" t="s">
        <v>72</v>
      </c>
      <c r="C151" t="s">
        <v>23</v>
      </c>
      <c r="D151" t="s">
        <v>44</v>
      </c>
      <c r="E151" s="2">
        <v>36.5</v>
      </c>
      <c r="F151" s="4">
        <v>10</v>
      </c>
      <c r="G151" s="2">
        <v>365</v>
      </c>
      <c r="H151" t="s">
        <v>15</v>
      </c>
      <c r="I151" t="s">
        <v>36</v>
      </c>
      <c r="J151" s="1">
        <v>45577</v>
      </c>
      <c r="K151" t="b">
        <v>0</v>
      </c>
    </row>
    <row r="152" spans="1:11" x14ac:dyDescent="0.25">
      <c r="A152" t="s">
        <v>135</v>
      </c>
      <c r="B152" t="s">
        <v>61</v>
      </c>
      <c r="C152" t="s">
        <v>31</v>
      </c>
      <c r="D152" t="s">
        <v>136</v>
      </c>
      <c r="E152" s="2">
        <v>36.5</v>
      </c>
      <c r="F152" s="4">
        <v>10</v>
      </c>
      <c r="G152" s="2">
        <v>365</v>
      </c>
      <c r="H152" t="s">
        <v>25</v>
      </c>
      <c r="I152" t="s">
        <v>16</v>
      </c>
      <c r="J152" s="1">
        <v>45506</v>
      </c>
      <c r="K152" t="b">
        <v>1</v>
      </c>
    </row>
    <row r="153" spans="1:11" x14ac:dyDescent="0.25">
      <c r="A153" t="s">
        <v>2503</v>
      </c>
      <c r="B153" t="s">
        <v>56</v>
      </c>
      <c r="C153" t="s">
        <v>13</v>
      </c>
      <c r="D153" t="s">
        <v>80</v>
      </c>
      <c r="E153" s="2">
        <v>36.5</v>
      </c>
      <c r="F153" s="4">
        <v>10</v>
      </c>
      <c r="G153" s="2">
        <v>365</v>
      </c>
      <c r="H153" t="s">
        <v>15</v>
      </c>
      <c r="I153" t="s">
        <v>36</v>
      </c>
      <c r="J153" s="1">
        <v>45161</v>
      </c>
      <c r="K153" t="b">
        <v>1</v>
      </c>
    </row>
    <row r="154" spans="1:11" x14ac:dyDescent="0.25">
      <c r="A154" t="s">
        <v>2573</v>
      </c>
      <c r="B154" t="s">
        <v>66</v>
      </c>
      <c r="C154" t="s">
        <v>19</v>
      </c>
      <c r="D154" t="s">
        <v>412</v>
      </c>
      <c r="E154" s="2">
        <v>36.5</v>
      </c>
      <c r="F154" s="4">
        <v>10</v>
      </c>
      <c r="G154" s="2">
        <v>365</v>
      </c>
      <c r="H154" t="s">
        <v>25</v>
      </c>
      <c r="I154" t="s">
        <v>16</v>
      </c>
      <c r="J154" s="1">
        <v>45604</v>
      </c>
      <c r="K154" t="b">
        <v>0</v>
      </c>
    </row>
    <row r="155" spans="1:11" x14ac:dyDescent="0.25">
      <c r="A155" t="s">
        <v>7220</v>
      </c>
      <c r="B155" t="s">
        <v>26</v>
      </c>
      <c r="C155" t="s">
        <v>31</v>
      </c>
      <c r="D155" t="s">
        <v>136</v>
      </c>
      <c r="E155" s="2">
        <v>36.5</v>
      </c>
      <c r="F155" s="4">
        <v>10</v>
      </c>
      <c r="G155" s="2">
        <v>365</v>
      </c>
      <c r="H155" t="s">
        <v>25</v>
      </c>
      <c r="I155" t="s">
        <v>36</v>
      </c>
      <c r="J155" s="1">
        <v>45138</v>
      </c>
      <c r="K155" t="b">
        <v>0</v>
      </c>
    </row>
    <row r="156" spans="1:11" x14ac:dyDescent="0.25">
      <c r="A156" t="s">
        <v>629</v>
      </c>
      <c r="B156" t="s">
        <v>86</v>
      </c>
      <c r="C156" t="s">
        <v>19</v>
      </c>
      <c r="D156" t="s">
        <v>412</v>
      </c>
      <c r="E156" s="2">
        <v>36.5</v>
      </c>
      <c r="F156" s="4">
        <v>10</v>
      </c>
      <c r="G156" s="2">
        <v>365</v>
      </c>
      <c r="H156" t="s">
        <v>45</v>
      </c>
      <c r="I156" t="s">
        <v>16</v>
      </c>
      <c r="J156" s="1">
        <v>45632</v>
      </c>
      <c r="K156" t="b">
        <v>0</v>
      </c>
    </row>
    <row r="157" spans="1:11" x14ac:dyDescent="0.25">
      <c r="A157" t="s">
        <v>4489</v>
      </c>
      <c r="B157" t="s">
        <v>58</v>
      </c>
      <c r="C157" t="s">
        <v>31</v>
      </c>
      <c r="D157" t="s">
        <v>136</v>
      </c>
      <c r="E157" s="2">
        <v>36.5</v>
      </c>
      <c r="F157" s="4">
        <v>10</v>
      </c>
      <c r="G157" s="2">
        <v>365</v>
      </c>
      <c r="H157" t="s">
        <v>15</v>
      </c>
      <c r="I157" t="s">
        <v>16</v>
      </c>
      <c r="J157" s="1">
        <v>45122</v>
      </c>
      <c r="K157" t="b">
        <v>1</v>
      </c>
    </row>
    <row r="158" spans="1:11" x14ac:dyDescent="0.25">
      <c r="A158" t="s">
        <v>7355</v>
      </c>
      <c r="B158" t="s">
        <v>142</v>
      </c>
      <c r="C158" t="s">
        <v>23</v>
      </c>
      <c r="D158" t="s">
        <v>44</v>
      </c>
      <c r="E158" s="2">
        <v>36.5</v>
      </c>
      <c r="F158" s="4">
        <v>10</v>
      </c>
      <c r="G158" s="2">
        <v>365</v>
      </c>
      <c r="H158" t="s">
        <v>15</v>
      </c>
      <c r="I158" t="s">
        <v>36</v>
      </c>
      <c r="J158" s="1">
        <v>45301</v>
      </c>
      <c r="K158" t="b">
        <v>0</v>
      </c>
    </row>
    <row r="159" spans="1:11" x14ac:dyDescent="0.25">
      <c r="A159" t="s">
        <v>5542</v>
      </c>
      <c r="B159" t="s">
        <v>93</v>
      </c>
      <c r="C159" t="s">
        <v>59</v>
      </c>
      <c r="D159" t="s">
        <v>290</v>
      </c>
      <c r="E159" s="2">
        <v>36.5</v>
      </c>
      <c r="F159" s="4">
        <v>10</v>
      </c>
      <c r="G159" s="2">
        <v>365</v>
      </c>
      <c r="H159" t="s">
        <v>45</v>
      </c>
      <c r="I159" t="s">
        <v>16</v>
      </c>
      <c r="J159" s="1">
        <v>44725</v>
      </c>
      <c r="K159" t="b">
        <v>1</v>
      </c>
    </row>
    <row r="160" spans="1:11" x14ac:dyDescent="0.25">
      <c r="A160" t="s">
        <v>2333</v>
      </c>
      <c r="B160" t="s">
        <v>142</v>
      </c>
      <c r="C160" t="s">
        <v>38</v>
      </c>
      <c r="D160" t="s">
        <v>165</v>
      </c>
      <c r="E160" s="2">
        <v>39.5</v>
      </c>
      <c r="F160" s="4">
        <v>9</v>
      </c>
      <c r="G160" s="2">
        <v>355.5</v>
      </c>
      <c r="H160" t="s">
        <v>45</v>
      </c>
      <c r="I160" t="s">
        <v>36</v>
      </c>
      <c r="J160" s="1">
        <v>45312</v>
      </c>
      <c r="K160" t="b">
        <v>0</v>
      </c>
    </row>
    <row r="161" spans="1:11" x14ac:dyDescent="0.25">
      <c r="A161" t="s">
        <v>2199</v>
      </c>
      <c r="B161" t="s">
        <v>77</v>
      </c>
      <c r="C161" t="s">
        <v>27</v>
      </c>
      <c r="D161" t="s">
        <v>482</v>
      </c>
      <c r="E161" s="2">
        <v>39.5</v>
      </c>
      <c r="F161" s="4">
        <v>9</v>
      </c>
      <c r="G161" s="2">
        <v>355.5</v>
      </c>
      <c r="H161" t="s">
        <v>15</v>
      </c>
      <c r="I161" t="s">
        <v>36</v>
      </c>
      <c r="J161" s="1">
        <v>45460</v>
      </c>
      <c r="K161" t="b">
        <v>0</v>
      </c>
    </row>
    <row r="162" spans="1:11" x14ac:dyDescent="0.25">
      <c r="A162" t="s">
        <v>2847</v>
      </c>
      <c r="B162" t="s">
        <v>93</v>
      </c>
      <c r="C162" t="s">
        <v>23</v>
      </c>
      <c r="D162" t="s">
        <v>103</v>
      </c>
      <c r="E162" s="2">
        <v>39.5</v>
      </c>
      <c r="F162" s="4">
        <v>9</v>
      </c>
      <c r="G162" s="2">
        <v>355.5</v>
      </c>
      <c r="H162" t="s">
        <v>25</v>
      </c>
      <c r="I162" t="s">
        <v>36</v>
      </c>
      <c r="J162" s="1">
        <v>44602</v>
      </c>
      <c r="K162" t="b">
        <v>1</v>
      </c>
    </row>
    <row r="163" spans="1:11" x14ac:dyDescent="0.25">
      <c r="A163" t="s">
        <v>2840</v>
      </c>
      <c r="B163" t="s">
        <v>66</v>
      </c>
      <c r="C163" t="s">
        <v>38</v>
      </c>
      <c r="D163" t="s">
        <v>165</v>
      </c>
      <c r="E163" s="2">
        <v>39.5</v>
      </c>
      <c r="F163" s="4">
        <v>9</v>
      </c>
      <c r="G163" s="2">
        <v>355.5</v>
      </c>
      <c r="H163" t="s">
        <v>25</v>
      </c>
      <c r="I163" t="s">
        <v>16</v>
      </c>
      <c r="J163" s="1">
        <v>45074</v>
      </c>
      <c r="K163" t="b">
        <v>0</v>
      </c>
    </row>
    <row r="164" spans="1:11" x14ac:dyDescent="0.25">
      <c r="A164" t="s">
        <v>7579</v>
      </c>
      <c r="B164" t="s">
        <v>51</v>
      </c>
      <c r="C164" t="s">
        <v>19</v>
      </c>
      <c r="D164" t="s">
        <v>220</v>
      </c>
      <c r="E164" s="2">
        <v>39.5</v>
      </c>
      <c r="F164" s="4">
        <v>9</v>
      </c>
      <c r="G164" s="2">
        <v>355.5</v>
      </c>
      <c r="H164" t="s">
        <v>45</v>
      </c>
      <c r="I164" t="s">
        <v>16</v>
      </c>
      <c r="J164" s="1">
        <v>45081</v>
      </c>
      <c r="K164" t="b">
        <v>1</v>
      </c>
    </row>
    <row r="165" spans="1:11" x14ac:dyDescent="0.25">
      <c r="A165" t="s">
        <v>3046</v>
      </c>
      <c r="B165" t="s">
        <v>26</v>
      </c>
      <c r="C165" t="s">
        <v>23</v>
      </c>
      <c r="D165" t="s">
        <v>103</v>
      </c>
      <c r="E165" s="2">
        <v>39.5</v>
      </c>
      <c r="F165" s="4">
        <v>9</v>
      </c>
      <c r="G165" s="2">
        <v>355.5</v>
      </c>
      <c r="H165" t="s">
        <v>15</v>
      </c>
      <c r="I165" t="s">
        <v>16</v>
      </c>
      <c r="J165" s="1">
        <v>44611</v>
      </c>
      <c r="K165" t="b">
        <v>0</v>
      </c>
    </row>
    <row r="166" spans="1:11" x14ac:dyDescent="0.25">
      <c r="A166" t="s">
        <v>5596</v>
      </c>
      <c r="B166" t="s">
        <v>56</v>
      </c>
      <c r="C166" t="s">
        <v>13</v>
      </c>
      <c r="D166" t="s">
        <v>52</v>
      </c>
      <c r="E166" s="2">
        <v>39.5</v>
      </c>
      <c r="F166" s="4">
        <v>9</v>
      </c>
      <c r="G166" s="2">
        <v>355.5</v>
      </c>
      <c r="H166" t="s">
        <v>45</v>
      </c>
      <c r="I166" t="s">
        <v>16</v>
      </c>
      <c r="J166" s="1">
        <v>45650</v>
      </c>
      <c r="K166" t="b">
        <v>1</v>
      </c>
    </row>
    <row r="167" spans="1:11" x14ac:dyDescent="0.25">
      <c r="A167" t="s">
        <v>3357</v>
      </c>
      <c r="B167" t="s">
        <v>86</v>
      </c>
      <c r="C167" t="s">
        <v>27</v>
      </c>
      <c r="D167" t="s">
        <v>482</v>
      </c>
      <c r="E167" s="2">
        <v>39.5</v>
      </c>
      <c r="F167" s="4">
        <v>9</v>
      </c>
      <c r="G167" s="2">
        <v>355.5</v>
      </c>
      <c r="H167" t="s">
        <v>25</v>
      </c>
      <c r="I167" t="s">
        <v>36</v>
      </c>
      <c r="J167" s="1">
        <v>44746</v>
      </c>
      <c r="K167" t="b">
        <v>1</v>
      </c>
    </row>
    <row r="168" spans="1:11" x14ac:dyDescent="0.25">
      <c r="A168" t="s">
        <v>4940</v>
      </c>
      <c r="B168" t="s">
        <v>22</v>
      </c>
      <c r="C168" t="s">
        <v>23</v>
      </c>
      <c r="D168" t="s">
        <v>103</v>
      </c>
      <c r="E168" s="2">
        <v>39.5</v>
      </c>
      <c r="F168" s="4">
        <v>9</v>
      </c>
      <c r="G168" s="2">
        <v>355.5</v>
      </c>
      <c r="H168" t="s">
        <v>45</v>
      </c>
      <c r="I168" t="s">
        <v>16</v>
      </c>
      <c r="J168" s="1">
        <v>44720</v>
      </c>
      <c r="K168" t="b">
        <v>0</v>
      </c>
    </row>
    <row r="169" spans="1:11" x14ac:dyDescent="0.25">
      <c r="A169" t="s">
        <v>2938</v>
      </c>
      <c r="B169" t="s">
        <v>12</v>
      </c>
      <c r="C169" t="s">
        <v>31</v>
      </c>
      <c r="D169" t="s">
        <v>212</v>
      </c>
      <c r="E169" s="2">
        <v>39.5</v>
      </c>
      <c r="F169" s="4">
        <v>9</v>
      </c>
      <c r="G169" s="2">
        <v>355.5</v>
      </c>
      <c r="H169" t="s">
        <v>45</v>
      </c>
      <c r="I169" t="s">
        <v>36</v>
      </c>
      <c r="J169" s="1">
        <v>44772</v>
      </c>
      <c r="K169" t="b">
        <v>0</v>
      </c>
    </row>
    <row r="170" spans="1:11" x14ac:dyDescent="0.25">
      <c r="A170" t="s">
        <v>164</v>
      </c>
      <c r="B170" t="s">
        <v>72</v>
      </c>
      <c r="C170" t="s">
        <v>38</v>
      </c>
      <c r="D170" t="s">
        <v>165</v>
      </c>
      <c r="E170" s="2">
        <v>39.5</v>
      </c>
      <c r="F170" s="4">
        <v>9</v>
      </c>
      <c r="G170" s="2">
        <v>355.5</v>
      </c>
      <c r="H170" t="s">
        <v>25</v>
      </c>
      <c r="I170" t="s">
        <v>36</v>
      </c>
      <c r="J170" s="1">
        <v>44902</v>
      </c>
      <c r="K170" t="b">
        <v>0</v>
      </c>
    </row>
    <row r="171" spans="1:11" x14ac:dyDescent="0.25">
      <c r="A171" t="s">
        <v>2275</v>
      </c>
      <c r="B171" t="s">
        <v>56</v>
      </c>
      <c r="C171" t="s">
        <v>27</v>
      </c>
      <c r="D171" t="s">
        <v>482</v>
      </c>
      <c r="E171" s="2">
        <v>39.5</v>
      </c>
      <c r="F171" s="4">
        <v>9</v>
      </c>
      <c r="G171" s="2">
        <v>355.5</v>
      </c>
      <c r="H171" t="s">
        <v>45</v>
      </c>
      <c r="I171" t="s">
        <v>36</v>
      </c>
      <c r="J171" s="1">
        <v>44977</v>
      </c>
      <c r="K171" t="b">
        <v>0</v>
      </c>
    </row>
    <row r="172" spans="1:11" x14ac:dyDescent="0.25">
      <c r="A172" t="s">
        <v>7077</v>
      </c>
      <c r="B172" t="s">
        <v>104</v>
      </c>
      <c r="C172" t="s">
        <v>27</v>
      </c>
      <c r="D172" t="s">
        <v>482</v>
      </c>
      <c r="E172" s="2">
        <v>39.5</v>
      </c>
      <c r="F172" s="4">
        <v>9</v>
      </c>
      <c r="G172" s="2">
        <v>355.5</v>
      </c>
      <c r="H172" t="s">
        <v>15</v>
      </c>
      <c r="I172" t="s">
        <v>36</v>
      </c>
      <c r="J172" s="1">
        <v>45447</v>
      </c>
      <c r="K172" t="b">
        <v>1</v>
      </c>
    </row>
    <row r="173" spans="1:11" x14ac:dyDescent="0.25">
      <c r="A173" t="s">
        <v>4096</v>
      </c>
      <c r="B173" t="s">
        <v>86</v>
      </c>
      <c r="C173" t="s">
        <v>38</v>
      </c>
      <c r="D173" t="s">
        <v>165</v>
      </c>
      <c r="E173" s="2">
        <v>39.5</v>
      </c>
      <c r="F173" s="4">
        <v>9</v>
      </c>
      <c r="G173" s="2">
        <v>355.5</v>
      </c>
      <c r="H173" t="s">
        <v>25</v>
      </c>
      <c r="I173" t="s">
        <v>36</v>
      </c>
      <c r="J173" s="1">
        <v>45359</v>
      </c>
      <c r="K173" t="b">
        <v>0</v>
      </c>
    </row>
    <row r="174" spans="1:11" x14ac:dyDescent="0.25">
      <c r="A174" t="s">
        <v>7587</v>
      </c>
      <c r="B174" t="s">
        <v>26</v>
      </c>
      <c r="C174" t="s">
        <v>13</v>
      </c>
      <c r="D174" t="s">
        <v>52</v>
      </c>
      <c r="E174" s="2">
        <v>39.5</v>
      </c>
      <c r="F174" s="4">
        <v>9</v>
      </c>
      <c r="G174" s="2">
        <v>355.5</v>
      </c>
      <c r="H174" t="s">
        <v>45</v>
      </c>
      <c r="I174" t="s">
        <v>16</v>
      </c>
      <c r="J174" s="1">
        <v>44763</v>
      </c>
      <c r="K174" t="b">
        <v>1</v>
      </c>
    </row>
    <row r="175" spans="1:11" x14ac:dyDescent="0.25">
      <c r="A175" t="s">
        <v>1809</v>
      </c>
      <c r="B175" t="s">
        <v>37</v>
      </c>
      <c r="C175" t="s">
        <v>13</v>
      </c>
      <c r="D175" t="s">
        <v>52</v>
      </c>
      <c r="E175" s="2">
        <v>39.5</v>
      </c>
      <c r="F175" s="4">
        <v>9</v>
      </c>
      <c r="G175" s="2">
        <v>355.5</v>
      </c>
      <c r="H175" t="s">
        <v>25</v>
      </c>
      <c r="I175" t="s">
        <v>16</v>
      </c>
      <c r="J175" s="1">
        <v>44587</v>
      </c>
      <c r="K175" t="b">
        <v>1</v>
      </c>
    </row>
    <row r="176" spans="1:11" x14ac:dyDescent="0.25">
      <c r="A176" t="s">
        <v>902</v>
      </c>
      <c r="B176" t="s">
        <v>12</v>
      </c>
      <c r="C176" t="s">
        <v>19</v>
      </c>
      <c r="D176" t="s">
        <v>220</v>
      </c>
      <c r="E176" s="2">
        <v>39.5</v>
      </c>
      <c r="F176" s="4">
        <v>9</v>
      </c>
      <c r="G176" s="2">
        <v>355.5</v>
      </c>
      <c r="H176" t="s">
        <v>25</v>
      </c>
      <c r="I176" t="s">
        <v>36</v>
      </c>
      <c r="J176" s="1">
        <v>45034</v>
      </c>
      <c r="K176" t="b">
        <v>0</v>
      </c>
    </row>
    <row r="177" spans="1:11" x14ac:dyDescent="0.25">
      <c r="A177" t="s">
        <v>1397</v>
      </c>
      <c r="B177" t="s">
        <v>37</v>
      </c>
      <c r="C177" t="s">
        <v>23</v>
      </c>
      <c r="D177" t="s">
        <v>103</v>
      </c>
      <c r="E177" s="2">
        <v>39.5</v>
      </c>
      <c r="F177" s="4">
        <v>9</v>
      </c>
      <c r="G177" s="2">
        <v>355.5</v>
      </c>
      <c r="H177" t="s">
        <v>45</v>
      </c>
      <c r="I177" t="s">
        <v>36</v>
      </c>
      <c r="J177" s="1">
        <v>45418</v>
      </c>
      <c r="K177" t="b">
        <v>0</v>
      </c>
    </row>
    <row r="178" spans="1:11" x14ac:dyDescent="0.25">
      <c r="A178" t="s">
        <v>5720</v>
      </c>
      <c r="B178" t="s">
        <v>30</v>
      </c>
      <c r="C178" t="s">
        <v>38</v>
      </c>
      <c r="D178" t="s">
        <v>165</v>
      </c>
      <c r="E178" s="2">
        <v>39.5</v>
      </c>
      <c r="F178" s="4">
        <v>9</v>
      </c>
      <c r="G178" s="2">
        <v>355.5</v>
      </c>
      <c r="H178" t="s">
        <v>45</v>
      </c>
      <c r="I178" t="s">
        <v>36</v>
      </c>
      <c r="J178" s="1">
        <v>44667</v>
      </c>
      <c r="K178" t="b">
        <v>0</v>
      </c>
    </row>
    <row r="179" spans="1:11" x14ac:dyDescent="0.25">
      <c r="A179" t="s">
        <v>4558</v>
      </c>
      <c r="B179" t="s">
        <v>72</v>
      </c>
      <c r="C179" t="s">
        <v>38</v>
      </c>
      <c r="D179" t="s">
        <v>165</v>
      </c>
      <c r="E179" s="2">
        <v>39.5</v>
      </c>
      <c r="F179" s="4">
        <v>9</v>
      </c>
      <c r="G179" s="2">
        <v>355.5</v>
      </c>
      <c r="H179" t="s">
        <v>25</v>
      </c>
      <c r="I179" t="s">
        <v>16</v>
      </c>
      <c r="J179" s="1">
        <v>44741</v>
      </c>
      <c r="K179" t="b">
        <v>1</v>
      </c>
    </row>
    <row r="180" spans="1:11" x14ac:dyDescent="0.25">
      <c r="A180" t="s">
        <v>2949</v>
      </c>
      <c r="B180" t="s">
        <v>30</v>
      </c>
      <c r="C180" t="s">
        <v>27</v>
      </c>
      <c r="D180" t="s">
        <v>482</v>
      </c>
      <c r="E180" s="2">
        <v>39.5</v>
      </c>
      <c r="F180" s="4">
        <v>9</v>
      </c>
      <c r="G180" s="2">
        <v>355.5</v>
      </c>
      <c r="H180" t="s">
        <v>45</v>
      </c>
      <c r="I180" t="s">
        <v>36</v>
      </c>
      <c r="J180" s="1">
        <v>45415</v>
      </c>
      <c r="K180" t="b">
        <v>1</v>
      </c>
    </row>
    <row r="181" spans="1:11" x14ac:dyDescent="0.25">
      <c r="A181" t="s">
        <v>6360</v>
      </c>
      <c r="B181" t="s">
        <v>40</v>
      </c>
      <c r="C181" t="s">
        <v>27</v>
      </c>
      <c r="D181" t="s">
        <v>482</v>
      </c>
      <c r="E181" s="2">
        <v>39.5</v>
      </c>
      <c r="F181" s="4">
        <v>9</v>
      </c>
      <c r="G181" s="2">
        <v>355.5</v>
      </c>
      <c r="H181" t="s">
        <v>45</v>
      </c>
      <c r="I181" t="s">
        <v>16</v>
      </c>
      <c r="J181" s="1">
        <v>45444</v>
      </c>
      <c r="K181" t="b">
        <v>1</v>
      </c>
    </row>
    <row r="182" spans="1:11" x14ac:dyDescent="0.25">
      <c r="A182" t="s">
        <v>1244</v>
      </c>
      <c r="B182" t="s">
        <v>61</v>
      </c>
      <c r="C182" t="s">
        <v>38</v>
      </c>
      <c r="D182" t="s">
        <v>165</v>
      </c>
      <c r="E182" s="2">
        <v>39.5</v>
      </c>
      <c r="F182" s="4">
        <v>9</v>
      </c>
      <c r="G182" s="2">
        <v>355.5</v>
      </c>
      <c r="H182" t="s">
        <v>25</v>
      </c>
      <c r="I182" t="s">
        <v>16</v>
      </c>
      <c r="J182" s="1">
        <v>45422</v>
      </c>
      <c r="K182" t="b">
        <v>0</v>
      </c>
    </row>
    <row r="183" spans="1:11" x14ac:dyDescent="0.25">
      <c r="A183" t="s">
        <v>5181</v>
      </c>
      <c r="B183" t="s">
        <v>69</v>
      </c>
      <c r="C183" t="s">
        <v>13</v>
      </c>
      <c r="D183" t="s">
        <v>52</v>
      </c>
      <c r="E183" s="2">
        <v>39.5</v>
      </c>
      <c r="F183" s="4">
        <v>9</v>
      </c>
      <c r="G183" s="2">
        <v>355.5</v>
      </c>
      <c r="H183" t="s">
        <v>15</v>
      </c>
      <c r="I183" t="s">
        <v>36</v>
      </c>
      <c r="J183" s="1">
        <v>45503</v>
      </c>
      <c r="K183" t="b">
        <v>1</v>
      </c>
    </row>
    <row r="184" spans="1:11" x14ac:dyDescent="0.25">
      <c r="A184" t="s">
        <v>4915</v>
      </c>
      <c r="B184" t="s">
        <v>51</v>
      </c>
      <c r="C184" t="s">
        <v>19</v>
      </c>
      <c r="D184" t="s">
        <v>220</v>
      </c>
      <c r="E184" s="2">
        <v>39.5</v>
      </c>
      <c r="F184" s="4">
        <v>9</v>
      </c>
      <c r="G184" s="2">
        <v>355.5</v>
      </c>
      <c r="H184" t="s">
        <v>25</v>
      </c>
      <c r="I184" t="s">
        <v>36</v>
      </c>
      <c r="J184" s="1">
        <v>45194</v>
      </c>
      <c r="K184" t="b">
        <v>1</v>
      </c>
    </row>
    <row r="185" spans="1:11" x14ac:dyDescent="0.25">
      <c r="A185" t="s">
        <v>5976</v>
      </c>
      <c r="B185" t="s">
        <v>26</v>
      </c>
      <c r="C185" t="s">
        <v>31</v>
      </c>
      <c r="D185" t="s">
        <v>212</v>
      </c>
      <c r="E185" s="2">
        <v>39.5</v>
      </c>
      <c r="F185" s="4">
        <v>9</v>
      </c>
      <c r="G185" s="2">
        <v>355.5</v>
      </c>
      <c r="H185" t="s">
        <v>25</v>
      </c>
      <c r="I185" t="s">
        <v>16</v>
      </c>
      <c r="J185" s="1">
        <v>45247</v>
      </c>
      <c r="K185" t="b">
        <v>0</v>
      </c>
    </row>
    <row r="186" spans="1:11" x14ac:dyDescent="0.25">
      <c r="A186" t="s">
        <v>7213</v>
      </c>
      <c r="B186" t="s">
        <v>22</v>
      </c>
      <c r="C186" t="s">
        <v>31</v>
      </c>
      <c r="D186" t="s">
        <v>212</v>
      </c>
      <c r="E186" s="2">
        <v>39.5</v>
      </c>
      <c r="F186" s="4">
        <v>9</v>
      </c>
      <c r="G186" s="2">
        <v>355.5</v>
      </c>
      <c r="H186" t="s">
        <v>45</v>
      </c>
      <c r="I186" t="s">
        <v>16</v>
      </c>
      <c r="J186" s="1">
        <v>44894</v>
      </c>
      <c r="K186" t="b">
        <v>1</v>
      </c>
    </row>
    <row r="187" spans="1:11" x14ac:dyDescent="0.25">
      <c r="A187" t="s">
        <v>370</v>
      </c>
      <c r="B187" t="s">
        <v>56</v>
      </c>
      <c r="C187" t="s">
        <v>38</v>
      </c>
      <c r="D187" t="s">
        <v>165</v>
      </c>
      <c r="E187" s="2">
        <v>39.5</v>
      </c>
      <c r="F187" s="4">
        <v>9</v>
      </c>
      <c r="G187" s="2">
        <v>355.5</v>
      </c>
      <c r="H187" t="s">
        <v>15</v>
      </c>
      <c r="I187" t="s">
        <v>36</v>
      </c>
      <c r="J187" s="1">
        <v>45651</v>
      </c>
      <c r="K187" t="b">
        <v>0</v>
      </c>
    </row>
    <row r="188" spans="1:11" x14ac:dyDescent="0.25">
      <c r="A188" t="s">
        <v>5853</v>
      </c>
      <c r="B188" t="s">
        <v>43</v>
      </c>
      <c r="C188" t="s">
        <v>27</v>
      </c>
      <c r="D188" t="s">
        <v>482</v>
      </c>
      <c r="E188" s="2">
        <v>39.5</v>
      </c>
      <c r="F188" s="4">
        <v>9</v>
      </c>
      <c r="G188" s="2">
        <v>355.5</v>
      </c>
      <c r="H188" t="s">
        <v>15</v>
      </c>
      <c r="I188" t="s">
        <v>36</v>
      </c>
      <c r="J188" s="1">
        <v>45323</v>
      </c>
      <c r="K188" t="b">
        <v>1</v>
      </c>
    </row>
    <row r="189" spans="1:11" x14ac:dyDescent="0.25">
      <c r="A189" t="s">
        <v>3365</v>
      </c>
      <c r="B189" t="s">
        <v>18</v>
      </c>
      <c r="C189" t="s">
        <v>23</v>
      </c>
      <c r="D189" t="s">
        <v>103</v>
      </c>
      <c r="E189" s="2">
        <v>39.5</v>
      </c>
      <c r="F189" s="4">
        <v>9</v>
      </c>
      <c r="G189" s="2">
        <v>355.5</v>
      </c>
      <c r="H189" t="s">
        <v>45</v>
      </c>
      <c r="I189" t="s">
        <v>16</v>
      </c>
      <c r="J189" s="1">
        <v>45457</v>
      </c>
      <c r="K189" t="b">
        <v>1</v>
      </c>
    </row>
    <row r="190" spans="1:11" x14ac:dyDescent="0.25">
      <c r="A190" t="s">
        <v>1599</v>
      </c>
      <c r="B190" t="s">
        <v>30</v>
      </c>
      <c r="C190" t="s">
        <v>13</v>
      </c>
      <c r="D190" t="s">
        <v>52</v>
      </c>
      <c r="E190" s="2">
        <v>39.5</v>
      </c>
      <c r="F190" s="4">
        <v>9</v>
      </c>
      <c r="G190" s="2">
        <v>355.5</v>
      </c>
      <c r="H190" t="s">
        <v>15</v>
      </c>
      <c r="I190" t="s">
        <v>36</v>
      </c>
      <c r="J190" s="1">
        <v>45586</v>
      </c>
      <c r="K190" t="b">
        <v>0</v>
      </c>
    </row>
    <row r="191" spans="1:11" x14ac:dyDescent="0.25">
      <c r="A191" t="s">
        <v>2152</v>
      </c>
      <c r="B191" t="s">
        <v>58</v>
      </c>
      <c r="C191" t="s">
        <v>19</v>
      </c>
      <c r="D191" t="s">
        <v>214</v>
      </c>
      <c r="E191" s="2">
        <v>35</v>
      </c>
      <c r="F191" s="4">
        <v>10</v>
      </c>
      <c r="G191" s="2">
        <v>350</v>
      </c>
      <c r="H191" t="s">
        <v>25</v>
      </c>
      <c r="I191" t="s">
        <v>16</v>
      </c>
      <c r="J191" s="1">
        <v>44809</v>
      </c>
      <c r="K191" t="b">
        <v>1</v>
      </c>
    </row>
    <row r="192" spans="1:11" x14ac:dyDescent="0.25">
      <c r="A192" t="s">
        <v>5778</v>
      </c>
      <c r="B192" t="s">
        <v>26</v>
      </c>
      <c r="C192" t="s">
        <v>38</v>
      </c>
      <c r="D192" t="s">
        <v>163</v>
      </c>
      <c r="E192" s="2">
        <v>35</v>
      </c>
      <c r="F192" s="4">
        <v>10</v>
      </c>
      <c r="G192" s="2">
        <v>350</v>
      </c>
      <c r="H192" t="s">
        <v>45</v>
      </c>
      <c r="I192" t="s">
        <v>36</v>
      </c>
      <c r="J192" s="1">
        <v>45265</v>
      </c>
      <c r="K192" t="b">
        <v>1</v>
      </c>
    </row>
    <row r="193" spans="1:11" x14ac:dyDescent="0.25">
      <c r="A193" t="s">
        <v>2979</v>
      </c>
      <c r="B193" t="s">
        <v>77</v>
      </c>
      <c r="C193" t="s">
        <v>38</v>
      </c>
      <c r="D193" t="s">
        <v>163</v>
      </c>
      <c r="E193" s="2">
        <v>35</v>
      </c>
      <c r="F193" s="4">
        <v>10</v>
      </c>
      <c r="G193" s="2">
        <v>350</v>
      </c>
      <c r="H193" t="s">
        <v>15</v>
      </c>
      <c r="I193" t="s">
        <v>36</v>
      </c>
      <c r="J193" s="1">
        <v>45152</v>
      </c>
      <c r="K193" t="b">
        <v>1</v>
      </c>
    </row>
    <row r="194" spans="1:11" x14ac:dyDescent="0.25">
      <c r="A194" t="s">
        <v>3528</v>
      </c>
      <c r="B194" t="s">
        <v>61</v>
      </c>
      <c r="C194" t="s">
        <v>110</v>
      </c>
      <c r="D194" t="s">
        <v>197</v>
      </c>
      <c r="E194" s="2">
        <v>35</v>
      </c>
      <c r="F194" s="4">
        <v>10</v>
      </c>
      <c r="G194" s="2">
        <v>350</v>
      </c>
      <c r="H194" t="s">
        <v>25</v>
      </c>
      <c r="I194" t="s">
        <v>16</v>
      </c>
      <c r="J194" s="1">
        <v>45410</v>
      </c>
      <c r="K194" t="b">
        <v>0</v>
      </c>
    </row>
    <row r="195" spans="1:11" x14ac:dyDescent="0.25">
      <c r="A195" t="s">
        <v>631</v>
      </c>
      <c r="B195" t="s">
        <v>104</v>
      </c>
      <c r="C195" t="s">
        <v>38</v>
      </c>
      <c r="D195" t="s">
        <v>163</v>
      </c>
      <c r="E195" s="2">
        <v>35</v>
      </c>
      <c r="F195" s="4">
        <v>10</v>
      </c>
      <c r="G195" s="2">
        <v>350</v>
      </c>
      <c r="H195" t="s">
        <v>15</v>
      </c>
      <c r="I195" t="s">
        <v>16</v>
      </c>
      <c r="J195" s="1">
        <v>45096</v>
      </c>
      <c r="K195" t="b">
        <v>0</v>
      </c>
    </row>
    <row r="196" spans="1:11" x14ac:dyDescent="0.25">
      <c r="A196" t="s">
        <v>2783</v>
      </c>
      <c r="B196" t="s">
        <v>34</v>
      </c>
      <c r="C196" t="s">
        <v>27</v>
      </c>
      <c r="D196" t="s">
        <v>240</v>
      </c>
      <c r="E196" s="2">
        <v>35</v>
      </c>
      <c r="F196" s="4">
        <v>10</v>
      </c>
      <c r="G196" s="2">
        <v>350</v>
      </c>
      <c r="H196" t="s">
        <v>45</v>
      </c>
      <c r="I196" t="s">
        <v>16</v>
      </c>
      <c r="J196" s="1">
        <v>45291</v>
      </c>
      <c r="K196" t="b">
        <v>1</v>
      </c>
    </row>
    <row r="197" spans="1:11" x14ac:dyDescent="0.25">
      <c r="A197" t="s">
        <v>6785</v>
      </c>
      <c r="B197" t="s">
        <v>26</v>
      </c>
      <c r="C197" t="s">
        <v>59</v>
      </c>
      <c r="D197" t="s">
        <v>87</v>
      </c>
      <c r="E197" s="2">
        <v>35</v>
      </c>
      <c r="F197" s="4">
        <v>10</v>
      </c>
      <c r="G197" s="2">
        <v>350</v>
      </c>
      <c r="H197" t="s">
        <v>45</v>
      </c>
      <c r="I197" t="s">
        <v>16</v>
      </c>
      <c r="J197" s="1">
        <v>44562</v>
      </c>
      <c r="K197" t="b">
        <v>1</v>
      </c>
    </row>
    <row r="198" spans="1:11" x14ac:dyDescent="0.25">
      <c r="A198" t="s">
        <v>639</v>
      </c>
      <c r="B198" t="s">
        <v>77</v>
      </c>
      <c r="C198" t="s">
        <v>38</v>
      </c>
      <c r="D198" t="s">
        <v>163</v>
      </c>
      <c r="E198" s="2">
        <v>35</v>
      </c>
      <c r="F198" s="4">
        <v>10</v>
      </c>
      <c r="G198" s="2">
        <v>350</v>
      </c>
      <c r="H198" t="s">
        <v>25</v>
      </c>
      <c r="I198" t="s">
        <v>16</v>
      </c>
      <c r="J198" s="1">
        <v>45512</v>
      </c>
      <c r="K198" t="b">
        <v>1</v>
      </c>
    </row>
    <row r="199" spans="1:11" x14ac:dyDescent="0.25">
      <c r="A199" t="s">
        <v>2289</v>
      </c>
      <c r="B199" t="s">
        <v>34</v>
      </c>
      <c r="C199" t="s">
        <v>31</v>
      </c>
      <c r="D199" t="s">
        <v>905</v>
      </c>
      <c r="E199" s="2">
        <v>35</v>
      </c>
      <c r="F199" s="4">
        <v>10</v>
      </c>
      <c r="G199" s="2">
        <v>350</v>
      </c>
      <c r="H199" t="s">
        <v>25</v>
      </c>
      <c r="I199" t="s">
        <v>16</v>
      </c>
      <c r="J199" s="1">
        <v>44819</v>
      </c>
      <c r="K199" t="b">
        <v>1</v>
      </c>
    </row>
    <row r="200" spans="1:11" x14ac:dyDescent="0.25">
      <c r="A200" t="s">
        <v>7416</v>
      </c>
      <c r="B200" t="s">
        <v>69</v>
      </c>
      <c r="C200" t="s">
        <v>59</v>
      </c>
      <c r="D200" t="s">
        <v>87</v>
      </c>
      <c r="E200" s="2">
        <v>35</v>
      </c>
      <c r="F200" s="4">
        <v>10</v>
      </c>
      <c r="G200" s="2">
        <v>350</v>
      </c>
      <c r="H200" t="s">
        <v>45</v>
      </c>
      <c r="I200" t="s">
        <v>16</v>
      </c>
      <c r="J200" s="1">
        <v>44975</v>
      </c>
      <c r="K200" t="b">
        <v>0</v>
      </c>
    </row>
    <row r="201" spans="1:11" x14ac:dyDescent="0.25">
      <c r="A201" t="s">
        <v>7455</v>
      </c>
      <c r="B201" t="s">
        <v>104</v>
      </c>
      <c r="C201" t="s">
        <v>59</v>
      </c>
      <c r="D201" t="s">
        <v>87</v>
      </c>
      <c r="E201" s="2">
        <v>35</v>
      </c>
      <c r="F201" s="4">
        <v>10</v>
      </c>
      <c r="G201" s="2">
        <v>350</v>
      </c>
      <c r="H201" t="s">
        <v>25</v>
      </c>
      <c r="I201" t="s">
        <v>16</v>
      </c>
      <c r="J201" s="1">
        <v>45274</v>
      </c>
      <c r="K201" t="b">
        <v>0</v>
      </c>
    </row>
    <row r="202" spans="1:11" x14ac:dyDescent="0.25">
      <c r="A202" t="s">
        <v>1021</v>
      </c>
      <c r="B202" t="s">
        <v>77</v>
      </c>
      <c r="C202" t="s">
        <v>31</v>
      </c>
      <c r="D202" t="s">
        <v>905</v>
      </c>
      <c r="E202" s="2">
        <v>35</v>
      </c>
      <c r="F202" s="4">
        <v>10</v>
      </c>
      <c r="G202" s="2">
        <v>350</v>
      </c>
      <c r="H202" t="s">
        <v>25</v>
      </c>
      <c r="I202" t="s">
        <v>36</v>
      </c>
      <c r="J202" s="1">
        <v>44944</v>
      </c>
      <c r="K202" t="b">
        <v>1</v>
      </c>
    </row>
    <row r="203" spans="1:11" x14ac:dyDescent="0.25">
      <c r="A203" t="s">
        <v>864</v>
      </c>
      <c r="B203" t="s">
        <v>30</v>
      </c>
      <c r="C203" t="s">
        <v>110</v>
      </c>
      <c r="D203" t="s">
        <v>197</v>
      </c>
      <c r="E203" s="2">
        <v>35</v>
      </c>
      <c r="F203" s="4">
        <v>10</v>
      </c>
      <c r="G203" s="2">
        <v>350</v>
      </c>
      <c r="H203" t="s">
        <v>25</v>
      </c>
      <c r="I203" t="s">
        <v>36</v>
      </c>
      <c r="J203" s="1">
        <v>45191</v>
      </c>
      <c r="K203" t="b">
        <v>1</v>
      </c>
    </row>
    <row r="204" spans="1:11" x14ac:dyDescent="0.25">
      <c r="A204" t="s">
        <v>4700</v>
      </c>
      <c r="B204" t="s">
        <v>97</v>
      </c>
      <c r="C204" t="s">
        <v>59</v>
      </c>
      <c r="D204" t="s">
        <v>87</v>
      </c>
      <c r="E204" s="2">
        <v>35</v>
      </c>
      <c r="F204" s="4">
        <v>10</v>
      </c>
      <c r="G204" s="2">
        <v>350</v>
      </c>
      <c r="H204" t="s">
        <v>15</v>
      </c>
      <c r="I204" t="s">
        <v>16</v>
      </c>
      <c r="J204" s="1">
        <v>44599</v>
      </c>
      <c r="K204" t="b">
        <v>1</v>
      </c>
    </row>
    <row r="205" spans="1:11" x14ac:dyDescent="0.25">
      <c r="A205" t="s">
        <v>4371</v>
      </c>
      <c r="B205" t="s">
        <v>22</v>
      </c>
      <c r="C205" t="s">
        <v>110</v>
      </c>
      <c r="D205" t="s">
        <v>197</v>
      </c>
      <c r="E205" s="2">
        <v>35</v>
      </c>
      <c r="F205" s="4">
        <v>10</v>
      </c>
      <c r="G205" s="2">
        <v>350</v>
      </c>
      <c r="H205" t="s">
        <v>45</v>
      </c>
      <c r="I205" t="s">
        <v>16</v>
      </c>
      <c r="J205" s="1">
        <v>45464</v>
      </c>
      <c r="K205" t="b">
        <v>0</v>
      </c>
    </row>
    <row r="206" spans="1:11" x14ac:dyDescent="0.25">
      <c r="A206" t="s">
        <v>7531</v>
      </c>
      <c r="B206" t="s">
        <v>43</v>
      </c>
      <c r="C206" t="s">
        <v>110</v>
      </c>
      <c r="D206" t="s">
        <v>197</v>
      </c>
      <c r="E206" s="2">
        <v>35</v>
      </c>
      <c r="F206" s="4">
        <v>10</v>
      </c>
      <c r="G206" s="2">
        <v>350</v>
      </c>
      <c r="H206" t="s">
        <v>25</v>
      </c>
      <c r="I206" t="s">
        <v>36</v>
      </c>
      <c r="J206" s="1">
        <v>45429</v>
      </c>
      <c r="K206" t="b">
        <v>0</v>
      </c>
    </row>
    <row r="207" spans="1:11" x14ac:dyDescent="0.25">
      <c r="A207" t="s">
        <v>7430</v>
      </c>
      <c r="B207" t="s">
        <v>85</v>
      </c>
      <c r="C207" t="s">
        <v>38</v>
      </c>
      <c r="D207" t="s">
        <v>163</v>
      </c>
      <c r="E207" s="2">
        <v>35</v>
      </c>
      <c r="F207" s="4">
        <v>10</v>
      </c>
      <c r="G207" s="2">
        <v>350</v>
      </c>
      <c r="H207" t="s">
        <v>45</v>
      </c>
      <c r="I207" t="s">
        <v>16</v>
      </c>
      <c r="J207" s="1">
        <v>44717</v>
      </c>
      <c r="K207" t="b">
        <v>0</v>
      </c>
    </row>
    <row r="208" spans="1:11" x14ac:dyDescent="0.25">
      <c r="A208" t="s">
        <v>4525</v>
      </c>
      <c r="B208" t="s">
        <v>72</v>
      </c>
      <c r="C208" t="s">
        <v>27</v>
      </c>
      <c r="D208" t="s">
        <v>240</v>
      </c>
      <c r="E208" s="2">
        <v>35</v>
      </c>
      <c r="F208" s="4">
        <v>10</v>
      </c>
      <c r="G208" s="2">
        <v>350</v>
      </c>
      <c r="H208" t="s">
        <v>45</v>
      </c>
      <c r="I208" t="s">
        <v>16</v>
      </c>
      <c r="J208" s="1">
        <v>45525</v>
      </c>
      <c r="K208" t="b">
        <v>0</v>
      </c>
    </row>
    <row r="209" spans="1:11" x14ac:dyDescent="0.25">
      <c r="A209" t="s">
        <v>2584</v>
      </c>
      <c r="B209" t="s">
        <v>77</v>
      </c>
      <c r="C209" t="s">
        <v>110</v>
      </c>
      <c r="D209" t="s">
        <v>197</v>
      </c>
      <c r="E209" s="2">
        <v>35</v>
      </c>
      <c r="F209" s="4">
        <v>10</v>
      </c>
      <c r="G209" s="2">
        <v>350</v>
      </c>
      <c r="H209" t="s">
        <v>25</v>
      </c>
      <c r="I209" t="s">
        <v>16</v>
      </c>
      <c r="J209" s="1">
        <v>44569</v>
      </c>
      <c r="K209" t="b">
        <v>0</v>
      </c>
    </row>
    <row r="210" spans="1:11" x14ac:dyDescent="0.25">
      <c r="A210" t="s">
        <v>5152</v>
      </c>
      <c r="B210" t="s">
        <v>34</v>
      </c>
      <c r="C210" t="s">
        <v>110</v>
      </c>
      <c r="D210" t="s">
        <v>197</v>
      </c>
      <c r="E210" s="2">
        <v>35</v>
      </c>
      <c r="F210" s="4">
        <v>10</v>
      </c>
      <c r="G210" s="2">
        <v>350</v>
      </c>
      <c r="H210" t="s">
        <v>25</v>
      </c>
      <c r="I210" t="s">
        <v>16</v>
      </c>
      <c r="J210" s="1">
        <v>44920</v>
      </c>
      <c r="K210" t="b">
        <v>1</v>
      </c>
    </row>
    <row r="211" spans="1:11" x14ac:dyDescent="0.25">
      <c r="A211" t="s">
        <v>7049</v>
      </c>
      <c r="B211" t="s">
        <v>66</v>
      </c>
      <c r="C211" t="s">
        <v>19</v>
      </c>
      <c r="D211" t="s">
        <v>214</v>
      </c>
      <c r="E211" s="2">
        <v>35</v>
      </c>
      <c r="F211" s="4">
        <v>10</v>
      </c>
      <c r="G211" s="2">
        <v>350</v>
      </c>
      <c r="H211" t="s">
        <v>45</v>
      </c>
      <c r="I211" t="s">
        <v>16</v>
      </c>
      <c r="J211" s="1">
        <v>44743</v>
      </c>
      <c r="K211" t="b">
        <v>1</v>
      </c>
    </row>
    <row r="212" spans="1:11" x14ac:dyDescent="0.25">
      <c r="A212" t="s">
        <v>2908</v>
      </c>
      <c r="B212" t="s">
        <v>18</v>
      </c>
      <c r="C212" t="s">
        <v>110</v>
      </c>
      <c r="D212" t="s">
        <v>197</v>
      </c>
      <c r="E212" s="2">
        <v>35</v>
      </c>
      <c r="F212" s="4">
        <v>10</v>
      </c>
      <c r="G212" s="2">
        <v>350</v>
      </c>
      <c r="H212" t="s">
        <v>25</v>
      </c>
      <c r="I212" t="s">
        <v>16</v>
      </c>
      <c r="J212" s="1">
        <v>44906</v>
      </c>
      <c r="K212" t="b">
        <v>0</v>
      </c>
    </row>
    <row r="213" spans="1:11" x14ac:dyDescent="0.25">
      <c r="A213" t="s">
        <v>4630</v>
      </c>
      <c r="B213" t="s">
        <v>104</v>
      </c>
      <c r="C213" t="s">
        <v>110</v>
      </c>
      <c r="D213" t="s">
        <v>197</v>
      </c>
      <c r="E213" s="2">
        <v>35</v>
      </c>
      <c r="F213" s="4">
        <v>10</v>
      </c>
      <c r="G213" s="2">
        <v>350</v>
      </c>
      <c r="H213" t="s">
        <v>25</v>
      </c>
      <c r="I213" t="s">
        <v>16</v>
      </c>
      <c r="J213" s="1">
        <v>44805</v>
      </c>
      <c r="K213" t="b">
        <v>0</v>
      </c>
    </row>
    <row r="214" spans="1:11" x14ac:dyDescent="0.25">
      <c r="A214" t="s">
        <v>6956</v>
      </c>
      <c r="B214" t="s">
        <v>69</v>
      </c>
      <c r="C214" t="s">
        <v>110</v>
      </c>
      <c r="D214" t="s">
        <v>197</v>
      </c>
      <c r="E214" s="2">
        <v>35</v>
      </c>
      <c r="F214" s="4">
        <v>10</v>
      </c>
      <c r="G214" s="2">
        <v>350</v>
      </c>
      <c r="H214" t="s">
        <v>25</v>
      </c>
      <c r="I214" t="s">
        <v>16</v>
      </c>
      <c r="J214" s="1">
        <v>45234</v>
      </c>
      <c r="K214" t="b">
        <v>1</v>
      </c>
    </row>
    <row r="215" spans="1:11" x14ac:dyDescent="0.25">
      <c r="A215" t="s">
        <v>6084</v>
      </c>
      <c r="B215" t="s">
        <v>12</v>
      </c>
      <c r="C215" t="s">
        <v>27</v>
      </c>
      <c r="D215" t="s">
        <v>240</v>
      </c>
      <c r="E215" s="2">
        <v>35</v>
      </c>
      <c r="F215" s="4">
        <v>10</v>
      </c>
      <c r="G215" s="2">
        <v>350</v>
      </c>
      <c r="H215" t="s">
        <v>25</v>
      </c>
      <c r="I215" t="s">
        <v>16</v>
      </c>
      <c r="J215" s="1">
        <v>45653</v>
      </c>
      <c r="K215" t="b">
        <v>0</v>
      </c>
    </row>
    <row r="216" spans="1:11" x14ac:dyDescent="0.25">
      <c r="A216" t="s">
        <v>6411</v>
      </c>
      <c r="B216" t="s">
        <v>86</v>
      </c>
      <c r="C216" t="s">
        <v>38</v>
      </c>
      <c r="D216" t="s">
        <v>163</v>
      </c>
      <c r="E216" s="2">
        <v>35</v>
      </c>
      <c r="F216" s="4">
        <v>10</v>
      </c>
      <c r="G216" s="2">
        <v>350</v>
      </c>
      <c r="H216" t="s">
        <v>45</v>
      </c>
      <c r="I216" t="s">
        <v>16</v>
      </c>
      <c r="J216" s="1">
        <v>44590</v>
      </c>
      <c r="K216" t="b">
        <v>1</v>
      </c>
    </row>
    <row r="217" spans="1:11" x14ac:dyDescent="0.25">
      <c r="A217" t="s">
        <v>6663</v>
      </c>
      <c r="B217" t="s">
        <v>18</v>
      </c>
      <c r="C217" t="s">
        <v>19</v>
      </c>
      <c r="D217" t="s">
        <v>203</v>
      </c>
      <c r="E217" s="2">
        <v>38</v>
      </c>
      <c r="F217" s="4">
        <v>9</v>
      </c>
      <c r="G217" s="2">
        <v>342</v>
      </c>
      <c r="H217" t="s">
        <v>45</v>
      </c>
      <c r="I217" t="s">
        <v>16</v>
      </c>
      <c r="J217" s="1">
        <v>45041</v>
      </c>
      <c r="K217" t="b">
        <v>1</v>
      </c>
    </row>
    <row r="218" spans="1:11" x14ac:dyDescent="0.25">
      <c r="A218" t="s">
        <v>2486</v>
      </c>
      <c r="B218" t="s">
        <v>93</v>
      </c>
      <c r="C218" t="s">
        <v>38</v>
      </c>
      <c r="D218" t="s">
        <v>122</v>
      </c>
      <c r="E218" s="2">
        <v>38</v>
      </c>
      <c r="F218" s="4">
        <v>9</v>
      </c>
      <c r="G218" s="2">
        <v>342</v>
      </c>
      <c r="H218" t="s">
        <v>45</v>
      </c>
      <c r="I218" t="s">
        <v>36</v>
      </c>
      <c r="J218" s="1">
        <v>45392</v>
      </c>
      <c r="K218" t="b">
        <v>0</v>
      </c>
    </row>
    <row r="219" spans="1:11" x14ac:dyDescent="0.25">
      <c r="A219" t="s">
        <v>1317</v>
      </c>
      <c r="B219" t="s">
        <v>18</v>
      </c>
      <c r="C219" t="s">
        <v>13</v>
      </c>
      <c r="D219" t="s">
        <v>567</v>
      </c>
      <c r="E219" s="2">
        <v>38</v>
      </c>
      <c r="F219" s="4">
        <v>9</v>
      </c>
      <c r="G219" s="2">
        <v>342</v>
      </c>
      <c r="H219" t="s">
        <v>45</v>
      </c>
      <c r="I219" t="s">
        <v>16</v>
      </c>
      <c r="J219" s="1">
        <v>44827</v>
      </c>
      <c r="K219" t="b">
        <v>0</v>
      </c>
    </row>
    <row r="220" spans="1:11" x14ac:dyDescent="0.25">
      <c r="A220" t="s">
        <v>5384</v>
      </c>
      <c r="B220" t="s">
        <v>34</v>
      </c>
      <c r="C220" t="s">
        <v>19</v>
      </c>
      <c r="D220" t="s">
        <v>203</v>
      </c>
      <c r="E220" s="2">
        <v>38</v>
      </c>
      <c r="F220" s="4">
        <v>9</v>
      </c>
      <c r="G220" s="2">
        <v>342</v>
      </c>
      <c r="H220" t="s">
        <v>45</v>
      </c>
      <c r="I220" t="s">
        <v>16</v>
      </c>
      <c r="J220" s="1">
        <v>45071</v>
      </c>
      <c r="K220" t="b">
        <v>1</v>
      </c>
    </row>
    <row r="221" spans="1:11" x14ac:dyDescent="0.25">
      <c r="A221" t="s">
        <v>977</v>
      </c>
      <c r="B221" t="s">
        <v>30</v>
      </c>
      <c r="C221" t="s">
        <v>59</v>
      </c>
      <c r="D221" t="s">
        <v>275</v>
      </c>
      <c r="E221" s="2">
        <v>38</v>
      </c>
      <c r="F221" s="4">
        <v>9</v>
      </c>
      <c r="G221" s="2">
        <v>342</v>
      </c>
      <c r="H221" t="s">
        <v>25</v>
      </c>
      <c r="I221" t="s">
        <v>36</v>
      </c>
      <c r="J221" s="1">
        <v>44638</v>
      </c>
      <c r="K221" t="b">
        <v>0</v>
      </c>
    </row>
    <row r="222" spans="1:11" x14ac:dyDescent="0.25">
      <c r="A222" t="s">
        <v>1389</v>
      </c>
      <c r="B222" t="s">
        <v>37</v>
      </c>
      <c r="C222" t="s">
        <v>13</v>
      </c>
      <c r="D222" t="s">
        <v>567</v>
      </c>
      <c r="E222" s="2">
        <v>38</v>
      </c>
      <c r="F222" s="4">
        <v>9</v>
      </c>
      <c r="G222" s="2">
        <v>342</v>
      </c>
      <c r="H222" t="s">
        <v>45</v>
      </c>
      <c r="I222" t="s">
        <v>36</v>
      </c>
      <c r="J222" s="1">
        <v>44723</v>
      </c>
      <c r="K222" t="b">
        <v>0</v>
      </c>
    </row>
    <row r="223" spans="1:11" x14ac:dyDescent="0.25">
      <c r="A223" t="s">
        <v>3089</v>
      </c>
      <c r="B223" t="s">
        <v>12</v>
      </c>
      <c r="C223" t="s">
        <v>110</v>
      </c>
      <c r="D223" t="s">
        <v>534</v>
      </c>
      <c r="E223" s="2">
        <v>38</v>
      </c>
      <c r="F223" s="4">
        <v>9</v>
      </c>
      <c r="G223" s="2">
        <v>342</v>
      </c>
      <c r="H223" t="s">
        <v>15</v>
      </c>
      <c r="I223" t="s">
        <v>36</v>
      </c>
      <c r="J223" s="1">
        <v>44600</v>
      </c>
      <c r="K223" t="b">
        <v>0</v>
      </c>
    </row>
    <row r="224" spans="1:11" x14ac:dyDescent="0.25">
      <c r="A224" t="s">
        <v>5452</v>
      </c>
      <c r="B224" t="s">
        <v>86</v>
      </c>
      <c r="C224" t="s">
        <v>110</v>
      </c>
      <c r="D224" t="s">
        <v>534</v>
      </c>
      <c r="E224" s="2">
        <v>38</v>
      </c>
      <c r="F224" s="4">
        <v>9</v>
      </c>
      <c r="G224" s="2">
        <v>342</v>
      </c>
      <c r="H224" t="s">
        <v>25</v>
      </c>
      <c r="I224" t="s">
        <v>16</v>
      </c>
      <c r="J224" s="1">
        <v>44829</v>
      </c>
      <c r="K224" t="b">
        <v>0</v>
      </c>
    </row>
    <row r="225" spans="1:11" x14ac:dyDescent="0.25">
      <c r="A225" t="s">
        <v>1041</v>
      </c>
      <c r="B225" t="s">
        <v>97</v>
      </c>
      <c r="C225" t="s">
        <v>19</v>
      </c>
      <c r="D225" t="s">
        <v>203</v>
      </c>
      <c r="E225" s="2">
        <v>38</v>
      </c>
      <c r="F225" s="4">
        <v>9</v>
      </c>
      <c r="G225" s="2">
        <v>342</v>
      </c>
      <c r="H225" t="s">
        <v>45</v>
      </c>
      <c r="I225" t="s">
        <v>16</v>
      </c>
      <c r="J225" s="1">
        <v>45079</v>
      </c>
      <c r="K225" t="b">
        <v>1</v>
      </c>
    </row>
    <row r="226" spans="1:11" x14ac:dyDescent="0.25">
      <c r="A226" t="s">
        <v>459</v>
      </c>
      <c r="B226" t="s">
        <v>66</v>
      </c>
      <c r="C226" t="s">
        <v>19</v>
      </c>
      <c r="D226" t="s">
        <v>203</v>
      </c>
      <c r="E226" s="2">
        <v>38</v>
      </c>
      <c r="F226" s="4">
        <v>9</v>
      </c>
      <c r="G226" s="2">
        <v>342</v>
      </c>
      <c r="H226" t="s">
        <v>45</v>
      </c>
      <c r="I226" t="s">
        <v>16</v>
      </c>
      <c r="J226" s="1">
        <v>44818</v>
      </c>
      <c r="K226" t="b">
        <v>1</v>
      </c>
    </row>
    <row r="227" spans="1:11" x14ac:dyDescent="0.25">
      <c r="A227" t="s">
        <v>2775</v>
      </c>
      <c r="B227" t="s">
        <v>85</v>
      </c>
      <c r="C227" t="s">
        <v>23</v>
      </c>
      <c r="D227" t="s">
        <v>98</v>
      </c>
      <c r="E227" s="2">
        <v>38</v>
      </c>
      <c r="F227" s="4">
        <v>9</v>
      </c>
      <c r="G227" s="2">
        <v>342</v>
      </c>
      <c r="H227" t="s">
        <v>15</v>
      </c>
      <c r="I227" t="s">
        <v>16</v>
      </c>
      <c r="J227" s="1">
        <v>45108</v>
      </c>
      <c r="K227" t="b">
        <v>1</v>
      </c>
    </row>
    <row r="228" spans="1:11" x14ac:dyDescent="0.25">
      <c r="A228" t="s">
        <v>5093</v>
      </c>
      <c r="B228" t="s">
        <v>72</v>
      </c>
      <c r="C228" t="s">
        <v>38</v>
      </c>
      <c r="D228" t="s">
        <v>122</v>
      </c>
      <c r="E228" s="2">
        <v>38</v>
      </c>
      <c r="F228" s="4">
        <v>9</v>
      </c>
      <c r="G228" s="2">
        <v>342</v>
      </c>
      <c r="H228" t="s">
        <v>15</v>
      </c>
      <c r="I228" t="s">
        <v>16</v>
      </c>
      <c r="J228" s="1">
        <v>44788</v>
      </c>
      <c r="K228" t="b">
        <v>0</v>
      </c>
    </row>
    <row r="229" spans="1:11" x14ac:dyDescent="0.25">
      <c r="A229" t="s">
        <v>2353</v>
      </c>
      <c r="B229" t="s">
        <v>93</v>
      </c>
      <c r="C229" t="s">
        <v>38</v>
      </c>
      <c r="D229" t="s">
        <v>122</v>
      </c>
      <c r="E229" s="2">
        <v>38</v>
      </c>
      <c r="F229" s="4">
        <v>9</v>
      </c>
      <c r="G229" s="2">
        <v>342</v>
      </c>
      <c r="H229" t="s">
        <v>45</v>
      </c>
      <c r="I229" t="s">
        <v>36</v>
      </c>
      <c r="J229" s="1">
        <v>44816</v>
      </c>
      <c r="K229" t="b">
        <v>0</v>
      </c>
    </row>
    <row r="230" spans="1:11" x14ac:dyDescent="0.25">
      <c r="A230" t="s">
        <v>5889</v>
      </c>
      <c r="B230" t="s">
        <v>12</v>
      </c>
      <c r="C230" t="s">
        <v>38</v>
      </c>
      <c r="D230" t="s">
        <v>122</v>
      </c>
      <c r="E230" s="2">
        <v>38</v>
      </c>
      <c r="F230" s="4">
        <v>9</v>
      </c>
      <c r="G230" s="2">
        <v>342</v>
      </c>
      <c r="H230" t="s">
        <v>15</v>
      </c>
      <c r="I230" t="s">
        <v>16</v>
      </c>
      <c r="J230" s="1">
        <v>44905</v>
      </c>
      <c r="K230" t="b">
        <v>0</v>
      </c>
    </row>
    <row r="231" spans="1:11" x14ac:dyDescent="0.25">
      <c r="A231" t="s">
        <v>610</v>
      </c>
      <c r="B231" t="s">
        <v>40</v>
      </c>
      <c r="C231" t="s">
        <v>59</v>
      </c>
      <c r="D231" t="s">
        <v>275</v>
      </c>
      <c r="E231" s="2">
        <v>38</v>
      </c>
      <c r="F231" s="4">
        <v>9</v>
      </c>
      <c r="G231" s="2">
        <v>342</v>
      </c>
      <c r="H231" t="s">
        <v>45</v>
      </c>
      <c r="I231" t="s">
        <v>16</v>
      </c>
      <c r="J231" s="1">
        <v>45410</v>
      </c>
      <c r="K231" t="b">
        <v>1</v>
      </c>
    </row>
    <row r="232" spans="1:11" x14ac:dyDescent="0.25">
      <c r="A232" t="s">
        <v>4246</v>
      </c>
      <c r="B232" t="s">
        <v>34</v>
      </c>
      <c r="C232" t="s">
        <v>27</v>
      </c>
      <c r="D232" t="s">
        <v>205</v>
      </c>
      <c r="E232" s="2">
        <v>38</v>
      </c>
      <c r="F232" s="4">
        <v>9</v>
      </c>
      <c r="G232" s="2">
        <v>342</v>
      </c>
      <c r="H232" t="s">
        <v>15</v>
      </c>
      <c r="I232" t="s">
        <v>36</v>
      </c>
      <c r="J232" s="1">
        <v>45121</v>
      </c>
      <c r="K232" t="b">
        <v>1</v>
      </c>
    </row>
    <row r="233" spans="1:11" x14ac:dyDescent="0.25">
      <c r="A233" t="s">
        <v>6056</v>
      </c>
      <c r="B233" t="s">
        <v>43</v>
      </c>
      <c r="C233" t="s">
        <v>27</v>
      </c>
      <c r="D233" t="s">
        <v>205</v>
      </c>
      <c r="E233" s="2">
        <v>38</v>
      </c>
      <c r="F233" s="4">
        <v>9</v>
      </c>
      <c r="G233" s="2">
        <v>342</v>
      </c>
      <c r="H233" t="s">
        <v>45</v>
      </c>
      <c r="I233" t="s">
        <v>36</v>
      </c>
      <c r="J233" s="1">
        <v>45675</v>
      </c>
      <c r="K233" t="b">
        <v>1</v>
      </c>
    </row>
    <row r="234" spans="1:11" x14ac:dyDescent="0.25">
      <c r="A234" t="s">
        <v>2994</v>
      </c>
      <c r="B234" t="s">
        <v>26</v>
      </c>
      <c r="C234" t="s">
        <v>110</v>
      </c>
      <c r="D234" t="s">
        <v>534</v>
      </c>
      <c r="E234" s="2">
        <v>38</v>
      </c>
      <c r="F234" s="4">
        <v>9</v>
      </c>
      <c r="G234" s="2">
        <v>342</v>
      </c>
      <c r="H234" t="s">
        <v>25</v>
      </c>
      <c r="I234" t="s">
        <v>36</v>
      </c>
      <c r="J234" s="1">
        <v>44694</v>
      </c>
      <c r="K234" t="b">
        <v>0</v>
      </c>
    </row>
    <row r="235" spans="1:11" x14ac:dyDescent="0.25">
      <c r="A235" t="s">
        <v>6074</v>
      </c>
      <c r="B235" t="s">
        <v>104</v>
      </c>
      <c r="C235" t="s">
        <v>19</v>
      </c>
      <c r="D235" t="s">
        <v>203</v>
      </c>
      <c r="E235" s="2">
        <v>38</v>
      </c>
      <c r="F235" s="4">
        <v>9</v>
      </c>
      <c r="G235" s="2">
        <v>342</v>
      </c>
      <c r="H235" t="s">
        <v>45</v>
      </c>
      <c r="I235" t="s">
        <v>16</v>
      </c>
      <c r="J235" s="1">
        <v>45035</v>
      </c>
      <c r="K235" t="b">
        <v>1</v>
      </c>
    </row>
    <row r="236" spans="1:11" x14ac:dyDescent="0.25">
      <c r="A236" t="s">
        <v>4099</v>
      </c>
      <c r="B236" t="s">
        <v>22</v>
      </c>
      <c r="C236" t="s">
        <v>38</v>
      </c>
      <c r="D236" t="s">
        <v>122</v>
      </c>
      <c r="E236" s="2">
        <v>38</v>
      </c>
      <c r="F236" s="4">
        <v>9</v>
      </c>
      <c r="G236" s="2">
        <v>342</v>
      </c>
      <c r="H236" t="s">
        <v>15</v>
      </c>
      <c r="I236" t="s">
        <v>36</v>
      </c>
      <c r="J236" s="1">
        <v>45303</v>
      </c>
      <c r="K236" t="b">
        <v>0</v>
      </c>
    </row>
    <row r="237" spans="1:11" x14ac:dyDescent="0.25">
      <c r="A237" t="s">
        <v>7591</v>
      </c>
      <c r="B237" t="s">
        <v>69</v>
      </c>
      <c r="C237" t="s">
        <v>23</v>
      </c>
      <c r="D237" t="s">
        <v>98</v>
      </c>
      <c r="E237" s="2">
        <v>38</v>
      </c>
      <c r="F237" s="4">
        <v>9</v>
      </c>
      <c r="G237" s="2">
        <v>342</v>
      </c>
      <c r="H237" t="s">
        <v>25</v>
      </c>
      <c r="I237" t="s">
        <v>36</v>
      </c>
      <c r="J237" s="1">
        <v>45392</v>
      </c>
      <c r="K237" t="b">
        <v>0</v>
      </c>
    </row>
    <row r="238" spans="1:11" x14ac:dyDescent="0.25">
      <c r="A238" t="s">
        <v>5410</v>
      </c>
      <c r="B238" t="s">
        <v>30</v>
      </c>
      <c r="C238" t="s">
        <v>59</v>
      </c>
      <c r="D238" t="s">
        <v>275</v>
      </c>
      <c r="E238" s="2">
        <v>38</v>
      </c>
      <c r="F238" s="4">
        <v>9</v>
      </c>
      <c r="G238" s="2">
        <v>342</v>
      </c>
      <c r="H238" t="s">
        <v>15</v>
      </c>
      <c r="I238" t="s">
        <v>16</v>
      </c>
      <c r="J238" s="1">
        <v>44806</v>
      </c>
      <c r="K238" t="b">
        <v>1</v>
      </c>
    </row>
    <row r="239" spans="1:11" x14ac:dyDescent="0.25">
      <c r="A239" t="s">
        <v>6747</v>
      </c>
      <c r="B239" t="s">
        <v>26</v>
      </c>
      <c r="C239" t="s">
        <v>23</v>
      </c>
      <c r="D239" t="s">
        <v>98</v>
      </c>
      <c r="E239" s="2">
        <v>38</v>
      </c>
      <c r="F239" s="4">
        <v>9</v>
      </c>
      <c r="G239" s="2">
        <v>342</v>
      </c>
      <c r="H239" t="s">
        <v>25</v>
      </c>
      <c r="I239" t="s">
        <v>36</v>
      </c>
      <c r="J239" s="1">
        <v>44840</v>
      </c>
      <c r="K239" t="b">
        <v>0</v>
      </c>
    </row>
    <row r="240" spans="1:11" x14ac:dyDescent="0.25">
      <c r="A240" t="s">
        <v>3582</v>
      </c>
      <c r="B240" t="s">
        <v>97</v>
      </c>
      <c r="C240" t="s">
        <v>59</v>
      </c>
      <c r="D240" t="s">
        <v>275</v>
      </c>
      <c r="E240" s="2">
        <v>38</v>
      </c>
      <c r="F240" s="4">
        <v>9</v>
      </c>
      <c r="G240" s="2">
        <v>342</v>
      </c>
      <c r="H240" t="s">
        <v>45</v>
      </c>
      <c r="I240" t="s">
        <v>16</v>
      </c>
      <c r="J240" s="1">
        <v>45069</v>
      </c>
      <c r="K240" t="b">
        <v>0</v>
      </c>
    </row>
    <row r="241" spans="1:11" x14ac:dyDescent="0.25">
      <c r="A241" t="s">
        <v>7136</v>
      </c>
      <c r="B241" t="s">
        <v>97</v>
      </c>
      <c r="C241" t="s">
        <v>13</v>
      </c>
      <c r="D241" t="s">
        <v>567</v>
      </c>
      <c r="E241" s="2">
        <v>38</v>
      </c>
      <c r="F241" s="4">
        <v>9</v>
      </c>
      <c r="G241" s="2">
        <v>342</v>
      </c>
      <c r="H241" t="s">
        <v>45</v>
      </c>
      <c r="I241" t="s">
        <v>16</v>
      </c>
      <c r="J241" s="1">
        <v>45376</v>
      </c>
      <c r="K241" t="b">
        <v>1</v>
      </c>
    </row>
    <row r="242" spans="1:11" x14ac:dyDescent="0.25">
      <c r="A242" t="s">
        <v>6405</v>
      </c>
      <c r="B242" t="s">
        <v>85</v>
      </c>
      <c r="C242" t="s">
        <v>38</v>
      </c>
      <c r="D242" t="s">
        <v>122</v>
      </c>
      <c r="E242" s="2">
        <v>38</v>
      </c>
      <c r="F242" s="4">
        <v>9</v>
      </c>
      <c r="G242" s="2">
        <v>342</v>
      </c>
      <c r="H242" t="s">
        <v>25</v>
      </c>
      <c r="I242" t="s">
        <v>36</v>
      </c>
      <c r="J242" s="1">
        <v>45413</v>
      </c>
      <c r="K242" t="b">
        <v>0</v>
      </c>
    </row>
    <row r="243" spans="1:11" x14ac:dyDescent="0.25">
      <c r="A243" t="s">
        <v>1484</v>
      </c>
      <c r="B243" t="s">
        <v>66</v>
      </c>
      <c r="C243" t="s">
        <v>19</v>
      </c>
      <c r="D243" t="s">
        <v>203</v>
      </c>
      <c r="E243" s="2">
        <v>38</v>
      </c>
      <c r="F243" s="4">
        <v>9</v>
      </c>
      <c r="G243" s="2">
        <v>342</v>
      </c>
      <c r="H243" t="s">
        <v>45</v>
      </c>
      <c r="I243" t="s">
        <v>36</v>
      </c>
      <c r="J243" s="1">
        <v>45071</v>
      </c>
      <c r="K243" t="b">
        <v>0</v>
      </c>
    </row>
    <row r="244" spans="1:11" x14ac:dyDescent="0.25">
      <c r="A244" t="s">
        <v>3800</v>
      </c>
      <c r="B244" t="s">
        <v>86</v>
      </c>
      <c r="C244" t="s">
        <v>110</v>
      </c>
      <c r="D244" t="s">
        <v>534</v>
      </c>
      <c r="E244" s="2">
        <v>38</v>
      </c>
      <c r="F244" s="4">
        <v>9</v>
      </c>
      <c r="G244" s="2">
        <v>342</v>
      </c>
      <c r="H244" t="s">
        <v>15</v>
      </c>
      <c r="I244" t="s">
        <v>36</v>
      </c>
      <c r="J244" s="1">
        <v>45661</v>
      </c>
      <c r="K244" t="b">
        <v>0</v>
      </c>
    </row>
    <row r="245" spans="1:11" x14ac:dyDescent="0.25">
      <c r="A245" t="s">
        <v>5614</v>
      </c>
      <c r="B245" t="s">
        <v>51</v>
      </c>
      <c r="C245" t="s">
        <v>59</v>
      </c>
      <c r="D245" t="s">
        <v>275</v>
      </c>
      <c r="E245" s="2">
        <v>38</v>
      </c>
      <c r="F245" s="4">
        <v>9</v>
      </c>
      <c r="G245" s="2">
        <v>342</v>
      </c>
      <c r="H245" t="s">
        <v>15</v>
      </c>
      <c r="I245" t="s">
        <v>36</v>
      </c>
      <c r="J245" s="1">
        <v>45616</v>
      </c>
      <c r="K245" t="b">
        <v>1</v>
      </c>
    </row>
    <row r="246" spans="1:11" x14ac:dyDescent="0.25">
      <c r="A246" t="s">
        <v>4533</v>
      </c>
      <c r="B246" t="s">
        <v>40</v>
      </c>
      <c r="C246" t="s">
        <v>23</v>
      </c>
      <c r="D246" t="s">
        <v>98</v>
      </c>
      <c r="E246" s="2">
        <v>38</v>
      </c>
      <c r="F246" s="4">
        <v>9</v>
      </c>
      <c r="G246" s="2">
        <v>342</v>
      </c>
      <c r="H246" t="s">
        <v>25</v>
      </c>
      <c r="I246" t="s">
        <v>36</v>
      </c>
      <c r="J246" s="1">
        <v>44908</v>
      </c>
      <c r="K246" t="b">
        <v>1</v>
      </c>
    </row>
    <row r="247" spans="1:11" x14ac:dyDescent="0.25">
      <c r="A247" t="s">
        <v>4611</v>
      </c>
      <c r="B247" t="s">
        <v>72</v>
      </c>
      <c r="C247" t="s">
        <v>110</v>
      </c>
      <c r="D247" t="s">
        <v>534</v>
      </c>
      <c r="E247" s="2">
        <v>38</v>
      </c>
      <c r="F247" s="4">
        <v>9</v>
      </c>
      <c r="G247" s="2">
        <v>342</v>
      </c>
      <c r="H247" t="s">
        <v>15</v>
      </c>
      <c r="I247" t="s">
        <v>36</v>
      </c>
      <c r="J247" s="1">
        <v>45655</v>
      </c>
      <c r="K247" t="b">
        <v>1</v>
      </c>
    </row>
    <row r="248" spans="1:11" x14ac:dyDescent="0.25">
      <c r="A248" t="s">
        <v>2614</v>
      </c>
      <c r="B248" t="s">
        <v>97</v>
      </c>
      <c r="C248" t="s">
        <v>110</v>
      </c>
      <c r="D248" t="s">
        <v>534</v>
      </c>
      <c r="E248" s="2">
        <v>38</v>
      </c>
      <c r="F248" s="4">
        <v>9</v>
      </c>
      <c r="G248" s="2">
        <v>342</v>
      </c>
      <c r="H248" t="s">
        <v>25</v>
      </c>
      <c r="I248" t="s">
        <v>36</v>
      </c>
      <c r="J248" s="1">
        <v>45087</v>
      </c>
      <c r="K248" t="b">
        <v>0</v>
      </c>
    </row>
    <row r="249" spans="1:11" x14ac:dyDescent="0.25">
      <c r="A249" t="s">
        <v>6422</v>
      </c>
      <c r="B249" t="s">
        <v>37</v>
      </c>
      <c r="C249" t="s">
        <v>23</v>
      </c>
      <c r="D249" t="s">
        <v>98</v>
      </c>
      <c r="E249" s="2">
        <v>38</v>
      </c>
      <c r="F249" s="4">
        <v>9</v>
      </c>
      <c r="G249" s="2">
        <v>342</v>
      </c>
      <c r="H249" t="s">
        <v>25</v>
      </c>
      <c r="I249" t="s">
        <v>36</v>
      </c>
      <c r="J249" s="1">
        <v>45011</v>
      </c>
      <c r="K249" t="b">
        <v>1</v>
      </c>
    </row>
    <row r="250" spans="1:11" x14ac:dyDescent="0.25">
      <c r="A250" t="s">
        <v>4903</v>
      </c>
      <c r="B250" t="s">
        <v>100</v>
      </c>
      <c r="C250" t="s">
        <v>110</v>
      </c>
      <c r="D250" t="s">
        <v>534</v>
      </c>
      <c r="E250" s="2">
        <v>38</v>
      </c>
      <c r="F250" s="4">
        <v>9</v>
      </c>
      <c r="G250" s="2">
        <v>342</v>
      </c>
      <c r="H250" t="s">
        <v>25</v>
      </c>
      <c r="I250" t="s">
        <v>36</v>
      </c>
      <c r="J250" s="1">
        <v>44946</v>
      </c>
      <c r="K250" t="b">
        <v>1</v>
      </c>
    </row>
    <row r="251" spans="1:11" x14ac:dyDescent="0.25">
      <c r="A251" t="s">
        <v>4871</v>
      </c>
      <c r="B251" t="s">
        <v>56</v>
      </c>
      <c r="C251" t="s">
        <v>27</v>
      </c>
      <c r="D251" t="s">
        <v>209</v>
      </c>
      <c r="E251" s="2">
        <v>33.5</v>
      </c>
      <c r="F251" s="4">
        <v>10</v>
      </c>
      <c r="G251" s="2">
        <v>335</v>
      </c>
      <c r="H251" t="s">
        <v>15</v>
      </c>
      <c r="I251" t="s">
        <v>36</v>
      </c>
      <c r="J251" s="1">
        <v>45455</v>
      </c>
      <c r="K251" t="b">
        <v>1</v>
      </c>
    </row>
    <row r="252" spans="1:11" x14ac:dyDescent="0.25">
      <c r="A252" t="s">
        <v>5697</v>
      </c>
      <c r="B252" t="s">
        <v>85</v>
      </c>
      <c r="C252" t="s">
        <v>27</v>
      </c>
      <c r="D252" t="s">
        <v>209</v>
      </c>
      <c r="E252" s="2">
        <v>33.5</v>
      </c>
      <c r="F252" s="4">
        <v>10</v>
      </c>
      <c r="G252" s="2">
        <v>335</v>
      </c>
      <c r="H252" t="s">
        <v>45</v>
      </c>
      <c r="I252" t="s">
        <v>36</v>
      </c>
      <c r="J252" s="1">
        <v>44619</v>
      </c>
      <c r="K252" t="b">
        <v>1</v>
      </c>
    </row>
    <row r="253" spans="1:11" x14ac:dyDescent="0.25">
      <c r="A253" t="s">
        <v>5219</v>
      </c>
      <c r="B253" t="s">
        <v>56</v>
      </c>
      <c r="C253" t="s">
        <v>59</v>
      </c>
      <c r="D253" t="s">
        <v>270</v>
      </c>
      <c r="E253" s="2">
        <v>33.5</v>
      </c>
      <c r="F253" s="4">
        <v>10</v>
      </c>
      <c r="G253" s="2">
        <v>335</v>
      </c>
      <c r="H253" t="s">
        <v>25</v>
      </c>
      <c r="I253" t="s">
        <v>36</v>
      </c>
      <c r="J253" s="1">
        <v>45367</v>
      </c>
      <c r="K253" t="b">
        <v>1</v>
      </c>
    </row>
    <row r="254" spans="1:11" x14ac:dyDescent="0.25">
      <c r="A254" t="s">
        <v>4232</v>
      </c>
      <c r="B254" t="s">
        <v>142</v>
      </c>
      <c r="C254" t="s">
        <v>38</v>
      </c>
      <c r="D254" t="s">
        <v>434</v>
      </c>
      <c r="E254" s="2">
        <v>33.5</v>
      </c>
      <c r="F254" s="4">
        <v>10</v>
      </c>
      <c r="G254" s="2">
        <v>335</v>
      </c>
      <c r="H254" t="s">
        <v>45</v>
      </c>
      <c r="I254" t="s">
        <v>16</v>
      </c>
      <c r="J254" s="1">
        <v>44823</v>
      </c>
      <c r="K254" t="b">
        <v>1</v>
      </c>
    </row>
    <row r="255" spans="1:11" x14ac:dyDescent="0.25">
      <c r="A255" t="s">
        <v>4703</v>
      </c>
      <c r="B255" t="s">
        <v>63</v>
      </c>
      <c r="C255" t="s">
        <v>19</v>
      </c>
      <c r="D255" t="s">
        <v>626</v>
      </c>
      <c r="E255" s="2">
        <v>33.5</v>
      </c>
      <c r="F255" s="4">
        <v>10</v>
      </c>
      <c r="G255" s="2">
        <v>335</v>
      </c>
      <c r="H255" t="s">
        <v>25</v>
      </c>
      <c r="I255" t="s">
        <v>36</v>
      </c>
      <c r="J255" s="1">
        <v>44565</v>
      </c>
      <c r="K255" t="b">
        <v>0</v>
      </c>
    </row>
    <row r="256" spans="1:11" x14ac:dyDescent="0.25">
      <c r="A256" t="s">
        <v>3916</v>
      </c>
      <c r="B256" t="s">
        <v>100</v>
      </c>
      <c r="C256" t="s">
        <v>59</v>
      </c>
      <c r="D256" t="s">
        <v>270</v>
      </c>
      <c r="E256" s="2">
        <v>33.5</v>
      </c>
      <c r="F256" s="4">
        <v>10</v>
      </c>
      <c r="G256" s="2">
        <v>335</v>
      </c>
      <c r="H256" t="s">
        <v>15</v>
      </c>
      <c r="I256" t="s">
        <v>16</v>
      </c>
      <c r="J256" s="1">
        <v>45269</v>
      </c>
      <c r="K256" t="b">
        <v>0</v>
      </c>
    </row>
    <row r="257" spans="1:11" x14ac:dyDescent="0.25">
      <c r="A257" t="s">
        <v>3503</v>
      </c>
      <c r="B257" t="s">
        <v>37</v>
      </c>
      <c r="C257" t="s">
        <v>23</v>
      </c>
      <c r="D257" t="s">
        <v>73</v>
      </c>
      <c r="E257" s="2">
        <v>33.5</v>
      </c>
      <c r="F257" s="4">
        <v>10</v>
      </c>
      <c r="G257" s="2">
        <v>335</v>
      </c>
      <c r="H257" t="s">
        <v>45</v>
      </c>
      <c r="I257" t="s">
        <v>36</v>
      </c>
      <c r="J257" s="1">
        <v>44620</v>
      </c>
      <c r="K257" t="b">
        <v>0</v>
      </c>
    </row>
    <row r="258" spans="1:11" x14ac:dyDescent="0.25">
      <c r="A258" t="s">
        <v>2250</v>
      </c>
      <c r="B258" t="s">
        <v>34</v>
      </c>
      <c r="C258" t="s">
        <v>38</v>
      </c>
      <c r="D258" t="s">
        <v>434</v>
      </c>
      <c r="E258" s="2">
        <v>33.5</v>
      </c>
      <c r="F258" s="4">
        <v>10</v>
      </c>
      <c r="G258" s="2">
        <v>335</v>
      </c>
      <c r="H258" t="s">
        <v>15</v>
      </c>
      <c r="I258" t="s">
        <v>36</v>
      </c>
      <c r="J258" s="1">
        <v>45447</v>
      </c>
      <c r="K258" t="b">
        <v>0</v>
      </c>
    </row>
    <row r="259" spans="1:11" x14ac:dyDescent="0.25">
      <c r="A259" t="s">
        <v>2014</v>
      </c>
      <c r="B259" t="s">
        <v>26</v>
      </c>
      <c r="C259" t="s">
        <v>31</v>
      </c>
      <c r="D259" t="s">
        <v>155</v>
      </c>
      <c r="E259" s="2">
        <v>33.5</v>
      </c>
      <c r="F259" s="4">
        <v>10</v>
      </c>
      <c r="G259" s="2">
        <v>335</v>
      </c>
      <c r="H259" t="s">
        <v>15</v>
      </c>
      <c r="I259" t="s">
        <v>36</v>
      </c>
      <c r="J259" s="1">
        <v>45018</v>
      </c>
      <c r="K259" t="b">
        <v>1</v>
      </c>
    </row>
    <row r="260" spans="1:11" x14ac:dyDescent="0.25">
      <c r="A260" t="s">
        <v>260</v>
      </c>
      <c r="B260" t="s">
        <v>100</v>
      </c>
      <c r="C260" t="s">
        <v>31</v>
      </c>
      <c r="D260" t="s">
        <v>155</v>
      </c>
      <c r="E260" s="2">
        <v>33.5</v>
      </c>
      <c r="F260" s="4">
        <v>10</v>
      </c>
      <c r="G260" s="2">
        <v>335</v>
      </c>
      <c r="H260" t="s">
        <v>15</v>
      </c>
      <c r="I260" t="s">
        <v>16</v>
      </c>
      <c r="J260" s="1">
        <v>45441</v>
      </c>
      <c r="K260" t="b">
        <v>0</v>
      </c>
    </row>
    <row r="261" spans="1:11" x14ac:dyDescent="0.25">
      <c r="A261" t="s">
        <v>2251</v>
      </c>
      <c r="B261" t="s">
        <v>63</v>
      </c>
      <c r="C261" t="s">
        <v>110</v>
      </c>
      <c r="D261" t="s">
        <v>154</v>
      </c>
      <c r="E261" s="2">
        <v>33.5</v>
      </c>
      <c r="F261" s="4">
        <v>10</v>
      </c>
      <c r="G261" s="2">
        <v>335</v>
      </c>
      <c r="H261" t="s">
        <v>15</v>
      </c>
      <c r="I261" t="s">
        <v>16</v>
      </c>
      <c r="J261" s="1">
        <v>44577</v>
      </c>
      <c r="K261" t="b">
        <v>0</v>
      </c>
    </row>
    <row r="262" spans="1:11" x14ac:dyDescent="0.25">
      <c r="A262" t="s">
        <v>1360</v>
      </c>
      <c r="B262" t="s">
        <v>51</v>
      </c>
      <c r="C262" t="s">
        <v>23</v>
      </c>
      <c r="D262" t="s">
        <v>73</v>
      </c>
      <c r="E262" s="2">
        <v>33.5</v>
      </c>
      <c r="F262" s="4">
        <v>10</v>
      </c>
      <c r="G262" s="2">
        <v>335</v>
      </c>
      <c r="H262" t="s">
        <v>45</v>
      </c>
      <c r="I262" t="s">
        <v>16</v>
      </c>
      <c r="J262" s="1">
        <v>45460</v>
      </c>
      <c r="K262" t="b">
        <v>0</v>
      </c>
    </row>
    <row r="263" spans="1:11" x14ac:dyDescent="0.25">
      <c r="A263" t="s">
        <v>5308</v>
      </c>
      <c r="B263" t="s">
        <v>97</v>
      </c>
      <c r="C263" t="s">
        <v>23</v>
      </c>
      <c r="D263" t="s">
        <v>73</v>
      </c>
      <c r="E263" s="2">
        <v>33.5</v>
      </c>
      <c r="F263" s="4">
        <v>10</v>
      </c>
      <c r="G263" s="2">
        <v>335</v>
      </c>
      <c r="H263" t="s">
        <v>25</v>
      </c>
      <c r="I263" t="s">
        <v>16</v>
      </c>
      <c r="J263" s="1">
        <v>45668</v>
      </c>
      <c r="K263" t="b">
        <v>0</v>
      </c>
    </row>
    <row r="264" spans="1:11" x14ac:dyDescent="0.25">
      <c r="A264" t="s">
        <v>6276</v>
      </c>
      <c r="B264" t="s">
        <v>12</v>
      </c>
      <c r="C264" t="s">
        <v>110</v>
      </c>
      <c r="D264" t="s">
        <v>154</v>
      </c>
      <c r="E264" s="2">
        <v>33.5</v>
      </c>
      <c r="F264" s="4">
        <v>10</v>
      </c>
      <c r="G264" s="2">
        <v>335</v>
      </c>
      <c r="H264" t="s">
        <v>45</v>
      </c>
      <c r="I264" t="s">
        <v>36</v>
      </c>
      <c r="J264" s="1">
        <v>45603</v>
      </c>
      <c r="K264" t="b">
        <v>0</v>
      </c>
    </row>
    <row r="265" spans="1:11" x14ac:dyDescent="0.25">
      <c r="A265" t="s">
        <v>6435</v>
      </c>
      <c r="B265" t="s">
        <v>34</v>
      </c>
      <c r="C265" t="s">
        <v>110</v>
      </c>
      <c r="D265" t="s">
        <v>154</v>
      </c>
      <c r="E265" s="2">
        <v>33.5</v>
      </c>
      <c r="F265" s="4">
        <v>10</v>
      </c>
      <c r="G265" s="2">
        <v>335</v>
      </c>
      <c r="H265" t="s">
        <v>15</v>
      </c>
      <c r="I265" t="s">
        <v>16</v>
      </c>
      <c r="J265" s="1">
        <v>44765</v>
      </c>
      <c r="K265" t="b">
        <v>1</v>
      </c>
    </row>
    <row r="266" spans="1:11" x14ac:dyDescent="0.25">
      <c r="A266" t="s">
        <v>1752</v>
      </c>
      <c r="B266" t="s">
        <v>142</v>
      </c>
      <c r="C266" t="s">
        <v>38</v>
      </c>
      <c r="D266" t="s">
        <v>434</v>
      </c>
      <c r="E266" s="2">
        <v>33.5</v>
      </c>
      <c r="F266" s="4">
        <v>10</v>
      </c>
      <c r="G266" s="2">
        <v>335</v>
      </c>
      <c r="H266" t="s">
        <v>45</v>
      </c>
      <c r="I266" t="s">
        <v>36</v>
      </c>
      <c r="J266" s="1">
        <v>45147</v>
      </c>
      <c r="K266" t="b">
        <v>1</v>
      </c>
    </row>
    <row r="267" spans="1:11" x14ac:dyDescent="0.25">
      <c r="A267" t="s">
        <v>7298</v>
      </c>
      <c r="B267" t="s">
        <v>37</v>
      </c>
      <c r="C267" t="s">
        <v>27</v>
      </c>
      <c r="D267" t="s">
        <v>209</v>
      </c>
      <c r="E267" s="2">
        <v>33.5</v>
      </c>
      <c r="F267" s="4">
        <v>10</v>
      </c>
      <c r="G267" s="2">
        <v>335</v>
      </c>
      <c r="H267" t="s">
        <v>25</v>
      </c>
      <c r="I267" t="s">
        <v>16</v>
      </c>
      <c r="J267" s="1">
        <v>45370</v>
      </c>
      <c r="K267" t="b">
        <v>0</v>
      </c>
    </row>
    <row r="268" spans="1:11" x14ac:dyDescent="0.25">
      <c r="A268" t="s">
        <v>6820</v>
      </c>
      <c r="B268" t="s">
        <v>18</v>
      </c>
      <c r="C268" t="s">
        <v>27</v>
      </c>
      <c r="D268" t="s">
        <v>209</v>
      </c>
      <c r="E268" s="2">
        <v>33.5</v>
      </c>
      <c r="F268" s="4">
        <v>10</v>
      </c>
      <c r="G268" s="2">
        <v>335</v>
      </c>
      <c r="H268" t="s">
        <v>15</v>
      </c>
      <c r="I268" t="s">
        <v>16</v>
      </c>
      <c r="J268" s="1">
        <v>45072</v>
      </c>
      <c r="K268" t="b">
        <v>1</v>
      </c>
    </row>
    <row r="269" spans="1:11" x14ac:dyDescent="0.25">
      <c r="A269" t="s">
        <v>6278</v>
      </c>
      <c r="B269" t="s">
        <v>30</v>
      </c>
      <c r="C269" t="s">
        <v>110</v>
      </c>
      <c r="D269" t="s">
        <v>154</v>
      </c>
      <c r="E269" s="2">
        <v>33.5</v>
      </c>
      <c r="F269" s="4">
        <v>10</v>
      </c>
      <c r="G269" s="2">
        <v>335</v>
      </c>
      <c r="H269" t="s">
        <v>45</v>
      </c>
      <c r="I269" t="s">
        <v>16</v>
      </c>
      <c r="J269" s="1">
        <v>44978</v>
      </c>
      <c r="K269" t="b">
        <v>1</v>
      </c>
    </row>
    <row r="270" spans="1:11" x14ac:dyDescent="0.25">
      <c r="A270" t="s">
        <v>181</v>
      </c>
      <c r="B270" t="s">
        <v>34</v>
      </c>
      <c r="C270" t="s">
        <v>31</v>
      </c>
      <c r="D270" t="s">
        <v>155</v>
      </c>
      <c r="E270" s="2">
        <v>33.5</v>
      </c>
      <c r="F270" s="4">
        <v>10</v>
      </c>
      <c r="G270" s="2">
        <v>335</v>
      </c>
      <c r="H270" t="s">
        <v>45</v>
      </c>
      <c r="I270" t="s">
        <v>16</v>
      </c>
      <c r="J270" s="1">
        <v>45481</v>
      </c>
      <c r="K270" t="b">
        <v>0</v>
      </c>
    </row>
    <row r="271" spans="1:11" x14ac:dyDescent="0.25">
      <c r="A271" t="s">
        <v>3071</v>
      </c>
      <c r="B271" t="s">
        <v>34</v>
      </c>
      <c r="C271" t="s">
        <v>19</v>
      </c>
      <c r="D271" t="s">
        <v>626</v>
      </c>
      <c r="E271" s="2">
        <v>33.5</v>
      </c>
      <c r="F271" s="4">
        <v>10</v>
      </c>
      <c r="G271" s="2">
        <v>335</v>
      </c>
      <c r="H271" t="s">
        <v>25</v>
      </c>
      <c r="I271" t="s">
        <v>16</v>
      </c>
      <c r="J271" s="1">
        <v>45329</v>
      </c>
      <c r="K271" t="b">
        <v>1</v>
      </c>
    </row>
    <row r="272" spans="1:11" x14ac:dyDescent="0.25">
      <c r="A272" t="s">
        <v>116</v>
      </c>
      <c r="B272" t="s">
        <v>30</v>
      </c>
      <c r="C272" t="s">
        <v>23</v>
      </c>
      <c r="D272" t="s">
        <v>73</v>
      </c>
      <c r="E272" s="2">
        <v>33.5</v>
      </c>
      <c r="F272" s="4">
        <v>10</v>
      </c>
      <c r="G272" s="2">
        <v>335</v>
      </c>
      <c r="H272" t="s">
        <v>25</v>
      </c>
      <c r="I272" t="s">
        <v>36</v>
      </c>
      <c r="J272" s="1">
        <v>45028</v>
      </c>
      <c r="K272" t="b">
        <v>0</v>
      </c>
    </row>
    <row r="273" spans="1:11" x14ac:dyDescent="0.25">
      <c r="A273" t="s">
        <v>2844</v>
      </c>
      <c r="B273" t="s">
        <v>100</v>
      </c>
      <c r="C273" t="s">
        <v>27</v>
      </c>
      <c r="D273" t="s">
        <v>209</v>
      </c>
      <c r="E273" s="2">
        <v>33.5</v>
      </c>
      <c r="F273" s="4">
        <v>10</v>
      </c>
      <c r="G273" s="2">
        <v>335</v>
      </c>
      <c r="H273" t="s">
        <v>15</v>
      </c>
      <c r="I273" t="s">
        <v>36</v>
      </c>
      <c r="J273" s="1">
        <v>45494</v>
      </c>
      <c r="K273" t="b">
        <v>1</v>
      </c>
    </row>
    <row r="274" spans="1:11" x14ac:dyDescent="0.25">
      <c r="A274" t="s">
        <v>3998</v>
      </c>
      <c r="B274" t="s">
        <v>18</v>
      </c>
      <c r="C274" t="s">
        <v>13</v>
      </c>
      <c r="D274" t="s">
        <v>375</v>
      </c>
      <c r="E274" s="2">
        <v>33.5</v>
      </c>
      <c r="F274" s="4">
        <v>10</v>
      </c>
      <c r="G274" s="2">
        <v>335</v>
      </c>
      <c r="H274" t="s">
        <v>45</v>
      </c>
      <c r="I274" t="s">
        <v>16</v>
      </c>
      <c r="J274" s="1">
        <v>44979</v>
      </c>
      <c r="K274" t="b">
        <v>0</v>
      </c>
    </row>
    <row r="275" spans="1:11" x14ac:dyDescent="0.25">
      <c r="A275" t="s">
        <v>2364</v>
      </c>
      <c r="B275" t="s">
        <v>104</v>
      </c>
      <c r="C275" t="s">
        <v>38</v>
      </c>
      <c r="D275" t="s">
        <v>434</v>
      </c>
      <c r="E275" s="2">
        <v>33.5</v>
      </c>
      <c r="F275" s="4">
        <v>10</v>
      </c>
      <c r="G275" s="2">
        <v>335</v>
      </c>
      <c r="H275" t="s">
        <v>25</v>
      </c>
      <c r="I275" t="s">
        <v>36</v>
      </c>
      <c r="J275" s="1">
        <v>44960</v>
      </c>
      <c r="K275" t="b">
        <v>0</v>
      </c>
    </row>
    <row r="276" spans="1:11" x14ac:dyDescent="0.25">
      <c r="A276" t="s">
        <v>1482</v>
      </c>
      <c r="B276" t="s">
        <v>66</v>
      </c>
      <c r="C276" t="s">
        <v>23</v>
      </c>
      <c r="D276" t="s">
        <v>73</v>
      </c>
      <c r="E276" s="2">
        <v>33.5</v>
      </c>
      <c r="F276" s="4">
        <v>10</v>
      </c>
      <c r="G276" s="2">
        <v>335</v>
      </c>
      <c r="H276" t="s">
        <v>15</v>
      </c>
      <c r="I276" t="s">
        <v>16</v>
      </c>
      <c r="J276" s="1">
        <v>44786</v>
      </c>
      <c r="K276" t="b">
        <v>0</v>
      </c>
    </row>
    <row r="277" spans="1:11" x14ac:dyDescent="0.25">
      <c r="A277" t="s">
        <v>7458</v>
      </c>
      <c r="B277" t="s">
        <v>104</v>
      </c>
      <c r="C277" t="s">
        <v>19</v>
      </c>
      <c r="D277" t="s">
        <v>626</v>
      </c>
      <c r="E277" s="2">
        <v>33.5</v>
      </c>
      <c r="F277" s="4">
        <v>10</v>
      </c>
      <c r="G277" s="2">
        <v>335</v>
      </c>
      <c r="H277" t="s">
        <v>45</v>
      </c>
      <c r="I277" t="s">
        <v>16</v>
      </c>
      <c r="J277" s="1">
        <v>45436</v>
      </c>
      <c r="K277" t="b">
        <v>1</v>
      </c>
    </row>
    <row r="278" spans="1:11" x14ac:dyDescent="0.25">
      <c r="A278" t="s">
        <v>1797</v>
      </c>
      <c r="B278" t="s">
        <v>77</v>
      </c>
      <c r="C278" t="s">
        <v>23</v>
      </c>
      <c r="D278" t="s">
        <v>73</v>
      </c>
      <c r="E278" s="2">
        <v>33.5</v>
      </c>
      <c r="F278" s="4">
        <v>10</v>
      </c>
      <c r="G278" s="2">
        <v>335</v>
      </c>
      <c r="H278" t="s">
        <v>45</v>
      </c>
      <c r="I278" t="s">
        <v>16</v>
      </c>
      <c r="J278" s="1">
        <v>44592</v>
      </c>
      <c r="K278" t="b">
        <v>0</v>
      </c>
    </row>
    <row r="279" spans="1:11" x14ac:dyDescent="0.25">
      <c r="A279" t="s">
        <v>4236</v>
      </c>
      <c r="B279" t="s">
        <v>100</v>
      </c>
      <c r="C279" t="s">
        <v>38</v>
      </c>
      <c r="D279" t="s">
        <v>434</v>
      </c>
      <c r="E279" s="2">
        <v>33.5</v>
      </c>
      <c r="F279" s="4">
        <v>10</v>
      </c>
      <c r="G279" s="2">
        <v>335</v>
      </c>
      <c r="H279" t="s">
        <v>45</v>
      </c>
      <c r="I279" t="s">
        <v>16</v>
      </c>
      <c r="J279" s="1">
        <v>45391</v>
      </c>
      <c r="K279" t="b">
        <v>0</v>
      </c>
    </row>
    <row r="280" spans="1:11" x14ac:dyDescent="0.25">
      <c r="A280" t="s">
        <v>1325</v>
      </c>
      <c r="B280" t="s">
        <v>12</v>
      </c>
      <c r="C280" t="s">
        <v>23</v>
      </c>
      <c r="D280" t="s">
        <v>73</v>
      </c>
      <c r="E280" s="2">
        <v>33.5</v>
      </c>
      <c r="F280" s="4">
        <v>10</v>
      </c>
      <c r="G280" s="2">
        <v>335</v>
      </c>
      <c r="H280" t="s">
        <v>25</v>
      </c>
      <c r="I280" t="s">
        <v>16</v>
      </c>
      <c r="J280" s="1">
        <v>45394</v>
      </c>
      <c r="K280" t="b">
        <v>0</v>
      </c>
    </row>
    <row r="281" spans="1:11" x14ac:dyDescent="0.25">
      <c r="A281" t="s">
        <v>374</v>
      </c>
      <c r="B281" t="s">
        <v>142</v>
      </c>
      <c r="C281" t="s">
        <v>13</v>
      </c>
      <c r="D281" t="s">
        <v>375</v>
      </c>
      <c r="E281" s="2">
        <v>33.5</v>
      </c>
      <c r="F281" s="4">
        <v>10</v>
      </c>
      <c r="G281" s="2">
        <v>335</v>
      </c>
      <c r="H281" t="s">
        <v>45</v>
      </c>
      <c r="I281" t="s">
        <v>36</v>
      </c>
      <c r="J281" s="1">
        <v>45433</v>
      </c>
      <c r="K281" t="b">
        <v>0</v>
      </c>
    </row>
    <row r="282" spans="1:11" x14ac:dyDescent="0.25">
      <c r="A282" t="s">
        <v>2620</v>
      </c>
      <c r="B282" t="s">
        <v>100</v>
      </c>
      <c r="C282" t="s">
        <v>59</v>
      </c>
      <c r="D282" t="s">
        <v>270</v>
      </c>
      <c r="E282" s="2">
        <v>33.5</v>
      </c>
      <c r="F282" s="4">
        <v>10</v>
      </c>
      <c r="G282" s="2">
        <v>335</v>
      </c>
      <c r="H282" t="s">
        <v>15</v>
      </c>
      <c r="I282" t="s">
        <v>16</v>
      </c>
      <c r="J282" s="1">
        <v>44644</v>
      </c>
      <c r="K282" t="b">
        <v>1</v>
      </c>
    </row>
    <row r="283" spans="1:11" x14ac:dyDescent="0.25">
      <c r="A283" t="s">
        <v>3981</v>
      </c>
      <c r="B283" t="s">
        <v>142</v>
      </c>
      <c r="C283" t="s">
        <v>19</v>
      </c>
      <c r="D283" t="s">
        <v>626</v>
      </c>
      <c r="E283" s="2">
        <v>33.5</v>
      </c>
      <c r="F283" s="4">
        <v>10</v>
      </c>
      <c r="G283" s="2">
        <v>335</v>
      </c>
      <c r="H283" t="s">
        <v>45</v>
      </c>
      <c r="I283" t="s">
        <v>16</v>
      </c>
      <c r="J283" s="1">
        <v>45030</v>
      </c>
      <c r="K283" t="b">
        <v>0</v>
      </c>
    </row>
    <row r="284" spans="1:11" x14ac:dyDescent="0.25">
      <c r="A284" t="s">
        <v>4386</v>
      </c>
      <c r="B284" t="s">
        <v>18</v>
      </c>
      <c r="C284" t="s">
        <v>110</v>
      </c>
      <c r="D284" t="s">
        <v>154</v>
      </c>
      <c r="E284" s="2">
        <v>33.5</v>
      </c>
      <c r="F284" s="4">
        <v>10</v>
      </c>
      <c r="G284" s="2">
        <v>335</v>
      </c>
      <c r="H284" t="s">
        <v>25</v>
      </c>
      <c r="I284" t="s">
        <v>16</v>
      </c>
      <c r="J284" s="1">
        <v>45504</v>
      </c>
      <c r="K284" t="b">
        <v>1</v>
      </c>
    </row>
    <row r="285" spans="1:11" x14ac:dyDescent="0.25">
      <c r="A285" t="s">
        <v>1852</v>
      </c>
      <c r="B285" t="s">
        <v>72</v>
      </c>
      <c r="C285" t="s">
        <v>59</v>
      </c>
      <c r="D285" t="s">
        <v>270</v>
      </c>
      <c r="E285" s="2">
        <v>33.5</v>
      </c>
      <c r="F285" s="4">
        <v>10</v>
      </c>
      <c r="G285" s="2">
        <v>335</v>
      </c>
      <c r="H285" t="s">
        <v>25</v>
      </c>
      <c r="I285" t="s">
        <v>16</v>
      </c>
      <c r="J285" s="1">
        <v>44605</v>
      </c>
      <c r="K285" t="b">
        <v>1</v>
      </c>
    </row>
    <row r="286" spans="1:11" x14ac:dyDescent="0.25">
      <c r="A286" t="s">
        <v>3394</v>
      </c>
      <c r="B286" t="s">
        <v>43</v>
      </c>
      <c r="C286" t="s">
        <v>13</v>
      </c>
      <c r="D286" t="s">
        <v>375</v>
      </c>
      <c r="E286" s="2">
        <v>33.5</v>
      </c>
      <c r="F286" s="4">
        <v>10</v>
      </c>
      <c r="G286" s="2">
        <v>335</v>
      </c>
      <c r="H286" t="s">
        <v>45</v>
      </c>
      <c r="I286" t="s">
        <v>36</v>
      </c>
      <c r="J286" s="1">
        <v>44926</v>
      </c>
      <c r="K286" t="b">
        <v>0</v>
      </c>
    </row>
    <row r="287" spans="1:11" x14ac:dyDescent="0.25">
      <c r="A287" t="s">
        <v>7153</v>
      </c>
      <c r="B287" t="s">
        <v>85</v>
      </c>
      <c r="C287" t="s">
        <v>31</v>
      </c>
      <c r="D287" t="s">
        <v>155</v>
      </c>
      <c r="E287" s="2">
        <v>33.5</v>
      </c>
      <c r="F287" s="4">
        <v>10</v>
      </c>
      <c r="G287" s="2">
        <v>335</v>
      </c>
      <c r="H287" t="s">
        <v>45</v>
      </c>
      <c r="I287" t="s">
        <v>36</v>
      </c>
      <c r="J287" s="1">
        <v>45068</v>
      </c>
      <c r="K287" t="b">
        <v>1</v>
      </c>
    </row>
    <row r="288" spans="1:11" x14ac:dyDescent="0.25">
      <c r="A288" t="s">
        <v>7585</v>
      </c>
      <c r="B288" t="s">
        <v>37</v>
      </c>
      <c r="C288" t="s">
        <v>19</v>
      </c>
      <c r="D288" t="s">
        <v>626</v>
      </c>
      <c r="E288" s="2">
        <v>33.5</v>
      </c>
      <c r="F288" s="4">
        <v>10</v>
      </c>
      <c r="G288" s="2">
        <v>335</v>
      </c>
      <c r="H288" t="s">
        <v>25</v>
      </c>
      <c r="I288" t="s">
        <v>16</v>
      </c>
      <c r="J288" s="1">
        <v>45219</v>
      </c>
      <c r="K288" t="b">
        <v>0</v>
      </c>
    </row>
    <row r="289" spans="1:11" x14ac:dyDescent="0.25">
      <c r="A289" t="s">
        <v>3119</v>
      </c>
      <c r="B289" t="s">
        <v>22</v>
      </c>
      <c r="C289" t="s">
        <v>59</v>
      </c>
      <c r="D289" t="s">
        <v>270</v>
      </c>
      <c r="E289" s="2">
        <v>33.5</v>
      </c>
      <c r="F289" s="4">
        <v>10</v>
      </c>
      <c r="G289" s="2">
        <v>335</v>
      </c>
      <c r="H289" t="s">
        <v>15</v>
      </c>
      <c r="I289" t="s">
        <v>16</v>
      </c>
      <c r="J289" s="1">
        <v>45605</v>
      </c>
      <c r="K289" t="b">
        <v>1</v>
      </c>
    </row>
    <row r="290" spans="1:11" x14ac:dyDescent="0.25">
      <c r="A290" t="s">
        <v>5826</v>
      </c>
      <c r="B290" t="s">
        <v>69</v>
      </c>
      <c r="C290" t="s">
        <v>31</v>
      </c>
      <c r="D290" t="s">
        <v>155</v>
      </c>
      <c r="E290" s="2">
        <v>33.5</v>
      </c>
      <c r="F290" s="4">
        <v>10</v>
      </c>
      <c r="G290" s="2">
        <v>335</v>
      </c>
      <c r="H290" t="s">
        <v>25</v>
      </c>
      <c r="I290" t="s">
        <v>36</v>
      </c>
      <c r="J290" s="1">
        <v>45630</v>
      </c>
      <c r="K290" t="b">
        <v>1</v>
      </c>
    </row>
    <row r="291" spans="1:11" x14ac:dyDescent="0.25">
      <c r="A291" t="s">
        <v>3284</v>
      </c>
      <c r="B291" t="s">
        <v>93</v>
      </c>
      <c r="C291" t="s">
        <v>27</v>
      </c>
      <c r="D291" t="s">
        <v>209</v>
      </c>
      <c r="E291" s="2">
        <v>33.5</v>
      </c>
      <c r="F291" s="4">
        <v>10</v>
      </c>
      <c r="G291" s="2">
        <v>335</v>
      </c>
      <c r="H291" t="s">
        <v>15</v>
      </c>
      <c r="I291" t="s">
        <v>36</v>
      </c>
      <c r="J291" s="1">
        <v>45484</v>
      </c>
      <c r="K291" t="b">
        <v>0</v>
      </c>
    </row>
    <row r="292" spans="1:11" x14ac:dyDescent="0.25">
      <c r="A292" t="s">
        <v>6977</v>
      </c>
      <c r="B292" t="s">
        <v>63</v>
      </c>
      <c r="C292" t="s">
        <v>59</v>
      </c>
      <c r="D292" t="s">
        <v>270</v>
      </c>
      <c r="E292" s="2">
        <v>33.5</v>
      </c>
      <c r="F292" s="4">
        <v>10</v>
      </c>
      <c r="G292" s="2">
        <v>335</v>
      </c>
      <c r="H292" t="s">
        <v>45</v>
      </c>
      <c r="I292" t="s">
        <v>36</v>
      </c>
      <c r="J292" s="1">
        <v>45254</v>
      </c>
      <c r="K292" t="b">
        <v>0</v>
      </c>
    </row>
    <row r="293" spans="1:11" x14ac:dyDescent="0.25">
      <c r="A293" t="s">
        <v>6866</v>
      </c>
      <c r="B293" t="s">
        <v>26</v>
      </c>
      <c r="C293" t="s">
        <v>110</v>
      </c>
      <c r="D293" t="s">
        <v>154</v>
      </c>
      <c r="E293" s="2">
        <v>33.5</v>
      </c>
      <c r="F293" s="4">
        <v>10</v>
      </c>
      <c r="G293" s="2">
        <v>335</v>
      </c>
      <c r="H293" t="s">
        <v>45</v>
      </c>
      <c r="I293" t="s">
        <v>16</v>
      </c>
      <c r="J293" s="1">
        <v>45111</v>
      </c>
      <c r="K293" t="b">
        <v>1</v>
      </c>
    </row>
    <row r="294" spans="1:11" x14ac:dyDescent="0.25">
      <c r="A294" t="s">
        <v>3463</v>
      </c>
      <c r="B294" t="s">
        <v>61</v>
      </c>
      <c r="C294" t="s">
        <v>23</v>
      </c>
      <c r="D294" t="s">
        <v>73</v>
      </c>
      <c r="E294" s="2">
        <v>33.5</v>
      </c>
      <c r="F294" s="4">
        <v>10</v>
      </c>
      <c r="G294" s="2">
        <v>335</v>
      </c>
      <c r="H294" t="s">
        <v>15</v>
      </c>
      <c r="I294" t="s">
        <v>36</v>
      </c>
      <c r="J294" s="1">
        <v>45426</v>
      </c>
      <c r="K294" t="b">
        <v>0</v>
      </c>
    </row>
    <row r="295" spans="1:11" x14ac:dyDescent="0.25">
      <c r="A295" t="s">
        <v>1135</v>
      </c>
      <c r="B295" t="s">
        <v>85</v>
      </c>
      <c r="C295" t="s">
        <v>23</v>
      </c>
      <c r="D295" t="s">
        <v>73</v>
      </c>
      <c r="E295" s="2">
        <v>33.5</v>
      </c>
      <c r="F295" s="4">
        <v>10</v>
      </c>
      <c r="G295" s="2">
        <v>335</v>
      </c>
      <c r="H295" t="s">
        <v>25</v>
      </c>
      <c r="I295" t="s">
        <v>36</v>
      </c>
      <c r="J295" s="1">
        <v>45504</v>
      </c>
      <c r="K295" t="b">
        <v>0</v>
      </c>
    </row>
    <row r="296" spans="1:11" x14ac:dyDescent="0.25">
      <c r="A296" t="s">
        <v>4984</v>
      </c>
      <c r="B296" t="s">
        <v>86</v>
      </c>
      <c r="C296" t="s">
        <v>38</v>
      </c>
      <c r="D296" t="s">
        <v>434</v>
      </c>
      <c r="E296" s="2">
        <v>33.5</v>
      </c>
      <c r="F296" s="4">
        <v>10</v>
      </c>
      <c r="G296" s="2">
        <v>335</v>
      </c>
      <c r="H296" t="s">
        <v>15</v>
      </c>
      <c r="I296" t="s">
        <v>16</v>
      </c>
      <c r="J296" s="1">
        <v>45646</v>
      </c>
      <c r="K296" t="b">
        <v>1</v>
      </c>
    </row>
    <row r="297" spans="1:11" x14ac:dyDescent="0.25">
      <c r="A297" t="s">
        <v>2146</v>
      </c>
      <c r="B297" t="s">
        <v>43</v>
      </c>
      <c r="C297" t="s">
        <v>13</v>
      </c>
      <c r="D297" t="s">
        <v>375</v>
      </c>
      <c r="E297" s="2">
        <v>33.5</v>
      </c>
      <c r="F297" s="4">
        <v>10</v>
      </c>
      <c r="G297" s="2">
        <v>335</v>
      </c>
      <c r="H297" t="s">
        <v>15</v>
      </c>
      <c r="I297" t="s">
        <v>36</v>
      </c>
      <c r="J297" s="1">
        <v>45452</v>
      </c>
      <c r="K297" t="b">
        <v>1</v>
      </c>
    </row>
    <row r="298" spans="1:11" x14ac:dyDescent="0.25">
      <c r="A298" t="s">
        <v>5419</v>
      </c>
      <c r="B298" t="s">
        <v>85</v>
      </c>
      <c r="C298" t="s">
        <v>110</v>
      </c>
      <c r="D298" t="s">
        <v>154</v>
      </c>
      <c r="E298" s="2">
        <v>33.5</v>
      </c>
      <c r="F298" s="4">
        <v>10</v>
      </c>
      <c r="G298" s="2">
        <v>335</v>
      </c>
      <c r="H298" t="s">
        <v>45</v>
      </c>
      <c r="I298" t="s">
        <v>16</v>
      </c>
      <c r="J298" s="1">
        <v>45488</v>
      </c>
      <c r="K298" t="b">
        <v>0</v>
      </c>
    </row>
    <row r="299" spans="1:11" x14ac:dyDescent="0.25">
      <c r="A299" t="s">
        <v>7742</v>
      </c>
      <c r="B299" t="s">
        <v>142</v>
      </c>
      <c r="C299" t="s">
        <v>23</v>
      </c>
      <c r="D299" t="s">
        <v>73</v>
      </c>
      <c r="E299" s="2">
        <v>33.5</v>
      </c>
      <c r="F299" s="4">
        <v>10</v>
      </c>
      <c r="G299" s="2">
        <v>335</v>
      </c>
      <c r="H299" t="s">
        <v>45</v>
      </c>
      <c r="I299" t="s">
        <v>16</v>
      </c>
      <c r="J299" s="1">
        <v>45473</v>
      </c>
      <c r="K299" t="b">
        <v>0</v>
      </c>
    </row>
    <row r="300" spans="1:11" x14ac:dyDescent="0.25">
      <c r="A300" t="s">
        <v>2105</v>
      </c>
      <c r="B300" t="s">
        <v>30</v>
      </c>
      <c r="C300" t="s">
        <v>59</v>
      </c>
      <c r="D300" t="s">
        <v>290</v>
      </c>
      <c r="E300" s="2">
        <v>36.5</v>
      </c>
      <c r="F300" s="4">
        <v>9</v>
      </c>
      <c r="G300" s="2">
        <v>328.5</v>
      </c>
      <c r="H300" t="s">
        <v>45</v>
      </c>
      <c r="I300" t="s">
        <v>36</v>
      </c>
      <c r="J300" s="1">
        <v>44937</v>
      </c>
      <c r="K300" t="b">
        <v>1</v>
      </c>
    </row>
    <row r="301" spans="1:11" x14ac:dyDescent="0.25">
      <c r="A301" t="s">
        <v>1047</v>
      </c>
      <c r="B301" t="s">
        <v>56</v>
      </c>
      <c r="C301" t="s">
        <v>59</v>
      </c>
      <c r="D301" t="s">
        <v>290</v>
      </c>
      <c r="E301" s="2">
        <v>36.5</v>
      </c>
      <c r="F301" s="4">
        <v>9</v>
      </c>
      <c r="G301" s="2">
        <v>328.5</v>
      </c>
      <c r="H301" t="s">
        <v>15</v>
      </c>
      <c r="I301" t="s">
        <v>36</v>
      </c>
      <c r="J301" s="1">
        <v>45553</v>
      </c>
      <c r="K301" t="b">
        <v>0</v>
      </c>
    </row>
    <row r="302" spans="1:11" x14ac:dyDescent="0.25">
      <c r="A302" t="s">
        <v>2082</v>
      </c>
      <c r="B302" t="s">
        <v>69</v>
      </c>
      <c r="C302" t="s">
        <v>19</v>
      </c>
      <c r="D302" t="s">
        <v>412</v>
      </c>
      <c r="E302" s="2">
        <v>36.5</v>
      </c>
      <c r="F302" s="4">
        <v>9</v>
      </c>
      <c r="G302" s="2">
        <v>328.5</v>
      </c>
      <c r="H302" t="s">
        <v>45</v>
      </c>
      <c r="I302" t="s">
        <v>36</v>
      </c>
      <c r="J302" s="1">
        <v>44680</v>
      </c>
      <c r="K302" t="b">
        <v>1</v>
      </c>
    </row>
    <row r="303" spans="1:11" x14ac:dyDescent="0.25">
      <c r="A303" t="s">
        <v>6736</v>
      </c>
      <c r="B303" t="s">
        <v>58</v>
      </c>
      <c r="C303" t="s">
        <v>59</v>
      </c>
      <c r="D303" t="s">
        <v>290</v>
      </c>
      <c r="E303" s="2">
        <v>36.5</v>
      </c>
      <c r="F303" s="4">
        <v>9</v>
      </c>
      <c r="G303" s="2">
        <v>328.5</v>
      </c>
      <c r="H303" t="s">
        <v>25</v>
      </c>
      <c r="I303" t="s">
        <v>36</v>
      </c>
      <c r="J303" s="1">
        <v>44768</v>
      </c>
      <c r="K303" t="b">
        <v>1</v>
      </c>
    </row>
    <row r="304" spans="1:11" x14ac:dyDescent="0.25">
      <c r="A304" t="s">
        <v>5006</v>
      </c>
      <c r="B304" t="s">
        <v>61</v>
      </c>
      <c r="C304" t="s">
        <v>23</v>
      </c>
      <c r="D304" t="s">
        <v>44</v>
      </c>
      <c r="E304" s="2">
        <v>36.5</v>
      </c>
      <c r="F304" s="4">
        <v>9</v>
      </c>
      <c r="G304" s="2">
        <v>328.5</v>
      </c>
      <c r="H304" t="s">
        <v>45</v>
      </c>
      <c r="I304" t="s">
        <v>16</v>
      </c>
      <c r="J304" s="1">
        <v>45456</v>
      </c>
      <c r="K304" t="b">
        <v>1</v>
      </c>
    </row>
    <row r="305" spans="1:11" x14ac:dyDescent="0.25">
      <c r="A305" t="s">
        <v>1277</v>
      </c>
      <c r="B305" t="s">
        <v>56</v>
      </c>
      <c r="C305" t="s">
        <v>23</v>
      </c>
      <c r="D305" t="s">
        <v>44</v>
      </c>
      <c r="E305" s="2">
        <v>36.5</v>
      </c>
      <c r="F305" s="4">
        <v>9</v>
      </c>
      <c r="G305" s="2">
        <v>328.5</v>
      </c>
      <c r="H305" t="s">
        <v>45</v>
      </c>
      <c r="I305" t="s">
        <v>16</v>
      </c>
      <c r="J305" s="1">
        <v>45238</v>
      </c>
      <c r="K305" t="b">
        <v>0</v>
      </c>
    </row>
    <row r="306" spans="1:11" x14ac:dyDescent="0.25">
      <c r="A306" t="s">
        <v>1964</v>
      </c>
      <c r="B306" t="s">
        <v>93</v>
      </c>
      <c r="C306" t="s">
        <v>13</v>
      </c>
      <c r="D306" t="s">
        <v>80</v>
      </c>
      <c r="E306" s="2">
        <v>36.5</v>
      </c>
      <c r="F306" s="4">
        <v>9</v>
      </c>
      <c r="G306" s="2">
        <v>328.5</v>
      </c>
      <c r="H306" t="s">
        <v>15</v>
      </c>
      <c r="I306" t="s">
        <v>36</v>
      </c>
      <c r="J306" s="1">
        <v>44891</v>
      </c>
      <c r="K306" t="b">
        <v>0</v>
      </c>
    </row>
    <row r="307" spans="1:11" x14ac:dyDescent="0.25">
      <c r="A307" t="s">
        <v>4521</v>
      </c>
      <c r="B307" t="s">
        <v>40</v>
      </c>
      <c r="C307" t="s">
        <v>59</v>
      </c>
      <c r="D307" t="s">
        <v>290</v>
      </c>
      <c r="E307" s="2">
        <v>36.5</v>
      </c>
      <c r="F307" s="4">
        <v>9</v>
      </c>
      <c r="G307" s="2">
        <v>328.5</v>
      </c>
      <c r="H307" t="s">
        <v>25</v>
      </c>
      <c r="I307" t="s">
        <v>36</v>
      </c>
      <c r="J307" s="1">
        <v>44659</v>
      </c>
      <c r="K307" t="b">
        <v>1</v>
      </c>
    </row>
    <row r="308" spans="1:11" x14ac:dyDescent="0.25">
      <c r="A308" t="s">
        <v>4694</v>
      </c>
      <c r="B308" t="s">
        <v>40</v>
      </c>
      <c r="C308" t="s">
        <v>59</v>
      </c>
      <c r="D308" t="s">
        <v>290</v>
      </c>
      <c r="E308" s="2">
        <v>36.5</v>
      </c>
      <c r="F308" s="4">
        <v>9</v>
      </c>
      <c r="G308" s="2">
        <v>328.5</v>
      </c>
      <c r="H308" t="s">
        <v>15</v>
      </c>
      <c r="I308" t="s">
        <v>16</v>
      </c>
      <c r="J308" s="1">
        <v>44592</v>
      </c>
      <c r="K308" t="b">
        <v>0</v>
      </c>
    </row>
    <row r="309" spans="1:11" x14ac:dyDescent="0.25">
      <c r="A309" t="s">
        <v>403</v>
      </c>
      <c r="B309" t="s">
        <v>37</v>
      </c>
      <c r="C309" t="s">
        <v>110</v>
      </c>
      <c r="D309" t="s">
        <v>134</v>
      </c>
      <c r="E309" s="2">
        <v>36.5</v>
      </c>
      <c r="F309" s="4">
        <v>9</v>
      </c>
      <c r="G309" s="2">
        <v>328.5</v>
      </c>
      <c r="H309" t="s">
        <v>25</v>
      </c>
      <c r="I309" t="s">
        <v>16</v>
      </c>
      <c r="J309" s="1">
        <v>45150</v>
      </c>
      <c r="K309" t="b">
        <v>0</v>
      </c>
    </row>
    <row r="310" spans="1:11" x14ac:dyDescent="0.25">
      <c r="A310" t="s">
        <v>1349</v>
      </c>
      <c r="B310" t="s">
        <v>104</v>
      </c>
      <c r="C310" t="s">
        <v>27</v>
      </c>
      <c r="D310" t="s">
        <v>101</v>
      </c>
      <c r="E310" s="2">
        <v>36.5</v>
      </c>
      <c r="F310" s="4">
        <v>9</v>
      </c>
      <c r="G310" s="2">
        <v>328.5</v>
      </c>
      <c r="H310" t="s">
        <v>25</v>
      </c>
      <c r="I310" t="s">
        <v>36</v>
      </c>
      <c r="J310" s="1">
        <v>45626</v>
      </c>
      <c r="K310" t="b">
        <v>1</v>
      </c>
    </row>
    <row r="311" spans="1:11" x14ac:dyDescent="0.25">
      <c r="A311" t="s">
        <v>7620</v>
      </c>
      <c r="B311" t="s">
        <v>26</v>
      </c>
      <c r="C311" t="s">
        <v>23</v>
      </c>
      <c r="D311" t="s">
        <v>44</v>
      </c>
      <c r="E311" s="2">
        <v>36.5</v>
      </c>
      <c r="F311" s="4">
        <v>9</v>
      </c>
      <c r="G311" s="2">
        <v>328.5</v>
      </c>
      <c r="H311" t="s">
        <v>15</v>
      </c>
      <c r="I311" t="s">
        <v>16</v>
      </c>
      <c r="J311" s="1">
        <v>45303</v>
      </c>
      <c r="K311" t="b">
        <v>0</v>
      </c>
    </row>
    <row r="312" spans="1:11" x14ac:dyDescent="0.25">
      <c r="A312" t="s">
        <v>6518</v>
      </c>
      <c r="B312" t="s">
        <v>43</v>
      </c>
      <c r="C312" t="s">
        <v>31</v>
      </c>
      <c r="D312" t="s">
        <v>136</v>
      </c>
      <c r="E312" s="2">
        <v>36.5</v>
      </c>
      <c r="F312" s="4">
        <v>9</v>
      </c>
      <c r="G312" s="2">
        <v>328.5</v>
      </c>
      <c r="H312" t="s">
        <v>15</v>
      </c>
      <c r="I312" t="s">
        <v>16</v>
      </c>
      <c r="J312" s="1">
        <v>45459</v>
      </c>
      <c r="K312" t="b">
        <v>0</v>
      </c>
    </row>
    <row r="313" spans="1:11" x14ac:dyDescent="0.25">
      <c r="A313" t="s">
        <v>454</v>
      </c>
      <c r="B313" t="s">
        <v>37</v>
      </c>
      <c r="C313" t="s">
        <v>110</v>
      </c>
      <c r="D313" t="s">
        <v>134</v>
      </c>
      <c r="E313" s="2">
        <v>36.5</v>
      </c>
      <c r="F313" s="4">
        <v>9</v>
      </c>
      <c r="G313" s="2">
        <v>328.5</v>
      </c>
      <c r="H313" t="s">
        <v>45</v>
      </c>
      <c r="I313" t="s">
        <v>16</v>
      </c>
      <c r="J313" s="1">
        <v>44984</v>
      </c>
      <c r="K313" t="b">
        <v>0</v>
      </c>
    </row>
    <row r="314" spans="1:11" x14ac:dyDescent="0.25">
      <c r="A314" t="s">
        <v>5963</v>
      </c>
      <c r="B314" t="s">
        <v>69</v>
      </c>
      <c r="C314" t="s">
        <v>19</v>
      </c>
      <c r="D314" t="s">
        <v>412</v>
      </c>
      <c r="E314" s="2">
        <v>36.5</v>
      </c>
      <c r="F314" s="4">
        <v>9</v>
      </c>
      <c r="G314" s="2">
        <v>328.5</v>
      </c>
      <c r="H314" t="s">
        <v>45</v>
      </c>
      <c r="I314" t="s">
        <v>16</v>
      </c>
      <c r="J314" s="1">
        <v>44959</v>
      </c>
      <c r="K314" t="b">
        <v>1</v>
      </c>
    </row>
    <row r="315" spans="1:11" x14ac:dyDescent="0.25">
      <c r="A315" t="s">
        <v>6608</v>
      </c>
      <c r="B315" t="s">
        <v>63</v>
      </c>
      <c r="C315" t="s">
        <v>19</v>
      </c>
      <c r="D315" t="s">
        <v>412</v>
      </c>
      <c r="E315" s="2">
        <v>36.5</v>
      </c>
      <c r="F315" s="4">
        <v>9</v>
      </c>
      <c r="G315" s="2">
        <v>328.5</v>
      </c>
      <c r="H315" t="s">
        <v>45</v>
      </c>
      <c r="I315" t="s">
        <v>36</v>
      </c>
      <c r="J315" s="1">
        <v>45652</v>
      </c>
      <c r="K315" t="b">
        <v>1</v>
      </c>
    </row>
    <row r="316" spans="1:11" x14ac:dyDescent="0.25">
      <c r="A316" t="s">
        <v>2104</v>
      </c>
      <c r="B316" t="s">
        <v>142</v>
      </c>
      <c r="C316" t="s">
        <v>19</v>
      </c>
      <c r="D316" t="s">
        <v>412</v>
      </c>
      <c r="E316" s="2">
        <v>36.5</v>
      </c>
      <c r="F316" s="4">
        <v>9</v>
      </c>
      <c r="G316" s="2">
        <v>328.5</v>
      </c>
      <c r="H316" t="s">
        <v>25</v>
      </c>
      <c r="I316" t="s">
        <v>16</v>
      </c>
      <c r="J316" s="1">
        <v>44932</v>
      </c>
      <c r="K316" t="b">
        <v>0</v>
      </c>
    </row>
    <row r="317" spans="1:11" x14ac:dyDescent="0.25">
      <c r="A317" t="s">
        <v>7304</v>
      </c>
      <c r="B317" t="s">
        <v>61</v>
      </c>
      <c r="C317" t="s">
        <v>23</v>
      </c>
      <c r="D317" t="s">
        <v>44</v>
      </c>
      <c r="E317" s="2">
        <v>36.5</v>
      </c>
      <c r="F317" s="4">
        <v>9</v>
      </c>
      <c r="G317" s="2">
        <v>328.5</v>
      </c>
      <c r="H317" t="s">
        <v>15</v>
      </c>
      <c r="I317" t="s">
        <v>36</v>
      </c>
      <c r="J317" s="1">
        <v>45105</v>
      </c>
      <c r="K317" t="b">
        <v>1</v>
      </c>
    </row>
    <row r="318" spans="1:11" x14ac:dyDescent="0.25">
      <c r="A318" t="s">
        <v>5761</v>
      </c>
      <c r="B318" t="s">
        <v>37</v>
      </c>
      <c r="C318" t="s">
        <v>31</v>
      </c>
      <c r="D318" t="s">
        <v>136</v>
      </c>
      <c r="E318" s="2">
        <v>36.5</v>
      </c>
      <c r="F318" s="4">
        <v>9</v>
      </c>
      <c r="G318" s="2">
        <v>328.5</v>
      </c>
      <c r="H318" t="s">
        <v>45</v>
      </c>
      <c r="I318" t="s">
        <v>16</v>
      </c>
      <c r="J318" s="1">
        <v>45111</v>
      </c>
      <c r="K318" t="b">
        <v>0</v>
      </c>
    </row>
    <row r="319" spans="1:11" x14ac:dyDescent="0.25">
      <c r="A319" t="s">
        <v>7688</v>
      </c>
      <c r="B319" t="s">
        <v>85</v>
      </c>
      <c r="C319" t="s">
        <v>110</v>
      </c>
      <c r="D319" t="s">
        <v>134</v>
      </c>
      <c r="E319" s="2">
        <v>36.5</v>
      </c>
      <c r="F319" s="4">
        <v>9</v>
      </c>
      <c r="G319" s="2">
        <v>328.5</v>
      </c>
      <c r="H319" t="s">
        <v>45</v>
      </c>
      <c r="I319" t="s">
        <v>16</v>
      </c>
      <c r="J319" s="1">
        <v>44963</v>
      </c>
      <c r="K319" t="b">
        <v>1</v>
      </c>
    </row>
    <row r="320" spans="1:11" x14ac:dyDescent="0.25">
      <c r="A320" t="s">
        <v>6875</v>
      </c>
      <c r="B320" t="s">
        <v>58</v>
      </c>
      <c r="C320" t="s">
        <v>23</v>
      </c>
      <c r="D320" t="s">
        <v>44</v>
      </c>
      <c r="E320" s="2">
        <v>36.5</v>
      </c>
      <c r="F320" s="4">
        <v>9</v>
      </c>
      <c r="G320" s="2">
        <v>328.5</v>
      </c>
      <c r="H320" t="s">
        <v>45</v>
      </c>
      <c r="I320" t="s">
        <v>16</v>
      </c>
      <c r="J320" s="1">
        <v>45097</v>
      </c>
      <c r="K320" t="b">
        <v>1</v>
      </c>
    </row>
    <row r="321" spans="1:11" x14ac:dyDescent="0.25">
      <c r="A321" t="s">
        <v>998</v>
      </c>
      <c r="B321" t="s">
        <v>40</v>
      </c>
      <c r="C321" t="s">
        <v>13</v>
      </c>
      <c r="D321" t="s">
        <v>80</v>
      </c>
      <c r="E321" s="2">
        <v>36.5</v>
      </c>
      <c r="F321" s="4">
        <v>9</v>
      </c>
      <c r="G321" s="2">
        <v>328.5</v>
      </c>
      <c r="H321" t="s">
        <v>45</v>
      </c>
      <c r="I321" t="s">
        <v>36</v>
      </c>
      <c r="J321" s="1">
        <v>44941</v>
      </c>
      <c r="K321" t="b">
        <v>0</v>
      </c>
    </row>
    <row r="322" spans="1:11" x14ac:dyDescent="0.25">
      <c r="A322" t="s">
        <v>3103</v>
      </c>
      <c r="B322" t="s">
        <v>72</v>
      </c>
      <c r="C322" t="s">
        <v>23</v>
      </c>
      <c r="D322" t="s">
        <v>44</v>
      </c>
      <c r="E322" s="2">
        <v>36.5</v>
      </c>
      <c r="F322" s="4">
        <v>9</v>
      </c>
      <c r="G322" s="2">
        <v>328.5</v>
      </c>
      <c r="H322" t="s">
        <v>25</v>
      </c>
      <c r="I322" t="s">
        <v>36</v>
      </c>
      <c r="J322" s="1">
        <v>45056</v>
      </c>
      <c r="K322" t="b">
        <v>1</v>
      </c>
    </row>
    <row r="323" spans="1:11" x14ac:dyDescent="0.25">
      <c r="A323" t="s">
        <v>5051</v>
      </c>
      <c r="B323" t="s">
        <v>12</v>
      </c>
      <c r="C323" t="s">
        <v>27</v>
      </c>
      <c r="D323" t="s">
        <v>101</v>
      </c>
      <c r="E323" s="2">
        <v>36.5</v>
      </c>
      <c r="F323" s="4">
        <v>9</v>
      </c>
      <c r="G323" s="2">
        <v>328.5</v>
      </c>
      <c r="H323" t="s">
        <v>45</v>
      </c>
      <c r="I323" t="s">
        <v>36</v>
      </c>
      <c r="J323" s="1">
        <v>44632</v>
      </c>
      <c r="K323" t="b">
        <v>1</v>
      </c>
    </row>
    <row r="324" spans="1:11" x14ac:dyDescent="0.25">
      <c r="A324" t="s">
        <v>6587</v>
      </c>
      <c r="B324" t="s">
        <v>104</v>
      </c>
      <c r="C324" t="s">
        <v>19</v>
      </c>
      <c r="D324" t="s">
        <v>412</v>
      </c>
      <c r="E324" s="2">
        <v>36.5</v>
      </c>
      <c r="F324" s="4">
        <v>9</v>
      </c>
      <c r="G324" s="2">
        <v>328.5</v>
      </c>
      <c r="H324" t="s">
        <v>25</v>
      </c>
      <c r="I324" t="s">
        <v>16</v>
      </c>
      <c r="J324" s="1">
        <v>44850</v>
      </c>
      <c r="K324" t="b">
        <v>0</v>
      </c>
    </row>
    <row r="325" spans="1:11" x14ac:dyDescent="0.25">
      <c r="A325" t="s">
        <v>6500</v>
      </c>
      <c r="B325" t="s">
        <v>100</v>
      </c>
      <c r="C325" t="s">
        <v>19</v>
      </c>
      <c r="D325" t="s">
        <v>412</v>
      </c>
      <c r="E325" s="2">
        <v>36.5</v>
      </c>
      <c r="F325" s="4">
        <v>9</v>
      </c>
      <c r="G325" s="2">
        <v>328.5</v>
      </c>
      <c r="H325" t="s">
        <v>25</v>
      </c>
      <c r="I325" t="s">
        <v>16</v>
      </c>
      <c r="J325" s="1">
        <v>44894</v>
      </c>
      <c r="K325" t="b">
        <v>1</v>
      </c>
    </row>
    <row r="326" spans="1:11" x14ac:dyDescent="0.25">
      <c r="A326" t="s">
        <v>4420</v>
      </c>
      <c r="B326" t="s">
        <v>77</v>
      </c>
      <c r="C326" t="s">
        <v>23</v>
      </c>
      <c r="D326" t="s">
        <v>44</v>
      </c>
      <c r="E326" s="2">
        <v>36.5</v>
      </c>
      <c r="F326" s="4">
        <v>9</v>
      </c>
      <c r="G326" s="2">
        <v>328.5</v>
      </c>
      <c r="H326" t="s">
        <v>15</v>
      </c>
      <c r="I326" t="s">
        <v>36</v>
      </c>
      <c r="J326" s="1">
        <v>44989</v>
      </c>
      <c r="K326" t="b">
        <v>0</v>
      </c>
    </row>
    <row r="327" spans="1:11" x14ac:dyDescent="0.25">
      <c r="A327" t="s">
        <v>2968</v>
      </c>
      <c r="B327" t="s">
        <v>58</v>
      </c>
      <c r="C327" t="s">
        <v>31</v>
      </c>
      <c r="D327" t="s">
        <v>136</v>
      </c>
      <c r="E327" s="2">
        <v>36.5</v>
      </c>
      <c r="F327" s="4">
        <v>9</v>
      </c>
      <c r="G327" s="2">
        <v>328.5</v>
      </c>
      <c r="H327" t="s">
        <v>25</v>
      </c>
      <c r="I327" t="s">
        <v>16</v>
      </c>
      <c r="J327" s="1">
        <v>45391</v>
      </c>
      <c r="K327" t="b">
        <v>0</v>
      </c>
    </row>
    <row r="328" spans="1:11" x14ac:dyDescent="0.25">
      <c r="A328" t="s">
        <v>3850</v>
      </c>
      <c r="B328" t="s">
        <v>100</v>
      </c>
      <c r="C328" t="s">
        <v>23</v>
      </c>
      <c r="D328" t="s">
        <v>44</v>
      </c>
      <c r="E328" s="2">
        <v>36.5</v>
      </c>
      <c r="F328" s="4">
        <v>9</v>
      </c>
      <c r="G328" s="2">
        <v>328.5</v>
      </c>
      <c r="H328" t="s">
        <v>25</v>
      </c>
      <c r="I328" t="s">
        <v>36</v>
      </c>
      <c r="J328" s="1">
        <v>45038</v>
      </c>
      <c r="K328" t="b">
        <v>1</v>
      </c>
    </row>
    <row r="329" spans="1:11" x14ac:dyDescent="0.25">
      <c r="A329" t="s">
        <v>7709</v>
      </c>
      <c r="B329" t="s">
        <v>12</v>
      </c>
      <c r="C329" t="s">
        <v>110</v>
      </c>
      <c r="D329" t="s">
        <v>134</v>
      </c>
      <c r="E329" s="2">
        <v>36.5</v>
      </c>
      <c r="F329" s="4">
        <v>9</v>
      </c>
      <c r="G329" s="2">
        <v>328.5</v>
      </c>
      <c r="H329" t="s">
        <v>45</v>
      </c>
      <c r="I329" t="s">
        <v>16</v>
      </c>
      <c r="J329" s="1">
        <v>45245</v>
      </c>
      <c r="K329" t="b">
        <v>1</v>
      </c>
    </row>
    <row r="330" spans="1:11" x14ac:dyDescent="0.25">
      <c r="A330" t="s">
        <v>6577</v>
      </c>
      <c r="B330" t="s">
        <v>26</v>
      </c>
      <c r="C330" t="s">
        <v>23</v>
      </c>
      <c r="D330" t="s">
        <v>44</v>
      </c>
      <c r="E330" s="2">
        <v>36.5</v>
      </c>
      <c r="F330" s="4">
        <v>9</v>
      </c>
      <c r="G330" s="2">
        <v>328.5</v>
      </c>
      <c r="H330" t="s">
        <v>15</v>
      </c>
      <c r="I330" t="s">
        <v>36</v>
      </c>
      <c r="J330" s="1">
        <v>44624</v>
      </c>
      <c r="K330" t="b">
        <v>1</v>
      </c>
    </row>
    <row r="331" spans="1:11" x14ac:dyDescent="0.25">
      <c r="A331" t="s">
        <v>6803</v>
      </c>
      <c r="B331" t="s">
        <v>34</v>
      </c>
      <c r="C331" t="s">
        <v>31</v>
      </c>
      <c r="D331" t="s">
        <v>136</v>
      </c>
      <c r="E331" s="2">
        <v>36.5</v>
      </c>
      <c r="F331" s="4">
        <v>9</v>
      </c>
      <c r="G331" s="2">
        <v>328.5</v>
      </c>
      <c r="H331" t="s">
        <v>15</v>
      </c>
      <c r="I331" t="s">
        <v>16</v>
      </c>
      <c r="J331" s="1">
        <v>45199</v>
      </c>
      <c r="K331" t="b">
        <v>1</v>
      </c>
    </row>
    <row r="332" spans="1:11" x14ac:dyDescent="0.25">
      <c r="A332" t="s">
        <v>6707</v>
      </c>
      <c r="B332" t="s">
        <v>40</v>
      </c>
      <c r="C332" t="s">
        <v>110</v>
      </c>
      <c r="D332" t="s">
        <v>134</v>
      </c>
      <c r="E332" s="2">
        <v>36.5</v>
      </c>
      <c r="F332" s="4">
        <v>9</v>
      </c>
      <c r="G332" s="2">
        <v>328.5</v>
      </c>
      <c r="H332" t="s">
        <v>45</v>
      </c>
      <c r="I332" t="s">
        <v>16</v>
      </c>
      <c r="J332" s="1">
        <v>45344</v>
      </c>
      <c r="K332" t="b">
        <v>0</v>
      </c>
    </row>
    <row r="333" spans="1:11" x14ac:dyDescent="0.25">
      <c r="A333" t="s">
        <v>866</v>
      </c>
      <c r="B333" t="s">
        <v>66</v>
      </c>
      <c r="C333" t="s">
        <v>23</v>
      </c>
      <c r="D333" t="s">
        <v>44</v>
      </c>
      <c r="E333" s="2">
        <v>36.5</v>
      </c>
      <c r="F333" s="4">
        <v>9</v>
      </c>
      <c r="G333" s="2">
        <v>328.5</v>
      </c>
      <c r="H333" t="s">
        <v>25</v>
      </c>
      <c r="I333" t="s">
        <v>16</v>
      </c>
      <c r="J333" s="1">
        <v>45223</v>
      </c>
      <c r="K333" t="b">
        <v>0</v>
      </c>
    </row>
    <row r="334" spans="1:11" x14ac:dyDescent="0.25">
      <c r="A334" t="s">
        <v>819</v>
      </c>
      <c r="B334" t="s">
        <v>77</v>
      </c>
      <c r="C334" t="s">
        <v>31</v>
      </c>
      <c r="D334" t="s">
        <v>136</v>
      </c>
      <c r="E334" s="2">
        <v>36.5</v>
      </c>
      <c r="F334" s="4">
        <v>9</v>
      </c>
      <c r="G334" s="2">
        <v>328.5</v>
      </c>
      <c r="H334" t="s">
        <v>45</v>
      </c>
      <c r="I334" t="s">
        <v>16</v>
      </c>
      <c r="J334" s="1">
        <v>45137</v>
      </c>
      <c r="K334" t="b">
        <v>1</v>
      </c>
    </row>
    <row r="335" spans="1:11" x14ac:dyDescent="0.25">
      <c r="A335" t="s">
        <v>7460</v>
      </c>
      <c r="B335" t="s">
        <v>77</v>
      </c>
      <c r="C335" t="s">
        <v>38</v>
      </c>
      <c r="D335" t="s">
        <v>75</v>
      </c>
      <c r="E335" s="2">
        <v>41</v>
      </c>
      <c r="F335" s="4">
        <v>8</v>
      </c>
      <c r="G335" s="2">
        <v>328</v>
      </c>
      <c r="H335" t="s">
        <v>15</v>
      </c>
      <c r="I335" t="s">
        <v>36</v>
      </c>
      <c r="J335" s="1">
        <v>45520</v>
      </c>
      <c r="K335" t="b">
        <v>0</v>
      </c>
    </row>
    <row r="336" spans="1:11" x14ac:dyDescent="0.25">
      <c r="A336" t="s">
        <v>6547</v>
      </c>
      <c r="B336" t="s">
        <v>86</v>
      </c>
      <c r="C336" t="s">
        <v>110</v>
      </c>
      <c r="D336" t="s">
        <v>185</v>
      </c>
      <c r="E336" s="2">
        <v>41</v>
      </c>
      <c r="F336" s="4">
        <v>8</v>
      </c>
      <c r="G336" s="2">
        <v>328</v>
      </c>
      <c r="H336" t="s">
        <v>25</v>
      </c>
      <c r="I336" t="s">
        <v>36</v>
      </c>
      <c r="J336" s="1">
        <v>44751</v>
      </c>
      <c r="K336" t="b">
        <v>0</v>
      </c>
    </row>
    <row r="337" spans="1:11" x14ac:dyDescent="0.25">
      <c r="A337" t="s">
        <v>2363</v>
      </c>
      <c r="B337" t="s">
        <v>142</v>
      </c>
      <c r="C337" t="s">
        <v>19</v>
      </c>
      <c r="D337" t="s">
        <v>787</v>
      </c>
      <c r="E337" s="2">
        <v>41</v>
      </c>
      <c r="F337" s="4">
        <v>8</v>
      </c>
      <c r="G337" s="2">
        <v>328</v>
      </c>
      <c r="H337" t="s">
        <v>45</v>
      </c>
      <c r="I337" t="s">
        <v>36</v>
      </c>
      <c r="J337" s="1">
        <v>44651</v>
      </c>
      <c r="K337" t="b">
        <v>1</v>
      </c>
    </row>
    <row r="338" spans="1:11" x14ac:dyDescent="0.25">
      <c r="A338" t="s">
        <v>7173</v>
      </c>
      <c r="B338" t="s">
        <v>77</v>
      </c>
      <c r="C338" t="s">
        <v>23</v>
      </c>
      <c r="D338" t="s">
        <v>302</v>
      </c>
      <c r="E338" s="2">
        <v>41</v>
      </c>
      <c r="F338" s="4">
        <v>8</v>
      </c>
      <c r="G338" s="2">
        <v>328</v>
      </c>
      <c r="H338" t="s">
        <v>25</v>
      </c>
      <c r="I338" t="s">
        <v>16</v>
      </c>
      <c r="J338" s="1">
        <v>45602</v>
      </c>
      <c r="K338" t="b">
        <v>1</v>
      </c>
    </row>
    <row r="339" spans="1:11" x14ac:dyDescent="0.25">
      <c r="A339" t="s">
        <v>7485</v>
      </c>
      <c r="B339" t="s">
        <v>51</v>
      </c>
      <c r="C339" t="s">
        <v>13</v>
      </c>
      <c r="D339" t="s">
        <v>161</v>
      </c>
      <c r="E339" s="2">
        <v>41</v>
      </c>
      <c r="F339" s="4">
        <v>8</v>
      </c>
      <c r="G339" s="2">
        <v>328</v>
      </c>
      <c r="H339" t="s">
        <v>25</v>
      </c>
      <c r="I339" t="s">
        <v>36</v>
      </c>
      <c r="J339" s="1">
        <v>45607</v>
      </c>
      <c r="K339" t="b">
        <v>1</v>
      </c>
    </row>
    <row r="340" spans="1:11" x14ac:dyDescent="0.25">
      <c r="A340" t="s">
        <v>7146</v>
      </c>
      <c r="B340" t="s">
        <v>51</v>
      </c>
      <c r="C340" t="s">
        <v>27</v>
      </c>
      <c r="D340" t="s">
        <v>89</v>
      </c>
      <c r="E340" s="2">
        <v>41</v>
      </c>
      <c r="F340" s="4">
        <v>8</v>
      </c>
      <c r="G340" s="2">
        <v>328</v>
      </c>
      <c r="H340" t="s">
        <v>15</v>
      </c>
      <c r="I340" t="s">
        <v>16</v>
      </c>
      <c r="J340" s="1">
        <v>45506</v>
      </c>
      <c r="K340" t="b">
        <v>0</v>
      </c>
    </row>
    <row r="341" spans="1:11" x14ac:dyDescent="0.25">
      <c r="A341" t="s">
        <v>7515</v>
      </c>
      <c r="B341" t="s">
        <v>56</v>
      </c>
      <c r="C341" t="s">
        <v>27</v>
      </c>
      <c r="D341" t="s">
        <v>89</v>
      </c>
      <c r="E341" s="2">
        <v>41</v>
      </c>
      <c r="F341" s="4">
        <v>8</v>
      </c>
      <c r="G341" s="2">
        <v>328</v>
      </c>
      <c r="H341" t="s">
        <v>15</v>
      </c>
      <c r="I341" t="s">
        <v>36</v>
      </c>
      <c r="J341" s="1">
        <v>44595</v>
      </c>
      <c r="K341" t="b">
        <v>1</v>
      </c>
    </row>
    <row r="342" spans="1:11" x14ac:dyDescent="0.25">
      <c r="A342" t="s">
        <v>6939</v>
      </c>
      <c r="B342" t="s">
        <v>85</v>
      </c>
      <c r="C342" t="s">
        <v>110</v>
      </c>
      <c r="D342" t="s">
        <v>185</v>
      </c>
      <c r="E342" s="2">
        <v>41</v>
      </c>
      <c r="F342" s="4">
        <v>8</v>
      </c>
      <c r="G342" s="2">
        <v>328</v>
      </c>
      <c r="H342" t="s">
        <v>25</v>
      </c>
      <c r="I342" t="s">
        <v>36</v>
      </c>
      <c r="J342" s="1">
        <v>44845</v>
      </c>
      <c r="K342" t="b">
        <v>0</v>
      </c>
    </row>
    <row r="343" spans="1:11" x14ac:dyDescent="0.25">
      <c r="A343" t="s">
        <v>992</v>
      </c>
      <c r="B343" t="s">
        <v>58</v>
      </c>
      <c r="C343" t="s">
        <v>23</v>
      </c>
      <c r="D343" t="s">
        <v>302</v>
      </c>
      <c r="E343" s="2">
        <v>41</v>
      </c>
      <c r="F343" s="4">
        <v>8</v>
      </c>
      <c r="G343" s="2">
        <v>328</v>
      </c>
      <c r="H343" t="s">
        <v>25</v>
      </c>
      <c r="I343" t="s">
        <v>16</v>
      </c>
      <c r="J343" s="1">
        <v>44665</v>
      </c>
      <c r="K343" t="b">
        <v>1</v>
      </c>
    </row>
    <row r="344" spans="1:11" x14ac:dyDescent="0.25">
      <c r="A344" t="s">
        <v>6472</v>
      </c>
      <c r="B344" t="s">
        <v>22</v>
      </c>
      <c r="C344" t="s">
        <v>59</v>
      </c>
      <c r="D344" t="s">
        <v>325</v>
      </c>
      <c r="E344" s="2">
        <v>41</v>
      </c>
      <c r="F344" s="4">
        <v>8</v>
      </c>
      <c r="G344" s="2">
        <v>328</v>
      </c>
      <c r="H344" t="s">
        <v>25</v>
      </c>
      <c r="I344" t="s">
        <v>16</v>
      </c>
      <c r="J344" s="1">
        <v>44666</v>
      </c>
      <c r="K344" t="b">
        <v>1</v>
      </c>
    </row>
    <row r="345" spans="1:11" x14ac:dyDescent="0.25">
      <c r="A345" t="s">
        <v>3007</v>
      </c>
      <c r="B345" t="s">
        <v>61</v>
      </c>
      <c r="C345" t="s">
        <v>31</v>
      </c>
      <c r="D345" t="s">
        <v>286</v>
      </c>
      <c r="E345" s="2">
        <v>41</v>
      </c>
      <c r="F345" s="4">
        <v>8</v>
      </c>
      <c r="G345" s="2">
        <v>328</v>
      </c>
      <c r="H345" t="s">
        <v>25</v>
      </c>
      <c r="I345" t="s">
        <v>16</v>
      </c>
      <c r="J345" s="1">
        <v>44870</v>
      </c>
      <c r="K345" t="b">
        <v>1</v>
      </c>
    </row>
    <row r="346" spans="1:11" x14ac:dyDescent="0.25">
      <c r="A346" t="s">
        <v>3970</v>
      </c>
      <c r="B346" t="s">
        <v>30</v>
      </c>
      <c r="C346" t="s">
        <v>23</v>
      </c>
      <c r="D346" t="s">
        <v>302</v>
      </c>
      <c r="E346" s="2">
        <v>41</v>
      </c>
      <c r="F346" s="4">
        <v>8</v>
      </c>
      <c r="G346" s="2">
        <v>328</v>
      </c>
      <c r="H346" t="s">
        <v>25</v>
      </c>
      <c r="I346" t="s">
        <v>16</v>
      </c>
      <c r="J346" s="1">
        <v>45081</v>
      </c>
      <c r="K346" t="b">
        <v>0</v>
      </c>
    </row>
    <row r="347" spans="1:11" x14ac:dyDescent="0.25">
      <c r="A347" t="s">
        <v>4535</v>
      </c>
      <c r="B347" t="s">
        <v>37</v>
      </c>
      <c r="C347" t="s">
        <v>38</v>
      </c>
      <c r="D347" t="s">
        <v>75</v>
      </c>
      <c r="E347" s="2">
        <v>41</v>
      </c>
      <c r="F347" s="4">
        <v>8</v>
      </c>
      <c r="G347" s="2">
        <v>328</v>
      </c>
      <c r="H347" t="s">
        <v>15</v>
      </c>
      <c r="I347" t="s">
        <v>36</v>
      </c>
      <c r="J347" s="1">
        <v>45648</v>
      </c>
      <c r="K347" t="b">
        <v>0</v>
      </c>
    </row>
    <row r="348" spans="1:11" x14ac:dyDescent="0.25">
      <c r="A348" t="s">
        <v>387</v>
      </c>
      <c r="B348" t="s">
        <v>40</v>
      </c>
      <c r="C348" t="s">
        <v>13</v>
      </c>
      <c r="D348" t="s">
        <v>161</v>
      </c>
      <c r="E348" s="2">
        <v>41</v>
      </c>
      <c r="F348" s="4">
        <v>8</v>
      </c>
      <c r="G348" s="2">
        <v>328</v>
      </c>
      <c r="H348" t="s">
        <v>45</v>
      </c>
      <c r="I348" t="s">
        <v>36</v>
      </c>
      <c r="J348" s="1">
        <v>45580</v>
      </c>
      <c r="K348" t="b">
        <v>1</v>
      </c>
    </row>
    <row r="349" spans="1:11" x14ac:dyDescent="0.25">
      <c r="A349" t="s">
        <v>5953</v>
      </c>
      <c r="B349" t="s">
        <v>58</v>
      </c>
      <c r="C349" t="s">
        <v>110</v>
      </c>
      <c r="D349" t="s">
        <v>185</v>
      </c>
      <c r="E349" s="2">
        <v>41</v>
      </c>
      <c r="F349" s="4">
        <v>8</v>
      </c>
      <c r="G349" s="2">
        <v>328</v>
      </c>
      <c r="H349" t="s">
        <v>15</v>
      </c>
      <c r="I349" t="s">
        <v>16</v>
      </c>
      <c r="J349" s="1">
        <v>45067</v>
      </c>
      <c r="K349" t="b">
        <v>0</v>
      </c>
    </row>
    <row r="350" spans="1:11" x14ac:dyDescent="0.25">
      <c r="A350" t="s">
        <v>3852</v>
      </c>
      <c r="B350" t="s">
        <v>63</v>
      </c>
      <c r="C350" t="s">
        <v>59</v>
      </c>
      <c r="D350" t="s">
        <v>325</v>
      </c>
      <c r="E350" s="2">
        <v>41</v>
      </c>
      <c r="F350" s="4">
        <v>8</v>
      </c>
      <c r="G350" s="2">
        <v>328</v>
      </c>
      <c r="H350" t="s">
        <v>15</v>
      </c>
      <c r="I350" t="s">
        <v>16</v>
      </c>
      <c r="J350" s="1">
        <v>44620</v>
      </c>
      <c r="K350" t="b">
        <v>0</v>
      </c>
    </row>
    <row r="351" spans="1:11" x14ac:dyDescent="0.25">
      <c r="A351" t="s">
        <v>1416</v>
      </c>
      <c r="B351" t="s">
        <v>26</v>
      </c>
      <c r="C351" t="s">
        <v>59</v>
      </c>
      <c r="D351" t="s">
        <v>325</v>
      </c>
      <c r="E351" s="2">
        <v>41</v>
      </c>
      <c r="F351" s="4">
        <v>8</v>
      </c>
      <c r="G351" s="2">
        <v>328</v>
      </c>
      <c r="H351" t="s">
        <v>15</v>
      </c>
      <c r="I351" t="s">
        <v>36</v>
      </c>
      <c r="J351" s="1">
        <v>45664</v>
      </c>
      <c r="K351" t="b">
        <v>1</v>
      </c>
    </row>
    <row r="352" spans="1:11" x14ac:dyDescent="0.25">
      <c r="A352" t="s">
        <v>5959</v>
      </c>
      <c r="B352" t="s">
        <v>37</v>
      </c>
      <c r="C352" t="s">
        <v>59</v>
      </c>
      <c r="D352" t="s">
        <v>325</v>
      </c>
      <c r="E352" s="2">
        <v>41</v>
      </c>
      <c r="F352" s="4">
        <v>8</v>
      </c>
      <c r="G352" s="2">
        <v>328</v>
      </c>
      <c r="H352" t="s">
        <v>15</v>
      </c>
      <c r="I352" t="s">
        <v>36</v>
      </c>
      <c r="J352" s="1">
        <v>44770</v>
      </c>
      <c r="K352" t="b">
        <v>1</v>
      </c>
    </row>
    <row r="353" spans="1:11" x14ac:dyDescent="0.25">
      <c r="A353" t="s">
        <v>5730</v>
      </c>
      <c r="B353" t="s">
        <v>63</v>
      </c>
      <c r="C353" t="s">
        <v>27</v>
      </c>
      <c r="D353" t="s">
        <v>89</v>
      </c>
      <c r="E353" s="2">
        <v>41</v>
      </c>
      <c r="F353" s="4">
        <v>8</v>
      </c>
      <c r="G353" s="2">
        <v>328</v>
      </c>
      <c r="H353" t="s">
        <v>25</v>
      </c>
      <c r="I353" t="s">
        <v>36</v>
      </c>
      <c r="J353" s="1">
        <v>45636</v>
      </c>
      <c r="K353" t="b">
        <v>1</v>
      </c>
    </row>
    <row r="354" spans="1:11" x14ac:dyDescent="0.25">
      <c r="A354" t="s">
        <v>5796</v>
      </c>
      <c r="B354" t="s">
        <v>69</v>
      </c>
      <c r="C354" t="s">
        <v>59</v>
      </c>
      <c r="D354" t="s">
        <v>325</v>
      </c>
      <c r="E354" s="2">
        <v>41</v>
      </c>
      <c r="F354" s="4">
        <v>8</v>
      </c>
      <c r="G354" s="2">
        <v>328</v>
      </c>
      <c r="H354" t="s">
        <v>25</v>
      </c>
      <c r="I354" t="s">
        <v>16</v>
      </c>
      <c r="J354" s="1">
        <v>44706</v>
      </c>
      <c r="K354" t="b">
        <v>1</v>
      </c>
    </row>
    <row r="355" spans="1:11" x14ac:dyDescent="0.25">
      <c r="A355" t="s">
        <v>2649</v>
      </c>
      <c r="B355" t="s">
        <v>12</v>
      </c>
      <c r="C355" t="s">
        <v>31</v>
      </c>
      <c r="D355" t="s">
        <v>286</v>
      </c>
      <c r="E355" s="2">
        <v>41</v>
      </c>
      <c r="F355" s="4">
        <v>8</v>
      </c>
      <c r="G355" s="2">
        <v>328</v>
      </c>
      <c r="H355" t="s">
        <v>45</v>
      </c>
      <c r="I355" t="s">
        <v>16</v>
      </c>
      <c r="J355" s="1">
        <v>45567</v>
      </c>
      <c r="K355" t="b">
        <v>1</v>
      </c>
    </row>
    <row r="356" spans="1:11" x14ac:dyDescent="0.25">
      <c r="A356" t="s">
        <v>4970</v>
      </c>
      <c r="B356" t="s">
        <v>58</v>
      </c>
      <c r="C356" t="s">
        <v>59</v>
      </c>
      <c r="D356" t="s">
        <v>325</v>
      </c>
      <c r="E356" s="2">
        <v>41</v>
      </c>
      <c r="F356" s="4">
        <v>8</v>
      </c>
      <c r="G356" s="2">
        <v>328</v>
      </c>
      <c r="H356" t="s">
        <v>15</v>
      </c>
      <c r="I356" t="s">
        <v>36</v>
      </c>
      <c r="J356" s="1">
        <v>45597</v>
      </c>
      <c r="K356" t="b">
        <v>1</v>
      </c>
    </row>
    <row r="357" spans="1:11" x14ac:dyDescent="0.25">
      <c r="A357" t="s">
        <v>1131</v>
      </c>
      <c r="B357" t="s">
        <v>97</v>
      </c>
      <c r="C357" t="s">
        <v>27</v>
      </c>
      <c r="D357" t="s">
        <v>89</v>
      </c>
      <c r="E357" s="2">
        <v>41</v>
      </c>
      <c r="F357" s="4">
        <v>8</v>
      </c>
      <c r="G357" s="2">
        <v>328</v>
      </c>
      <c r="H357" t="s">
        <v>45</v>
      </c>
      <c r="I357" t="s">
        <v>16</v>
      </c>
      <c r="J357" s="1">
        <v>45553</v>
      </c>
      <c r="K357" t="b">
        <v>1</v>
      </c>
    </row>
    <row r="358" spans="1:11" x14ac:dyDescent="0.25">
      <c r="A358" t="s">
        <v>2362</v>
      </c>
      <c r="B358" t="s">
        <v>56</v>
      </c>
      <c r="C358" t="s">
        <v>31</v>
      </c>
      <c r="D358" t="s">
        <v>286</v>
      </c>
      <c r="E358" s="2">
        <v>41</v>
      </c>
      <c r="F358" s="4">
        <v>8</v>
      </c>
      <c r="G358" s="2">
        <v>328</v>
      </c>
      <c r="H358" t="s">
        <v>45</v>
      </c>
      <c r="I358" t="s">
        <v>36</v>
      </c>
      <c r="J358" s="1">
        <v>45012</v>
      </c>
      <c r="K358" t="b">
        <v>1</v>
      </c>
    </row>
    <row r="359" spans="1:11" x14ac:dyDescent="0.25">
      <c r="A359" t="s">
        <v>1302</v>
      </c>
      <c r="B359" t="s">
        <v>104</v>
      </c>
      <c r="C359" t="s">
        <v>59</v>
      </c>
      <c r="D359" t="s">
        <v>325</v>
      </c>
      <c r="E359" s="2">
        <v>41</v>
      </c>
      <c r="F359" s="4">
        <v>8</v>
      </c>
      <c r="G359" s="2">
        <v>328</v>
      </c>
      <c r="H359" t="s">
        <v>15</v>
      </c>
      <c r="I359" t="s">
        <v>36</v>
      </c>
      <c r="J359" s="1">
        <v>44872</v>
      </c>
      <c r="K359" t="b">
        <v>0</v>
      </c>
    </row>
    <row r="360" spans="1:11" x14ac:dyDescent="0.25">
      <c r="A360" t="s">
        <v>4817</v>
      </c>
      <c r="B360" t="s">
        <v>86</v>
      </c>
      <c r="C360" t="s">
        <v>27</v>
      </c>
      <c r="D360" t="s">
        <v>89</v>
      </c>
      <c r="E360" s="2">
        <v>41</v>
      </c>
      <c r="F360" s="4">
        <v>8</v>
      </c>
      <c r="G360" s="2">
        <v>328</v>
      </c>
      <c r="H360" t="s">
        <v>25</v>
      </c>
      <c r="I360" t="s">
        <v>36</v>
      </c>
      <c r="J360" s="1">
        <v>45480</v>
      </c>
      <c r="K360" t="b">
        <v>0</v>
      </c>
    </row>
    <row r="361" spans="1:11" x14ac:dyDescent="0.25">
      <c r="A361" t="s">
        <v>2414</v>
      </c>
      <c r="B361" t="s">
        <v>77</v>
      </c>
      <c r="C361" t="s">
        <v>59</v>
      </c>
      <c r="D361" t="s">
        <v>325</v>
      </c>
      <c r="E361" s="2">
        <v>41</v>
      </c>
      <c r="F361" s="4">
        <v>8</v>
      </c>
      <c r="G361" s="2">
        <v>328</v>
      </c>
      <c r="H361" t="s">
        <v>45</v>
      </c>
      <c r="I361" t="s">
        <v>16</v>
      </c>
      <c r="J361" s="1">
        <v>44685</v>
      </c>
      <c r="K361" t="b">
        <v>0</v>
      </c>
    </row>
    <row r="362" spans="1:11" x14ac:dyDescent="0.25">
      <c r="A362" t="s">
        <v>3143</v>
      </c>
      <c r="B362" t="s">
        <v>86</v>
      </c>
      <c r="C362" t="s">
        <v>110</v>
      </c>
      <c r="D362" t="s">
        <v>185</v>
      </c>
      <c r="E362" s="2">
        <v>41</v>
      </c>
      <c r="F362" s="4">
        <v>8</v>
      </c>
      <c r="G362" s="2">
        <v>328</v>
      </c>
      <c r="H362" t="s">
        <v>25</v>
      </c>
      <c r="I362" t="s">
        <v>16</v>
      </c>
      <c r="J362" s="1">
        <v>45391</v>
      </c>
      <c r="K362" t="b">
        <v>0</v>
      </c>
    </row>
    <row r="363" spans="1:11" x14ac:dyDescent="0.25">
      <c r="A363" t="s">
        <v>3245</v>
      </c>
      <c r="B363" t="s">
        <v>69</v>
      </c>
      <c r="C363" t="s">
        <v>27</v>
      </c>
      <c r="D363" t="s">
        <v>89</v>
      </c>
      <c r="E363" s="2">
        <v>41</v>
      </c>
      <c r="F363" s="4">
        <v>8</v>
      </c>
      <c r="G363" s="2">
        <v>328</v>
      </c>
      <c r="H363" t="s">
        <v>25</v>
      </c>
      <c r="I363" t="s">
        <v>16</v>
      </c>
      <c r="J363" s="1">
        <v>45197</v>
      </c>
      <c r="K363" t="b">
        <v>0</v>
      </c>
    </row>
    <row r="364" spans="1:11" x14ac:dyDescent="0.25">
      <c r="A364" t="s">
        <v>1059</v>
      </c>
      <c r="B364" t="s">
        <v>22</v>
      </c>
      <c r="C364" t="s">
        <v>31</v>
      </c>
      <c r="D364" t="s">
        <v>286</v>
      </c>
      <c r="E364" s="2">
        <v>41</v>
      </c>
      <c r="F364" s="4">
        <v>8</v>
      </c>
      <c r="G364" s="2">
        <v>328</v>
      </c>
      <c r="H364" t="s">
        <v>25</v>
      </c>
      <c r="I364" t="s">
        <v>36</v>
      </c>
      <c r="J364" s="1">
        <v>44708</v>
      </c>
      <c r="K364" t="b">
        <v>1</v>
      </c>
    </row>
    <row r="365" spans="1:11" x14ac:dyDescent="0.25">
      <c r="A365" t="s">
        <v>6867</v>
      </c>
      <c r="B365" t="s">
        <v>100</v>
      </c>
      <c r="C365" t="s">
        <v>38</v>
      </c>
      <c r="D365" t="s">
        <v>75</v>
      </c>
      <c r="E365" s="2">
        <v>41</v>
      </c>
      <c r="F365" s="4">
        <v>8</v>
      </c>
      <c r="G365" s="2">
        <v>328</v>
      </c>
      <c r="H365" t="s">
        <v>25</v>
      </c>
      <c r="I365" t="s">
        <v>36</v>
      </c>
      <c r="J365" s="1">
        <v>44665</v>
      </c>
      <c r="K365" t="b">
        <v>1</v>
      </c>
    </row>
    <row r="366" spans="1:11" x14ac:dyDescent="0.25">
      <c r="A366" t="s">
        <v>5903</v>
      </c>
      <c r="B366" t="s">
        <v>63</v>
      </c>
      <c r="C366" t="s">
        <v>38</v>
      </c>
      <c r="D366" t="s">
        <v>75</v>
      </c>
      <c r="E366" s="2">
        <v>41</v>
      </c>
      <c r="F366" s="4">
        <v>8</v>
      </c>
      <c r="G366" s="2">
        <v>328</v>
      </c>
      <c r="H366" t="s">
        <v>45</v>
      </c>
      <c r="I366" t="s">
        <v>36</v>
      </c>
      <c r="J366" s="1">
        <v>45432</v>
      </c>
      <c r="K366" t="b">
        <v>1</v>
      </c>
    </row>
    <row r="367" spans="1:11" x14ac:dyDescent="0.25">
      <c r="A367" t="s">
        <v>4794</v>
      </c>
      <c r="B367" t="s">
        <v>56</v>
      </c>
      <c r="C367" t="s">
        <v>19</v>
      </c>
      <c r="D367" t="s">
        <v>787</v>
      </c>
      <c r="E367" s="2">
        <v>41</v>
      </c>
      <c r="F367" s="4">
        <v>8</v>
      </c>
      <c r="G367" s="2">
        <v>328</v>
      </c>
      <c r="H367" t="s">
        <v>15</v>
      </c>
      <c r="I367" t="s">
        <v>36</v>
      </c>
      <c r="J367" s="1">
        <v>45371</v>
      </c>
      <c r="K367" t="b">
        <v>1</v>
      </c>
    </row>
    <row r="368" spans="1:11" x14ac:dyDescent="0.25">
      <c r="A368" t="s">
        <v>3489</v>
      </c>
      <c r="B368" t="s">
        <v>104</v>
      </c>
      <c r="C368" t="s">
        <v>38</v>
      </c>
      <c r="D368" t="s">
        <v>75</v>
      </c>
      <c r="E368" s="2">
        <v>41</v>
      </c>
      <c r="F368" s="4">
        <v>8</v>
      </c>
      <c r="G368" s="2">
        <v>328</v>
      </c>
      <c r="H368" t="s">
        <v>15</v>
      </c>
      <c r="I368" t="s">
        <v>16</v>
      </c>
      <c r="J368" s="1">
        <v>45282</v>
      </c>
      <c r="K368" t="b">
        <v>0</v>
      </c>
    </row>
    <row r="369" spans="1:11" x14ac:dyDescent="0.25">
      <c r="A369" t="s">
        <v>1789</v>
      </c>
      <c r="B369" t="s">
        <v>77</v>
      </c>
      <c r="C369" t="s">
        <v>27</v>
      </c>
      <c r="D369" t="s">
        <v>89</v>
      </c>
      <c r="E369" s="2">
        <v>41</v>
      </c>
      <c r="F369" s="4">
        <v>8</v>
      </c>
      <c r="G369" s="2">
        <v>328</v>
      </c>
      <c r="H369" t="s">
        <v>15</v>
      </c>
      <c r="I369" t="s">
        <v>16</v>
      </c>
      <c r="J369" s="1">
        <v>45463</v>
      </c>
      <c r="K369" t="b">
        <v>1</v>
      </c>
    </row>
    <row r="370" spans="1:11" x14ac:dyDescent="0.25">
      <c r="A370" t="s">
        <v>5186</v>
      </c>
      <c r="B370" t="s">
        <v>63</v>
      </c>
      <c r="C370" t="s">
        <v>110</v>
      </c>
      <c r="D370" t="s">
        <v>185</v>
      </c>
      <c r="E370" s="2">
        <v>41</v>
      </c>
      <c r="F370" s="4">
        <v>8</v>
      </c>
      <c r="G370" s="2">
        <v>328</v>
      </c>
      <c r="H370" t="s">
        <v>45</v>
      </c>
      <c r="I370" t="s">
        <v>16</v>
      </c>
      <c r="J370" s="1">
        <v>44566</v>
      </c>
      <c r="K370" t="b">
        <v>1</v>
      </c>
    </row>
    <row r="371" spans="1:11" x14ac:dyDescent="0.25">
      <c r="A371" t="s">
        <v>1043</v>
      </c>
      <c r="B371" t="s">
        <v>22</v>
      </c>
      <c r="C371" t="s">
        <v>38</v>
      </c>
      <c r="D371" t="s">
        <v>75</v>
      </c>
      <c r="E371" s="2">
        <v>41</v>
      </c>
      <c r="F371" s="4">
        <v>8</v>
      </c>
      <c r="G371" s="2">
        <v>328</v>
      </c>
      <c r="H371" t="s">
        <v>45</v>
      </c>
      <c r="I371" t="s">
        <v>36</v>
      </c>
      <c r="J371" s="1">
        <v>45379</v>
      </c>
      <c r="K371" t="b">
        <v>1</v>
      </c>
    </row>
    <row r="372" spans="1:11" x14ac:dyDescent="0.25">
      <c r="A372" t="s">
        <v>6368</v>
      </c>
      <c r="B372" t="s">
        <v>58</v>
      </c>
      <c r="C372" t="s">
        <v>38</v>
      </c>
      <c r="D372" t="s">
        <v>75</v>
      </c>
      <c r="E372" s="2">
        <v>41</v>
      </c>
      <c r="F372" s="4">
        <v>8</v>
      </c>
      <c r="G372" s="2">
        <v>328</v>
      </c>
      <c r="H372" t="s">
        <v>15</v>
      </c>
      <c r="I372" t="s">
        <v>36</v>
      </c>
      <c r="J372" s="1">
        <v>45099</v>
      </c>
      <c r="K372" t="b">
        <v>1</v>
      </c>
    </row>
    <row r="373" spans="1:11" x14ac:dyDescent="0.25">
      <c r="A373" t="s">
        <v>7248</v>
      </c>
      <c r="B373" t="s">
        <v>43</v>
      </c>
      <c r="C373" t="s">
        <v>31</v>
      </c>
      <c r="D373" t="s">
        <v>286</v>
      </c>
      <c r="E373" s="2">
        <v>41</v>
      </c>
      <c r="F373" s="4">
        <v>8</v>
      </c>
      <c r="G373" s="2">
        <v>328</v>
      </c>
      <c r="H373" t="s">
        <v>45</v>
      </c>
      <c r="I373" t="s">
        <v>16</v>
      </c>
      <c r="J373" s="1">
        <v>44879</v>
      </c>
      <c r="K373" t="b">
        <v>0</v>
      </c>
    </row>
    <row r="374" spans="1:11" x14ac:dyDescent="0.25">
      <c r="A374" t="s">
        <v>757</v>
      </c>
      <c r="B374" t="s">
        <v>100</v>
      </c>
      <c r="C374" t="s">
        <v>13</v>
      </c>
      <c r="D374" t="s">
        <v>426</v>
      </c>
      <c r="E374" s="2">
        <v>32</v>
      </c>
      <c r="F374" s="4">
        <v>10</v>
      </c>
      <c r="G374" s="2">
        <v>320</v>
      </c>
      <c r="H374" t="s">
        <v>25</v>
      </c>
      <c r="I374" t="s">
        <v>36</v>
      </c>
      <c r="J374" s="1">
        <v>45010</v>
      </c>
      <c r="K374" t="b">
        <v>1</v>
      </c>
    </row>
    <row r="375" spans="1:11" x14ac:dyDescent="0.25">
      <c r="A375" t="s">
        <v>1461</v>
      </c>
      <c r="B375" t="s">
        <v>56</v>
      </c>
      <c r="C375" t="s">
        <v>23</v>
      </c>
      <c r="D375" t="s">
        <v>708</v>
      </c>
      <c r="E375" s="2">
        <v>32</v>
      </c>
      <c r="F375" s="4">
        <v>10</v>
      </c>
      <c r="G375" s="2">
        <v>320</v>
      </c>
      <c r="H375" t="s">
        <v>15</v>
      </c>
      <c r="I375" t="s">
        <v>16</v>
      </c>
      <c r="J375" s="1">
        <v>44609</v>
      </c>
      <c r="K375" t="b">
        <v>1</v>
      </c>
    </row>
    <row r="376" spans="1:11" x14ac:dyDescent="0.25">
      <c r="A376" t="s">
        <v>2863</v>
      </c>
      <c r="B376" t="s">
        <v>22</v>
      </c>
      <c r="C376" t="s">
        <v>19</v>
      </c>
      <c r="D376" t="s">
        <v>120</v>
      </c>
      <c r="E376" s="2">
        <v>32</v>
      </c>
      <c r="F376" s="4">
        <v>10</v>
      </c>
      <c r="G376" s="2">
        <v>320</v>
      </c>
      <c r="H376" t="s">
        <v>25</v>
      </c>
      <c r="I376" t="s">
        <v>16</v>
      </c>
      <c r="J376" s="1">
        <v>45545</v>
      </c>
      <c r="K376" t="b">
        <v>1</v>
      </c>
    </row>
    <row r="377" spans="1:11" x14ac:dyDescent="0.25">
      <c r="A377" t="s">
        <v>1688</v>
      </c>
      <c r="B377" t="s">
        <v>56</v>
      </c>
      <c r="C377" t="s">
        <v>59</v>
      </c>
      <c r="D377" t="s">
        <v>254</v>
      </c>
      <c r="E377" s="2">
        <v>32</v>
      </c>
      <c r="F377" s="4">
        <v>10</v>
      </c>
      <c r="G377" s="2">
        <v>320</v>
      </c>
      <c r="H377" t="s">
        <v>15</v>
      </c>
      <c r="I377" t="s">
        <v>16</v>
      </c>
      <c r="J377" s="1">
        <v>45431</v>
      </c>
      <c r="K377" t="b">
        <v>1</v>
      </c>
    </row>
    <row r="378" spans="1:11" x14ac:dyDescent="0.25">
      <c r="A378" t="s">
        <v>617</v>
      </c>
      <c r="B378" t="s">
        <v>69</v>
      </c>
      <c r="C378" t="s">
        <v>19</v>
      </c>
      <c r="D378" t="s">
        <v>120</v>
      </c>
      <c r="E378" s="2">
        <v>32</v>
      </c>
      <c r="F378" s="4">
        <v>10</v>
      </c>
      <c r="G378" s="2">
        <v>320</v>
      </c>
      <c r="H378" t="s">
        <v>45</v>
      </c>
      <c r="I378" t="s">
        <v>16</v>
      </c>
      <c r="J378" s="1">
        <v>45451</v>
      </c>
      <c r="K378" t="b">
        <v>1</v>
      </c>
    </row>
    <row r="379" spans="1:11" x14ac:dyDescent="0.25">
      <c r="A379" t="s">
        <v>6662</v>
      </c>
      <c r="B379" t="s">
        <v>86</v>
      </c>
      <c r="C379" t="s">
        <v>59</v>
      </c>
      <c r="D379" t="s">
        <v>254</v>
      </c>
      <c r="E379" s="2">
        <v>32</v>
      </c>
      <c r="F379" s="4">
        <v>10</v>
      </c>
      <c r="G379" s="2">
        <v>320</v>
      </c>
      <c r="H379" t="s">
        <v>25</v>
      </c>
      <c r="I379" t="s">
        <v>16</v>
      </c>
      <c r="J379" s="1">
        <v>44622</v>
      </c>
      <c r="K379" t="b">
        <v>0</v>
      </c>
    </row>
    <row r="380" spans="1:11" x14ac:dyDescent="0.25">
      <c r="A380" t="s">
        <v>3222</v>
      </c>
      <c r="B380" t="s">
        <v>142</v>
      </c>
      <c r="C380" t="s">
        <v>110</v>
      </c>
      <c r="D380" t="s">
        <v>282</v>
      </c>
      <c r="E380" s="2">
        <v>32</v>
      </c>
      <c r="F380" s="4">
        <v>10</v>
      </c>
      <c r="G380" s="2">
        <v>320</v>
      </c>
      <c r="H380" t="s">
        <v>45</v>
      </c>
      <c r="I380" t="s">
        <v>36</v>
      </c>
      <c r="J380" s="1">
        <v>45405</v>
      </c>
      <c r="K380" t="b">
        <v>0</v>
      </c>
    </row>
    <row r="381" spans="1:11" x14ac:dyDescent="0.25">
      <c r="A381" t="s">
        <v>1151</v>
      </c>
      <c r="B381" t="s">
        <v>93</v>
      </c>
      <c r="C381" t="s">
        <v>110</v>
      </c>
      <c r="D381" t="s">
        <v>282</v>
      </c>
      <c r="E381" s="2">
        <v>32</v>
      </c>
      <c r="F381" s="4">
        <v>10</v>
      </c>
      <c r="G381" s="2">
        <v>320</v>
      </c>
      <c r="H381" t="s">
        <v>15</v>
      </c>
      <c r="I381" t="s">
        <v>16</v>
      </c>
      <c r="J381" s="1">
        <v>45260</v>
      </c>
      <c r="K381" t="b">
        <v>1</v>
      </c>
    </row>
    <row r="382" spans="1:11" x14ac:dyDescent="0.25">
      <c r="A382" t="s">
        <v>7073</v>
      </c>
      <c r="B382" t="s">
        <v>34</v>
      </c>
      <c r="C382" t="s">
        <v>110</v>
      </c>
      <c r="D382" t="s">
        <v>282</v>
      </c>
      <c r="E382" s="2">
        <v>32</v>
      </c>
      <c r="F382" s="4">
        <v>10</v>
      </c>
      <c r="G382" s="2">
        <v>320</v>
      </c>
      <c r="H382" t="s">
        <v>15</v>
      </c>
      <c r="I382" t="s">
        <v>16</v>
      </c>
      <c r="J382" s="1">
        <v>44774</v>
      </c>
      <c r="K382" t="b">
        <v>0</v>
      </c>
    </row>
    <row r="383" spans="1:11" x14ac:dyDescent="0.25">
      <c r="A383" t="s">
        <v>6174</v>
      </c>
      <c r="B383" t="s">
        <v>66</v>
      </c>
      <c r="C383" t="s">
        <v>59</v>
      </c>
      <c r="D383" t="s">
        <v>254</v>
      </c>
      <c r="E383" s="2">
        <v>32</v>
      </c>
      <c r="F383" s="4">
        <v>10</v>
      </c>
      <c r="G383" s="2">
        <v>320</v>
      </c>
      <c r="H383" t="s">
        <v>15</v>
      </c>
      <c r="I383" t="s">
        <v>36</v>
      </c>
      <c r="J383" s="1">
        <v>44911</v>
      </c>
      <c r="K383" t="b">
        <v>1</v>
      </c>
    </row>
    <row r="384" spans="1:11" x14ac:dyDescent="0.25">
      <c r="A384" t="s">
        <v>3931</v>
      </c>
      <c r="B384" t="s">
        <v>56</v>
      </c>
      <c r="C384" t="s">
        <v>27</v>
      </c>
      <c r="D384" t="s">
        <v>207</v>
      </c>
      <c r="E384" s="2">
        <v>32</v>
      </c>
      <c r="F384" s="4">
        <v>10</v>
      </c>
      <c r="G384" s="2">
        <v>320</v>
      </c>
      <c r="H384" t="s">
        <v>15</v>
      </c>
      <c r="I384" t="s">
        <v>16</v>
      </c>
      <c r="J384" s="1">
        <v>44649</v>
      </c>
      <c r="K384" t="b">
        <v>1</v>
      </c>
    </row>
    <row r="385" spans="1:11" x14ac:dyDescent="0.25">
      <c r="A385" t="s">
        <v>4863</v>
      </c>
      <c r="B385" t="s">
        <v>142</v>
      </c>
      <c r="C385" t="s">
        <v>27</v>
      </c>
      <c r="D385" t="s">
        <v>207</v>
      </c>
      <c r="E385" s="2">
        <v>32</v>
      </c>
      <c r="F385" s="4">
        <v>10</v>
      </c>
      <c r="G385" s="2">
        <v>320</v>
      </c>
      <c r="H385" t="s">
        <v>45</v>
      </c>
      <c r="I385" t="s">
        <v>16</v>
      </c>
      <c r="J385" s="1">
        <v>45659</v>
      </c>
      <c r="K385" t="b">
        <v>1</v>
      </c>
    </row>
    <row r="386" spans="1:11" x14ac:dyDescent="0.25">
      <c r="A386" t="s">
        <v>917</v>
      </c>
      <c r="B386" t="s">
        <v>93</v>
      </c>
      <c r="C386" t="s">
        <v>110</v>
      </c>
      <c r="D386" t="s">
        <v>282</v>
      </c>
      <c r="E386" s="2">
        <v>32</v>
      </c>
      <c r="F386" s="4">
        <v>10</v>
      </c>
      <c r="G386" s="2">
        <v>320</v>
      </c>
      <c r="H386" t="s">
        <v>15</v>
      </c>
      <c r="I386" t="s">
        <v>36</v>
      </c>
      <c r="J386" s="1">
        <v>45601</v>
      </c>
      <c r="K386" t="b">
        <v>1</v>
      </c>
    </row>
    <row r="387" spans="1:11" x14ac:dyDescent="0.25">
      <c r="A387" t="s">
        <v>7284</v>
      </c>
      <c r="B387" t="s">
        <v>77</v>
      </c>
      <c r="C387" t="s">
        <v>27</v>
      </c>
      <c r="D387" t="s">
        <v>207</v>
      </c>
      <c r="E387" s="2">
        <v>32</v>
      </c>
      <c r="F387" s="4">
        <v>10</v>
      </c>
      <c r="G387" s="2">
        <v>320</v>
      </c>
      <c r="H387" t="s">
        <v>45</v>
      </c>
      <c r="I387" t="s">
        <v>36</v>
      </c>
      <c r="J387" s="1">
        <v>45524</v>
      </c>
      <c r="K387" t="b">
        <v>0</v>
      </c>
    </row>
    <row r="388" spans="1:11" x14ac:dyDescent="0.25">
      <c r="A388" t="s">
        <v>5947</v>
      </c>
      <c r="B388" t="s">
        <v>100</v>
      </c>
      <c r="C388" t="s">
        <v>19</v>
      </c>
      <c r="D388" t="s">
        <v>120</v>
      </c>
      <c r="E388" s="2">
        <v>32</v>
      </c>
      <c r="F388" s="4">
        <v>10</v>
      </c>
      <c r="G388" s="2">
        <v>320</v>
      </c>
      <c r="H388" t="s">
        <v>25</v>
      </c>
      <c r="I388" t="s">
        <v>36</v>
      </c>
      <c r="J388" s="1">
        <v>45629</v>
      </c>
      <c r="K388" t="b">
        <v>1</v>
      </c>
    </row>
    <row r="389" spans="1:11" x14ac:dyDescent="0.25">
      <c r="A389" t="s">
        <v>4788</v>
      </c>
      <c r="B389" t="s">
        <v>34</v>
      </c>
      <c r="C389" t="s">
        <v>23</v>
      </c>
      <c r="D389" t="s">
        <v>708</v>
      </c>
      <c r="E389" s="2">
        <v>32</v>
      </c>
      <c r="F389" s="4">
        <v>10</v>
      </c>
      <c r="G389" s="2">
        <v>320</v>
      </c>
      <c r="H389" t="s">
        <v>45</v>
      </c>
      <c r="I389" t="s">
        <v>36</v>
      </c>
      <c r="J389" s="1">
        <v>44807</v>
      </c>
      <c r="K389" t="b">
        <v>0</v>
      </c>
    </row>
    <row r="390" spans="1:11" x14ac:dyDescent="0.25">
      <c r="A390" t="s">
        <v>6418</v>
      </c>
      <c r="B390" t="s">
        <v>72</v>
      </c>
      <c r="C390" t="s">
        <v>59</v>
      </c>
      <c r="D390" t="s">
        <v>254</v>
      </c>
      <c r="E390" s="2">
        <v>32</v>
      </c>
      <c r="F390" s="4">
        <v>10</v>
      </c>
      <c r="G390" s="2">
        <v>320</v>
      </c>
      <c r="H390" t="s">
        <v>15</v>
      </c>
      <c r="I390" t="s">
        <v>36</v>
      </c>
      <c r="J390" s="1">
        <v>44625</v>
      </c>
      <c r="K390" t="b">
        <v>1</v>
      </c>
    </row>
    <row r="391" spans="1:11" x14ac:dyDescent="0.25">
      <c r="A391" t="s">
        <v>6635</v>
      </c>
      <c r="B391" t="s">
        <v>104</v>
      </c>
      <c r="C391" t="s">
        <v>110</v>
      </c>
      <c r="D391" t="s">
        <v>282</v>
      </c>
      <c r="E391" s="2">
        <v>32</v>
      </c>
      <c r="F391" s="4">
        <v>10</v>
      </c>
      <c r="G391" s="2">
        <v>320</v>
      </c>
      <c r="H391" t="s">
        <v>45</v>
      </c>
      <c r="I391" t="s">
        <v>16</v>
      </c>
      <c r="J391" s="1">
        <v>45485</v>
      </c>
      <c r="K391" t="b">
        <v>0</v>
      </c>
    </row>
    <row r="392" spans="1:11" x14ac:dyDescent="0.25">
      <c r="A392" t="s">
        <v>4209</v>
      </c>
      <c r="B392" t="s">
        <v>40</v>
      </c>
      <c r="C392" t="s">
        <v>23</v>
      </c>
      <c r="D392" t="s">
        <v>708</v>
      </c>
      <c r="E392" s="2">
        <v>32</v>
      </c>
      <c r="F392" s="4">
        <v>10</v>
      </c>
      <c r="G392" s="2">
        <v>320</v>
      </c>
      <c r="H392" t="s">
        <v>45</v>
      </c>
      <c r="I392" t="s">
        <v>36</v>
      </c>
      <c r="J392" s="1">
        <v>45475</v>
      </c>
      <c r="K392" t="b">
        <v>0</v>
      </c>
    </row>
    <row r="393" spans="1:11" x14ac:dyDescent="0.25">
      <c r="A393" t="s">
        <v>1626</v>
      </c>
      <c r="B393" t="s">
        <v>37</v>
      </c>
      <c r="C393" t="s">
        <v>110</v>
      </c>
      <c r="D393" t="s">
        <v>282</v>
      </c>
      <c r="E393" s="2">
        <v>32</v>
      </c>
      <c r="F393" s="4">
        <v>10</v>
      </c>
      <c r="G393" s="2">
        <v>320</v>
      </c>
      <c r="H393" t="s">
        <v>15</v>
      </c>
      <c r="I393" t="s">
        <v>36</v>
      </c>
      <c r="J393" s="1">
        <v>45470</v>
      </c>
      <c r="K393" t="b">
        <v>1</v>
      </c>
    </row>
    <row r="394" spans="1:11" x14ac:dyDescent="0.25">
      <c r="A394" t="s">
        <v>2889</v>
      </c>
      <c r="B394" t="s">
        <v>51</v>
      </c>
      <c r="C394" t="s">
        <v>23</v>
      </c>
      <c r="D394" t="s">
        <v>708</v>
      </c>
      <c r="E394" s="2">
        <v>32</v>
      </c>
      <c r="F394" s="4">
        <v>10</v>
      </c>
      <c r="G394" s="2">
        <v>320</v>
      </c>
      <c r="H394" t="s">
        <v>15</v>
      </c>
      <c r="I394" t="s">
        <v>16</v>
      </c>
      <c r="J394" s="1">
        <v>44652</v>
      </c>
      <c r="K394" t="b">
        <v>1</v>
      </c>
    </row>
    <row r="395" spans="1:11" x14ac:dyDescent="0.25">
      <c r="A395" t="s">
        <v>3438</v>
      </c>
      <c r="B395" t="s">
        <v>51</v>
      </c>
      <c r="C395" t="s">
        <v>110</v>
      </c>
      <c r="D395" t="s">
        <v>282</v>
      </c>
      <c r="E395" s="2">
        <v>32</v>
      </c>
      <c r="F395" s="4">
        <v>10</v>
      </c>
      <c r="G395" s="2">
        <v>320</v>
      </c>
      <c r="H395" t="s">
        <v>45</v>
      </c>
      <c r="I395" t="s">
        <v>16</v>
      </c>
      <c r="J395" s="1">
        <v>45424</v>
      </c>
      <c r="K395" t="b">
        <v>0</v>
      </c>
    </row>
    <row r="396" spans="1:11" x14ac:dyDescent="0.25">
      <c r="A396" t="s">
        <v>5165</v>
      </c>
      <c r="B396" t="s">
        <v>61</v>
      </c>
      <c r="C396" t="s">
        <v>59</v>
      </c>
      <c r="D396" t="s">
        <v>254</v>
      </c>
      <c r="E396" s="2">
        <v>32</v>
      </c>
      <c r="F396" s="4">
        <v>10</v>
      </c>
      <c r="G396" s="2">
        <v>320</v>
      </c>
      <c r="H396" t="s">
        <v>45</v>
      </c>
      <c r="I396" t="s">
        <v>16</v>
      </c>
      <c r="J396" s="1">
        <v>44718</v>
      </c>
      <c r="K396" t="b">
        <v>0</v>
      </c>
    </row>
    <row r="397" spans="1:11" x14ac:dyDescent="0.25">
      <c r="A397" t="s">
        <v>7025</v>
      </c>
      <c r="B397" t="s">
        <v>26</v>
      </c>
      <c r="C397" t="s">
        <v>27</v>
      </c>
      <c r="D397" t="s">
        <v>207</v>
      </c>
      <c r="E397" s="2">
        <v>32</v>
      </c>
      <c r="F397" s="4">
        <v>10</v>
      </c>
      <c r="G397" s="2">
        <v>320</v>
      </c>
      <c r="H397" t="s">
        <v>15</v>
      </c>
      <c r="I397" t="s">
        <v>16</v>
      </c>
      <c r="J397" s="1">
        <v>45637</v>
      </c>
      <c r="K397" t="b">
        <v>0</v>
      </c>
    </row>
    <row r="398" spans="1:11" x14ac:dyDescent="0.25">
      <c r="A398" t="s">
        <v>4228</v>
      </c>
      <c r="B398" t="s">
        <v>43</v>
      </c>
      <c r="C398" t="s">
        <v>27</v>
      </c>
      <c r="D398" t="s">
        <v>207</v>
      </c>
      <c r="E398" s="2">
        <v>32</v>
      </c>
      <c r="F398" s="4">
        <v>10</v>
      </c>
      <c r="G398" s="2">
        <v>320</v>
      </c>
      <c r="H398" t="s">
        <v>45</v>
      </c>
      <c r="I398" t="s">
        <v>16</v>
      </c>
      <c r="J398" s="1">
        <v>45565</v>
      </c>
      <c r="K398" t="b">
        <v>1</v>
      </c>
    </row>
    <row r="399" spans="1:11" x14ac:dyDescent="0.25">
      <c r="A399" t="s">
        <v>4081</v>
      </c>
      <c r="B399" t="s">
        <v>93</v>
      </c>
      <c r="C399" t="s">
        <v>19</v>
      </c>
      <c r="D399" t="s">
        <v>120</v>
      </c>
      <c r="E399" s="2">
        <v>32</v>
      </c>
      <c r="F399" s="4">
        <v>10</v>
      </c>
      <c r="G399" s="2">
        <v>320</v>
      </c>
      <c r="H399" t="s">
        <v>25</v>
      </c>
      <c r="I399" t="s">
        <v>16</v>
      </c>
      <c r="J399" s="1">
        <v>45539</v>
      </c>
      <c r="K399" t="b">
        <v>1</v>
      </c>
    </row>
    <row r="400" spans="1:11" x14ac:dyDescent="0.25">
      <c r="A400" t="s">
        <v>6399</v>
      </c>
      <c r="B400" t="s">
        <v>93</v>
      </c>
      <c r="C400" t="s">
        <v>13</v>
      </c>
      <c r="D400" t="s">
        <v>426</v>
      </c>
      <c r="E400" s="2">
        <v>32</v>
      </c>
      <c r="F400" s="4">
        <v>10</v>
      </c>
      <c r="G400" s="2">
        <v>320</v>
      </c>
      <c r="H400" t="s">
        <v>45</v>
      </c>
      <c r="I400" t="s">
        <v>36</v>
      </c>
      <c r="J400" s="1">
        <v>44576</v>
      </c>
      <c r="K400" t="b">
        <v>1</v>
      </c>
    </row>
    <row r="401" spans="1:11" x14ac:dyDescent="0.25">
      <c r="A401" t="s">
        <v>4989</v>
      </c>
      <c r="B401" t="s">
        <v>142</v>
      </c>
      <c r="C401" t="s">
        <v>27</v>
      </c>
      <c r="D401" t="s">
        <v>207</v>
      </c>
      <c r="E401" s="2">
        <v>32</v>
      </c>
      <c r="F401" s="4">
        <v>10</v>
      </c>
      <c r="G401" s="2">
        <v>320</v>
      </c>
      <c r="H401" t="s">
        <v>45</v>
      </c>
      <c r="I401" t="s">
        <v>36</v>
      </c>
      <c r="J401" s="1">
        <v>44950</v>
      </c>
      <c r="K401" t="b">
        <v>0</v>
      </c>
    </row>
    <row r="402" spans="1:11" x14ac:dyDescent="0.25">
      <c r="A402" t="s">
        <v>5557</v>
      </c>
      <c r="B402" t="s">
        <v>100</v>
      </c>
      <c r="C402" t="s">
        <v>110</v>
      </c>
      <c r="D402" t="s">
        <v>282</v>
      </c>
      <c r="E402" s="2">
        <v>32</v>
      </c>
      <c r="F402" s="4">
        <v>10</v>
      </c>
      <c r="G402" s="2">
        <v>320</v>
      </c>
      <c r="H402" t="s">
        <v>25</v>
      </c>
      <c r="I402" t="s">
        <v>16</v>
      </c>
      <c r="J402" s="1">
        <v>45362</v>
      </c>
      <c r="K402" t="b">
        <v>0</v>
      </c>
    </row>
    <row r="403" spans="1:11" x14ac:dyDescent="0.25">
      <c r="A403" t="s">
        <v>3819</v>
      </c>
      <c r="B403" t="s">
        <v>30</v>
      </c>
      <c r="C403" t="s">
        <v>13</v>
      </c>
      <c r="D403" t="s">
        <v>426</v>
      </c>
      <c r="E403" s="2">
        <v>32</v>
      </c>
      <c r="F403" s="4">
        <v>10</v>
      </c>
      <c r="G403" s="2">
        <v>320</v>
      </c>
      <c r="H403" t="s">
        <v>15</v>
      </c>
      <c r="I403" t="s">
        <v>36</v>
      </c>
      <c r="J403" s="1">
        <v>45429</v>
      </c>
      <c r="K403" t="b">
        <v>0</v>
      </c>
    </row>
    <row r="404" spans="1:11" x14ac:dyDescent="0.25">
      <c r="A404" t="s">
        <v>3499</v>
      </c>
      <c r="B404" t="s">
        <v>104</v>
      </c>
      <c r="C404" t="s">
        <v>38</v>
      </c>
      <c r="D404" t="s">
        <v>165</v>
      </c>
      <c r="E404" s="2">
        <v>39.5</v>
      </c>
      <c r="F404" s="4">
        <v>8</v>
      </c>
      <c r="G404" s="2">
        <v>316</v>
      </c>
      <c r="H404" t="s">
        <v>15</v>
      </c>
      <c r="I404" t="s">
        <v>36</v>
      </c>
      <c r="J404" s="1">
        <v>45168</v>
      </c>
      <c r="K404" t="b">
        <v>1</v>
      </c>
    </row>
    <row r="405" spans="1:11" x14ac:dyDescent="0.25">
      <c r="A405" t="s">
        <v>7583</v>
      </c>
      <c r="B405" t="s">
        <v>63</v>
      </c>
      <c r="C405" t="s">
        <v>27</v>
      </c>
      <c r="D405" t="s">
        <v>482</v>
      </c>
      <c r="E405" s="2">
        <v>39.5</v>
      </c>
      <c r="F405" s="4">
        <v>8</v>
      </c>
      <c r="G405" s="2">
        <v>316</v>
      </c>
      <c r="H405" t="s">
        <v>45</v>
      </c>
      <c r="I405" t="s">
        <v>16</v>
      </c>
      <c r="J405" s="1">
        <v>44960</v>
      </c>
      <c r="K405" t="b">
        <v>0</v>
      </c>
    </row>
    <row r="406" spans="1:11" x14ac:dyDescent="0.25">
      <c r="A406" t="s">
        <v>1274</v>
      </c>
      <c r="B406" t="s">
        <v>77</v>
      </c>
      <c r="C406" t="s">
        <v>19</v>
      </c>
      <c r="D406" t="s">
        <v>220</v>
      </c>
      <c r="E406" s="2">
        <v>39.5</v>
      </c>
      <c r="F406" s="4">
        <v>8</v>
      </c>
      <c r="G406" s="2">
        <v>316</v>
      </c>
      <c r="H406" t="s">
        <v>25</v>
      </c>
      <c r="I406" t="s">
        <v>36</v>
      </c>
      <c r="J406" s="1">
        <v>45048</v>
      </c>
      <c r="K406" t="b">
        <v>0</v>
      </c>
    </row>
    <row r="407" spans="1:11" x14ac:dyDescent="0.25">
      <c r="A407" t="s">
        <v>441</v>
      </c>
      <c r="B407" t="s">
        <v>22</v>
      </c>
      <c r="C407" t="s">
        <v>110</v>
      </c>
      <c r="D407" t="s">
        <v>130</v>
      </c>
      <c r="E407" s="2">
        <v>39.5</v>
      </c>
      <c r="F407" s="4">
        <v>8</v>
      </c>
      <c r="G407" s="2">
        <v>316</v>
      </c>
      <c r="H407" t="s">
        <v>45</v>
      </c>
      <c r="I407" t="s">
        <v>16</v>
      </c>
      <c r="J407" s="1">
        <v>45649</v>
      </c>
      <c r="K407" t="b">
        <v>1</v>
      </c>
    </row>
    <row r="408" spans="1:11" x14ac:dyDescent="0.25">
      <c r="A408" t="s">
        <v>2238</v>
      </c>
      <c r="B408" t="s">
        <v>97</v>
      </c>
      <c r="C408" t="s">
        <v>23</v>
      </c>
      <c r="D408" t="s">
        <v>103</v>
      </c>
      <c r="E408" s="2">
        <v>39.5</v>
      </c>
      <c r="F408" s="4">
        <v>8</v>
      </c>
      <c r="G408" s="2">
        <v>316</v>
      </c>
      <c r="H408" t="s">
        <v>45</v>
      </c>
      <c r="I408" t="s">
        <v>16</v>
      </c>
      <c r="J408" s="1">
        <v>45500</v>
      </c>
      <c r="K408" t="b">
        <v>0</v>
      </c>
    </row>
    <row r="409" spans="1:11" x14ac:dyDescent="0.25">
      <c r="A409" t="s">
        <v>7533</v>
      </c>
      <c r="B409" t="s">
        <v>85</v>
      </c>
      <c r="C409" t="s">
        <v>27</v>
      </c>
      <c r="D409" t="s">
        <v>482</v>
      </c>
      <c r="E409" s="2">
        <v>39.5</v>
      </c>
      <c r="F409" s="4">
        <v>8</v>
      </c>
      <c r="G409" s="2">
        <v>316</v>
      </c>
      <c r="H409" t="s">
        <v>25</v>
      </c>
      <c r="I409" t="s">
        <v>16</v>
      </c>
      <c r="J409" s="1">
        <v>45345</v>
      </c>
      <c r="K409" t="b">
        <v>0</v>
      </c>
    </row>
    <row r="410" spans="1:11" x14ac:dyDescent="0.25">
      <c r="A410" t="s">
        <v>6159</v>
      </c>
      <c r="B410" t="s">
        <v>97</v>
      </c>
      <c r="C410" t="s">
        <v>19</v>
      </c>
      <c r="D410" t="s">
        <v>220</v>
      </c>
      <c r="E410" s="2">
        <v>39.5</v>
      </c>
      <c r="F410" s="4">
        <v>8</v>
      </c>
      <c r="G410" s="2">
        <v>316</v>
      </c>
      <c r="H410" t="s">
        <v>45</v>
      </c>
      <c r="I410" t="s">
        <v>36</v>
      </c>
      <c r="J410" s="1">
        <v>44622</v>
      </c>
      <c r="K410" t="b">
        <v>1</v>
      </c>
    </row>
    <row r="411" spans="1:11" x14ac:dyDescent="0.25">
      <c r="A411" t="s">
        <v>6616</v>
      </c>
      <c r="B411" t="s">
        <v>63</v>
      </c>
      <c r="C411" t="s">
        <v>23</v>
      </c>
      <c r="D411" t="s">
        <v>103</v>
      </c>
      <c r="E411" s="2">
        <v>39.5</v>
      </c>
      <c r="F411" s="4">
        <v>8</v>
      </c>
      <c r="G411" s="2">
        <v>316</v>
      </c>
      <c r="H411" t="s">
        <v>45</v>
      </c>
      <c r="I411" t="s">
        <v>36</v>
      </c>
      <c r="J411" s="1">
        <v>45655</v>
      </c>
      <c r="K411" t="b">
        <v>1</v>
      </c>
    </row>
    <row r="412" spans="1:11" x14ac:dyDescent="0.25">
      <c r="A412" t="s">
        <v>797</v>
      </c>
      <c r="B412" t="s">
        <v>22</v>
      </c>
      <c r="C412" t="s">
        <v>27</v>
      </c>
      <c r="D412" t="s">
        <v>482</v>
      </c>
      <c r="E412" s="2">
        <v>39.5</v>
      </c>
      <c r="F412" s="4">
        <v>8</v>
      </c>
      <c r="G412" s="2">
        <v>316</v>
      </c>
      <c r="H412" t="s">
        <v>45</v>
      </c>
      <c r="I412" t="s">
        <v>16</v>
      </c>
      <c r="J412" s="1">
        <v>45116</v>
      </c>
      <c r="K412" t="b">
        <v>1</v>
      </c>
    </row>
    <row r="413" spans="1:11" x14ac:dyDescent="0.25">
      <c r="A413" t="s">
        <v>3081</v>
      </c>
      <c r="B413" t="s">
        <v>72</v>
      </c>
      <c r="C413" t="s">
        <v>110</v>
      </c>
      <c r="D413" t="s">
        <v>130</v>
      </c>
      <c r="E413" s="2">
        <v>39.5</v>
      </c>
      <c r="F413" s="4">
        <v>8</v>
      </c>
      <c r="G413" s="2">
        <v>316</v>
      </c>
      <c r="H413" t="s">
        <v>45</v>
      </c>
      <c r="I413" t="s">
        <v>36</v>
      </c>
      <c r="J413" s="1">
        <v>45103</v>
      </c>
      <c r="K413" t="b">
        <v>0</v>
      </c>
    </row>
    <row r="414" spans="1:11" x14ac:dyDescent="0.25">
      <c r="A414" t="s">
        <v>5605</v>
      </c>
      <c r="B414" t="s">
        <v>51</v>
      </c>
      <c r="C414" t="s">
        <v>13</v>
      </c>
      <c r="D414" t="s">
        <v>52</v>
      </c>
      <c r="E414" s="2">
        <v>39.5</v>
      </c>
      <c r="F414" s="4">
        <v>8</v>
      </c>
      <c r="G414" s="2">
        <v>316</v>
      </c>
      <c r="H414" t="s">
        <v>25</v>
      </c>
      <c r="I414" t="s">
        <v>36</v>
      </c>
      <c r="J414" s="1">
        <v>44835</v>
      </c>
      <c r="K414" t="b">
        <v>1</v>
      </c>
    </row>
    <row r="415" spans="1:11" x14ac:dyDescent="0.25">
      <c r="A415" t="s">
        <v>6832</v>
      </c>
      <c r="B415" t="s">
        <v>85</v>
      </c>
      <c r="C415" t="s">
        <v>27</v>
      </c>
      <c r="D415" t="s">
        <v>482</v>
      </c>
      <c r="E415" s="2">
        <v>39.5</v>
      </c>
      <c r="F415" s="4">
        <v>8</v>
      </c>
      <c r="G415" s="2">
        <v>316</v>
      </c>
      <c r="H415" t="s">
        <v>45</v>
      </c>
      <c r="I415" t="s">
        <v>16</v>
      </c>
      <c r="J415" s="1">
        <v>45431</v>
      </c>
      <c r="K415" t="b">
        <v>1</v>
      </c>
    </row>
    <row r="416" spans="1:11" x14ac:dyDescent="0.25">
      <c r="A416" t="s">
        <v>5201</v>
      </c>
      <c r="B416" t="s">
        <v>26</v>
      </c>
      <c r="C416" t="s">
        <v>19</v>
      </c>
      <c r="D416" t="s">
        <v>220</v>
      </c>
      <c r="E416" s="2">
        <v>39.5</v>
      </c>
      <c r="F416" s="4">
        <v>8</v>
      </c>
      <c r="G416" s="2">
        <v>316</v>
      </c>
      <c r="H416" t="s">
        <v>45</v>
      </c>
      <c r="I416" t="s">
        <v>36</v>
      </c>
      <c r="J416" s="1">
        <v>44782</v>
      </c>
      <c r="K416" t="b">
        <v>0</v>
      </c>
    </row>
    <row r="417" spans="1:11" x14ac:dyDescent="0.25">
      <c r="A417" t="s">
        <v>129</v>
      </c>
      <c r="B417" t="s">
        <v>63</v>
      </c>
      <c r="C417" t="s">
        <v>110</v>
      </c>
      <c r="D417" t="s">
        <v>130</v>
      </c>
      <c r="E417" s="2">
        <v>39.5</v>
      </c>
      <c r="F417" s="4">
        <v>8</v>
      </c>
      <c r="G417" s="2">
        <v>316</v>
      </c>
      <c r="H417" t="s">
        <v>25</v>
      </c>
      <c r="I417" t="s">
        <v>36</v>
      </c>
      <c r="J417" s="1">
        <v>45034</v>
      </c>
      <c r="K417" t="b">
        <v>0</v>
      </c>
    </row>
    <row r="418" spans="1:11" x14ac:dyDescent="0.25">
      <c r="A418" t="s">
        <v>7633</v>
      </c>
      <c r="B418" t="s">
        <v>63</v>
      </c>
      <c r="C418" t="s">
        <v>38</v>
      </c>
      <c r="D418" t="s">
        <v>165</v>
      </c>
      <c r="E418" s="2">
        <v>39.5</v>
      </c>
      <c r="F418" s="4">
        <v>8</v>
      </c>
      <c r="G418" s="2">
        <v>316</v>
      </c>
      <c r="H418" t="s">
        <v>25</v>
      </c>
      <c r="I418" t="s">
        <v>36</v>
      </c>
      <c r="J418" s="1">
        <v>44732</v>
      </c>
      <c r="K418" t="b">
        <v>0</v>
      </c>
    </row>
    <row r="419" spans="1:11" x14ac:dyDescent="0.25">
      <c r="A419" t="s">
        <v>2772</v>
      </c>
      <c r="B419" t="s">
        <v>40</v>
      </c>
      <c r="C419" t="s">
        <v>110</v>
      </c>
      <c r="D419" t="s">
        <v>130</v>
      </c>
      <c r="E419" s="2">
        <v>39.5</v>
      </c>
      <c r="F419" s="4">
        <v>8</v>
      </c>
      <c r="G419" s="2">
        <v>316</v>
      </c>
      <c r="H419" t="s">
        <v>45</v>
      </c>
      <c r="I419" t="s">
        <v>36</v>
      </c>
      <c r="J419" s="1">
        <v>44912</v>
      </c>
      <c r="K419" t="b">
        <v>0</v>
      </c>
    </row>
    <row r="420" spans="1:11" x14ac:dyDescent="0.25">
      <c r="A420" t="s">
        <v>3255</v>
      </c>
      <c r="B420" t="s">
        <v>63</v>
      </c>
      <c r="C420" t="s">
        <v>38</v>
      </c>
      <c r="D420" t="s">
        <v>165</v>
      </c>
      <c r="E420" s="2">
        <v>39.5</v>
      </c>
      <c r="F420" s="4">
        <v>8</v>
      </c>
      <c r="G420" s="2">
        <v>316</v>
      </c>
      <c r="H420" t="s">
        <v>45</v>
      </c>
      <c r="I420" t="s">
        <v>16</v>
      </c>
      <c r="J420" s="1">
        <v>44995</v>
      </c>
      <c r="K420" t="b">
        <v>1</v>
      </c>
    </row>
    <row r="421" spans="1:11" x14ac:dyDescent="0.25">
      <c r="A421" t="s">
        <v>1873</v>
      </c>
      <c r="B421" t="s">
        <v>26</v>
      </c>
      <c r="C421" t="s">
        <v>27</v>
      </c>
      <c r="D421" t="s">
        <v>482</v>
      </c>
      <c r="E421" s="2">
        <v>39.5</v>
      </c>
      <c r="F421" s="4">
        <v>8</v>
      </c>
      <c r="G421" s="2">
        <v>316</v>
      </c>
      <c r="H421" t="s">
        <v>15</v>
      </c>
      <c r="I421" t="s">
        <v>36</v>
      </c>
      <c r="J421" s="1">
        <v>45602</v>
      </c>
      <c r="K421" t="b">
        <v>0</v>
      </c>
    </row>
    <row r="422" spans="1:11" x14ac:dyDescent="0.25">
      <c r="A422" t="s">
        <v>2508</v>
      </c>
      <c r="B422" t="s">
        <v>18</v>
      </c>
      <c r="C422" t="s">
        <v>13</v>
      </c>
      <c r="D422" t="s">
        <v>52</v>
      </c>
      <c r="E422" s="2">
        <v>39.5</v>
      </c>
      <c r="F422" s="4">
        <v>8</v>
      </c>
      <c r="G422" s="2">
        <v>316</v>
      </c>
      <c r="H422" t="s">
        <v>15</v>
      </c>
      <c r="I422" t="s">
        <v>36</v>
      </c>
      <c r="J422" s="1">
        <v>45005</v>
      </c>
      <c r="K422" t="b">
        <v>1</v>
      </c>
    </row>
    <row r="423" spans="1:11" x14ac:dyDescent="0.25">
      <c r="A423" t="s">
        <v>4272</v>
      </c>
      <c r="B423" t="s">
        <v>100</v>
      </c>
      <c r="C423" t="s">
        <v>31</v>
      </c>
      <c r="D423" t="s">
        <v>905</v>
      </c>
      <c r="E423" s="2">
        <v>35</v>
      </c>
      <c r="F423" s="4">
        <v>9</v>
      </c>
      <c r="G423" s="2">
        <v>315</v>
      </c>
      <c r="H423" t="s">
        <v>45</v>
      </c>
      <c r="I423" t="s">
        <v>36</v>
      </c>
      <c r="J423" s="1">
        <v>45610</v>
      </c>
      <c r="K423" t="b">
        <v>1</v>
      </c>
    </row>
    <row r="424" spans="1:11" x14ac:dyDescent="0.25">
      <c r="A424" t="s">
        <v>4943</v>
      </c>
      <c r="B424" t="s">
        <v>86</v>
      </c>
      <c r="C424" t="s">
        <v>38</v>
      </c>
      <c r="D424" t="s">
        <v>163</v>
      </c>
      <c r="E424" s="2">
        <v>35</v>
      </c>
      <c r="F424" s="4">
        <v>9</v>
      </c>
      <c r="G424" s="2">
        <v>315</v>
      </c>
      <c r="H424" t="s">
        <v>15</v>
      </c>
      <c r="I424" t="s">
        <v>36</v>
      </c>
      <c r="J424" s="1">
        <v>44639</v>
      </c>
      <c r="K424" t="b">
        <v>0</v>
      </c>
    </row>
    <row r="425" spans="1:11" x14ac:dyDescent="0.25">
      <c r="A425" t="s">
        <v>3474</v>
      </c>
      <c r="B425" t="s">
        <v>66</v>
      </c>
      <c r="C425" t="s">
        <v>59</v>
      </c>
      <c r="D425" t="s">
        <v>87</v>
      </c>
      <c r="E425" s="2">
        <v>35</v>
      </c>
      <c r="F425" s="4">
        <v>9</v>
      </c>
      <c r="G425" s="2">
        <v>315</v>
      </c>
      <c r="H425" t="s">
        <v>25</v>
      </c>
      <c r="I425" t="s">
        <v>16</v>
      </c>
      <c r="J425" s="1">
        <v>45069</v>
      </c>
      <c r="K425" t="b">
        <v>1</v>
      </c>
    </row>
    <row r="426" spans="1:11" x14ac:dyDescent="0.25">
      <c r="A426" t="s">
        <v>3684</v>
      </c>
      <c r="B426" t="s">
        <v>93</v>
      </c>
      <c r="C426" t="s">
        <v>31</v>
      </c>
      <c r="D426" t="s">
        <v>905</v>
      </c>
      <c r="E426" s="2">
        <v>35</v>
      </c>
      <c r="F426" s="4">
        <v>9</v>
      </c>
      <c r="G426" s="2">
        <v>315</v>
      </c>
      <c r="H426" t="s">
        <v>25</v>
      </c>
      <c r="I426" t="s">
        <v>36</v>
      </c>
      <c r="J426" s="1">
        <v>45625</v>
      </c>
      <c r="K426" t="b">
        <v>0</v>
      </c>
    </row>
    <row r="427" spans="1:11" x14ac:dyDescent="0.25">
      <c r="A427" t="s">
        <v>249</v>
      </c>
      <c r="B427" t="s">
        <v>93</v>
      </c>
      <c r="C427" t="s">
        <v>23</v>
      </c>
      <c r="D427" t="s">
        <v>179</v>
      </c>
      <c r="E427" s="2">
        <v>35</v>
      </c>
      <c r="F427" s="4">
        <v>9</v>
      </c>
      <c r="G427" s="2">
        <v>315</v>
      </c>
      <c r="H427" t="s">
        <v>45</v>
      </c>
      <c r="I427" t="s">
        <v>36</v>
      </c>
      <c r="J427" s="1">
        <v>45330</v>
      </c>
      <c r="K427" t="b">
        <v>1</v>
      </c>
    </row>
    <row r="428" spans="1:11" x14ac:dyDescent="0.25">
      <c r="A428" t="s">
        <v>6341</v>
      </c>
      <c r="B428" t="s">
        <v>51</v>
      </c>
      <c r="C428" t="s">
        <v>31</v>
      </c>
      <c r="D428" t="s">
        <v>905</v>
      </c>
      <c r="E428" s="2">
        <v>35</v>
      </c>
      <c r="F428" s="4">
        <v>9</v>
      </c>
      <c r="G428" s="2">
        <v>315</v>
      </c>
      <c r="H428" t="s">
        <v>25</v>
      </c>
      <c r="I428" t="s">
        <v>36</v>
      </c>
      <c r="J428" s="1">
        <v>45212</v>
      </c>
      <c r="K428" t="b">
        <v>1</v>
      </c>
    </row>
    <row r="429" spans="1:11" x14ac:dyDescent="0.25">
      <c r="A429" t="s">
        <v>493</v>
      </c>
      <c r="B429" t="s">
        <v>18</v>
      </c>
      <c r="C429" t="s">
        <v>59</v>
      </c>
      <c r="D429" t="s">
        <v>87</v>
      </c>
      <c r="E429" s="2">
        <v>35</v>
      </c>
      <c r="F429" s="4">
        <v>9</v>
      </c>
      <c r="G429" s="2">
        <v>315</v>
      </c>
      <c r="H429" t="s">
        <v>45</v>
      </c>
      <c r="I429" t="s">
        <v>16</v>
      </c>
      <c r="J429" s="1">
        <v>44724</v>
      </c>
      <c r="K429" t="b">
        <v>0</v>
      </c>
    </row>
    <row r="430" spans="1:11" x14ac:dyDescent="0.25">
      <c r="A430" t="s">
        <v>5493</v>
      </c>
      <c r="B430" t="s">
        <v>43</v>
      </c>
      <c r="C430" t="s">
        <v>31</v>
      </c>
      <c r="D430" t="s">
        <v>905</v>
      </c>
      <c r="E430" s="2">
        <v>35</v>
      </c>
      <c r="F430" s="4">
        <v>9</v>
      </c>
      <c r="G430" s="2">
        <v>315</v>
      </c>
      <c r="H430" t="s">
        <v>15</v>
      </c>
      <c r="I430" t="s">
        <v>36</v>
      </c>
      <c r="J430" s="1">
        <v>45204</v>
      </c>
      <c r="K430" t="b">
        <v>0</v>
      </c>
    </row>
    <row r="431" spans="1:11" x14ac:dyDescent="0.25">
      <c r="A431" t="s">
        <v>4733</v>
      </c>
      <c r="B431" t="s">
        <v>30</v>
      </c>
      <c r="C431" t="s">
        <v>27</v>
      </c>
      <c r="D431" t="s">
        <v>240</v>
      </c>
      <c r="E431" s="2">
        <v>35</v>
      </c>
      <c r="F431" s="4">
        <v>9</v>
      </c>
      <c r="G431" s="2">
        <v>315</v>
      </c>
      <c r="H431" t="s">
        <v>45</v>
      </c>
      <c r="I431" t="s">
        <v>36</v>
      </c>
      <c r="J431" s="1">
        <v>45260</v>
      </c>
      <c r="K431" t="b">
        <v>1</v>
      </c>
    </row>
    <row r="432" spans="1:11" x14ac:dyDescent="0.25">
      <c r="A432" t="s">
        <v>1304</v>
      </c>
      <c r="B432" t="s">
        <v>66</v>
      </c>
      <c r="C432" t="s">
        <v>38</v>
      </c>
      <c r="D432" t="s">
        <v>163</v>
      </c>
      <c r="E432" s="2">
        <v>35</v>
      </c>
      <c r="F432" s="4">
        <v>9</v>
      </c>
      <c r="G432" s="2">
        <v>315</v>
      </c>
      <c r="H432" t="s">
        <v>15</v>
      </c>
      <c r="I432" t="s">
        <v>16</v>
      </c>
      <c r="J432" s="1">
        <v>45433</v>
      </c>
      <c r="K432" t="b">
        <v>1</v>
      </c>
    </row>
    <row r="433" spans="1:11" x14ac:dyDescent="0.25">
      <c r="A433" t="s">
        <v>5099</v>
      </c>
      <c r="B433" t="s">
        <v>26</v>
      </c>
      <c r="C433" t="s">
        <v>31</v>
      </c>
      <c r="D433" t="s">
        <v>905</v>
      </c>
      <c r="E433" s="2">
        <v>35</v>
      </c>
      <c r="F433" s="4">
        <v>9</v>
      </c>
      <c r="G433" s="2">
        <v>315</v>
      </c>
      <c r="H433" t="s">
        <v>45</v>
      </c>
      <c r="I433" t="s">
        <v>36</v>
      </c>
      <c r="J433" s="1">
        <v>45671</v>
      </c>
      <c r="K433" t="b">
        <v>0</v>
      </c>
    </row>
    <row r="434" spans="1:11" x14ac:dyDescent="0.25">
      <c r="A434" t="s">
        <v>3044</v>
      </c>
      <c r="B434" t="s">
        <v>86</v>
      </c>
      <c r="C434" t="s">
        <v>27</v>
      </c>
      <c r="D434" t="s">
        <v>240</v>
      </c>
      <c r="E434" s="2">
        <v>35</v>
      </c>
      <c r="F434" s="4">
        <v>9</v>
      </c>
      <c r="G434" s="2">
        <v>315</v>
      </c>
      <c r="H434" t="s">
        <v>15</v>
      </c>
      <c r="I434" t="s">
        <v>36</v>
      </c>
      <c r="J434" s="1">
        <v>45303</v>
      </c>
      <c r="K434" t="b">
        <v>1</v>
      </c>
    </row>
    <row r="435" spans="1:11" x14ac:dyDescent="0.25">
      <c r="A435" t="s">
        <v>2669</v>
      </c>
      <c r="B435" t="s">
        <v>104</v>
      </c>
      <c r="C435" t="s">
        <v>23</v>
      </c>
      <c r="D435" t="s">
        <v>179</v>
      </c>
      <c r="E435" s="2">
        <v>35</v>
      </c>
      <c r="F435" s="4">
        <v>9</v>
      </c>
      <c r="G435" s="2">
        <v>315</v>
      </c>
      <c r="H435" t="s">
        <v>25</v>
      </c>
      <c r="I435" t="s">
        <v>36</v>
      </c>
      <c r="J435" s="1">
        <v>45219</v>
      </c>
      <c r="K435" t="b">
        <v>1</v>
      </c>
    </row>
    <row r="436" spans="1:11" x14ac:dyDescent="0.25">
      <c r="A436" t="s">
        <v>3371</v>
      </c>
      <c r="B436" t="s">
        <v>69</v>
      </c>
      <c r="C436" t="s">
        <v>59</v>
      </c>
      <c r="D436" t="s">
        <v>87</v>
      </c>
      <c r="E436" s="2">
        <v>35</v>
      </c>
      <c r="F436" s="4">
        <v>9</v>
      </c>
      <c r="G436" s="2">
        <v>315</v>
      </c>
      <c r="H436" t="s">
        <v>25</v>
      </c>
      <c r="I436" t="s">
        <v>16</v>
      </c>
      <c r="J436" s="1">
        <v>45112</v>
      </c>
      <c r="K436" t="b">
        <v>0</v>
      </c>
    </row>
    <row r="437" spans="1:11" x14ac:dyDescent="0.25">
      <c r="A437" t="s">
        <v>636</v>
      </c>
      <c r="B437" t="s">
        <v>97</v>
      </c>
      <c r="C437" t="s">
        <v>27</v>
      </c>
      <c r="D437" t="s">
        <v>240</v>
      </c>
      <c r="E437" s="2">
        <v>35</v>
      </c>
      <c r="F437" s="4">
        <v>9</v>
      </c>
      <c r="G437" s="2">
        <v>315</v>
      </c>
      <c r="H437" t="s">
        <v>25</v>
      </c>
      <c r="I437" t="s">
        <v>16</v>
      </c>
      <c r="J437" s="1">
        <v>45524</v>
      </c>
      <c r="K437" t="b">
        <v>0</v>
      </c>
    </row>
    <row r="438" spans="1:11" x14ac:dyDescent="0.25">
      <c r="A438" t="s">
        <v>2093</v>
      </c>
      <c r="B438" t="s">
        <v>93</v>
      </c>
      <c r="C438" t="s">
        <v>38</v>
      </c>
      <c r="D438" t="s">
        <v>163</v>
      </c>
      <c r="E438" s="2">
        <v>35</v>
      </c>
      <c r="F438" s="4">
        <v>9</v>
      </c>
      <c r="G438" s="2">
        <v>315</v>
      </c>
      <c r="H438" t="s">
        <v>45</v>
      </c>
      <c r="I438" t="s">
        <v>36</v>
      </c>
      <c r="J438" s="1">
        <v>45490</v>
      </c>
      <c r="K438" t="b">
        <v>1</v>
      </c>
    </row>
    <row r="439" spans="1:11" x14ac:dyDescent="0.25">
      <c r="A439" t="s">
        <v>1311</v>
      </c>
      <c r="B439" t="s">
        <v>61</v>
      </c>
      <c r="C439" t="s">
        <v>27</v>
      </c>
      <c r="D439" t="s">
        <v>240</v>
      </c>
      <c r="E439" s="2">
        <v>35</v>
      </c>
      <c r="F439" s="4">
        <v>9</v>
      </c>
      <c r="G439" s="2">
        <v>315</v>
      </c>
      <c r="H439" t="s">
        <v>45</v>
      </c>
      <c r="I439" t="s">
        <v>36</v>
      </c>
      <c r="J439" s="1">
        <v>45558</v>
      </c>
      <c r="K439" t="b">
        <v>0</v>
      </c>
    </row>
    <row r="440" spans="1:11" x14ac:dyDescent="0.25">
      <c r="A440" t="s">
        <v>3093</v>
      </c>
      <c r="B440" t="s">
        <v>18</v>
      </c>
      <c r="C440" t="s">
        <v>110</v>
      </c>
      <c r="D440" t="s">
        <v>197</v>
      </c>
      <c r="E440" s="2">
        <v>35</v>
      </c>
      <c r="F440" s="4">
        <v>9</v>
      </c>
      <c r="G440" s="2">
        <v>315</v>
      </c>
      <c r="H440" t="s">
        <v>25</v>
      </c>
      <c r="I440" t="s">
        <v>36</v>
      </c>
      <c r="J440" s="1">
        <v>45667</v>
      </c>
      <c r="K440" t="b">
        <v>1</v>
      </c>
    </row>
    <row r="441" spans="1:11" x14ac:dyDescent="0.25">
      <c r="A441" t="s">
        <v>6522</v>
      </c>
      <c r="B441" t="s">
        <v>40</v>
      </c>
      <c r="C441" t="s">
        <v>23</v>
      </c>
      <c r="D441" t="s">
        <v>179</v>
      </c>
      <c r="E441" s="2">
        <v>35</v>
      </c>
      <c r="F441" s="4">
        <v>9</v>
      </c>
      <c r="G441" s="2">
        <v>315</v>
      </c>
      <c r="H441" t="s">
        <v>15</v>
      </c>
      <c r="I441" t="s">
        <v>16</v>
      </c>
      <c r="J441" s="1">
        <v>44797</v>
      </c>
      <c r="K441" t="b">
        <v>1</v>
      </c>
    </row>
    <row r="442" spans="1:11" x14ac:dyDescent="0.25">
      <c r="A442" t="s">
        <v>7330</v>
      </c>
      <c r="B442" t="s">
        <v>93</v>
      </c>
      <c r="C442" t="s">
        <v>38</v>
      </c>
      <c r="D442" t="s">
        <v>163</v>
      </c>
      <c r="E442" s="2">
        <v>35</v>
      </c>
      <c r="F442" s="4">
        <v>9</v>
      </c>
      <c r="G442" s="2">
        <v>315</v>
      </c>
      <c r="H442" t="s">
        <v>45</v>
      </c>
      <c r="I442" t="s">
        <v>36</v>
      </c>
      <c r="J442" s="1">
        <v>45569</v>
      </c>
      <c r="K442" t="b">
        <v>0</v>
      </c>
    </row>
    <row r="443" spans="1:11" x14ac:dyDescent="0.25">
      <c r="A443" t="s">
        <v>2383</v>
      </c>
      <c r="B443" t="s">
        <v>100</v>
      </c>
      <c r="C443" t="s">
        <v>31</v>
      </c>
      <c r="D443" t="s">
        <v>144</v>
      </c>
      <c r="E443" s="2">
        <v>30.5</v>
      </c>
      <c r="F443" s="4">
        <v>10</v>
      </c>
      <c r="G443" s="2">
        <v>305</v>
      </c>
      <c r="H443" t="s">
        <v>25</v>
      </c>
      <c r="I443" t="s">
        <v>16</v>
      </c>
      <c r="J443" s="1">
        <v>44744</v>
      </c>
      <c r="K443" t="b">
        <v>0</v>
      </c>
    </row>
    <row r="444" spans="1:11" x14ac:dyDescent="0.25">
      <c r="A444" t="s">
        <v>4015</v>
      </c>
      <c r="B444" t="s">
        <v>69</v>
      </c>
      <c r="C444" t="s">
        <v>59</v>
      </c>
      <c r="D444" t="s">
        <v>676</v>
      </c>
      <c r="E444" s="2">
        <v>30.5</v>
      </c>
      <c r="F444" s="4">
        <v>10</v>
      </c>
      <c r="G444" s="2">
        <v>305</v>
      </c>
      <c r="H444" t="s">
        <v>45</v>
      </c>
      <c r="I444" t="s">
        <v>36</v>
      </c>
      <c r="J444" s="1">
        <v>45227</v>
      </c>
      <c r="K444" t="b">
        <v>0</v>
      </c>
    </row>
    <row r="445" spans="1:11" x14ac:dyDescent="0.25">
      <c r="A445" t="s">
        <v>4822</v>
      </c>
      <c r="B445" t="s">
        <v>93</v>
      </c>
      <c r="C445" t="s">
        <v>31</v>
      </c>
      <c r="D445" t="s">
        <v>144</v>
      </c>
      <c r="E445" s="2">
        <v>30.5</v>
      </c>
      <c r="F445" s="4">
        <v>10</v>
      </c>
      <c r="G445" s="2">
        <v>305</v>
      </c>
      <c r="H445" t="s">
        <v>15</v>
      </c>
      <c r="I445" t="s">
        <v>16</v>
      </c>
      <c r="J445" s="1">
        <v>45073</v>
      </c>
      <c r="K445" t="b">
        <v>1</v>
      </c>
    </row>
    <row r="446" spans="1:11" x14ac:dyDescent="0.25">
      <c r="A446" t="s">
        <v>644</v>
      </c>
      <c r="B446" t="s">
        <v>58</v>
      </c>
      <c r="C446" t="s">
        <v>23</v>
      </c>
      <c r="D446" t="s">
        <v>223</v>
      </c>
      <c r="E446" s="2">
        <v>30.5</v>
      </c>
      <c r="F446" s="4">
        <v>10</v>
      </c>
      <c r="G446" s="2">
        <v>305</v>
      </c>
      <c r="H446" t="s">
        <v>45</v>
      </c>
      <c r="I446" t="s">
        <v>16</v>
      </c>
      <c r="J446" s="1">
        <v>44774</v>
      </c>
      <c r="K446" t="b">
        <v>0</v>
      </c>
    </row>
    <row r="447" spans="1:11" x14ac:dyDescent="0.25">
      <c r="A447" t="s">
        <v>7255</v>
      </c>
      <c r="B447" t="s">
        <v>69</v>
      </c>
      <c r="C447" t="s">
        <v>38</v>
      </c>
      <c r="D447" t="s">
        <v>780</v>
      </c>
      <c r="E447" s="2">
        <v>30.5</v>
      </c>
      <c r="F447" s="4">
        <v>10</v>
      </c>
      <c r="G447" s="2">
        <v>305</v>
      </c>
      <c r="H447" t="s">
        <v>15</v>
      </c>
      <c r="I447" t="s">
        <v>36</v>
      </c>
      <c r="J447" s="1">
        <v>45045</v>
      </c>
      <c r="K447" t="b">
        <v>0</v>
      </c>
    </row>
    <row r="448" spans="1:11" x14ac:dyDescent="0.25">
      <c r="A448" t="s">
        <v>6001</v>
      </c>
      <c r="B448" t="s">
        <v>85</v>
      </c>
      <c r="C448" t="s">
        <v>59</v>
      </c>
      <c r="D448" t="s">
        <v>676</v>
      </c>
      <c r="E448" s="2">
        <v>30.5</v>
      </c>
      <c r="F448" s="4">
        <v>10</v>
      </c>
      <c r="G448" s="2">
        <v>305</v>
      </c>
      <c r="H448" t="s">
        <v>15</v>
      </c>
      <c r="I448" t="s">
        <v>36</v>
      </c>
      <c r="J448" s="1">
        <v>45366</v>
      </c>
      <c r="K448" t="b">
        <v>0</v>
      </c>
    </row>
    <row r="449" spans="1:11" x14ac:dyDescent="0.25">
      <c r="A449" t="s">
        <v>6698</v>
      </c>
      <c r="B449" t="s">
        <v>22</v>
      </c>
      <c r="C449" t="s">
        <v>23</v>
      </c>
      <c r="D449" t="s">
        <v>223</v>
      </c>
      <c r="E449" s="2">
        <v>30.5</v>
      </c>
      <c r="F449" s="4">
        <v>10</v>
      </c>
      <c r="G449" s="2">
        <v>305</v>
      </c>
      <c r="H449" t="s">
        <v>25</v>
      </c>
      <c r="I449" t="s">
        <v>36</v>
      </c>
      <c r="J449" s="1">
        <v>45493</v>
      </c>
      <c r="K449" t="b">
        <v>0</v>
      </c>
    </row>
    <row r="450" spans="1:11" x14ac:dyDescent="0.25">
      <c r="A450" t="s">
        <v>6206</v>
      </c>
      <c r="B450" t="s">
        <v>63</v>
      </c>
      <c r="C450" t="s">
        <v>23</v>
      </c>
      <c r="D450" t="s">
        <v>223</v>
      </c>
      <c r="E450" s="2">
        <v>30.5</v>
      </c>
      <c r="F450" s="4">
        <v>10</v>
      </c>
      <c r="G450" s="2">
        <v>305</v>
      </c>
      <c r="H450" t="s">
        <v>25</v>
      </c>
      <c r="I450" t="s">
        <v>36</v>
      </c>
      <c r="J450" s="1">
        <v>45018</v>
      </c>
      <c r="K450" t="b">
        <v>0</v>
      </c>
    </row>
    <row r="451" spans="1:11" x14ac:dyDescent="0.25">
      <c r="A451" t="s">
        <v>2904</v>
      </c>
      <c r="B451" t="s">
        <v>72</v>
      </c>
      <c r="C451" t="s">
        <v>19</v>
      </c>
      <c r="D451" t="s">
        <v>474</v>
      </c>
      <c r="E451" s="2">
        <v>30.5</v>
      </c>
      <c r="F451" s="4">
        <v>10</v>
      </c>
      <c r="G451" s="2">
        <v>305</v>
      </c>
      <c r="H451" t="s">
        <v>45</v>
      </c>
      <c r="I451" t="s">
        <v>36</v>
      </c>
      <c r="J451" s="1">
        <v>44626</v>
      </c>
      <c r="K451" t="b">
        <v>0</v>
      </c>
    </row>
    <row r="452" spans="1:11" x14ac:dyDescent="0.25">
      <c r="A452" t="s">
        <v>1465</v>
      </c>
      <c r="B452" t="s">
        <v>97</v>
      </c>
      <c r="C452" t="s">
        <v>59</v>
      </c>
      <c r="D452" t="s">
        <v>676</v>
      </c>
      <c r="E452" s="2">
        <v>30.5</v>
      </c>
      <c r="F452" s="4">
        <v>10</v>
      </c>
      <c r="G452" s="2">
        <v>305</v>
      </c>
      <c r="H452" t="s">
        <v>15</v>
      </c>
      <c r="I452" t="s">
        <v>16</v>
      </c>
      <c r="J452" s="1">
        <v>44767</v>
      </c>
      <c r="K452" t="b">
        <v>1</v>
      </c>
    </row>
    <row r="453" spans="1:11" x14ac:dyDescent="0.25">
      <c r="A453" t="s">
        <v>2768</v>
      </c>
      <c r="B453" t="s">
        <v>22</v>
      </c>
      <c r="C453" t="s">
        <v>31</v>
      </c>
      <c r="D453" t="s">
        <v>144</v>
      </c>
      <c r="E453" s="2">
        <v>30.5</v>
      </c>
      <c r="F453" s="4">
        <v>10</v>
      </c>
      <c r="G453" s="2">
        <v>305</v>
      </c>
      <c r="H453" t="s">
        <v>45</v>
      </c>
      <c r="I453" t="s">
        <v>36</v>
      </c>
      <c r="J453" s="1">
        <v>45588</v>
      </c>
      <c r="K453" t="b">
        <v>0</v>
      </c>
    </row>
    <row r="454" spans="1:11" x14ac:dyDescent="0.25">
      <c r="A454" t="s">
        <v>2306</v>
      </c>
      <c r="B454" t="s">
        <v>77</v>
      </c>
      <c r="C454" t="s">
        <v>110</v>
      </c>
      <c r="D454" t="s">
        <v>256</v>
      </c>
      <c r="E454" s="2">
        <v>30.5</v>
      </c>
      <c r="F454" s="4">
        <v>10</v>
      </c>
      <c r="G454" s="2">
        <v>305</v>
      </c>
      <c r="H454" t="s">
        <v>25</v>
      </c>
      <c r="I454" t="s">
        <v>36</v>
      </c>
      <c r="J454" s="1">
        <v>45111</v>
      </c>
      <c r="K454" t="b">
        <v>1</v>
      </c>
    </row>
    <row r="455" spans="1:11" x14ac:dyDescent="0.25">
      <c r="A455" t="s">
        <v>3289</v>
      </c>
      <c r="B455" t="s">
        <v>142</v>
      </c>
      <c r="C455" t="s">
        <v>27</v>
      </c>
      <c r="D455" t="s">
        <v>524</v>
      </c>
      <c r="E455" s="2">
        <v>30.5</v>
      </c>
      <c r="F455" s="4">
        <v>10</v>
      </c>
      <c r="G455" s="2">
        <v>305</v>
      </c>
      <c r="H455" t="s">
        <v>45</v>
      </c>
      <c r="I455" t="s">
        <v>16</v>
      </c>
      <c r="J455" s="1">
        <v>44718</v>
      </c>
      <c r="K455" t="b">
        <v>0</v>
      </c>
    </row>
    <row r="456" spans="1:11" x14ac:dyDescent="0.25">
      <c r="A456" t="s">
        <v>236</v>
      </c>
      <c r="B456" t="s">
        <v>69</v>
      </c>
      <c r="C456" t="s">
        <v>31</v>
      </c>
      <c r="D456" t="s">
        <v>144</v>
      </c>
      <c r="E456" s="2">
        <v>30.5</v>
      </c>
      <c r="F456" s="4">
        <v>10</v>
      </c>
      <c r="G456" s="2">
        <v>305</v>
      </c>
      <c r="H456" t="s">
        <v>45</v>
      </c>
      <c r="I456" t="s">
        <v>16</v>
      </c>
      <c r="J456" s="1">
        <v>45608</v>
      </c>
      <c r="K456" t="b">
        <v>0</v>
      </c>
    </row>
    <row r="457" spans="1:11" x14ac:dyDescent="0.25">
      <c r="A457" t="s">
        <v>3805</v>
      </c>
      <c r="B457" t="s">
        <v>51</v>
      </c>
      <c r="C457" t="s">
        <v>19</v>
      </c>
      <c r="D457" t="s">
        <v>474</v>
      </c>
      <c r="E457" s="2">
        <v>30.5</v>
      </c>
      <c r="F457" s="4">
        <v>10</v>
      </c>
      <c r="G457" s="2">
        <v>305</v>
      </c>
      <c r="H457" t="s">
        <v>25</v>
      </c>
      <c r="I457" t="s">
        <v>36</v>
      </c>
      <c r="J457" s="1">
        <v>44740</v>
      </c>
      <c r="K457" t="b">
        <v>0</v>
      </c>
    </row>
    <row r="458" spans="1:11" x14ac:dyDescent="0.25">
      <c r="A458" t="s">
        <v>4892</v>
      </c>
      <c r="B458" t="s">
        <v>100</v>
      </c>
      <c r="C458" t="s">
        <v>110</v>
      </c>
      <c r="D458" t="s">
        <v>256</v>
      </c>
      <c r="E458" s="2">
        <v>30.5</v>
      </c>
      <c r="F458" s="4">
        <v>10</v>
      </c>
      <c r="G458" s="2">
        <v>305</v>
      </c>
      <c r="H458" t="s">
        <v>45</v>
      </c>
      <c r="I458" t="s">
        <v>36</v>
      </c>
      <c r="J458" s="1">
        <v>44579</v>
      </c>
      <c r="K458" t="b">
        <v>1</v>
      </c>
    </row>
    <row r="459" spans="1:11" x14ac:dyDescent="0.25">
      <c r="A459" t="s">
        <v>6093</v>
      </c>
      <c r="B459" t="s">
        <v>40</v>
      </c>
      <c r="C459" t="s">
        <v>31</v>
      </c>
      <c r="D459" t="s">
        <v>144</v>
      </c>
      <c r="E459" s="2">
        <v>30.5</v>
      </c>
      <c r="F459" s="4">
        <v>10</v>
      </c>
      <c r="G459" s="2">
        <v>305</v>
      </c>
      <c r="H459" t="s">
        <v>25</v>
      </c>
      <c r="I459" t="s">
        <v>16</v>
      </c>
      <c r="J459" s="1">
        <v>44908</v>
      </c>
      <c r="K459" t="b">
        <v>0</v>
      </c>
    </row>
    <row r="460" spans="1:11" x14ac:dyDescent="0.25">
      <c r="A460" t="s">
        <v>523</v>
      </c>
      <c r="B460" t="s">
        <v>97</v>
      </c>
      <c r="C460" t="s">
        <v>27</v>
      </c>
      <c r="D460" t="s">
        <v>524</v>
      </c>
      <c r="E460" s="2">
        <v>30.5</v>
      </c>
      <c r="F460" s="4">
        <v>10</v>
      </c>
      <c r="G460" s="2">
        <v>305</v>
      </c>
      <c r="H460" t="s">
        <v>45</v>
      </c>
      <c r="I460" t="s">
        <v>16</v>
      </c>
      <c r="J460" s="1">
        <v>44925</v>
      </c>
      <c r="K460" t="b">
        <v>0</v>
      </c>
    </row>
    <row r="461" spans="1:11" x14ac:dyDescent="0.25">
      <c r="A461" t="s">
        <v>1061</v>
      </c>
      <c r="B461" t="s">
        <v>37</v>
      </c>
      <c r="C461" t="s">
        <v>59</v>
      </c>
      <c r="D461" t="s">
        <v>676</v>
      </c>
      <c r="E461" s="2">
        <v>30.5</v>
      </c>
      <c r="F461" s="4">
        <v>10</v>
      </c>
      <c r="G461" s="2">
        <v>305</v>
      </c>
      <c r="H461" t="s">
        <v>45</v>
      </c>
      <c r="I461" t="s">
        <v>36</v>
      </c>
      <c r="J461" s="1">
        <v>44949</v>
      </c>
      <c r="K461" t="b">
        <v>1</v>
      </c>
    </row>
    <row r="462" spans="1:11" x14ac:dyDescent="0.25">
      <c r="A462" t="s">
        <v>7337</v>
      </c>
      <c r="B462" t="s">
        <v>142</v>
      </c>
      <c r="C462" t="s">
        <v>27</v>
      </c>
      <c r="D462" t="s">
        <v>524</v>
      </c>
      <c r="E462" s="2">
        <v>30.5</v>
      </c>
      <c r="F462" s="4">
        <v>10</v>
      </c>
      <c r="G462" s="2">
        <v>305</v>
      </c>
      <c r="H462" t="s">
        <v>45</v>
      </c>
      <c r="I462" t="s">
        <v>16</v>
      </c>
      <c r="J462" s="1">
        <v>45119</v>
      </c>
      <c r="K462" t="b">
        <v>1</v>
      </c>
    </row>
    <row r="463" spans="1:11" x14ac:dyDescent="0.25">
      <c r="A463" t="s">
        <v>7305</v>
      </c>
      <c r="B463" t="s">
        <v>37</v>
      </c>
      <c r="C463" t="s">
        <v>19</v>
      </c>
      <c r="D463" t="s">
        <v>474</v>
      </c>
      <c r="E463" s="2">
        <v>30.5</v>
      </c>
      <c r="F463" s="4">
        <v>10</v>
      </c>
      <c r="G463" s="2">
        <v>305</v>
      </c>
      <c r="H463" t="s">
        <v>25</v>
      </c>
      <c r="I463" t="s">
        <v>16</v>
      </c>
      <c r="J463" s="1">
        <v>44651</v>
      </c>
      <c r="K463" t="b">
        <v>0</v>
      </c>
    </row>
    <row r="464" spans="1:11" x14ac:dyDescent="0.25">
      <c r="A464" t="s">
        <v>1993</v>
      </c>
      <c r="B464" t="s">
        <v>51</v>
      </c>
      <c r="C464" t="s">
        <v>110</v>
      </c>
      <c r="D464" t="s">
        <v>256</v>
      </c>
      <c r="E464" s="2">
        <v>30.5</v>
      </c>
      <c r="F464" s="4">
        <v>10</v>
      </c>
      <c r="G464" s="2">
        <v>305</v>
      </c>
      <c r="H464" t="s">
        <v>15</v>
      </c>
      <c r="I464" t="s">
        <v>36</v>
      </c>
      <c r="J464" s="1">
        <v>45227</v>
      </c>
      <c r="K464" t="b">
        <v>0</v>
      </c>
    </row>
    <row r="465" spans="1:11" x14ac:dyDescent="0.25">
      <c r="A465" t="s">
        <v>4842</v>
      </c>
      <c r="B465" t="s">
        <v>37</v>
      </c>
      <c r="C465" t="s">
        <v>13</v>
      </c>
      <c r="D465" t="s">
        <v>1016</v>
      </c>
      <c r="E465" s="2">
        <v>30.5</v>
      </c>
      <c r="F465" s="4">
        <v>10</v>
      </c>
      <c r="G465" s="2">
        <v>305</v>
      </c>
      <c r="H465" t="s">
        <v>25</v>
      </c>
      <c r="I465" t="s">
        <v>16</v>
      </c>
      <c r="J465" s="1">
        <v>45618</v>
      </c>
      <c r="K465" t="b">
        <v>0</v>
      </c>
    </row>
    <row r="466" spans="1:11" x14ac:dyDescent="0.25">
      <c r="A466" t="s">
        <v>7417</v>
      </c>
      <c r="B466" t="s">
        <v>43</v>
      </c>
      <c r="C466" t="s">
        <v>110</v>
      </c>
      <c r="D466" t="s">
        <v>256</v>
      </c>
      <c r="E466" s="2">
        <v>30.5</v>
      </c>
      <c r="F466" s="4">
        <v>10</v>
      </c>
      <c r="G466" s="2">
        <v>305</v>
      </c>
      <c r="H466" t="s">
        <v>45</v>
      </c>
      <c r="I466" t="s">
        <v>36</v>
      </c>
      <c r="J466" s="1">
        <v>45616</v>
      </c>
      <c r="K466" t="b">
        <v>0</v>
      </c>
    </row>
    <row r="467" spans="1:11" x14ac:dyDescent="0.25">
      <c r="A467" t="s">
        <v>6980</v>
      </c>
      <c r="B467" t="s">
        <v>40</v>
      </c>
      <c r="C467" t="s">
        <v>31</v>
      </c>
      <c r="D467" t="s">
        <v>144</v>
      </c>
      <c r="E467" s="2">
        <v>30.5</v>
      </c>
      <c r="F467" s="4">
        <v>10</v>
      </c>
      <c r="G467" s="2">
        <v>305</v>
      </c>
      <c r="H467" t="s">
        <v>15</v>
      </c>
      <c r="I467" t="s">
        <v>36</v>
      </c>
      <c r="J467" s="1">
        <v>44903</v>
      </c>
      <c r="K467" t="b">
        <v>0</v>
      </c>
    </row>
    <row r="468" spans="1:11" x14ac:dyDescent="0.25">
      <c r="A468" t="s">
        <v>2200</v>
      </c>
      <c r="B468" t="s">
        <v>85</v>
      </c>
      <c r="C468" t="s">
        <v>19</v>
      </c>
      <c r="D468" t="s">
        <v>474</v>
      </c>
      <c r="E468" s="2">
        <v>30.5</v>
      </c>
      <c r="F468" s="4">
        <v>10</v>
      </c>
      <c r="G468" s="2">
        <v>305</v>
      </c>
      <c r="H468" t="s">
        <v>25</v>
      </c>
      <c r="I468" t="s">
        <v>36</v>
      </c>
      <c r="J468" s="1">
        <v>45282</v>
      </c>
      <c r="K468" t="b">
        <v>1</v>
      </c>
    </row>
    <row r="469" spans="1:11" x14ac:dyDescent="0.25">
      <c r="A469" t="s">
        <v>2776</v>
      </c>
      <c r="B469" t="s">
        <v>97</v>
      </c>
      <c r="C469" t="s">
        <v>31</v>
      </c>
      <c r="D469" t="s">
        <v>144</v>
      </c>
      <c r="E469" s="2">
        <v>30.5</v>
      </c>
      <c r="F469" s="4">
        <v>10</v>
      </c>
      <c r="G469" s="2">
        <v>305</v>
      </c>
      <c r="H469" t="s">
        <v>45</v>
      </c>
      <c r="I469" t="s">
        <v>36</v>
      </c>
      <c r="J469" s="1">
        <v>44750</v>
      </c>
      <c r="K469" t="b">
        <v>1</v>
      </c>
    </row>
    <row r="470" spans="1:11" x14ac:dyDescent="0.25">
      <c r="A470" t="s">
        <v>4615</v>
      </c>
      <c r="B470" t="s">
        <v>40</v>
      </c>
      <c r="C470" t="s">
        <v>19</v>
      </c>
      <c r="D470" t="s">
        <v>474</v>
      </c>
      <c r="E470" s="2">
        <v>30.5</v>
      </c>
      <c r="F470" s="4">
        <v>10</v>
      </c>
      <c r="G470" s="2">
        <v>305</v>
      </c>
      <c r="H470" t="s">
        <v>15</v>
      </c>
      <c r="I470" t="s">
        <v>16</v>
      </c>
      <c r="J470" s="1">
        <v>44939</v>
      </c>
      <c r="K470" t="b">
        <v>1</v>
      </c>
    </row>
    <row r="471" spans="1:11" x14ac:dyDescent="0.25">
      <c r="A471" t="s">
        <v>3637</v>
      </c>
      <c r="B471" t="s">
        <v>142</v>
      </c>
      <c r="C471" t="s">
        <v>59</v>
      </c>
      <c r="D471" t="s">
        <v>676</v>
      </c>
      <c r="E471" s="2">
        <v>30.5</v>
      </c>
      <c r="F471" s="4">
        <v>10</v>
      </c>
      <c r="G471" s="2">
        <v>305</v>
      </c>
      <c r="H471" t="s">
        <v>15</v>
      </c>
      <c r="I471" t="s">
        <v>16</v>
      </c>
      <c r="J471" s="1">
        <v>45655</v>
      </c>
      <c r="K471" t="b">
        <v>0</v>
      </c>
    </row>
    <row r="472" spans="1:11" x14ac:dyDescent="0.25">
      <c r="A472" t="s">
        <v>5954</v>
      </c>
      <c r="B472" t="s">
        <v>85</v>
      </c>
      <c r="C472" t="s">
        <v>31</v>
      </c>
      <c r="D472" t="s">
        <v>144</v>
      </c>
      <c r="E472" s="2">
        <v>30.5</v>
      </c>
      <c r="F472" s="4">
        <v>10</v>
      </c>
      <c r="G472" s="2">
        <v>305</v>
      </c>
      <c r="H472" t="s">
        <v>45</v>
      </c>
      <c r="I472" t="s">
        <v>16</v>
      </c>
      <c r="J472" s="1">
        <v>44852</v>
      </c>
      <c r="K472" t="b">
        <v>1</v>
      </c>
    </row>
    <row r="473" spans="1:11" x14ac:dyDescent="0.25">
      <c r="A473" t="s">
        <v>4849</v>
      </c>
      <c r="B473" t="s">
        <v>61</v>
      </c>
      <c r="C473" t="s">
        <v>19</v>
      </c>
      <c r="D473" t="s">
        <v>203</v>
      </c>
      <c r="E473" s="2">
        <v>38</v>
      </c>
      <c r="F473" s="4">
        <v>8</v>
      </c>
      <c r="G473" s="2">
        <v>304</v>
      </c>
      <c r="H473" t="s">
        <v>45</v>
      </c>
      <c r="I473" t="s">
        <v>16</v>
      </c>
      <c r="J473" s="1">
        <v>45639</v>
      </c>
      <c r="K473" t="b">
        <v>1</v>
      </c>
    </row>
    <row r="474" spans="1:11" x14ac:dyDescent="0.25">
      <c r="A474" t="s">
        <v>4725</v>
      </c>
      <c r="B474" t="s">
        <v>142</v>
      </c>
      <c r="C474" t="s">
        <v>13</v>
      </c>
      <c r="D474" t="s">
        <v>567</v>
      </c>
      <c r="E474" s="2">
        <v>38</v>
      </c>
      <c r="F474" s="4">
        <v>8</v>
      </c>
      <c r="G474" s="2">
        <v>304</v>
      </c>
      <c r="H474" t="s">
        <v>15</v>
      </c>
      <c r="I474" t="s">
        <v>16</v>
      </c>
      <c r="J474" s="1">
        <v>44733</v>
      </c>
      <c r="K474" t="b">
        <v>0</v>
      </c>
    </row>
    <row r="475" spans="1:11" x14ac:dyDescent="0.25">
      <c r="A475" t="s">
        <v>2428</v>
      </c>
      <c r="B475" t="s">
        <v>12</v>
      </c>
      <c r="C475" t="s">
        <v>19</v>
      </c>
      <c r="D475" t="s">
        <v>203</v>
      </c>
      <c r="E475" s="2">
        <v>38</v>
      </c>
      <c r="F475" s="4">
        <v>8</v>
      </c>
      <c r="G475" s="2">
        <v>304</v>
      </c>
      <c r="H475" t="s">
        <v>45</v>
      </c>
      <c r="I475" t="s">
        <v>36</v>
      </c>
      <c r="J475" s="1">
        <v>44846</v>
      </c>
      <c r="K475" t="b">
        <v>1</v>
      </c>
    </row>
    <row r="476" spans="1:11" x14ac:dyDescent="0.25">
      <c r="A476" t="s">
        <v>5564</v>
      </c>
      <c r="B476" t="s">
        <v>142</v>
      </c>
      <c r="C476" t="s">
        <v>19</v>
      </c>
      <c r="D476" t="s">
        <v>203</v>
      </c>
      <c r="E476" s="2">
        <v>38</v>
      </c>
      <c r="F476" s="4">
        <v>8</v>
      </c>
      <c r="G476" s="2">
        <v>304</v>
      </c>
      <c r="H476" t="s">
        <v>25</v>
      </c>
      <c r="I476" t="s">
        <v>16</v>
      </c>
      <c r="J476" s="1">
        <v>45078</v>
      </c>
      <c r="K476" t="b">
        <v>0</v>
      </c>
    </row>
    <row r="477" spans="1:11" x14ac:dyDescent="0.25">
      <c r="A477" t="s">
        <v>4294</v>
      </c>
      <c r="B477" t="s">
        <v>30</v>
      </c>
      <c r="C477" t="s">
        <v>13</v>
      </c>
      <c r="D477" t="s">
        <v>567</v>
      </c>
      <c r="E477" s="2">
        <v>38</v>
      </c>
      <c r="F477" s="4">
        <v>8</v>
      </c>
      <c r="G477" s="2">
        <v>304</v>
      </c>
      <c r="H477" t="s">
        <v>25</v>
      </c>
      <c r="I477" t="s">
        <v>16</v>
      </c>
      <c r="J477" s="1">
        <v>45349</v>
      </c>
      <c r="K477" t="b">
        <v>1</v>
      </c>
    </row>
    <row r="478" spans="1:11" x14ac:dyDescent="0.25">
      <c r="A478" t="s">
        <v>3978</v>
      </c>
      <c r="B478" t="s">
        <v>34</v>
      </c>
      <c r="C478" t="s">
        <v>38</v>
      </c>
      <c r="D478" t="s">
        <v>122</v>
      </c>
      <c r="E478" s="2">
        <v>38</v>
      </c>
      <c r="F478" s="4">
        <v>8</v>
      </c>
      <c r="G478" s="2">
        <v>304</v>
      </c>
      <c r="H478" t="s">
        <v>15</v>
      </c>
      <c r="I478" t="s">
        <v>16</v>
      </c>
      <c r="J478" s="1">
        <v>45272</v>
      </c>
      <c r="K478" t="b">
        <v>1</v>
      </c>
    </row>
    <row r="479" spans="1:11" x14ac:dyDescent="0.25">
      <c r="A479" t="s">
        <v>204</v>
      </c>
      <c r="B479" t="s">
        <v>43</v>
      </c>
      <c r="C479" t="s">
        <v>27</v>
      </c>
      <c r="D479" t="s">
        <v>205</v>
      </c>
      <c r="E479" s="2">
        <v>38</v>
      </c>
      <c r="F479" s="4">
        <v>8</v>
      </c>
      <c r="G479" s="2">
        <v>304</v>
      </c>
      <c r="H479" t="s">
        <v>45</v>
      </c>
      <c r="I479" t="s">
        <v>16</v>
      </c>
      <c r="J479" s="1">
        <v>45562</v>
      </c>
      <c r="K479" t="b">
        <v>1</v>
      </c>
    </row>
    <row r="480" spans="1:11" x14ac:dyDescent="0.25">
      <c r="A480" t="s">
        <v>7423</v>
      </c>
      <c r="B480" t="s">
        <v>104</v>
      </c>
      <c r="C480" t="s">
        <v>13</v>
      </c>
      <c r="D480" t="s">
        <v>567</v>
      </c>
      <c r="E480" s="2">
        <v>38</v>
      </c>
      <c r="F480" s="4">
        <v>8</v>
      </c>
      <c r="G480" s="2">
        <v>304</v>
      </c>
      <c r="H480" t="s">
        <v>25</v>
      </c>
      <c r="I480" t="s">
        <v>16</v>
      </c>
      <c r="J480" s="1">
        <v>45163</v>
      </c>
      <c r="K480" t="b">
        <v>0</v>
      </c>
    </row>
    <row r="481" spans="1:11" x14ac:dyDescent="0.25">
      <c r="A481" t="s">
        <v>4187</v>
      </c>
      <c r="B481" t="s">
        <v>66</v>
      </c>
      <c r="C481" t="s">
        <v>59</v>
      </c>
      <c r="D481" t="s">
        <v>275</v>
      </c>
      <c r="E481" s="2">
        <v>38</v>
      </c>
      <c r="F481" s="4">
        <v>8</v>
      </c>
      <c r="G481" s="2">
        <v>304</v>
      </c>
      <c r="H481" t="s">
        <v>25</v>
      </c>
      <c r="I481" t="s">
        <v>36</v>
      </c>
      <c r="J481" s="1">
        <v>45176</v>
      </c>
      <c r="K481" t="b">
        <v>1</v>
      </c>
    </row>
    <row r="482" spans="1:11" x14ac:dyDescent="0.25">
      <c r="A482" t="s">
        <v>7097</v>
      </c>
      <c r="B482" t="s">
        <v>142</v>
      </c>
      <c r="C482" t="s">
        <v>23</v>
      </c>
      <c r="D482" t="s">
        <v>98</v>
      </c>
      <c r="E482" s="2">
        <v>38</v>
      </c>
      <c r="F482" s="4">
        <v>8</v>
      </c>
      <c r="G482" s="2">
        <v>304</v>
      </c>
      <c r="H482" t="s">
        <v>45</v>
      </c>
      <c r="I482" t="s">
        <v>36</v>
      </c>
      <c r="J482" s="1">
        <v>45053</v>
      </c>
      <c r="K482" t="b">
        <v>0</v>
      </c>
    </row>
    <row r="483" spans="1:11" x14ac:dyDescent="0.25">
      <c r="A483" t="s">
        <v>4666</v>
      </c>
      <c r="B483" t="s">
        <v>43</v>
      </c>
      <c r="C483" t="s">
        <v>23</v>
      </c>
      <c r="D483" t="s">
        <v>98</v>
      </c>
      <c r="E483" s="2">
        <v>38</v>
      </c>
      <c r="F483" s="4">
        <v>8</v>
      </c>
      <c r="G483" s="2">
        <v>304</v>
      </c>
      <c r="H483" t="s">
        <v>45</v>
      </c>
      <c r="I483" t="s">
        <v>16</v>
      </c>
      <c r="J483" s="1">
        <v>44888</v>
      </c>
      <c r="K483" t="b">
        <v>1</v>
      </c>
    </row>
    <row r="484" spans="1:11" x14ac:dyDescent="0.25">
      <c r="A484" t="s">
        <v>6516</v>
      </c>
      <c r="B484" t="s">
        <v>66</v>
      </c>
      <c r="C484" t="s">
        <v>19</v>
      </c>
      <c r="D484" t="s">
        <v>203</v>
      </c>
      <c r="E484" s="2">
        <v>38</v>
      </c>
      <c r="F484" s="4">
        <v>8</v>
      </c>
      <c r="G484" s="2">
        <v>304</v>
      </c>
      <c r="H484" t="s">
        <v>15</v>
      </c>
      <c r="I484" t="s">
        <v>36</v>
      </c>
      <c r="J484" s="1">
        <v>44862</v>
      </c>
      <c r="K484" t="b">
        <v>0</v>
      </c>
    </row>
    <row r="485" spans="1:11" x14ac:dyDescent="0.25">
      <c r="A485" t="s">
        <v>2568</v>
      </c>
      <c r="B485" t="s">
        <v>26</v>
      </c>
      <c r="C485" t="s">
        <v>59</v>
      </c>
      <c r="D485" t="s">
        <v>275</v>
      </c>
      <c r="E485" s="2">
        <v>38</v>
      </c>
      <c r="F485" s="4">
        <v>8</v>
      </c>
      <c r="G485" s="2">
        <v>304</v>
      </c>
      <c r="H485" t="s">
        <v>45</v>
      </c>
      <c r="I485" t="s">
        <v>16</v>
      </c>
      <c r="J485" s="1">
        <v>45287</v>
      </c>
      <c r="K485" t="b">
        <v>0</v>
      </c>
    </row>
    <row r="486" spans="1:11" x14ac:dyDescent="0.25">
      <c r="A486" t="s">
        <v>7106</v>
      </c>
      <c r="B486" t="s">
        <v>93</v>
      </c>
      <c r="C486" t="s">
        <v>13</v>
      </c>
      <c r="D486" t="s">
        <v>567</v>
      </c>
      <c r="E486" s="2">
        <v>38</v>
      </c>
      <c r="F486" s="4">
        <v>8</v>
      </c>
      <c r="G486" s="2">
        <v>304</v>
      </c>
      <c r="H486" t="s">
        <v>15</v>
      </c>
      <c r="I486" t="s">
        <v>16</v>
      </c>
      <c r="J486" s="1">
        <v>44844</v>
      </c>
      <c r="K486" t="b">
        <v>1</v>
      </c>
    </row>
    <row r="487" spans="1:11" x14ac:dyDescent="0.25">
      <c r="A487" t="s">
        <v>7063</v>
      </c>
      <c r="B487" t="s">
        <v>97</v>
      </c>
      <c r="C487" t="s">
        <v>110</v>
      </c>
      <c r="D487" t="s">
        <v>534</v>
      </c>
      <c r="E487" s="2">
        <v>38</v>
      </c>
      <c r="F487" s="4">
        <v>8</v>
      </c>
      <c r="G487" s="2">
        <v>304</v>
      </c>
      <c r="H487" t="s">
        <v>25</v>
      </c>
      <c r="I487" t="s">
        <v>36</v>
      </c>
      <c r="J487" s="1">
        <v>45620</v>
      </c>
      <c r="K487" t="b">
        <v>1</v>
      </c>
    </row>
    <row r="488" spans="1:11" x14ac:dyDescent="0.25">
      <c r="A488" t="s">
        <v>7649</v>
      </c>
      <c r="B488" t="s">
        <v>12</v>
      </c>
      <c r="C488" t="s">
        <v>38</v>
      </c>
      <c r="D488" t="s">
        <v>122</v>
      </c>
      <c r="E488" s="2">
        <v>38</v>
      </c>
      <c r="F488" s="4">
        <v>8</v>
      </c>
      <c r="G488" s="2">
        <v>304</v>
      </c>
      <c r="H488" t="s">
        <v>25</v>
      </c>
      <c r="I488" t="s">
        <v>16</v>
      </c>
      <c r="J488" s="1">
        <v>45120</v>
      </c>
      <c r="K488" t="b">
        <v>0</v>
      </c>
    </row>
    <row r="489" spans="1:11" x14ac:dyDescent="0.25">
      <c r="A489" t="s">
        <v>6110</v>
      </c>
      <c r="B489" t="s">
        <v>85</v>
      </c>
      <c r="C489" t="s">
        <v>59</v>
      </c>
      <c r="D489" t="s">
        <v>275</v>
      </c>
      <c r="E489" s="2">
        <v>38</v>
      </c>
      <c r="F489" s="4">
        <v>8</v>
      </c>
      <c r="G489" s="2">
        <v>304</v>
      </c>
      <c r="H489" t="s">
        <v>15</v>
      </c>
      <c r="I489" t="s">
        <v>36</v>
      </c>
      <c r="J489" s="1">
        <v>45107</v>
      </c>
      <c r="K489" t="b">
        <v>1</v>
      </c>
    </row>
    <row r="490" spans="1:11" x14ac:dyDescent="0.25">
      <c r="A490" t="s">
        <v>6075</v>
      </c>
      <c r="B490" t="s">
        <v>69</v>
      </c>
      <c r="C490" t="s">
        <v>110</v>
      </c>
      <c r="D490" t="s">
        <v>534</v>
      </c>
      <c r="E490" s="2">
        <v>38</v>
      </c>
      <c r="F490" s="4">
        <v>8</v>
      </c>
      <c r="G490" s="2">
        <v>304</v>
      </c>
      <c r="H490" t="s">
        <v>45</v>
      </c>
      <c r="I490" t="s">
        <v>16</v>
      </c>
      <c r="J490" s="1">
        <v>45263</v>
      </c>
      <c r="K490" t="b">
        <v>0</v>
      </c>
    </row>
    <row r="491" spans="1:11" x14ac:dyDescent="0.25">
      <c r="A491" t="s">
        <v>3967</v>
      </c>
      <c r="B491" t="s">
        <v>97</v>
      </c>
      <c r="C491" t="s">
        <v>27</v>
      </c>
      <c r="D491" t="s">
        <v>205</v>
      </c>
      <c r="E491" s="2">
        <v>38</v>
      </c>
      <c r="F491" s="4">
        <v>8</v>
      </c>
      <c r="G491" s="2">
        <v>304</v>
      </c>
      <c r="H491" t="s">
        <v>45</v>
      </c>
      <c r="I491" t="s">
        <v>36</v>
      </c>
      <c r="J491" s="1">
        <v>44851</v>
      </c>
      <c r="K491" t="b">
        <v>0</v>
      </c>
    </row>
    <row r="492" spans="1:11" x14ac:dyDescent="0.25">
      <c r="A492" t="s">
        <v>1605</v>
      </c>
      <c r="B492" t="s">
        <v>18</v>
      </c>
      <c r="C492" t="s">
        <v>110</v>
      </c>
      <c r="D492" t="s">
        <v>534</v>
      </c>
      <c r="E492" s="2">
        <v>38</v>
      </c>
      <c r="F492" s="4">
        <v>8</v>
      </c>
      <c r="G492" s="2">
        <v>304</v>
      </c>
      <c r="H492" t="s">
        <v>15</v>
      </c>
      <c r="I492" t="s">
        <v>16</v>
      </c>
      <c r="J492" s="1">
        <v>45022</v>
      </c>
      <c r="K492" t="b">
        <v>0</v>
      </c>
    </row>
    <row r="493" spans="1:11" x14ac:dyDescent="0.25">
      <c r="A493" t="s">
        <v>5649</v>
      </c>
      <c r="B493" t="s">
        <v>93</v>
      </c>
      <c r="C493" t="s">
        <v>38</v>
      </c>
      <c r="D493" t="s">
        <v>122</v>
      </c>
      <c r="E493" s="2">
        <v>38</v>
      </c>
      <c r="F493" s="4">
        <v>8</v>
      </c>
      <c r="G493" s="2">
        <v>304</v>
      </c>
      <c r="H493" t="s">
        <v>45</v>
      </c>
      <c r="I493" t="s">
        <v>16</v>
      </c>
      <c r="J493" s="1">
        <v>44593</v>
      </c>
      <c r="K493" t="b">
        <v>0</v>
      </c>
    </row>
    <row r="494" spans="1:11" x14ac:dyDescent="0.25">
      <c r="A494" t="s">
        <v>1144</v>
      </c>
      <c r="B494" t="s">
        <v>66</v>
      </c>
      <c r="C494" t="s">
        <v>27</v>
      </c>
      <c r="D494" t="s">
        <v>205</v>
      </c>
      <c r="E494" s="2">
        <v>38</v>
      </c>
      <c r="F494" s="4">
        <v>8</v>
      </c>
      <c r="G494" s="2">
        <v>304</v>
      </c>
      <c r="H494" t="s">
        <v>15</v>
      </c>
      <c r="I494" t="s">
        <v>36</v>
      </c>
      <c r="J494" s="1">
        <v>45371</v>
      </c>
      <c r="K494" t="b">
        <v>0</v>
      </c>
    </row>
    <row r="495" spans="1:11" x14ac:dyDescent="0.25">
      <c r="A495" t="s">
        <v>3270</v>
      </c>
      <c r="B495" t="s">
        <v>69</v>
      </c>
      <c r="C495" t="s">
        <v>59</v>
      </c>
      <c r="D495" t="s">
        <v>275</v>
      </c>
      <c r="E495" s="2">
        <v>38</v>
      </c>
      <c r="F495" s="4">
        <v>8</v>
      </c>
      <c r="G495" s="2">
        <v>304</v>
      </c>
      <c r="H495" t="s">
        <v>25</v>
      </c>
      <c r="I495" t="s">
        <v>16</v>
      </c>
      <c r="J495" s="1">
        <v>45635</v>
      </c>
      <c r="K495" t="b">
        <v>1</v>
      </c>
    </row>
    <row r="496" spans="1:11" x14ac:dyDescent="0.25">
      <c r="A496" t="s">
        <v>2580</v>
      </c>
      <c r="B496" t="s">
        <v>56</v>
      </c>
      <c r="C496" t="s">
        <v>59</v>
      </c>
      <c r="D496" t="s">
        <v>275</v>
      </c>
      <c r="E496" s="2">
        <v>38</v>
      </c>
      <c r="F496" s="4">
        <v>8</v>
      </c>
      <c r="G496" s="2">
        <v>304</v>
      </c>
      <c r="H496" t="s">
        <v>15</v>
      </c>
      <c r="I496" t="s">
        <v>16</v>
      </c>
      <c r="J496" s="1">
        <v>45020</v>
      </c>
      <c r="K496" t="b">
        <v>0</v>
      </c>
    </row>
    <row r="497" spans="1:11" x14ac:dyDescent="0.25">
      <c r="A497" t="s">
        <v>7735</v>
      </c>
      <c r="B497" t="s">
        <v>63</v>
      </c>
      <c r="C497" t="s">
        <v>59</v>
      </c>
      <c r="D497" t="s">
        <v>275</v>
      </c>
      <c r="E497" s="2">
        <v>38</v>
      </c>
      <c r="F497" s="4">
        <v>8</v>
      </c>
      <c r="G497" s="2">
        <v>304</v>
      </c>
      <c r="H497" t="s">
        <v>25</v>
      </c>
      <c r="I497" t="s">
        <v>16</v>
      </c>
      <c r="J497" s="1">
        <v>45437</v>
      </c>
      <c r="K497" t="b">
        <v>1</v>
      </c>
    </row>
    <row r="498" spans="1:11" x14ac:dyDescent="0.25">
      <c r="A498" t="s">
        <v>6296</v>
      </c>
      <c r="B498" t="s">
        <v>63</v>
      </c>
      <c r="C498" t="s">
        <v>13</v>
      </c>
      <c r="D498" t="s">
        <v>567</v>
      </c>
      <c r="E498" s="2">
        <v>38</v>
      </c>
      <c r="F498" s="4">
        <v>8</v>
      </c>
      <c r="G498" s="2">
        <v>304</v>
      </c>
      <c r="H498" t="s">
        <v>45</v>
      </c>
      <c r="I498" t="s">
        <v>36</v>
      </c>
      <c r="J498" s="1">
        <v>45344</v>
      </c>
      <c r="K498" t="b">
        <v>1</v>
      </c>
    </row>
    <row r="499" spans="1:11" x14ac:dyDescent="0.25">
      <c r="A499" t="s">
        <v>4408</v>
      </c>
      <c r="B499" t="s">
        <v>69</v>
      </c>
      <c r="C499" t="s">
        <v>59</v>
      </c>
      <c r="D499" t="s">
        <v>275</v>
      </c>
      <c r="E499" s="2">
        <v>38</v>
      </c>
      <c r="F499" s="4">
        <v>8</v>
      </c>
      <c r="G499" s="2">
        <v>304</v>
      </c>
      <c r="H499" t="s">
        <v>45</v>
      </c>
      <c r="I499" t="s">
        <v>36</v>
      </c>
      <c r="J499" s="1">
        <v>45631</v>
      </c>
      <c r="K499" t="b">
        <v>1</v>
      </c>
    </row>
    <row r="500" spans="1:11" x14ac:dyDescent="0.25">
      <c r="A500" t="s">
        <v>4361</v>
      </c>
      <c r="B500" t="s">
        <v>51</v>
      </c>
      <c r="C500" t="s">
        <v>31</v>
      </c>
      <c r="D500" t="s">
        <v>155</v>
      </c>
      <c r="E500" s="2">
        <v>33.5</v>
      </c>
      <c r="F500" s="4">
        <v>9</v>
      </c>
      <c r="G500" s="2">
        <v>301.5</v>
      </c>
      <c r="H500" t="s">
        <v>15</v>
      </c>
      <c r="I500" t="s">
        <v>36</v>
      </c>
      <c r="J500" s="1">
        <v>45582</v>
      </c>
      <c r="K500" t="b">
        <v>1</v>
      </c>
    </row>
    <row r="501" spans="1:11" x14ac:dyDescent="0.25">
      <c r="A501" t="s">
        <v>4563</v>
      </c>
      <c r="B501" t="s">
        <v>43</v>
      </c>
      <c r="C501" t="s">
        <v>38</v>
      </c>
      <c r="D501" t="s">
        <v>434</v>
      </c>
      <c r="E501" s="2">
        <v>33.5</v>
      </c>
      <c r="F501" s="4">
        <v>9</v>
      </c>
      <c r="G501" s="2">
        <v>301.5</v>
      </c>
      <c r="H501" t="s">
        <v>45</v>
      </c>
      <c r="I501" t="s">
        <v>16</v>
      </c>
      <c r="J501" s="1">
        <v>44809</v>
      </c>
      <c r="K501" t="b">
        <v>0</v>
      </c>
    </row>
    <row r="502" spans="1:11" x14ac:dyDescent="0.25">
      <c r="A502" t="s">
        <v>4644</v>
      </c>
      <c r="B502" t="s">
        <v>40</v>
      </c>
      <c r="C502" t="s">
        <v>31</v>
      </c>
      <c r="D502" t="s">
        <v>155</v>
      </c>
      <c r="E502" s="2">
        <v>33.5</v>
      </c>
      <c r="F502" s="4">
        <v>9</v>
      </c>
      <c r="G502" s="2">
        <v>301.5</v>
      </c>
      <c r="H502" t="s">
        <v>45</v>
      </c>
      <c r="I502" t="s">
        <v>36</v>
      </c>
      <c r="J502" s="1">
        <v>44720</v>
      </c>
      <c r="K502" t="b">
        <v>0</v>
      </c>
    </row>
    <row r="503" spans="1:11" x14ac:dyDescent="0.25">
      <c r="A503" t="s">
        <v>417</v>
      </c>
      <c r="B503" t="s">
        <v>22</v>
      </c>
      <c r="C503" t="s">
        <v>31</v>
      </c>
      <c r="D503" t="s">
        <v>155</v>
      </c>
      <c r="E503" s="2">
        <v>33.5</v>
      </c>
      <c r="F503" s="4">
        <v>9</v>
      </c>
      <c r="G503" s="2">
        <v>301.5</v>
      </c>
      <c r="H503" t="s">
        <v>15</v>
      </c>
      <c r="I503" t="s">
        <v>36</v>
      </c>
      <c r="J503" s="1">
        <v>45564</v>
      </c>
      <c r="K503" t="b">
        <v>0</v>
      </c>
    </row>
    <row r="504" spans="1:11" x14ac:dyDescent="0.25">
      <c r="A504" t="s">
        <v>1645</v>
      </c>
      <c r="B504" t="s">
        <v>72</v>
      </c>
      <c r="C504" t="s">
        <v>13</v>
      </c>
      <c r="D504" t="s">
        <v>375</v>
      </c>
      <c r="E504" s="2">
        <v>33.5</v>
      </c>
      <c r="F504" s="4">
        <v>9</v>
      </c>
      <c r="G504" s="2">
        <v>301.5</v>
      </c>
      <c r="H504" t="s">
        <v>25</v>
      </c>
      <c r="I504" t="s">
        <v>16</v>
      </c>
      <c r="J504" s="1">
        <v>45390</v>
      </c>
      <c r="K504" t="b">
        <v>1</v>
      </c>
    </row>
    <row r="505" spans="1:11" x14ac:dyDescent="0.25">
      <c r="A505" t="s">
        <v>728</v>
      </c>
      <c r="B505" t="s">
        <v>77</v>
      </c>
      <c r="C505" t="s">
        <v>38</v>
      </c>
      <c r="D505" t="s">
        <v>434</v>
      </c>
      <c r="E505" s="2">
        <v>33.5</v>
      </c>
      <c r="F505" s="4">
        <v>9</v>
      </c>
      <c r="G505" s="2">
        <v>301.5</v>
      </c>
      <c r="H505" t="s">
        <v>15</v>
      </c>
      <c r="I505" t="s">
        <v>36</v>
      </c>
      <c r="J505" s="1">
        <v>45563</v>
      </c>
      <c r="K505" t="b">
        <v>0</v>
      </c>
    </row>
    <row r="506" spans="1:11" x14ac:dyDescent="0.25">
      <c r="A506" t="s">
        <v>3859</v>
      </c>
      <c r="B506" t="s">
        <v>18</v>
      </c>
      <c r="C506" t="s">
        <v>59</v>
      </c>
      <c r="D506" t="s">
        <v>270</v>
      </c>
      <c r="E506" s="2">
        <v>33.5</v>
      </c>
      <c r="F506" s="4">
        <v>9</v>
      </c>
      <c r="G506" s="2">
        <v>301.5</v>
      </c>
      <c r="H506" t="s">
        <v>45</v>
      </c>
      <c r="I506" t="s">
        <v>16</v>
      </c>
      <c r="J506" s="1">
        <v>45411</v>
      </c>
      <c r="K506" t="b">
        <v>1</v>
      </c>
    </row>
    <row r="507" spans="1:11" x14ac:dyDescent="0.25">
      <c r="A507" t="s">
        <v>5783</v>
      </c>
      <c r="B507" t="s">
        <v>142</v>
      </c>
      <c r="C507" t="s">
        <v>110</v>
      </c>
      <c r="D507" t="s">
        <v>154</v>
      </c>
      <c r="E507" s="2">
        <v>33.5</v>
      </c>
      <c r="F507" s="4">
        <v>9</v>
      </c>
      <c r="G507" s="2">
        <v>301.5</v>
      </c>
      <c r="H507" t="s">
        <v>45</v>
      </c>
      <c r="I507" t="s">
        <v>36</v>
      </c>
      <c r="J507" s="1">
        <v>44962</v>
      </c>
      <c r="K507" t="b">
        <v>1</v>
      </c>
    </row>
    <row r="508" spans="1:11" x14ac:dyDescent="0.25">
      <c r="A508" t="s">
        <v>3924</v>
      </c>
      <c r="B508" t="s">
        <v>61</v>
      </c>
      <c r="C508" t="s">
        <v>31</v>
      </c>
      <c r="D508" t="s">
        <v>155</v>
      </c>
      <c r="E508" s="2">
        <v>33.5</v>
      </c>
      <c r="F508" s="4">
        <v>9</v>
      </c>
      <c r="G508" s="2">
        <v>301.5</v>
      </c>
      <c r="H508" t="s">
        <v>15</v>
      </c>
      <c r="I508" t="s">
        <v>36</v>
      </c>
      <c r="J508" s="1">
        <v>45486</v>
      </c>
      <c r="K508" t="b">
        <v>1</v>
      </c>
    </row>
    <row r="509" spans="1:11" x14ac:dyDescent="0.25">
      <c r="A509" t="s">
        <v>3314</v>
      </c>
      <c r="B509" t="s">
        <v>97</v>
      </c>
      <c r="C509" t="s">
        <v>13</v>
      </c>
      <c r="D509" t="s">
        <v>375</v>
      </c>
      <c r="E509" s="2">
        <v>33.5</v>
      </c>
      <c r="F509" s="4">
        <v>9</v>
      </c>
      <c r="G509" s="2">
        <v>301.5</v>
      </c>
      <c r="H509" t="s">
        <v>15</v>
      </c>
      <c r="I509" t="s">
        <v>36</v>
      </c>
      <c r="J509" s="1">
        <v>45529</v>
      </c>
      <c r="K509" t="b">
        <v>0</v>
      </c>
    </row>
    <row r="510" spans="1:11" x14ac:dyDescent="0.25">
      <c r="A510" t="s">
        <v>3364</v>
      </c>
      <c r="B510" t="s">
        <v>30</v>
      </c>
      <c r="C510" t="s">
        <v>27</v>
      </c>
      <c r="D510" t="s">
        <v>209</v>
      </c>
      <c r="E510" s="2">
        <v>33.5</v>
      </c>
      <c r="F510" s="4">
        <v>9</v>
      </c>
      <c r="G510" s="2">
        <v>301.5</v>
      </c>
      <c r="H510" t="s">
        <v>25</v>
      </c>
      <c r="I510" t="s">
        <v>16</v>
      </c>
      <c r="J510" s="1">
        <v>45373</v>
      </c>
      <c r="K510" t="b">
        <v>1</v>
      </c>
    </row>
    <row r="511" spans="1:11" x14ac:dyDescent="0.25">
      <c r="A511" t="s">
        <v>6387</v>
      </c>
      <c r="B511" t="s">
        <v>77</v>
      </c>
      <c r="C511" t="s">
        <v>13</v>
      </c>
      <c r="D511" t="s">
        <v>375</v>
      </c>
      <c r="E511" s="2">
        <v>33.5</v>
      </c>
      <c r="F511" s="4">
        <v>9</v>
      </c>
      <c r="G511" s="2">
        <v>301.5</v>
      </c>
      <c r="H511" t="s">
        <v>45</v>
      </c>
      <c r="I511" t="s">
        <v>16</v>
      </c>
      <c r="J511" s="1">
        <v>44785</v>
      </c>
      <c r="K511" t="b">
        <v>0</v>
      </c>
    </row>
    <row r="512" spans="1:11" x14ac:dyDescent="0.25">
      <c r="A512" t="s">
        <v>3765</v>
      </c>
      <c r="B512" t="s">
        <v>142</v>
      </c>
      <c r="C512" t="s">
        <v>23</v>
      </c>
      <c r="D512" t="s">
        <v>73</v>
      </c>
      <c r="E512" s="2">
        <v>33.5</v>
      </c>
      <c r="F512" s="4">
        <v>9</v>
      </c>
      <c r="G512" s="2">
        <v>301.5</v>
      </c>
      <c r="H512" t="s">
        <v>15</v>
      </c>
      <c r="I512" t="s">
        <v>16</v>
      </c>
      <c r="J512" s="1">
        <v>44973</v>
      </c>
      <c r="K512" t="b">
        <v>0</v>
      </c>
    </row>
    <row r="513" spans="1:11" x14ac:dyDescent="0.25">
      <c r="A513" t="s">
        <v>4104</v>
      </c>
      <c r="B513" t="s">
        <v>56</v>
      </c>
      <c r="C513" t="s">
        <v>23</v>
      </c>
      <c r="D513" t="s">
        <v>73</v>
      </c>
      <c r="E513" s="2">
        <v>33.5</v>
      </c>
      <c r="F513" s="4">
        <v>9</v>
      </c>
      <c r="G513" s="2">
        <v>301.5</v>
      </c>
      <c r="H513" t="s">
        <v>15</v>
      </c>
      <c r="I513" t="s">
        <v>36</v>
      </c>
      <c r="J513" s="1">
        <v>45116</v>
      </c>
      <c r="K513" t="b">
        <v>1</v>
      </c>
    </row>
    <row r="514" spans="1:11" x14ac:dyDescent="0.25">
      <c r="A514" t="s">
        <v>7438</v>
      </c>
      <c r="B514" t="s">
        <v>66</v>
      </c>
      <c r="C514" t="s">
        <v>59</v>
      </c>
      <c r="D514" t="s">
        <v>270</v>
      </c>
      <c r="E514" s="2">
        <v>33.5</v>
      </c>
      <c r="F514" s="4">
        <v>9</v>
      </c>
      <c r="G514" s="2">
        <v>301.5</v>
      </c>
      <c r="H514" t="s">
        <v>25</v>
      </c>
      <c r="I514" t="s">
        <v>16</v>
      </c>
      <c r="J514" s="1">
        <v>44869</v>
      </c>
      <c r="K514" t="b">
        <v>1</v>
      </c>
    </row>
    <row r="515" spans="1:11" x14ac:dyDescent="0.25">
      <c r="A515" t="s">
        <v>5109</v>
      </c>
      <c r="B515" t="s">
        <v>85</v>
      </c>
      <c r="C515" t="s">
        <v>13</v>
      </c>
      <c r="D515" t="s">
        <v>375</v>
      </c>
      <c r="E515" s="2">
        <v>33.5</v>
      </c>
      <c r="F515" s="4">
        <v>9</v>
      </c>
      <c r="G515" s="2">
        <v>301.5</v>
      </c>
      <c r="H515" t="s">
        <v>45</v>
      </c>
      <c r="I515" t="s">
        <v>16</v>
      </c>
      <c r="J515" s="1">
        <v>44829</v>
      </c>
      <c r="K515" t="b">
        <v>1</v>
      </c>
    </row>
    <row r="516" spans="1:11" x14ac:dyDescent="0.25">
      <c r="A516" t="s">
        <v>5122</v>
      </c>
      <c r="B516" t="s">
        <v>63</v>
      </c>
      <c r="C516" t="s">
        <v>27</v>
      </c>
      <c r="D516" t="s">
        <v>209</v>
      </c>
      <c r="E516" s="2">
        <v>33.5</v>
      </c>
      <c r="F516" s="4">
        <v>9</v>
      </c>
      <c r="G516" s="2">
        <v>301.5</v>
      </c>
      <c r="H516" t="s">
        <v>15</v>
      </c>
      <c r="I516" t="s">
        <v>36</v>
      </c>
      <c r="J516" s="1">
        <v>44592</v>
      </c>
      <c r="K516" t="b">
        <v>1</v>
      </c>
    </row>
    <row r="517" spans="1:11" x14ac:dyDescent="0.25">
      <c r="A517" t="s">
        <v>7287</v>
      </c>
      <c r="B517" t="s">
        <v>22</v>
      </c>
      <c r="C517" t="s">
        <v>31</v>
      </c>
      <c r="D517" t="s">
        <v>155</v>
      </c>
      <c r="E517" s="2">
        <v>33.5</v>
      </c>
      <c r="F517" s="4">
        <v>9</v>
      </c>
      <c r="G517" s="2">
        <v>301.5</v>
      </c>
      <c r="H517" t="s">
        <v>25</v>
      </c>
      <c r="I517" t="s">
        <v>36</v>
      </c>
      <c r="J517" s="1">
        <v>44924</v>
      </c>
      <c r="K517" t="b">
        <v>0</v>
      </c>
    </row>
    <row r="518" spans="1:11" x14ac:dyDescent="0.25">
      <c r="A518" t="s">
        <v>3208</v>
      </c>
      <c r="B518" t="s">
        <v>66</v>
      </c>
      <c r="C518" t="s">
        <v>27</v>
      </c>
      <c r="D518" t="s">
        <v>209</v>
      </c>
      <c r="E518" s="2">
        <v>33.5</v>
      </c>
      <c r="F518" s="4">
        <v>9</v>
      </c>
      <c r="G518" s="2">
        <v>301.5</v>
      </c>
      <c r="H518" t="s">
        <v>25</v>
      </c>
      <c r="I518" t="s">
        <v>16</v>
      </c>
      <c r="J518" s="1">
        <v>44612</v>
      </c>
      <c r="K518" t="b">
        <v>0</v>
      </c>
    </row>
    <row r="519" spans="1:11" x14ac:dyDescent="0.25">
      <c r="A519" t="s">
        <v>4080</v>
      </c>
      <c r="B519" t="s">
        <v>93</v>
      </c>
      <c r="C519" t="s">
        <v>13</v>
      </c>
      <c r="D519" t="s">
        <v>375</v>
      </c>
      <c r="E519" s="2">
        <v>33.5</v>
      </c>
      <c r="F519" s="4">
        <v>9</v>
      </c>
      <c r="G519" s="2">
        <v>301.5</v>
      </c>
      <c r="H519" t="s">
        <v>15</v>
      </c>
      <c r="I519" t="s">
        <v>16</v>
      </c>
      <c r="J519" s="1">
        <v>45602</v>
      </c>
      <c r="K519" t="b">
        <v>1</v>
      </c>
    </row>
    <row r="520" spans="1:11" x14ac:dyDescent="0.25">
      <c r="A520" t="s">
        <v>7160</v>
      </c>
      <c r="B520" t="s">
        <v>93</v>
      </c>
      <c r="C520" t="s">
        <v>13</v>
      </c>
      <c r="D520" t="s">
        <v>375</v>
      </c>
      <c r="E520" s="2">
        <v>33.5</v>
      </c>
      <c r="F520" s="4">
        <v>9</v>
      </c>
      <c r="G520" s="2">
        <v>301.5</v>
      </c>
      <c r="H520" t="s">
        <v>45</v>
      </c>
      <c r="I520" t="s">
        <v>16</v>
      </c>
      <c r="J520" s="1">
        <v>45047</v>
      </c>
      <c r="K520" t="b">
        <v>1</v>
      </c>
    </row>
    <row r="521" spans="1:11" x14ac:dyDescent="0.25">
      <c r="A521" t="s">
        <v>2360</v>
      </c>
      <c r="B521" t="s">
        <v>142</v>
      </c>
      <c r="C521" t="s">
        <v>13</v>
      </c>
      <c r="D521" t="s">
        <v>375</v>
      </c>
      <c r="E521" s="2">
        <v>33.5</v>
      </c>
      <c r="F521" s="4">
        <v>9</v>
      </c>
      <c r="G521" s="2">
        <v>301.5</v>
      </c>
      <c r="H521" t="s">
        <v>15</v>
      </c>
      <c r="I521" t="s">
        <v>16</v>
      </c>
      <c r="J521" s="1">
        <v>44932</v>
      </c>
      <c r="K521" t="b">
        <v>0</v>
      </c>
    </row>
    <row r="522" spans="1:11" x14ac:dyDescent="0.25">
      <c r="A522" t="s">
        <v>4658</v>
      </c>
      <c r="B522" t="s">
        <v>100</v>
      </c>
      <c r="C522" t="s">
        <v>59</v>
      </c>
      <c r="D522" t="s">
        <v>270</v>
      </c>
      <c r="E522" s="2">
        <v>33.5</v>
      </c>
      <c r="F522" s="4">
        <v>9</v>
      </c>
      <c r="G522" s="2">
        <v>301.5</v>
      </c>
      <c r="H522" t="s">
        <v>45</v>
      </c>
      <c r="I522" t="s">
        <v>16</v>
      </c>
      <c r="J522" s="1">
        <v>44767</v>
      </c>
      <c r="K522" t="b">
        <v>0</v>
      </c>
    </row>
    <row r="523" spans="1:11" x14ac:dyDescent="0.25">
      <c r="A523" t="s">
        <v>5733</v>
      </c>
      <c r="B523" t="s">
        <v>12</v>
      </c>
      <c r="C523" t="s">
        <v>59</v>
      </c>
      <c r="D523" t="s">
        <v>270</v>
      </c>
      <c r="E523" s="2">
        <v>33.5</v>
      </c>
      <c r="F523" s="4">
        <v>9</v>
      </c>
      <c r="G523" s="2">
        <v>301.5</v>
      </c>
      <c r="H523" t="s">
        <v>15</v>
      </c>
      <c r="I523" t="s">
        <v>36</v>
      </c>
      <c r="J523" s="1">
        <v>45016</v>
      </c>
      <c r="K523" t="b">
        <v>1</v>
      </c>
    </row>
    <row r="524" spans="1:11" x14ac:dyDescent="0.25">
      <c r="A524" t="s">
        <v>3113</v>
      </c>
      <c r="B524" t="s">
        <v>37</v>
      </c>
      <c r="C524" t="s">
        <v>31</v>
      </c>
      <c r="D524" t="s">
        <v>155</v>
      </c>
      <c r="E524" s="2">
        <v>33.5</v>
      </c>
      <c r="F524" s="4">
        <v>9</v>
      </c>
      <c r="G524" s="2">
        <v>301.5</v>
      </c>
      <c r="H524" t="s">
        <v>45</v>
      </c>
      <c r="I524" t="s">
        <v>36</v>
      </c>
      <c r="J524" s="1">
        <v>44579</v>
      </c>
      <c r="K524" t="b">
        <v>1</v>
      </c>
    </row>
    <row r="525" spans="1:11" x14ac:dyDescent="0.25">
      <c r="A525" t="s">
        <v>2304</v>
      </c>
      <c r="B525" t="s">
        <v>18</v>
      </c>
      <c r="C525" t="s">
        <v>19</v>
      </c>
      <c r="D525" t="s">
        <v>626</v>
      </c>
      <c r="E525" s="2">
        <v>33.5</v>
      </c>
      <c r="F525" s="4">
        <v>9</v>
      </c>
      <c r="G525" s="2">
        <v>301.5</v>
      </c>
      <c r="H525" t="s">
        <v>25</v>
      </c>
      <c r="I525" t="s">
        <v>16</v>
      </c>
      <c r="J525" s="1">
        <v>45369</v>
      </c>
      <c r="K525" t="b">
        <v>1</v>
      </c>
    </row>
    <row r="526" spans="1:11" x14ac:dyDescent="0.25">
      <c r="A526" t="s">
        <v>6454</v>
      </c>
      <c r="B526" t="s">
        <v>34</v>
      </c>
      <c r="C526" t="s">
        <v>13</v>
      </c>
      <c r="D526" t="s">
        <v>375</v>
      </c>
      <c r="E526" s="2">
        <v>33.5</v>
      </c>
      <c r="F526" s="4">
        <v>9</v>
      </c>
      <c r="G526" s="2">
        <v>301.5</v>
      </c>
      <c r="H526" t="s">
        <v>25</v>
      </c>
      <c r="I526" t="s">
        <v>16</v>
      </c>
      <c r="J526" s="1">
        <v>44797</v>
      </c>
      <c r="K526" t="b">
        <v>0</v>
      </c>
    </row>
    <row r="527" spans="1:11" x14ac:dyDescent="0.25">
      <c r="A527" t="s">
        <v>3330</v>
      </c>
      <c r="B527" t="s">
        <v>12</v>
      </c>
      <c r="C527" t="s">
        <v>23</v>
      </c>
      <c r="D527" t="s">
        <v>73</v>
      </c>
      <c r="E527" s="2">
        <v>33.5</v>
      </c>
      <c r="F527" s="4">
        <v>9</v>
      </c>
      <c r="G527" s="2">
        <v>301.5</v>
      </c>
      <c r="H527" t="s">
        <v>25</v>
      </c>
      <c r="I527" t="s">
        <v>36</v>
      </c>
      <c r="J527" s="1">
        <v>45050</v>
      </c>
      <c r="K527" t="b">
        <v>0</v>
      </c>
    </row>
    <row r="528" spans="1:11" x14ac:dyDescent="0.25">
      <c r="A528" t="s">
        <v>4876</v>
      </c>
      <c r="B528" t="s">
        <v>69</v>
      </c>
      <c r="C528" t="s">
        <v>31</v>
      </c>
      <c r="D528" t="s">
        <v>155</v>
      </c>
      <c r="E528" s="2">
        <v>33.5</v>
      </c>
      <c r="F528" s="4">
        <v>9</v>
      </c>
      <c r="G528" s="2">
        <v>301.5</v>
      </c>
      <c r="H528" t="s">
        <v>25</v>
      </c>
      <c r="I528" t="s">
        <v>36</v>
      </c>
      <c r="J528" s="1">
        <v>45658</v>
      </c>
      <c r="K528" t="b">
        <v>1</v>
      </c>
    </row>
    <row r="529" spans="1:11" x14ac:dyDescent="0.25">
      <c r="A529" t="s">
        <v>2493</v>
      </c>
      <c r="B529" t="s">
        <v>34</v>
      </c>
      <c r="C529" t="s">
        <v>19</v>
      </c>
      <c r="D529" t="s">
        <v>626</v>
      </c>
      <c r="E529" s="2">
        <v>33.5</v>
      </c>
      <c r="F529" s="4">
        <v>9</v>
      </c>
      <c r="G529" s="2">
        <v>301.5</v>
      </c>
      <c r="H529" t="s">
        <v>25</v>
      </c>
      <c r="I529" t="s">
        <v>16</v>
      </c>
      <c r="J529" s="1">
        <v>45571</v>
      </c>
      <c r="K529" t="b">
        <v>0</v>
      </c>
    </row>
    <row r="530" spans="1:11" x14ac:dyDescent="0.25">
      <c r="A530" t="s">
        <v>3172</v>
      </c>
      <c r="B530" t="s">
        <v>85</v>
      </c>
      <c r="C530" t="s">
        <v>13</v>
      </c>
      <c r="D530" t="s">
        <v>375</v>
      </c>
      <c r="E530" s="2">
        <v>33.5</v>
      </c>
      <c r="F530" s="4">
        <v>9</v>
      </c>
      <c r="G530" s="2">
        <v>301.5</v>
      </c>
      <c r="H530" t="s">
        <v>25</v>
      </c>
      <c r="I530" t="s">
        <v>16</v>
      </c>
      <c r="J530" s="1">
        <v>44679</v>
      </c>
      <c r="K530" t="b">
        <v>0</v>
      </c>
    </row>
    <row r="531" spans="1:11" x14ac:dyDescent="0.25">
      <c r="A531" t="s">
        <v>4778</v>
      </c>
      <c r="B531" t="s">
        <v>30</v>
      </c>
      <c r="C531" t="s">
        <v>27</v>
      </c>
      <c r="D531" t="s">
        <v>209</v>
      </c>
      <c r="E531" s="2">
        <v>33.5</v>
      </c>
      <c r="F531" s="4">
        <v>9</v>
      </c>
      <c r="G531" s="2">
        <v>301.5</v>
      </c>
      <c r="H531" t="s">
        <v>25</v>
      </c>
      <c r="I531" t="s">
        <v>16</v>
      </c>
      <c r="J531" s="1">
        <v>44620</v>
      </c>
      <c r="K531" t="b">
        <v>1</v>
      </c>
    </row>
    <row r="532" spans="1:11" x14ac:dyDescent="0.25">
      <c r="A532" t="s">
        <v>1748</v>
      </c>
      <c r="B532" t="s">
        <v>30</v>
      </c>
      <c r="C532" t="s">
        <v>23</v>
      </c>
      <c r="D532" t="s">
        <v>73</v>
      </c>
      <c r="E532" s="2">
        <v>33.5</v>
      </c>
      <c r="F532" s="4">
        <v>9</v>
      </c>
      <c r="G532" s="2">
        <v>301.5</v>
      </c>
      <c r="H532" t="s">
        <v>25</v>
      </c>
      <c r="I532" t="s">
        <v>36</v>
      </c>
      <c r="J532" s="1">
        <v>45400</v>
      </c>
      <c r="K532" t="b">
        <v>0</v>
      </c>
    </row>
    <row r="533" spans="1:11" x14ac:dyDescent="0.25">
      <c r="A533" t="s">
        <v>4451</v>
      </c>
      <c r="B533" t="s">
        <v>40</v>
      </c>
      <c r="C533" t="s">
        <v>13</v>
      </c>
      <c r="D533" t="s">
        <v>375</v>
      </c>
      <c r="E533" s="2">
        <v>33.5</v>
      </c>
      <c r="F533" s="4">
        <v>9</v>
      </c>
      <c r="G533" s="2">
        <v>301.5</v>
      </c>
      <c r="H533" t="s">
        <v>25</v>
      </c>
      <c r="I533" t="s">
        <v>16</v>
      </c>
      <c r="J533" s="1">
        <v>45225</v>
      </c>
      <c r="K533" t="b">
        <v>1</v>
      </c>
    </row>
    <row r="534" spans="1:11" x14ac:dyDescent="0.25">
      <c r="A534" t="s">
        <v>7118</v>
      </c>
      <c r="B534" t="s">
        <v>69</v>
      </c>
      <c r="C534" t="s">
        <v>13</v>
      </c>
      <c r="D534" t="s">
        <v>375</v>
      </c>
      <c r="E534" s="2">
        <v>33.5</v>
      </c>
      <c r="F534" s="4">
        <v>9</v>
      </c>
      <c r="G534" s="2">
        <v>301.5</v>
      </c>
      <c r="H534" t="s">
        <v>45</v>
      </c>
      <c r="I534" t="s">
        <v>16</v>
      </c>
      <c r="J534" s="1">
        <v>44730</v>
      </c>
      <c r="K534" t="b">
        <v>1</v>
      </c>
    </row>
    <row r="535" spans="1:11" x14ac:dyDescent="0.25">
      <c r="A535" t="s">
        <v>1667</v>
      </c>
      <c r="B535" t="s">
        <v>69</v>
      </c>
      <c r="C535" t="s">
        <v>13</v>
      </c>
      <c r="D535" t="s">
        <v>375</v>
      </c>
      <c r="E535" s="2">
        <v>33.5</v>
      </c>
      <c r="F535" s="4">
        <v>9</v>
      </c>
      <c r="G535" s="2">
        <v>301.5</v>
      </c>
      <c r="H535" t="s">
        <v>25</v>
      </c>
      <c r="I535" t="s">
        <v>16</v>
      </c>
      <c r="J535" s="1">
        <v>45527</v>
      </c>
      <c r="K535" t="b">
        <v>1</v>
      </c>
    </row>
    <row r="536" spans="1:11" x14ac:dyDescent="0.25">
      <c r="A536" t="s">
        <v>2132</v>
      </c>
      <c r="B536" t="s">
        <v>61</v>
      </c>
      <c r="C536" t="s">
        <v>27</v>
      </c>
      <c r="D536" t="s">
        <v>209</v>
      </c>
      <c r="E536" s="2">
        <v>33.5</v>
      </c>
      <c r="F536" s="4">
        <v>9</v>
      </c>
      <c r="G536" s="2">
        <v>301.5</v>
      </c>
      <c r="H536" t="s">
        <v>25</v>
      </c>
      <c r="I536" t="s">
        <v>36</v>
      </c>
      <c r="J536" s="1">
        <v>44563</v>
      </c>
      <c r="K536" t="b">
        <v>1</v>
      </c>
    </row>
    <row r="537" spans="1:11" x14ac:dyDescent="0.25">
      <c r="A537" t="s">
        <v>4665</v>
      </c>
      <c r="B537" t="s">
        <v>142</v>
      </c>
      <c r="C537" t="s">
        <v>59</v>
      </c>
      <c r="D537" t="s">
        <v>290</v>
      </c>
      <c r="E537" s="2">
        <v>36.5</v>
      </c>
      <c r="F537" s="4">
        <v>8</v>
      </c>
      <c r="G537" s="2">
        <v>292</v>
      </c>
      <c r="H537" t="s">
        <v>15</v>
      </c>
      <c r="I537" t="s">
        <v>16</v>
      </c>
      <c r="J537" s="1">
        <v>44572</v>
      </c>
      <c r="K537" t="b">
        <v>1</v>
      </c>
    </row>
    <row r="538" spans="1:11" x14ac:dyDescent="0.25">
      <c r="A538" t="s">
        <v>1594</v>
      </c>
      <c r="B538" t="s">
        <v>18</v>
      </c>
      <c r="C538" t="s">
        <v>31</v>
      </c>
      <c r="D538" t="s">
        <v>136</v>
      </c>
      <c r="E538" s="2">
        <v>36.5</v>
      </c>
      <c r="F538" s="4">
        <v>8</v>
      </c>
      <c r="G538" s="2">
        <v>292</v>
      </c>
      <c r="H538" t="s">
        <v>45</v>
      </c>
      <c r="I538" t="s">
        <v>36</v>
      </c>
      <c r="J538" s="1">
        <v>44852</v>
      </c>
      <c r="K538" t="b">
        <v>0</v>
      </c>
    </row>
    <row r="539" spans="1:11" x14ac:dyDescent="0.25">
      <c r="A539" t="s">
        <v>6851</v>
      </c>
      <c r="B539" t="s">
        <v>77</v>
      </c>
      <c r="C539" t="s">
        <v>59</v>
      </c>
      <c r="D539" t="s">
        <v>290</v>
      </c>
      <c r="E539" s="2">
        <v>36.5</v>
      </c>
      <c r="F539" s="4">
        <v>8</v>
      </c>
      <c r="G539" s="2">
        <v>292</v>
      </c>
      <c r="H539" t="s">
        <v>45</v>
      </c>
      <c r="I539" t="s">
        <v>16</v>
      </c>
      <c r="J539" s="1">
        <v>45406</v>
      </c>
      <c r="K539" t="b">
        <v>0</v>
      </c>
    </row>
    <row r="540" spans="1:11" x14ac:dyDescent="0.25">
      <c r="A540" t="s">
        <v>3518</v>
      </c>
      <c r="B540" t="s">
        <v>93</v>
      </c>
      <c r="C540" t="s">
        <v>23</v>
      </c>
      <c r="D540" t="s">
        <v>44</v>
      </c>
      <c r="E540" s="2">
        <v>36.5</v>
      </c>
      <c r="F540" s="4">
        <v>8</v>
      </c>
      <c r="G540" s="2">
        <v>292</v>
      </c>
      <c r="H540" t="s">
        <v>45</v>
      </c>
      <c r="I540" t="s">
        <v>16</v>
      </c>
      <c r="J540" s="1">
        <v>45584</v>
      </c>
      <c r="K540" t="b">
        <v>1</v>
      </c>
    </row>
    <row r="541" spans="1:11" x14ac:dyDescent="0.25">
      <c r="A541" t="s">
        <v>2945</v>
      </c>
      <c r="B541" t="s">
        <v>43</v>
      </c>
      <c r="C541" t="s">
        <v>110</v>
      </c>
      <c r="D541" t="s">
        <v>134</v>
      </c>
      <c r="E541" s="2">
        <v>36.5</v>
      </c>
      <c r="F541" s="4">
        <v>8</v>
      </c>
      <c r="G541" s="2">
        <v>292</v>
      </c>
      <c r="H541" t="s">
        <v>15</v>
      </c>
      <c r="I541" t="s">
        <v>36</v>
      </c>
      <c r="J541" s="1">
        <v>45290</v>
      </c>
      <c r="K541" t="b">
        <v>0</v>
      </c>
    </row>
    <row r="542" spans="1:11" x14ac:dyDescent="0.25">
      <c r="A542" t="s">
        <v>2064</v>
      </c>
      <c r="B542" t="s">
        <v>18</v>
      </c>
      <c r="C542" t="s">
        <v>23</v>
      </c>
      <c r="D542" t="s">
        <v>44</v>
      </c>
      <c r="E542" s="2">
        <v>36.5</v>
      </c>
      <c r="F542" s="4">
        <v>8</v>
      </c>
      <c r="G542" s="2">
        <v>292</v>
      </c>
      <c r="H542" t="s">
        <v>25</v>
      </c>
      <c r="I542" t="s">
        <v>16</v>
      </c>
      <c r="J542" s="1">
        <v>44690</v>
      </c>
      <c r="K542" t="b">
        <v>1</v>
      </c>
    </row>
    <row r="543" spans="1:11" x14ac:dyDescent="0.25">
      <c r="A543" t="s">
        <v>633</v>
      </c>
      <c r="B543" t="s">
        <v>142</v>
      </c>
      <c r="C543" t="s">
        <v>110</v>
      </c>
      <c r="D543" t="s">
        <v>134</v>
      </c>
      <c r="E543" s="2">
        <v>36.5</v>
      </c>
      <c r="F543" s="4">
        <v>8</v>
      </c>
      <c r="G543" s="2">
        <v>292</v>
      </c>
      <c r="H543" t="s">
        <v>25</v>
      </c>
      <c r="I543" t="s">
        <v>16</v>
      </c>
      <c r="J543" s="1">
        <v>45238</v>
      </c>
      <c r="K543" t="b">
        <v>0</v>
      </c>
    </row>
    <row r="544" spans="1:11" x14ac:dyDescent="0.25">
      <c r="A544" t="s">
        <v>1229</v>
      </c>
      <c r="B544" t="s">
        <v>40</v>
      </c>
      <c r="C544" t="s">
        <v>27</v>
      </c>
      <c r="D544" t="s">
        <v>101</v>
      </c>
      <c r="E544" s="2">
        <v>36.5</v>
      </c>
      <c r="F544" s="4">
        <v>8</v>
      </c>
      <c r="G544" s="2">
        <v>292</v>
      </c>
      <c r="H544" t="s">
        <v>15</v>
      </c>
      <c r="I544" t="s">
        <v>16</v>
      </c>
      <c r="J544" s="1">
        <v>45008</v>
      </c>
      <c r="K544" t="b">
        <v>0</v>
      </c>
    </row>
    <row r="545" spans="1:11" x14ac:dyDescent="0.25">
      <c r="A545" t="s">
        <v>6191</v>
      </c>
      <c r="B545" t="s">
        <v>56</v>
      </c>
      <c r="C545" t="s">
        <v>19</v>
      </c>
      <c r="D545" t="s">
        <v>412</v>
      </c>
      <c r="E545" s="2">
        <v>36.5</v>
      </c>
      <c r="F545" s="4">
        <v>8</v>
      </c>
      <c r="G545" s="2">
        <v>292</v>
      </c>
      <c r="H545" t="s">
        <v>15</v>
      </c>
      <c r="I545" t="s">
        <v>36</v>
      </c>
      <c r="J545" s="1">
        <v>45350</v>
      </c>
      <c r="K545" t="b">
        <v>0</v>
      </c>
    </row>
    <row r="546" spans="1:11" x14ac:dyDescent="0.25">
      <c r="A546" t="s">
        <v>1540</v>
      </c>
      <c r="B546" t="s">
        <v>40</v>
      </c>
      <c r="C546" t="s">
        <v>13</v>
      </c>
      <c r="D546" t="s">
        <v>80</v>
      </c>
      <c r="E546" s="2">
        <v>36.5</v>
      </c>
      <c r="F546" s="4">
        <v>8</v>
      </c>
      <c r="G546" s="2">
        <v>292</v>
      </c>
      <c r="H546" t="s">
        <v>15</v>
      </c>
      <c r="I546" t="s">
        <v>16</v>
      </c>
      <c r="J546" s="1">
        <v>44853</v>
      </c>
      <c r="K546" t="b">
        <v>1</v>
      </c>
    </row>
    <row r="547" spans="1:11" x14ac:dyDescent="0.25">
      <c r="A547" t="s">
        <v>3728</v>
      </c>
      <c r="B547" t="s">
        <v>63</v>
      </c>
      <c r="C547" t="s">
        <v>31</v>
      </c>
      <c r="D547" t="s">
        <v>136</v>
      </c>
      <c r="E547" s="2">
        <v>36.5</v>
      </c>
      <c r="F547" s="4">
        <v>8</v>
      </c>
      <c r="G547" s="2">
        <v>292</v>
      </c>
      <c r="H547" t="s">
        <v>45</v>
      </c>
      <c r="I547" t="s">
        <v>16</v>
      </c>
      <c r="J547" s="1">
        <v>44578</v>
      </c>
      <c r="K547" t="b">
        <v>0</v>
      </c>
    </row>
    <row r="548" spans="1:11" x14ac:dyDescent="0.25">
      <c r="A548" t="s">
        <v>5191</v>
      </c>
      <c r="B548" t="s">
        <v>86</v>
      </c>
      <c r="C548" t="s">
        <v>19</v>
      </c>
      <c r="D548" t="s">
        <v>412</v>
      </c>
      <c r="E548" s="2">
        <v>36.5</v>
      </c>
      <c r="F548" s="4">
        <v>8</v>
      </c>
      <c r="G548" s="2">
        <v>292</v>
      </c>
      <c r="H548" t="s">
        <v>25</v>
      </c>
      <c r="I548" t="s">
        <v>36</v>
      </c>
      <c r="J548" s="1">
        <v>44590</v>
      </c>
      <c r="K548" t="b">
        <v>1</v>
      </c>
    </row>
    <row r="549" spans="1:11" x14ac:dyDescent="0.25">
      <c r="A549" t="s">
        <v>6696</v>
      </c>
      <c r="B549" t="s">
        <v>56</v>
      </c>
      <c r="C549" t="s">
        <v>27</v>
      </c>
      <c r="D549" t="s">
        <v>101</v>
      </c>
      <c r="E549" s="2">
        <v>36.5</v>
      </c>
      <c r="F549" s="4">
        <v>8</v>
      </c>
      <c r="G549" s="2">
        <v>292</v>
      </c>
      <c r="H549" t="s">
        <v>45</v>
      </c>
      <c r="I549" t="s">
        <v>36</v>
      </c>
      <c r="J549" s="1">
        <v>45202</v>
      </c>
      <c r="K549" t="b">
        <v>1</v>
      </c>
    </row>
    <row r="550" spans="1:11" x14ac:dyDescent="0.25">
      <c r="A550" t="s">
        <v>2476</v>
      </c>
      <c r="B550" t="s">
        <v>61</v>
      </c>
      <c r="C550" t="s">
        <v>23</v>
      </c>
      <c r="D550" t="s">
        <v>44</v>
      </c>
      <c r="E550" s="2">
        <v>36.5</v>
      </c>
      <c r="F550" s="4">
        <v>8</v>
      </c>
      <c r="G550" s="2">
        <v>292</v>
      </c>
      <c r="H550" t="s">
        <v>15</v>
      </c>
      <c r="I550" t="s">
        <v>16</v>
      </c>
      <c r="J550" s="1">
        <v>45431</v>
      </c>
      <c r="K550" t="b">
        <v>1</v>
      </c>
    </row>
    <row r="551" spans="1:11" x14ac:dyDescent="0.25">
      <c r="A551" t="s">
        <v>7211</v>
      </c>
      <c r="B551" t="s">
        <v>22</v>
      </c>
      <c r="C551" t="s">
        <v>59</v>
      </c>
      <c r="D551" t="s">
        <v>290</v>
      </c>
      <c r="E551" s="2">
        <v>36.5</v>
      </c>
      <c r="F551" s="4">
        <v>8</v>
      </c>
      <c r="G551" s="2">
        <v>292</v>
      </c>
      <c r="H551" t="s">
        <v>25</v>
      </c>
      <c r="I551" t="s">
        <v>16</v>
      </c>
      <c r="J551" s="1">
        <v>45477</v>
      </c>
      <c r="K551" t="b">
        <v>1</v>
      </c>
    </row>
    <row r="552" spans="1:11" x14ac:dyDescent="0.25">
      <c r="A552" t="s">
        <v>2368</v>
      </c>
      <c r="B552" t="s">
        <v>43</v>
      </c>
      <c r="C552" t="s">
        <v>27</v>
      </c>
      <c r="D552" t="s">
        <v>101</v>
      </c>
      <c r="E552" s="2">
        <v>36.5</v>
      </c>
      <c r="F552" s="4">
        <v>8</v>
      </c>
      <c r="G552" s="2">
        <v>292</v>
      </c>
      <c r="H552" t="s">
        <v>45</v>
      </c>
      <c r="I552" t="s">
        <v>36</v>
      </c>
      <c r="J552" s="1">
        <v>45201</v>
      </c>
      <c r="K552" t="b">
        <v>1</v>
      </c>
    </row>
    <row r="553" spans="1:11" x14ac:dyDescent="0.25">
      <c r="A553" t="s">
        <v>1692</v>
      </c>
      <c r="B553" t="s">
        <v>97</v>
      </c>
      <c r="C553" t="s">
        <v>23</v>
      </c>
      <c r="D553" t="s">
        <v>44</v>
      </c>
      <c r="E553" s="2">
        <v>36.5</v>
      </c>
      <c r="F553" s="4">
        <v>8</v>
      </c>
      <c r="G553" s="2">
        <v>292</v>
      </c>
      <c r="H553" t="s">
        <v>15</v>
      </c>
      <c r="I553" t="s">
        <v>16</v>
      </c>
      <c r="J553" s="1">
        <v>44576</v>
      </c>
      <c r="K553" t="b">
        <v>1</v>
      </c>
    </row>
    <row r="554" spans="1:11" x14ac:dyDescent="0.25">
      <c r="A554" t="s">
        <v>1338</v>
      </c>
      <c r="B554" t="s">
        <v>85</v>
      </c>
      <c r="C554" t="s">
        <v>13</v>
      </c>
      <c r="D554" t="s">
        <v>80</v>
      </c>
      <c r="E554" s="2">
        <v>36.5</v>
      </c>
      <c r="F554" s="4">
        <v>8</v>
      </c>
      <c r="G554" s="2">
        <v>292</v>
      </c>
      <c r="H554" t="s">
        <v>45</v>
      </c>
      <c r="I554" t="s">
        <v>36</v>
      </c>
      <c r="J554" s="1">
        <v>44749</v>
      </c>
      <c r="K554" t="b">
        <v>1</v>
      </c>
    </row>
    <row r="555" spans="1:11" x14ac:dyDescent="0.25">
      <c r="A555" t="s">
        <v>1675</v>
      </c>
      <c r="B555" t="s">
        <v>30</v>
      </c>
      <c r="C555" t="s">
        <v>27</v>
      </c>
      <c r="D555" t="s">
        <v>101</v>
      </c>
      <c r="E555" s="2">
        <v>36.5</v>
      </c>
      <c r="F555" s="4">
        <v>8</v>
      </c>
      <c r="G555" s="2">
        <v>292</v>
      </c>
      <c r="H555" t="s">
        <v>25</v>
      </c>
      <c r="I555" t="s">
        <v>16</v>
      </c>
      <c r="J555" s="1">
        <v>45547</v>
      </c>
      <c r="K555" t="b">
        <v>0</v>
      </c>
    </row>
    <row r="556" spans="1:11" x14ac:dyDescent="0.25">
      <c r="A556" t="s">
        <v>5593</v>
      </c>
      <c r="B556" t="s">
        <v>104</v>
      </c>
      <c r="C556" t="s">
        <v>110</v>
      </c>
      <c r="D556" t="s">
        <v>134</v>
      </c>
      <c r="E556" s="2">
        <v>36.5</v>
      </c>
      <c r="F556" s="4">
        <v>8</v>
      </c>
      <c r="G556" s="2">
        <v>292</v>
      </c>
      <c r="H556" t="s">
        <v>45</v>
      </c>
      <c r="I556" t="s">
        <v>16</v>
      </c>
      <c r="J556" s="1">
        <v>45512</v>
      </c>
      <c r="K556" t="b">
        <v>0</v>
      </c>
    </row>
    <row r="557" spans="1:11" x14ac:dyDescent="0.25">
      <c r="A557" t="s">
        <v>953</v>
      </c>
      <c r="B557" t="s">
        <v>40</v>
      </c>
      <c r="C557" t="s">
        <v>13</v>
      </c>
      <c r="D557" t="s">
        <v>80</v>
      </c>
      <c r="E557" s="2">
        <v>36.5</v>
      </c>
      <c r="F557" s="4">
        <v>8</v>
      </c>
      <c r="G557" s="2">
        <v>292</v>
      </c>
      <c r="H557" t="s">
        <v>45</v>
      </c>
      <c r="I557" t="s">
        <v>16</v>
      </c>
      <c r="J557" s="1">
        <v>45152</v>
      </c>
      <c r="K557" t="b">
        <v>0</v>
      </c>
    </row>
    <row r="558" spans="1:11" x14ac:dyDescent="0.25">
      <c r="A558" t="s">
        <v>3723</v>
      </c>
      <c r="B558" t="s">
        <v>86</v>
      </c>
      <c r="C558" t="s">
        <v>13</v>
      </c>
      <c r="D558" t="s">
        <v>80</v>
      </c>
      <c r="E558" s="2">
        <v>36.5</v>
      </c>
      <c r="F558" s="4">
        <v>8</v>
      </c>
      <c r="G558" s="2">
        <v>292</v>
      </c>
      <c r="H558" t="s">
        <v>25</v>
      </c>
      <c r="I558" t="s">
        <v>16</v>
      </c>
      <c r="J558" s="1">
        <v>45299</v>
      </c>
      <c r="K558" t="b">
        <v>1</v>
      </c>
    </row>
    <row r="559" spans="1:11" x14ac:dyDescent="0.25">
      <c r="A559" t="s">
        <v>1546</v>
      </c>
      <c r="B559" t="s">
        <v>43</v>
      </c>
      <c r="C559" t="s">
        <v>27</v>
      </c>
      <c r="D559" t="s">
        <v>101</v>
      </c>
      <c r="E559" s="2">
        <v>36.5</v>
      </c>
      <c r="F559" s="4">
        <v>8</v>
      </c>
      <c r="G559" s="2">
        <v>292</v>
      </c>
      <c r="H559" t="s">
        <v>25</v>
      </c>
      <c r="I559" t="s">
        <v>16</v>
      </c>
      <c r="J559" s="1">
        <v>45626</v>
      </c>
      <c r="K559" t="b">
        <v>0</v>
      </c>
    </row>
    <row r="560" spans="1:11" x14ac:dyDescent="0.25">
      <c r="A560" t="s">
        <v>4459</v>
      </c>
      <c r="B560" t="s">
        <v>22</v>
      </c>
      <c r="C560" t="s">
        <v>19</v>
      </c>
      <c r="D560" t="s">
        <v>412</v>
      </c>
      <c r="E560" s="2">
        <v>36.5</v>
      </c>
      <c r="F560" s="4">
        <v>8</v>
      </c>
      <c r="G560" s="2">
        <v>292</v>
      </c>
      <c r="H560" t="s">
        <v>25</v>
      </c>
      <c r="I560" t="s">
        <v>16</v>
      </c>
      <c r="J560" s="1">
        <v>45385</v>
      </c>
      <c r="K560" t="b">
        <v>0</v>
      </c>
    </row>
    <row r="561" spans="1:11" x14ac:dyDescent="0.25">
      <c r="A561" t="s">
        <v>2179</v>
      </c>
      <c r="B561" t="s">
        <v>77</v>
      </c>
      <c r="C561" t="s">
        <v>19</v>
      </c>
      <c r="D561" t="s">
        <v>412</v>
      </c>
      <c r="E561" s="2">
        <v>36.5</v>
      </c>
      <c r="F561" s="4">
        <v>8</v>
      </c>
      <c r="G561" s="2">
        <v>292</v>
      </c>
      <c r="H561" t="s">
        <v>25</v>
      </c>
      <c r="I561" t="s">
        <v>36</v>
      </c>
      <c r="J561" s="1">
        <v>45243</v>
      </c>
      <c r="K561" t="b">
        <v>0</v>
      </c>
    </row>
    <row r="562" spans="1:11" x14ac:dyDescent="0.25">
      <c r="A562" t="s">
        <v>5748</v>
      </c>
      <c r="B562" t="s">
        <v>37</v>
      </c>
      <c r="C562" t="s">
        <v>27</v>
      </c>
      <c r="D562" t="s">
        <v>101</v>
      </c>
      <c r="E562" s="2">
        <v>36.5</v>
      </c>
      <c r="F562" s="4">
        <v>8</v>
      </c>
      <c r="G562" s="2">
        <v>292</v>
      </c>
      <c r="H562" t="s">
        <v>45</v>
      </c>
      <c r="I562" t="s">
        <v>36</v>
      </c>
      <c r="J562" s="1">
        <v>44647</v>
      </c>
      <c r="K562" t="b">
        <v>1</v>
      </c>
    </row>
    <row r="563" spans="1:11" x14ac:dyDescent="0.25">
      <c r="A563" t="s">
        <v>4917</v>
      </c>
      <c r="B563" t="s">
        <v>30</v>
      </c>
      <c r="C563" t="s">
        <v>19</v>
      </c>
      <c r="D563" t="s">
        <v>20</v>
      </c>
      <c r="E563" s="2">
        <v>29</v>
      </c>
      <c r="F563" s="4">
        <v>10</v>
      </c>
      <c r="G563" s="2">
        <v>290</v>
      </c>
      <c r="H563" t="s">
        <v>15</v>
      </c>
      <c r="I563" t="s">
        <v>16</v>
      </c>
      <c r="J563" s="1">
        <v>45006</v>
      </c>
      <c r="K563" t="b">
        <v>1</v>
      </c>
    </row>
    <row r="564" spans="1:11" x14ac:dyDescent="0.25">
      <c r="A564" t="s">
        <v>5354</v>
      </c>
      <c r="B564" t="s">
        <v>18</v>
      </c>
      <c r="C564" t="s">
        <v>110</v>
      </c>
      <c r="D564" t="s">
        <v>386</v>
      </c>
      <c r="E564" s="2">
        <v>29</v>
      </c>
      <c r="F564" s="4">
        <v>10</v>
      </c>
      <c r="G564" s="2">
        <v>290</v>
      </c>
      <c r="H564" t="s">
        <v>15</v>
      </c>
      <c r="I564" t="s">
        <v>16</v>
      </c>
      <c r="J564" s="1">
        <v>45297</v>
      </c>
      <c r="K564" t="b">
        <v>0</v>
      </c>
    </row>
    <row r="565" spans="1:11" x14ac:dyDescent="0.25">
      <c r="A565" t="s">
        <v>2688</v>
      </c>
      <c r="B565" t="s">
        <v>69</v>
      </c>
      <c r="C565" t="s">
        <v>19</v>
      </c>
      <c r="D565" t="s">
        <v>20</v>
      </c>
      <c r="E565" s="2">
        <v>29</v>
      </c>
      <c r="F565" s="4">
        <v>10</v>
      </c>
      <c r="G565" s="2">
        <v>290</v>
      </c>
      <c r="H565" t="s">
        <v>45</v>
      </c>
      <c r="I565" t="s">
        <v>36</v>
      </c>
      <c r="J565" s="1">
        <v>44830</v>
      </c>
      <c r="K565" t="b">
        <v>0</v>
      </c>
    </row>
    <row r="566" spans="1:11" x14ac:dyDescent="0.25">
      <c r="A566" t="s">
        <v>2314</v>
      </c>
      <c r="B566" t="s">
        <v>61</v>
      </c>
      <c r="C566" t="s">
        <v>13</v>
      </c>
      <c r="D566" t="s">
        <v>55</v>
      </c>
      <c r="E566" s="2">
        <v>29</v>
      </c>
      <c r="F566" s="4">
        <v>10</v>
      </c>
      <c r="G566" s="2">
        <v>290</v>
      </c>
      <c r="H566" t="s">
        <v>15</v>
      </c>
      <c r="I566" t="s">
        <v>36</v>
      </c>
      <c r="J566" s="1">
        <v>44805</v>
      </c>
      <c r="K566" t="b">
        <v>1</v>
      </c>
    </row>
    <row r="567" spans="1:11" x14ac:dyDescent="0.25">
      <c r="A567" t="s">
        <v>2365</v>
      </c>
      <c r="B567" t="s">
        <v>63</v>
      </c>
      <c r="C567" t="s">
        <v>19</v>
      </c>
      <c r="D567" t="s">
        <v>20</v>
      </c>
      <c r="E567" s="2">
        <v>29</v>
      </c>
      <c r="F567" s="4">
        <v>10</v>
      </c>
      <c r="G567" s="2">
        <v>290</v>
      </c>
      <c r="H567" t="s">
        <v>15</v>
      </c>
      <c r="I567" t="s">
        <v>16</v>
      </c>
      <c r="J567" s="1">
        <v>44738</v>
      </c>
      <c r="K567" t="b">
        <v>1</v>
      </c>
    </row>
    <row r="568" spans="1:11" x14ac:dyDescent="0.25">
      <c r="A568" t="s">
        <v>2377</v>
      </c>
      <c r="B568" t="s">
        <v>100</v>
      </c>
      <c r="C568" t="s">
        <v>27</v>
      </c>
      <c r="D568" t="s">
        <v>421</v>
      </c>
      <c r="E568" s="2">
        <v>29</v>
      </c>
      <c r="F568" s="4">
        <v>10</v>
      </c>
      <c r="G568" s="2">
        <v>290</v>
      </c>
      <c r="H568" t="s">
        <v>45</v>
      </c>
      <c r="I568" t="s">
        <v>36</v>
      </c>
      <c r="J568" s="1">
        <v>45401</v>
      </c>
      <c r="K568" t="b">
        <v>1</v>
      </c>
    </row>
    <row r="569" spans="1:11" x14ac:dyDescent="0.25">
      <c r="A569" t="s">
        <v>1544</v>
      </c>
      <c r="B569" t="s">
        <v>18</v>
      </c>
      <c r="C569" t="s">
        <v>13</v>
      </c>
      <c r="D569" t="s">
        <v>55</v>
      </c>
      <c r="E569" s="2">
        <v>29</v>
      </c>
      <c r="F569" s="4">
        <v>10</v>
      </c>
      <c r="G569" s="2">
        <v>290</v>
      </c>
      <c r="H569" t="s">
        <v>45</v>
      </c>
      <c r="I569" t="s">
        <v>16</v>
      </c>
      <c r="J569" s="1">
        <v>45388</v>
      </c>
      <c r="K569" t="b">
        <v>1</v>
      </c>
    </row>
    <row r="570" spans="1:11" x14ac:dyDescent="0.25">
      <c r="A570" t="s">
        <v>2413</v>
      </c>
      <c r="B570" t="s">
        <v>63</v>
      </c>
      <c r="C570" t="s">
        <v>27</v>
      </c>
      <c r="D570" t="s">
        <v>421</v>
      </c>
      <c r="E570" s="2">
        <v>29</v>
      </c>
      <c r="F570" s="4">
        <v>10</v>
      </c>
      <c r="G570" s="2">
        <v>290</v>
      </c>
      <c r="H570" t="s">
        <v>45</v>
      </c>
      <c r="I570" t="s">
        <v>16</v>
      </c>
      <c r="J570" s="1">
        <v>45491</v>
      </c>
      <c r="K570" t="b">
        <v>1</v>
      </c>
    </row>
    <row r="571" spans="1:11" x14ac:dyDescent="0.25">
      <c r="A571" t="s">
        <v>2043</v>
      </c>
      <c r="B571" t="s">
        <v>77</v>
      </c>
      <c r="C571" t="s">
        <v>13</v>
      </c>
      <c r="D571" t="s">
        <v>55</v>
      </c>
      <c r="E571" s="2">
        <v>29</v>
      </c>
      <c r="F571" s="4">
        <v>10</v>
      </c>
      <c r="G571" s="2">
        <v>290</v>
      </c>
      <c r="H571" t="s">
        <v>45</v>
      </c>
      <c r="I571" t="s">
        <v>36</v>
      </c>
      <c r="J571" s="1">
        <v>44582</v>
      </c>
      <c r="K571" t="b">
        <v>1</v>
      </c>
    </row>
    <row r="572" spans="1:11" x14ac:dyDescent="0.25">
      <c r="A572" t="s">
        <v>5306</v>
      </c>
      <c r="B572" t="s">
        <v>69</v>
      </c>
      <c r="C572" t="s">
        <v>13</v>
      </c>
      <c r="D572" t="s">
        <v>55</v>
      </c>
      <c r="E572" s="2">
        <v>29</v>
      </c>
      <c r="F572" s="4">
        <v>10</v>
      </c>
      <c r="G572" s="2">
        <v>290</v>
      </c>
      <c r="H572" t="s">
        <v>25</v>
      </c>
      <c r="I572" t="s">
        <v>36</v>
      </c>
      <c r="J572" s="1">
        <v>44579</v>
      </c>
      <c r="K572" t="b">
        <v>1</v>
      </c>
    </row>
    <row r="573" spans="1:11" x14ac:dyDescent="0.25">
      <c r="A573" t="s">
        <v>5359</v>
      </c>
      <c r="B573" t="s">
        <v>18</v>
      </c>
      <c r="C573" t="s">
        <v>23</v>
      </c>
      <c r="D573" t="s">
        <v>352</v>
      </c>
      <c r="E573" s="2">
        <v>29</v>
      </c>
      <c r="F573" s="4">
        <v>10</v>
      </c>
      <c r="G573" s="2">
        <v>290</v>
      </c>
      <c r="H573" t="s">
        <v>15</v>
      </c>
      <c r="I573" t="s">
        <v>16</v>
      </c>
      <c r="J573" s="1">
        <v>45030</v>
      </c>
      <c r="K573" t="b">
        <v>0</v>
      </c>
    </row>
    <row r="574" spans="1:11" x14ac:dyDescent="0.25">
      <c r="A574" t="s">
        <v>7403</v>
      </c>
      <c r="B574" t="s">
        <v>22</v>
      </c>
      <c r="C574" t="s">
        <v>31</v>
      </c>
      <c r="D574" t="s">
        <v>372</v>
      </c>
      <c r="E574" s="2">
        <v>29</v>
      </c>
      <c r="F574" s="4">
        <v>10</v>
      </c>
      <c r="G574" s="2">
        <v>290</v>
      </c>
      <c r="H574" t="s">
        <v>15</v>
      </c>
      <c r="I574" t="s">
        <v>16</v>
      </c>
      <c r="J574" s="1">
        <v>45430</v>
      </c>
      <c r="K574" t="b">
        <v>1</v>
      </c>
    </row>
    <row r="575" spans="1:11" x14ac:dyDescent="0.25">
      <c r="A575" t="s">
        <v>7016</v>
      </c>
      <c r="B575" t="s">
        <v>34</v>
      </c>
      <c r="C575" t="s">
        <v>27</v>
      </c>
      <c r="D575" t="s">
        <v>421</v>
      </c>
      <c r="E575" s="2">
        <v>29</v>
      </c>
      <c r="F575" s="4">
        <v>10</v>
      </c>
      <c r="G575" s="2">
        <v>290</v>
      </c>
      <c r="H575" t="s">
        <v>45</v>
      </c>
      <c r="I575" t="s">
        <v>16</v>
      </c>
      <c r="J575" s="1">
        <v>45056</v>
      </c>
      <c r="K575" t="b">
        <v>0</v>
      </c>
    </row>
    <row r="576" spans="1:11" x14ac:dyDescent="0.25">
      <c r="A576" t="s">
        <v>3982</v>
      </c>
      <c r="B576" t="s">
        <v>85</v>
      </c>
      <c r="C576" t="s">
        <v>31</v>
      </c>
      <c r="D576" t="s">
        <v>372</v>
      </c>
      <c r="E576" s="2">
        <v>29</v>
      </c>
      <c r="F576" s="4">
        <v>10</v>
      </c>
      <c r="G576" s="2">
        <v>290</v>
      </c>
      <c r="H576" t="s">
        <v>15</v>
      </c>
      <c r="I576" t="s">
        <v>16</v>
      </c>
      <c r="J576" s="1">
        <v>44934</v>
      </c>
      <c r="K576" t="b">
        <v>0</v>
      </c>
    </row>
    <row r="577" spans="1:11" x14ac:dyDescent="0.25">
      <c r="A577" t="s">
        <v>472</v>
      </c>
      <c r="B577" t="s">
        <v>61</v>
      </c>
      <c r="C577" t="s">
        <v>13</v>
      </c>
      <c r="D577" t="s">
        <v>55</v>
      </c>
      <c r="E577" s="2">
        <v>29</v>
      </c>
      <c r="F577" s="4">
        <v>10</v>
      </c>
      <c r="G577" s="2">
        <v>290</v>
      </c>
      <c r="H577" t="s">
        <v>15</v>
      </c>
      <c r="I577" t="s">
        <v>16</v>
      </c>
      <c r="J577" s="1">
        <v>45545</v>
      </c>
      <c r="K577" t="b">
        <v>1</v>
      </c>
    </row>
    <row r="578" spans="1:11" x14ac:dyDescent="0.25">
      <c r="A578" t="s">
        <v>2555</v>
      </c>
      <c r="B578" t="s">
        <v>51</v>
      </c>
      <c r="C578" t="s">
        <v>13</v>
      </c>
      <c r="D578" t="s">
        <v>55</v>
      </c>
      <c r="E578" s="2">
        <v>29</v>
      </c>
      <c r="F578" s="4">
        <v>10</v>
      </c>
      <c r="G578" s="2">
        <v>290</v>
      </c>
      <c r="H578" t="s">
        <v>45</v>
      </c>
      <c r="I578" t="s">
        <v>36</v>
      </c>
      <c r="J578" s="1">
        <v>44996</v>
      </c>
      <c r="K578" t="b">
        <v>0</v>
      </c>
    </row>
    <row r="579" spans="1:11" x14ac:dyDescent="0.25">
      <c r="A579" t="s">
        <v>1191</v>
      </c>
      <c r="B579" t="s">
        <v>30</v>
      </c>
      <c r="C579" t="s">
        <v>13</v>
      </c>
      <c r="D579" t="s">
        <v>55</v>
      </c>
      <c r="E579" s="2">
        <v>29</v>
      </c>
      <c r="F579" s="4">
        <v>10</v>
      </c>
      <c r="G579" s="2">
        <v>290</v>
      </c>
      <c r="H579" t="s">
        <v>45</v>
      </c>
      <c r="I579" t="s">
        <v>16</v>
      </c>
      <c r="J579" s="1">
        <v>45231</v>
      </c>
      <c r="K579" t="b">
        <v>0</v>
      </c>
    </row>
    <row r="580" spans="1:11" x14ac:dyDescent="0.25">
      <c r="A580" t="s">
        <v>3934</v>
      </c>
      <c r="B580" t="s">
        <v>43</v>
      </c>
      <c r="C580" t="s">
        <v>27</v>
      </c>
      <c r="D580" t="s">
        <v>421</v>
      </c>
      <c r="E580" s="2">
        <v>29</v>
      </c>
      <c r="F580" s="4">
        <v>10</v>
      </c>
      <c r="G580" s="2">
        <v>290</v>
      </c>
      <c r="H580" t="s">
        <v>45</v>
      </c>
      <c r="I580" t="s">
        <v>16</v>
      </c>
      <c r="J580" s="1">
        <v>45545</v>
      </c>
      <c r="K580" t="b">
        <v>0</v>
      </c>
    </row>
    <row r="581" spans="1:11" x14ac:dyDescent="0.25">
      <c r="A581" t="s">
        <v>7100</v>
      </c>
      <c r="B581" t="s">
        <v>77</v>
      </c>
      <c r="C581" t="s">
        <v>19</v>
      </c>
      <c r="D581" t="s">
        <v>20</v>
      </c>
      <c r="E581" s="2">
        <v>29</v>
      </c>
      <c r="F581" s="4">
        <v>10</v>
      </c>
      <c r="G581" s="2">
        <v>290</v>
      </c>
      <c r="H581" t="s">
        <v>15</v>
      </c>
      <c r="I581" t="s">
        <v>16</v>
      </c>
      <c r="J581" s="1">
        <v>45598</v>
      </c>
      <c r="K581" t="b">
        <v>0</v>
      </c>
    </row>
    <row r="582" spans="1:11" x14ac:dyDescent="0.25">
      <c r="A582" t="s">
        <v>4123</v>
      </c>
      <c r="B582" t="s">
        <v>86</v>
      </c>
      <c r="C582" t="s">
        <v>59</v>
      </c>
      <c r="D582" t="s">
        <v>297</v>
      </c>
      <c r="E582" s="2">
        <v>29</v>
      </c>
      <c r="F582" s="4">
        <v>10</v>
      </c>
      <c r="G582" s="2">
        <v>290</v>
      </c>
      <c r="H582" t="s">
        <v>15</v>
      </c>
      <c r="I582" t="s">
        <v>36</v>
      </c>
      <c r="J582" s="1">
        <v>44934</v>
      </c>
      <c r="K582" t="b">
        <v>1</v>
      </c>
    </row>
    <row r="583" spans="1:11" x14ac:dyDescent="0.25">
      <c r="A583" t="s">
        <v>4564</v>
      </c>
      <c r="B583" t="s">
        <v>63</v>
      </c>
      <c r="C583" t="s">
        <v>110</v>
      </c>
      <c r="D583" t="s">
        <v>386</v>
      </c>
      <c r="E583" s="2">
        <v>29</v>
      </c>
      <c r="F583" s="4">
        <v>10</v>
      </c>
      <c r="G583" s="2">
        <v>290</v>
      </c>
      <c r="H583" t="s">
        <v>15</v>
      </c>
      <c r="I583" t="s">
        <v>16</v>
      </c>
      <c r="J583" s="1">
        <v>44614</v>
      </c>
      <c r="K583" t="b">
        <v>1</v>
      </c>
    </row>
    <row r="584" spans="1:11" x14ac:dyDescent="0.25">
      <c r="A584" t="s">
        <v>2138</v>
      </c>
      <c r="B584" t="s">
        <v>51</v>
      </c>
      <c r="C584" t="s">
        <v>38</v>
      </c>
      <c r="D584" t="s">
        <v>267</v>
      </c>
      <c r="E584" s="2">
        <v>29</v>
      </c>
      <c r="F584" s="4">
        <v>10</v>
      </c>
      <c r="G584" s="2">
        <v>290</v>
      </c>
      <c r="H584" t="s">
        <v>15</v>
      </c>
      <c r="I584" t="s">
        <v>16</v>
      </c>
      <c r="J584" s="1">
        <v>44574</v>
      </c>
      <c r="K584" t="b">
        <v>1</v>
      </c>
    </row>
    <row r="585" spans="1:11" x14ac:dyDescent="0.25">
      <c r="A585" t="s">
        <v>7231</v>
      </c>
      <c r="B585" t="s">
        <v>56</v>
      </c>
      <c r="C585" t="s">
        <v>23</v>
      </c>
      <c r="D585" t="s">
        <v>352</v>
      </c>
      <c r="E585" s="2">
        <v>29</v>
      </c>
      <c r="F585" s="4">
        <v>10</v>
      </c>
      <c r="G585" s="2">
        <v>290</v>
      </c>
      <c r="H585" t="s">
        <v>15</v>
      </c>
      <c r="I585" t="s">
        <v>16</v>
      </c>
      <c r="J585" s="1">
        <v>45371</v>
      </c>
      <c r="K585" t="b">
        <v>0</v>
      </c>
    </row>
    <row r="586" spans="1:11" x14ac:dyDescent="0.25">
      <c r="A586" t="s">
        <v>6739</v>
      </c>
      <c r="B586" t="s">
        <v>100</v>
      </c>
      <c r="C586" t="s">
        <v>27</v>
      </c>
      <c r="D586" t="s">
        <v>421</v>
      </c>
      <c r="E586" s="2">
        <v>29</v>
      </c>
      <c r="F586" s="4">
        <v>10</v>
      </c>
      <c r="G586" s="2">
        <v>290</v>
      </c>
      <c r="H586" t="s">
        <v>25</v>
      </c>
      <c r="I586" t="s">
        <v>36</v>
      </c>
      <c r="J586" s="1">
        <v>44795</v>
      </c>
      <c r="K586" t="b">
        <v>0</v>
      </c>
    </row>
    <row r="587" spans="1:11" x14ac:dyDescent="0.25">
      <c r="A587" t="s">
        <v>4548</v>
      </c>
      <c r="B587" t="s">
        <v>97</v>
      </c>
      <c r="C587" t="s">
        <v>27</v>
      </c>
      <c r="D587" t="s">
        <v>421</v>
      </c>
      <c r="E587" s="2">
        <v>29</v>
      </c>
      <c r="F587" s="4">
        <v>10</v>
      </c>
      <c r="G587" s="2">
        <v>290</v>
      </c>
      <c r="H587" t="s">
        <v>15</v>
      </c>
      <c r="I587" t="s">
        <v>36</v>
      </c>
      <c r="J587" s="1">
        <v>45471</v>
      </c>
      <c r="K587" t="b">
        <v>1</v>
      </c>
    </row>
    <row r="588" spans="1:11" x14ac:dyDescent="0.25">
      <c r="A588" t="s">
        <v>707</v>
      </c>
      <c r="B588" t="s">
        <v>66</v>
      </c>
      <c r="C588" t="s">
        <v>23</v>
      </c>
      <c r="D588" t="s">
        <v>708</v>
      </c>
      <c r="E588" s="2">
        <v>32</v>
      </c>
      <c r="F588" s="4">
        <v>9</v>
      </c>
      <c r="G588" s="2">
        <v>288</v>
      </c>
      <c r="H588" t="s">
        <v>15</v>
      </c>
      <c r="I588" t="s">
        <v>16</v>
      </c>
      <c r="J588" s="1">
        <v>44699</v>
      </c>
      <c r="K588" t="b">
        <v>1</v>
      </c>
    </row>
    <row r="589" spans="1:11" x14ac:dyDescent="0.25">
      <c r="A589" t="s">
        <v>5465</v>
      </c>
      <c r="B589" t="s">
        <v>26</v>
      </c>
      <c r="C589" t="s">
        <v>19</v>
      </c>
      <c r="D589" t="s">
        <v>120</v>
      </c>
      <c r="E589" s="2">
        <v>32</v>
      </c>
      <c r="F589" s="4">
        <v>9</v>
      </c>
      <c r="G589" s="2">
        <v>288</v>
      </c>
      <c r="H589" t="s">
        <v>25</v>
      </c>
      <c r="I589" t="s">
        <v>36</v>
      </c>
      <c r="J589" s="1">
        <v>45247</v>
      </c>
      <c r="K589" t="b">
        <v>1</v>
      </c>
    </row>
    <row r="590" spans="1:11" x14ac:dyDescent="0.25">
      <c r="A590" t="s">
        <v>1187</v>
      </c>
      <c r="B590" t="s">
        <v>51</v>
      </c>
      <c r="C590" t="s">
        <v>19</v>
      </c>
      <c r="D590" t="s">
        <v>120</v>
      </c>
      <c r="E590" s="2">
        <v>32</v>
      </c>
      <c r="F590" s="4">
        <v>9</v>
      </c>
      <c r="G590" s="2">
        <v>288</v>
      </c>
      <c r="H590" t="s">
        <v>45</v>
      </c>
      <c r="I590" t="s">
        <v>36</v>
      </c>
      <c r="J590" s="1">
        <v>44810</v>
      </c>
      <c r="K590" t="b">
        <v>0</v>
      </c>
    </row>
    <row r="591" spans="1:11" x14ac:dyDescent="0.25">
      <c r="A591" t="s">
        <v>4259</v>
      </c>
      <c r="B591" t="s">
        <v>26</v>
      </c>
      <c r="C591" t="s">
        <v>59</v>
      </c>
      <c r="D591" t="s">
        <v>254</v>
      </c>
      <c r="E591" s="2">
        <v>32</v>
      </c>
      <c r="F591" s="4">
        <v>9</v>
      </c>
      <c r="G591" s="2">
        <v>288</v>
      </c>
      <c r="H591" t="s">
        <v>25</v>
      </c>
      <c r="I591" t="s">
        <v>16</v>
      </c>
      <c r="J591" s="1">
        <v>44870</v>
      </c>
      <c r="K591" t="b">
        <v>0</v>
      </c>
    </row>
    <row r="592" spans="1:11" x14ac:dyDescent="0.25">
      <c r="A592" t="s">
        <v>6003</v>
      </c>
      <c r="B592" t="s">
        <v>40</v>
      </c>
      <c r="C592" t="s">
        <v>19</v>
      </c>
      <c r="D592" t="s">
        <v>120</v>
      </c>
      <c r="E592" s="2">
        <v>32</v>
      </c>
      <c r="F592" s="4">
        <v>9</v>
      </c>
      <c r="G592" s="2">
        <v>288</v>
      </c>
      <c r="H592" t="s">
        <v>15</v>
      </c>
      <c r="I592" t="s">
        <v>16</v>
      </c>
      <c r="J592" s="1">
        <v>45406</v>
      </c>
      <c r="K592" t="b">
        <v>1</v>
      </c>
    </row>
    <row r="593" spans="1:11" x14ac:dyDescent="0.25">
      <c r="A593" t="s">
        <v>6760</v>
      </c>
      <c r="B593" t="s">
        <v>61</v>
      </c>
      <c r="C593" t="s">
        <v>19</v>
      </c>
      <c r="D593" t="s">
        <v>120</v>
      </c>
      <c r="E593" s="2">
        <v>32</v>
      </c>
      <c r="F593" s="4">
        <v>9</v>
      </c>
      <c r="G593" s="2">
        <v>288</v>
      </c>
      <c r="H593" t="s">
        <v>45</v>
      </c>
      <c r="I593" t="s">
        <v>36</v>
      </c>
      <c r="J593" s="1">
        <v>44744</v>
      </c>
      <c r="K593" t="b">
        <v>1</v>
      </c>
    </row>
    <row r="594" spans="1:11" x14ac:dyDescent="0.25">
      <c r="A594" t="s">
        <v>5500</v>
      </c>
      <c r="B594" t="s">
        <v>18</v>
      </c>
      <c r="C594" t="s">
        <v>19</v>
      </c>
      <c r="D594" t="s">
        <v>120</v>
      </c>
      <c r="E594" s="2">
        <v>32</v>
      </c>
      <c r="F594" s="4">
        <v>9</v>
      </c>
      <c r="G594" s="2">
        <v>288</v>
      </c>
      <c r="H594" t="s">
        <v>25</v>
      </c>
      <c r="I594" t="s">
        <v>16</v>
      </c>
      <c r="J594" s="1">
        <v>44941</v>
      </c>
      <c r="K594" t="b">
        <v>0</v>
      </c>
    </row>
    <row r="595" spans="1:11" x14ac:dyDescent="0.25">
      <c r="A595" t="s">
        <v>6167</v>
      </c>
      <c r="B595" t="s">
        <v>12</v>
      </c>
      <c r="C595" t="s">
        <v>19</v>
      </c>
      <c r="D595" t="s">
        <v>120</v>
      </c>
      <c r="E595" s="2">
        <v>32</v>
      </c>
      <c r="F595" s="4">
        <v>9</v>
      </c>
      <c r="G595" s="2">
        <v>288</v>
      </c>
      <c r="H595" t="s">
        <v>25</v>
      </c>
      <c r="I595" t="s">
        <v>16</v>
      </c>
      <c r="J595" s="1">
        <v>44628</v>
      </c>
      <c r="K595" t="b">
        <v>1</v>
      </c>
    </row>
    <row r="596" spans="1:11" x14ac:dyDescent="0.25">
      <c r="A596" t="s">
        <v>1276</v>
      </c>
      <c r="B596" t="s">
        <v>66</v>
      </c>
      <c r="C596" t="s">
        <v>27</v>
      </c>
      <c r="D596" t="s">
        <v>207</v>
      </c>
      <c r="E596" s="2">
        <v>32</v>
      </c>
      <c r="F596" s="4">
        <v>9</v>
      </c>
      <c r="G596" s="2">
        <v>288</v>
      </c>
      <c r="H596" t="s">
        <v>15</v>
      </c>
      <c r="I596" t="s">
        <v>16</v>
      </c>
      <c r="J596" s="1">
        <v>45259</v>
      </c>
      <c r="K596" t="b">
        <v>0</v>
      </c>
    </row>
    <row r="597" spans="1:11" x14ac:dyDescent="0.25">
      <c r="A597" t="s">
        <v>6043</v>
      </c>
      <c r="B597" t="s">
        <v>34</v>
      </c>
      <c r="C597" t="s">
        <v>19</v>
      </c>
      <c r="D597" t="s">
        <v>120</v>
      </c>
      <c r="E597" s="2">
        <v>32</v>
      </c>
      <c r="F597" s="4">
        <v>9</v>
      </c>
      <c r="G597" s="2">
        <v>288</v>
      </c>
      <c r="H597" t="s">
        <v>45</v>
      </c>
      <c r="I597" t="s">
        <v>16</v>
      </c>
      <c r="J597" s="1">
        <v>45596</v>
      </c>
      <c r="K597" t="b">
        <v>0</v>
      </c>
    </row>
    <row r="598" spans="1:11" x14ac:dyDescent="0.25">
      <c r="A598" t="s">
        <v>1171</v>
      </c>
      <c r="B598" t="s">
        <v>63</v>
      </c>
      <c r="C598" t="s">
        <v>19</v>
      </c>
      <c r="D598" t="s">
        <v>120</v>
      </c>
      <c r="E598" s="2">
        <v>32</v>
      </c>
      <c r="F598" s="4">
        <v>9</v>
      </c>
      <c r="G598" s="2">
        <v>288</v>
      </c>
      <c r="H598" t="s">
        <v>45</v>
      </c>
      <c r="I598" t="s">
        <v>36</v>
      </c>
      <c r="J598" s="1">
        <v>44693</v>
      </c>
      <c r="K598" t="b">
        <v>0</v>
      </c>
    </row>
    <row r="599" spans="1:11" x14ac:dyDescent="0.25">
      <c r="A599" t="s">
        <v>281</v>
      </c>
      <c r="B599" t="s">
        <v>18</v>
      </c>
      <c r="C599" t="s">
        <v>110</v>
      </c>
      <c r="D599" t="s">
        <v>282</v>
      </c>
      <c r="E599" s="2">
        <v>32</v>
      </c>
      <c r="F599" s="4">
        <v>9</v>
      </c>
      <c r="G599" s="2">
        <v>288</v>
      </c>
      <c r="H599" t="s">
        <v>45</v>
      </c>
      <c r="I599" t="s">
        <v>16</v>
      </c>
      <c r="J599" s="1">
        <v>44718</v>
      </c>
      <c r="K599" t="b">
        <v>0</v>
      </c>
    </row>
    <row r="600" spans="1:11" x14ac:dyDescent="0.25">
      <c r="A600" t="s">
        <v>7057</v>
      </c>
      <c r="B600" t="s">
        <v>77</v>
      </c>
      <c r="C600" t="s">
        <v>59</v>
      </c>
      <c r="D600" t="s">
        <v>254</v>
      </c>
      <c r="E600" s="2">
        <v>32</v>
      </c>
      <c r="F600" s="4">
        <v>9</v>
      </c>
      <c r="G600" s="2">
        <v>288</v>
      </c>
      <c r="H600" t="s">
        <v>15</v>
      </c>
      <c r="I600" t="s">
        <v>16</v>
      </c>
      <c r="J600" s="1">
        <v>45228</v>
      </c>
      <c r="K600" t="b">
        <v>0</v>
      </c>
    </row>
    <row r="601" spans="1:11" x14ac:dyDescent="0.25">
      <c r="A601" t="s">
        <v>2873</v>
      </c>
      <c r="B601" t="s">
        <v>85</v>
      </c>
      <c r="C601" t="s">
        <v>19</v>
      </c>
      <c r="D601" t="s">
        <v>120</v>
      </c>
      <c r="E601" s="2">
        <v>32</v>
      </c>
      <c r="F601" s="4">
        <v>9</v>
      </c>
      <c r="G601" s="2">
        <v>288</v>
      </c>
      <c r="H601" t="s">
        <v>15</v>
      </c>
      <c r="I601" t="s">
        <v>16</v>
      </c>
      <c r="J601" s="1">
        <v>45639</v>
      </c>
      <c r="K601" t="b">
        <v>0</v>
      </c>
    </row>
    <row r="602" spans="1:11" x14ac:dyDescent="0.25">
      <c r="A602" t="s">
        <v>6683</v>
      </c>
      <c r="B602" t="s">
        <v>77</v>
      </c>
      <c r="C602" t="s">
        <v>23</v>
      </c>
      <c r="D602" t="s">
        <v>708</v>
      </c>
      <c r="E602" s="2">
        <v>32</v>
      </c>
      <c r="F602" s="4">
        <v>9</v>
      </c>
      <c r="G602" s="2">
        <v>288</v>
      </c>
      <c r="H602" t="s">
        <v>25</v>
      </c>
      <c r="I602" t="s">
        <v>36</v>
      </c>
      <c r="J602" s="1">
        <v>45315</v>
      </c>
      <c r="K602" t="b">
        <v>0</v>
      </c>
    </row>
    <row r="603" spans="1:11" x14ac:dyDescent="0.25">
      <c r="A603" t="s">
        <v>4472</v>
      </c>
      <c r="B603" t="s">
        <v>40</v>
      </c>
      <c r="C603" t="s">
        <v>23</v>
      </c>
      <c r="D603" t="s">
        <v>708</v>
      </c>
      <c r="E603" s="2">
        <v>32</v>
      </c>
      <c r="F603" s="4">
        <v>9</v>
      </c>
      <c r="G603" s="2">
        <v>288</v>
      </c>
      <c r="H603" t="s">
        <v>25</v>
      </c>
      <c r="I603" t="s">
        <v>36</v>
      </c>
      <c r="J603" s="1">
        <v>45565</v>
      </c>
      <c r="K603" t="b">
        <v>0</v>
      </c>
    </row>
    <row r="604" spans="1:11" x14ac:dyDescent="0.25">
      <c r="A604" t="s">
        <v>2338</v>
      </c>
      <c r="B604" t="s">
        <v>66</v>
      </c>
      <c r="C604" t="s">
        <v>27</v>
      </c>
      <c r="D604" t="s">
        <v>207</v>
      </c>
      <c r="E604" s="2">
        <v>32</v>
      </c>
      <c r="F604" s="4">
        <v>9</v>
      </c>
      <c r="G604" s="2">
        <v>288</v>
      </c>
      <c r="H604" t="s">
        <v>15</v>
      </c>
      <c r="I604" t="s">
        <v>36</v>
      </c>
      <c r="J604" s="1">
        <v>45628</v>
      </c>
      <c r="K604" t="b">
        <v>0</v>
      </c>
    </row>
    <row r="605" spans="1:11" x14ac:dyDescent="0.25">
      <c r="A605" t="s">
        <v>2130</v>
      </c>
      <c r="B605" t="s">
        <v>51</v>
      </c>
      <c r="C605" t="s">
        <v>19</v>
      </c>
      <c r="D605" t="s">
        <v>120</v>
      </c>
      <c r="E605" s="2">
        <v>32</v>
      </c>
      <c r="F605" s="4">
        <v>9</v>
      </c>
      <c r="G605" s="2">
        <v>288</v>
      </c>
      <c r="H605" t="s">
        <v>25</v>
      </c>
      <c r="I605" t="s">
        <v>16</v>
      </c>
      <c r="J605" s="1">
        <v>44981</v>
      </c>
      <c r="K605" t="b">
        <v>1</v>
      </c>
    </row>
    <row r="606" spans="1:11" x14ac:dyDescent="0.25">
      <c r="A606" t="s">
        <v>5799</v>
      </c>
      <c r="B606" t="s">
        <v>66</v>
      </c>
      <c r="C606" t="s">
        <v>110</v>
      </c>
      <c r="D606" t="s">
        <v>282</v>
      </c>
      <c r="E606" s="2">
        <v>32</v>
      </c>
      <c r="F606" s="4">
        <v>9</v>
      </c>
      <c r="G606" s="2">
        <v>288</v>
      </c>
      <c r="H606" t="s">
        <v>25</v>
      </c>
      <c r="I606" t="s">
        <v>16</v>
      </c>
      <c r="J606" s="1">
        <v>45538</v>
      </c>
      <c r="K606" t="b">
        <v>1</v>
      </c>
    </row>
    <row r="607" spans="1:11" x14ac:dyDescent="0.25">
      <c r="A607" t="s">
        <v>6293</v>
      </c>
      <c r="B607" t="s">
        <v>63</v>
      </c>
      <c r="C607" t="s">
        <v>110</v>
      </c>
      <c r="D607" t="s">
        <v>282</v>
      </c>
      <c r="E607" s="2">
        <v>32</v>
      </c>
      <c r="F607" s="4">
        <v>9</v>
      </c>
      <c r="G607" s="2">
        <v>288</v>
      </c>
      <c r="H607" t="s">
        <v>25</v>
      </c>
      <c r="I607" t="s">
        <v>36</v>
      </c>
      <c r="J607" s="1">
        <v>45386</v>
      </c>
      <c r="K607" t="b">
        <v>0</v>
      </c>
    </row>
    <row r="608" spans="1:11" x14ac:dyDescent="0.25">
      <c r="A608" t="s">
        <v>7036</v>
      </c>
      <c r="B608" t="s">
        <v>56</v>
      </c>
      <c r="C608" t="s">
        <v>110</v>
      </c>
      <c r="D608" t="s">
        <v>282</v>
      </c>
      <c r="E608" s="2">
        <v>32</v>
      </c>
      <c r="F608" s="4">
        <v>9</v>
      </c>
      <c r="G608" s="2">
        <v>288</v>
      </c>
      <c r="H608" t="s">
        <v>15</v>
      </c>
      <c r="I608" t="s">
        <v>36</v>
      </c>
      <c r="J608" s="1">
        <v>45072</v>
      </c>
      <c r="K608" t="b">
        <v>0</v>
      </c>
    </row>
    <row r="609" spans="1:11" x14ac:dyDescent="0.25">
      <c r="A609" t="s">
        <v>1371</v>
      </c>
      <c r="B609" t="s">
        <v>100</v>
      </c>
      <c r="C609" t="s">
        <v>59</v>
      </c>
      <c r="D609" t="s">
        <v>254</v>
      </c>
      <c r="E609" s="2">
        <v>32</v>
      </c>
      <c r="F609" s="4">
        <v>9</v>
      </c>
      <c r="G609" s="2">
        <v>288</v>
      </c>
      <c r="H609" t="s">
        <v>45</v>
      </c>
      <c r="I609" t="s">
        <v>36</v>
      </c>
      <c r="J609" s="1">
        <v>45405</v>
      </c>
      <c r="K609" t="b">
        <v>1</v>
      </c>
    </row>
    <row r="610" spans="1:11" x14ac:dyDescent="0.25">
      <c r="A610" t="s">
        <v>3156</v>
      </c>
      <c r="B610" t="s">
        <v>100</v>
      </c>
      <c r="C610" t="s">
        <v>59</v>
      </c>
      <c r="D610" t="s">
        <v>254</v>
      </c>
      <c r="E610" s="2">
        <v>32</v>
      </c>
      <c r="F610" s="4">
        <v>9</v>
      </c>
      <c r="G610" s="2">
        <v>288</v>
      </c>
      <c r="H610" t="s">
        <v>25</v>
      </c>
      <c r="I610" t="s">
        <v>16</v>
      </c>
      <c r="J610" s="1">
        <v>44944</v>
      </c>
      <c r="K610" t="b">
        <v>0</v>
      </c>
    </row>
    <row r="611" spans="1:11" x14ac:dyDescent="0.25">
      <c r="A611" t="s">
        <v>1593</v>
      </c>
      <c r="B611" t="s">
        <v>85</v>
      </c>
      <c r="C611" t="s">
        <v>13</v>
      </c>
      <c r="D611" t="s">
        <v>426</v>
      </c>
      <c r="E611" s="2">
        <v>32</v>
      </c>
      <c r="F611" s="4">
        <v>9</v>
      </c>
      <c r="G611" s="2">
        <v>288</v>
      </c>
      <c r="H611" t="s">
        <v>45</v>
      </c>
      <c r="I611" t="s">
        <v>16</v>
      </c>
      <c r="J611" s="1">
        <v>44589</v>
      </c>
      <c r="K611" t="b">
        <v>1</v>
      </c>
    </row>
    <row r="612" spans="1:11" x14ac:dyDescent="0.25">
      <c r="A612" t="s">
        <v>3140</v>
      </c>
      <c r="B612" t="s">
        <v>51</v>
      </c>
      <c r="C612" t="s">
        <v>31</v>
      </c>
      <c r="D612" t="s">
        <v>1505</v>
      </c>
      <c r="E612" s="2">
        <v>32</v>
      </c>
      <c r="F612" s="4">
        <v>9</v>
      </c>
      <c r="G612" s="2">
        <v>288</v>
      </c>
      <c r="H612" t="s">
        <v>25</v>
      </c>
      <c r="I612" t="s">
        <v>36</v>
      </c>
      <c r="J612" s="1">
        <v>45258</v>
      </c>
      <c r="K612" t="b">
        <v>0</v>
      </c>
    </row>
    <row r="613" spans="1:11" x14ac:dyDescent="0.25">
      <c r="A613" t="s">
        <v>5143</v>
      </c>
      <c r="B613" t="s">
        <v>26</v>
      </c>
      <c r="C613" t="s">
        <v>31</v>
      </c>
      <c r="D613" t="s">
        <v>286</v>
      </c>
      <c r="E613" s="2">
        <v>41</v>
      </c>
      <c r="F613" s="4">
        <v>7</v>
      </c>
      <c r="G613" s="2">
        <v>287</v>
      </c>
      <c r="H613" t="s">
        <v>45</v>
      </c>
      <c r="I613" t="s">
        <v>16</v>
      </c>
      <c r="J613" s="1">
        <v>44637</v>
      </c>
      <c r="K613" t="b">
        <v>0</v>
      </c>
    </row>
    <row r="614" spans="1:11" x14ac:dyDescent="0.25">
      <c r="A614" t="s">
        <v>3667</v>
      </c>
      <c r="B614" t="s">
        <v>72</v>
      </c>
      <c r="C614" t="s">
        <v>27</v>
      </c>
      <c r="D614" t="s">
        <v>89</v>
      </c>
      <c r="E614" s="2">
        <v>41</v>
      </c>
      <c r="F614" s="4">
        <v>7</v>
      </c>
      <c r="G614" s="2">
        <v>287</v>
      </c>
      <c r="H614" t="s">
        <v>15</v>
      </c>
      <c r="I614" t="s">
        <v>36</v>
      </c>
      <c r="J614" s="1">
        <v>45674</v>
      </c>
      <c r="K614" t="b">
        <v>0</v>
      </c>
    </row>
    <row r="615" spans="1:11" x14ac:dyDescent="0.25">
      <c r="A615" t="s">
        <v>1994</v>
      </c>
      <c r="B615" t="s">
        <v>142</v>
      </c>
      <c r="C615" t="s">
        <v>31</v>
      </c>
      <c r="D615" t="s">
        <v>286</v>
      </c>
      <c r="E615" s="2">
        <v>41</v>
      </c>
      <c r="F615" s="4">
        <v>7</v>
      </c>
      <c r="G615" s="2">
        <v>287</v>
      </c>
      <c r="H615" t="s">
        <v>15</v>
      </c>
      <c r="I615" t="s">
        <v>16</v>
      </c>
      <c r="J615" s="1">
        <v>44885</v>
      </c>
      <c r="K615" t="b">
        <v>1</v>
      </c>
    </row>
    <row r="616" spans="1:11" x14ac:dyDescent="0.25">
      <c r="A616" t="s">
        <v>3604</v>
      </c>
      <c r="B616" t="s">
        <v>34</v>
      </c>
      <c r="C616" t="s">
        <v>59</v>
      </c>
      <c r="D616" t="s">
        <v>325</v>
      </c>
      <c r="E616" s="2">
        <v>41</v>
      </c>
      <c r="F616" s="4">
        <v>7</v>
      </c>
      <c r="G616" s="2">
        <v>287</v>
      </c>
      <c r="H616" t="s">
        <v>45</v>
      </c>
      <c r="I616" t="s">
        <v>36</v>
      </c>
      <c r="J616" s="1">
        <v>44988</v>
      </c>
      <c r="K616" t="b">
        <v>1</v>
      </c>
    </row>
    <row r="617" spans="1:11" x14ac:dyDescent="0.25">
      <c r="A617" t="s">
        <v>1106</v>
      </c>
      <c r="B617" t="s">
        <v>40</v>
      </c>
      <c r="C617" t="s">
        <v>38</v>
      </c>
      <c r="D617" t="s">
        <v>75</v>
      </c>
      <c r="E617" s="2">
        <v>41</v>
      </c>
      <c r="F617" s="4">
        <v>7</v>
      </c>
      <c r="G617" s="2">
        <v>287</v>
      </c>
      <c r="H617" t="s">
        <v>45</v>
      </c>
      <c r="I617" t="s">
        <v>36</v>
      </c>
      <c r="J617" s="1">
        <v>45273</v>
      </c>
      <c r="K617" t="b">
        <v>1</v>
      </c>
    </row>
    <row r="618" spans="1:11" x14ac:dyDescent="0.25">
      <c r="A618" t="s">
        <v>6337</v>
      </c>
      <c r="B618" t="s">
        <v>56</v>
      </c>
      <c r="C618" t="s">
        <v>31</v>
      </c>
      <c r="D618" t="s">
        <v>286</v>
      </c>
      <c r="E618" s="2">
        <v>41</v>
      </c>
      <c r="F618" s="4">
        <v>7</v>
      </c>
      <c r="G618" s="2">
        <v>287</v>
      </c>
      <c r="H618" t="s">
        <v>45</v>
      </c>
      <c r="I618" t="s">
        <v>36</v>
      </c>
      <c r="J618" s="1">
        <v>45469</v>
      </c>
      <c r="K618" t="b">
        <v>0</v>
      </c>
    </row>
    <row r="619" spans="1:11" x14ac:dyDescent="0.25">
      <c r="A619" t="s">
        <v>7637</v>
      </c>
      <c r="B619" t="s">
        <v>86</v>
      </c>
      <c r="C619" t="s">
        <v>59</v>
      </c>
      <c r="D619" t="s">
        <v>325</v>
      </c>
      <c r="E619" s="2">
        <v>41</v>
      </c>
      <c r="F619" s="4">
        <v>7</v>
      </c>
      <c r="G619" s="2">
        <v>287</v>
      </c>
      <c r="H619" t="s">
        <v>15</v>
      </c>
      <c r="I619" t="s">
        <v>36</v>
      </c>
      <c r="J619" s="1">
        <v>45648</v>
      </c>
      <c r="K619" t="b">
        <v>0</v>
      </c>
    </row>
    <row r="620" spans="1:11" x14ac:dyDescent="0.25">
      <c r="A620" t="s">
        <v>6421</v>
      </c>
      <c r="B620" t="s">
        <v>104</v>
      </c>
      <c r="C620" t="s">
        <v>31</v>
      </c>
      <c r="D620" t="s">
        <v>286</v>
      </c>
      <c r="E620" s="2">
        <v>41</v>
      </c>
      <c r="F620" s="4">
        <v>7</v>
      </c>
      <c r="G620" s="2">
        <v>287</v>
      </c>
      <c r="H620" t="s">
        <v>45</v>
      </c>
      <c r="I620" t="s">
        <v>36</v>
      </c>
      <c r="J620" s="1">
        <v>44931</v>
      </c>
      <c r="K620" t="b">
        <v>1</v>
      </c>
    </row>
    <row r="621" spans="1:11" x14ac:dyDescent="0.25">
      <c r="A621" t="s">
        <v>4304</v>
      </c>
      <c r="B621" t="s">
        <v>43</v>
      </c>
      <c r="C621" t="s">
        <v>59</v>
      </c>
      <c r="D621" t="s">
        <v>325</v>
      </c>
      <c r="E621" s="2">
        <v>41</v>
      </c>
      <c r="F621" s="4">
        <v>7</v>
      </c>
      <c r="G621" s="2">
        <v>287</v>
      </c>
      <c r="H621" t="s">
        <v>45</v>
      </c>
      <c r="I621" t="s">
        <v>36</v>
      </c>
      <c r="J621" s="1">
        <v>45608</v>
      </c>
      <c r="K621" t="b">
        <v>1</v>
      </c>
    </row>
    <row r="622" spans="1:11" x14ac:dyDescent="0.25">
      <c r="A622" t="s">
        <v>2663</v>
      </c>
      <c r="B622" t="s">
        <v>22</v>
      </c>
      <c r="C622" t="s">
        <v>59</v>
      </c>
      <c r="D622" t="s">
        <v>325</v>
      </c>
      <c r="E622" s="2">
        <v>41</v>
      </c>
      <c r="F622" s="4">
        <v>7</v>
      </c>
      <c r="G622" s="2">
        <v>287</v>
      </c>
      <c r="H622" t="s">
        <v>45</v>
      </c>
      <c r="I622" t="s">
        <v>36</v>
      </c>
      <c r="J622" s="1">
        <v>44855</v>
      </c>
      <c r="K622" t="b">
        <v>0</v>
      </c>
    </row>
    <row r="623" spans="1:11" x14ac:dyDescent="0.25">
      <c r="A623" t="s">
        <v>7078</v>
      </c>
      <c r="B623" t="s">
        <v>34</v>
      </c>
      <c r="C623" t="s">
        <v>23</v>
      </c>
      <c r="D623" t="s">
        <v>302</v>
      </c>
      <c r="E623" s="2">
        <v>41</v>
      </c>
      <c r="F623" s="4">
        <v>7</v>
      </c>
      <c r="G623" s="2">
        <v>287</v>
      </c>
      <c r="H623" t="s">
        <v>45</v>
      </c>
      <c r="I623" t="s">
        <v>16</v>
      </c>
      <c r="J623" s="1">
        <v>44598</v>
      </c>
      <c r="K623" t="b">
        <v>0</v>
      </c>
    </row>
    <row r="624" spans="1:11" x14ac:dyDescent="0.25">
      <c r="A624" t="s">
        <v>1342</v>
      </c>
      <c r="B624" t="s">
        <v>22</v>
      </c>
      <c r="C624" t="s">
        <v>31</v>
      </c>
      <c r="D624" t="s">
        <v>286</v>
      </c>
      <c r="E624" s="2">
        <v>41</v>
      </c>
      <c r="F624" s="4">
        <v>7</v>
      </c>
      <c r="G624" s="2">
        <v>287</v>
      </c>
      <c r="H624" t="s">
        <v>25</v>
      </c>
      <c r="I624" t="s">
        <v>36</v>
      </c>
      <c r="J624" s="1">
        <v>45321</v>
      </c>
      <c r="K624" t="b">
        <v>0</v>
      </c>
    </row>
    <row r="625" spans="1:11" x14ac:dyDescent="0.25">
      <c r="A625" t="s">
        <v>7221</v>
      </c>
      <c r="B625" t="s">
        <v>72</v>
      </c>
      <c r="C625" t="s">
        <v>110</v>
      </c>
      <c r="D625" t="s">
        <v>185</v>
      </c>
      <c r="E625" s="2">
        <v>41</v>
      </c>
      <c r="F625" s="4">
        <v>7</v>
      </c>
      <c r="G625" s="2">
        <v>287</v>
      </c>
      <c r="H625" t="s">
        <v>45</v>
      </c>
      <c r="I625" t="s">
        <v>16</v>
      </c>
      <c r="J625" s="1">
        <v>44573</v>
      </c>
      <c r="K625" t="b">
        <v>1</v>
      </c>
    </row>
    <row r="626" spans="1:11" x14ac:dyDescent="0.25">
      <c r="A626" t="s">
        <v>6164</v>
      </c>
      <c r="B626" t="s">
        <v>18</v>
      </c>
      <c r="C626" t="s">
        <v>23</v>
      </c>
      <c r="D626" t="s">
        <v>302</v>
      </c>
      <c r="E626" s="2">
        <v>41</v>
      </c>
      <c r="F626" s="4">
        <v>7</v>
      </c>
      <c r="G626" s="2">
        <v>287</v>
      </c>
      <c r="H626" t="s">
        <v>45</v>
      </c>
      <c r="I626" t="s">
        <v>36</v>
      </c>
      <c r="J626" s="1">
        <v>45539</v>
      </c>
      <c r="K626" t="b">
        <v>0</v>
      </c>
    </row>
    <row r="627" spans="1:11" x14ac:dyDescent="0.25">
      <c r="A627" t="s">
        <v>3706</v>
      </c>
      <c r="B627" t="s">
        <v>66</v>
      </c>
      <c r="C627" t="s">
        <v>27</v>
      </c>
      <c r="D627" t="s">
        <v>89</v>
      </c>
      <c r="E627" s="2">
        <v>41</v>
      </c>
      <c r="F627" s="4">
        <v>7</v>
      </c>
      <c r="G627" s="2">
        <v>287</v>
      </c>
      <c r="H627" t="s">
        <v>25</v>
      </c>
      <c r="I627" t="s">
        <v>16</v>
      </c>
      <c r="J627" s="1">
        <v>44892</v>
      </c>
      <c r="K627" t="b">
        <v>1</v>
      </c>
    </row>
    <row r="628" spans="1:11" x14ac:dyDescent="0.25">
      <c r="A628" t="s">
        <v>5858</v>
      </c>
      <c r="B628" t="s">
        <v>63</v>
      </c>
      <c r="C628" t="s">
        <v>23</v>
      </c>
      <c r="D628" t="s">
        <v>302</v>
      </c>
      <c r="E628" s="2">
        <v>41</v>
      </c>
      <c r="F628" s="4">
        <v>7</v>
      </c>
      <c r="G628" s="2">
        <v>287</v>
      </c>
      <c r="H628" t="s">
        <v>25</v>
      </c>
      <c r="I628" t="s">
        <v>36</v>
      </c>
      <c r="J628" s="1">
        <v>45609</v>
      </c>
      <c r="K628" t="b">
        <v>1</v>
      </c>
    </row>
    <row r="629" spans="1:11" x14ac:dyDescent="0.25">
      <c r="A629" t="s">
        <v>1038</v>
      </c>
      <c r="B629" t="s">
        <v>86</v>
      </c>
      <c r="C629" t="s">
        <v>31</v>
      </c>
      <c r="D629" t="s">
        <v>286</v>
      </c>
      <c r="E629" s="2">
        <v>41</v>
      </c>
      <c r="F629" s="4">
        <v>7</v>
      </c>
      <c r="G629" s="2">
        <v>287</v>
      </c>
      <c r="H629" t="s">
        <v>25</v>
      </c>
      <c r="I629" t="s">
        <v>16</v>
      </c>
      <c r="J629" s="1">
        <v>44927</v>
      </c>
      <c r="K629" t="b">
        <v>1</v>
      </c>
    </row>
    <row r="630" spans="1:11" x14ac:dyDescent="0.25">
      <c r="A630" t="s">
        <v>2184</v>
      </c>
      <c r="B630" t="s">
        <v>142</v>
      </c>
      <c r="C630" t="s">
        <v>59</v>
      </c>
      <c r="D630" t="s">
        <v>325</v>
      </c>
      <c r="E630" s="2">
        <v>41</v>
      </c>
      <c r="F630" s="4">
        <v>7</v>
      </c>
      <c r="G630" s="2">
        <v>287</v>
      </c>
      <c r="H630" t="s">
        <v>15</v>
      </c>
      <c r="I630" t="s">
        <v>36</v>
      </c>
      <c r="J630" s="1">
        <v>44940</v>
      </c>
      <c r="K630" t="b">
        <v>1</v>
      </c>
    </row>
    <row r="631" spans="1:11" x14ac:dyDescent="0.25">
      <c r="A631" t="s">
        <v>6573</v>
      </c>
      <c r="B631" t="s">
        <v>56</v>
      </c>
      <c r="C631" t="s">
        <v>13</v>
      </c>
      <c r="D631" t="s">
        <v>161</v>
      </c>
      <c r="E631" s="2">
        <v>41</v>
      </c>
      <c r="F631" s="4">
        <v>7</v>
      </c>
      <c r="G631" s="2">
        <v>287</v>
      </c>
      <c r="H631" t="s">
        <v>15</v>
      </c>
      <c r="I631" t="s">
        <v>36</v>
      </c>
      <c r="J631" s="1">
        <v>45380</v>
      </c>
      <c r="K631" t="b">
        <v>0</v>
      </c>
    </row>
    <row r="632" spans="1:11" x14ac:dyDescent="0.25">
      <c r="A632" t="s">
        <v>88</v>
      </c>
      <c r="B632" t="s">
        <v>56</v>
      </c>
      <c r="C632" t="s">
        <v>27</v>
      </c>
      <c r="D632" t="s">
        <v>89</v>
      </c>
      <c r="E632" s="2">
        <v>41</v>
      </c>
      <c r="F632" s="4">
        <v>7</v>
      </c>
      <c r="G632" s="2">
        <v>287</v>
      </c>
      <c r="H632" t="s">
        <v>25</v>
      </c>
      <c r="I632" t="s">
        <v>36</v>
      </c>
      <c r="J632" s="1">
        <v>45446</v>
      </c>
      <c r="K632" t="b">
        <v>1</v>
      </c>
    </row>
    <row r="633" spans="1:11" x14ac:dyDescent="0.25">
      <c r="A633" t="s">
        <v>6905</v>
      </c>
      <c r="B633" t="s">
        <v>18</v>
      </c>
      <c r="C633" t="s">
        <v>23</v>
      </c>
      <c r="D633" t="s">
        <v>302</v>
      </c>
      <c r="E633" s="2">
        <v>41</v>
      </c>
      <c r="F633" s="4">
        <v>7</v>
      </c>
      <c r="G633" s="2">
        <v>287</v>
      </c>
      <c r="H633" t="s">
        <v>15</v>
      </c>
      <c r="I633" t="s">
        <v>16</v>
      </c>
      <c r="J633" s="1">
        <v>45198</v>
      </c>
      <c r="K633" t="b">
        <v>0</v>
      </c>
    </row>
    <row r="634" spans="1:11" x14ac:dyDescent="0.25">
      <c r="A634" t="s">
        <v>7192</v>
      </c>
      <c r="B634" t="s">
        <v>22</v>
      </c>
      <c r="C634" t="s">
        <v>38</v>
      </c>
      <c r="D634" t="s">
        <v>75</v>
      </c>
      <c r="E634" s="2">
        <v>41</v>
      </c>
      <c r="F634" s="4">
        <v>7</v>
      </c>
      <c r="G634" s="2">
        <v>287</v>
      </c>
      <c r="H634" t="s">
        <v>45</v>
      </c>
      <c r="I634" t="s">
        <v>36</v>
      </c>
      <c r="J634" s="1">
        <v>45045</v>
      </c>
      <c r="K634" t="b">
        <v>0</v>
      </c>
    </row>
    <row r="635" spans="1:11" x14ac:dyDescent="0.25">
      <c r="A635" t="s">
        <v>3605</v>
      </c>
      <c r="B635" t="s">
        <v>61</v>
      </c>
      <c r="C635" t="s">
        <v>38</v>
      </c>
      <c r="D635" t="s">
        <v>75</v>
      </c>
      <c r="E635" s="2">
        <v>41</v>
      </c>
      <c r="F635" s="4">
        <v>7</v>
      </c>
      <c r="G635" s="2">
        <v>287</v>
      </c>
      <c r="H635" t="s">
        <v>15</v>
      </c>
      <c r="I635" t="s">
        <v>16</v>
      </c>
      <c r="J635" s="1">
        <v>45041</v>
      </c>
      <c r="K635" t="b">
        <v>1</v>
      </c>
    </row>
    <row r="636" spans="1:11" x14ac:dyDescent="0.25">
      <c r="A636" t="s">
        <v>3651</v>
      </c>
      <c r="B636" t="s">
        <v>86</v>
      </c>
      <c r="C636" t="s">
        <v>38</v>
      </c>
      <c r="D636" t="s">
        <v>75</v>
      </c>
      <c r="E636" s="2">
        <v>41</v>
      </c>
      <c r="F636" s="4">
        <v>7</v>
      </c>
      <c r="G636" s="2">
        <v>287</v>
      </c>
      <c r="H636" t="s">
        <v>45</v>
      </c>
      <c r="I636" t="s">
        <v>16</v>
      </c>
      <c r="J636" s="1">
        <v>45284</v>
      </c>
      <c r="K636" t="b">
        <v>1</v>
      </c>
    </row>
    <row r="637" spans="1:11" x14ac:dyDescent="0.25">
      <c r="A637" t="s">
        <v>2479</v>
      </c>
      <c r="B637" t="s">
        <v>43</v>
      </c>
      <c r="C637" t="s">
        <v>59</v>
      </c>
      <c r="D637" t="s">
        <v>325</v>
      </c>
      <c r="E637" s="2">
        <v>41</v>
      </c>
      <c r="F637" s="4">
        <v>7</v>
      </c>
      <c r="G637" s="2">
        <v>287</v>
      </c>
      <c r="H637" t="s">
        <v>45</v>
      </c>
      <c r="I637" t="s">
        <v>16</v>
      </c>
      <c r="J637" s="1">
        <v>44594</v>
      </c>
      <c r="K637" t="b">
        <v>1</v>
      </c>
    </row>
    <row r="638" spans="1:11" x14ac:dyDescent="0.25">
      <c r="A638" t="s">
        <v>1910</v>
      </c>
      <c r="B638" t="s">
        <v>142</v>
      </c>
      <c r="C638" t="s">
        <v>31</v>
      </c>
      <c r="D638" t="s">
        <v>286</v>
      </c>
      <c r="E638" s="2">
        <v>41</v>
      </c>
      <c r="F638" s="4">
        <v>7</v>
      </c>
      <c r="G638" s="2">
        <v>287</v>
      </c>
      <c r="H638" t="s">
        <v>25</v>
      </c>
      <c r="I638" t="s">
        <v>36</v>
      </c>
      <c r="J638" s="1">
        <v>45247</v>
      </c>
      <c r="K638" t="b">
        <v>1</v>
      </c>
    </row>
    <row r="639" spans="1:11" x14ac:dyDescent="0.25">
      <c r="A639" t="s">
        <v>3923</v>
      </c>
      <c r="B639" t="s">
        <v>58</v>
      </c>
      <c r="C639" t="s">
        <v>13</v>
      </c>
      <c r="D639" t="s">
        <v>161</v>
      </c>
      <c r="E639" s="2">
        <v>41</v>
      </c>
      <c r="F639" s="4">
        <v>7</v>
      </c>
      <c r="G639" s="2">
        <v>287</v>
      </c>
      <c r="H639" t="s">
        <v>25</v>
      </c>
      <c r="I639" t="s">
        <v>36</v>
      </c>
      <c r="J639" s="1">
        <v>45569</v>
      </c>
      <c r="K639" t="b">
        <v>0</v>
      </c>
    </row>
    <row r="640" spans="1:11" x14ac:dyDescent="0.25">
      <c r="A640" t="s">
        <v>6988</v>
      </c>
      <c r="B640" t="s">
        <v>97</v>
      </c>
      <c r="C640" t="s">
        <v>38</v>
      </c>
      <c r="D640" t="s">
        <v>75</v>
      </c>
      <c r="E640" s="2">
        <v>41</v>
      </c>
      <c r="F640" s="4">
        <v>7</v>
      </c>
      <c r="G640" s="2">
        <v>287</v>
      </c>
      <c r="H640" t="s">
        <v>45</v>
      </c>
      <c r="I640" t="s">
        <v>16</v>
      </c>
      <c r="J640" s="1">
        <v>44643</v>
      </c>
      <c r="K640" t="b">
        <v>1</v>
      </c>
    </row>
    <row r="641" spans="1:11" x14ac:dyDescent="0.25">
      <c r="A641" t="s">
        <v>191</v>
      </c>
      <c r="B641" t="s">
        <v>61</v>
      </c>
      <c r="C641" t="s">
        <v>38</v>
      </c>
      <c r="D641" t="s">
        <v>75</v>
      </c>
      <c r="E641" s="2">
        <v>41</v>
      </c>
      <c r="F641" s="4">
        <v>7</v>
      </c>
      <c r="G641" s="2">
        <v>287</v>
      </c>
      <c r="H641" t="s">
        <v>15</v>
      </c>
      <c r="I641" t="s">
        <v>36</v>
      </c>
      <c r="J641" s="1">
        <v>44622</v>
      </c>
      <c r="K641" t="b">
        <v>0</v>
      </c>
    </row>
    <row r="642" spans="1:11" x14ac:dyDescent="0.25">
      <c r="A642" t="s">
        <v>3554</v>
      </c>
      <c r="B642" t="s">
        <v>37</v>
      </c>
      <c r="C642" t="s">
        <v>59</v>
      </c>
      <c r="D642" t="s">
        <v>325</v>
      </c>
      <c r="E642" s="2">
        <v>41</v>
      </c>
      <c r="F642" s="4">
        <v>7</v>
      </c>
      <c r="G642" s="2">
        <v>287</v>
      </c>
      <c r="H642" t="s">
        <v>45</v>
      </c>
      <c r="I642" t="s">
        <v>36</v>
      </c>
      <c r="J642" s="1">
        <v>45156</v>
      </c>
      <c r="K642" t="b">
        <v>1</v>
      </c>
    </row>
    <row r="643" spans="1:11" x14ac:dyDescent="0.25">
      <c r="A643" t="s">
        <v>3452</v>
      </c>
      <c r="B643" t="s">
        <v>63</v>
      </c>
      <c r="C643" t="s">
        <v>59</v>
      </c>
      <c r="D643" t="s">
        <v>87</v>
      </c>
      <c r="E643" s="2">
        <v>35</v>
      </c>
      <c r="F643" s="4">
        <v>8</v>
      </c>
      <c r="G643" s="2">
        <v>280</v>
      </c>
      <c r="H643" t="s">
        <v>25</v>
      </c>
      <c r="I643" t="s">
        <v>36</v>
      </c>
      <c r="J643" s="1">
        <v>44792</v>
      </c>
      <c r="K643" t="b">
        <v>1</v>
      </c>
    </row>
    <row r="644" spans="1:11" x14ac:dyDescent="0.25">
      <c r="A644" t="s">
        <v>6086</v>
      </c>
      <c r="B644" t="s">
        <v>18</v>
      </c>
      <c r="C644" t="s">
        <v>110</v>
      </c>
      <c r="D644" t="s">
        <v>197</v>
      </c>
      <c r="E644" s="2">
        <v>35</v>
      </c>
      <c r="F644" s="4">
        <v>8</v>
      </c>
      <c r="G644" s="2">
        <v>280</v>
      </c>
      <c r="H644" t="s">
        <v>25</v>
      </c>
      <c r="I644" t="s">
        <v>16</v>
      </c>
      <c r="J644" s="1">
        <v>44663</v>
      </c>
      <c r="K644" t="b">
        <v>0</v>
      </c>
    </row>
    <row r="645" spans="1:11" x14ac:dyDescent="0.25">
      <c r="A645" t="s">
        <v>1673</v>
      </c>
      <c r="B645" t="s">
        <v>100</v>
      </c>
      <c r="C645" t="s">
        <v>31</v>
      </c>
      <c r="D645" t="s">
        <v>905</v>
      </c>
      <c r="E645" s="2">
        <v>35</v>
      </c>
      <c r="F645" s="4">
        <v>8</v>
      </c>
      <c r="G645" s="2">
        <v>280</v>
      </c>
      <c r="H645" t="s">
        <v>45</v>
      </c>
      <c r="I645" t="s">
        <v>16</v>
      </c>
      <c r="J645" s="1">
        <v>45323</v>
      </c>
      <c r="K645" t="b">
        <v>1</v>
      </c>
    </row>
    <row r="646" spans="1:11" x14ac:dyDescent="0.25">
      <c r="A646" t="s">
        <v>3398</v>
      </c>
      <c r="B646" t="s">
        <v>37</v>
      </c>
      <c r="C646" t="s">
        <v>38</v>
      </c>
      <c r="D646" t="s">
        <v>163</v>
      </c>
      <c r="E646" s="2">
        <v>35</v>
      </c>
      <c r="F646" s="4">
        <v>8</v>
      </c>
      <c r="G646" s="2">
        <v>280</v>
      </c>
      <c r="H646" t="s">
        <v>25</v>
      </c>
      <c r="I646" t="s">
        <v>36</v>
      </c>
      <c r="J646" s="1">
        <v>45093</v>
      </c>
      <c r="K646" t="b">
        <v>1</v>
      </c>
    </row>
    <row r="647" spans="1:11" x14ac:dyDescent="0.25">
      <c r="A647" t="s">
        <v>6136</v>
      </c>
      <c r="B647" t="s">
        <v>100</v>
      </c>
      <c r="C647" t="s">
        <v>27</v>
      </c>
      <c r="D647" t="s">
        <v>240</v>
      </c>
      <c r="E647" s="2">
        <v>35</v>
      </c>
      <c r="F647" s="4">
        <v>8</v>
      </c>
      <c r="G647" s="2">
        <v>280</v>
      </c>
      <c r="H647" t="s">
        <v>25</v>
      </c>
      <c r="I647" t="s">
        <v>16</v>
      </c>
      <c r="J647" s="1">
        <v>44861</v>
      </c>
      <c r="K647" t="b">
        <v>1</v>
      </c>
    </row>
    <row r="648" spans="1:11" x14ac:dyDescent="0.25">
      <c r="A648" t="s">
        <v>7368</v>
      </c>
      <c r="B648" t="s">
        <v>77</v>
      </c>
      <c r="C648" t="s">
        <v>31</v>
      </c>
      <c r="D648" t="s">
        <v>905</v>
      </c>
      <c r="E648" s="2">
        <v>35</v>
      </c>
      <c r="F648" s="4">
        <v>8</v>
      </c>
      <c r="G648" s="2">
        <v>280</v>
      </c>
      <c r="H648" t="s">
        <v>25</v>
      </c>
      <c r="I648" t="s">
        <v>36</v>
      </c>
      <c r="J648" s="1">
        <v>44926</v>
      </c>
      <c r="K648" t="b">
        <v>1</v>
      </c>
    </row>
    <row r="649" spans="1:11" x14ac:dyDescent="0.25">
      <c r="A649" t="s">
        <v>7334</v>
      </c>
      <c r="B649" t="s">
        <v>85</v>
      </c>
      <c r="C649" t="s">
        <v>38</v>
      </c>
      <c r="D649" t="s">
        <v>163</v>
      </c>
      <c r="E649" s="2">
        <v>35</v>
      </c>
      <c r="F649" s="4">
        <v>8</v>
      </c>
      <c r="G649" s="2">
        <v>280</v>
      </c>
      <c r="H649" t="s">
        <v>45</v>
      </c>
      <c r="I649" t="s">
        <v>16</v>
      </c>
      <c r="J649" s="1">
        <v>45555</v>
      </c>
      <c r="K649" t="b">
        <v>1</v>
      </c>
    </row>
    <row r="650" spans="1:11" x14ac:dyDescent="0.25">
      <c r="A650" t="s">
        <v>7378</v>
      </c>
      <c r="B650" t="s">
        <v>30</v>
      </c>
      <c r="C650" t="s">
        <v>31</v>
      </c>
      <c r="D650" t="s">
        <v>905</v>
      </c>
      <c r="E650" s="2">
        <v>35</v>
      </c>
      <c r="F650" s="4">
        <v>8</v>
      </c>
      <c r="G650" s="2">
        <v>280</v>
      </c>
      <c r="H650" t="s">
        <v>25</v>
      </c>
      <c r="I650" t="s">
        <v>16</v>
      </c>
      <c r="J650" s="1">
        <v>44789</v>
      </c>
      <c r="K650" t="b">
        <v>1</v>
      </c>
    </row>
    <row r="651" spans="1:11" x14ac:dyDescent="0.25">
      <c r="A651" t="s">
        <v>3730</v>
      </c>
      <c r="B651" t="s">
        <v>18</v>
      </c>
      <c r="C651" t="s">
        <v>38</v>
      </c>
      <c r="D651" t="s">
        <v>163</v>
      </c>
      <c r="E651" s="2">
        <v>35</v>
      </c>
      <c r="F651" s="4">
        <v>8</v>
      </c>
      <c r="G651" s="2">
        <v>280</v>
      </c>
      <c r="H651" t="s">
        <v>15</v>
      </c>
      <c r="I651" t="s">
        <v>36</v>
      </c>
      <c r="J651" s="1">
        <v>44604</v>
      </c>
      <c r="K651" t="b">
        <v>1</v>
      </c>
    </row>
    <row r="652" spans="1:11" x14ac:dyDescent="0.25">
      <c r="A652" t="s">
        <v>7787</v>
      </c>
      <c r="B652" t="s">
        <v>86</v>
      </c>
      <c r="C652" t="s">
        <v>27</v>
      </c>
      <c r="D652" t="s">
        <v>240</v>
      </c>
      <c r="E652" s="2">
        <v>35</v>
      </c>
      <c r="F652" s="4">
        <v>8</v>
      </c>
      <c r="G652" s="2">
        <v>280</v>
      </c>
      <c r="H652" t="s">
        <v>25</v>
      </c>
      <c r="I652" t="s">
        <v>16</v>
      </c>
      <c r="J652" s="1">
        <v>45395</v>
      </c>
      <c r="K652" t="b">
        <v>1</v>
      </c>
    </row>
    <row r="653" spans="1:11" x14ac:dyDescent="0.25">
      <c r="A653" t="s">
        <v>6639</v>
      </c>
      <c r="B653" t="s">
        <v>142</v>
      </c>
      <c r="C653" t="s">
        <v>110</v>
      </c>
      <c r="D653" t="s">
        <v>197</v>
      </c>
      <c r="E653" s="2">
        <v>35</v>
      </c>
      <c r="F653" s="4">
        <v>8</v>
      </c>
      <c r="G653" s="2">
        <v>280</v>
      </c>
      <c r="H653" t="s">
        <v>15</v>
      </c>
      <c r="I653" t="s">
        <v>36</v>
      </c>
      <c r="J653" s="1">
        <v>44843</v>
      </c>
      <c r="K653" t="b">
        <v>0</v>
      </c>
    </row>
    <row r="654" spans="1:11" x14ac:dyDescent="0.25">
      <c r="A654" t="s">
        <v>1907</v>
      </c>
      <c r="B654" t="s">
        <v>26</v>
      </c>
      <c r="C654" t="s">
        <v>38</v>
      </c>
      <c r="D654" t="s">
        <v>163</v>
      </c>
      <c r="E654" s="2">
        <v>35</v>
      </c>
      <c r="F654" s="4">
        <v>8</v>
      </c>
      <c r="G654" s="2">
        <v>280</v>
      </c>
      <c r="H654" t="s">
        <v>15</v>
      </c>
      <c r="I654" t="s">
        <v>36</v>
      </c>
      <c r="J654" s="1">
        <v>45656</v>
      </c>
      <c r="K654" t="b">
        <v>1</v>
      </c>
    </row>
    <row r="655" spans="1:11" x14ac:dyDescent="0.25">
      <c r="A655" t="s">
        <v>4669</v>
      </c>
      <c r="B655" t="s">
        <v>66</v>
      </c>
      <c r="C655" t="s">
        <v>23</v>
      </c>
      <c r="D655" t="s">
        <v>179</v>
      </c>
      <c r="E655" s="2">
        <v>35</v>
      </c>
      <c r="F655" s="4">
        <v>8</v>
      </c>
      <c r="G655" s="2">
        <v>280</v>
      </c>
      <c r="H655" t="s">
        <v>25</v>
      </c>
      <c r="I655" t="s">
        <v>36</v>
      </c>
      <c r="J655" s="1">
        <v>45562</v>
      </c>
      <c r="K655" t="b">
        <v>1</v>
      </c>
    </row>
    <row r="656" spans="1:11" x14ac:dyDescent="0.25">
      <c r="A656" t="s">
        <v>1981</v>
      </c>
      <c r="B656" t="s">
        <v>18</v>
      </c>
      <c r="C656" t="s">
        <v>23</v>
      </c>
      <c r="D656" t="s">
        <v>179</v>
      </c>
      <c r="E656" s="2">
        <v>35</v>
      </c>
      <c r="F656" s="4">
        <v>8</v>
      </c>
      <c r="G656" s="2">
        <v>280</v>
      </c>
      <c r="H656" t="s">
        <v>45</v>
      </c>
      <c r="I656" t="s">
        <v>36</v>
      </c>
      <c r="J656" s="1">
        <v>44713</v>
      </c>
      <c r="K656" t="b">
        <v>1</v>
      </c>
    </row>
    <row r="657" spans="1:11" x14ac:dyDescent="0.25">
      <c r="A657" t="s">
        <v>6531</v>
      </c>
      <c r="B657" t="s">
        <v>58</v>
      </c>
      <c r="C657" t="s">
        <v>23</v>
      </c>
      <c r="D657" t="s">
        <v>179</v>
      </c>
      <c r="E657" s="2">
        <v>35</v>
      </c>
      <c r="F657" s="4">
        <v>8</v>
      </c>
      <c r="G657" s="2">
        <v>280</v>
      </c>
      <c r="H657" t="s">
        <v>25</v>
      </c>
      <c r="I657" t="s">
        <v>16</v>
      </c>
      <c r="J657" s="1">
        <v>45183</v>
      </c>
      <c r="K657" t="b">
        <v>1</v>
      </c>
    </row>
    <row r="658" spans="1:11" x14ac:dyDescent="0.25">
      <c r="A658" t="s">
        <v>3051</v>
      </c>
      <c r="B658" t="s">
        <v>142</v>
      </c>
      <c r="C658" t="s">
        <v>38</v>
      </c>
      <c r="D658" t="s">
        <v>163</v>
      </c>
      <c r="E658" s="2">
        <v>35</v>
      </c>
      <c r="F658" s="4">
        <v>8</v>
      </c>
      <c r="G658" s="2">
        <v>280</v>
      </c>
      <c r="H658" t="s">
        <v>25</v>
      </c>
      <c r="I658" t="s">
        <v>16</v>
      </c>
      <c r="J658" s="1">
        <v>45225</v>
      </c>
      <c r="K658" t="b">
        <v>0</v>
      </c>
    </row>
    <row r="659" spans="1:11" x14ac:dyDescent="0.25">
      <c r="A659" t="s">
        <v>4320</v>
      </c>
      <c r="B659" t="s">
        <v>72</v>
      </c>
      <c r="C659" t="s">
        <v>27</v>
      </c>
      <c r="D659" t="s">
        <v>240</v>
      </c>
      <c r="E659" s="2">
        <v>35</v>
      </c>
      <c r="F659" s="4">
        <v>8</v>
      </c>
      <c r="G659" s="2">
        <v>280</v>
      </c>
      <c r="H659" t="s">
        <v>25</v>
      </c>
      <c r="I659" t="s">
        <v>16</v>
      </c>
      <c r="J659" s="1">
        <v>44971</v>
      </c>
      <c r="K659" t="b">
        <v>1</v>
      </c>
    </row>
    <row r="660" spans="1:11" x14ac:dyDescent="0.25">
      <c r="A660" t="s">
        <v>5202</v>
      </c>
      <c r="B660" t="s">
        <v>69</v>
      </c>
      <c r="C660" t="s">
        <v>38</v>
      </c>
      <c r="D660" t="s">
        <v>163</v>
      </c>
      <c r="E660" s="2">
        <v>35</v>
      </c>
      <c r="F660" s="4">
        <v>8</v>
      </c>
      <c r="G660" s="2">
        <v>280</v>
      </c>
      <c r="H660" t="s">
        <v>45</v>
      </c>
      <c r="I660" t="s">
        <v>36</v>
      </c>
      <c r="J660" s="1">
        <v>44881</v>
      </c>
      <c r="K660" t="b">
        <v>1</v>
      </c>
    </row>
    <row r="661" spans="1:11" x14ac:dyDescent="0.25">
      <c r="A661" t="s">
        <v>2902</v>
      </c>
      <c r="B661" t="s">
        <v>66</v>
      </c>
      <c r="C661" t="s">
        <v>110</v>
      </c>
      <c r="D661" t="s">
        <v>197</v>
      </c>
      <c r="E661" s="2">
        <v>35</v>
      </c>
      <c r="F661" s="4">
        <v>8</v>
      </c>
      <c r="G661" s="2">
        <v>280</v>
      </c>
      <c r="H661" t="s">
        <v>25</v>
      </c>
      <c r="I661" t="s">
        <v>16</v>
      </c>
      <c r="J661" s="1">
        <v>44736</v>
      </c>
      <c r="K661" t="b">
        <v>0</v>
      </c>
    </row>
    <row r="662" spans="1:11" x14ac:dyDescent="0.25">
      <c r="A662" t="s">
        <v>5100</v>
      </c>
      <c r="B662" t="s">
        <v>18</v>
      </c>
      <c r="C662" t="s">
        <v>110</v>
      </c>
      <c r="D662" t="s">
        <v>197</v>
      </c>
      <c r="E662" s="2">
        <v>35</v>
      </c>
      <c r="F662" s="4">
        <v>8</v>
      </c>
      <c r="G662" s="2">
        <v>280</v>
      </c>
      <c r="H662" t="s">
        <v>15</v>
      </c>
      <c r="I662" t="s">
        <v>36</v>
      </c>
      <c r="J662" s="1">
        <v>45474</v>
      </c>
      <c r="K662" t="b">
        <v>0</v>
      </c>
    </row>
    <row r="663" spans="1:11" x14ac:dyDescent="0.25">
      <c r="A663" t="s">
        <v>7154</v>
      </c>
      <c r="B663" t="s">
        <v>142</v>
      </c>
      <c r="C663" t="s">
        <v>31</v>
      </c>
      <c r="D663" t="s">
        <v>905</v>
      </c>
      <c r="E663" s="2">
        <v>35</v>
      </c>
      <c r="F663" s="4">
        <v>8</v>
      </c>
      <c r="G663" s="2">
        <v>280</v>
      </c>
      <c r="H663" t="s">
        <v>15</v>
      </c>
      <c r="I663" t="s">
        <v>16</v>
      </c>
      <c r="J663" s="1">
        <v>44709</v>
      </c>
      <c r="K663" t="b">
        <v>1</v>
      </c>
    </row>
    <row r="664" spans="1:11" x14ac:dyDescent="0.25">
      <c r="A664" t="s">
        <v>3432</v>
      </c>
      <c r="B664" t="s">
        <v>100</v>
      </c>
      <c r="C664" t="s">
        <v>23</v>
      </c>
      <c r="D664" t="s">
        <v>179</v>
      </c>
      <c r="E664" s="2">
        <v>35</v>
      </c>
      <c r="F664" s="4">
        <v>8</v>
      </c>
      <c r="G664" s="2">
        <v>280</v>
      </c>
      <c r="H664" t="s">
        <v>45</v>
      </c>
      <c r="I664" t="s">
        <v>16</v>
      </c>
      <c r="J664" s="1">
        <v>45673</v>
      </c>
      <c r="K664" t="b">
        <v>1</v>
      </c>
    </row>
    <row r="665" spans="1:11" x14ac:dyDescent="0.25">
      <c r="A665" t="s">
        <v>5627</v>
      </c>
      <c r="B665" t="s">
        <v>93</v>
      </c>
      <c r="C665" t="s">
        <v>110</v>
      </c>
      <c r="D665" t="s">
        <v>197</v>
      </c>
      <c r="E665" s="2">
        <v>35</v>
      </c>
      <c r="F665" s="4">
        <v>8</v>
      </c>
      <c r="G665" s="2">
        <v>280</v>
      </c>
      <c r="H665" t="s">
        <v>25</v>
      </c>
      <c r="I665" t="s">
        <v>36</v>
      </c>
      <c r="J665" s="1">
        <v>45176</v>
      </c>
      <c r="K665" t="b">
        <v>0</v>
      </c>
    </row>
    <row r="666" spans="1:11" x14ac:dyDescent="0.25">
      <c r="A666" t="s">
        <v>7818</v>
      </c>
      <c r="B666" t="s">
        <v>77</v>
      </c>
      <c r="C666" t="s">
        <v>31</v>
      </c>
      <c r="D666" t="s">
        <v>905</v>
      </c>
      <c r="E666" s="2">
        <v>35</v>
      </c>
      <c r="F666" s="4">
        <v>8</v>
      </c>
      <c r="G666" s="2">
        <v>280</v>
      </c>
      <c r="H666" t="s">
        <v>45</v>
      </c>
      <c r="I666" t="s">
        <v>36</v>
      </c>
      <c r="J666" s="1">
        <v>45288</v>
      </c>
      <c r="K666" t="b">
        <v>1</v>
      </c>
    </row>
    <row r="667" spans="1:11" x14ac:dyDescent="0.25">
      <c r="A667" t="s">
        <v>3391</v>
      </c>
      <c r="B667" t="s">
        <v>77</v>
      </c>
      <c r="C667" t="s">
        <v>38</v>
      </c>
      <c r="D667" t="s">
        <v>163</v>
      </c>
      <c r="E667" s="2">
        <v>35</v>
      </c>
      <c r="F667" s="4">
        <v>8</v>
      </c>
      <c r="G667" s="2">
        <v>280</v>
      </c>
      <c r="H667" t="s">
        <v>45</v>
      </c>
      <c r="I667" t="s">
        <v>16</v>
      </c>
      <c r="J667" s="1">
        <v>44725</v>
      </c>
      <c r="K667" t="b">
        <v>1</v>
      </c>
    </row>
    <row r="668" spans="1:11" x14ac:dyDescent="0.25">
      <c r="A668" t="s">
        <v>2600</v>
      </c>
      <c r="B668" t="s">
        <v>63</v>
      </c>
      <c r="C668" t="s">
        <v>38</v>
      </c>
      <c r="D668" t="s">
        <v>163</v>
      </c>
      <c r="E668" s="2">
        <v>35</v>
      </c>
      <c r="F668" s="4">
        <v>8</v>
      </c>
      <c r="G668" s="2">
        <v>280</v>
      </c>
      <c r="H668" t="s">
        <v>15</v>
      </c>
      <c r="I668" t="s">
        <v>36</v>
      </c>
      <c r="J668" s="1">
        <v>44906</v>
      </c>
      <c r="K668" t="b">
        <v>0</v>
      </c>
    </row>
    <row r="669" spans="1:11" x14ac:dyDescent="0.25">
      <c r="A669" t="s">
        <v>4398</v>
      </c>
      <c r="B669" t="s">
        <v>12</v>
      </c>
      <c r="C669" t="s">
        <v>31</v>
      </c>
      <c r="D669" t="s">
        <v>905</v>
      </c>
      <c r="E669" s="2">
        <v>35</v>
      </c>
      <c r="F669" s="4">
        <v>8</v>
      </c>
      <c r="G669" s="2">
        <v>280</v>
      </c>
      <c r="H669" t="s">
        <v>25</v>
      </c>
      <c r="I669" t="s">
        <v>16</v>
      </c>
      <c r="J669" s="1">
        <v>45163</v>
      </c>
      <c r="K669" t="b">
        <v>1</v>
      </c>
    </row>
    <row r="670" spans="1:11" x14ac:dyDescent="0.25">
      <c r="A670" t="s">
        <v>4812</v>
      </c>
      <c r="B670" t="s">
        <v>37</v>
      </c>
      <c r="C670" t="s">
        <v>59</v>
      </c>
      <c r="D670" t="s">
        <v>87</v>
      </c>
      <c r="E670" s="2">
        <v>35</v>
      </c>
      <c r="F670" s="4">
        <v>8</v>
      </c>
      <c r="G670" s="2">
        <v>280</v>
      </c>
      <c r="H670" t="s">
        <v>15</v>
      </c>
      <c r="I670" t="s">
        <v>16</v>
      </c>
      <c r="J670" s="1">
        <v>45259</v>
      </c>
      <c r="K670" t="b">
        <v>0</v>
      </c>
    </row>
    <row r="671" spans="1:11" x14ac:dyDescent="0.25">
      <c r="A671" t="s">
        <v>316</v>
      </c>
      <c r="B671" t="s">
        <v>86</v>
      </c>
      <c r="C671" t="s">
        <v>23</v>
      </c>
      <c r="D671" t="s">
        <v>179</v>
      </c>
      <c r="E671" s="2">
        <v>35</v>
      </c>
      <c r="F671" s="4">
        <v>8</v>
      </c>
      <c r="G671" s="2">
        <v>280</v>
      </c>
      <c r="H671" t="s">
        <v>25</v>
      </c>
      <c r="I671" t="s">
        <v>36</v>
      </c>
      <c r="J671" s="1">
        <v>45258</v>
      </c>
      <c r="K671" t="b">
        <v>1</v>
      </c>
    </row>
    <row r="672" spans="1:11" x14ac:dyDescent="0.25">
      <c r="A672" t="s">
        <v>1455</v>
      </c>
      <c r="B672" t="s">
        <v>30</v>
      </c>
      <c r="C672" t="s">
        <v>27</v>
      </c>
      <c r="D672" t="s">
        <v>240</v>
      </c>
      <c r="E672" s="2">
        <v>35</v>
      </c>
      <c r="F672" s="4">
        <v>8</v>
      </c>
      <c r="G672" s="2">
        <v>280</v>
      </c>
      <c r="H672" t="s">
        <v>15</v>
      </c>
      <c r="I672" t="s">
        <v>16</v>
      </c>
      <c r="J672" s="1">
        <v>45111</v>
      </c>
      <c r="K672" t="b">
        <v>0</v>
      </c>
    </row>
    <row r="673" spans="1:11" x14ac:dyDescent="0.25">
      <c r="A673" t="s">
        <v>2387</v>
      </c>
      <c r="B673" t="s">
        <v>56</v>
      </c>
      <c r="C673" t="s">
        <v>38</v>
      </c>
      <c r="D673" t="s">
        <v>163</v>
      </c>
      <c r="E673" s="2">
        <v>35</v>
      </c>
      <c r="F673" s="4">
        <v>8</v>
      </c>
      <c r="G673" s="2">
        <v>280</v>
      </c>
      <c r="H673" t="s">
        <v>25</v>
      </c>
      <c r="I673" t="s">
        <v>16</v>
      </c>
      <c r="J673" s="1">
        <v>45102</v>
      </c>
      <c r="K673" t="b">
        <v>1</v>
      </c>
    </row>
    <row r="674" spans="1:11" x14ac:dyDescent="0.25">
      <c r="A674" t="s">
        <v>7607</v>
      </c>
      <c r="B674" t="s">
        <v>142</v>
      </c>
      <c r="C674" t="s">
        <v>23</v>
      </c>
      <c r="D674" t="s">
        <v>179</v>
      </c>
      <c r="E674" s="2">
        <v>35</v>
      </c>
      <c r="F674" s="4">
        <v>8</v>
      </c>
      <c r="G674" s="2">
        <v>280</v>
      </c>
      <c r="H674" t="s">
        <v>45</v>
      </c>
      <c r="I674" t="s">
        <v>36</v>
      </c>
      <c r="J674" s="1">
        <v>45173</v>
      </c>
      <c r="K674" t="b">
        <v>1</v>
      </c>
    </row>
    <row r="675" spans="1:11" x14ac:dyDescent="0.25">
      <c r="A675" t="s">
        <v>2424</v>
      </c>
      <c r="B675" t="s">
        <v>66</v>
      </c>
      <c r="C675" t="s">
        <v>31</v>
      </c>
      <c r="D675" t="s">
        <v>905</v>
      </c>
      <c r="E675" s="2">
        <v>35</v>
      </c>
      <c r="F675" s="4">
        <v>8</v>
      </c>
      <c r="G675" s="2">
        <v>280</v>
      </c>
      <c r="H675" t="s">
        <v>45</v>
      </c>
      <c r="I675" t="s">
        <v>16</v>
      </c>
      <c r="J675" s="1">
        <v>44993</v>
      </c>
      <c r="K675" t="b">
        <v>1</v>
      </c>
    </row>
    <row r="676" spans="1:11" x14ac:dyDescent="0.25">
      <c r="A676" t="s">
        <v>196</v>
      </c>
      <c r="B676" t="s">
        <v>93</v>
      </c>
      <c r="C676" t="s">
        <v>110</v>
      </c>
      <c r="D676" t="s">
        <v>197</v>
      </c>
      <c r="E676" s="2">
        <v>35</v>
      </c>
      <c r="F676" s="4">
        <v>8</v>
      </c>
      <c r="G676" s="2">
        <v>280</v>
      </c>
      <c r="H676" t="s">
        <v>15</v>
      </c>
      <c r="I676" t="s">
        <v>16</v>
      </c>
      <c r="J676" s="1">
        <v>44781</v>
      </c>
      <c r="K676" t="b">
        <v>1</v>
      </c>
    </row>
    <row r="677" spans="1:11" x14ac:dyDescent="0.25">
      <c r="A677" t="s">
        <v>239</v>
      </c>
      <c r="B677" t="s">
        <v>12</v>
      </c>
      <c r="C677" t="s">
        <v>27</v>
      </c>
      <c r="D677" t="s">
        <v>240</v>
      </c>
      <c r="E677" s="2">
        <v>35</v>
      </c>
      <c r="F677" s="4">
        <v>8</v>
      </c>
      <c r="G677" s="2">
        <v>280</v>
      </c>
      <c r="H677" t="s">
        <v>25</v>
      </c>
      <c r="I677" t="s">
        <v>16</v>
      </c>
      <c r="J677" s="1">
        <v>45017</v>
      </c>
      <c r="K677" t="b">
        <v>1</v>
      </c>
    </row>
    <row r="678" spans="1:11" x14ac:dyDescent="0.25">
      <c r="A678" t="s">
        <v>3997</v>
      </c>
      <c r="B678" t="s">
        <v>72</v>
      </c>
      <c r="C678" t="s">
        <v>31</v>
      </c>
      <c r="D678" t="s">
        <v>905</v>
      </c>
      <c r="E678" s="2">
        <v>35</v>
      </c>
      <c r="F678" s="4">
        <v>8</v>
      </c>
      <c r="G678" s="2">
        <v>280</v>
      </c>
      <c r="H678" t="s">
        <v>25</v>
      </c>
      <c r="I678" t="s">
        <v>16</v>
      </c>
      <c r="J678" s="1">
        <v>44866</v>
      </c>
      <c r="K678" t="b">
        <v>0</v>
      </c>
    </row>
    <row r="679" spans="1:11" x14ac:dyDescent="0.25">
      <c r="A679" t="s">
        <v>4006</v>
      </c>
      <c r="B679" t="s">
        <v>51</v>
      </c>
      <c r="C679" t="s">
        <v>23</v>
      </c>
      <c r="D679" t="s">
        <v>179</v>
      </c>
      <c r="E679" s="2">
        <v>35</v>
      </c>
      <c r="F679" s="4">
        <v>8</v>
      </c>
      <c r="G679" s="2">
        <v>280</v>
      </c>
      <c r="H679" t="s">
        <v>15</v>
      </c>
      <c r="I679" t="s">
        <v>16</v>
      </c>
      <c r="J679" s="1">
        <v>45520</v>
      </c>
      <c r="K679" t="b">
        <v>0</v>
      </c>
    </row>
    <row r="680" spans="1:11" x14ac:dyDescent="0.25">
      <c r="A680" t="s">
        <v>5961</v>
      </c>
      <c r="B680" t="s">
        <v>77</v>
      </c>
      <c r="C680" t="s">
        <v>27</v>
      </c>
      <c r="D680" t="s">
        <v>240</v>
      </c>
      <c r="E680" s="2">
        <v>35</v>
      </c>
      <c r="F680" s="4">
        <v>8</v>
      </c>
      <c r="G680" s="2">
        <v>280</v>
      </c>
      <c r="H680" t="s">
        <v>15</v>
      </c>
      <c r="I680" t="s">
        <v>36</v>
      </c>
      <c r="J680" s="1">
        <v>44906</v>
      </c>
      <c r="K680" t="b">
        <v>1</v>
      </c>
    </row>
    <row r="681" spans="1:11" x14ac:dyDescent="0.25">
      <c r="A681" t="s">
        <v>445</v>
      </c>
      <c r="B681" t="s">
        <v>51</v>
      </c>
      <c r="C681" t="s">
        <v>59</v>
      </c>
      <c r="D681" t="s">
        <v>87</v>
      </c>
      <c r="E681" s="2">
        <v>35</v>
      </c>
      <c r="F681" s="4">
        <v>8</v>
      </c>
      <c r="G681" s="2">
        <v>280</v>
      </c>
      <c r="H681" t="s">
        <v>25</v>
      </c>
      <c r="I681" t="s">
        <v>16</v>
      </c>
      <c r="J681" s="1">
        <v>45531</v>
      </c>
      <c r="K681" t="b">
        <v>0</v>
      </c>
    </row>
    <row r="682" spans="1:11" x14ac:dyDescent="0.25">
      <c r="A682" t="s">
        <v>4385</v>
      </c>
      <c r="B682" t="s">
        <v>66</v>
      </c>
      <c r="C682" t="s">
        <v>31</v>
      </c>
      <c r="D682" t="s">
        <v>905</v>
      </c>
      <c r="E682" s="2">
        <v>35</v>
      </c>
      <c r="F682" s="4">
        <v>8</v>
      </c>
      <c r="G682" s="2">
        <v>280</v>
      </c>
      <c r="H682" t="s">
        <v>15</v>
      </c>
      <c r="I682" t="s">
        <v>36</v>
      </c>
      <c r="J682" s="1">
        <v>45274</v>
      </c>
      <c r="K682" t="b">
        <v>1</v>
      </c>
    </row>
    <row r="683" spans="1:11" x14ac:dyDescent="0.25">
      <c r="A683" t="s">
        <v>3240</v>
      </c>
      <c r="B683" t="s">
        <v>86</v>
      </c>
      <c r="C683" t="s">
        <v>13</v>
      </c>
      <c r="D683" t="s">
        <v>52</v>
      </c>
      <c r="E683" s="2">
        <v>39.5</v>
      </c>
      <c r="F683" s="4">
        <v>7</v>
      </c>
      <c r="G683" s="2">
        <v>276.5</v>
      </c>
      <c r="H683" t="s">
        <v>15</v>
      </c>
      <c r="I683" t="s">
        <v>16</v>
      </c>
      <c r="J683" s="1">
        <v>45324</v>
      </c>
      <c r="K683" t="b">
        <v>1</v>
      </c>
    </row>
    <row r="684" spans="1:11" x14ac:dyDescent="0.25">
      <c r="A684" t="s">
        <v>5096</v>
      </c>
      <c r="B684" t="s">
        <v>85</v>
      </c>
      <c r="C684" t="s">
        <v>23</v>
      </c>
      <c r="D684" t="s">
        <v>103</v>
      </c>
      <c r="E684" s="2">
        <v>39.5</v>
      </c>
      <c r="F684" s="4">
        <v>7</v>
      </c>
      <c r="G684" s="2">
        <v>276.5</v>
      </c>
      <c r="H684" t="s">
        <v>45</v>
      </c>
      <c r="I684" t="s">
        <v>36</v>
      </c>
      <c r="J684" s="1">
        <v>44572</v>
      </c>
      <c r="K684" t="b">
        <v>1</v>
      </c>
    </row>
    <row r="685" spans="1:11" x14ac:dyDescent="0.25">
      <c r="A685" t="s">
        <v>367</v>
      </c>
      <c r="B685" t="s">
        <v>72</v>
      </c>
      <c r="C685" t="s">
        <v>23</v>
      </c>
      <c r="D685" t="s">
        <v>103</v>
      </c>
      <c r="E685" s="2">
        <v>39.5</v>
      </c>
      <c r="F685" s="4">
        <v>7</v>
      </c>
      <c r="G685" s="2">
        <v>276.5</v>
      </c>
      <c r="H685" t="s">
        <v>45</v>
      </c>
      <c r="I685" t="s">
        <v>16</v>
      </c>
      <c r="J685" s="1">
        <v>45296</v>
      </c>
      <c r="K685" t="b">
        <v>1</v>
      </c>
    </row>
    <row r="686" spans="1:11" x14ac:dyDescent="0.25">
      <c r="A686" t="s">
        <v>6971</v>
      </c>
      <c r="B686" t="s">
        <v>142</v>
      </c>
      <c r="C686" t="s">
        <v>38</v>
      </c>
      <c r="D686" t="s">
        <v>165</v>
      </c>
      <c r="E686" s="2">
        <v>39.5</v>
      </c>
      <c r="F686" s="4">
        <v>7</v>
      </c>
      <c r="G686" s="2">
        <v>276.5</v>
      </c>
      <c r="H686" t="s">
        <v>15</v>
      </c>
      <c r="I686" t="s">
        <v>16</v>
      </c>
      <c r="J686" s="1">
        <v>45391</v>
      </c>
      <c r="K686" t="b">
        <v>0</v>
      </c>
    </row>
    <row r="687" spans="1:11" x14ac:dyDescent="0.25">
      <c r="A687" t="s">
        <v>3754</v>
      </c>
      <c r="B687" t="s">
        <v>66</v>
      </c>
      <c r="C687" t="s">
        <v>27</v>
      </c>
      <c r="D687" t="s">
        <v>482</v>
      </c>
      <c r="E687" s="2">
        <v>39.5</v>
      </c>
      <c r="F687" s="4">
        <v>7</v>
      </c>
      <c r="G687" s="2">
        <v>276.5</v>
      </c>
      <c r="H687" t="s">
        <v>45</v>
      </c>
      <c r="I687" t="s">
        <v>36</v>
      </c>
      <c r="J687" s="1">
        <v>44709</v>
      </c>
      <c r="K687" t="b">
        <v>1</v>
      </c>
    </row>
    <row r="688" spans="1:11" x14ac:dyDescent="0.25">
      <c r="A688" t="s">
        <v>4469</v>
      </c>
      <c r="B688" t="s">
        <v>30</v>
      </c>
      <c r="C688" t="s">
        <v>27</v>
      </c>
      <c r="D688" t="s">
        <v>482</v>
      </c>
      <c r="E688" s="2">
        <v>39.5</v>
      </c>
      <c r="F688" s="4">
        <v>7</v>
      </c>
      <c r="G688" s="2">
        <v>276.5</v>
      </c>
      <c r="H688" t="s">
        <v>15</v>
      </c>
      <c r="I688" t="s">
        <v>36</v>
      </c>
      <c r="J688" s="1">
        <v>44582</v>
      </c>
      <c r="K688" t="b">
        <v>0</v>
      </c>
    </row>
    <row r="689" spans="1:11" x14ac:dyDescent="0.25">
      <c r="A689" t="s">
        <v>7537</v>
      </c>
      <c r="B689" t="s">
        <v>66</v>
      </c>
      <c r="C689" t="s">
        <v>27</v>
      </c>
      <c r="D689" t="s">
        <v>482</v>
      </c>
      <c r="E689" s="2">
        <v>39.5</v>
      </c>
      <c r="F689" s="4">
        <v>7</v>
      </c>
      <c r="G689" s="2">
        <v>276.5</v>
      </c>
      <c r="H689" t="s">
        <v>45</v>
      </c>
      <c r="I689" t="s">
        <v>36</v>
      </c>
      <c r="J689" s="1">
        <v>45452</v>
      </c>
      <c r="K689" t="b">
        <v>1</v>
      </c>
    </row>
    <row r="690" spans="1:11" x14ac:dyDescent="0.25">
      <c r="A690" t="s">
        <v>1751</v>
      </c>
      <c r="B690" t="s">
        <v>51</v>
      </c>
      <c r="C690" t="s">
        <v>31</v>
      </c>
      <c r="D690" t="s">
        <v>212</v>
      </c>
      <c r="E690" s="2">
        <v>39.5</v>
      </c>
      <c r="F690" s="4">
        <v>7</v>
      </c>
      <c r="G690" s="2">
        <v>276.5</v>
      </c>
      <c r="H690" t="s">
        <v>45</v>
      </c>
      <c r="I690" t="s">
        <v>16</v>
      </c>
      <c r="J690" s="1">
        <v>45350</v>
      </c>
      <c r="K690" t="b">
        <v>0</v>
      </c>
    </row>
    <row r="691" spans="1:11" x14ac:dyDescent="0.25">
      <c r="A691" t="s">
        <v>2849</v>
      </c>
      <c r="B691" t="s">
        <v>85</v>
      </c>
      <c r="C691" t="s">
        <v>38</v>
      </c>
      <c r="D691" t="s">
        <v>165</v>
      </c>
      <c r="E691" s="2">
        <v>39.5</v>
      </c>
      <c r="F691" s="4">
        <v>7</v>
      </c>
      <c r="G691" s="2">
        <v>276.5</v>
      </c>
      <c r="H691" t="s">
        <v>45</v>
      </c>
      <c r="I691" t="s">
        <v>36</v>
      </c>
      <c r="J691" s="1">
        <v>44609</v>
      </c>
      <c r="K691" t="b">
        <v>1</v>
      </c>
    </row>
    <row r="692" spans="1:11" x14ac:dyDescent="0.25">
      <c r="A692" t="s">
        <v>7102</v>
      </c>
      <c r="B692" t="s">
        <v>40</v>
      </c>
      <c r="C692" t="s">
        <v>19</v>
      </c>
      <c r="D692" t="s">
        <v>220</v>
      </c>
      <c r="E692" s="2">
        <v>39.5</v>
      </c>
      <c r="F692" s="4">
        <v>7</v>
      </c>
      <c r="G692" s="2">
        <v>276.5</v>
      </c>
      <c r="H692" t="s">
        <v>25</v>
      </c>
      <c r="I692" t="s">
        <v>36</v>
      </c>
      <c r="J692" s="1">
        <v>45116</v>
      </c>
      <c r="K692" t="b">
        <v>1</v>
      </c>
    </row>
    <row r="693" spans="1:11" x14ac:dyDescent="0.25">
      <c r="A693" t="s">
        <v>573</v>
      </c>
      <c r="B693" t="s">
        <v>22</v>
      </c>
      <c r="C693" t="s">
        <v>38</v>
      </c>
      <c r="D693" t="s">
        <v>165</v>
      </c>
      <c r="E693" s="2">
        <v>39.5</v>
      </c>
      <c r="F693" s="4">
        <v>7</v>
      </c>
      <c r="G693" s="2">
        <v>276.5</v>
      </c>
      <c r="H693" t="s">
        <v>45</v>
      </c>
      <c r="I693" t="s">
        <v>36</v>
      </c>
      <c r="J693" s="1">
        <v>44759</v>
      </c>
      <c r="K693" t="b">
        <v>1</v>
      </c>
    </row>
    <row r="694" spans="1:11" x14ac:dyDescent="0.25">
      <c r="A694" t="s">
        <v>2032</v>
      </c>
      <c r="B694" t="s">
        <v>100</v>
      </c>
      <c r="C694" t="s">
        <v>23</v>
      </c>
      <c r="D694" t="s">
        <v>103</v>
      </c>
      <c r="E694" s="2">
        <v>39.5</v>
      </c>
      <c r="F694" s="4">
        <v>7</v>
      </c>
      <c r="G694" s="2">
        <v>276.5</v>
      </c>
      <c r="H694" t="s">
        <v>45</v>
      </c>
      <c r="I694" t="s">
        <v>16</v>
      </c>
      <c r="J694" s="1">
        <v>44598</v>
      </c>
      <c r="K694" t="b">
        <v>1</v>
      </c>
    </row>
    <row r="695" spans="1:11" x14ac:dyDescent="0.25">
      <c r="A695" t="s">
        <v>2075</v>
      </c>
      <c r="B695" t="s">
        <v>66</v>
      </c>
      <c r="C695" t="s">
        <v>13</v>
      </c>
      <c r="D695" t="s">
        <v>52</v>
      </c>
      <c r="E695" s="2">
        <v>39.5</v>
      </c>
      <c r="F695" s="4">
        <v>7</v>
      </c>
      <c r="G695" s="2">
        <v>276.5</v>
      </c>
      <c r="H695" t="s">
        <v>15</v>
      </c>
      <c r="I695" t="s">
        <v>16</v>
      </c>
      <c r="J695" s="1">
        <v>45204</v>
      </c>
      <c r="K695" t="b">
        <v>1</v>
      </c>
    </row>
    <row r="696" spans="1:11" x14ac:dyDescent="0.25">
      <c r="A696" t="s">
        <v>4555</v>
      </c>
      <c r="B696" t="s">
        <v>22</v>
      </c>
      <c r="C696" t="s">
        <v>27</v>
      </c>
      <c r="D696" t="s">
        <v>482</v>
      </c>
      <c r="E696" s="2">
        <v>39.5</v>
      </c>
      <c r="F696" s="4">
        <v>7</v>
      </c>
      <c r="G696" s="2">
        <v>276.5</v>
      </c>
      <c r="H696" t="s">
        <v>25</v>
      </c>
      <c r="I696" t="s">
        <v>36</v>
      </c>
      <c r="J696" s="1">
        <v>45654</v>
      </c>
      <c r="K696" t="b">
        <v>0</v>
      </c>
    </row>
    <row r="697" spans="1:11" x14ac:dyDescent="0.25">
      <c r="A697" t="s">
        <v>7577</v>
      </c>
      <c r="B697" t="s">
        <v>56</v>
      </c>
      <c r="C697" t="s">
        <v>19</v>
      </c>
      <c r="D697" t="s">
        <v>220</v>
      </c>
      <c r="E697" s="2">
        <v>39.5</v>
      </c>
      <c r="F697" s="4">
        <v>7</v>
      </c>
      <c r="G697" s="2">
        <v>276.5</v>
      </c>
      <c r="H697" t="s">
        <v>25</v>
      </c>
      <c r="I697" t="s">
        <v>16</v>
      </c>
      <c r="J697" s="1">
        <v>45158</v>
      </c>
      <c r="K697" t="b">
        <v>0</v>
      </c>
    </row>
    <row r="698" spans="1:11" x14ac:dyDescent="0.25">
      <c r="A698" t="s">
        <v>939</v>
      </c>
      <c r="B698" t="s">
        <v>93</v>
      </c>
      <c r="C698" t="s">
        <v>19</v>
      </c>
      <c r="D698" t="s">
        <v>220</v>
      </c>
      <c r="E698" s="2">
        <v>39.5</v>
      </c>
      <c r="F698" s="4">
        <v>7</v>
      </c>
      <c r="G698" s="2">
        <v>276.5</v>
      </c>
      <c r="H698" t="s">
        <v>15</v>
      </c>
      <c r="I698" t="s">
        <v>36</v>
      </c>
      <c r="J698" s="1">
        <v>45546</v>
      </c>
      <c r="K698" t="b">
        <v>1</v>
      </c>
    </row>
    <row r="699" spans="1:11" x14ac:dyDescent="0.25">
      <c r="A699" t="s">
        <v>3101</v>
      </c>
      <c r="B699" t="s">
        <v>56</v>
      </c>
      <c r="C699" t="s">
        <v>13</v>
      </c>
      <c r="D699" t="s">
        <v>52</v>
      </c>
      <c r="E699" s="2">
        <v>39.5</v>
      </c>
      <c r="F699" s="4">
        <v>7</v>
      </c>
      <c r="G699" s="2">
        <v>276.5</v>
      </c>
      <c r="H699" t="s">
        <v>15</v>
      </c>
      <c r="I699" t="s">
        <v>16</v>
      </c>
      <c r="J699" s="1">
        <v>45044</v>
      </c>
      <c r="K699" t="b">
        <v>1</v>
      </c>
    </row>
    <row r="700" spans="1:11" x14ac:dyDescent="0.25">
      <c r="A700" t="s">
        <v>3443</v>
      </c>
      <c r="B700" t="s">
        <v>104</v>
      </c>
      <c r="C700" t="s">
        <v>31</v>
      </c>
      <c r="D700" t="s">
        <v>212</v>
      </c>
      <c r="E700" s="2">
        <v>39.5</v>
      </c>
      <c r="F700" s="4">
        <v>7</v>
      </c>
      <c r="G700" s="2">
        <v>276.5</v>
      </c>
      <c r="H700" t="s">
        <v>15</v>
      </c>
      <c r="I700" t="s">
        <v>16</v>
      </c>
      <c r="J700" s="1">
        <v>44859</v>
      </c>
      <c r="K700" t="b">
        <v>0</v>
      </c>
    </row>
    <row r="701" spans="1:11" x14ac:dyDescent="0.25">
      <c r="A701" t="s">
        <v>2102</v>
      </c>
      <c r="B701" t="s">
        <v>97</v>
      </c>
      <c r="C701" t="s">
        <v>13</v>
      </c>
      <c r="D701" t="s">
        <v>52</v>
      </c>
      <c r="E701" s="2">
        <v>39.5</v>
      </c>
      <c r="F701" s="4">
        <v>7</v>
      </c>
      <c r="G701" s="2">
        <v>276.5</v>
      </c>
      <c r="H701" t="s">
        <v>45</v>
      </c>
      <c r="I701" t="s">
        <v>36</v>
      </c>
      <c r="J701" s="1">
        <v>45207</v>
      </c>
      <c r="K701" t="b">
        <v>1</v>
      </c>
    </row>
    <row r="702" spans="1:11" x14ac:dyDescent="0.25">
      <c r="A702" t="s">
        <v>5392</v>
      </c>
      <c r="B702" t="s">
        <v>34</v>
      </c>
      <c r="C702" t="s">
        <v>13</v>
      </c>
      <c r="D702" t="s">
        <v>52</v>
      </c>
      <c r="E702" s="2">
        <v>39.5</v>
      </c>
      <c r="F702" s="4">
        <v>7</v>
      </c>
      <c r="G702" s="2">
        <v>276.5</v>
      </c>
      <c r="H702" t="s">
        <v>25</v>
      </c>
      <c r="I702" t="s">
        <v>16</v>
      </c>
      <c r="J702" s="1">
        <v>45023</v>
      </c>
      <c r="K702" t="b">
        <v>1</v>
      </c>
    </row>
    <row r="703" spans="1:11" x14ac:dyDescent="0.25">
      <c r="A703" t="s">
        <v>6601</v>
      </c>
      <c r="B703" t="s">
        <v>43</v>
      </c>
      <c r="C703" t="s">
        <v>13</v>
      </c>
      <c r="D703" t="s">
        <v>52</v>
      </c>
      <c r="E703" s="2">
        <v>39.5</v>
      </c>
      <c r="F703" s="4">
        <v>7</v>
      </c>
      <c r="G703" s="2">
        <v>276.5</v>
      </c>
      <c r="H703" t="s">
        <v>25</v>
      </c>
      <c r="I703" t="s">
        <v>16</v>
      </c>
      <c r="J703" s="1">
        <v>44686</v>
      </c>
      <c r="K703" t="b">
        <v>1</v>
      </c>
    </row>
    <row r="704" spans="1:11" x14ac:dyDescent="0.25">
      <c r="A704" t="s">
        <v>3253</v>
      </c>
      <c r="B704" t="s">
        <v>18</v>
      </c>
      <c r="C704" t="s">
        <v>38</v>
      </c>
      <c r="D704" t="s">
        <v>165</v>
      </c>
      <c r="E704" s="2">
        <v>39.5</v>
      </c>
      <c r="F704" s="4">
        <v>7</v>
      </c>
      <c r="G704" s="2">
        <v>276.5</v>
      </c>
      <c r="H704" t="s">
        <v>15</v>
      </c>
      <c r="I704" t="s">
        <v>36</v>
      </c>
      <c r="J704" s="1">
        <v>44593</v>
      </c>
      <c r="K704" t="b">
        <v>0</v>
      </c>
    </row>
    <row r="705" spans="1:11" x14ac:dyDescent="0.25">
      <c r="A705" t="s">
        <v>958</v>
      </c>
      <c r="B705" t="s">
        <v>34</v>
      </c>
      <c r="C705" t="s">
        <v>38</v>
      </c>
      <c r="D705" t="s">
        <v>165</v>
      </c>
      <c r="E705" s="2">
        <v>39.5</v>
      </c>
      <c r="F705" s="4">
        <v>7</v>
      </c>
      <c r="G705" s="2">
        <v>276.5</v>
      </c>
      <c r="H705" t="s">
        <v>45</v>
      </c>
      <c r="I705" t="s">
        <v>16</v>
      </c>
      <c r="J705" s="1">
        <v>45579</v>
      </c>
      <c r="K705" t="b">
        <v>0</v>
      </c>
    </row>
    <row r="706" spans="1:11" x14ac:dyDescent="0.25">
      <c r="A706" t="s">
        <v>7088</v>
      </c>
      <c r="B706" t="s">
        <v>40</v>
      </c>
      <c r="C706" t="s">
        <v>27</v>
      </c>
      <c r="D706" t="s">
        <v>482</v>
      </c>
      <c r="E706" s="2">
        <v>39.5</v>
      </c>
      <c r="F706" s="4">
        <v>7</v>
      </c>
      <c r="G706" s="2">
        <v>276.5</v>
      </c>
      <c r="H706" t="s">
        <v>45</v>
      </c>
      <c r="I706" t="s">
        <v>16</v>
      </c>
      <c r="J706" s="1">
        <v>44872</v>
      </c>
      <c r="K706" t="b">
        <v>1</v>
      </c>
    </row>
    <row r="707" spans="1:11" x14ac:dyDescent="0.25">
      <c r="A707" t="s">
        <v>790</v>
      </c>
      <c r="B707" t="s">
        <v>142</v>
      </c>
      <c r="C707" t="s">
        <v>110</v>
      </c>
      <c r="D707" t="s">
        <v>111</v>
      </c>
      <c r="E707" s="2">
        <v>27.5</v>
      </c>
      <c r="F707" s="4">
        <v>10</v>
      </c>
      <c r="G707" s="2">
        <v>275</v>
      </c>
      <c r="H707" t="s">
        <v>45</v>
      </c>
      <c r="I707" t="s">
        <v>36</v>
      </c>
      <c r="J707" s="1">
        <v>45347</v>
      </c>
      <c r="K707" t="b">
        <v>0</v>
      </c>
    </row>
    <row r="708" spans="1:11" x14ac:dyDescent="0.25">
      <c r="A708" t="s">
        <v>5680</v>
      </c>
      <c r="B708" t="s">
        <v>12</v>
      </c>
      <c r="C708" t="s">
        <v>27</v>
      </c>
      <c r="D708" t="s">
        <v>28</v>
      </c>
      <c r="E708" s="2">
        <v>27.5</v>
      </c>
      <c r="F708" s="4">
        <v>10</v>
      </c>
      <c r="G708" s="2">
        <v>275</v>
      </c>
      <c r="H708" t="s">
        <v>15</v>
      </c>
      <c r="I708" t="s">
        <v>36</v>
      </c>
      <c r="J708" s="1">
        <v>45479</v>
      </c>
      <c r="K708" t="b">
        <v>0</v>
      </c>
    </row>
    <row r="709" spans="1:11" x14ac:dyDescent="0.25">
      <c r="A709" t="s">
        <v>6259</v>
      </c>
      <c r="B709" t="s">
        <v>142</v>
      </c>
      <c r="C709" t="s">
        <v>13</v>
      </c>
      <c r="D709" t="s">
        <v>183</v>
      </c>
      <c r="E709" s="2">
        <v>27.5</v>
      </c>
      <c r="F709" s="4">
        <v>10</v>
      </c>
      <c r="G709" s="2">
        <v>275</v>
      </c>
      <c r="H709" t="s">
        <v>15</v>
      </c>
      <c r="I709" t="s">
        <v>16</v>
      </c>
      <c r="J709" s="1">
        <v>44683</v>
      </c>
      <c r="K709" t="b">
        <v>1</v>
      </c>
    </row>
    <row r="710" spans="1:11" x14ac:dyDescent="0.25">
      <c r="A710" t="s">
        <v>7357</v>
      </c>
      <c r="B710" t="s">
        <v>69</v>
      </c>
      <c r="C710" t="s">
        <v>13</v>
      </c>
      <c r="D710" t="s">
        <v>183</v>
      </c>
      <c r="E710" s="2">
        <v>27.5</v>
      </c>
      <c r="F710" s="4">
        <v>10</v>
      </c>
      <c r="G710" s="2">
        <v>275</v>
      </c>
      <c r="H710" t="s">
        <v>25</v>
      </c>
      <c r="I710" t="s">
        <v>16</v>
      </c>
      <c r="J710" s="1">
        <v>44678</v>
      </c>
      <c r="K710" t="b">
        <v>0</v>
      </c>
    </row>
    <row r="711" spans="1:11" x14ac:dyDescent="0.25">
      <c r="A711" t="s">
        <v>1618</v>
      </c>
      <c r="B711" t="s">
        <v>56</v>
      </c>
      <c r="C711" t="s">
        <v>27</v>
      </c>
      <c r="D711" t="s">
        <v>28</v>
      </c>
      <c r="E711" s="2">
        <v>27.5</v>
      </c>
      <c r="F711" s="4">
        <v>10</v>
      </c>
      <c r="G711" s="2">
        <v>275</v>
      </c>
      <c r="H711" t="s">
        <v>45</v>
      </c>
      <c r="I711" t="s">
        <v>36</v>
      </c>
      <c r="J711" s="1">
        <v>44831</v>
      </c>
      <c r="K711" t="b">
        <v>1</v>
      </c>
    </row>
    <row r="712" spans="1:11" x14ac:dyDescent="0.25">
      <c r="A712" t="s">
        <v>7174</v>
      </c>
      <c r="B712" t="s">
        <v>37</v>
      </c>
      <c r="C712" t="s">
        <v>19</v>
      </c>
      <c r="D712" t="s">
        <v>53</v>
      </c>
      <c r="E712" s="2">
        <v>27.5</v>
      </c>
      <c r="F712" s="4">
        <v>10</v>
      </c>
      <c r="G712" s="2">
        <v>275</v>
      </c>
      <c r="H712" t="s">
        <v>25</v>
      </c>
      <c r="I712" t="s">
        <v>36</v>
      </c>
      <c r="J712" s="1">
        <v>45648</v>
      </c>
      <c r="K712" t="b">
        <v>1</v>
      </c>
    </row>
    <row r="713" spans="1:11" x14ac:dyDescent="0.25">
      <c r="A713" t="s">
        <v>5916</v>
      </c>
      <c r="B713" t="s">
        <v>58</v>
      </c>
      <c r="C713" t="s">
        <v>19</v>
      </c>
      <c r="D713" t="s">
        <v>53</v>
      </c>
      <c r="E713" s="2">
        <v>27.5</v>
      </c>
      <c r="F713" s="4">
        <v>10</v>
      </c>
      <c r="G713" s="2">
        <v>275</v>
      </c>
      <c r="H713" t="s">
        <v>25</v>
      </c>
      <c r="I713" t="s">
        <v>36</v>
      </c>
      <c r="J713" s="1">
        <v>44881</v>
      </c>
      <c r="K713" t="b">
        <v>0</v>
      </c>
    </row>
    <row r="714" spans="1:11" x14ac:dyDescent="0.25">
      <c r="A714" t="s">
        <v>2201</v>
      </c>
      <c r="B714" t="s">
        <v>69</v>
      </c>
      <c r="C714" t="s">
        <v>23</v>
      </c>
      <c r="D714" t="s">
        <v>115</v>
      </c>
      <c r="E714" s="2">
        <v>27.5</v>
      </c>
      <c r="F714" s="4">
        <v>10</v>
      </c>
      <c r="G714" s="2">
        <v>275</v>
      </c>
      <c r="H714" t="s">
        <v>15</v>
      </c>
      <c r="I714" t="s">
        <v>16</v>
      </c>
      <c r="J714" s="1">
        <v>45489</v>
      </c>
      <c r="K714" t="b">
        <v>1</v>
      </c>
    </row>
    <row r="715" spans="1:11" x14ac:dyDescent="0.25">
      <c r="A715" t="s">
        <v>3069</v>
      </c>
      <c r="B715" t="s">
        <v>77</v>
      </c>
      <c r="C715" t="s">
        <v>23</v>
      </c>
      <c r="D715" t="s">
        <v>115</v>
      </c>
      <c r="E715" s="2">
        <v>27.5</v>
      </c>
      <c r="F715" s="4">
        <v>10</v>
      </c>
      <c r="G715" s="2">
        <v>275</v>
      </c>
      <c r="H715" t="s">
        <v>25</v>
      </c>
      <c r="I715" t="s">
        <v>36</v>
      </c>
      <c r="J715" s="1">
        <v>44970</v>
      </c>
      <c r="K715" t="b">
        <v>0</v>
      </c>
    </row>
    <row r="716" spans="1:11" x14ac:dyDescent="0.25">
      <c r="A716" t="s">
        <v>1550</v>
      </c>
      <c r="B716" t="s">
        <v>97</v>
      </c>
      <c r="C716" t="s">
        <v>19</v>
      </c>
      <c r="D716" t="s">
        <v>53</v>
      </c>
      <c r="E716" s="2">
        <v>27.5</v>
      </c>
      <c r="F716" s="4">
        <v>10</v>
      </c>
      <c r="G716" s="2">
        <v>275</v>
      </c>
      <c r="H716" t="s">
        <v>45</v>
      </c>
      <c r="I716" t="s">
        <v>36</v>
      </c>
      <c r="J716" s="1">
        <v>45461</v>
      </c>
      <c r="K716" t="b">
        <v>1</v>
      </c>
    </row>
    <row r="717" spans="1:11" x14ac:dyDescent="0.25">
      <c r="A717" t="s">
        <v>271</v>
      </c>
      <c r="B717" t="s">
        <v>93</v>
      </c>
      <c r="C717" t="s">
        <v>59</v>
      </c>
      <c r="D717" t="s">
        <v>272</v>
      </c>
      <c r="E717" s="2">
        <v>27.5</v>
      </c>
      <c r="F717" s="4">
        <v>10</v>
      </c>
      <c r="G717" s="2">
        <v>275</v>
      </c>
      <c r="H717" t="s">
        <v>45</v>
      </c>
      <c r="I717" t="s">
        <v>16</v>
      </c>
      <c r="J717" s="1">
        <v>44831</v>
      </c>
      <c r="K717" t="b">
        <v>1</v>
      </c>
    </row>
    <row r="718" spans="1:11" x14ac:dyDescent="0.25">
      <c r="A718" t="s">
        <v>4393</v>
      </c>
      <c r="B718" t="s">
        <v>66</v>
      </c>
      <c r="C718" t="s">
        <v>23</v>
      </c>
      <c r="D718" t="s">
        <v>115</v>
      </c>
      <c r="E718" s="2">
        <v>27.5</v>
      </c>
      <c r="F718" s="4">
        <v>10</v>
      </c>
      <c r="G718" s="2">
        <v>275</v>
      </c>
      <c r="H718" t="s">
        <v>45</v>
      </c>
      <c r="I718" t="s">
        <v>16</v>
      </c>
      <c r="J718" s="1">
        <v>44698</v>
      </c>
      <c r="K718" t="b">
        <v>1</v>
      </c>
    </row>
    <row r="719" spans="1:11" x14ac:dyDescent="0.25">
      <c r="A719" t="s">
        <v>4141</v>
      </c>
      <c r="B719" t="s">
        <v>63</v>
      </c>
      <c r="C719" t="s">
        <v>110</v>
      </c>
      <c r="D719" t="s">
        <v>111</v>
      </c>
      <c r="E719" s="2">
        <v>27.5</v>
      </c>
      <c r="F719" s="4">
        <v>10</v>
      </c>
      <c r="G719" s="2">
        <v>275</v>
      </c>
      <c r="H719" t="s">
        <v>45</v>
      </c>
      <c r="I719" t="s">
        <v>16</v>
      </c>
      <c r="J719" s="1">
        <v>44886</v>
      </c>
      <c r="K719" t="b">
        <v>1</v>
      </c>
    </row>
    <row r="720" spans="1:11" x14ac:dyDescent="0.25">
      <c r="A720" t="s">
        <v>4027</v>
      </c>
      <c r="B720" t="s">
        <v>85</v>
      </c>
      <c r="C720" t="s">
        <v>23</v>
      </c>
      <c r="D720" t="s">
        <v>115</v>
      </c>
      <c r="E720" s="2">
        <v>27.5</v>
      </c>
      <c r="F720" s="4">
        <v>10</v>
      </c>
      <c r="G720" s="2">
        <v>275</v>
      </c>
      <c r="H720" t="s">
        <v>45</v>
      </c>
      <c r="I720" t="s">
        <v>16</v>
      </c>
      <c r="J720" s="1">
        <v>45374</v>
      </c>
      <c r="K720" t="b">
        <v>1</v>
      </c>
    </row>
    <row r="721" spans="1:11" x14ac:dyDescent="0.25">
      <c r="A721" t="s">
        <v>2229</v>
      </c>
      <c r="B721" t="s">
        <v>12</v>
      </c>
      <c r="C721" t="s">
        <v>19</v>
      </c>
      <c r="D721" t="s">
        <v>53</v>
      </c>
      <c r="E721" s="2">
        <v>27.5</v>
      </c>
      <c r="F721" s="4">
        <v>10</v>
      </c>
      <c r="G721" s="2">
        <v>275</v>
      </c>
      <c r="H721" t="s">
        <v>25</v>
      </c>
      <c r="I721" t="s">
        <v>16</v>
      </c>
      <c r="J721" s="1">
        <v>45166</v>
      </c>
      <c r="K721" t="b">
        <v>0</v>
      </c>
    </row>
    <row r="722" spans="1:11" x14ac:dyDescent="0.25">
      <c r="A722" t="s">
        <v>4632</v>
      </c>
      <c r="B722" t="s">
        <v>51</v>
      </c>
      <c r="C722" t="s">
        <v>19</v>
      </c>
      <c r="D722" t="s">
        <v>53</v>
      </c>
      <c r="E722" s="2">
        <v>27.5</v>
      </c>
      <c r="F722" s="4">
        <v>10</v>
      </c>
      <c r="G722" s="2">
        <v>275</v>
      </c>
      <c r="H722" t="s">
        <v>15</v>
      </c>
      <c r="I722" t="s">
        <v>36</v>
      </c>
      <c r="J722" s="1">
        <v>44882</v>
      </c>
      <c r="K722" t="b">
        <v>0</v>
      </c>
    </row>
    <row r="723" spans="1:11" x14ac:dyDescent="0.25">
      <c r="A723" t="s">
        <v>6426</v>
      </c>
      <c r="B723" t="s">
        <v>43</v>
      </c>
      <c r="C723" t="s">
        <v>38</v>
      </c>
      <c r="D723" t="s">
        <v>41</v>
      </c>
      <c r="E723" s="2">
        <v>27.5</v>
      </c>
      <c r="F723" s="4">
        <v>10</v>
      </c>
      <c r="G723" s="2">
        <v>275</v>
      </c>
      <c r="H723" t="s">
        <v>45</v>
      </c>
      <c r="I723" t="s">
        <v>16</v>
      </c>
      <c r="J723" s="1">
        <v>45124</v>
      </c>
      <c r="K723" t="b">
        <v>1</v>
      </c>
    </row>
    <row r="724" spans="1:11" x14ac:dyDescent="0.25">
      <c r="A724" t="s">
        <v>1987</v>
      </c>
      <c r="B724" t="s">
        <v>93</v>
      </c>
      <c r="C724" t="s">
        <v>27</v>
      </c>
      <c r="D724" t="s">
        <v>28</v>
      </c>
      <c r="E724" s="2">
        <v>27.5</v>
      </c>
      <c r="F724" s="4">
        <v>10</v>
      </c>
      <c r="G724" s="2">
        <v>275</v>
      </c>
      <c r="H724" t="s">
        <v>45</v>
      </c>
      <c r="I724" t="s">
        <v>36</v>
      </c>
      <c r="J724" s="1">
        <v>44635</v>
      </c>
      <c r="K724" t="b">
        <v>0</v>
      </c>
    </row>
    <row r="725" spans="1:11" x14ac:dyDescent="0.25">
      <c r="A725" t="s">
        <v>2061</v>
      </c>
      <c r="B725" t="s">
        <v>69</v>
      </c>
      <c r="C725" t="s">
        <v>19</v>
      </c>
      <c r="D725" t="s">
        <v>53</v>
      </c>
      <c r="E725" s="2">
        <v>27.5</v>
      </c>
      <c r="F725" s="4">
        <v>10</v>
      </c>
      <c r="G725" s="2">
        <v>275</v>
      </c>
      <c r="H725" t="s">
        <v>45</v>
      </c>
      <c r="I725" t="s">
        <v>16</v>
      </c>
      <c r="J725" s="1">
        <v>44702</v>
      </c>
      <c r="K725" t="b">
        <v>1</v>
      </c>
    </row>
    <row r="726" spans="1:11" x14ac:dyDescent="0.25">
      <c r="A726" t="s">
        <v>5769</v>
      </c>
      <c r="B726" t="s">
        <v>97</v>
      </c>
      <c r="C726" t="s">
        <v>27</v>
      </c>
      <c r="D726" t="s">
        <v>28</v>
      </c>
      <c r="E726" s="2">
        <v>27.5</v>
      </c>
      <c r="F726" s="4">
        <v>10</v>
      </c>
      <c r="G726" s="2">
        <v>275</v>
      </c>
      <c r="H726" t="s">
        <v>25</v>
      </c>
      <c r="I726" t="s">
        <v>36</v>
      </c>
      <c r="J726" s="1">
        <v>45213</v>
      </c>
      <c r="K726" t="b">
        <v>0</v>
      </c>
    </row>
    <row r="727" spans="1:11" x14ac:dyDescent="0.25">
      <c r="A727" t="s">
        <v>5295</v>
      </c>
      <c r="B727" t="s">
        <v>51</v>
      </c>
      <c r="C727" t="s">
        <v>19</v>
      </c>
      <c r="D727" t="s">
        <v>53</v>
      </c>
      <c r="E727" s="2">
        <v>27.5</v>
      </c>
      <c r="F727" s="4">
        <v>10</v>
      </c>
      <c r="G727" s="2">
        <v>275</v>
      </c>
      <c r="H727" t="s">
        <v>25</v>
      </c>
      <c r="I727" t="s">
        <v>36</v>
      </c>
      <c r="J727" s="1">
        <v>44744</v>
      </c>
      <c r="K727" t="b">
        <v>0</v>
      </c>
    </row>
    <row r="728" spans="1:11" x14ac:dyDescent="0.25">
      <c r="A728" t="s">
        <v>5509</v>
      </c>
      <c r="B728" t="s">
        <v>69</v>
      </c>
      <c r="C728" t="s">
        <v>23</v>
      </c>
      <c r="D728" t="s">
        <v>115</v>
      </c>
      <c r="E728" s="2">
        <v>27.5</v>
      </c>
      <c r="F728" s="4">
        <v>10</v>
      </c>
      <c r="G728" s="2">
        <v>275</v>
      </c>
      <c r="H728" t="s">
        <v>45</v>
      </c>
      <c r="I728" t="s">
        <v>36</v>
      </c>
      <c r="J728" s="1">
        <v>44583</v>
      </c>
      <c r="K728" t="b">
        <v>1</v>
      </c>
    </row>
    <row r="729" spans="1:11" x14ac:dyDescent="0.25">
      <c r="A729" t="s">
        <v>3296</v>
      </c>
      <c r="B729" t="s">
        <v>58</v>
      </c>
      <c r="C729" t="s">
        <v>27</v>
      </c>
      <c r="D729" t="s">
        <v>28</v>
      </c>
      <c r="E729" s="2">
        <v>27.5</v>
      </c>
      <c r="F729" s="4">
        <v>10</v>
      </c>
      <c r="G729" s="2">
        <v>275</v>
      </c>
      <c r="H729" t="s">
        <v>25</v>
      </c>
      <c r="I729" t="s">
        <v>36</v>
      </c>
      <c r="J729" s="1">
        <v>45016</v>
      </c>
      <c r="K729" t="b">
        <v>0</v>
      </c>
    </row>
    <row r="730" spans="1:11" x14ac:dyDescent="0.25">
      <c r="A730" t="s">
        <v>6748</v>
      </c>
      <c r="B730" t="s">
        <v>69</v>
      </c>
      <c r="C730" t="s">
        <v>27</v>
      </c>
      <c r="D730" t="s">
        <v>28</v>
      </c>
      <c r="E730" s="2">
        <v>27.5</v>
      </c>
      <c r="F730" s="4">
        <v>10</v>
      </c>
      <c r="G730" s="2">
        <v>275</v>
      </c>
      <c r="H730" t="s">
        <v>45</v>
      </c>
      <c r="I730" t="s">
        <v>36</v>
      </c>
      <c r="J730" s="1">
        <v>45003</v>
      </c>
      <c r="K730" t="b">
        <v>0</v>
      </c>
    </row>
    <row r="731" spans="1:11" x14ac:dyDescent="0.25">
      <c r="A731" t="s">
        <v>6491</v>
      </c>
      <c r="B731" t="s">
        <v>26</v>
      </c>
      <c r="C731" t="s">
        <v>27</v>
      </c>
      <c r="D731" t="s">
        <v>28</v>
      </c>
      <c r="E731" s="2">
        <v>27.5</v>
      </c>
      <c r="F731" s="4">
        <v>10</v>
      </c>
      <c r="G731" s="2">
        <v>275</v>
      </c>
      <c r="H731" t="s">
        <v>25</v>
      </c>
      <c r="I731" t="s">
        <v>16</v>
      </c>
      <c r="J731" s="1">
        <v>45611</v>
      </c>
      <c r="K731" t="b">
        <v>1</v>
      </c>
    </row>
    <row r="732" spans="1:11" x14ac:dyDescent="0.25">
      <c r="A732" t="s">
        <v>1159</v>
      </c>
      <c r="B732" t="s">
        <v>77</v>
      </c>
      <c r="C732" t="s">
        <v>13</v>
      </c>
      <c r="D732" t="s">
        <v>183</v>
      </c>
      <c r="E732" s="2">
        <v>27.5</v>
      </c>
      <c r="F732" s="4">
        <v>10</v>
      </c>
      <c r="G732" s="2">
        <v>275</v>
      </c>
      <c r="H732" t="s">
        <v>15</v>
      </c>
      <c r="I732" t="s">
        <v>16</v>
      </c>
      <c r="J732" s="1">
        <v>45646</v>
      </c>
      <c r="K732" t="b">
        <v>0</v>
      </c>
    </row>
    <row r="733" spans="1:11" x14ac:dyDescent="0.25">
      <c r="A733" t="s">
        <v>4190</v>
      </c>
      <c r="B733" t="s">
        <v>97</v>
      </c>
      <c r="C733" t="s">
        <v>13</v>
      </c>
      <c r="D733" t="s">
        <v>183</v>
      </c>
      <c r="E733" s="2">
        <v>27.5</v>
      </c>
      <c r="F733" s="4">
        <v>10</v>
      </c>
      <c r="G733" s="2">
        <v>275</v>
      </c>
      <c r="H733" t="s">
        <v>45</v>
      </c>
      <c r="I733" t="s">
        <v>36</v>
      </c>
      <c r="J733" s="1">
        <v>44934</v>
      </c>
      <c r="K733" t="b">
        <v>0</v>
      </c>
    </row>
    <row r="734" spans="1:11" x14ac:dyDescent="0.25">
      <c r="A734" t="s">
        <v>5760</v>
      </c>
      <c r="B734" t="s">
        <v>40</v>
      </c>
      <c r="C734" t="s">
        <v>27</v>
      </c>
      <c r="D734" t="s">
        <v>28</v>
      </c>
      <c r="E734" s="2">
        <v>27.5</v>
      </c>
      <c r="F734" s="4">
        <v>10</v>
      </c>
      <c r="G734" s="2">
        <v>275</v>
      </c>
      <c r="H734" t="s">
        <v>15</v>
      </c>
      <c r="I734" t="s">
        <v>16</v>
      </c>
      <c r="J734" s="1">
        <v>44882</v>
      </c>
      <c r="K734" t="b">
        <v>0</v>
      </c>
    </row>
    <row r="735" spans="1:11" x14ac:dyDescent="0.25">
      <c r="A735" t="s">
        <v>4423</v>
      </c>
      <c r="B735" t="s">
        <v>40</v>
      </c>
      <c r="C735" t="s">
        <v>110</v>
      </c>
      <c r="D735" t="s">
        <v>111</v>
      </c>
      <c r="E735" s="2">
        <v>27.5</v>
      </c>
      <c r="F735" s="4">
        <v>10</v>
      </c>
      <c r="G735" s="2">
        <v>275</v>
      </c>
      <c r="H735" t="s">
        <v>25</v>
      </c>
      <c r="I735" t="s">
        <v>36</v>
      </c>
      <c r="J735" s="1">
        <v>45627</v>
      </c>
      <c r="K735" t="b">
        <v>1</v>
      </c>
    </row>
    <row r="736" spans="1:11" x14ac:dyDescent="0.25">
      <c r="A736" t="s">
        <v>3290</v>
      </c>
      <c r="B736" t="s">
        <v>142</v>
      </c>
      <c r="C736" t="s">
        <v>19</v>
      </c>
      <c r="D736" t="s">
        <v>53</v>
      </c>
      <c r="E736" s="2">
        <v>27.5</v>
      </c>
      <c r="F736" s="4">
        <v>10</v>
      </c>
      <c r="G736" s="2">
        <v>275</v>
      </c>
      <c r="H736" t="s">
        <v>45</v>
      </c>
      <c r="I736" t="s">
        <v>36</v>
      </c>
      <c r="J736" s="1">
        <v>45121</v>
      </c>
      <c r="K736" t="b">
        <v>1</v>
      </c>
    </row>
    <row r="737" spans="1:11" x14ac:dyDescent="0.25">
      <c r="A737" t="s">
        <v>6395</v>
      </c>
      <c r="B737" t="s">
        <v>86</v>
      </c>
      <c r="C737" t="s">
        <v>23</v>
      </c>
      <c r="D737" t="s">
        <v>115</v>
      </c>
      <c r="E737" s="2">
        <v>27.5</v>
      </c>
      <c r="F737" s="4">
        <v>10</v>
      </c>
      <c r="G737" s="2">
        <v>275</v>
      </c>
      <c r="H737" t="s">
        <v>45</v>
      </c>
      <c r="I737" t="s">
        <v>36</v>
      </c>
      <c r="J737" s="1">
        <v>44908</v>
      </c>
      <c r="K737" t="b">
        <v>1</v>
      </c>
    </row>
    <row r="738" spans="1:11" x14ac:dyDescent="0.25">
      <c r="A738" t="s">
        <v>5204</v>
      </c>
      <c r="B738" t="s">
        <v>51</v>
      </c>
      <c r="C738" t="s">
        <v>27</v>
      </c>
      <c r="D738" t="s">
        <v>28</v>
      </c>
      <c r="E738" s="2">
        <v>27.5</v>
      </c>
      <c r="F738" s="4">
        <v>10</v>
      </c>
      <c r="G738" s="2">
        <v>275</v>
      </c>
      <c r="H738" t="s">
        <v>15</v>
      </c>
      <c r="I738" t="s">
        <v>16</v>
      </c>
      <c r="J738" s="1">
        <v>45557</v>
      </c>
      <c r="K738" t="b">
        <v>0</v>
      </c>
    </row>
    <row r="739" spans="1:11" x14ac:dyDescent="0.25">
      <c r="A739" t="s">
        <v>5378</v>
      </c>
      <c r="B739" t="s">
        <v>142</v>
      </c>
      <c r="C739" t="s">
        <v>110</v>
      </c>
      <c r="D739" t="s">
        <v>111</v>
      </c>
      <c r="E739" s="2">
        <v>27.5</v>
      </c>
      <c r="F739" s="4">
        <v>10</v>
      </c>
      <c r="G739" s="2">
        <v>275</v>
      </c>
      <c r="H739" t="s">
        <v>25</v>
      </c>
      <c r="I739" t="s">
        <v>36</v>
      </c>
      <c r="J739" s="1">
        <v>45652</v>
      </c>
      <c r="K739" t="b">
        <v>0</v>
      </c>
    </row>
    <row r="740" spans="1:11" x14ac:dyDescent="0.25">
      <c r="A740" t="s">
        <v>7805</v>
      </c>
      <c r="B740" t="s">
        <v>85</v>
      </c>
      <c r="C740" t="s">
        <v>23</v>
      </c>
      <c r="D740" t="s">
        <v>115</v>
      </c>
      <c r="E740" s="2">
        <v>27.5</v>
      </c>
      <c r="F740" s="4">
        <v>10</v>
      </c>
      <c r="G740" s="2">
        <v>275</v>
      </c>
      <c r="H740" t="s">
        <v>45</v>
      </c>
      <c r="I740" t="s">
        <v>36</v>
      </c>
      <c r="J740" s="1">
        <v>44806</v>
      </c>
      <c r="K740" t="b">
        <v>1</v>
      </c>
    </row>
    <row r="741" spans="1:11" x14ac:dyDescent="0.25">
      <c r="A741" t="s">
        <v>539</v>
      </c>
      <c r="B741" t="s">
        <v>72</v>
      </c>
      <c r="C741" t="s">
        <v>38</v>
      </c>
      <c r="D741" t="s">
        <v>41</v>
      </c>
      <c r="E741" s="2">
        <v>27.5</v>
      </c>
      <c r="F741" s="4">
        <v>10</v>
      </c>
      <c r="G741" s="2">
        <v>275</v>
      </c>
      <c r="H741" t="s">
        <v>45</v>
      </c>
      <c r="I741" t="s">
        <v>36</v>
      </c>
      <c r="J741" s="1">
        <v>45508</v>
      </c>
      <c r="K741" t="b">
        <v>0</v>
      </c>
    </row>
    <row r="742" spans="1:11" x14ac:dyDescent="0.25">
      <c r="A742" t="s">
        <v>4335</v>
      </c>
      <c r="B742" t="s">
        <v>30</v>
      </c>
      <c r="C742" t="s">
        <v>38</v>
      </c>
      <c r="D742" t="s">
        <v>41</v>
      </c>
      <c r="E742" s="2">
        <v>27.5</v>
      </c>
      <c r="F742" s="4">
        <v>10</v>
      </c>
      <c r="G742" s="2">
        <v>275</v>
      </c>
      <c r="H742" t="s">
        <v>45</v>
      </c>
      <c r="I742" t="s">
        <v>36</v>
      </c>
      <c r="J742" s="1">
        <v>44575</v>
      </c>
      <c r="K742" t="b">
        <v>1</v>
      </c>
    </row>
    <row r="743" spans="1:11" x14ac:dyDescent="0.25">
      <c r="A743" t="s">
        <v>1704</v>
      </c>
      <c r="B743" t="s">
        <v>43</v>
      </c>
      <c r="C743" t="s">
        <v>38</v>
      </c>
      <c r="D743" t="s">
        <v>41</v>
      </c>
      <c r="E743" s="2">
        <v>27.5</v>
      </c>
      <c r="F743" s="4">
        <v>10</v>
      </c>
      <c r="G743" s="2">
        <v>275</v>
      </c>
      <c r="H743" t="s">
        <v>25</v>
      </c>
      <c r="I743" t="s">
        <v>16</v>
      </c>
      <c r="J743" s="1">
        <v>45207</v>
      </c>
      <c r="K743" t="b">
        <v>0</v>
      </c>
    </row>
    <row r="744" spans="1:11" x14ac:dyDescent="0.25">
      <c r="A744" t="s">
        <v>540</v>
      </c>
      <c r="B744" t="s">
        <v>37</v>
      </c>
      <c r="C744" t="s">
        <v>23</v>
      </c>
      <c r="D744" t="s">
        <v>223</v>
      </c>
      <c r="E744" s="2">
        <v>30.5</v>
      </c>
      <c r="F744" s="4">
        <v>9</v>
      </c>
      <c r="G744" s="2">
        <v>274.5</v>
      </c>
      <c r="H744" t="s">
        <v>25</v>
      </c>
      <c r="I744" t="s">
        <v>36</v>
      </c>
      <c r="J744" s="1">
        <v>44725</v>
      </c>
      <c r="K744" t="b">
        <v>0</v>
      </c>
    </row>
    <row r="745" spans="1:11" x14ac:dyDescent="0.25">
      <c r="A745" t="s">
        <v>6675</v>
      </c>
      <c r="B745" t="s">
        <v>100</v>
      </c>
      <c r="C745" t="s">
        <v>19</v>
      </c>
      <c r="D745" t="s">
        <v>474</v>
      </c>
      <c r="E745" s="2">
        <v>30.5</v>
      </c>
      <c r="F745" s="4">
        <v>9</v>
      </c>
      <c r="G745" s="2">
        <v>274.5</v>
      </c>
      <c r="H745" t="s">
        <v>45</v>
      </c>
      <c r="I745" t="s">
        <v>36</v>
      </c>
      <c r="J745" s="1">
        <v>45078</v>
      </c>
      <c r="K745" t="b">
        <v>1</v>
      </c>
    </row>
    <row r="746" spans="1:11" x14ac:dyDescent="0.25">
      <c r="A746" t="s">
        <v>2715</v>
      </c>
      <c r="B746" t="s">
        <v>22</v>
      </c>
      <c r="C746" t="s">
        <v>23</v>
      </c>
      <c r="D746" t="s">
        <v>223</v>
      </c>
      <c r="E746" s="2">
        <v>30.5</v>
      </c>
      <c r="F746" s="4">
        <v>9</v>
      </c>
      <c r="G746" s="2">
        <v>274.5</v>
      </c>
      <c r="H746" t="s">
        <v>15</v>
      </c>
      <c r="I746" t="s">
        <v>16</v>
      </c>
      <c r="J746" s="1">
        <v>45342</v>
      </c>
      <c r="K746" t="b">
        <v>1</v>
      </c>
    </row>
    <row r="747" spans="1:11" x14ac:dyDescent="0.25">
      <c r="A747" t="s">
        <v>561</v>
      </c>
      <c r="B747" t="s">
        <v>12</v>
      </c>
      <c r="C747" t="s">
        <v>110</v>
      </c>
      <c r="D747" t="s">
        <v>256</v>
      </c>
      <c r="E747" s="2">
        <v>30.5</v>
      </c>
      <c r="F747" s="4">
        <v>9</v>
      </c>
      <c r="G747" s="2">
        <v>274.5</v>
      </c>
      <c r="H747" t="s">
        <v>45</v>
      </c>
      <c r="I747" t="s">
        <v>36</v>
      </c>
      <c r="J747" s="1">
        <v>45532</v>
      </c>
      <c r="K747" t="b">
        <v>1</v>
      </c>
    </row>
    <row r="748" spans="1:11" x14ac:dyDescent="0.25">
      <c r="A748" t="s">
        <v>929</v>
      </c>
      <c r="B748" t="s">
        <v>37</v>
      </c>
      <c r="C748" t="s">
        <v>23</v>
      </c>
      <c r="D748" t="s">
        <v>223</v>
      </c>
      <c r="E748" s="2">
        <v>30.5</v>
      </c>
      <c r="F748" s="4">
        <v>9</v>
      </c>
      <c r="G748" s="2">
        <v>274.5</v>
      </c>
      <c r="H748" t="s">
        <v>25</v>
      </c>
      <c r="I748" t="s">
        <v>36</v>
      </c>
      <c r="J748" s="1">
        <v>44830</v>
      </c>
      <c r="K748" t="b">
        <v>1</v>
      </c>
    </row>
    <row r="749" spans="1:11" x14ac:dyDescent="0.25">
      <c r="A749" t="s">
        <v>4164</v>
      </c>
      <c r="B749" t="s">
        <v>18</v>
      </c>
      <c r="C749" t="s">
        <v>23</v>
      </c>
      <c r="D749" t="s">
        <v>223</v>
      </c>
      <c r="E749" s="2">
        <v>30.5</v>
      </c>
      <c r="F749" s="4">
        <v>9</v>
      </c>
      <c r="G749" s="2">
        <v>274.5</v>
      </c>
      <c r="H749" t="s">
        <v>15</v>
      </c>
      <c r="I749" t="s">
        <v>36</v>
      </c>
      <c r="J749" s="1">
        <v>45338</v>
      </c>
      <c r="K749" t="b">
        <v>1</v>
      </c>
    </row>
    <row r="750" spans="1:11" x14ac:dyDescent="0.25">
      <c r="A750" t="s">
        <v>5260</v>
      </c>
      <c r="B750" t="s">
        <v>142</v>
      </c>
      <c r="C750" t="s">
        <v>23</v>
      </c>
      <c r="D750" t="s">
        <v>223</v>
      </c>
      <c r="E750" s="2">
        <v>30.5</v>
      </c>
      <c r="F750" s="4">
        <v>9</v>
      </c>
      <c r="G750" s="2">
        <v>274.5</v>
      </c>
      <c r="H750" t="s">
        <v>25</v>
      </c>
      <c r="I750" t="s">
        <v>16</v>
      </c>
      <c r="J750" s="1">
        <v>44689</v>
      </c>
      <c r="K750" t="b">
        <v>1</v>
      </c>
    </row>
    <row r="751" spans="1:11" x14ac:dyDescent="0.25">
      <c r="A751" t="s">
        <v>5683</v>
      </c>
      <c r="B751" t="s">
        <v>85</v>
      </c>
      <c r="C751" t="s">
        <v>31</v>
      </c>
      <c r="D751" t="s">
        <v>144</v>
      </c>
      <c r="E751" s="2">
        <v>30.5</v>
      </c>
      <c r="F751" s="4">
        <v>9</v>
      </c>
      <c r="G751" s="2">
        <v>274.5</v>
      </c>
      <c r="H751" t="s">
        <v>45</v>
      </c>
      <c r="I751" t="s">
        <v>36</v>
      </c>
      <c r="J751" s="1">
        <v>44731</v>
      </c>
      <c r="K751" t="b">
        <v>0</v>
      </c>
    </row>
    <row r="752" spans="1:11" x14ac:dyDescent="0.25">
      <c r="A752" t="s">
        <v>4966</v>
      </c>
      <c r="B752" t="s">
        <v>22</v>
      </c>
      <c r="C752" t="s">
        <v>13</v>
      </c>
      <c r="D752" t="s">
        <v>1016</v>
      </c>
      <c r="E752" s="2">
        <v>30.5</v>
      </c>
      <c r="F752" s="4">
        <v>9</v>
      </c>
      <c r="G752" s="2">
        <v>274.5</v>
      </c>
      <c r="H752" t="s">
        <v>25</v>
      </c>
      <c r="I752" t="s">
        <v>36</v>
      </c>
      <c r="J752" s="1">
        <v>45399</v>
      </c>
      <c r="K752" t="b">
        <v>1</v>
      </c>
    </row>
    <row r="753" spans="1:11" x14ac:dyDescent="0.25">
      <c r="A753" t="s">
        <v>5753</v>
      </c>
      <c r="B753" t="s">
        <v>37</v>
      </c>
      <c r="C753" t="s">
        <v>27</v>
      </c>
      <c r="D753" t="s">
        <v>524</v>
      </c>
      <c r="E753" s="2">
        <v>30.5</v>
      </c>
      <c r="F753" s="4">
        <v>9</v>
      </c>
      <c r="G753" s="2">
        <v>274.5</v>
      </c>
      <c r="H753" t="s">
        <v>25</v>
      </c>
      <c r="I753" t="s">
        <v>36</v>
      </c>
      <c r="J753" s="1">
        <v>44886</v>
      </c>
      <c r="K753" t="b">
        <v>1</v>
      </c>
    </row>
    <row r="754" spans="1:11" x14ac:dyDescent="0.25">
      <c r="A754" t="s">
        <v>1485</v>
      </c>
      <c r="B754" t="s">
        <v>56</v>
      </c>
      <c r="C754" t="s">
        <v>23</v>
      </c>
      <c r="D754" t="s">
        <v>223</v>
      </c>
      <c r="E754" s="2">
        <v>30.5</v>
      </c>
      <c r="F754" s="4">
        <v>9</v>
      </c>
      <c r="G754" s="2">
        <v>274.5</v>
      </c>
      <c r="H754" t="s">
        <v>25</v>
      </c>
      <c r="I754" t="s">
        <v>16</v>
      </c>
      <c r="J754" s="1">
        <v>44616</v>
      </c>
      <c r="K754" t="b">
        <v>0</v>
      </c>
    </row>
    <row r="755" spans="1:11" x14ac:dyDescent="0.25">
      <c r="A755" t="s">
        <v>4417</v>
      </c>
      <c r="B755" t="s">
        <v>63</v>
      </c>
      <c r="C755" t="s">
        <v>23</v>
      </c>
      <c r="D755" t="s">
        <v>223</v>
      </c>
      <c r="E755" s="2">
        <v>30.5</v>
      </c>
      <c r="F755" s="4">
        <v>9</v>
      </c>
      <c r="G755" s="2">
        <v>274.5</v>
      </c>
      <c r="H755" t="s">
        <v>25</v>
      </c>
      <c r="I755" t="s">
        <v>16</v>
      </c>
      <c r="J755" s="1">
        <v>44848</v>
      </c>
      <c r="K755" t="b">
        <v>0</v>
      </c>
    </row>
    <row r="756" spans="1:11" x14ac:dyDescent="0.25">
      <c r="A756" t="s">
        <v>5027</v>
      </c>
      <c r="B756" t="s">
        <v>142</v>
      </c>
      <c r="C756" t="s">
        <v>19</v>
      </c>
      <c r="D756" t="s">
        <v>474</v>
      </c>
      <c r="E756" s="2">
        <v>30.5</v>
      </c>
      <c r="F756" s="4">
        <v>9</v>
      </c>
      <c r="G756" s="2">
        <v>274.5</v>
      </c>
      <c r="H756" t="s">
        <v>25</v>
      </c>
      <c r="I756" t="s">
        <v>16</v>
      </c>
      <c r="J756" s="1">
        <v>44671</v>
      </c>
      <c r="K756" t="b">
        <v>0</v>
      </c>
    </row>
    <row r="757" spans="1:11" x14ac:dyDescent="0.25">
      <c r="A757" t="s">
        <v>5849</v>
      </c>
      <c r="B757" t="s">
        <v>100</v>
      </c>
      <c r="C757" t="s">
        <v>27</v>
      </c>
      <c r="D757" t="s">
        <v>524</v>
      </c>
      <c r="E757" s="2">
        <v>30.5</v>
      </c>
      <c r="F757" s="4">
        <v>9</v>
      </c>
      <c r="G757" s="2">
        <v>274.5</v>
      </c>
      <c r="H757" t="s">
        <v>45</v>
      </c>
      <c r="I757" t="s">
        <v>16</v>
      </c>
      <c r="J757" s="1">
        <v>45512</v>
      </c>
      <c r="K757" t="b">
        <v>0</v>
      </c>
    </row>
    <row r="758" spans="1:11" x14ac:dyDescent="0.25">
      <c r="A758" t="s">
        <v>6632</v>
      </c>
      <c r="B758" t="s">
        <v>58</v>
      </c>
      <c r="C758" t="s">
        <v>38</v>
      </c>
      <c r="D758" t="s">
        <v>780</v>
      </c>
      <c r="E758" s="2">
        <v>30.5</v>
      </c>
      <c r="F758" s="4">
        <v>9</v>
      </c>
      <c r="G758" s="2">
        <v>274.5</v>
      </c>
      <c r="H758" t="s">
        <v>45</v>
      </c>
      <c r="I758" t="s">
        <v>16</v>
      </c>
      <c r="J758" s="1">
        <v>45409</v>
      </c>
      <c r="K758" t="b">
        <v>0</v>
      </c>
    </row>
    <row r="759" spans="1:11" x14ac:dyDescent="0.25">
      <c r="A759" t="s">
        <v>1539</v>
      </c>
      <c r="B759" t="s">
        <v>34</v>
      </c>
      <c r="C759" t="s">
        <v>31</v>
      </c>
      <c r="D759" t="s">
        <v>144</v>
      </c>
      <c r="E759" s="2">
        <v>30.5</v>
      </c>
      <c r="F759" s="4">
        <v>9</v>
      </c>
      <c r="G759" s="2">
        <v>274.5</v>
      </c>
      <c r="H759" t="s">
        <v>25</v>
      </c>
      <c r="I759" t="s">
        <v>36</v>
      </c>
      <c r="J759" s="1">
        <v>44996</v>
      </c>
      <c r="K759" t="b">
        <v>0</v>
      </c>
    </row>
    <row r="760" spans="1:11" x14ac:dyDescent="0.25">
      <c r="A760" t="s">
        <v>3441</v>
      </c>
      <c r="B760" t="s">
        <v>12</v>
      </c>
      <c r="C760" t="s">
        <v>23</v>
      </c>
      <c r="D760" t="s">
        <v>223</v>
      </c>
      <c r="E760" s="2">
        <v>30.5</v>
      </c>
      <c r="F760" s="4">
        <v>9</v>
      </c>
      <c r="G760" s="2">
        <v>274.5</v>
      </c>
      <c r="H760" t="s">
        <v>15</v>
      </c>
      <c r="I760" t="s">
        <v>36</v>
      </c>
      <c r="J760" s="1">
        <v>45510</v>
      </c>
      <c r="K760" t="b">
        <v>0</v>
      </c>
    </row>
    <row r="761" spans="1:11" x14ac:dyDescent="0.25">
      <c r="A761" t="s">
        <v>4827</v>
      </c>
      <c r="B761" t="s">
        <v>51</v>
      </c>
      <c r="C761" t="s">
        <v>27</v>
      </c>
      <c r="D761" t="s">
        <v>524</v>
      </c>
      <c r="E761" s="2">
        <v>30.5</v>
      </c>
      <c r="F761" s="4">
        <v>9</v>
      </c>
      <c r="G761" s="2">
        <v>274.5</v>
      </c>
      <c r="H761" t="s">
        <v>25</v>
      </c>
      <c r="I761" t="s">
        <v>16</v>
      </c>
      <c r="J761" s="1">
        <v>45227</v>
      </c>
      <c r="K761" t="b">
        <v>1</v>
      </c>
    </row>
    <row r="762" spans="1:11" x14ac:dyDescent="0.25">
      <c r="A762" t="s">
        <v>3939</v>
      </c>
      <c r="B762" t="s">
        <v>34</v>
      </c>
      <c r="C762" t="s">
        <v>31</v>
      </c>
      <c r="D762" t="s">
        <v>155</v>
      </c>
      <c r="E762" s="2">
        <v>33.5</v>
      </c>
      <c r="F762" s="4">
        <v>8</v>
      </c>
      <c r="G762" s="2">
        <v>268</v>
      </c>
      <c r="H762" t="s">
        <v>25</v>
      </c>
      <c r="I762" t="s">
        <v>16</v>
      </c>
      <c r="J762" s="1">
        <v>45238</v>
      </c>
      <c r="K762" t="b">
        <v>0</v>
      </c>
    </row>
    <row r="763" spans="1:11" x14ac:dyDescent="0.25">
      <c r="A763" t="s">
        <v>1147</v>
      </c>
      <c r="B763" t="s">
        <v>142</v>
      </c>
      <c r="C763" t="s">
        <v>31</v>
      </c>
      <c r="D763" t="s">
        <v>155</v>
      </c>
      <c r="E763" s="2">
        <v>33.5</v>
      </c>
      <c r="F763" s="4">
        <v>8</v>
      </c>
      <c r="G763" s="2">
        <v>268</v>
      </c>
      <c r="H763" t="s">
        <v>25</v>
      </c>
      <c r="I763" t="s">
        <v>16</v>
      </c>
      <c r="J763" s="1">
        <v>45568</v>
      </c>
      <c r="K763" t="b">
        <v>0</v>
      </c>
    </row>
    <row r="764" spans="1:11" x14ac:dyDescent="0.25">
      <c r="A764" t="s">
        <v>3917</v>
      </c>
      <c r="B764" t="s">
        <v>100</v>
      </c>
      <c r="C764" t="s">
        <v>38</v>
      </c>
      <c r="D764" t="s">
        <v>434</v>
      </c>
      <c r="E764" s="2">
        <v>33.5</v>
      </c>
      <c r="F764" s="4">
        <v>8</v>
      </c>
      <c r="G764" s="2">
        <v>268</v>
      </c>
      <c r="H764" t="s">
        <v>45</v>
      </c>
      <c r="I764" t="s">
        <v>36</v>
      </c>
      <c r="J764" s="1">
        <v>44957</v>
      </c>
      <c r="K764" t="b">
        <v>0</v>
      </c>
    </row>
    <row r="765" spans="1:11" x14ac:dyDescent="0.25">
      <c r="A765" t="s">
        <v>1182</v>
      </c>
      <c r="B765" t="s">
        <v>97</v>
      </c>
      <c r="C765" t="s">
        <v>23</v>
      </c>
      <c r="D765" t="s">
        <v>73</v>
      </c>
      <c r="E765" s="2">
        <v>33.5</v>
      </c>
      <c r="F765" s="4">
        <v>8</v>
      </c>
      <c r="G765" s="2">
        <v>268</v>
      </c>
      <c r="H765" t="s">
        <v>25</v>
      </c>
      <c r="I765" t="s">
        <v>16</v>
      </c>
      <c r="J765" s="1">
        <v>44972</v>
      </c>
      <c r="K765" t="b">
        <v>0</v>
      </c>
    </row>
    <row r="766" spans="1:11" x14ac:dyDescent="0.25">
      <c r="A766" t="s">
        <v>4541</v>
      </c>
      <c r="B766" t="s">
        <v>61</v>
      </c>
      <c r="C766" t="s">
        <v>13</v>
      </c>
      <c r="D766" t="s">
        <v>375</v>
      </c>
      <c r="E766" s="2">
        <v>33.5</v>
      </c>
      <c r="F766" s="4">
        <v>8</v>
      </c>
      <c r="G766" s="2">
        <v>268</v>
      </c>
      <c r="H766" t="s">
        <v>45</v>
      </c>
      <c r="I766" t="s">
        <v>36</v>
      </c>
      <c r="J766" s="1">
        <v>45303</v>
      </c>
      <c r="K766" t="b">
        <v>0</v>
      </c>
    </row>
    <row r="767" spans="1:11" x14ac:dyDescent="0.25">
      <c r="A767" t="s">
        <v>6445</v>
      </c>
      <c r="B767" t="s">
        <v>69</v>
      </c>
      <c r="C767" t="s">
        <v>31</v>
      </c>
      <c r="D767" t="s">
        <v>155</v>
      </c>
      <c r="E767" s="2">
        <v>33.5</v>
      </c>
      <c r="F767" s="4">
        <v>8</v>
      </c>
      <c r="G767" s="2">
        <v>268</v>
      </c>
      <c r="H767" t="s">
        <v>45</v>
      </c>
      <c r="I767" t="s">
        <v>36</v>
      </c>
      <c r="J767" s="1">
        <v>45612</v>
      </c>
      <c r="K767" t="b">
        <v>0</v>
      </c>
    </row>
    <row r="768" spans="1:11" x14ac:dyDescent="0.25">
      <c r="A768" t="s">
        <v>3872</v>
      </c>
      <c r="B768" t="s">
        <v>142</v>
      </c>
      <c r="C768" t="s">
        <v>23</v>
      </c>
      <c r="D768" t="s">
        <v>73</v>
      </c>
      <c r="E768" s="2">
        <v>33.5</v>
      </c>
      <c r="F768" s="4">
        <v>8</v>
      </c>
      <c r="G768" s="2">
        <v>268</v>
      </c>
      <c r="H768" t="s">
        <v>25</v>
      </c>
      <c r="I768" t="s">
        <v>16</v>
      </c>
      <c r="J768" s="1">
        <v>44621</v>
      </c>
      <c r="K768" t="b">
        <v>0</v>
      </c>
    </row>
    <row r="769" spans="1:11" x14ac:dyDescent="0.25">
      <c r="A769" t="s">
        <v>2641</v>
      </c>
      <c r="B769" t="s">
        <v>93</v>
      </c>
      <c r="C769" t="s">
        <v>59</v>
      </c>
      <c r="D769" t="s">
        <v>270</v>
      </c>
      <c r="E769" s="2">
        <v>33.5</v>
      </c>
      <c r="F769" s="4">
        <v>8</v>
      </c>
      <c r="G769" s="2">
        <v>268</v>
      </c>
      <c r="H769" t="s">
        <v>15</v>
      </c>
      <c r="I769" t="s">
        <v>16</v>
      </c>
      <c r="J769" s="1">
        <v>44750</v>
      </c>
      <c r="K769" t="b">
        <v>0</v>
      </c>
    </row>
    <row r="770" spans="1:11" x14ac:dyDescent="0.25">
      <c r="A770" t="s">
        <v>7444</v>
      </c>
      <c r="B770" t="s">
        <v>77</v>
      </c>
      <c r="C770" t="s">
        <v>38</v>
      </c>
      <c r="D770" t="s">
        <v>434</v>
      </c>
      <c r="E770" s="2">
        <v>33.5</v>
      </c>
      <c r="F770" s="4">
        <v>8</v>
      </c>
      <c r="G770" s="2">
        <v>268</v>
      </c>
      <c r="H770" t="s">
        <v>45</v>
      </c>
      <c r="I770" t="s">
        <v>36</v>
      </c>
      <c r="J770" s="1">
        <v>44866</v>
      </c>
      <c r="K770" t="b">
        <v>1</v>
      </c>
    </row>
    <row r="771" spans="1:11" x14ac:dyDescent="0.25">
      <c r="A771" t="s">
        <v>2928</v>
      </c>
      <c r="B771" t="s">
        <v>100</v>
      </c>
      <c r="C771" t="s">
        <v>59</v>
      </c>
      <c r="D771" t="s">
        <v>270</v>
      </c>
      <c r="E771" s="2">
        <v>33.5</v>
      </c>
      <c r="F771" s="4">
        <v>8</v>
      </c>
      <c r="G771" s="2">
        <v>268</v>
      </c>
      <c r="H771" t="s">
        <v>25</v>
      </c>
      <c r="I771" t="s">
        <v>36</v>
      </c>
      <c r="J771" s="1">
        <v>45661</v>
      </c>
      <c r="K771" t="b">
        <v>0</v>
      </c>
    </row>
    <row r="772" spans="1:11" x14ac:dyDescent="0.25">
      <c r="A772" t="s">
        <v>2068</v>
      </c>
      <c r="B772" t="s">
        <v>100</v>
      </c>
      <c r="C772" t="s">
        <v>27</v>
      </c>
      <c r="D772" t="s">
        <v>209</v>
      </c>
      <c r="E772" s="2">
        <v>33.5</v>
      </c>
      <c r="F772" s="4">
        <v>8</v>
      </c>
      <c r="G772" s="2">
        <v>268</v>
      </c>
      <c r="H772" t="s">
        <v>15</v>
      </c>
      <c r="I772" t="s">
        <v>16</v>
      </c>
      <c r="J772" s="1">
        <v>45542</v>
      </c>
      <c r="K772" t="b">
        <v>0</v>
      </c>
    </row>
    <row r="773" spans="1:11" x14ac:dyDescent="0.25">
      <c r="A773" t="s">
        <v>3699</v>
      </c>
      <c r="B773" t="s">
        <v>58</v>
      </c>
      <c r="C773" t="s">
        <v>19</v>
      </c>
      <c r="D773" t="s">
        <v>626</v>
      </c>
      <c r="E773" s="2">
        <v>33.5</v>
      </c>
      <c r="F773" s="4">
        <v>8</v>
      </c>
      <c r="G773" s="2">
        <v>268</v>
      </c>
      <c r="H773" t="s">
        <v>15</v>
      </c>
      <c r="I773" t="s">
        <v>16</v>
      </c>
      <c r="J773" s="1">
        <v>44889</v>
      </c>
      <c r="K773" t="b">
        <v>0</v>
      </c>
    </row>
    <row r="774" spans="1:11" x14ac:dyDescent="0.25">
      <c r="A774" t="s">
        <v>2436</v>
      </c>
      <c r="B774" t="s">
        <v>51</v>
      </c>
      <c r="C774" t="s">
        <v>13</v>
      </c>
      <c r="D774" t="s">
        <v>375</v>
      </c>
      <c r="E774" s="2">
        <v>33.5</v>
      </c>
      <c r="F774" s="4">
        <v>8</v>
      </c>
      <c r="G774" s="2">
        <v>268</v>
      </c>
      <c r="H774" t="s">
        <v>45</v>
      </c>
      <c r="I774" t="s">
        <v>36</v>
      </c>
      <c r="J774" s="1">
        <v>44589</v>
      </c>
      <c r="K774" t="b">
        <v>1</v>
      </c>
    </row>
    <row r="775" spans="1:11" x14ac:dyDescent="0.25">
      <c r="A775" t="s">
        <v>5129</v>
      </c>
      <c r="B775" t="s">
        <v>77</v>
      </c>
      <c r="C775" t="s">
        <v>31</v>
      </c>
      <c r="D775" t="s">
        <v>155</v>
      </c>
      <c r="E775" s="2">
        <v>33.5</v>
      </c>
      <c r="F775" s="4">
        <v>8</v>
      </c>
      <c r="G775" s="2">
        <v>268</v>
      </c>
      <c r="H775" t="s">
        <v>15</v>
      </c>
      <c r="I775" t="s">
        <v>16</v>
      </c>
      <c r="J775" s="1">
        <v>45557</v>
      </c>
      <c r="K775" t="b">
        <v>1</v>
      </c>
    </row>
    <row r="776" spans="1:11" x14ac:dyDescent="0.25">
      <c r="A776" t="s">
        <v>6039</v>
      </c>
      <c r="B776" t="s">
        <v>104</v>
      </c>
      <c r="C776" t="s">
        <v>31</v>
      </c>
      <c r="D776" t="s">
        <v>155</v>
      </c>
      <c r="E776" s="2">
        <v>33.5</v>
      </c>
      <c r="F776" s="4">
        <v>8</v>
      </c>
      <c r="G776" s="2">
        <v>268</v>
      </c>
      <c r="H776" t="s">
        <v>25</v>
      </c>
      <c r="I776" t="s">
        <v>16</v>
      </c>
      <c r="J776" s="1">
        <v>45414</v>
      </c>
      <c r="K776" t="b">
        <v>0</v>
      </c>
    </row>
    <row r="777" spans="1:11" x14ac:dyDescent="0.25">
      <c r="A777" t="s">
        <v>7392</v>
      </c>
      <c r="B777" t="s">
        <v>26</v>
      </c>
      <c r="C777" t="s">
        <v>59</v>
      </c>
      <c r="D777" t="s">
        <v>270</v>
      </c>
      <c r="E777" s="2">
        <v>33.5</v>
      </c>
      <c r="F777" s="4">
        <v>8</v>
      </c>
      <c r="G777" s="2">
        <v>268</v>
      </c>
      <c r="H777" t="s">
        <v>25</v>
      </c>
      <c r="I777" t="s">
        <v>16</v>
      </c>
      <c r="J777" s="1">
        <v>44749</v>
      </c>
      <c r="K777" t="b">
        <v>1</v>
      </c>
    </row>
    <row r="778" spans="1:11" x14ac:dyDescent="0.25">
      <c r="A778" t="s">
        <v>4799</v>
      </c>
      <c r="B778" t="s">
        <v>69</v>
      </c>
      <c r="C778" t="s">
        <v>110</v>
      </c>
      <c r="D778" t="s">
        <v>154</v>
      </c>
      <c r="E778" s="2">
        <v>33.5</v>
      </c>
      <c r="F778" s="4">
        <v>8</v>
      </c>
      <c r="G778" s="2">
        <v>268</v>
      </c>
      <c r="H778" t="s">
        <v>45</v>
      </c>
      <c r="I778" t="s">
        <v>16</v>
      </c>
      <c r="J778" s="1">
        <v>45281</v>
      </c>
      <c r="K778" t="b">
        <v>1</v>
      </c>
    </row>
    <row r="779" spans="1:11" x14ac:dyDescent="0.25">
      <c r="A779" t="s">
        <v>1500</v>
      </c>
      <c r="B779" t="s">
        <v>56</v>
      </c>
      <c r="C779" t="s">
        <v>27</v>
      </c>
      <c r="D779" t="s">
        <v>209</v>
      </c>
      <c r="E779" s="2">
        <v>33.5</v>
      </c>
      <c r="F779" s="4">
        <v>8</v>
      </c>
      <c r="G779" s="2">
        <v>268</v>
      </c>
      <c r="H779" t="s">
        <v>15</v>
      </c>
      <c r="I779" t="s">
        <v>36</v>
      </c>
      <c r="J779" s="1">
        <v>44806</v>
      </c>
      <c r="K779" t="b">
        <v>1</v>
      </c>
    </row>
    <row r="780" spans="1:11" x14ac:dyDescent="0.25">
      <c r="A780" t="s">
        <v>1402</v>
      </c>
      <c r="B780" t="s">
        <v>97</v>
      </c>
      <c r="C780" t="s">
        <v>59</v>
      </c>
      <c r="D780" t="s">
        <v>270</v>
      </c>
      <c r="E780" s="2">
        <v>33.5</v>
      </c>
      <c r="F780" s="4">
        <v>8</v>
      </c>
      <c r="G780" s="2">
        <v>268</v>
      </c>
      <c r="H780" t="s">
        <v>15</v>
      </c>
      <c r="I780" t="s">
        <v>36</v>
      </c>
      <c r="J780" s="1">
        <v>45660</v>
      </c>
      <c r="K780" t="b">
        <v>0</v>
      </c>
    </row>
    <row r="781" spans="1:11" x14ac:dyDescent="0.25">
      <c r="A781" t="s">
        <v>5934</v>
      </c>
      <c r="B781" t="s">
        <v>86</v>
      </c>
      <c r="C781" t="s">
        <v>31</v>
      </c>
      <c r="D781" t="s">
        <v>155</v>
      </c>
      <c r="E781" s="2">
        <v>33.5</v>
      </c>
      <c r="F781" s="4">
        <v>8</v>
      </c>
      <c r="G781" s="2">
        <v>268</v>
      </c>
      <c r="H781" t="s">
        <v>45</v>
      </c>
      <c r="I781" t="s">
        <v>36</v>
      </c>
      <c r="J781" s="1">
        <v>44819</v>
      </c>
      <c r="K781" t="b">
        <v>1</v>
      </c>
    </row>
    <row r="782" spans="1:11" x14ac:dyDescent="0.25">
      <c r="A782" t="s">
        <v>4645</v>
      </c>
      <c r="B782" t="s">
        <v>69</v>
      </c>
      <c r="C782" t="s">
        <v>27</v>
      </c>
      <c r="D782" t="s">
        <v>209</v>
      </c>
      <c r="E782" s="2">
        <v>33.5</v>
      </c>
      <c r="F782" s="4">
        <v>8</v>
      </c>
      <c r="G782" s="2">
        <v>268</v>
      </c>
      <c r="H782" t="s">
        <v>45</v>
      </c>
      <c r="I782" t="s">
        <v>36</v>
      </c>
      <c r="J782" s="1">
        <v>45072</v>
      </c>
      <c r="K782" t="b">
        <v>0</v>
      </c>
    </row>
    <row r="783" spans="1:11" x14ac:dyDescent="0.25">
      <c r="A783" t="s">
        <v>6953</v>
      </c>
      <c r="B783" t="s">
        <v>77</v>
      </c>
      <c r="C783" t="s">
        <v>110</v>
      </c>
      <c r="D783" t="s">
        <v>154</v>
      </c>
      <c r="E783" s="2">
        <v>33.5</v>
      </c>
      <c r="F783" s="4">
        <v>8</v>
      </c>
      <c r="G783" s="2">
        <v>268</v>
      </c>
      <c r="H783" t="s">
        <v>45</v>
      </c>
      <c r="I783" t="s">
        <v>16</v>
      </c>
      <c r="J783" s="1">
        <v>45605</v>
      </c>
      <c r="K783" t="b">
        <v>0</v>
      </c>
    </row>
    <row r="784" spans="1:11" x14ac:dyDescent="0.25">
      <c r="A784" t="s">
        <v>2996</v>
      </c>
      <c r="B784" t="s">
        <v>86</v>
      </c>
      <c r="C784" t="s">
        <v>13</v>
      </c>
      <c r="D784" t="s">
        <v>375</v>
      </c>
      <c r="E784" s="2">
        <v>33.5</v>
      </c>
      <c r="F784" s="4">
        <v>8</v>
      </c>
      <c r="G784" s="2">
        <v>268</v>
      </c>
      <c r="H784" t="s">
        <v>15</v>
      </c>
      <c r="I784" t="s">
        <v>36</v>
      </c>
      <c r="J784" s="1">
        <v>45209</v>
      </c>
      <c r="K784" t="b">
        <v>1</v>
      </c>
    </row>
    <row r="785" spans="1:11" x14ac:dyDescent="0.25">
      <c r="A785" t="s">
        <v>1219</v>
      </c>
      <c r="B785" t="s">
        <v>63</v>
      </c>
      <c r="C785" t="s">
        <v>27</v>
      </c>
      <c r="D785" t="s">
        <v>209</v>
      </c>
      <c r="E785" s="2">
        <v>33.5</v>
      </c>
      <c r="F785" s="4">
        <v>8</v>
      </c>
      <c r="G785" s="2">
        <v>268</v>
      </c>
      <c r="H785" t="s">
        <v>25</v>
      </c>
      <c r="I785" t="s">
        <v>36</v>
      </c>
      <c r="J785" s="1">
        <v>45658</v>
      </c>
      <c r="K785" t="b">
        <v>0</v>
      </c>
    </row>
    <row r="786" spans="1:11" x14ac:dyDescent="0.25">
      <c r="A786" t="s">
        <v>1422</v>
      </c>
      <c r="B786" t="s">
        <v>69</v>
      </c>
      <c r="C786" t="s">
        <v>19</v>
      </c>
      <c r="D786" t="s">
        <v>626</v>
      </c>
      <c r="E786" s="2">
        <v>33.5</v>
      </c>
      <c r="F786" s="4">
        <v>8</v>
      </c>
      <c r="G786" s="2">
        <v>268</v>
      </c>
      <c r="H786" t="s">
        <v>45</v>
      </c>
      <c r="I786" t="s">
        <v>36</v>
      </c>
      <c r="J786" s="1">
        <v>45510</v>
      </c>
      <c r="K786" t="b">
        <v>1</v>
      </c>
    </row>
    <row r="787" spans="1:11" x14ac:dyDescent="0.25">
      <c r="A787" t="s">
        <v>1850</v>
      </c>
      <c r="B787" t="s">
        <v>30</v>
      </c>
      <c r="C787" t="s">
        <v>31</v>
      </c>
      <c r="D787" t="s">
        <v>155</v>
      </c>
      <c r="E787" s="2">
        <v>33.5</v>
      </c>
      <c r="F787" s="4">
        <v>8</v>
      </c>
      <c r="G787" s="2">
        <v>268</v>
      </c>
      <c r="H787" t="s">
        <v>25</v>
      </c>
      <c r="I787" t="s">
        <v>16</v>
      </c>
      <c r="J787" s="1">
        <v>45139</v>
      </c>
      <c r="K787" t="b">
        <v>1</v>
      </c>
    </row>
    <row r="788" spans="1:11" x14ac:dyDescent="0.25">
      <c r="A788" t="s">
        <v>2485</v>
      </c>
      <c r="B788" t="s">
        <v>43</v>
      </c>
      <c r="C788" t="s">
        <v>23</v>
      </c>
      <c r="D788" t="s">
        <v>73</v>
      </c>
      <c r="E788" s="2">
        <v>33.5</v>
      </c>
      <c r="F788" s="4">
        <v>8</v>
      </c>
      <c r="G788" s="2">
        <v>268</v>
      </c>
      <c r="H788" t="s">
        <v>25</v>
      </c>
      <c r="I788" t="s">
        <v>36</v>
      </c>
      <c r="J788" s="1">
        <v>45161</v>
      </c>
      <c r="K788" t="b">
        <v>0</v>
      </c>
    </row>
    <row r="789" spans="1:11" x14ac:dyDescent="0.25">
      <c r="A789" t="s">
        <v>1331</v>
      </c>
      <c r="B789" t="s">
        <v>72</v>
      </c>
      <c r="C789" t="s">
        <v>27</v>
      </c>
      <c r="D789" t="s">
        <v>209</v>
      </c>
      <c r="E789" s="2">
        <v>33.5</v>
      </c>
      <c r="F789" s="4">
        <v>8</v>
      </c>
      <c r="G789" s="2">
        <v>268</v>
      </c>
      <c r="H789" t="s">
        <v>15</v>
      </c>
      <c r="I789" t="s">
        <v>16</v>
      </c>
      <c r="J789" s="1">
        <v>45496</v>
      </c>
      <c r="K789" t="b">
        <v>0</v>
      </c>
    </row>
    <row r="790" spans="1:11" x14ac:dyDescent="0.25">
      <c r="A790" t="s">
        <v>7093</v>
      </c>
      <c r="B790" t="s">
        <v>69</v>
      </c>
      <c r="C790" t="s">
        <v>13</v>
      </c>
      <c r="D790" t="s">
        <v>375</v>
      </c>
      <c r="E790" s="2">
        <v>33.5</v>
      </c>
      <c r="F790" s="4">
        <v>8</v>
      </c>
      <c r="G790" s="2">
        <v>268</v>
      </c>
      <c r="H790" t="s">
        <v>45</v>
      </c>
      <c r="I790" t="s">
        <v>36</v>
      </c>
      <c r="J790" s="1">
        <v>45158</v>
      </c>
      <c r="K790" t="b">
        <v>1</v>
      </c>
    </row>
    <row r="791" spans="1:11" x14ac:dyDescent="0.25">
      <c r="A791" t="s">
        <v>6570</v>
      </c>
      <c r="B791" t="s">
        <v>61</v>
      </c>
      <c r="C791" t="s">
        <v>23</v>
      </c>
      <c r="D791" t="s">
        <v>73</v>
      </c>
      <c r="E791" s="2">
        <v>33.5</v>
      </c>
      <c r="F791" s="4">
        <v>8</v>
      </c>
      <c r="G791" s="2">
        <v>268</v>
      </c>
      <c r="H791" t="s">
        <v>45</v>
      </c>
      <c r="I791" t="s">
        <v>36</v>
      </c>
      <c r="J791" s="1">
        <v>45119</v>
      </c>
      <c r="K791" t="b">
        <v>0</v>
      </c>
    </row>
    <row r="792" spans="1:11" x14ac:dyDescent="0.25">
      <c r="A792" t="s">
        <v>6120</v>
      </c>
      <c r="B792" t="s">
        <v>58</v>
      </c>
      <c r="C792" t="s">
        <v>23</v>
      </c>
      <c r="D792" t="s">
        <v>73</v>
      </c>
      <c r="E792" s="2">
        <v>33.5</v>
      </c>
      <c r="F792" s="4">
        <v>8</v>
      </c>
      <c r="G792" s="2">
        <v>268</v>
      </c>
      <c r="H792" t="s">
        <v>25</v>
      </c>
      <c r="I792" t="s">
        <v>36</v>
      </c>
      <c r="J792" s="1">
        <v>45234</v>
      </c>
      <c r="K792" t="b">
        <v>1</v>
      </c>
    </row>
    <row r="793" spans="1:11" x14ac:dyDescent="0.25">
      <c r="A793" t="s">
        <v>6457</v>
      </c>
      <c r="B793" t="s">
        <v>22</v>
      </c>
      <c r="C793" t="s">
        <v>38</v>
      </c>
      <c r="D793" t="s">
        <v>434</v>
      </c>
      <c r="E793" s="2">
        <v>33.5</v>
      </c>
      <c r="F793" s="4">
        <v>8</v>
      </c>
      <c r="G793" s="2">
        <v>268</v>
      </c>
      <c r="H793" t="s">
        <v>45</v>
      </c>
      <c r="I793" t="s">
        <v>16</v>
      </c>
      <c r="J793" s="1">
        <v>45616</v>
      </c>
      <c r="K793" t="b">
        <v>0</v>
      </c>
    </row>
    <row r="794" spans="1:11" x14ac:dyDescent="0.25">
      <c r="A794" t="s">
        <v>7770</v>
      </c>
      <c r="B794" t="s">
        <v>100</v>
      </c>
      <c r="C794" t="s">
        <v>13</v>
      </c>
      <c r="D794" t="s">
        <v>375</v>
      </c>
      <c r="E794" s="2">
        <v>33.5</v>
      </c>
      <c r="F794" s="4">
        <v>8</v>
      </c>
      <c r="G794" s="2">
        <v>268</v>
      </c>
      <c r="H794" t="s">
        <v>45</v>
      </c>
      <c r="I794" t="s">
        <v>16</v>
      </c>
      <c r="J794" s="1">
        <v>44974</v>
      </c>
      <c r="K794" t="b">
        <v>1</v>
      </c>
    </row>
    <row r="795" spans="1:11" x14ac:dyDescent="0.25">
      <c r="A795" t="s">
        <v>6026</v>
      </c>
      <c r="B795" t="s">
        <v>34</v>
      </c>
      <c r="C795" t="s">
        <v>59</v>
      </c>
      <c r="D795" t="s">
        <v>270</v>
      </c>
      <c r="E795" s="2">
        <v>33.5</v>
      </c>
      <c r="F795" s="4">
        <v>8</v>
      </c>
      <c r="G795" s="2">
        <v>268</v>
      </c>
      <c r="H795" t="s">
        <v>45</v>
      </c>
      <c r="I795" t="s">
        <v>36</v>
      </c>
      <c r="J795" s="1">
        <v>45209</v>
      </c>
      <c r="K795" t="b">
        <v>1</v>
      </c>
    </row>
    <row r="796" spans="1:11" x14ac:dyDescent="0.25">
      <c r="A796" t="s">
        <v>5767</v>
      </c>
      <c r="B796" t="s">
        <v>104</v>
      </c>
      <c r="C796" t="s">
        <v>23</v>
      </c>
      <c r="D796" t="s">
        <v>73</v>
      </c>
      <c r="E796" s="2">
        <v>33.5</v>
      </c>
      <c r="F796" s="4">
        <v>8</v>
      </c>
      <c r="G796" s="2">
        <v>268</v>
      </c>
      <c r="H796" t="s">
        <v>45</v>
      </c>
      <c r="I796" t="s">
        <v>16</v>
      </c>
      <c r="J796" s="1">
        <v>44885</v>
      </c>
      <c r="K796" t="b">
        <v>0</v>
      </c>
    </row>
    <row r="797" spans="1:11" x14ac:dyDescent="0.25">
      <c r="A797" t="s">
        <v>6976</v>
      </c>
      <c r="B797" t="s">
        <v>40</v>
      </c>
      <c r="C797" t="s">
        <v>23</v>
      </c>
      <c r="D797" t="s">
        <v>73</v>
      </c>
      <c r="E797" s="2">
        <v>33.5</v>
      </c>
      <c r="F797" s="4">
        <v>8</v>
      </c>
      <c r="G797" s="2">
        <v>268</v>
      </c>
      <c r="H797" t="s">
        <v>45</v>
      </c>
      <c r="I797" t="s">
        <v>36</v>
      </c>
      <c r="J797" s="1">
        <v>45423</v>
      </c>
      <c r="K797" t="b">
        <v>0</v>
      </c>
    </row>
    <row r="798" spans="1:11" x14ac:dyDescent="0.25">
      <c r="A798" t="s">
        <v>3449</v>
      </c>
      <c r="B798" t="s">
        <v>63</v>
      </c>
      <c r="C798" t="s">
        <v>38</v>
      </c>
      <c r="D798" t="s">
        <v>434</v>
      </c>
      <c r="E798" s="2">
        <v>33.5</v>
      </c>
      <c r="F798" s="4">
        <v>8</v>
      </c>
      <c r="G798" s="2">
        <v>268</v>
      </c>
      <c r="H798" t="s">
        <v>45</v>
      </c>
      <c r="I798" t="s">
        <v>36</v>
      </c>
      <c r="J798" s="1">
        <v>44705</v>
      </c>
      <c r="K798" t="b">
        <v>1</v>
      </c>
    </row>
    <row r="799" spans="1:11" x14ac:dyDescent="0.25">
      <c r="A799" t="s">
        <v>6068</v>
      </c>
      <c r="B799" t="s">
        <v>142</v>
      </c>
      <c r="C799" t="s">
        <v>110</v>
      </c>
      <c r="D799" t="s">
        <v>154</v>
      </c>
      <c r="E799" s="2">
        <v>33.5</v>
      </c>
      <c r="F799" s="4">
        <v>8</v>
      </c>
      <c r="G799" s="2">
        <v>268</v>
      </c>
      <c r="H799" t="s">
        <v>45</v>
      </c>
      <c r="I799" t="s">
        <v>36</v>
      </c>
      <c r="J799" s="1">
        <v>44935</v>
      </c>
      <c r="K799" t="b">
        <v>1</v>
      </c>
    </row>
    <row r="800" spans="1:11" x14ac:dyDescent="0.25">
      <c r="A800" t="s">
        <v>5049</v>
      </c>
      <c r="B800" t="s">
        <v>12</v>
      </c>
      <c r="C800" t="s">
        <v>59</v>
      </c>
      <c r="D800" t="s">
        <v>270</v>
      </c>
      <c r="E800" s="2">
        <v>33.5</v>
      </c>
      <c r="F800" s="4">
        <v>8</v>
      </c>
      <c r="G800" s="2">
        <v>268</v>
      </c>
      <c r="H800" t="s">
        <v>15</v>
      </c>
      <c r="I800" t="s">
        <v>36</v>
      </c>
      <c r="J800" s="1">
        <v>45340</v>
      </c>
      <c r="K800" t="b">
        <v>1</v>
      </c>
    </row>
    <row r="801" spans="1:11" x14ac:dyDescent="0.25">
      <c r="A801" t="s">
        <v>4125</v>
      </c>
      <c r="B801" t="s">
        <v>77</v>
      </c>
      <c r="C801" t="s">
        <v>31</v>
      </c>
      <c r="D801" t="s">
        <v>155</v>
      </c>
      <c r="E801" s="2">
        <v>33.5</v>
      </c>
      <c r="F801" s="4">
        <v>8</v>
      </c>
      <c r="G801" s="2">
        <v>268</v>
      </c>
      <c r="H801" t="s">
        <v>25</v>
      </c>
      <c r="I801" t="s">
        <v>36</v>
      </c>
      <c r="J801" s="1">
        <v>45248</v>
      </c>
      <c r="K801" t="b">
        <v>1</v>
      </c>
    </row>
    <row r="802" spans="1:11" x14ac:dyDescent="0.25">
      <c r="A802" t="s">
        <v>1316</v>
      </c>
      <c r="B802" t="s">
        <v>37</v>
      </c>
      <c r="C802" t="s">
        <v>31</v>
      </c>
      <c r="D802" t="s">
        <v>155</v>
      </c>
      <c r="E802" s="2">
        <v>33.5</v>
      </c>
      <c r="F802" s="4">
        <v>8</v>
      </c>
      <c r="G802" s="2">
        <v>268</v>
      </c>
      <c r="H802" t="s">
        <v>15</v>
      </c>
      <c r="I802" t="s">
        <v>36</v>
      </c>
      <c r="J802" s="1">
        <v>45465</v>
      </c>
      <c r="K802" t="b">
        <v>0</v>
      </c>
    </row>
    <row r="803" spans="1:11" x14ac:dyDescent="0.25">
      <c r="A803" t="s">
        <v>401</v>
      </c>
      <c r="B803" t="s">
        <v>43</v>
      </c>
      <c r="C803" t="s">
        <v>13</v>
      </c>
      <c r="D803" t="s">
        <v>375</v>
      </c>
      <c r="E803" s="2">
        <v>33.5</v>
      </c>
      <c r="F803" s="4">
        <v>8</v>
      </c>
      <c r="G803" s="2">
        <v>268</v>
      </c>
      <c r="H803" t="s">
        <v>45</v>
      </c>
      <c r="I803" t="s">
        <v>16</v>
      </c>
      <c r="J803" s="1">
        <v>44867</v>
      </c>
      <c r="K803" t="b">
        <v>1</v>
      </c>
    </row>
    <row r="804" spans="1:11" x14ac:dyDescent="0.25">
      <c r="A804" t="s">
        <v>6795</v>
      </c>
      <c r="B804" t="s">
        <v>85</v>
      </c>
      <c r="C804" t="s">
        <v>19</v>
      </c>
      <c r="D804" t="s">
        <v>203</v>
      </c>
      <c r="E804" s="2">
        <v>38</v>
      </c>
      <c r="F804" s="4">
        <v>7</v>
      </c>
      <c r="G804" s="2">
        <v>266</v>
      </c>
      <c r="H804" t="s">
        <v>15</v>
      </c>
      <c r="I804" t="s">
        <v>16</v>
      </c>
      <c r="J804" s="1">
        <v>44799</v>
      </c>
      <c r="K804" t="b">
        <v>1</v>
      </c>
    </row>
    <row r="805" spans="1:11" x14ac:dyDescent="0.25">
      <c r="A805" t="s">
        <v>6732</v>
      </c>
      <c r="B805" t="s">
        <v>26</v>
      </c>
      <c r="C805" t="s">
        <v>19</v>
      </c>
      <c r="D805" t="s">
        <v>203</v>
      </c>
      <c r="E805" s="2">
        <v>38</v>
      </c>
      <c r="F805" s="4">
        <v>7</v>
      </c>
      <c r="G805" s="2">
        <v>266</v>
      </c>
      <c r="H805" t="s">
        <v>45</v>
      </c>
      <c r="I805" t="s">
        <v>16</v>
      </c>
      <c r="J805" s="1">
        <v>45409</v>
      </c>
      <c r="K805" t="b">
        <v>0</v>
      </c>
    </row>
    <row r="806" spans="1:11" x14ac:dyDescent="0.25">
      <c r="A806" t="s">
        <v>3293</v>
      </c>
      <c r="B806" t="s">
        <v>97</v>
      </c>
      <c r="C806" t="s">
        <v>27</v>
      </c>
      <c r="D806" t="s">
        <v>205</v>
      </c>
      <c r="E806" s="2">
        <v>38</v>
      </c>
      <c r="F806" s="4">
        <v>7</v>
      </c>
      <c r="G806" s="2">
        <v>266</v>
      </c>
      <c r="H806" t="s">
        <v>45</v>
      </c>
      <c r="I806" t="s">
        <v>16</v>
      </c>
      <c r="J806" s="1">
        <v>44818</v>
      </c>
      <c r="K806" t="b">
        <v>1</v>
      </c>
    </row>
    <row r="807" spans="1:11" x14ac:dyDescent="0.25">
      <c r="A807" t="s">
        <v>349</v>
      </c>
      <c r="B807" t="s">
        <v>77</v>
      </c>
      <c r="C807" t="s">
        <v>27</v>
      </c>
      <c r="D807" t="s">
        <v>205</v>
      </c>
      <c r="E807" s="2">
        <v>38</v>
      </c>
      <c r="F807" s="4">
        <v>7</v>
      </c>
      <c r="G807" s="2">
        <v>266</v>
      </c>
      <c r="H807" t="s">
        <v>15</v>
      </c>
      <c r="I807" t="s">
        <v>36</v>
      </c>
      <c r="J807" s="1">
        <v>44875</v>
      </c>
      <c r="K807" t="b">
        <v>0</v>
      </c>
    </row>
    <row r="808" spans="1:11" x14ac:dyDescent="0.25">
      <c r="A808" t="s">
        <v>4378</v>
      </c>
      <c r="B808" t="s">
        <v>142</v>
      </c>
      <c r="C808" t="s">
        <v>13</v>
      </c>
      <c r="D808" t="s">
        <v>567</v>
      </c>
      <c r="E808" s="2">
        <v>38</v>
      </c>
      <c r="F808" s="4">
        <v>7</v>
      </c>
      <c r="G808" s="2">
        <v>266</v>
      </c>
      <c r="H808" t="s">
        <v>45</v>
      </c>
      <c r="I808" t="s">
        <v>16</v>
      </c>
      <c r="J808" s="1">
        <v>45451</v>
      </c>
      <c r="K808" t="b">
        <v>0</v>
      </c>
    </row>
    <row r="809" spans="1:11" x14ac:dyDescent="0.25">
      <c r="A809" t="s">
        <v>6839</v>
      </c>
      <c r="B809" t="s">
        <v>26</v>
      </c>
      <c r="C809" t="s">
        <v>23</v>
      </c>
      <c r="D809" t="s">
        <v>98</v>
      </c>
      <c r="E809" s="2">
        <v>38</v>
      </c>
      <c r="F809" s="4">
        <v>7</v>
      </c>
      <c r="G809" s="2">
        <v>266</v>
      </c>
      <c r="H809" t="s">
        <v>25</v>
      </c>
      <c r="I809" t="s">
        <v>16</v>
      </c>
      <c r="J809" s="1">
        <v>44870</v>
      </c>
      <c r="K809" t="b">
        <v>0</v>
      </c>
    </row>
    <row r="810" spans="1:11" x14ac:dyDescent="0.25">
      <c r="A810" t="s">
        <v>7181</v>
      </c>
      <c r="B810" t="s">
        <v>85</v>
      </c>
      <c r="C810" t="s">
        <v>13</v>
      </c>
      <c r="D810" t="s">
        <v>567</v>
      </c>
      <c r="E810" s="2">
        <v>38</v>
      </c>
      <c r="F810" s="4">
        <v>7</v>
      </c>
      <c r="G810" s="2">
        <v>266</v>
      </c>
      <c r="H810" t="s">
        <v>45</v>
      </c>
      <c r="I810" t="s">
        <v>16</v>
      </c>
      <c r="J810" s="1">
        <v>44672</v>
      </c>
      <c r="K810" t="b">
        <v>0</v>
      </c>
    </row>
    <row r="811" spans="1:11" x14ac:dyDescent="0.25">
      <c r="A811" t="s">
        <v>1838</v>
      </c>
      <c r="B811" t="s">
        <v>56</v>
      </c>
      <c r="C811" t="s">
        <v>38</v>
      </c>
      <c r="D811" t="s">
        <v>122</v>
      </c>
      <c r="E811" s="2">
        <v>38</v>
      </c>
      <c r="F811" s="4">
        <v>7</v>
      </c>
      <c r="G811" s="2">
        <v>266</v>
      </c>
      <c r="H811" t="s">
        <v>15</v>
      </c>
      <c r="I811" t="s">
        <v>16</v>
      </c>
      <c r="J811" s="1">
        <v>45214</v>
      </c>
      <c r="K811" t="b">
        <v>0</v>
      </c>
    </row>
    <row r="812" spans="1:11" x14ac:dyDescent="0.25">
      <c r="A812" t="s">
        <v>2410</v>
      </c>
      <c r="B812" t="s">
        <v>66</v>
      </c>
      <c r="C812" t="s">
        <v>59</v>
      </c>
      <c r="D812" t="s">
        <v>275</v>
      </c>
      <c r="E812" s="2">
        <v>38</v>
      </c>
      <c r="F812" s="4">
        <v>7</v>
      </c>
      <c r="G812" s="2">
        <v>266</v>
      </c>
      <c r="H812" t="s">
        <v>25</v>
      </c>
      <c r="I812" t="s">
        <v>16</v>
      </c>
      <c r="J812" s="1">
        <v>45449</v>
      </c>
      <c r="K812" t="b">
        <v>0</v>
      </c>
    </row>
    <row r="813" spans="1:11" x14ac:dyDescent="0.25">
      <c r="A813" t="s">
        <v>6877</v>
      </c>
      <c r="B813" t="s">
        <v>61</v>
      </c>
      <c r="C813" t="s">
        <v>38</v>
      </c>
      <c r="D813" t="s">
        <v>122</v>
      </c>
      <c r="E813" s="2">
        <v>38</v>
      </c>
      <c r="F813" s="4">
        <v>7</v>
      </c>
      <c r="G813" s="2">
        <v>266</v>
      </c>
      <c r="H813" t="s">
        <v>15</v>
      </c>
      <c r="I813" t="s">
        <v>36</v>
      </c>
      <c r="J813" s="1">
        <v>45537</v>
      </c>
      <c r="K813" t="b">
        <v>1</v>
      </c>
    </row>
    <row r="814" spans="1:11" x14ac:dyDescent="0.25">
      <c r="A814" t="s">
        <v>1353</v>
      </c>
      <c r="B814" t="s">
        <v>72</v>
      </c>
      <c r="C814" t="s">
        <v>19</v>
      </c>
      <c r="D814" t="s">
        <v>203</v>
      </c>
      <c r="E814" s="2">
        <v>38</v>
      </c>
      <c r="F814" s="4">
        <v>7</v>
      </c>
      <c r="G814" s="2">
        <v>266</v>
      </c>
      <c r="H814" t="s">
        <v>25</v>
      </c>
      <c r="I814" t="s">
        <v>16</v>
      </c>
      <c r="J814" s="1">
        <v>44636</v>
      </c>
      <c r="K814" t="b">
        <v>0</v>
      </c>
    </row>
    <row r="815" spans="1:11" x14ac:dyDescent="0.25">
      <c r="A815" t="s">
        <v>3548</v>
      </c>
      <c r="B815" t="s">
        <v>63</v>
      </c>
      <c r="C815" t="s">
        <v>31</v>
      </c>
      <c r="D815" t="s">
        <v>91</v>
      </c>
      <c r="E815" s="2">
        <v>38</v>
      </c>
      <c r="F815" s="4">
        <v>7</v>
      </c>
      <c r="G815" s="2">
        <v>266</v>
      </c>
      <c r="H815" t="s">
        <v>15</v>
      </c>
      <c r="I815" t="s">
        <v>36</v>
      </c>
      <c r="J815" s="1">
        <v>44905</v>
      </c>
      <c r="K815" t="b">
        <v>0</v>
      </c>
    </row>
    <row r="816" spans="1:11" x14ac:dyDescent="0.25">
      <c r="A816" t="s">
        <v>4659</v>
      </c>
      <c r="B816" t="s">
        <v>30</v>
      </c>
      <c r="C816" t="s">
        <v>110</v>
      </c>
      <c r="D816" t="s">
        <v>534</v>
      </c>
      <c r="E816" s="2">
        <v>38</v>
      </c>
      <c r="F816" s="4">
        <v>7</v>
      </c>
      <c r="G816" s="2">
        <v>266</v>
      </c>
      <c r="H816" t="s">
        <v>15</v>
      </c>
      <c r="I816" t="s">
        <v>36</v>
      </c>
      <c r="J816" s="1">
        <v>45024</v>
      </c>
      <c r="K816" t="b">
        <v>1</v>
      </c>
    </row>
    <row r="817" spans="1:11" x14ac:dyDescent="0.25">
      <c r="A817" t="s">
        <v>2686</v>
      </c>
      <c r="B817" t="s">
        <v>61</v>
      </c>
      <c r="C817" t="s">
        <v>27</v>
      </c>
      <c r="D817" t="s">
        <v>205</v>
      </c>
      <c r="E817" s="2">
        <v>38</v>
      </c>
      <c r="F817" s="4">
        <v>7</v>
      </c>
      <c r="G817" s="2">
        <v>266</v>
      </c>
      <c r="H817" t="s">
        <v>15</v>
      </c>
      <c r="I817" t="s">
        <v>36</v>
      </c>
      <c r="J817" s="1">
        <v>45510</v>
      </c>
      <c r="K817" t="b">
        <v>0</v>
      </c>
    </row>
    <row r="818" spans="1:11" x14ac:dyDescent="0.25">
      <c r="A818" t="s">
        <v>4328</v>
      </c>
      <c r="B818" t="s">
        <v>63</v>
      </c>
      <c r="C818" t="s">
        <v>19</v>
      </c>
      <c r="D818" t="s">
        <v>203</v>
      </c>
      <c r="E818" s="2">
        <v>38</v>
      </c>
      <c r="F818" s="4">
        <v>7</v>
      </c>
      <c r="G818" s="2">
        <v>266</v>
      </c>
      <c r="H818" t="s">
        <v>15</v>
      </c>
      <c r="I818" t="s">
        <v>16</v>
      </c>
      <c r="J818" s="1">
        <v>44757</v>
      </c>
      <c r="K818" t="b">
        <v>0</v>
      </c>
    </row>
    <row r="819" spans="1:11" x14ac:dyDescent="0.25">
      <c r="A819" t="s">
        <v>2162</v>
      </c>
      <c r="B819" t="s">
        <v>34</v>
      </c>
      <c r="C819" t="s">
        <v>19</v>
      </c>
      <c r="D819" t="s">
        <v>203</v>
      </c>
      <c r="E819" s="2">
        <v>38</v>
      </c>
      <c r="F819" s="4">
        <v>7</v>
      </c>
      <c r="G819" s="2">
        <v>266</v>
      </c>
      <c r="H819" t="s">
        <v>45</v>
      </c>
      <c r="I819" t="s">
        <v>16</v>
      </c>
      <c r="J819" s="1">
        <v>44983</v>
      </c>
      <c r="K819" t="b">
        <v>1</v>
      </c>
    </row>
    <row r="820" spans="1:11" x14ac:dyDescent="0.25">
      <c r="A820" t="s">
        <v>4241</v>
      </c>
      <c r="B820" t="s">
        <v>18</v>
      </c>
      <c r="C820" t="s">
        <v>110</v>
      </c>
      <c r="D820" t="s">
        <v>534</v>
      </c>
      <c r="E820" s="2">
        <v>38</v>
      </c>
      <c r="F820" s="4">
        <v>7</v>
      </c>
      <c r="G820" s="2">
        <v>266</v>
      </c>
      <c r="H820" t="s">
        <v>45</v>
      </c>
      <c r="I820" t="s">
        <v>36</v>
      </c>
      <c r="J820" s="1">
        <v>44620</v>
      </c>
      <c r="K820" t="b">
        <v>1</v>
      </c>
    </row>
    <row r="821" spans="1:11" x14ac:dyDescent="0.25">
      <c r="A821" t="s">
        <v>572</v>
      </c>
      <c r="B821" t="s">
        <v>22</v>
      </c>
      <c r="C821" t="s">
        <v>23</v>
      </c>
      <c r="D821" t="s">
        <v>98</v>
      </c>
      <c r="E821" s="2">
        <v>38</v>
      </c>
      <c r="F821" s="4">
        <v>7</v>
      </c>
      <c r="G821" s="2">
        <v>266</v>
      </c>
      <c r="H821" t="s">
        <v>25</v>
      </c>
      <c r="I821" t="s">
        <v>36</v>
      </c>
      <c r="J821" s="1">
        <v>44656</v>
      </c>
      <c r="K821" t="b">
        <v>0</v>
      </c>
    </row>
    <row r="822" spans="1:11" x14ac:dyDescent="0.25">
      <c r="A822" t="s">
        <v>3213</v>
      </c>
      <c r="B822" t="s">
        <v>43</v>
      </c>
      <c r="C822" t="s">
        <v>13</v>
      </c>
      <c r="D822" t="s">
        <v>567</v>
      </c>
      <c r="E822" s="2">
        <v>38</v>
      </c>
      <c r="F822" s="4">
        <v>7</v>
      </c>
      <c r="G822" s="2">
        <v>266</v>
      </c>
      <c r="H822" t="s">
        <v>25</v>
      </c>
      <c r="I822" t="s">
        <v>36</v>
      </c>
      <c r="J822" s="1">
        <v>45657</v>
      </c>
      <c r="K822" t="b">
        <v>0</v>
      </c>
    </row>
    <row r="823" spans="1:11" x14ac:dyDescent="0.25">
      <c r="A823" t="s">
        <v>2445</v>
      </c>
      <c r="B823" t="s">
        <v>66</v>
      </c>
      <c r="C823" t="s">
        <v>13</v>
      </c>
      <c r="D823" t="s">
        <v>567</v>
      </c>
      <c r="E823" s="2">
        <v>38</v>
      </c>
      <c r="F823" s="4">
        <v>7</v>
      </c>
      <c r="G823" s="2">
        <v>266</v>
      </c>
      <c r="H823" t="s">
        <v>15</v>
      </c>
      <c r="I823" t="s">
        <v>36</v>
      </c>
      <c r="J823" s="1">
        <v>44672</v>
      </c>
      <c r="K823" t="b">
        <v>0</v>
      </c>
    </row>
    <row r="824" spans="1:11" x14ac:dyDescent="0.25">
      <c r="A824" t="s">
        <v>7013</v>
      </c>
      <c r="B824" t="s">
        <v>72</v>
      </c>
      <c r="C824" t="s">
        <v>38</v>
      </c>
      <c r="D824" t="s">
        <v>122</v>
      </c>
      <c r="E824" s="2">
        <v>38</v>
      </c>
      <c r="F824" s="4">
        <v>7</v>
      </c>
      <c r="G824" s="2">
        <v>266</v>
      </c>
      <c r="H824" t="s">
        <v>25</v>
      </c>
      <c r="I824" t="s">
        <v>36</v>
      </c>
      <c r="J824" s="1">
        <v>44571</v>
      </c>
      <c r="K824" t="b">
        <v>1</v>
      </c>
    </row>
    <row r="825" spans="1:11" x14ac:dyDescent="0.25">
      <c r="A825" t="s">
        <v>3511</v>
      </c>
      <c r="B825" t="s">
        <v>34</v>
      </c>
      <c r="C825" t="s">
        <v>19</v>
      </c>
      <c r="D825" t="s">
        <v>203</v>
      </c>
      <c r="E825" s="2">
        <v>38</v>
      </c>
      <c r="F825" s="4">
        <v>7</v>
      </c>
      <c r="G825" s="2">
        <v>266</v>
      </c>
      <c r="H825" t="s">
        <v>45</v>
      </c>
      <c r="I825" t="s">
        <v>36</v>
      </c>
      <c r="J825" s="1">
        <v>44617</v>
      </c>
      <c r="K825" t="b">
        <v>1</v>
      </c>
    </row>
    <row r="826" spans="1:11" x14ac:dyDescent="0.25">
      <c r="A826" t="s">
        <v>3137</v>
      </c>
      <c r="B826" t="s">
        <v>26</v>
      </c>
      <c r="C826" t="s">
        <v>23</v>
      </c>
      <c r="D826" t="s">
        <v>98</v>
      </c>
      <c r="E826" s="2">
        <v>38</v>
      </c>
      <c r="F826" s="4">
        <v>7</v>
      </c>
      <c r="G826" s="2">
        <v>266</v>
      </c>
      <c r="H826" t="s">
        <v>15</v>
      </c>
      <c r="I826" t="s">
        <v>16</v>
      </c>
      <c r="J826" s="1">
        <v>44753</v>
      </c>
      <c r="K826" t="b">
        <v>0</v>
      </c>
    </row>
    <row r="827" spans="1:11" x14ac:dyDescent="0.25">
      <c r="A827" t="s">
        <v>3664</v>
      </c>
      <c r="B827" t="s">
        <v>61</v>
      </c>
      <c r="C827" t="s">
        <v>19</v>
      </c>
      <c r="D827" t="s">
        <v>203</v>
      </c>
      <c r="E827" s="2">
        <v>38</v>
      </c>
      <c r="F827" s="4">
        <v>7</v>
      </c>
      <c r="G827" s="2">
        <v>266</v>
      </c>
      <c r="H827" t="s">
        <v>45</v>
      </c>
      <c r="I827" t="s">
        <v>36</v>
      </c>
      <c r="J827" s="1">
        <v>44900</v>
      </c>
      <c r="K827" t="b">
        <v>1</v>
      </c>
    </row>
    <row r="828" spans="1:11" x14ac:dyDescent="0.25">
      <c r="A828" t="s">
        <v>2143</v>
      </c>
      <c r="B828" t="s">
        <v>37</v>
      </c>
      <c r="C828" t="s">
        <v>13</v>
      </c>
      <c r="D828" t="s">
        <v>567</v>
      </c>
      <c r="E828" s="2">
        <v>38</v>
      </c>
      <c r="F828" s="4">
        <v>7</v>
      </c>
      <c r="G828" s="2">
        <v>266</v>
      </c>
      <c r="H828" t="s">
        <v>25</v>
      </c>
      <c r="I828" t="s">
        <v>36</v>
      </c>
      <c r="J828" s="1">
        <v>45003</v>
      </c>
      <c r="K828" t="b">
        <v>0</v>
      </c>
    </row>
    <row r="829" spans="1:11" x14ac:dyDescent="0.25">
      <c r="A829" t="s">
        <v>1768</v>
      </c>
      <c r="B829" t="s">
        <v>100</v>
      </c>
      <c r="C829" t="s">
        <v>27</v>
      </c>
      <c r="D829" t="s">
        <v>205</v>
      </c>
      <c r="E829" s="2">
        <v>38</v>
      </c>
      <c r="F829" s="4">
        <v>7</v>
      </c>
      <c r="G829" s="2">
        <v>266</v>
      </c>
      <c r="H829" t="s">
        <v>15</v>
      </c>
      <c r="I829" t="s">
        <v>36</v>
      </c>
      <c r="J829" s="1">
        <v>45422</v>
      </c>
      <c r="K829" t="b">
        <v>1</v>
      </c>
    </row>
    <row r="830" spans="1:11" x14ac:dyDescent="0.25">
      <c r="A830" t="s">
        <v>2765</v>
      </c>
      <c r="B830" t="s">
        <v>40</v>
      </c>
      <c r="C830" t="s">
        <v>19</v>
      </c>
      <c r="D830" t="s">
        <v>203</v>
      </c>
      <c r="E830" s="2">
        <v>38</v>
      </c>
      <c r="F830" s="4">
        <v>7</v>
      </c>
      <c r="G830" s="2">
        <v>266</v>
      </c>
      <c r="H830" t="s">
        <v>25</v>
      </c>
      <c r="I830" t="s">
        <v>36</v>
      </c>
      <c r="J830" s="1">
        <v>44876</v>
      </c>
      <c r="K830" t="b">
        <v>1</v>
      </c>
    </row>
    <row r="831" spans="1:11" x14ac:dyDescent="0.25">
      <c r="A831" t="s">
        <v>5407</v>
      </c>
      <c r="B831" t="s">
        <v>37</v>
      </c>
      <c r="C831" t="s">
        <v>19</v>
      </c>
      <c r="D831" t="s">
        <v>203</v>
      </c>
      <c r="E831" s="2">
        <v>38</v>
      </c>
      <c r="F831" s="4">
        <v>7</v>
      </c>
      <c r="G831" s="2">
        <v>266</v>
      </c>
      <c r="H831" t="s">
        <v>15</v>
      </c>
      <c r="I831" t="s">
        <v>36</v>
      </c>
      <c r="J831" s="1">
        <v>44678</v>
      </c>
      <c r="K831" t="b">
        <v>0</v>
      </c>
    </row>
    <row r="832" spans="1:11" x14ac:dyDescent="0.25">
      <c r="A832" t="s">
        <v>7749</v>
      </c>
      <c r="B832" t="s">
        <v>30</v>
      </c>
      <c r="C832" t="s">
        <v>59</v>
      </c>
      <c r="D832" t="s">
        <v>275</v>
      </c>
      <c r="E832" s="2">
        <v>38</v>
      </c>
      <c r="F832" s="4">
        <v>7</v>
      </c>
      <c r="G832" s="2">
        <v>266</v>
      </c>
      <c r="H832" t="s">
        <v>25</v>
      </c>
      <c r="I832" t="s">
        <v>36</v>
      </c>
      <c r="J832" s="1">
        <v>44836</v>
      </c>
      <c r="K832" t="b">
        <v>0</v>
      </c>
    </row>
    <row r="833" spans="1:11" x14ac:dyDescent="0.25">
      <c r="A833" t="s">
        <v>4618</v>
      </c>
      <c r="B833" t="s">
        <v>22</v>
      </c>
      <c r="C833" t="s">
        <v>59</v>
      </c>
      <c r="D833" t="s">
        <v>275</v>
      </c>
      <c r="E833" s="2">
        <v>38</v>
      </c>
      <c r="F833" s="4">
        <v>7</v>
      </c>
      <c r="G833" s="2">
        <v>266</v>
      </c>
      <c r="H833" t="s">
        <v>15</v>
      </c>
      <c r="I833" t="s">
        <v>36</v>
      </c>
      <c r="J833" s="1">
        <v>45571</v>
      </c>
      <c r="K833" t="b">
        <v>0</v>
      </c>
    </row>
    <row r="834" spans="1:11" x14ac:dyDescent="0.25">
      <c r="A834" t="s">
        <v>7574</v>
      </c>
      <c r="B834" t="s">
        <v>43</v>
      </c>
      <c r="C834" t="s">
        <v>19</v>
      </c>
      <c r="D834" t="s">
        <v>203</v>
      </c>
      <c r="E834" s="2">
        <v>38</v>
      </c>
      <c r="F834" s="4">
        <v>7</v>
      </c>
      <c r="G834" s="2">
        <v>266</v>
      </c>
      <c r="H834" t="s">
        <v>45</v>
      </c>
      <c r="I834" t="s">
        <v>16</v>
      </c>
      <c r="J834" s="1">
        <v>45271</v>
      </c>
      <c r="K834" t="b">
        <v>1</v>
      </c>
    </row>
    <row r="835" spans="1:11" x14ac:dyDescent="0.25">
      <c r="A835" t="s">
        <v>3996</v>
      </c>
      <c r="B835" t="s">
        <v>104</v>
      </c>
      <c r="C835" t="s">
        <v>13</v>
      </c>
      <c r="D835" t="s">
        <v>55</v>
      </c>
      <c r="E835" s="2">
        <v>29</v>
      </c>
      <c r="F835" s="4">
        <v>9</v>
      </c>
      <c r="G835" s="2">
        <v>261</v>
      </c>
      <c r="H835" t="s">
        <v>15</v>
      </c>
      <c r="I835" t="s">
        <v>36</v>
      </c>
      <c r="J835" s="1">
        <v>45586</v>
      </c>
      <c r="K835" t="b">
        <v>0</v>
      </c>
    </row>
    <row r="836" spans="1:11" x14ac:dyDescent="0.25">
      <c r="A836" t="s">
        <v>4322</v>
      </c>
      <c r="B836" t="s">
        <v>26</v>
      </c>
      <c r="C836" t="s">
        <v>110</v>
      </c>
      <c r="D836" t="s">
        <v>386</v>
      </c>
      <c r="E836" s="2">
        <v>29</v>
      </c>
      <c r="F836" s="4">
        <v>9</v>
      </c>
      <c r="G836" s="2">
        <v>261</v>
      </c>
      <c r="H836" t="s">
        <v>15</v>
      </c>
      <c r="I836" t="s">
        <v>36</v>
      </c>
      <c r="J836" s="1">
        <v>45660</v>
      </c>
      <c r="K836" t="b">
        <v>1</v>
      </c>
    </row>
    <row r="837" spans="1:11" x14ac:dyDescent="0.25">
      <c r="A837" t="s">
        <v>3672</v>
      </c>
      <c r="B837" t="s">
        <v>66</v>
      </c>
      <c r="C837" t="s">
        <v>31</v>
      </c>
      <c r="D837" t="s">
        <v>372</v>
      </c>
      <c r="E837" s="2">
        <v>29</v>
      </c>
      <c r="F837" s="4">
        <v>9</v>
      </c>
      <c r="G837" s="2">
        <v>261</v>
      </c>
      <c r="H837" t="s">
        <v>45</v>
      </c>
      <c r="I837" t="s">
        <v>36</v>
      </c>
      <c r="J837" s="1">
        <v>44903</v>
      </c>
      <c r="K837" t="b">
        <v>0</v>
      </c>
    </row>
    <row r="838" spans="1:11" x14ac:dyDescent="0.25">
      <c r="A838" t="s">
        <v>6561</v>
      </c>
      <c r="B838" t="s">
        <v>66</v>
      </c>
      <c r="C838" t="s">
        <v>27</v>
      </c>
      <c r="D838" t="s">
        <v>421</v>
      </c>
      <c r="E838" s="2">
        <v>29</v>
      </c>
      <c r="F838" s="4">
        <v>9</v>
      </c>
      <c r="G838" s="2">
        <v>261</v>
      </c>
      <c r="H838" t="s">
        <v>45</v>
      </c>
      <c r="I838" t="s">
        <v>36</v>
      </c>
      <c r="J838" s="1">
        <v>45675</v>
      </c>
      <c r="K838" t="b">
        <v>0</v>
      </c>
    </row>
    <row r="839" spans="1:11" x14ac:dyDescent="0.25">
      <c r="A839" t="s">
        <v>6024</v>
      </c>
      <c r="B839" t="s">
        <v>72</v>
      </c>
      <c r="C839" t="s">
        <v>27</v>
      </c>
      <c r="D839" t="s">
        <v>421</v>
      </c>
      <c r="E839" s="2">
        <v>29</v>
      </c>
      <c r="F839" s="4">
        <v>9</v>
      </c>
      <c r="G839" s="2">
        <v>261</v>
      </c>
      <c r="H839" t="s">
        <v>45</v>
      </c>
      <c r="I839" t="s">
        <v>16</v>
      </c>
      <c r="J839" s="1">
        <v>44752</v>
      </c>
      <c r="K839" t="b">
        <v>1</v>
      </c>
    </row>
    <row r="840" spans="1:11" x14ac:dyDescent="0.25">
      <c r="A840" t="s">
        <v>2766</v>
      </c>
      <c r="B840" t="s">
        <v>43</v>
      </c>
      <c r="C840" t="s">
        <v>27</v>
      </c>
      <c r="D840" t="s">
        <v>421</v>
      </c>
      <c r="E840" s="2">
        <v>29</v>
      </c>
      <c r="F840" s="4">
        <v>9</v>
      </c>
      <c r="G840" s="2">
        <v>261</v>
      </c>
      <c r="H840" t="s">
        <v>25</v>
      </c>
      <c r="I840" t="s">
        <v>16</v>
      </c>
      <c r="J840" s="1">
        <v>45211</v>
      </c>
      <c r="K840" t="b">
        <v>0</v>
      </c>
    </row>
    <row r="841" spans="1:11" x14ac:dyDescent="0.25">
      <c r="A841" t="s">
        <v>3990</v>
      </c>
      <c r="B841" t="s">
        <v>56</v>
      </c>
      <c r="C841" t="s">
        <v>19</v>
      </c>
      <c r="D841" t="s">
        <v>20</v>
      </c>
      <c r="E841" s="2">
        <v>29</v>
      </c>
      <c r="F841" s="4">
        <v>9</v>
      </c>
      <c r="G841" s="2">
        <v>261</v>
      </c>
      <c r="H841" t="s">
        <v>25</v>
      </c>
      <c r="I841" t="s">
        <v>16</v>
      </c>
      <c r="J841" s="1">
        <v>45216</v>
      </c>
      <c r="K841" t="b">
        <v>0</v>
      </c>
    </row>
    <row r="842" spans="1:11" x14ac:dyDescent="0.25">
      <c r="A842" t="s">
        <v>4184</v>
      </c>
      <c r="B842" t="s">
        <v>56</v>
      </c>
      <c r="C842" t="s">
        <v>59</v>
      </c>
      <c r="D842" t="s">
        <v>297</v>
      </c>
      <c r="E842" s="2">
        <v>29</v>
      </c>
      <c r="F842" s="4">
        <v>9</v>
      </c>
      <c r="G842" s="2">
        <v>261</v>
      </c>
      <c r="H842" t="s">
        <v>45</v>
      </c>
      <c r="I842" t="s">
        <v>16</v>
      </c>
      <c r="J842" s="1">
        <v>45069</v>
      </c>
      <c r="K842" t="b">
        <v>1</v>
      </c>
    </row>
    <row r="843" spans="1:11" x14ac:dyDescent="0.25">
      <c r="A843" t="s">
        <v>5735</v>
      </c>
      <c r="B843" t="s">
        <v>51</v>
      </c>
      <c r="C843" t="s">
        <v>110</v>
      </c>
      <c r="D843" t="s">
        <v>386</v>
      </c>
      <c r="E843" s="2">
        <v>29</v>
      </c>
      <c r="F843" s="4">
        <v>9</v>
      </c>
      <c r="G843" s="2">
        <v>261</v>
      </c>
      <c r="H843" t="s">
        <v>45</v>
      </c>
      <c r="I843" t="s">
        <v>36</v>
      </c>
      <c r="J843" s="1">
        <v>44620</v>
      </c>
      <c r="K843" t="b">
        <v>1</v>
      </c>
    </row>
    <row r="844" spans="1:11" x14ac:dyDescent="0.25">
      <c r="A844" t="s">
        <v>880</v>
      </c>
      <c r="B844" t="s">
        <v>69</v>
      </c>
      <c r="C844" t="s">
        <v>27</v>
      </c>
      <c r="D844" t="s">
        <v>421</v>
      </c>
      <c r="E844" s="2">
        <v>29</v>
      </c>
      <c r="F844" s="4">
        <v>9</v>
      </c>
      <c r="G844" s="2">
        <v>261</v>
      </c>
      <c r="H844" t="s">
        <v>15</v>
      </c>
      <c r="I844" t="s">
        <v>16</v>
      </c>
      <c r="J844" s="1">
        <v>45176</v>
      </c>
      <c r="K844" t="b">
        <v>0</v>
      </c>
    </row>
    <row r="845" spans="1:11" x14ac:dyDescent="0.25">
      <c r="A845" t="s">
        <v>2402</v>
      </c>
      <c r="B845" t="s">
        <v>97</v>
      </c>
      <c r="C845" t="s">
        <v>19</v>
      </c>
      <c r="D845" t="s">
        <v>20</v>
      </c>
      <c r="E845" s="2">
        <v>29</v>
      </c>
      <c r="F845" s="4">
        <v>9</v>
      </c>
      <c r="G845" s="2">
        <v>261</v>
      </c>
      <c r="H845" t="s">
        <v>25</v>
      </c>
      <c r="I845" t="s">
        <v>36</v>
      </c>
      <c r="J845" s="1">
        <v>45266</v>
      </c>
      <c r="K845" t="b">
        <v>0</v>
      </c>
    </row>
    <row r="846" spans="1:11" x14ac:dyDescent="0.25">
      <c r="A846" t="s">
        <v>3399</v>
      </c>
      <c r="B846" t="s">
        <v>12</v>
      </c>
      <c r="C846" t="s">
        <v>59</v>
      </c>
      <c r="D846" t="s">
        <v>297</v>
      </c>
      <c r="E846" s="2">
        <v>29</v>
      </c>
      <c r="F846" s="4">
        <v>9</v>
      </c>
      <c r="G846" s="2">
        <v>261</v>
      </c>
      <c r="H846" t="s">
        <v>25</v>
      </c>
      <c r="I846" t="s">
        <v>36</v>
      </c>
      <c r="J846" s="1">
        <v>44814</v>
      </c>
      <c r="K846" t="b">
        <v>1</v>
      </c>
    </row>
    <row r="847" spans="1:11" x14ac:dyDescent="0.25">
      <c r="A847" t="s">
        <v>1011</v>
      </c>
      <c r="B847" t="s">
        <v>142</v>
      </c>
      <c r="C847" t="s">
        <v>19</v>
      </c>
      <c r="D847" t="s">
        <v>20</v>
      </c>
      <c r="E847" s="2">
        <v>29</v>
      </c>
      <c r="F847" s="4">
        <v>9</v>
      </c>
      <c r="G847" s="2">
        <v>261</v>
      </c>
      <c r="H847" t="s">
        <v>15</v>
      </c>
      <c r="I847" t="s">
        <v>36</v>
      </c>
      <c r="J847" s="1">
        <v>44944</v>
      </c>
      <c r="K847" t="b">
        <v>0</v>
      </c>
    </row>
    <row r="848" spans="1:11" x14ac:dyDescent="0.25">
      <c r="A848" t="s">
        <v>3963</v>
      </c>
      <c r="B848" t="s">
        <v>66</v>
      </c>
      <c r="C848" t="s">
        <v>59</v>
      </c>
      <c r="D848" t="s">
        <v>297</v>
      </c>
      <c r="E848" s="2">
        <v>29</v>
      </c>
      <c r="F848" s="4">
        <v>9</v>
      </c>
      <c r="G848" s="2">
        <v>261</v>
      </c>
      <c r="H848" t="s">
        <v>45</v>
      </c>
      <c r="I848" t="s">
        <v>16</v>
      </c>
      <c r="J848" s="1">
        <v>44791</v>
      </c>
      <c r="K848" t="b">
        <v>0</v>
      </c>
    </row>
    <row r="849" spans="1:11" x14ac:dyDescent="0.25">
      <c r="A849" t="s">
        <v>17</v>
      </c>
      <c r="B849" t="s">
        <v>18</v>
      </c>
      <c r="C849" t="s">
        <v>19</v>
      </c>
      <c r="D849" t="s">
        <v>20</v>
      </c>
      <c r="E849" s="2">
        <v>29</v>
      </c>
      <c r="F849" s="4">
        <v>9</v>
      </c>
      <c r="G849" s="2">
        <v>261</v>
      </c>
      <c r="H849" t="s">
        <v>15</v>
      </c>
      <c r="I849" t="s">
        <v>16</v>
      </c>
      <c r="J849" s="1">
        <v>45130</v>
      </c>
      <c r="K849" t="b">
        <v>1</v>
      </c>
    </row>
    <row r="850" spans="1:11" x14ac:dyDescent="0.25">
      <c r="A850" t="s">
        <v>1944</v>
      </c>
      <c r="B850" t="s">
        <v>51</v>
      </c>
      <c r="C850" t="s">
        <v>23</v>
      </c>
      <c r="D850" t="s">
        <v>352</v>
      </c>
      <c r="E850" s="2">
        <v>29</v>
      </c>
      <c r="F850" s="4">
        <v>9</v>
      </c>
      <c r="G850" s="2">
        <v>261</v>
      </c>
      <c r="H850" t="s">
        <v>15</v>
      </c>
      <c r="I850" t="s">
        <v>16</v>
      </c>
      <c r="J850" s="1">
        <v>45394</v>
      </c>
      <c r="K850" t="b">
        <v>0</v>
      </c>
    </row>
    <row r="851" spans="1:11" x14ac:dyDescent="0.25">
      <c r="A851" t="s">
        <v>4937</v>
      </c>
      <c r="B851" t="s">
        <v>142</v>
      </c>
      <c r="C851" t="s">
        <v>19</v>
      </c>
      <c r="D851" t="s">
        <v>20</v>
      </c>
      <c r="E851" s="2">
        <v>29</v>
      </c>
      <c r="F851" s="4">
        <v>9</v>
      </c>
      <c r="G851" s="2">
        <v>261</v>
      </c>
      <c r="H851" t="s">
        <v>45</v>
      </c>
      <c r="I851" t="s">
        <v>16</v>
      </c>
      <c r="J851" s="1">
        <v>45332</v>
      </c>
      <c r="K851" t="b">
        <v>0</v>
      </c>
    </row>
    <row r="852" spans="1:11" x14ac:dyDescent="0.25">
      <c r="A852" t="s">
        <v>2004</v>
      </c>
      <c r="B852" t="s">
        <v>51</v>
      </c>
      <c r="C852" t="s">
        <v>59</v>
      </c>
      <c r="D852" t="s">
        <v>297</v>
      </c>
      <c r="E852" s="2">
        <v>29</v>
      </c>
      <c r="F852" s="4">
        <v>9</v>
      </c>
      <c r="G852" s="2">
        <v>261</v>
      </c>
      <c r="H852" t="s">
        <v>45</v>
      </c>
      <c r="I852" t="s">
        <v>16</v>
      </c>
      <c r="J852" s="1">
        <v>45011</v>
      </c>
      <c r="K852" t="b">
        <v>0</v>
      </c>
    </row>
    <row r="853" spans="1:11" x14ac:dyDescent="0.25">
      <c r="A853" t="s">
        <v>2799</v>
      </c>
      <c r="B853" t="s">
        <v>40</v>
      </c>
      <c r="C853" t="s">
        <v>110</v>
      </c>
      <c r="D853" t="s">
        <v>386</v>
      </c>
      <c r="E853" s="2">
        <v>29</v>
      </c>
      <c r="F853" s="4">
        <v>9</v>
      </c>
      <c r="G853" s="2">
        <v>261</v>
      </c>
      <c r="H853" t="s">
        <v>15</v>
      </c>
      <c r="I853" t="s">
        <v>16</v>
      </c>
      <c r="J853" s="1">
        <v>44733</v>
      </c>
      <c r="K853" t="b">
        <v>1</v>
      </c>
    </row>
    <row r="854" spans="1:11" x14ac:dyDescent="0.25">
      <c r="A854" t="s">
        <v>6019</v>
      </c>
      <c r="B854" t="s">
        <v>104</v>
      </c>
      <c r="C854" t="s">
        <v>31</v>
      </c>
      <c r="D854" t="s">
        <v>372</v>
      </c>
      <c r="E854" s="2">
        <v>29</v>
      </c>
      <c r="F854" s="4">
        <v>9</v>
      </c>
      <c r="G854" s="2">
        <v>261</v>
      </c>
      <c r="H854" t="s">
        <v>45</v>
      </c>
      <c r="I854" t="s">
        <v>36</v>
      </c>
      <c r="J854" s="1">
        <v>45656</v>
      </c>
      <c r="K854" t="b">
        <v>0</v>
      </c>
    </row>
    <row r="855" spans="1:11" x14ac:dyDescent="0.25">
      <c r="A855" t="s">
        <v>3339</v>
      </c>
      <c r="B855" t="s">
        <v>56</v>
      </c>
      <c r="C855" t="s">
        <v>19</v>
      </c>
      <c r="D855" t="s">
        <v>20</v>
      </c>
      <c r="E855" s="2">
        <v>29</v>
      </c>
      <c r="F855" s="4">
        <v>9</v>
      </c>
      <c r="G855" s="2">
        <v>261</v>
      </c>
      <c r="H855" t="s">
        <v>15</v>
      </c>
      <c r="I855" t="s">
        <v>36</v>
      </c>
      <c r="J855" s="1">
        <v>45357</v>
      </c>
      <c r="K855" t="b">
        <v>0</v>
      </c>
    </row>
    <row r="856" spans="1:11" x14ac:dyDescent="0.25">
      <c r="A856" t="s">
        <v>4857</v>
      </c>
      <c r="B856" t="s">
        <v>104</v>
      </c>
      <c r="C856" t="s">
        <v>13</v>
      </c>
      <c r="D856" t="s">
        <v>55</v>
      </c>
      <c r="E856" s="2">
        <v>29</v>
      </c>
      <c r="F856" s="4">
        <v>9</v>
      </c>
      <c r="G856" s="2">
        <v>261</v>
      </c>
      <c r="H856" t="s">
        <v>25</v>
      </c>
      <c r="I856" t="s">
        <v>36</v>
      </c>
      <c r="J856" s="1">
        <v>45097</v>
      </c>
      <c r="K856" t="b">
        <v>1</v>
      </c>
    </row>
    <row r="857" spans="1:11" x14ac:dyDescent="0.25">
      <c r="A857" t="s">
        <v>4741</v>
      </c>
      <c r="B857" t="s">
        <v>56</v>
      </c>
      <c r="C857" t="s">
        <v>13</v>
      </c>
      <c r="D857" t="s">
        <v>55</v>
      </c>
      <c r="E857" s="2">
        <v>29</v>
      </c>
      <c r="F857" s="4">
        <v>9</v>
      </c>
      <c r="G857" s="2">
        <v>261</v>
      </c>
      <c r="H857" t="s">
        <v>15</v>
      </c>
      <c r="I857" t="s">
        <v>36</v>
      </c>
      <c r="J857" s="1">
        <v>45117</v>
      </c>
      <c r="K857" t="b">
        <v>1</v>
      </c>
    </row>
    <row r="858" spans="1:11" x14ac:dyDescent="0.25">
      <c r="A858" t="s">
        <v>2122</v>
      </c>
      <c r="B858" t="s">
        <v>58</v>
      </c>
      <c r="C858" t="s">
        <v>27</v>
      </c>
      <c r="D858" t="s">
        <v>421</v>
      </c>
      <c r="E858" s="2">
        <v>29</v>
      </c>
      <c r="F858" s="4">
        <v>9</v>
      </c>
      <c r="G858" s="2">
        <v>261</v>
      </c>
      <c r="H858" t="s">
        <v>15</v>
      </c>
      <c r="I858" t="s">
        <v>16</v>
      </c>
      <c r="J858" s="1">
        <v>44860</v>
      </c>
      <c r="K858" t="b">
        <v>0</v>
      </c>
    </row>
    <row r="859" spans="1:11" x14ac:dyDescent="0.25">
      <c r="A859" t="s">
        <v>2821</v>
      </c>
      <c r="B859" t="s">
        <v>51</v>
      </c>
      <c r="C859" t="s">
        <v>31</v>
      </c>
      <c r="D859" t="s">
        <v>372</v>
      </c>
      <c r="E859" s="2">
        <v>29</v>
      </c>
      <c r="F859" s="4">
        <v>9</v>
      </c>
      <c r="G859" s="2">
        <v>261</v>
      </c>
      <c r="H859" t="s">
        <v>45</v>
      </c>
      <c r="I859" t="s">
        <v>16</v>
      </c>
      <c r="J859" s="1">
        <v>45317</v>
      </c>
      <c r="K859" t="b">
        <v>1</v>
      </c>
    </row>
    <row r="860" spans="1:11" x14ac:dyDescent="0.25">
      <c r="A860" t="s">
        <v>431</v>
      </c>
      <c r="B860" t="s">
        <v>22</v>
      </c>
      <c r="C860" t="s">
        <v>38</v>
      </c>
      <c r="D860" t="s">
        <v>267</v>
      </c>
      <c r="E860" s="2">
        <v>29</v>
      </c>
      <c r="F860" s="4">
        <v>9</v>
      </c>
      <c r="G860" s="2">
        <v>261</v>
      </c>
      <c r="H860" t="s">
        <v>15</v>
      </c>
      <c r="I860" t="s">
        <v>16</v>
      </c>
      <c r="J860" s="1">
        <v>45653</v>
      </c>
      <c r="K860" t="b">
        <v>0</v>
      </c>
    </row>
    <row r="861" spans="1:11" x14ac:dyDescent="0.25">
      <c r="A861" t="s">
        <v>3991</v>
      </c>
      <c r="B861" t="s">
        <v>26</v>
      </c>
      <c r="C861" t="s">
        <v>13</v>
      </c>
      <c r="D861" t="s">
        <v>55</v>
      </c>
      <c r="E861" s="2">
        <v>29</v>
      </c>
      <c r="F861" s="4">
        <v>9</v>
      </c>
      <c r="G861" s="2">
        <v>261</v>
      </c>
      <c r="H861" t="s">
        <v>25</v>
      </c>
      <c r="I861" t="s">
        <v>36</v>
      </c>
      <c r="J861" s="1">
        <v>45430</v>
      </c>
      <c r="K861" t="b">
        <v>0</v>
      </c>
    </row>
    <row r="862" spans="1:11" x14ac:dyDescent="0.25">
      <c r="A862" t="s">
        <v>1449</v>
      </c>
      <c r="B862" t="s">
        <v>100</v>
      </c>
      <c r="C862" t="s">
        <v>110</v>
      </c>
      <c r="D862" t="s">
        <v>386</v>
      </c>
      <c r="E862" s="2">
        <v>29</v>
      </c>
      <c r="F862" s="4">
        <v>9</v>
      </c>
      <c r="G862" s="2">
        <v>261</v>
      </c>
      <c r="H862" t="s">
        <v>25</v>
      </c>
      <c r="I862" t="s">
        <v>36</v>
      </c>
      <c r="J862" s="1">
        <v>45313</v>
      </c>
      <c r="K862" t="b">
        <v>0</v>
      </c>
    </row>
    <row r="863" spans="1:11" x14ac:dyDescent="0.25">
      <c r="A863" t="s">
        <v>1478</v>
      </c>
      <c r="B863" t="s">
        <v>56</v>
      </c>
      <c r="C863" t="s">
        <v>13</v>
      </c>
      <c r="D863" t="s">
        <v>55</v>
      </c>
      <c r="E863" s="2">
        <v>29</v>
      </c>
      <c r="F863" s="4">
        <v>9</v>
      </c>
      <c r="G863" s="2">
        <v>261</v>
      </c>
      <c r="H863" t="s">
        <v>45</v>
      </c>
      <c r="I863" t="s">
        <v>16</v>
      </c>
      <c r="J863" s="1">
        <v>45132</v>
      </c>
      <c r="K863" t="b">
        <v>1</v>
      </c>
    </row>
    <row r="864" spans="1:11" x14ac:dyDescent="0.25">
      <c r="A864" t="s">
        <v>6753</v>
      </c>
      <c r="B864" t="s">
        <v>66</v>
      </c>
      <c r="C864" t="s">
        <v>110</v>
      </c>
      <c r="D864" t="s">
        <v>386</v>
      </c>
      <c r="E864" s="2">
        <v>29</v>
      </c>
      <c r="F864" s="4">
        <v>9</v>
      </c>
      <c r="G864" s="2">
        <v>261</v>
      </c>
      <c r="H864" t="s">
        <v>15</v>
      </c>
      <c r="I864" t="s">
        <v>36</v>
      </c>
      <c r="J864" s="1">
        <v>44590</v>
      </c>
      <c r="K864" t="b">
        <v>0</v>
      </c>
    </row>
    <row r="865" spans="1:11" x14ac:dyDescent="0.25">
      <c r="A865" t="s">
        <v>1839</v>
      </c>
      <c r="B865" t="s">
        <v>51</v>
      </c>
      <c r="C865" t="s">
        <v>13</v>
      </c>
      <c r="D865" t="s">
        <v>55</v>
      </c>
      <c r="E865" s="2">
        <v>29</v>
      </c>
      <c r="F865" s="4">
        <v>9</v>
      </c>
      <c r="G865" s="2">
        <v>261</v>
      </c>
      <c r="H865" t="s">
        <v>15</v>
      </c>
      <c r="I865" t="s">
        <v>16</v>
      </c>
      <c r="J865" s="1">
        <v>44602</v>
      </c>
      <c r="K865" t="b">
        <v>1</v>
      </c>
    </row>
    <row r="866" spans="1:11" x14ac:dyDescent="0.25">
      <c r="A866" t="s">
        <v>2981</v>
      </c>
      <c r="B866" t="s">
        <v>104</v>
      </c>
      <c r="C866" t="s">
        <v>31</v>
      </c>
      <c r="D866" t="s">
        <v>372</v>
      </c>
      <c r="E866" s="2">
        <v>29</v>
      </c>
      <c r="F866" s="4">
        <v>9</v>
      </c>
      <c r="G866" s="2">
        <v>261</v>
      </c>
      <c r="H866" t="s">
        <v>25</v>
      </c>
      <c r="I866" t="s">
        <v>16</v>
      </c>
      <c r="J866" s="1">
        <v>45319</v>
      </c>
      <c r="K866" t="b">
        <v>0</v>
      </c>
    </row>
    <row r="867" spans="1:11" x14ac:dyDescent="0.25">
      <c r="A867" t="s">
        <v>5998</v>
      </c>
      <c r="B867" t="s">
        <v>69</v>
      </c>
      <c r="C867" t="s">
        <v>13</v>
      </c>
      <c r="D867" t="s">
        <v>55</v>
      </c>
      <c r="E867" s="2">
        <v>29</v>
      </c>
      <c r="F867" s="4">
        <v>9</v>
      </c>
      <c r="G867" s="2">
        <v>261</v>
      </c>
      <c r="H867" t="s">
        <v>15</v>
      </c>
      <c r="I867" t="s">
        <v>16</v>
      </c>
      <c r="J867" s="1">
        <v>44922</v>
      </c>
      <c r="K867" t="b">
        <v>1</v>
      </c>
    </row>
    <row r="868" spans="1:11" x14ac:dyDescent="0.25">
      <c r="A868" t="s">
        <v>5035</v>
      </c>
      <c r="B868" t="s">
        <v>37</v>
      </c>
      <c r="C868" t="s">
        <v>19</v>
      </c>
      <c r="D868" t="s">
        <v>20</v>
      </c>
      <c r="E868" s="2">
        <v>29</v>
      </c>
      <c r="F868" s="4">
        <v>9</v>
      </c>
      <c r="G868" s="2">
        <v>261</v>
      </c>
      <c r="H868" t="s">
        <v>15</v>
      </c>
      <c r="I868" t="s">
        <v>16</v>
      </c>
      <c r="J868" s="1">
        <v>45140</v>
      </c>
      <c r="K868" t="b">
        <v>1</v>
      </c>
    </row>
    <row r="869" spans="1:11" x14ac:dyDescent="0.25">
      <c r="A869" t="s">
        <v>4050</v>
      </c>
      <c r="B869" t="s">
        <v>56</v>
      </c>
      <c r="C869" t="s">
        <v>23</v>
      </c>
      <c r="D869" t="s">
        <v>352</v>
      </c>
      <c r="E869" s="2">
        <v>29</v>
      </c>
      <c r="F869" s="4">
        <v>9</v>
      </c>
      <c r="G869" s="2">
        <v>261</v>
      </c>
      <c r="H869" t="s">
        <v>25</v>
      </c>
      <c r="I869" t="s">
        <v>36</v>
      </c>
      <c r="J869" s="1">
        <v>44798</v>
      </c>
      <c r="K869" t="b">
        <v>0</v>
      </c>
    </row>
    <row r="870" spans="1:11" x14ac:dyDescent="0.25">
      <c r="A870" t="s">
        <v>925</v>
      </c>
      <c r="B870" t="s">
        <v>56</v>
      </c>
      <c r="C870" t="s">
        <v>59</v>
      </c>
      <c r="D870" t="s">
        <v>297</v>
      </c>
      <c r="E870" s="2">
        <v>29</v>
      </c>
      <c r="F870" s="4">
        <v>9</v>
      </c>
      <c r="G870" s="2">
        <v>261</v>
      </c>
      <c r="H870" t="s">
        <v>15</v>
      </c>
      <c r="I870" t="s">
        <v>16</v>
      </c>
      <c r="J870" s="1">
        <v>44619</v>
      </c>
      <c r="K870" t="b">
        <v>0</v>
      </c>
    </row>
    <row r="871" spans="1:11" x14ac:dyDescent="0.25">
      <c r="A871" t="s">
        <v>7295</v>
      </c>
      <c r="B871" t="s">
        <v>12</v>
      </c>
      <c r="C871" t="s">
        <v>110</v>
      </c>
      <c r="D871" t="s">
        <v>386</v>
      </c>
      <c r="E871" s="2">
        <v>29</v>
      </c>
      <c r="F871" s="4">
        <v>9</v>
      </c>
      <c r="G871" s="2">
        <v>261</v>
      </c>
      <c r="H871" t="s">
        <v>25</v>
      </c>
      <c r="I871" t="s">
        <v>16</v>
      </c>
      <c r="J871" s="1">
        <v>44884</v>
      </c>
      <c r="K871" t="b">
        <v>0</v>
      </c>
    </row>
    <row r="872" spans="1:11" x14ac:dyDescent="0.25">
      <c r="A872" t="s">
        <v>3151</v>
      </c>
      <c r="B872" t="s">
        <v>72</v>
      </c>
      <c r="C872" t="s">
        <v>59</v>
      </c>
      <c r="D872" t="s">
        <v>297</v>
      </c>
      <c r="E872" s="2">
        <v>29</v>
      </c>
      <c r="F872" s="4">
        <v>9</v>
      </c>
      <c r="G872" s="2">
        <v>261</v>
      </c>
      <c r="H872" t="s">
        <v>45</v>
      </c>
      <c r="I872" t="s">
        <v>16</v>
      </c>
      <c r="J872" s="1">
        <v>45336</v>
      </c>
      <c r="K872" t="b">
        <v>1</v>
      </c>
    </row>
    <row r="873" spans="1:11" x14ac:dyDescent="0.25">
      <c r="A873" t="s">
        <v>3025</v>
      </c>
      <c r="B873" t="s">
        <v>93</v>
      </c>
      <c r="C873" t="s">
        <v>13</v>
      </c>
      <c r="D873" t="s">
        <v>55</v>
      </c>
      <c r="E873" s="2">
        <v>29</v>
      </c>
      <c r="F873" s="4">
        <v>9</v>
      </c>
      <c r="G873" s="2">
        <v>261</v>
      </c>
      <c r="H873" t="s">
        <v>25</v>
      </c>
      <c r="I873" t="s">
        <v>16</v>
      </c>
      <c r="J873" s="1">
        <v>45519</v>
      </c>
      <c r="K873" t="b">
        <v>1</v>
      </c>
    </row>
    <row r="874" spans="1:11" x14ac:dyDescent="0.25">
      <c r="A874" t="s">
        <v>6483</v>
      </c>
      <c r="B874" t="s">
        <v>86</v>
      </c>
      <c r="C874" t="s">
        <v>13</v>
      </c>
      <c r="D874" t="s">
        <v>55</v>
      </c>
      <c r="E874" s="2">
        <v>29</v>
      </c>
      <c r="F874" s="4">
        <v>9</v>
      </c>
      <c r="G874" s="2">
        <v>261</v>
      </c>
      <c r="H874" t="s">
        <v>15</v>
      </c>
      <c r="I874" t="s">
        <v>16</v>
      </c>
      <c r="J874" s="1">
        <v>44913</v>
      </c>
      <c r="K874" t="b">
        <v>1</v>
      </c>
    </row>
    <row r="875" spans="1:11" x14ac:dyDescent="0.25">
      <c r="A875" t="s">
        <v>7647</v>
      </c>
      <c r="B875" t="s">
        <v>18</v>
      </c>
      <c r="C875" t="s">
        <v>110</v>
      </c>
      <c r="D875" t="s">
        <v>386</v>
      </c>
      <c r="E875" s="2">
        <v>29</v>
      </c>
      <c r="F875" s="4">
        <v>9</v>
      </c>
      <c r="G875" s="2">
        <v>261</v>
      </c>
      <c r="H875" t="s">
        <v>25</v>
      </c>
      <c r="I875" t="s">
        <v>36</v>
      </c>
      <c r="J875" s="1">
        <v>45614</v>
      </c>
      <c r="K875" t="b">
        <v>0</v>
      </c>
    </row>
    <row r="876" spans="1:11" x14ac:dyDescent="0.25">
      <c r="A876" t="s">
        <v>4439</v>
      </c>
      <c r="B876" t="s">
        <v>40</v>
      </c>
      <c r="C876" t="s">
        <v>59</v>
      </c>
      <c r="D876" t="s">
        <v>297</v>
      </c>
      <c r="E876" s="2">
        <v>29</v>
      </c>
      <c r="F876" s="4">
        <v>9</v>
      </c>
      <c r="G876" s="2">
        <v>261</v>
      </c>
      <c r="H876" t="s">
        <v>25</v>
      </c>
      <c r="I876" t="s">
        <v>36</v>
      </c>
      <c r="J876" s="1">
        <v>45036</v>
      </c>
      <c r="K876" t="b">
        <v>1</v>
      </c>
    </row>
    <row r="877" spans="1:11" x14ac:dyDescent="0.25">
      <c r="A877" t="s">
        <v>266</v>
      </c>
      <c r="B877" t="s">
        <v>12</v>
      </c>
      <c r="C877" t="s">
        <v>38</v>
      </c>
      <c r="D877" t="s">
        <v>267</v>
      </c>
      <c r="E877" s="2">
        <v>29</v>
      </c>
      <c r="F877" s="4">
        <v>9</v>
      </c>
      <c r="G877" s="2">
        <v>261</v>
      </c>
      <c r="H877" t="s">
        <v>45</v>
      </c>
      <c r="I877" t="s">
        <v>16</v>
      </c>
      <c r="J877" s="1">
        <v>45145</v>
      </c>
      <c r="K877" t="b">
        <v>1</v>
      </c>
    </row>
    <row r="878" spans="1:11" x14ac:dyDescent="0.25">
      <c r="A878" t="s">
        <v>6761</v>
      </c>
      <c r="B878" t="s">
        <v>97</v>
      </c>
      <c r="C878" t="s">
        <v>59</v>
      </c>
      <c r="D878" t="s">
        <v>297</v>
      </c>
      <c r="E878" s="2">
        <v>29</v>
      </c>
      <c r="F878" s="4">
        <v>9</v>
      </c>
      <c r="G878" s="2">
        <v>261</v>
      </c>
      <c r="H878" t="s">
        <v>15</v>
      </c>
      <c r="I878" t="s">
        <v>16</v>
      </c>
      <c r="J878" s="1">
        <v>45262</v>
      </c>
      <c r="K878" t="b">
        <v>0</v>
      </c>
    </row>
    <row r="879" spans="1:11" x14ac:dyDescent="0.25">
      <c r="A879" t="s">
        <v>6240</v>
      </c>
      <c r="B879" t="s">
        <v>26</v>
      </c>
      <c r="C879" t="s">
        <v>38</v>
      </c>
      <c r="D879" t="s">
        <v>341</v>
      </c>
      <c r="E879" s="2">
        <v>26</v>
      </c>
      <c r="F879" s="4">
        <v>10</v>
      </c>
      <c r="G879" s="2">
        <v>260</v>
      </c>
      <c r="H879" t="s">
        <v>15</v>
      </c>
      <c r="I879" t="s">
        <v>36</v>
      </c>
      <c r="J879" s="1">
        <v>45155</v>
      </c>
      <c r="K879" t="b">
        <v>0</v>
      </c>
    </row>
    <row r="880" spans="1:11" x14ac:dyDescent="0.25">
      <c r="A880" t="s">
        <v>3429</v>
      </c>
      <c r="B880" t="s">
        <v>100</v>
      </c>
      <c r="C880" t="s">
        <v>27</v>
      </c>
      <c r="D880" t="s">
        <v>620</v>
      </c>
      <c r="E880" s="2">
        <v>26</v>
      </c>
      <c r="F880" s="4">
        <v>10</v>
      </c>
      <c r="G880" s="2">
        <v>260</v>
      </c>
      <c r="H880" t="s">
        <v>15</v>
      </c>
      <c r="I880" t="s">
        <v>16</v>
      </c>
      <c r="J880" s="1">
        <v>45350</v>
      </c>
      <c r="K880" t="b">
        <v>0</v>
      </c>
    </row>
    <row r="881" spans="1:11" x14ac:dyDescent="0.25">
      <c r="A881" t="s">
        <v>3752</v>
      </c>
      <c r="B881" t="s">
        <v>100</v>
      </c>
      <c r="C881" t="s">
        <v>31</v>
      </c>
      <c r="D881" t="s">
        <v>579</v>
      </c>
      <c r="E881" s="2">
        <v>26</v>
      </c>
      <c r="F881" s="4">
        <v>10</v>
      </c>
      <c r="G881" s="2">
        <v>260</v>
      </c>
      <c r="H881" t="s">
        <v>15</v>
      </c>
      <c r="I881" t="s">
        <v>16</v>
      </c>
      <c r="J881" s="1">
        <v>45624</v>
      </c>
      <c r="K881" t="b">
        <v>1</v>
      </c>
    </row>
    <row r="882" spans="1:11" x14ac:dyDescent="0.25">
      <c r="A882" t="s">
        <v>5714</v>
      </c>
      <c r="B882" t="s">
        <v>58</v>
      </c>
      <c r="C882" t="s">
        <v>23</v>
      </c>
      <c r="D882" t="s">
        <v>853</v>
      </c>
      <c r="E882" s="2">
        <v>26</v>
      </c>
      <c r="F882" s="4">
        <v>10</v>
      </c>
      <c r="G882" s="2">
        <v>260</v>
      </c>
      <c r="H882" t="s">
        <v>45</v>
      </c>
      <c r="I882" t="s">
        <v>16</v>
      </c>
      <c r="J882" s="1">
        <v>45292</v>
      </c>
      <c r="K882" t="b">
        <v>1</v>
      </c>
    </row>
    <row r="883" spans="1:11" x14ac:dyDescent="0.25">
      <c r="A883" t="s">
        <v>7708</v>
      </c>
      <c r="B883" t="s">
        <v>63</v>
      </c>
      <c r="C883" t="s">
        <v>59</v>
      </c>
      <c r="D883" t="s">
        <v>463</v>
      </c>
      <c r="E883" s="2">
        <v>26</v>
      </c>
      <c r="F883" s="4">
        <v>10</v>
      </c>
      <c r="G883" s="2">
        <v>260</v>
      </c>
      <c r="H883" t="s">
        <v>45</v>
      </c>
      <c r="I883" t="s">
        <v>16</v>
      </c>
      <c r="J883" s="1">
        <v>44652</v>
      </c>
      <c r="K883" t="b">
        <v>1</v>
      </c>
    </row>
    <row r="884" spans="1:11" x14ac:dyDescent="0.25">
      <c r="A884" t="s">
        <v>7267</v>
      </c>
      <c r="B884" t="s">
        <v>86</v>
      </c>
      <c r="C884" t="s">
        <v>59</v>
      </c>
      <c r="D884" t="s">
        <v>463</v>
      </c>
      <c r="E884" s="2">
        <v>26</v>
      </c>
      <c r="F884" s="4">
        <v>10</v>
      </c>
      <c r="G884" s="2">
        <v>260</v>
      </c>
      <c r="H884" t="s">
        <v>15</v>
      </c>
      <c r="I884" t="s">
        <v>16</v>
      </c>
      <c r="J884" s="1">
        <v>45314</v>
      </c>
      <c r="K884" t="b">
        <v>0</v>
      </c>
    </row>
    <row r="885" spans="1:11" x14ac:dyDescent="0.25">
      <c r="A885" t="s">
        <v>2150</v>
      </c>
      <c r="B885" t="s">
        <v>51</v>
      </c>
      <c r="C885" t="s">
        <v>27</v>
      </c>
      <c r="D885" t="s">
        <v>620</v>
      </c>
      <c r="E885" s="2">
        <v>26</v>
      </c>
      <c r="F885" s="4">
        <v>10</v>
      </c>
      <c r="G885" s="2">
        <v>260</v>
      </c>
      <c r="H885" t="s">
        <v>45</v>
      </c>
      <c r="I885" t="s">
        <v>16</v>
      </c>
      <c r="J885" s="1">
        <v>45550</v>
      </c>
      <c r="K885" t="b">
        <v>0</v>
      </c>
    </row>
    <row r="886" spans="1:11" x14ac:dyDescent="0.25">
      <c r="A886" t="s">
        <v>1834</v>
      </c>
      <c r="B886" t="s">
        <v>37</v>
      </c>
      <c r="C886" t="s">
        <v>59</v>
      </c>
      <c r="D886" t="s">
        <v>463</v>
      </c>
      <c r="E886" s="2">
        <v>26</v>
      </c>
      <c r="F886" s="4">
        <v>10</v>
      </c>
      <c r="G886" s="2">
        <v>260</v>
      </c>
      <c r="H886" t="s">
        <v>25</v>
      </c>
      <c r="I886" t="s">
        <v>16</v>
      </c>
      <c r="J886" s="1">
        <v>45188</v>
      </c>
      <c r="K886" t="b">
        <v>1</v>
      </c>
    </row>
    <row r="887" spans="1:11" x14ac:dyDescent="0.25">
      <c r="A887" t="s">
        <v>4399</v>
      </c>
      <c r="B887" t="s">
        <v>30</v>
      </c>
      <c r="C887" t="s">
        <v>38</v>
      </c>
      <c r="D887" t="s">
        <v>341</v>
      </c>
      <c r="E887" s="2">
        <v>26</v>
      </c>
      <c r="F887" s="4">
        <v>10</v>
      </c>
      <c r="G887" s="2">
        <v>260</v>
      </c>
      <c r="H887" t="s">
        <v>25</v>
      </c>
      <c r="I887" t="s">
        <v>16</v>
      </c>
      <c r="J887" s="1">
        <v>45080</v>
      </c>
      <c r="K887" t="b">
        <v>1</v>
      </c>
    </row>
    <row r="888" spans="1:11" x14ac:dyDescent="0.25">
      <c r="A888" t="s">
        <v>2730</v>
      </c>
      <c r="B888" t="s">
        <v>43</v>
      </c>
      <c r="C888" t="s">
        <v>31</v>
      </c>
      <c r="D888" t="s">
        <v>579</v>
      </c>
      <c r="E888" s="2">
        <v>26</v>
      </c>
      <c r="F888" s="4">
        <v>10</v>
      </c>
      <c r="G888" s="2">
        <v>260</v>
      </c>
      <c r="H888" t="s">
        <v>15</v>
      </c>
      <c r="I888" t="s">
        <v>16</v>
      </c>
      <c r="J888" s="1">
        <v>44949</v>
      </c>
      <c r="K888" t="b">
        <v>1</v>
      </c>
    </row>
    <row r="889" spans="1:11" x14ac:dyDescent="0.25">
      <c r="A889" t="s">
        <v>1811</v>
      </c>
      <c r="B889" t="s">
        <v>26</v>
      </c>
      <c r="C889" t="s">
        <v>38</v>
      </c>
      <c r="D889" t="s">
        <v>341</v>
      </c>
      <c r="E889" s="2">
        <v>26</v>
      </c>
      <c r="F889" s="4">
        <v>10</v>
      </c>
      <c r="G889" s="2">
        <v>260</v>
      </c>
      <c r="H889" t="s">
        <v>45</v>
      </c>
      <c r="I889" t="s">
        <v>36</v>
      </c>
      <c r="J889" s="1">
        <v>44605</v>
      </c>
      <c r="K889" t="b">
        <v>0</v>
      </c>
    </row>
    <row r="890" spans="1:11" x14ac:dyDescent="0.25">
      <c r="A890" t="s">
        <v>2710</v>
      </c>
      <c r="B890" t="s">
        <v>69</v>
      </c>
      <c r="C890" t="s">
        <v>38</v>
      </c>
      <c r="D890" t="s">
        <v>341</v>
      </c>
      <c r="E890" s="2">
        <v>26</v>
      </c>
      <c r="F890" s="4">
        <v>10</v>
      </c>
      <c r="G890" s="2">
        <v>260</v>
      </c>
      <c r="H890" t="s">
        <v>45</v>
      </c>
      <c r="I890" t="s">
        <v>16</v>
      </c>
      <c r="J890" s="1">
        <v>44857</v>
      </c>
      <c r="K890" t="b">
        <v>1</v>
      </c>
    </row>
    <row r="891" spans="1:11" x14ac:dyDescent="0.25">
      <c r="A891" t="s">
        <v>7051</v>
      </c>
      <c r="B891" t="s">
        <v>93</v>
      </c>
      <c r="C891" t="s">
        <v>38</v>
      </c>
      <c r="D891" t="s">
        <v>341</v>
      </c>
      <c r="E891" s="2">
        <v>26</v>
      </c>
      <c r="F891" s="4">
        <v>10</v>
      </c>
      <c r="G891" s="2">
        <v>260</v>
      </c>
      <c r="H891" t="s">
        <v>25</v>
      </c>
      <c r="I891" t="s">
        <v>16</v>
      </c>
      <c r="J891" s="1">
        <v>44898</v>
      </c>
      <c r="K891" t="b">
        <v>0</v>
      </c>
    </row>
    <row r="892" spans="1:11" x14ac:dyDescent="0.25">
      <c r="A892" t="s">
        <v>1306</v>
      </c>
      <c r="B892" t="s">
        <v>51</v>
      </c>
      <c r="C892" t="s">
        <v>59</v>
      </c>
      <c r="D892" t="s">
        <v>463</v>
      </c>
      <c r="E892" s="2">
        <v>26</v>
      </c>
      <c r="F892" s="4">
        <v>10</v>
      </c>
      <c r="G892" s="2">
        <v>260</v>
      </c>
      <c r="H892" t="s">
        <v>15</v>
      </c>
      <c r="I892" t="s">
        <v>36</v>
      </c>
      <c r="J892" s="1">
        <v>45530</v>
      </c>
      <c r="K892" t="b">
        <v>0</v>
      </c>
    </row>
    <row r="893" spans="1:11" x14ac:dyDescent="0.25">
      <c r="A893" t="s">
        <v>2253</v>
      </c>
      <c r="B893" t="s">
        <v>104</v>
      </c>
      <c r="C893" t="s">
        <v>38</v>
      </c>
      <c r="D893" t="s">
        <v>341</v>
      </c>
      <c r="E893" s="2">
        <v>26</v>
      </c>
      <c r="F893" s="4">
        <v>10</v>
      </c>
      <c r="G893" s="2">
        <v>260</v>
      </c>
      <c r="H893" t="s">
        <v>15</v>
      </c>
      <c r="I893" t="s">
        <v>36</v>
      </c>
      <c r="J893" s="1">
        <v>44589</v>
      </c>
      <c r="K893" t="b">
        <v>0</v>
      </c>
    </row>
    <row r="894" spans="1:11" x14ac:dyDescent="0.25">
      <c r="A894" t="s">
        <v>5918</v>
      </c>
      <c r="B894" t="s">
        <v>30</v>
      </c>
      <c r="C894" t="s">
        <v>23</v>
      </c>
      <c r="D894" t="s">
        <v>853</v>
      </c>
      <c r="E894" s="2">
        <v>26</v>
      </c>
      <c r="F894" s="4">
        <v>10</v>
      </c>
      <c r="G894" s="2">
        <v>260</v>
      </c>
      <c r="H894" t="s">
        <v>25</v>
      </c>
      <c r="I894" t="s">
        <v>36</v>
      </c>
      <c r="J894" s="1">
        <v>45470</v>
      </c>
      <c r="K894" t="b">
        <v>0</v>
      </c>
    </row>
    <row r="895" spans="1:11" x14ac:dyDescent="0.25">
      <c r="A895" t="s">
        <v>3806</v>
      </c>
      <c r="B895" t="s">
        <v>26</v>
      </c>
      <c r="C895" t="s">
        <v>110</v>
      </c>
      <c r="D895" t="s">
        <v>126</v>
      </c>
      <c r="E895" s="2">
        <v>26</v>
      </c>
      <c r="F895" s="4">
        <v>10</v>
      </c>
      <c r="G895" s="2">
        <v>260</v>
      </c>
      <c r="H895" t="s">
        <v>15</v>
      </c>
      <c r="I895" t="s">
        <v>16</v>
      </c>
      <c r="J895" s="1">
        <v>45124</v>
      </c>
      <c r="K895" t="b">
        <v>1</v>
      </c>
    </row>
    <row r="896" spans="1:11" x14ac:dyDescent="0.25">
      <c r="A896" t="s">
        <v>1778</v>
      </c>
      <c r="B896" t="s">
        <v>69</v>
      </c>
      <c r="C896" t="s">
        <v>110</v>
      </c>
      <c r="D896" t="s">
        <v>126</v>
      </c>
      <c r="E896" s="2">
        <v>26</v>
      </c>
      <c r="F896" s="4">
        <v>10</v>
      </c>
      <c r="G896" s="2">
        <v>260</v>
      </c>
      <c r="H896" t="s">
        <v>45</v>
      </c>
      <c r="I896" t="s">
        <v>36</v>
      </c>
      <c r="J896" s="1">
        <v>44685</v>
      </c>
      <c r="K896" t="b">
        <v>0</v>
      </c>
    </row>
    <row r="897" spans="1:11" x14ac:dyDescent="0.25">
      <c r="A897" t="s">
        <v>6045</v>
      </c>
      <c r="B897" t="s">
        <v>66</v>
      </c>
      <c r="C897" t="s">
        <v>23</v>
      </c>
      <c r="D897" t="s">
        <v>853</v>
      </c>
      <c r="E897" s="2">
        <v>26</v>
      </c>
      <c r="F897" s="4">
        <v>10</v>
      </c>
      <c r="G897" s="2">
        <v>260</v>
      </c>
      <c r="H897" t="s">
        <v>25</v>
      </c>
      <c r="I897" t="s">
        <v>16</v>
      </c>
      <c r="J897" s="1">
        <v>44591</v>
      </c>
      <c r="K897" t="b">
        <v>0</v>
      </c>
    </row>
    <row r="898" spans="1:11" x14ac:dyDescent="0.25">
      <c r="A898" t="s">
        <v>949</v>
      </c>
      <c r="B898" t="s">
        <v>22</v>
      </c>
      <c r="C898" t="s">
        <v>59</v>
      </c>
      <c r="D898" t="s">
        <v>463</v>
      </c>
      <c r="E898" s="2">
        <v>26</v>
      </c>
      <c r="F898" s="4">
        <v>10</v>
      </c>
      <c r="G898" s="2">
        <v>260</v>
      </c>
      <c r="H898" t="s">
        <v>25</v>
      </c>
      <c r="I898" t="s">
        <v>36</v>
      </c>
      <c r="J898" s="1">
        <v>45427</v>
      </c>
      <c r="K898" t="b">
        <v>0</v>
      </c>
    </row>
    <row r="899" spans="1:11" x14ac:dyDescent="0.25">
      <c r="A899" t="s">
        <v>7630</v>
      </c>
      <c r="B899" t="s">
        <v>100</v>
      </c>
      <c r="C899" t="s">
        <v>13</v>
      </c>
      <c r="D899" t="s">
        <v>343</v>
      </c>
      <c r="E899" s="2">
        <v>26</v>
      </c>
      <c r="F899" s="4">
        <v>10</v>
      </c>
      <c r="G899" s="2">
        <v>260</v>
      </c>
      <c r="H899" t="s">
        <v>45</v>
      </c>
      <c r="I899" t="s">
        <v>36</v>
      </c>
      <c r="J899" s="1">
        <v>44878</v>
      </c>
      <c r="K899" t="b">
        <v>0</v>
      </c>
    </row>
    <row r="900" spans="1:11" x14ac:dyDescent="0.25">
      <c r="A900" t="s">
        <v>5561</v>
      </c>
      <c r="B900" t="s">
        <v>86</v>
      </c>
      <c r="C900" t="s">
        <v>27</v>
      </c>
      <c r="D900" t="s">
        <v>620</v>
      </c>
      <c r="E900" s="2">
        <v>26</v>
      </c>
      <c r="F900" s="4">
        <v>10</v>
      </c>
      <c r="G900" s="2">
        <v>260</v>
      </c>
      <c r="H900" t="s">
        <v>45</v>
      </c>
      <c r="I900" t="s">
        <v>16</v>
      </c>
      <c r="J900" s="1">
        <v>45576</v>
      </c>
      <c r="K900" t="b">
        <v>1</v>
      </c>
    </row>
    <row r="901" spans="1:11" x14ac:dyDescent="0.25">
      <c r="A901" t="s">
        <v>3531</v>
      </c>
      <c r="B901" t="s">
        <v>97</v>
      </c>
      <c r="C901" t="s">
        <v>23</v>
      </c>
      <c r="D901" t="s">
        <v>853</v>
      </c>
      <c r="E901" s="2">
        <v>26</v>
      </c>
      <c r="F901" s="4">
        <v>10</v>
      </c>
      <c r="G901" s="2">
        <v>260</v>
      </c>
      <c r="H901" t="s">
        <v>15</v>
      </c>
      <c r="I901" t="s">
        <v>36</v>
      </c>
      <c r="J901" s="1">
        <v>44876</v>
      </c>
      <c r="K901" t="b">
        <v>0</v>
      </c>
    </row>
    <row r="902" spans="1:11" x14ac:dyDescent="0.25">
      <c r="A902" t="s">
        <v>4819</v>
      </c>
      <c r="B902" t="s">
        <v>18</v>
      </c>
      <c r="C902" t="s">
        <v>23</v>
      </c>
      <c r="D902" t="s">
        <v>853</v>
      </c>
      <c r="E902" s="2">
        <v>26</v>
      </c>
      <c r="F902" s="4">
        <v>10</v>
      </c>
      <c r="G902" s="2">
        <v>260</v>
      </c>
      <c r="H902" t="s">
        <v>15</v>
      </c>
      <c r="I902" t="s">
        <v>36</v>
      </c>
      <c r="J902" s="1">
        <v>45065</v>
      </c>
      <c r="K902" t="b">
        <v>0</v>
      </c>
    </row>
    <row r="903" spans="1:11" x14ac:dyDescent="0.25">
      <c r="A903" t="s">
        <v>6776</v>
      </c>
      <c r="B903" t="s">
        <v>51</v>
      </c>
      <c r="C903" t="s">
        <v>23</v>
      </c>
      <c r="D903" t="s">
        <v>853</v>
      </c>
      <c r="E903" s="2">
        <v>26</v>
      </c>
      <c r="F903" s="4">
        <v>10</v>
      </c>
      <c r="G903" s="2">
        <v>260</v>
      </c>
      <c r="H903" t="s">
        <v>45</v>
      </c>
      <c r="I903" t="s">
        <v>36</v>
      </c>
      <c r="J903" s="1">
        <v>45111</v>
      </c>
      <c r="K903" t="b">
        <v>1</v>
      </c>
    </row>
    <row r="904" spans="1:11" x14ac:dyDescent="0.25">
      <c r="A904" t="s">
        <v>1762</v>
      </c>
      <c r="B904" t="s">
        <v>37</v>
      </c>
      <c r="C904" t="s">
        <v>19</v>
      </c>
      <c r="D904" t="s">
        <v>268</v>
      </c>
      <c r="E904" s="2">
        <v>26</v>
      </c>
      <c r="F904" s="4">
        <v>10</v>
      </c>
      <c r="G904" s="2">
        <v>260</v>
      </c>
      <c r="H904" t="s">
        <v>15</v>
      </c>
      <c r="I904" t="s">
        <v>16</v>
      </c>
      <c r="J904" s="1">
        <v>45316</v>
      </c>
      <c r="K904" t="b">
        <v>1</v>
      </c>
    </row>
    <row r="905" spans="1:11" x14ac:dyDescent="0.25">
      <c r="A905" t="s">
        <v>5458</v>
      </c>
      <c r="B905" t="s">
        <v>72</v>
      </c>
      <c r="C905" t="s">
        <v>59</v>
      </c>
      <c r="D905" t="s">
        <v>463</v>
      </c>
      <c r="E905" s="2">
        <v>26</v>
      </c>
      <c r="F905" s="4">
        <v>10</v>
      </c>
      <c r="G905" s="2">
        <v>260</v>
      </c>
      <c r="H905" t="s">
        <v>15</v>
      </c>
      <c r="I905" t="s">
        <v>16</v>
      </c>
      <c r="J905" s="1">
        <v>45329</v>
      </c>
      <c r="K905" t="b">
        <v>0</v>
      </c>
    </row>
    <row r="906" spans="1:11" x14ac:dyDescent="0.25">
      <c r="A906" t="s">
        <v>1648</v>
      </c>
      <c r="B906" t="s">
        <v>77</v>
      </c>
      <c r="C906" t="s">
        <v>38</v>
      </c>
      <c r="D906" t="s">
        <v>341</v>
      </c>
      <c r="E906" s="2">
        <v>26</v>
      </c>
      <c r="F906" s="4">
        <v>10</v>
      </c>
      <c r="G906" s="2">
        <v>260</v>
      </c>
      <c r="H906" t="s">
        <v>45</v>
      </c>
      <c r="I906" t="s">
        <v>36</v>
      </c>
      <c r="J906" s="1">
        <v>45642</v>
      </c>
      <c r="K906" t="b">
        <v>1</v>
      </c>
    </row>
    <row r="907" spans="1:11" x14ac:dyDescent="0.25">
      <c r="A907" t="s">
        <v>5965</v>
      </c>
      <c r="B907" t="s">
        <v>63</v>
      </c>
      <c r="C907" t="s">
        <v>23</v>
      </c>
      <c r="D907" t="s">
        <v>853</v>
      </c>
      <c r="E907" s="2">
        <v>26</v>
      </c>
      <c r="F907" s="4">
        <v>10</v>
      </c>
      <c r="G907" s="2">
        <v>260</v>
      </c>
      <c r="H907" t="s">
        <v>15</v>
      </c>
      <c r="I907" t="s">
        <v>36</v>
      </c>
      <c r="J907" s="1">
        <v>45084</v>
      </c>
      <c r="K907" t="b">
        <v>0</v>
      </c>
    </row>
    <row r="908" spans="1:11" x14ac:dyDescent="0.25">
      <c r="A908" t="s">
        <v>2526</v>
      </c>
      <c r="B908" t="s">
        <v>85</v>
      </c>
      <c r="C908" t="s">
        <v>59</v>
      </c>
      <c r="D908" t="s">
        <v>463</v>
      </c>
      <c r="E908" s="2">
        <v>26</v>
      </c>
      <c r="F908" s="4">
        <v>10</v>
      </c>
      <c r="G908" s="2">
        <v>260</v>
      </c>
      <c r="H908" t="s">
        <v>25</v>
      </c>
      <c r="I908" t="s">
        <v>16</v>
      </c>
      <c r="J908" s="1">
        <v>44911</v>
      </c>
      <c r="K908" t="b">
        <v>1</v>
      </c>
    </row>
    <row r="909" spans="1:11" x14ac:dyDescent="0.25">
      <c r="A909" t="s">
        <v>5565</v>
      </c>
      <c r="B909" t="s">
        <v>37</v>
      </c>
      <c r="C909" t="s">
        <v>38</v>
      </c>
      <c r="D909" t="s">
        <v>341</v>
      </c>
      <c r="E909" s="2">
        <v>26</v>
      </c>
      <c r="F909" s="4">
        <v>10</v>
      </c>
      <c r="G909" s="2">
        <v>260</v>
      </c>
      <c r="H909" t="s">
        <v>25</v>
      </c>
      <c r="I909" t="s">
        <v>16</v>
      </c>
      <c r="J909" s="1">
        <v>45483</v>
      </c>
      <c r="K909" t="b">
        <v>1</v>
      </c>
    </row>
    <row r="910" spans="1:11" x14ac:dyDescent="0.25">
      <c r="A910" t="s">
        <v>3335</v>
      </c>
      <c r="B910" t="s">
        <v>93</v>
      </c>
      <c r="C910" t="s">
        <v>59</v>
      </c>
      <c r="D910" t="s">
        <v>463</v>
      </c>
      <c r="E910" s="2">
        <v>26</v>
      </c>
      <c r="F910" s="4">
        <v>10</v>
      </c>
      <c r="G910" s="2">
        <v>260</v>
      </c>
      <c r="H910" t="s">
        <v>45</v>
      </c>
      <c r="I910" t="s">
        <v>36</v>
      </c>
      <c r="J910" s="1">
        <v>45414</v>
      </c>
      <c r="K910" t="b">
        <v>1</v>
      </c>
    </row>
    <row r="911" spans="1:11" x14ac:dyDescent="0.25">
      <c r="A911" t="s">
        <v>7595</v>
      </c>
      <c r="B911" t="s">
        <v>34</v>
      </c>
      <c r="C911" t="s">
        <v>38</v>
      </c>
      <c r="D911" t="s">
        <v>341</v>
      </c>
      <c r="E911" s="2">
        <v>26</v>
      </c>
      <c r="F911" s="4">
        <v>10</v>
      </c>
      <c r="G911" s="2">
        <v>260</v>
      </c>
      <c r="H911" t="s">
        <v>25</v>
      </c>
      <c r="I911" t="s">
        <v>36</v>
      </c>
      <c r="J911" s="1">
        <v>44859</v>
      </c>
      <c r="K911" t="b">
        <v>1</v>
      </c>
    </row>
    <row r="912" spans="1:11" x14ac:dyDescent="0.25">
      <c r="A912" t="s">
        <v>1620</v>
      </c>
      <c r="B912" t="s">
        <v>37</v>
      </c>
      <c r="C912" t="s">
        <v>59</v>
      </c>
      <c r="D912" t="s">
        <v>463</v>
      </c>
      <c r="E912" s="2">
        <v>26</v>
      </c>
      <c r="F912" s="4">
        <v>10</v>
      </c>
      <c r="G912" s="2">
        <v>260</v>
      </c>
      <c r="H912" t="s">
        <v>25</v>
      </c>
      <c r="I912" t="s">
        <v>36</v>
      </c>
      <c r="J912" s="1">
        <v>45433</v>
      </c>
      <c r="K912" t="b">
        <v>0</v>
      </c>
    </row>
    <row r="913" spans="1:11" x14ac:dyDescent="0.25">
      <c r="A913" t="s">
        <v>699</v>
      </c>
      <c r="B913" t="s">
        <v>85</v>
      </c>
      <c r="C913" t="s">
        <v>110</v>
      </c>
      <c r="D913" t="s">
        <v>126</v>
      </c>
      <c r="E913" s="2">
        <v>26</v>
      </c>
      <c r="F913" s="4">
        <v>10</v>
      </c>
      <c r="G913" s="2">
        <v>260</v>
      </c>
      <c r="H913" t="s">
        <v>45</v>
      </c>
      <c r="I913" t="s">
        <v>16</v>
      </c>
      <c r="J913" s="1">
        <v>44845</v>
      </c>
      <c r="K913" t="b">
        <v>0</v>
      </c>
    </row>
    <row r="914" spans="1:11" x14ac:dyDescent="0.25">
      <c r="A914" t="s">
        <v>3086</v>
      </c>
      <c r="B914" t="s">
        <v>61</v>
      </c>
      <c r="C914" t="s">
        <v>13</v>
      </c>
      <c r="D914" t="s">
        <v>343</v>
      </c>
      <c r="E914" s="2">
        <v>26</v>
      </c>
      <c r="F914" s="4">
        <v>10</v>
      </c>
      <c r="G914" s="2">
        <v>260</v>
      </c>
      <c r="H914" t="s">
        <v>45</v>
      </c>
      <c r="I914" t="s">
        <v>36</v>
      </c>
      <c r="J914" s="1">
        <v>45540</v>
      </c>
      <c r="K914" t="b">
        <v>0</v>
      </c>
    </row>
    <row r="915" spans="1:11" x14ac:dyDescent="0.25">
      <c r="A915" t="s">
        <v>3104</v>
      </c>
      <c r="B915" t="s">
        <v>56</v>
      </c>
      <c r="C915" t="s">
        <v>110</v>
      </c>
      <c r="D915" t="s">
        <v>126</v>
      </c>
      <c r="E915" s="2">
        <v>26</v>
      </c>
      <c r="F915" s="4">
        <v>10</v>
      </c>
      <c r="G915" s="2">
        <v>260</v>
      </c>
      <c r="H915" t="s">
        <v>15</v>
      </c>
      <c r="I915" t="s">
        <v>36</v>
      </c>
      <c r="J915" s="1">
        <v>45324</v>
      </c>
      <c r="K915" t="b">
        <v>1</v>
      </c>
    </row>
    <row r="916" spans="1:11" x14ac:dyDescent="0.25">
      <c r="A916" t="s">
        <v>4649</v>
      </c>
      <c r="B916" t="s">
        <v>86</v>
      </c>
      <c r="C916" t="s">
        <v>27</v>
      </c>
      <c r="D916" t="s">
        <v>207</v>
      </c>
      <c r="E916" s="2">
        <v>32</v>
      </c>
      <c r="F916" s="4">
        <v>8</v>
      </c>
      <c r="G916" s="2">
        <v>256</v>
      </c>
      <c r="H916" t="s">
        <v>15</v>
      </c>
      <c r="I916" t="s">
        <v>36</v>
      </c>
      <c r="J916" s="1">
        <v>45175</v>
      </c>
      <c r="K916" t="b">
        <v>1</v>
      </c>
    </row>
    <row r="917" spans="1:11" x14ac:dyDescent="0.25">
      <c r="A917" t="s">
        <v>801</v>
      </c>
      <c r="B917" t="s">
        <v>58</v>
      </c>
      <c r="C917" t="s">
        <v>19</v>
      </c>
      <c r="D917" t="s">
        <v>120</v>
      </c>
      <c r="E917" s="2">
        <v>32</v>
      </c>
      <c r="F917" s="4">
        <v>8</v>
      </c>
      <c r="G917" s="2">
        <v>256</v>
      </c>
      <c r="H917" t="s">
        <v>25</v>
      </c>
      <c r="I917" t="s">
        <v>36</v>
      </c>
      <c r="J917" s="1">
        <v>45191</v>
      </c>
      <c r="K917" t="b">
        <v>0</v>
      </c>
    </row>
    <row r="918" spans="1:11" x14ac:dyDescent="0.25">
      <c r="A918" t="s">
        <v>530</v>
      </c>
      <c r="B918" t="s">
        <v>63</v>
      </c>
      <c r="C918" t="s">
        <v>27</v>
      </c>
      <c r="D918" t="s">
        <v>207</v>
      </c>
      <c r="E918" s="2">
        <v>32</v>
      </c>
      <c r="F918" s="4">
        <v>8</v>
      </c>
      <c r="G918" s="2">
        <v>256</v>
      </c>
      <c r="H918" t="s">
        <v>45</v>
      </c>
      <c r="I918" t="s">
        <v>16</v>
      </c>
      <c r="J918" s="1">
        <v>45323</v>
      </c>
      <c r="K918" t="b">
        <v>0</v>
      </c>
    </row>
    <row r="919" spans="1:11" x14ac:dyDescent="0.25">
      <c r="A919" t="s">
        <v>4468</v>
      </c>
      <c r="B919" t="s">
        <v>51</v>
      </c>
      <c r="C919" t="s">
        <v>19</v>
      </c>
      <c r="D919" t="s">
        <v>120</v>
      </c>
      <c r="E919" s="2">
        <v>32</v>
      </c>
      <c r="F919" s="4">
        <v>8</v>
      </c>
      <c r="G919" s="2">
        <v>256</v>
      </c>
      <c r="H919" t="s">
        <v>25</v>
      </c>
      <c r="I919" t="s">
        <v>16</v>
      </c>
      <c r="J919" s="1">
        <v>44599</v>
      </c>
      <c r="K919" t="b">
        <v>1</v>
      </c>
    </row>
    <row r="920" spans="1:11" x14ac:dyDescent="0.25">
      <c r="A920" t="s">
        <v>5016</v>
      </c>
      <c r="B920" t="s">
        <v>61</v>
      </c>
      <c r="C920" t="s">
        <v>38</v>
      </c>
      <c r="D920" t="s">
        <v>748</v>
      </c>
      <c r="E920" s="2">
        <v>32</v>
      </c>
      <c r="F920" s="4">
        <v>8</v>
      </c>
      <c r="G920" s="2">
        <v>256</v>
      </c>
      <c r="H920" t="s">
        <v>25</v>
      </c>
      <c r="I920" t="s">
        <v>36</v>
      </c>
      <c r="J920" s="1">
        <v>45380</v>
      </c>
      <c r="K920" t="b">
        <v>1</v>
      </c>
    </row>
    <row r="921" spans="1:11" x14ac:dyDescent="0.25">
      <c r="A921" t="s">
        <v>7588</v>
      </c>
      <c r="B921" t="s">
        <v>66</v>
      </c>
      <c r="C921" t="s">
        <v>110</v>
      </c>
      <c r="D921" t="s">
        <v>282</v>
      </c>
      <c r="E921" s="2">
        <v>32</v>
      </c>
      <c r="F921" s="4">
        <v>8</v>
      </c>
      <c r="G921" s="2">
        <v>256</v>
      </c>
      <c r="H921" t="s">
        <v>15</v>
      </c>
      <c r="I921" t="s">
        <v>36</v>
      </c>
      <c r="J921" s="1">
        <v>44792</v>
      </c>
      <c r="K921" t="b">
        <v>0</v>
      </c>
    </row>
    <row r="922" spans="1:11" x14ac:dyDescent="0.25">
      <c r="A922" t="s">
        <v>1298</v>
      </c>
      <c r="B922" t="s">
        <v>72</v>
      </c>
      <c r="C922" t="s">
        <v>23</v>
      </c>
      <c r="D922" t="s">
        <v>708</v>
      </c>
      <c r="E922" s="2">
        <v>32</v>
      </c>
      <c r="F922" s="4">
        <v>8</v>
      </c>
      <c r="G922" s="2">
        <v>256</v>
      </c>
      <c r="H922" t="s">
        <v>15</v>
      </c>
      <c r="I922" t="s">
        <v>16</v>
      </c>
      <c r="J922" s="1">
        <v>45660</v>
      </c>
      <c r="K922" t="b">
        <v>0</v>
      </c>
    </row>
    <row r="923" spans="1:11" x14ac:dyDescent="0.25">
      <c r="A923" t="s">
        <v>2343</v>
      </c>
      <c r="B923" t="s">
        <v>85</v>
      </c>
      <c r="C923" t="s">
        <v>38</v>
      </c>
      <c r="D923" t="s">
        <v>748</v>
      </c>
      <c r="E923" s="2">
        <v>32</v>
      </c>
      <c r="F923" s="4">
        <v>8</v>
      </c>
      <c r="G923" s="2">
        <v>256</v>
      </c>
      <c r="H923" t="s">
        <v>15</v>
      </c>
      <c r="I923" t="s">
        <v>36</v>
      </c>
      <c r="J923" s="1">
        <v>44651</v>
      </c>
      <c r="K923" t="b">
        <v>0</v>
      </c>
    </row>
    <row r="924" spans="1:11" x14ac:dyDescent="0.25">
      <c r="A924" t="s">
        <v>4097</v>
      </c>
      <c r="B924" t="s">
        <v>142</v>
      </c>
      <c r="C924" t="s">
        <v>27</v>
      </c>
      <c r="D924" t="s">
        <v>207</v>
      </c>
      <c r="E924" s="2">
        <v>32</v>
      </c>
      <c r="F924" s="4">
        <v>8</v>
      </c>
      <c r="G924" s="2">
        <v>256</v>
      </c>
      <c r="H924" t="s">
        <v>45</v>
      </c>
      <c r="I924" t="s">
        <v>36</v>
      </c>
      <c r="J924" s="1">
        <v>45426</v>
      </c>
      <c r="K924" t="b">
        <v>0</v>
      </c>
    </row>
    <row r="925" spans="1:11" x14ac:dyDescent="0.25">
      <c r="A925" t="s">
        <v>1483</v>
      </c>
      <c r="B925" t="s">
        <v>37</v>
      </c>
      <c r="C925" t="s">
        <v>110</v>
      </c>
      <c r="D925" t="s">
        <v>282</v>
      </c>
      <c r="E925" s="2">
        <v>32</v>
      </c>
      <c r="F925" s="4">
        <v>8</v>
      </c>
      <c r="G925" s="2">
        <v>256</v>
      </c>
      <c r="H925" t="s">
        <v>25</v>
      </c>
      <c r="I925" t="s">
        <v>16</v>
      </c>
      <c r="J925" s="1">
        <v>45507</v>
      </c>
      <c r="K925" t="b">
        <v>1</v>
      </c>
    </row>
    <row r="926" spans="1:11" x14ac:dyDescent="0.25">
      <c r="A926" t="s">
        <v>6458</v>
      </c>
      <c r="B926" t="s">
        <v>37</v>
      </c>
      <c r="C926" t="s">
        <v>23</v>
      </c>
      <c r="D926" t="s">
        <v>708</v>
      </c>
      <c r="E926" s="2">
        <v>32</v>
      </c>
      <c r="F926" s="4">
        <v>8</v>
      </c>
      <c r="G926" s="2">
        <v>256</v>
      </c>
      <c r="H926" t="s">
        <v>25</v>
      </c>
      <c r="I926" t="s">
        <v>36</v>
      </c>
      <c r="J926" s="1">
        <v>45523</v>
      </c>
      <c r="K926" t="b">
        <v>0</v>
      </c>
    </row>
    <row r="927" spans="1:11" x14ac:dyDescent="0.25">
      <c r="A927" t="s">
        <v>4551</v>
      </c>
      <c r="B927" t="s">
        <v>100</v>
      </c>
      <c r="C927" t="s">
        <v>23</v>
      </c>
      <c r="D927" t="s">
        <v>708</v>
      </c>
      <c r="E927" s="2">
        <v>32</v>
      </c>
      <c r="F927" s="4">
        <v>8</v>
      </c>
      <c r="G927" s="2">
        <v>256</v>
      </c>
      <c r="H927" t="s">
        <v>45</v>
      </c>
      <c r="I927" t="s">
        <v>16</v>
      </c>
      <c r="J927" s="1">
        <v>45256</v>
      </c>
      <c r="K927" t="b">
        <v>1</v>
      </c>
    </row>
    <row r="928" spans="1:11" x14ac:dyDescent="0.25">
      <c r="A928" t="s">
        <v>4203</v>
      </c>
      <c r="B928" t="s">
        <v>97</v>
      </c>
      <c r="C928" t="s">
        <v>59</v>
      </c>
      <c r="D928" t="s">
        <v>254</v>
      </c>
      <c r="E928" s="2">
        <v>32</v>
      </c>
      <c r="F928" s="4">
        <v>8</v>
      </c>
      <c r="G928" s="2">
        <v>256</v>
      </c>
      <c r="H928" t="s">
        <v>25</v>
      </c>
      <c r="I928" t="s">
        <v>16</v>
      </c>
      <c r="J928" s="1">
        <v>45390</v>
      </c>
      <c r="K928" t="b">
        <v>0</v>
      </c>
    </row>
    <row r="929" spans="1:11" x14ac:dyDescent="0.25">
      <c r="A929" t="s">
        <v>7064</v>
      </c>
      <c r="B929" t="s">
        <v>66</v>
      </c>
      <c r="C929" t="s">
        <v>110</v>
      </c>
      <c r="D929" t="s">
        <v>282</v>
      </c>
      <c r="E929" s="2">
        <v>32</v>
      </c>
      <c r="F929" s="4">
        <v>8</v>
      </c>
      <c r="G929" s="2">
        <v>256</v>
      </c>
      <c r="H929" t="s">
        <v>25</v>
      </c>
      <c r="I929" t="s">
        <v>16</v>
      </c>
      <c r="J929" s="1">
        <v>44825</v>
      </c>
      <c r="K929" t="b">
        <v>0</v>
      </c>
    </row>
    <row r="930" spans="1:11" x14ac:dyDescent="0.25">
      <c r="A930" t="s">
        <v>2170</v>
      </c>
      <c r="B930" t="s">
        <v>100</v>
      </c>
      <c r="C930" t="s">
        <v>19</v>
      </c>
      <c r="D930" t="s">
        <v>120</v>
      </c>
      <c r="E930" s="2">
        <v>32</v>
      </c>
      <c r="F930" s="4">
        <v>8</v>
      </c>
      <c r="G930" s="2">
        <v>256</v>
      </c>
      <c r="H930" t="s">
        <v>15</v>
      </c>
      <c r="I930" t="s">
        <v>16</v>
      </c>
      <c r="J930" s="1">
        <v>44799</v>
      </c>
      <c r="K930" t="b">
        <v>0</v>
      </c>
    </row>
    <row r="931" spans="1:11" x14ac:dyDescent="0.25">
      <c r="A931" t="s">
        <v>1886</v>
      </c>
      <c r="B931" t="s">
        <v>69</v>
      </c>
      <c r="C931" t="s">
        <v>13</v>
      </c>
      <c r="D931" t="s">
        <v>426</v>
      </c>
      <c r="E931" s="2">
        <v>32</v>
      </c>
      <c r="F931" s="4">
        <v>8</v>
      </c>
      <c r="G931" s="2">
        <v>256</v>
      </c>
      <c r="H931" t="s">
        <v>25</v>
      </c>
      <c r="I931" t="s">
        <v>16</v>
      </c>
      <c r="J931" s="1">
        <v>45075</v>
      </c>
      <c r="K931" t="b">
        <v>0</v>
      </c>
    </row>
    <row r="932" spans="1:11" x14ac:dyDescent="0.25">
      <c r="A932" t="s">
        <v>2078</v>
      </c>
      <c r="B932" t="s">
        <v>40</v>
      </c>
      <c r="C932" t="s">
        <v>13</v>
      </c>
      <c r="D932" t="s">
        <v>426</v>
      </c>
      <c r="E932" s="2">
        <v>32</v>
      </c>
      <c r="F932" s="4">
        <v>8</v>
      </c>
      <c r="G932" s="2">
        <v>256</v>
      </c>
      <c r="H932" t="s">
        <v>15</v>
      </c>
      <c r="I932" t="s">
        <v>16</v>
      </c>
      <c r="J932" s="1">
        <v>44755</v>
      </c>
      <c r="K932" t="b">
        <v>1</v>
      </c>
    </row>
    <row r="933" spans="1:11" x14ac:dyDescent="0.25">
      <c r="A933" t="s">
        <v>1377</v>
      </c>
      <c r="B933" t="s">
        <v>66</v>
      </c>
      <c r="C933" t="s">
        <v>27</v>
      </c>
      <c r="D933" t="s">
        <v>207</v>
      </c>
      <c r="E933" s="2">
        <v>32</v>
      </c>
      <c r="F933" s="4">
        <v>8</v>
      </c>
      <c r="G933" s="2">
        <v>256</v>
      </c>
      <c r="H933" t="s">
        <v>45</v>
      </c>
      <c r="I933" t="s">
        <v>36</v>
      </c>
      <c r="J933" s="1">
        <v>45502</v>
      </c>
      <c r="K933" t="b">
        <v>1</v>
      </c>
    </row>
    <row r="934" spans="1:11" x14ac:dyDescent="0.25">
      <c r="A934" t="s">
        <v>7542</v>
      </c>
      <c r="B934" t="s">
        <v>61</v>
      </c>
      <c r="C934" t="s">
        <v>110</v>
      </c>
      <c r="D934" t="s">
        <v>282</v>
      </c>
      <c r="E934" s="2">
        <v>32</v>
      </c>
      <c r="F934" s="4">
        <v>8</v>
      </c>
      <c r="G934" s="2">
        <v>256</v>
      </c>
      <c r="H934" t="s">
        <v>15</v>
      </c>
      <c r="I934" t="s">
        <v>16</v>
      </c>
      <c r="J934" s="1">
        <v>45067</v>
      </c>
      <c r="K934" t="b">
        <v>0</v>
      </c>
    </row>
    <row r="935" spans="1:11" x14ac:dyDescent="0.25">
      <c r="A935" t="s">
        <v>976</v>
      </c>
      <c r="B935" t="s">
        <v>104</v>
      </c>
      <c r="C935" t="s">
        <v>38</v>
      </c>
      <c r="D935" t="s">
        <v>748</v>
      </c>
      <c r="E935" s="2">
        <v>32</v>
      </c>
      <c r="F935" s="4">
        <v>8</v>
      </c>
      <c r="G935" s="2">
        <v>256</v>
      </c>
      <c r="H935" t="s">
        <v>45</v>
      </c>
      <c r="I935" t="s">
        <v>16</v>
      </c>
      <c r="J935" s="1">
        <v>45561</v>
      </c>
      <c r="K935" t="b">
        <v>1</v>
      </c>
    </row>
    <row r="936" spans="1:11" x14ac:dyDescent="0.25">
      <c r="A936" t="s">
        <v>6055</v>
      </c>
      <c r="B936" t="s">
        <v>43</v>
      </c>
      <c r="C936" t="s">
        <v>110</v>
      </c>
      <c r="D936" t="s">
        <v>282</v>
      </c>
      <c r="E936" s="2">
        <v>32</v>
      </c>
      <c r="F936" s="4">
        <v>8</v>
      </c>
      <c r="G936" s="2">
        <v>256</v>
      </c>
      <c r="H936" t="s">
        <v>45</v>
      </c>
      <c r="I936" t="s">
        <v>16</v>
      </c>
      <c r="J936" s="1">
        <v>44960</v>
      </c>
      <c r="K936" t="b">
        <v>1</v>
      </c>
    </row>
    <row r="937" spans="1:11" x14ac:dyDescent="0.25">
      <c r="A937" t="s">
        <v>4447</v>
      </c>
      <c r="B937" t="s">
        <v>100</v>
      </c>
      <c r="C937" t="s">
        <v>59</v>
      </c>
      <c r="D937" t="s">
        <v>254</v>
      </c>
      <c r="E937" s="2">
        <v>32</v>
      </c>
      <c r="F937" s="4">
        <v>8</v>
      </c>
      <c r="G937" s="2">
        <v>256</v>
      </c>
      <c r="H937" t="s">
        <v>45</v>
      </c>
      <c r="I937" t="s">
        <v>36</v>
      </c>
      <c r="J937" s="1">
        <v>44949</v>
      </c>
      <c r="K937" t="b">
        <v>0</v>
      </c>
    </row>
    <row r="938" spans="1:11" x14ac:dyDescent="0.25">
      <c r="A938" t="s">
        <v>5031</v>
      </c>
      <c r="B938" t="s">
        <v>26</v>
      </c>
      <c r="C938" t="s">
        <v>110</v>
      </c>
      <c r="D938" t="s">
        <v>282</v>
      </c>
      <c r="E938" s="2">
        <v>32</v>
      </c>
      <c r="F938" s="4">
        <v>8</v>
      </c>
      <c r="G938" s="2">
        <v>256</v>
      </c>
      <c r="H938" t="s">
        <v>15</v>
      </c>
      <c r="I938" t="s">
        <v>16</v>
      </c>
      <c r="J938" s="1">
        <v>45653</v>
      </c>
      <c r="K938" t="b">
        <v>0</v>
      </c>
    </row>
    <row r="939" spans="1:11" x14ac:dyDescent="0.25">
      <c r="A939" t="s">
        <v>5776</v>
      </c>
      <c r="B939" t="s">
        <v>30</v>
      </c>
      <c r="C939" t="s">
        <v>19</v>
      </c>
      <c r="D939" t="s">
        <v>120</v>
      </c>
      <c r="E939" s="2">
        <v>32</v>
      </c>
      <c r="F939" s="4">
        <v>8</v>
      </c>
      <c r="G939" s="2">
        <v>256</v>
      </c>
      <c r="H939" t="s">
        <v>25</v>
      </c>
      <c r="I939" t="s">
        <v>16</v>
      </c>
      <c r="J939" s="1">
        <v>44570</v>
      </c>
      <c r="K939" t="b">
        <v>1</v>
      </c>
    </row>
    <row r="940" spans="1:11" x14ac:dyDescent="0.25">
      <c r="A940" t="s">
        <v>3320</v>
      </c>
      <c r="B940" t="s">
        <v>72</v>
      </c>
      <c r="C940" t="s">
        <v>59</v>
      </c>
      <c r="D940" t="s">
        <v>254</v>
      </c>
      <c r="E940" s="2">
        <v>32</v>
      </c>
      <c r="F940" s="4">
        <v>8</v>
      </c>
      <c r="G940" s="2">
        <v>256</v>
      </c>
      <c r="H940" t="s">
        <v>45</v>
      </c>
      <c r="I940" t="s">
        <v>16</v>
      </c>
      <c r="J940" s="1">
        <v>44734</v>
      </c>
      <c r="K940" t="b">
        <v>0</v>
      </c>
    </row>
    <row r="941" spans="1:11" x14ac:dyDescent="0.25">
      <c r="A941" t="s">
        <v>5788</v>
      </c>
      <c r="B941" t="s">
        <v>85</v>
      </c>
      <c r="C941" t="s">
        <v>13</v>
      </c>
      <c r="D941" t="s">
        <v>426</v>
      </c>
      <c r="E941" s="2">
        <v>32</v>
      </c>
      <c r="F941" s="4">
        <v>8</v>
      </c>
      <c r="G941" s="2">
        <v>256</v>
      </c>
      <c r="H941" t="s">
        <v>45</v>
      </c>
      <c r="I941" t="s">
        <v>16</v>
      </c>
      <c r="J941" s="1">
        <v>45537</v>
      </c>
      <c r="K941" t="b">
        <v>1</v>
      </c>
    </row>
    <row r="942" spans="1:11" x14ac:dyDescent="0.25">
      <c r="A942" t="s">
        <v>2339</v>
      </c>
      <c r="B942" t="s">
        <v>63</v>
      </c>
      <c r="C942" t="s">
        <v>38</v>
      </c>
      <c r="D942" t="s">
        <v>748</v>
      </c>
      <c r="E942" s="2">
        <v>32</v>
      </c>
      <c r="F942" s="4">
        <v>8</v>
      </c>
      <c r="G942" s="2">
        <v>256</v>
      </c>
      <c r="H942" t="s">
        <v>45</v>
      </c>
      <c r="I942" t="s">
        <v>16</v>
      </c>
      <c r="J942" s="1">
        <v>44718</v>
      </c>
      <c r="K942" t="b">
        <v>1</v>
      </c>
    </row>
    <row r="943" spans="1:11" x14ac:dyDescent="0.25">
      <c r="A943" t="s">
        <v>3423</v>
      </c>
      <c r="B943" t="s">
        <v>34</v>
      </c>
      <c r="C943" t="s">
        <v>19</v>
      </c>
      <c r="D943" t="s">
        <v>120</v>
      </c>
      <c r="E943" s="2">
        <v>32</v>
      </c>
      <c r="F943" s="4">
        <v>8</v>
      </c>
      <c r="G943" s="2">
        <v>256</v>
      </c>
      <c r="H943" t="s">
        <v>15</v>
      </c>
      <c r="I943" t="s">
        <v>16</v>
      </c>
      <c r="J943" s="1">
        <v>44932</v>
      </c>
      <c r="K943" t="b">
        <v>1</v>
      </c>
    </row>
    <row r="944" spans="1:11" x14ac:dyDescent="0.25">
      <c r="A944" t="s">
        <v>5320</v>
      </c>
      <c r="B944" t="s">
        <v>69</v>
      </c>
      <c r="C944" t="s">
        <v>110</v>
      </c>
      <c r="D944" t="s">
        <v>282</v>
      </c>
      <c r="E944" s="2">
        <v>32</v>
      </c>
      <c r="F944" s="4">
        <v>8</v>
      </c>
      <c r="G944" s="2">
        <v>256</v>
      </c>
      <c r="H944" t="s">
        <v>45</v>
      </c>
      <c r="I944" t="s">
        <v>16</v>
      </c>
      <c r="J944" s="1">
        <v>45629</v>
      </c>
      <c r="K944" t="b">
        <v>0</v>
      </c>
    </row>
    <row r="945" spans="1:11" x14ac:dyDescent="0.25">
      <c r="A945" t="s">
        <v>7194</v>
      </c>
      <c r="B945" t="s">
        <v>93</v>
      </c>
      <c r="C945" t="s">
        <v>19</v>
      </c>
      <c r="D945" t="s">
        <v>120</v>
      </c>
      <c r="E945" s="2">
        <v>32</v>
      </c>
      <c r="F945" s="4">
        <v>8</v>
      </c>
      <c r="G945" s="2">
        <v>256</v>
      </c>
      <c r="H945" t="s">
        <v>25</v>
      </c>
      <c r="I945" t="s">
        <v>36</v>
      </c>
      <c r="J945" s="1">
        <v>45006</v>
      </c>
      <c r="K945" t="b">
        <v>0</v>
      </c>
    </row>
    <row r="946" spans="1:11" x14ac:dyDescent="0.25">
      <c r="A946" t="s">
        <v>5943</v>
      </c>
      <c r="B946" t="s">
        <v>100</v>
      </c>
      <c r="C946" t="s">
        <v>19</v>
      </c>
      <c r="D946" t="s">
        <v>120</v>
      </c>
      <c r="E946" s="2">
        <v>32</v>
      </c>
      <c r="F946" s="4">
        <v>8</v>
      </c>
      <c r="G946" s="2">
        <v>256</v>
      </c>
      <c r="H946" t="s">
        <v>15</v>
      </c>
      <c r="I946" t="s">
        <v>36</v>
      </c>
      <c r="J946" s="1">
        <v>44906</v>
      </c>
      <c r="K946" t="b">
        <v>1</v>
      </c>
    </row>
    <row r="947" spans="1:11" x14ac:dyDescent="0.25">
      <c r="A947" t="s">
        <v>6490</v>
      </c>
      <c r="B947" t="s">
        <v>56</v>
      </c>
      <c r="C947" t="s">
        <v>110</v>
      </c>
      <c r="D947" t="s">
        <v>282</v>
      </c>
      <c r="E947" s="2">
        <v>32</v>
      </c>
      <c r="F947" s="4">
        <v>8</v>
      </c>
      <c r="G947" s="2">
        <v>256</v>
      </c>
      <c r="H947" t="s">
        <v>25</v>
      </c>
      <c r="I947" t="s">
        <v>16</v>
      </c>
      <c r="J947" s="1">
        <v>44952</v>
      </c>
      <c r="K947" t="b">
        <v>0</v>
      </c>
    </row>
    <row r="948" spans="1:11" x14ac:dyDescent="0.25">
      <c r="A948" t="s">
        <v>1281</v>
      </c>
      <c r="B948" t="s">
        <v>85</v>
      </c>
      <c r="C948" t="s">
        <v>27</v>
      </c>
      <c r="D948" t="s">
        <v>207</v>
      </c>
      <c r="E948" s="2">
        <v>32</v>
      </c>
      <c r="F948" s="4">
        <v>8</v>
      </c>
      <c r="G948" s="2">
        <v>256</v>
      </c>
      <c r="H948" t="s">
        <v>15</v>
      </c>
      <c r="I948" t="s">
        <v>36</v>
      </c>
      <c r="J948" s="1">
        <v>45433</v>
      </c>
      <c r="K948" t="b">
        <v>1</v>
      </c>
    </row>
    <row r="949" spans="1:11" x14ac:dyDescent="0.25">
      <c r="A949" t="s">
        <v>6857</v>
      </c>
      <c r="B949" t="s">
        <v>100</v>
      </c>
      <c r="C949" t="s">
        <v>38</v>
      </c>
      <c r="D949" t="s">
        <v>748</v>
      </c>
      <c r="E949" s="2">
        <v>32</v>
      </c>
      <c r="F949" s="4">
        <v>8</v>
      </c>
      <c r="G949" s="2">
        <v>256</v>
      </c>
      <c r="H949" t="s">
        <v>15</v>
      </c>
      <c r="I949" t="s">
        <v>16</v>
      </c>
      <c r="J949" s="1">
        <v>45468</v>
      </c>
      <c r="K949" t="b">
        <v>0</v>
      </c>
    </row>
    <row r="950" spans="1:11" x14ac:dyDescent="0.25">
      <c r="A950" t="s">
        <v>6073</v>
      </c>
      <c r="B950" t="s">
        <v>63</v>
      </c>
      <c r="C950" t="s">
        <v>110</v>
      </c>
      <c r="D950" t="s">
        <v>134</v>
      </c>
      <c r="E950" s="2">
        <v>36.5</v>
      </c>
      <c r="F950" s="4">
        <v>7</v>
      </c>
      <c r="G950" s="2">
        <v>255.5</v>
      </c>
      <c r="H950" t="s">
        <v>45</v>
      </c>
      <c r="I950" t="s">
        <v>16</v>
      </c>
      <c r="J950" s="1">
        <v>45269</v>
      </c>
      <c r="K950" t="b">
        <v>0</v>
      </c>
    </row>
    <row r="951" spans="1:11" x14ac:dyDescent="0.25">
      <c r="A951" t="s">
        <v>2569</v>
      </c>
      <c r="B951" t="s">
        <v>66</v>
      </c>
      <c r="C951" t="s">
        <v>23</v>
      </c>
      <c r="D951" t="s">
        <v>44</v>
      </c>
      <c r="E951" s="2">
        <v>36.5</v>
      </c>
      <c r="F951" s="4">
        <v>7</v>
      </c>
      <c r="G951" s="2">
        <v>255.5</v>
      </c>
      <c r="H951" t="s">
        <v>25</v>
      </c>
      <c r="I951" t="s">
        <v>16</v>
      </c>
      <c r="J951" s="1">
        <v>45532</v>
      </c>
      <c r="K951" t="b">
        <v>0</v>
      </c>
    </row>
    <row r="952" spans="1:11" x14ac:dyDescent="0.25">
      <c r="A952" t="s">
        <v>2602</v>
      </c>
      <c r="B952" t="s">
        <v>34</v>
      </c>
      <c r="C952" t="s">
        <v>31</v>
      </c>
      <c r="D952" t="s">
        <v>136</v>
      </c>
      <c r="E952" s="2">
        <v>36.5</v>
      </c>
      <c r="F952" s="4">
        <v>7</v>
      </c>
      <c r="G952" s="2">
        <v>255.5</v>
      </c>
      <c r="H952" t="s">
        <v>15</v>
      </c>
      <c r="I952" t="s">
        <v>16</v>
      </c>
      <c r="J952" s="1">
        <v>45131</v>
      </c>
      <c r="K952" t="b">
        <v>0</v>
      </c>
    </row>
    <row r="953" spans="1:11" x14ac:dyDescent="0.25">
      <c r="A953" t="s">
        <v>5409</v>
      </c>
      <c r="B953" t="s">
        <v>43</v>
      </c>
      <c r="C953" t="s">
        <v>31</v>
      </c>
      <c r="D953" t="s">
        <v>136</v>
      </c>
      <c r="E953" s="2">
        <v>36.5</v>
      </c>
      <c r="F953" s="4">
        <v>7</v>
      </c>
      <c r="G953" s="2">
        <v>255.5</v>
      </c>
      <c r="H953" t="s">
        <v>25</v>
      </c>
      <c r="I953" t="s">
        <v>16</v>
      </c>
      <c r="J953" s="1">
        <v>44769</v>
      </c>
      <c r="K953" t="b">
        <v>0</v>
      </c>
    </row>
    <row r="954" spans="1:11" x14ac:dyDescent="0.25">
      <c r="A954" t="s">
        <v>3944</v>
      </c>
      <c r="B954" t="s">
        <v>100</v>
      </c>
      <c r="C954" t="s">
        <v>31</v>
      </c>
      <c r="D954" t="s">
        <v>136</v>
      </c>
      <c r="E954" s="2">
        <v>36.5</v>
      </c>
      <c r="F954" s="4">
        <v>7</v>
      </c>
      <c r="G954" s="2">
        <v>255.5</v>
      </c>
      <c r="H954" t="s">
        <v>15</v>
      </c>
      <c r="I954" t="s">
        <v>36</v>
      </c>
      <c r="J954" s="1">
        <v>45307</v>
      </c>
      <c r="K954" t="b">
        <v>1</v>
      </c>
    </row>
    <row r="955" spans="1:11" x14ac:dyDescent="0.25">
      <c r="A955" t="s">
        <v>3466</v>
      </c>
      <c r="B955" t="s">
        <v>63</v>
      </c>
      <c r="C955" t="s">
        <v>23</v>
      </c>
      <c r="D955" t="s">
        <v>44</v>
      </c>
      <c r="E955" s="2">
        <v>36.5</v>
      </c>
      <c r="F955" s="4">
        <v>7</v>
      </c>
      <c r="G955" s="2">
        <v>255.5</v>
      </c>
      <c r="H955" t="s">
        <v>25</v>
      </c>
      <c r="I955" t="s">
        <v>36</v>
      </c>
      <c r="J955" s="1">
        <v>45431</v>
      </c>
      <c r="K955" t="b">
        <v>0</v>
      </c>
    </row>
    <row r="956" spans="1:11" x14ac:dyDescent="0.25">
      <c r="A956" t="s">
        <v>7020</v>
      </c>
      <c r="B956" t="s">
        <v>61</v>
      </c>
      <c r="C956" t="s">
        <v>13</v>
      </c>
      <c r="D956" t="s">
        <v>80</v>
      </c>
      <c r="E956" s="2">
        <v>36.5</v>
      </c>
      <c r="F956" s="4">
        <v>7</v>
      </c>
      <c r="G956" s="2">
        <v>255.5</v>
      </c>
      <c r="H956" t="s">
        <v>45</v>
      </c>
      <c r="I956" t="s">
        <v>16</v>
      </c>
      <c r="J956" s="1">
        <v>45639</v>
      </c>
      <c r="K956" t="b">
        <v>1</v>
      </c>
    </row>
    <row r="957" spans="1:11" x14ac:dyDescent="0.25">
      <c r="A957" t="s">
        <v>1481</v>
      </c>
      <c r="B957" t="s">
        <v>97</v>
      </c>
      <c r="C957" t="s">
        <v>23</v>
      </c>
      <c r="D957" t="s">
        <v>44</v>
      </c>
      <c r="E957" s="2">
        <v>36.5</v>
      </c>
      <c r="F957" s="4">
        <v>7</v>
      </c>
      <c r="G957" s="2">
        <v>255.5</v>
      </c>
      <c r="H957" t="s">
        <v>15</v>
      </c>
      <c r="I957" t="s">
        <v>36</v>
      </c>
      <c r="J957" s="1">
        <v>44888</v>
      </c>
      <c r="K957" t="b">
        <v>0</v>
      </c>
    </row>
    <row r="958" spans="1:11" x14ac:dyDescent="0.25">
      <c r="A958" t="s">
        <v>6960</v>
      </c>
      <c r="B958" t="s">
        <v>93</v>
      </c>
      <c r="C958" t="s">
        <v>110</v>
      </c>
      <c r="D958" t="s">
        <v>134</v>
      </c>
      <c r="E958" s="2">
        <v>36.5</v>
      </c>
      <c r="F958" s="4">
        <v>7</v>
      </c>
      <c r="G958" s="2">
        <v>255.5</v>
      </c>
      <c r="H958" t="s">
        <v>15</v>
      </c>
      <c r="I958" t="s">
        <v>16</v>
      </c>
      <c r="J958" s="1">
        <v>45451</v>
      </c>
      <c r="K958" t="b">
        <v>1</v>
      </c>
    </row>
    <row r="959" spans="1:11" x14ac:dyDescent="0.25">
      <c r="A959" t="s">
        <v>612</v>
      </c>
      <c r="B959" t="s">
        <v>22</v>
      </c>
      <c r="C959" t="s">
        <v>23</v>
      </c>
      <c r="D959" t="s">
        <v>44</v>
      </c>
      <c r="E959" s="2">
        <v>36.5</v>
      </c>
      <c r="F959" s="4">
        <v>7</v>
      </c>
      <c r="G959" s="2">
        <v>255.5</v>
      </c>
      <c r="H959" t="s">
        <v>45</v>
      </c>
      <c r="I959" t="s">
        <v>36</v>
      </c>
      <c r="J959" s="1">
        <v>44997</v>
      </c>
      <c r="K959" t="b">
        <v>1</v>
      </c>
    </row>
    <row r="960" spans="1:11" x14ac:dyDescent="0.25">
      <c r="A960" t="s">
        <v>6027</v>
      </c>
      <c r="B960" t="s">
        <v>26</v>
      </c>
      <c r="C960" t="s">
        <v>19</v>
      </c>
      <c r="D960" t="s">
        <v>412</v>
      </c>
      <c r="E960" s="2">
        <v>36.5</v>
      </c>
      <c r="F960" s="4">
        <v>7</v>
      </c>
      <c r="G960" s="2">
        <v>255.5</v>
      </c>
      <c r="H960" t="s">
        <v>45</v>
      </c>
      <c r="I960" t="s">
        <v>36</v>
      </c>
      <c r="J960" s="1">
        <v>44636</v>
      </c>
      <c r="K960" t="b">
        <v>1</v>
      </c>
    </row>
    <row r="961" spans="1:11" x14ac:dyDescent="0.25">
      <c r="A961" t="s">
        <v>2857</v>
      </c>
      <c r="B961" t="s">
        <v>72</v>
      </c>
      <c r="C961" t="s">
        <v>23</v>
      </c>
      <c r="D961" t="s">
        <v>44</v>
      </c>
      <c r="E961" s="2">
        <v>36.5</v>
      </c>
      <c r="F961" s="4">
        <v>7</v>
      </c>
      <c r="G961" s="2">
        <v>255.5</v>
      </c>
      <c r="H961" t="s">
        <v>45</v>
      </c>
      <c r="I961" t="s">
        <v>36</v>
      </c>
      <c r="J961" s="1">
        <v>45007</v>
      </c>
      <c r="K961" t="b">
        <v>1</v>
      </c>
    </row>
    <row r="962" spans="1:11" x14ac:dyDescent="0.25">
      <c r="A962" t="s">
        <v>6256</v>
      </c>
      <c r="B962" t="s">
        <v>100</v>
      </c>
      <c r="C962" t="s">
        <v>13</v>
      </c>
      <c r="D962" t="s">
        <v>80</v>
      </c>
      <c r="E962" s="2">
        <v>36.5</v>
      </c>
      <c r="F962" s="4">
        <v>7</v>
      </c>
      <c r="G962" s="2">
        <v>255.5</v>
      </c>
      <c r="H962" t="s">
        <v>45</v>
      </c>
      <c r="I962" t="s">
        <v>16</v>
      </c>
      <c r="J962" s="1">
        <v>45088</v>
      </c>
      <c r="K962" t="b">
        <v>0</v>
      </c>
    </row>
    <row r="963" spans="1:11" x14ac:dyDescent="0.25">
      <c r="A963" t="s">
        <v>3834</v>
      </c>
      <c r="B963" t="s">
        <v>58</v>
      </c>
      <c r="C963" t="s">
        <v>19</v>
      </c>
      <c r="D963" t="s">
        <v>412</v>
      </c>
      <c r="E963" s="2">
        <v>36.5</v>
      </c>
      <c r="F963" s="4">
        <v>7</v>
      </c>
      <c r="G963" s="2">
        <v>255.5</v>
      </c>
      <c r="H963" t="s">
        <v>45</v>
      </c>
      <c r="I963" t="s">
        <v>36</v>
      </c>
      <c r="J963" s="1">
        <v>44929</v>
      </c>
      <c r="K963" t="b">
        <v>1</v>
      </c>
    </row>
    <row r="964" spans="1:11" x14ac:dyDescent="0.25">
      <c r="A964" t="s">
        <v>7407</v>
      </c>
      <c r="B964" t="s">
        <v>69</v>
      </c>
      <c r="C964" t="s">
        <v>31</v>
      </c>
      <c r="D964" t="s">
        <v>136</v>
      </c>
      <c r="E964" s="2">
        <v>36.5</v>
      </c>
      <c r="F964" s="4">
        <v>7</v>
      </c>
      <c r="G964" s="2">
        <v>255.5</v>
      </c>
      <c r="H964" t="s">
        <v>45</v>
      </c>
      <c r="I964" t="s">
        <v>16</v>
      </c>
      <c r="J964" s="1">
        <v>44682</v>
      </c>
      <c r="K964" t="b">
        <v>0</v>
      </c>
    </row>
    <row r="965" spans="1:11" x14ac:dyDescent="0.25">
      <c r="A965" t="s">
        <v>1650</v>
      </c>
      <c r="B965" t="s">
        <v>40</v>
      </c>
      <c r="C965" t="s">
        <v>110</v>
      </c>
      <c r="D965" t="s">
        <v>134</v>
      </c>
      <c r="E965" s="2">
        <v>36.5</v>
      </c>
      <c r="F965" s="4">
        <v>7</v>
      </c>
      <c r="G965" s="2">
        <v>255.5</v>
      </c>
      <c r="H965" t="s">
        <v>45</v>
      </c>
      <c r="I965" t="s">
        <v>36</v>
      </c>
      <c r="J965" s="1">
        <v>45524</v>
      </c>
      <c r="K965" t="b">
        <v>0</v>
      </c>
    </row>
    <row r="966" spans="1:11" x14ac:dyDescent="0.25">
      <c r="A966" t="s">
        <v>3690</v>
      </c>
      <c r="B966" t="s">
        <v>22</v>
      </c>
      <c r="C966" t="s">
        <v>59</v>
      </c>
      <c r="D966" t="s">
        <v>290</v>
      </c>
      <c r="E966" s="2">
        <v>36.5</v>
      </c>
      <c r="F966" s="4">
        <v>7</v>
      </c>
      <c r="G966" s="2">
        <v>255.5</v>
      </c>
      <c r="H966" t="s">
        <v>45</v>
      </c>
      <c r="I966" t="s">
        <v>36</v>
      </c>
      <c r="J966" s="1">
        <v>45242</v>
      </c>
      <c r="K966" t="b">
        <v>1</v>
      </c>
    </row>
    <row r="967" spans="1:11" x14ac:dyDescent="0.25">
      <c r="A967" t="s">
        <v>99</v>
      </c>
      <c r="B967" t="s">
        <v>100</v>
      </c>
      <c r="C967" t="s">
        <v>27</v>
      </c>
      <c r="D967" t="s">
        <v>101</v>
      </c>
      <c r="E967" s="2">
        <v>36.5</v>
      </c>
      <c r="F967" s="4">
        <v>7</v>
      </c>
      <c r="G967" s="2">
        <v>255.5</v>
      </c>
      <c r="H967" t="s">
        <v>45</v>
      </c>
      <c r="I967" t="s">
        <v>16</v>
      </c>
      <c r="J967" s="1">
        <v>45077</v>
      </c>
      <c r="K967" t="b">
        <v>1</v>
      </c>
    </row>
    <row r="968" spans="1:11" x14ac:dyDescent="0.25">
      <c r="A968" t="s">
        <v>2583</v>
      </c>
      <c r="B968" t="s">
        <v>69</v>
      </c>
      <c r="C968" t="s">
        <v>23</v>
      </c>
      <c r="D968" t="s">
        <v>44</v>
      </c>
      <c r="E968" s="2">
        <v>36.5</v>
      </c>
      <c r="F968" s="4">
        <v>7</v>
      </c>
      <c r="G968" s="2">
        <v>255.5</v>
      </c>
      <c r="H968" t="s">
        <v>45</v>
      </c>
      <c r="I968" t="s">
        <v>16</v>
      </c>
      <c r="J968" s="1">
        <v>45281</v>
      </c>
      <c r="K968" t="b">
        <v>0</v>
      </c>
    </row>
    <row r="969" spans="1:11" x14ac:dyDescent="0.25">
      <c r="A969" t="s">
        <v>3327</v>
      </c>
      <c r="B969" t="s">
        <v>104</v>
      </c>
      <c r="C969" t="s">
        <v>59</v>
      </c>
      <c r="D969" t="s">
        <v>290</v>
      </c>
      <c r="E969" s="2">
        <v>36.5</v>
      </c>
      <c r="F969" s="4">
        <v>7</v>
      </c>
      <c r="G969" s="2">
        <v>255.5</v>
      </c>
      <c r="H969" t="s">
        <v>45</v>
      </c>
      <c r="I969" t="s">
        <v>16</v>
      </c>
      <c r="J969" s="1">
        <v>44722</v>
      </c>
      <c r="K969" t="b">
        <v>1</v>
      </c>
    </row>
    <row r="970" spans="1:11" x14ac:dyDescent="0.25">
      <c r="A970" t="s">
        <v>3152</v>
      </c>
      <c r="B970" t="s">
        <v>22</v>
      </c>
      <c r="C970" t="s">
        <v>23</v>
      </c>
      <c r="D970" t="s">
        <v>44</v>
      </c>
      <c r="E970" s="2">
        <v>36.5</v>
      </c>
      <c r="F970" s="4">
        <v>7</v>
      </c>
      <c r="G970" s="2">
        <v>255.5</v>
      </c>
      <c r="H970" t="s">
        <v>25</v>
      </c>
      <c r="I970" t="s">
        <v>16</v>
      </c>
      <c r="J970" s="1">
        <v>44692</v>
      </c>
      <c r="K970" t="b">
        <v>1</v>
      </c>
    </row>
    <row r="971" spans="1:11" x14ac:dyDescent="0.25">
      <c r="A971" t="s">
        <v>2709</v>
      </c>
      <c r="B971" t="s">
        <v>18</v>
      </c>
      <c r="C971" t="s">
        <v>31</v>
      </c>
      <c r="D971" t="s">
        <v>136</v>
      </c>
      <c r="E971" s="2">
        <v>36.5</v>
      </c>
      <c r="F971" s="4">
        <v>7</v>
      </c>
      <c r="G971" s="2">
        <v>255.5</v>
      </c>
      <c r="H971" t="s">
        <v>45</v>
      </c>
      <c r="I971" t="s">
        <v>16</v>
      </c>
      <c r="J971" s="1">
        <v>45663</v>
      </c>
      <c r="K971" t="b">
        <v>0</v>
      </c>
    </row>
    <row r="972" spans="1:11" x14ac:dyDescent="0.25">
      <c r="A972" t="s">
        <v>133</v>
      </c>
      <c r="B972" t="s">
        <v>66</v>
      </c>
      <c r="C972" t="s">
        <v>110</v>
      </c>
      <c r="D972" t="s">
        <v>134</v>
      </c>
      <c r="E972" s="2">
        <v>36.5</v>
      </c>
      <c r="F972" s="4">
        <v>7</v>
      </c>
      <c r="G972" s="2">
        <v>255.5</v>
      </c>
      <c r="H972" t="s">
        <v>45</v>
      </c>
      <c r="I972" t="s">
        <v>36</v>
      </c>
      <c r="J972" s="1">
        <v>44636</v>
      </c>
      <c r="K972" t="b">
        <v>0</v>
      </c>
    </row>
    <row r="973" spans="1:11" x14ac:dyDescent="0.25">
      <c r="A973" t="s">
        <v>551</v>
      </c>
      <c r="B973" t="s">
        <v>18</v>
      </c>
      <c r="C973" t="s">
        <v>27</v>
      </c>
      <c r="D973" t="s">
        <v>101</v>
      </c>
      <c r="E973" s="2">
        <v>36.5</v>
      </c>
      <c r="F973" s="4">
        <v>7</v>
      </c>
      <c r="G973" s="2">
        <v>255.5</v>
      </c>
      <c r="H973" t="s">
        <v>45</v>
      </c>
      <c r="I973" t="s">
        <v>36</v>
      </c>
      <c r="J973" s="1">
        <v>44642</v>
      </c>
      <c r="K973" t="b">
        <v>1</v>
      </c>
    </row>
    <row r="974" spans="1:11" x14ac:dyDescent="0.25">
      <c r="A974" t="s">
        <v>4145</v>
      </c>
      <c r="B974" t="s">
        <v>61</v>
      </c>
      <c r="C974" t="s">
        <v>110</v>
      </c>
      <c r="D974" t="s">
        <v>134</v>
      </c>
      <c r="E974" s="2">
        <v>36.5</v>
      </c>
      <c r="F974" s="4">
        <v>7</v>
      </c>
      <c r="G974" s="2">
        <v>255.5</v>
      </c>
      <c r="H974" t="s">
        <v>15</v>
      </c>
      <c r="I974" t="s">
        <v>16</v>
      </c>
      <c r="J974" s="1">
        <v>45123</v>
      </c>
      <c r="K974" t="b">
        <v>0</v>
      </c>
    </row>
    <row r="975" spans="1:11" x14ac:dyDescent="0.25">
      <c r="A975" t="s">
        <v>1674</v>
      </c>
      <c r="B975" t="s">
        <v>104</v>
      </c>
      <c r="C975" t="s">
        <v>59</v>
      </c>
      <c r="D975" t="s">
        <v>290</v>
      </c>
      <c r="E975" s="2">
        <v>36.5</v>
      </c>
      <c r="F975" s="4">
        <v>7</v>
      </c>
      <c r="G975" s="2">
        <v>255.5</v>
      </c>
      <c r="H975" t="s">
        <v>15</v>
      </c>
      <c r="I975" t="s">
        <v>16</v>
      </c>
      <c r="J975" s="1">
        <v>45388</v>
      </c>
      <c r="K975" t="b">
        <v>1</v>
      </c>
    </row>
    <row r="976" spans="1:11" x14ac:dyDescent="0.25">
      <c r="A976" t="s">
        <v>2366</v>
      </c>
      <c r="B976" t="s">
        <v>56</v>
      </c>
      <c r="C976" t="s">
        <v>23</v>
      </c>
      <c r="D976" t="s">
        <v>44</v>
      </c>
      <c r="E976" s="2">
        <v>36.5</v>
      </c>
      <c r="F976" s="4">
        <v>7</v>
      </c>
      <c r="G976" s="2">
        <v>255.5</v>
      </c>
      <c r="H976" t="s">
        <v>15</v>
      </c>
      <c r="I976" t="s">
        <v>36</v>
      </c>
      <c r="J976" s="1">
        <v>44751</v>
      </c>
      <c r="K976" t="b">
        <v>1</v>
      </c>
    </row>
    <row r="977" spans="1:11" x14ac:dyDescent="0.25">
      <c r="A977" t="s">
        <v>3951</v>
      </c>
      <c r="B977" t="s">
        <v>61</v>
      </c>
      <c r="C977" t="s">
        <v>38</v>
      </c>
      <c r="D977" t="s">
        <v>149</v>
      </c>
      <c r="E977" s="2">
        <v>36.5</v>
      </c>
      <c r="F977" s="4">
        <v>7</v>
      </c>
      <c r="G977" s="2">
        <v>255.5</v>
      </c>
      <c r="H977" t="s">
        <v>45</v>
      </c>
      <c r="I977" t="s">
        <v>16</v>
      </c>
      <c r="J977" s="1">
        <v>44833</v>
      </c>
      <c r="K977" t="b">
        <v>1</v>
      </c>
    </row>
    <row r="978" spans="1:11" x14ac:dyDescent="0.25">
      <c r="A978" t="s">
        <v>6152</v>
      </c>
      <c r="B978" t="s">
        <v>58</v>
      </c>
      <c r="C978" t="s">
        <v>27</v>
      </c>
      <c r="D978" t="s">
        <v>101</v>
      </c>
      <c r="E978" s="2">
        <v>36.5</v>
      </c>
      <c r="F978" s="4">
        <v>7</v>
      </c>
      <c r="G978" s="2">
        <v>255.5</v>
      </c>
      <c r="H978" t="s">
        <v>45</v>
      </c>
      <c r="I978" t="s">
        <v>36</v>
      </c>
      <c r="J978" s="1">
        <v>44691</v>
      </c>
      <c r="K978" t="b">
        <v>0</v>
      </c>
    </row>
    <row r="979" spans="1:11" x14ac:dyDescent="0.25">
      <c r="A979" t="s">
        <v>4011</v>
      </c>
      <c r="B979" t="s">
        <v>26</v>
      </c>
      <c r="C979" t="s">
        <v>23</v>
      </c>
      <c r="D979" t="s">
        <v>44</v>
      </c>
      <c r="E979" s="2">
        <v>36.5</v>
      </c>
      <c r="F979" s="4">
        <v>7</v>
      </c>
      <c r="G979" s="2">
        <v>255.5</v>
      </c>
      <c r="H979" t="s">
        <v>15</v>
      </c>
      <c r="I979" t="s">
        <v>36</v>
      </c>
      <c r="J979" s="1">
        <v>44783</v>
      </c>
      <c r="K979" t="b">
        <v>0</v>
      </c>
    </row>
    <row r="980" spans="1:11" x14ac:dyDescent="0.25">
      <c r="A980" t="s">
        <v>1382</v>
      </c>
      <c r="B980" t="s">
        <v>34</v>
      </c>
      <c r="C980" t="s">
        <v>110</v>
      </c>
      <c r="D980" t="s">
        <v>134</v>
      </c>
      <c r="E980" s="2">
        <v>36.5</v>
      </c>
      <c r="F980" s="4">
        <v>7</v>
      </c>
      <c r="G980" s="2">
        <v>255.5</v>
      </c>
      <c r="H980" t="s">
        <v>45</v>
      </c>
      <c r="I980" t="s">
        <v>16</v>
      </c>
      <c r="J980" s="1">
        <v>45147</v>
      </c>
      <c r="K980" t="b">
        <v>0</v>
      </c>
    </row>
    <row r="981" spans="1:11" x14ac:dyDescent="0.25">
      <c r="A981" t="s">
        <v>804</v>
      </c>
      <c r="B981" t="s">
        <v>40</v>
      </c>
      <c r="C981" t="s">
        <v>23</v>
      </c>
      <c r="D981" t="s">
        <v>44</v>
      </c>
      <c r="E981" s="2">
        <v>36.5</v>
      </c>
      <c r="F981" s="4">
        <v>7</v>
      </c>
      <c r="G981" s="2">
        <v>255.5</v>
      </c>
      <c r="H981" t="s">
        <v>25</v>
      </c>
      <c r="I981" t="s">
        <v>36</v>
      </c>
      <c r="J981" s="1">
        <v>44944</v>
      </c>
      <c r="K981" t="b">
        <v>1</v>
      </c>
    </row>
    <row r="982" spans="1:11" x14ac:dyDescent="0.25">
      <c r="A982" t="s">
        <v>923</v>
      </c>
      <c r="B982" t="s">
        <v>40</v>
      </c>
      <c r="C982" t="s">
        <v>13</v>
      </c>
      <c r="D982" t="s">
        <v>80</v>
      </c>
      <c r="E982" s="2">
        <v>36.5</v>
      </c>
      <c r="F982" s="4">
        <v>7</v>
      </c>
      <c r="G982" s="2">
        <v>255.5</v>
      </c>
      <c r="H982" t="s">
        <v>45</v>
      </c>
      <c r="I982" t="s">
        <v>36</v>
      </c>
      <c r="J982" s="1">
        <v>45547</v>
      </c>
      <c r="K982" t="b">
        <v>1</v>
      </c>
    </row>
    <row r="983" spans="1:11" x14ac:dyDescent="0.25">
      <c r="A983" t="s">
        <v>7547</v>
      </c>
      <c r="B983" t="s">
        <v>37</v>
      </c>
      <c r="C983" t="s">
        <v>23</v>
      </c>
      <c r="D983" t="s">
        <v>44</v>
      </c>
      <c r="E983" s="2">
        <v>36.5</v>
      </c>
      <c r="F983" s="4">
        <v>7</v>
      </c>
      <c r="G983" s="2">
        <v>255.5</v>
      </c>
      <c r="H983" t="s">
        <v>15</v>
      </c>
      <c r="I983" t="s">
        <v>36</v>
      </c>
      <c r="J983" s="1">
        <v>44975</v>
      </c>
      <c r="K983" t="b">
        <v>1</v>
      </c>
    </row>
    <row r="984" spans="1:11" x14ac:dyDescent="0.25">
      <c r="A984" t="s">
        <v>6740</v>
      </c>
      <c r="B984" t="s">
        <v>43</v>
      </c>
      <c r="C984" t="s">
        <v>59</v>
      </c>
      <c r="D984" t="s">
        <v>290</v>
      </c>
      <c r="E984" s="2">
        <v>36.5</v>
      </c>
      <c r="F984" s="4">
        <v>7</v>
      </c>
      <c r="G984" s="2">
        <v>255.5</v>
      </c>
      <c r="H984" t="s">
        <v>15</v>
      </c>
      <c r="I984" t="s">
        <v>36</v>
      </c>
      <c r="J984" s="1">
        <v>44676</v>
      </c>
      <c r="K984" t="b">
        <v>1</v>
      </c>
    </row>
    <row r="985" spans="1:11" x14ac:dyDescent="0.25">
      <c r="A985" t="s">
        <v>5752</v>
      </c>
      <c r="B985" t="s">
        <v>56</v>
      </c>
      <c r="C985" t="s">
        <v>13</v>
      </c>
      <c r="D985" t="s">
        <v>80</v>
      </c>
      <c r="E985" s="2">
        <v>36.5</v>
      </c>
      <c r="F985" s="4">
        <v>7</v>
      </c>
      <c r="G985" s="2">
        <v>255.5</v>
      </c>
      <c r="H985" t="s">
        <v>15</v>
      </c>
      <c r="I985" t="s">
        <v>36</v>
      </c>
      <c r="J985" s="1">
        <v>45089</v>
      </c>
      <c r="K985" t="b">
        <v>1</v>
      </c>
    </row>
    <row r="986" spans="1:11" x14ac:dyDescent="0.25">
      <c r="A986" t="s">
        <v>3657</v>
      </c>
      <c r="B986" t="s">
        <v>77</v>
      </c>
      <c r="C986" t="s">
        <v>110</v>
      </c>
      <c r="D986" t="s">
        <v>111</v>
      </c>
      <c r="E986" s="2">
        <v>27.5</v>
      </c>
      <c r="F986" s="4">
        <v>9</v>
      </c>
      <c r="G986" s="2">
        <v>247.5</v>
      </c>
      <c r="H986" t="s">
        <v>45</v>
      </c>
      <c r="I986" t="s">
        <v>16</v>
      </c>
      <c r="J986" s="1">
        <v>45576</v>
      </c>
      <c r="K986" t="b">
        <v>1</v>
      </c>
    </row>
    <row r="987" spans="1:11" x14ac:dyDescent="0.25">
      <c r="A987" t="s">
        <v>7276</v>
      </c>
      <c r="B987" t="s">
        <v>58</v>
      </c>
      <c r="C987" t="s">
        <v>23</v>
      </c>
      <c r="D987" t="s">
        <v>115</v>
      </c>
      <c r="E987" s="2">
        <v>27.5</v>
      </c>
      <c r="F987" s="4">
        <v>9</v>
      </c>
      <c r="G987" s="2">
        <v>247.5</v>
      </c>
      <c r="H987" t="s">
        <v>45</v>
      </c>
      <c r="I987" t="s">
        <v>36</v>
      </c>
      <c r="J987" s="1">
        <v>45350</v>
      </c>
      <c r="K987" t="b">
        <v>1</v>
      </c>
    </row>
    <row r="988" spans="1:11" x14ac:dyDescent="0.25">
      <c r="A988" t="s">
        <v>537</v>
      </c>
      <c r="B988" t="s">
        <v>12</v>
      </c>
      <c r="C988" t="s">
        <v>13</v>
      </c>
      <c r="D988" t="s">
        <v>183</v>
      </c>
      <c r="E988" s="2">
        <v>27.5</v>
      </c>
      <c r="F988" s="4">
        <v>9</v>
      </c>
      <c r="G988" s="2">
        <v>247.5</v>
      </c>
      <c r="H988" t="s">
        <v>15</v>
      </c>
      <c r="I988" t="s">
        <v>16</v>
      </c>
      <c r="J988" s="1">
        <v>44722</v>
      </c>
      <c r="K988" t="b">
        <v>0</v>
      </c>
    </row>
    <row r="989" spans="1:11" x14ac:dyDescent="0.25">
      <c r="A989" t="s">
        <v>5454</v>
      </c>
      <c r="B989" t="s">
        <v>104</v>
      </c>
      <c r="C989" t="s">
        <v>13</v>
      </c>
      <c r="D989" t="s">
        <v>183</v>
      </c>
      <c r="E989" s="2">
        <v>27.5</v>
      </c>
      <c r="F989" s="4">
        <v>9</v>
      </c>
      <c r="G989" s="2">
        <v>247.5</v>
      </c>
      <c r="H989" t="s">
        <v>15</v>
      </c>
      <c r="I989" t="s">
        <v>36</v>
      </c>
      <c r="J989" s="1">
        <v>45402</v>
      </c>
      <c r="K989" t="b">
        <v>0</v>
      </c>
    </row>
    <row r="990" spans="1:11" x14ac:dyDescent="0.25">
      <c r="A990" t="s">
        <v>2806</v>
      </c>
      <c r="B990" t="s">
        <v>12</v>
      </c>
      <c r="C990" t="s">
        <v>110</v>
      </c>
      <c r="D990" t="s">
        <v>111</v>
      </c>
      <c r="E990" s="2">
        <v>27.5</v>
      </c>
      <c r="F990" s="4">
        <v>9</v>
      </c>
      <c r="G990" s="2">
        <v>247.5</v>
      </c>
      <c r="H990" t="s">
        <v>45</v>
      </c>
      <c r="I990" t="s">
        <v>36</v>
      </c>
      <c r="J990" s="1">
        <v>45093</v>
      </c>
      <c r="K990" t="b">
        <v>1</v>
      </c>
    </row>
    <row r="991" spans="1:11" x14ac:dyDescent="0.25">
      <c r="A991" t="s">
        <v>6050</v>
      </c>
      <c r="B991" t="s">
        <v>40</v>
      </c>
      <c r="C991" t="s">
        <v>19</v>
      </c>
      <c r="D991" t="s">
        <v>53</v>
      </c>
      <c r="E991" s="2">
        <v>27.5</v>
      </c>
      <c r="F991" s="4">
        <v>9</v>
      </c>
      <c r="G991" s="2">
        <v>247.5</v>
      </c>
      <c r="H991" t="s">
        <v>25</v>
      </c>
      <c r="I991" t="s">
        <v>36</v>
      </c>
      <c r="J991" s="1">
        <v>45643</v>
      </c>
      <c r="K991" t="b">
        <v>0</v>
      </c>
    </row>
    <row r="992" spans="1:11" x14ac:dyDescent="0.25">
      <c r="A992" t="s">
        <v>7209</v>
      </c>
      <c r="B992" t="s">
        <v>51</v>
      </c>
      <c r="C992" t="s">
        <v>19</v>
      </c>
      <c r="D992" t="s">
        <v>53</v>
      </c>
      <c r="E992" s="2">
        <v>27.5</v>
      </c>
      <c r="F992" s="4">
        <v>9</v>
      </c>
      <c r="G992" s="2">
        <v>247.5</v>
      </c>
      <c r="H992" t="s">
        <v>15</v>
      </c>
      <c r="I992" t="s">
        <v>16</v>
      </c>
      <c r="J992" s="1">
        <v>45021</v>
      </c>
      <c r="K992" t="b">
        <v>0</v>
      </c>
    </row>
    <row r="993" spans="1:11" x14ac:dyDescent="0.25">
      <c r="A993" t="s">
        <v>4181</v>
      </c>
      <c r="B993" t="s">
        <v>58</v>
      </c>
      <c r="C993" t="s">
        <v>27</v>
      </c>
      <c r="D993" t="s">
        <v>28</v>
      </c>
      <c r="E993" s="2">
        <v>27.5</v>
      </c>
      <c r="F993" s="4">
        <v>9</v>
      </c>
      <c r="G993" s="2">
        <v>247.5</v>
      </c>
      <c r="H993" t="s">
        <v>15</v>
      </c>
      <c r="I993" t="s">
        <v>16</v>
      </c>
      <c r="J993" s="1">
        <v>44583</v>
      </c>
      <c r="K993" t="b">
        <v>1</v>
      </c>
    </row>
    <row r="994" spans="1:11" x14ac:dyDescent="0.25">
      <c r="A994" t="s">
        <v>1222</v>
      </c>
      <c r="B994" t="s">
        <v>40</v>
      </c>
      <c r="C994" t="s">
        <v>110</v>
      </c>
      <c r="D994" t="s">
        <v>111</v>
      </c>
      <c r="E994" s="2">
        <v>27.5</v>
      </c>
      <c r="F994" s="4">
        <v>9</v>
      </c>
      <c r="G994" s="2">
        <v>247.5</v>
      </c>
      <c r="H994" t="s">
        <v>45</v>
      </c>
      <c r="I994" t="s">
        <v>36</v>
      </c>
      <c r="J994" s="1">
        <v>45292</v>
      </c>
      <c r="K994" t="b">
        <v>0</v>
      </c>
    </row>
    <row r="995" spans="1:11" x14ac:dyDescent="0.25">
      <c r="A995" t="s">
        <v>1597</v>
      </c>
      <c r="B995" t="s">
        <v>85</v>
      </c>
      <c r="C995" t="s">
        <v>110</v>
      </c>
      <c r="D995" t="s">
        <v>111</v>
      </c>
      <c r="E995" s="2">
        <v>27.5</v>
      </c>
      <c r="F995" s="4">
        <v>9</v>
      </c>
      <c r="G995" s="2">
        <v>247.5</v>
      </c>
      <c r="H995" t="s">
        <v>15</v>
      </c>
      <c r="I995" t="s">
        <v>16</v>
      </c>
      <c r="J995" s="1">
        <v>45233</v>
      </c>
      <c r="K995" t="b">
        <v>1</v>
      </c>
    </row>
    <row r="996" spans="1:11" x14ac:dyDescent="0.25">
      <c r="A996" t="s">
        <v>1057</v>
      </c>
      <c r="B996" t="s">
        <v>56</v>
      </c>
      <c r="C996" t="s">
        <v>19</v>
      </c>
      <c r="D996" t="s">
        <v>53</v>
      </c>
      <c r="E996" s="2">
        <v>27.5</v>
      </c>
      <c r="F996" s="4">
        <v>9</v>
      </c>
      <c r="G996" s="2">
        <v>247.5</v>
      </c>
      <c r="H996" t="s">
        <v>25</v>
      </c>
      <c r="I996" t="s">
        <v>36</v>
      </c>
      <c r="J996" s="1">
        <v>44596</v>
      </c>
      <c r="K996" t="b">
        <v>0</v>
      </c>
    </row>
    <row r="997" spans="1:11" x14ac:dyDescent="0.25">
      <c r="A997" t="s">
        <v>3919</v>
      </c>
      <c r="B997" t="s">
        <v>26</v>
      </c>
      <c r="C997" t="s">
        <v>19</v>
      </c>
      <c r="D997" t="s">
        <v>53</v>
      </c>
      <c r="E997" s="2">
        <v>27.5</v>
      </c>
      <c r="F997" s="4">
        <v>9</v>
      </c>
      <c r="G997" s="2">
        <v>247.5</v>
      </c>
      <c r="H997" t="s">
        <v>45</v>
      </c>
      <c r="I997" t="s">
        <v>36</v>
      </c>
      <c r="J997" s="1">
        <v>44738</v>
      </c>
      <c r="K997" t="b">
        <v>1</v>
      </c>
    </row>
    <row r="998" spans="1:11" x14ac:dyDescent="0.25">
      <c r="A998" t="s">
        <v>3134</v>
      </c>
      <c r="B998" t="s">
        <v>43</v>
      </c>
      <c r="C998" t="s">
        <v>19</v>
      </c>
      <c r="D998" t="s">
        <v>53</v>
      </c>
      <c r="E998" s="2">
        <v>27.5</v>
      </c>
      <c r="F998" s="4">
        <v>9</v>
      </c>
      <c r="G998" s="2">
        <v>247.5</v>
      </c>
      <c r="H998" t="s">
        <v>15</v>
      </c>
      <c r="I998" t="s">
        <v>16</v>
      </c>
      <c r="J998" s="1">
        <v>44711</v>
      </c>
      <c r="K998" t="b">
        <v>1</v>
      </c>
    </row>
    <row r="999" spans="1:11" x14ac:dyDescent="0.25">
      <c r="A999" t="s">
        <v>6239</v>
      </c>
      <c r="B999" t="s">
        <v>72</v>
      </c>
      <c r="C999" t="s">
        <v>13</v>
      </c>
      <c r="D999" t="s">
        <v>183</v>
      </c>
      <c r="E999" s="2">
        <v>27.5</v>
      </c>
      <c r="F999" s="4">
        <v>9</v>
      </c>
      <c r="G999" s="2">
        <v>247.5</v>
      </c>
      <c r="H999" t="s">
        <v>15</v>
      </c>
      <c r="I999" t="s">
        <v>36</v>
      </c>
      <c r="J999" s="1">
        <v>45373</v>
      </c>
      <c r="K999" t="b">
        <v>1</v>
      </c>
    </row>
    <row r="1000" spans="1:11" x14ac:dyDescent="0.25">
      <c r="A1000" t="s">
        <v>5125</v>
      </c>
      <c r="B1000" t="s">
        <v>30</v>
      </c>
      <c r="C1000" t="s">
        <v>110</v>
      </c>
      <c r="D1000" t="s">
        <v>111</v>
      </c>
      <c r="E1000" s="2">
        <v>27.5</v>
      </c>
      <c r="F1000" s="4">
        <v>9</v>
      </c>
      <c r="G1000" s="2">
        <v>247.5</v>
      </c>
      <c r="H1000" t="s">
        <v>45</v>
      </c>
      <c r="I1000" t="s">
        <v>36</v>
      </c>
      <c r="J1000" s="1">
        <v>45279</v>
      </c>
      <c r="K1000" t="b">
        <v>1</v>
      </c>
    </row>
    <row r="1001" spans="1:11" x14ac:dyDescent="0.25">
      <c r="A1001" t="s">
        <v>7619</v>
      </c>
      <c r="B1001" t="s">
        <v>58</v>
      </c>
      <c r="C1001" t="s">
        <v>19</v>
      </c>
      <c r="D1001" t="s">
        <v>53</v>
      </c>
      <c r="E1001" s="2">
        <v>27.5</v>
      </c>
      <c r="F1001" s="4">
        <v>9</v>
      </c>
      <c r="G1001" s="2">
        <v>247.5</v>
      </c>
      <c r="H1001" t="s">
        <v>15</v>
      </c>
      <c r="I1001" t="s">
        <v>16</v>
      </c>
      <c r="J1001" s="1">
        <v>44963</v>
      </c>
      <c r="K1001" t="b">
        <v>0</v>
      </c>
    </row>
    <row r="1002" spans="1:11" x14ac:dyDescent="0.25">
      <c r="A1002" t="s">
        <v>7715</v>
      </c>
      <c r="B1002" t="s">
        <v>34</v>
      </c>
      <c r="C1002" t="s">
        <v>19</v>
      </c>
      <c r="D1002" t="s">
        <v>53</v>
      </c>
      <c r="E1002" s="2">
        <v>27.5</v>
      </c>
      <c r="F1002" s="4">
        <v>9</v>
      </c>
      <c r="G1002" s="2">
        <v>247.5</v>
      </c>
      <c r="H1002" t="s">
        <v>15</v>
      </c>
      <c r="I1002" t="s">
        <v>36</v>
      </c>
      <c r="J1002" s="1">
        <v>45278</v>
      </c>
      <c r="K1002" t="b">
        <v>0</v>
      </c>
    </row>
    <row r="1003" spans="1:11" x14ac:dyDescent="0.25">
      <c r="A1003" t="s">
        <v>3945</v>
      </c>
      <c r="B1003" t="s">
        <v>142</v>
      </c>
      <c r="C1003" t="s">
        <v>23</v>
      </c>
      <c r="D1003" t="s">
        <v>115</v>
      </c>
      <c r="E1003" s="2">
        <v>27.5</v>
      </c>
      <c r="F1003" s="4">
        <v>9</v>
      </c>
      <c r="G1003" s="2">
        <v>247.5</v>
      </c>
      <c r="H1003" t="s">
        <v>15</v>
      </c>
      <c r="I1003" t="s">
        <v>16</v>
      </c>
      <c r="J1003" s="1">
        <v>45467</v>
      </c>
      <c r="K1003" t="b">
        <v>0</v>
      </c>
    </row>
    <row r="1004" spans="1:11" x14ac:dyDescent="0.25">
      <c r="A1004" t="s">
        <v>6534</v>
      </c>
      <c r="B1004" t="s">
        <v>51</v>
      </c>
      <c r="C1004" t="s">
        <v>59</v>
      </c>
      <c r="D1004" t="s">
        <v>272</v>
      </c>
      <c r="E1004" s="2">
        <v>27.5</v>
      </c>
      <c r="F1004" s="4">
        <v>9</v>
      </c>
      <c r="G1004" s="2">
        <v>247.5</v>
      </c>
      <c r="H1004" t="s">
        <v>25</v>
      </c>
      <c r="I1004" t="s">
        <v>16</v>
      </c>
      <c r="J1004" s="1">
        <v>44584</v>
      </c>
      <c r="K1004" t="b">
        <v>0</v>
      </c>
    </row>
    <row r="1005" spans="1:11" x14ac:dyDescent="0.25">
      <c r="A1005" t="s">
        <v>4507</v>
      </c>
      <c r="B1005" t="s">
        <v>37</v>
      </c>
      <c r="C1005" t="s">
        <v>19</v>
      </c>
      <c r="D1005" t="s">
        <v>53</v>
      </c>
      <c r="E1005" s="2">
        <v>27.5</v>
      </c>
      <c r="F1005" s="4">
        <v>9</v>
      </c>
      <c r="G1005" s="2">
        <v>247.5</v>
      </c>
      <c r="H1005" t="s">
        <v>45</v>
      </c>
      <c r="I1005" t="s">
        <v>36</v>
      </c>
      <c r="J1005" s="1">
        <v>44962</v>
      </c>
      <c r="K1005" t="b">
        <v>0</v>
      </c>
    </row>
    <row r="1006" spans="1:11" x14ac:dyDescent="0.25">
      <c r="A1006" t="s">
        <v>6569</v>
      </c>
      <c r="B1006" t="s">
        <v>104</v>
      </c>
      <c r="C1006" t="s">
        <v>13</v>
      </c>
      <c r="D1006" t="s">
        <v>183</v>
      </c>
      <c r="E1006" s="2">
        <v>27.5</v>
      </c>
      <c r="F1006" s="4">
        <v>9</v>
      </c>
      <c r="G1006" s="2">
        <v>247.5</v>
      </c>
      <c r="H1006" t="s">
        <v>25</v>
      </c>
      <c r="I1006" t="s">
        <v>36</v>
      </c>
      <c r="J1006" s="1">
        <v>45329</v>
      </c>
      <c r="K1006" t="b">
        <v>1</v>
      </c>
    </row>
    <row r="1007" spans="1:11" x14ac:dyDescent="0.25">
      <c r="A1007" t="s">
        <v>7087</v>
      </c>
      <c r="B1007" t="s">
        <v>93</v>
      </c>
      <c r="C1007" t="s">
        <v>19</v>
      </c>
      <c r="D1007" t="s">
        <v>53</v>
      </c>
      <c r="E1007" s="2">
        <v>27.5</v>
      </c>
      <c r="F1007" s="4">
        <v>9</v>
      </c>
      <c r="G1007" s="2">
        <v>247.5</v>
      </c>
      <c r="H1007" t="s">
        <v>25</v>
      </c>
      <c r="I1007" t="s">
        <v>36</v>
      </c>
      <c r="J1007" s="1">
        <v>44702</v>
      </c>
      <c r="K1007" t="b">
        <v>1</v>
      </c>
    </row>
    <row r="1008" spans="1:11" x14ac:dyDescent="0.25">
      <c r="A1008" t="s">
        <v>2525</v>
      </c>
      <c r="B1008" t="s">
        <v>26</v>
      </c>
      <c r="C1008" t="s">
        <v>38</v>
      </c>
      <c r="D1008" t="s">
        <v>41</v>
      </c>
      <c r="E1008" s="2">
        <v>27.5</v>
      </c>
      <c r="F1008" s="4">
        <v>9</v>
      </c>
      <c r="G1008" s="2">
        <v>247.5</v>
      </c>
      <c r="H1008" t="s">
        <v>25</v>
      </c>
      <c r="I1008" t="s">
        <v>16</v>
      </c>
      <c r="J1008" s="1">
        <v>45399</v>
      </c>
      <c r="K1008" t="b">
        <v>1</v>
      </c>
    </row>
    <row r="1009" spans="1:11" x14ac:dyDescent="0.25">
      <c r="A1009" t="s">
        <v>3768</v>
      </c>
      <c r="B1009" t="s">
        <v>26</v>
      </c>
      <c r="C1009" t="s">
        <v>19</v>
      </c>
      <c r="D1009" t="s">
        <v>53</v>
      </c>
      <c r="E1009" s="2">
        <v>27.5</v>
      </c>
      <c r="F1009" s="4">
        <v>9</v>
      </c>
      <c r="G1009" s="2">
        <v>247.5</v>
      </c>
      <c r="H1009" t="s">
        <v>45</v>
      </c>
      <c r="I1009" t="s">
        <v>16</v>
      </c>
      <c r="J1009" s="1">
        <v>44670</v>
      </c>
      <c r="K1009" t="b">
        <v>0</v>
      </c>
    </row>
    <row r="1010" spans="1:11" x14ac:dyDescent="0.25">
      <c r="A1010" t="s">
        <v>467</v>
      </c>
      <c r="B1010" t="s">
        <v>97</v>
      </c>
      <c r="C1010" t="s">
        <v>110</v>
      </c>
      <c r="D1010" t="s">
        <v>111</v>
      </c>
      <c r="E1010" s="2">
        <v>27.5</v>
      </c>
      <c r="F1010" s="4">
        <v>9</v>
      </c>
      <c r="G1010" s="2">
        <v>247.5</v>
      </c>
      <c r="H1010" t="s">
        <v>45</v>
      </c>
      <c r="I1010" t="s">
        <v>16</v>
      </c>
      <c r="J1010" s="1">
        <v>44939</v>
      </c>
      <c r="K1010" t="b">
        <v>0</v>
      </c>
    </row>
    <row r="1011" spans="1:11" x14ac:dyDescent="0.25">
      <c r="A1011" t="s">
        <v>5406</v>
      </c>
      <c r="B1011" t="s">
        <v>61</v>
      </c>
      <c r="C1011" t="s">
        <v>23</v>
      </c>
      <c r="D1011" t="s">
        <v>115</v>
      </c>
      <c r="E1011" s="2">
        <v>27.5</v>
      </c>
      <c r="F1011" s="4">
        <v>9</v>
      </c>
      <c r="G1011" s="2">
        <v>247.5</v>
      </c>
      <c r="H1011" t="s">
        <v>15</v>
      </c>
      <c r="I1011" t="s">
        <v>36</v>
      </c>
      <c r="J1011" s="1">
        <v>44772</v>
      </c>
      <c r="K1011" t="b">
        <v>1</v>
      </c>
    </row>
    <row r="1012" spans="1:11" x14ac:dyDescent="0.25">
      <c r="A1012" t="s">
        <v>6751</v>
      </c>
      <c r="B1012" t="s">
        <v>22</v>
      </c>
      <c r="C1012" t="s">
        <v>19</v>
      </c>
      <c r="D1012" t="s">
        <v>53</v>
      </c>
      <c r="E1012" s="2">
        <v>27.5</v>
      </c>
      <c r="F1012" s="4">
        <v>9</v>
      </c>
      <c r="G1012" s="2">
        <v>247.5</v>
      </c>
      <c r="H1012" t="s">
        <v>45</v>
      </c>
      <c r="I1012" t="s">
        <v>16</v>
      </c>
      <c r="J1012" s="1">
        <v>45221</v>
      </c>
      <c r="K1012" t="b">
        <v>1</v>
      </c>
    </row>
    <row r="1013" spans="1:11" x14ac:dyDescent="0.25">
      <c r="A1013" t="s">
        <v>4601</v>
      </c>
      <c r="B1013" t="s">
        <v>85</v>
      </c>
      <c r="C1013" t="s">
        <v>19</v>
      </c>
      <c r="D1013" t="s">
        <v>53</v>
      </c>
      <c r="E1013" s="2">
        <v>27.5</v>
      </c>
      <c r="F1013" s="4">
        <v>9</v>
      </c>
      <c r="G1013" s="2">
        <v>247.5</v>
      </c>
      <c r="H1013" t="s">
        <v>25</v>
      </c>
      <c r="I1013" t="s">
        <v>16</v>
      </c>
      <c r="J1013" s="1">
        <v>44749</v>
      </c>
      <c r="K1013" t="b">
        <v>1</v>
      </c>
    </row>
    <row r="1014" spans="1:11" x14ac:dyDescent="0.25">
      <c r="A1014" t="s">
        <v>2497</v>
      </c>
      <c r="B1014" t="s">
        <v>104</v>
      </c>
      <c r="C1014" t="s">
        <v>19</v>
      </c>
      <c r="D1014" t="s">
        <v>53</v>
      </c>
      <c r="E1014" s="2">
        <v>27.5</v>
      </c>
      <c r="F1014" s="4">
        <v>9</v>
      </c>
      <c r="G1014" s="2">
        <v>247.5</v>
      </c>
      <c r="H1014" t="s">
        <v>15</v>
      </c>
      <c r="I1014" t="s">
        <v>36</v>
      </c>
      <c r="J1014" s="1">
        <v>45513</v>
      </c>
      <c r="K1014" t="b">
        <v>0</v>
      </c>
    </row>
    <row r="1015" spans="1:11" x14ac:dyDescent="0.25">
      <c r="A1015" t="s">
        <v>4053</v>
      </c>
      <c r="B1015" t="s">
        <v>30</v>
      </c>
      <c r="C1015" t="s">
        <v>27</v>
      </c>
      <c r="D1015" t="s">
        <v>28</v>
      </c>
      <c r="E1015" s="2">
        <v>27.5</v>
      </c>
      <c r="F1015" s="4">
        <v>9</v>
      </c>
      <c r="G1015" s="2">
        <v>247.5</v>
      </c>
      <c r="H1015" t="s">
        <v>25</v>
      </c>
      <c r="I1015" t="s">
        <v>16</v>
      </c>
      <c r="J1015" s="1">
        <v>44905</v>
      </c>
      <c r="K1015" t="b">
        <v>1</v>
      </c>
    </row>
    <row r="1016" spans="1:11" x14ac:dyDescent="0.25">
      <c r="A1016" t="s">
        <v>1524</v>
      </c>
      <c r="B1016" t="s">
        <v>104</v>
      </c>
      <c r="C1016" t="s">
        <v>38</v>
      </c>
      <c r="D1016" t="s">
        <v>75</v>
      </c>
      <c r="E1016" s="2">
        <v>41</v>
      </c>
      <c r="F1016" s="4">
        <v>6</v>
      </c>
      <c r="G1016" s="2">
        <v>246</v>
      </c>
      <c r="H1016" t="s">
        <v>45</v>
      </c>
      <c r="I1016" t="s">
        <v>16</v>
      </c>
      <c r="J1016" s="1">
        <v>45545</v>
      </c>
      <c r="K1016" t="b">
        <v>1</v>
      </c>
    </row>
    <row r="1017" spans="1:11" x14ac:dyDescent="0.25">
      <c r="A1017" t="s">
        <v>1948</v>
      </c>
      <c r="B1017" t="s">
        <v>72</v>
      </c>
      <c r="C1017" t="s">
        <v>13</v>
      </c>
      <c r="D1017" t="s">
        <v>161</v>
      </c>
      <c r="E1017" s="2">
        <v>41</v>
      </c>
      <c r="F1017" s="4">
        <v>6</v>
      </c>
      <c r="G1017" s="2">
        <v>246</v>
      </c>
      <c r="H1017" t="s">
        <v>45</v>
      </c>
      <c r="I1017" t="s">
        <v>36</v>
      </c>
      <c r="J1017" s="1">
        <v>44920</v>
      </c>
      <c r="K1017" t="b">
        <v>1</v>
      </c>
    </row>
    <row r="1018" spans="1:11" x14ac:dyDescent="0.25">
      <c r="A1018" t="s">
        <v>2987</v>
      </c>
      <c r="B1018" t="s">
        <v>77</v>
      </c>
      <c r="C1018" t="s">
        <v>31</v>
      </c>
      <c r="D1018" t="s">
        <v>286</v>
      </c>
      <c r="E1018" s="2">
        <v>41</v>
      </c>
      <c r="F1018" s="4">
        <v>6</v>
      </c>
      <c r="G1018" s="2">
        <v>246</v>
      </c>
      <c r="H1018" t="s">
        <v>25</v>
      </c>
      <c r="I1018" t="s">
        <v>16</v>
      </c>
      <c r="J1018" s="1">
        <v>45391</v>
      </c>
      <c r="K1018" t="b">
        <v>0</v>
      </c>
    </row>
    <row r="1019" spans="1:11" x14ac:dyDescent="0.25">
      <c r="A1019" t="s">
        <v>1036</v>
      </c>
      <c r="B1019" t="s">
        <v>85</v>
      </c>
      <c r="C1019" t="s">
        <v>23</v>
      </c>
      <c r="D1019" t="s">
        <v>302</v>
      </c>
      <c r="E1019" s="2">
        <v>41</v>
      </c>
      <c r="F1019" s="4">
        <v>6</v>
      </c>
      <c r="G1019" s="2">
        <v>246</v>
      </c>
      <c r="H1019" t="s">
        <v>15</v>
      </c>
      <c r="I1019" t="s">
        <v>16</v>
      </c>
      <c r="J1019" s="1">
        <v>45665</v>
      </c>
      <c r="K1019" t="b">
        <v>0</v>
      </c>
    </row>
    <row r="1020" spans="1:11" x14ac:dyDescent="0.25">
      <c r="A1020" t="s">
        <v>5270</v>
      </c>
      <c r="B1020" t="s">
        <v>69</v>
      </c>
      <c r="C1020" t="s">
        <v>13</v>
      </c>
      <c r="D1020" t="s">
        <v>161</v>
      </c>
      <c r="E1020" s="2">
        <v>41</v>
      </c>
      <c r="F1020" s="4">
        <v>6</v>
      </c>
      <c r="G1020" s="2">
        <v>246</v>
      </c>
      <c r="H1020" t="s">
        <v>15</v>
      </c>
      <c r="I1020" t="s">
        <v>36</v>
      </c>
      <c r="J1020" s="1">
        <v>45189</v>
      </c>
      <c r="K1020" t="b">
        <v>0</v>
      </c>
    </row>
    <row r="1021" spans="1:11" x14ac:dyDescent="0.25">
      <c r="A1021" t="s">
        <v>2224</v>
      </c>
      <c r="B1021" t="s">
        <v>58</v>
      </c>
      <c r="C1021" t="s">
        <v>38</v>
      </c>
      <c r="D1021" t="s">
        <v>75</v>
      </c>
      <c r="E1021" s="2">
        <v>41</v>
      </c>
      <c r="F1021" s="4">
        <v>6</v>
      </c>
      <c r="G1021" s="2">
        <v>246</v>
      </c>
      <c r="H1021" t="s">
        <v>45</v>
      </c>
      <c r="I1021" t="s">
        <v>16</v>
      </c>
      <c r="J1021" s="1">
        <v>44969</v>
      </c>
      <c r="K1021" t="b">
        <v>1</v>
      </c>
    </row>
    <row r="1022" spans="1:11" x14ac:dyDescent="0.25">
      <c r="A1022" t="s">
        <v>5085</v>
      </c>
      <c r="B1022" t="s">
        <v>100</v>
      </c>
      <c r="C1022" t="s">
        <v>38</v>
      </c>
      <c r="D1022" t="s">
        <v>75</v>
      </c>
      <c r="E1022" s="2">
        <v>41</v>
      </c>
      <c r="F1022" s="4">
        <v>6</v>
      </c>
      <c r="G1022" s="2">
        <v>246</v>
      </c>
      <c r="H1022" t="s">
        <v>25</v>
      </c>
      <c r="I1022" t="s">
        <v>16</v>
      </c>
      <c r="J1022" s="1">
        <v>45195</v>
      </c>
      <c r="K1022" t="b">
        <v>1</v>
      </c>
    </row>
    <row r="1023" spans="1:11" x14ac:dyDescent="0.25">
      <c r="A1023" t="s">
        <v>4549</v>
      </c>
      <c r="B1023" t="s">
        <v>18</v>
      </c>
      <c r="C1023" t="s">
        <v>13</v>
      </c>
      <c r="D1023" t="s">
        <v>161</v>
      </c>
      <c r="E1023" s="2">
        <v>41</v>
      </c>
      <c r="F1023" s="4">
        <v>6</v>
      </c>
      <c r="G1023" s="2">
        <v>246</v>
      </c>
      <c r="H1023" t="s">
        <v>45</v>
      </c>
      <c r="I1023" t="s">
        <v>36</v>
      </c>
      <c r="J1023" s="1">
        <v>44693</v>
      </c>
      <c r="K1023" t="b">
        <v>1</v>
      </c>
    </row>
    <row r="1024" spans="1:11" x14ac:dyDescent="0.25">
      <c r="A1024" t="s">
        <v>6211</v>
      </c>
      <c r="B1024" t="s">
        <v>72</v>
      </c>
      <c r="C1024" t="s">
        <v>31</v>
      </c>
      <c r="D1024" t="s">
        <v>286</v>
      </c>
      <c r="E1024" s="2">
        <v>41</v>
      </c>
      <c r="F1024" s="4">
        <v>6</v>
      </c>
      <c r="G1024" s="2">
        <v>246</v>
      </c>
      <c r="H1024" t="s">
        <v>15</v>
      </c>
      <c r="I1024" t="s">
        <v>36</v>
      </c>
      <c r="J1024" s="1">
        <v>44928</v>
      </c>
      <c r="K1024" t="b">
        <v>1</v>
      </c>
    </row>
    <row r="1025" spans="1:11" x14ac:dyDescent="0.25">
      <c r="A1025" t="s">
        <v>3612</v>
      </c>
      <c r="B1025" t="s">
        <v>12</v>
      </c>
      <c r="C1025" t="s">
        <v>110</v>
      </c>
      <c r="D1025" t="s">
        <v>185</v>
      </c>
      <c r="E1025" s="2">
        <v>41</v>
      </c>
      <c r="F1025" s="4">
        <v>6</v>
      </c>
      <c r="G1025" s="2">
        <v>246</v>
      </c>
      <c r="H1025" t="s">
        <v>25</v>
      </c>
      <c r="I1025" t="s">
        <v>36</v>
      </c>
      <c r="J1025" s="1">
        <v>45659</v>
      </c>
      <c r="K1025" t="b">
        <v>0</v>
      </c>
    </row>
    <row r="1026" spans="1:11" x14ac:dyDescent="0.25">
      <c r="A1026" t="s">
        <v>6565</v>
      </c>
      <c r="B1026" t="s">
        <v>69</v>
      </c>
      <c r="C1026" t="s">
        <v>13</v>
      </c>
      <c r="D1026" t="s">
        <v>161</v>
      </c>
      <c r="E1026" s="2">
        <v>41</v>
      </c>
      <c r="F1026" s="4">
        <v>6</v>
      </c>
      <c r="G1026" s="2">
        <v>246</v>
      </c>
      <c r="H1026" t="s">
        <v>45</v>
      </c>
      <c r="I1026" t="s">
        <v>16</v>
      </c>
      <c r="J1026" s="1">
        <v>44848</v>
      </c>
      <c r="K1026" t="b">
        <v>0</v>
      </c>
    </row>
    <row r="1027" spans="1:11" x14ac:dyDescent="0.25">
      <c r="A1027" t="s">
        <v>2053</v>
      </c>
      <c r="B1027" t="s">
        <v>30</v>
      </c>
      <c r="C1027" t="s">
        <v>31</v>
      </c>
      <c r="D1027" t="s">
        <v>286</v>
      </c>
      <c r="E1027" s="2">
        <v>41</v>
      </c>
      <c r="F1027" s="4">
        <v>6</v>
      </c>
      <c r="G1027" s="2">
        <v>246</v>
      </c>
      <c r="H1027" t="s">
        <v>25</v>
      </c>
      <c r="I1027" t="s">
        <v>16</v>
      </c>
      <c r="J1027" s="1">
        <v>45054</v>
      </c>
      <c r="K1027" t="b">
        <v>1</v>
      </c>
    </row>
    <row r="1028" spans="1:11" x14ac:dyDescent="0.25">
      <c r="A1028" t="s">
        <v>7710</v>
      </c>
      <c r="B1028" t="s">
        <v>43</v>
      </c>
      <c r="C1028" t="s">
        <v>13</v>
      </c>
      <c r="D1028" t="s">
        <v>161</v>
      </c>
      <c r="E1028" s="2">
        <v>41</v>
      </c>
      <c r="F1028" s="4">
        <v>6</v>
      </c>
      <c r="G1028" s="2">
        <v>246</v>
      </c>
      <c r="H1028" t="s">
        <v>25</v>
      </c>
      <c r="I1028" t="s">
        <v>16</v>
      </c>
      <c r="J1028" s="1">
        <v>45100</v>
      </c>
      <c r="K1028" t="b">
        <v>1</v>
      </c>
    </row>
    <row r="1029" spans="1:11" x14ac:dyDescent="0.25">
      <c r="A1029" t="s">
        <v>6097</v>
      </c>
      <c r="B1029" t="s">
        <v>63</v>
      </c>
      <c r="C1029" t="s">
        <v>31</v>
      </c>
      <c r="D1029" t="s">
        <v>286</v>
      </c>
      <c r="E1029" s="2">
        <v>41</v>
      </c>
      <c r="F1029" s="4">
        <v>6</v>
      </c>
      <c r="G1029" s="2">
        <v>246</v>
      </c>
      <c r="H1029" t="s">
        <v>45</v>
      </c>
      <c r="I1029" t="s">
        <v>16</v>
      </c>
      <c r="J1029" s="1">
        <v>44844</v>
      </c>
      <c r="K1029" t="b">
        <v>0</v>
      </c>
    </row>
    <row r="1030" spans="1:11" x14ac:dyDescent="0.25">
      <c r="A1030" t="s">
        <v>6578</v>
      </c>
      <c r="B1030" t="s">
        <v>56</v>
      </c>
      <c r="C1030" t="s">
        <v>31</v>
      </c>
      <c r="D1030" t="s">
        <v>286</v>
      </c>
      <c r="E1030" s="2">
        <v>41</v>
      </c>
      <c r="F1030" s="4">
        <v>6</v>
      </c>
      <c r="G1030" s="2">
        <v>246</v>
      </c>
      <c r="H1030" t="s">
        <v>45</v>
      </c>
      <c r="I1030" t="s">
        <v>16</v>
      </c>
      <c r="J1030" s="1">
        <v>44994</v>
      </c>
      <c r="K1030" t="b">
        <v>1</v>
      </c>
    </row>
    <row r="1031" spans="1:11" x14ac:dyDescent="0.25">
      <c r="A1031" t="s">
        <v>1336</v>
      </c>
      <c r="B1031" t="s">
        <v>58</v>
      </c>
      <c r="C1031" t="s">
        <v>23</v>
      </c>
      <c r="D1031" t="s">
        <v>302</v>
      </c>
      <c r="E1031" s="2">
        <v>41</v>
      </c>
      <c r="F1031" s="4">
        <v>6</v>
      </c>
      <c r="G1031" s="2">
        <v>246</v>
      </c>
      <c r="H1031" t="s">
        <v>15</v>
      </c>
      <c r="I1031" t="s">
        <v>36</v>
      </c>
      <c r="J1031" s="1">
        <v>44571</v>
      </c>
      <c r="K1031" t="b">
        <v>1</v>
      </c>
    </row>
    <row r="1032" spans="1:11" x14ac:dyDescent="0.25">
      <c r="A1032" t="s">
        <v>3380</v>
      </c>
      <c r="B1032" t="s">
        <v>93</v>
      </c>
      <c r="C1032" t="s">
        <v>23</v>
      </c>
      <c r="D1032" t="s">
        <v>302</v>
      </c>
      <c r="E1032" s="2">
        <v>41</v>
      </c>
      <c r="F1032" s="4">
        <v>6</v>
      </c>
      <c r="G1032" s="2">
        <v>246</v>
      </c>
      <c r="H1032" t="s">
        <v>15</v>
      </c>
      <c r="I1032" t="s">
        <v>16</v>
      </c>
      <c r="J1032" s="1">
        <v>45099</v>
      </c>
      <c r="K1032" t="b">
        <v>1</v>
      </c>
    </row>
    <row r="1033" spans="1:11" x14ac:dyDescent="0.25">
      <c r="A1033" t="s">
        <v>742</v>
      </c>
      <c r="B1033" t="s">
        <v>77</v>
      </c>
      <c r="C1033" t="s">
        <v>13</v>
      </c>
      <c r="D1033" t="s">
        <v>161</v>
      </c>
      <c r="E1033" s="2">
        <v>41</v>
      </c>
      <c r="F1033" s="4">
        <v>6</v>
      </c>
      <c r="G1033" s="2">
        <v>246</v>
      </c>
      <c r="H1033" t="s">
        <v>25</v>
      </c>
      <c r="I1033" t="s">
        <v>16</v>
      </c>
      <c r="J1033" s="1">
        <v>45198</v>
      </c>
      <c r="K1033" t="b">
        <v>1</v>
      </c>
    </row>
    <row r="1034" spans="1:11" x14ac:dyDescent="0.25">
      <c r="A1034" t="s">
        <v>4345</v>
      </c>
      <c r="B1034" t="s">
        <v>34</v>
      </c>
      <c r="C1034" t="s">
        <v>110</v>
      </c>
      <c r="D1034" t="s">
        <v>185</v>
      </c>
      <c r="E1034" s="2">
        <v>41</v>
      </c>
      <c r="F1034" s="4">
        <v>6</v>
      </c>
      <c r="G1034" s="2">
        <v>246</v>
      </c>
      <c r="H1034" t="s">
        <v>45</v>
      </c>
      <c r="I1034" t="s">
        <v>16</v>
      </c>
      <c r="J1034" s="1">
        <v>45058</v>
      </c>
      <c r="K1034" t="b">
        <v>0</v>
      </c>
    </row>
    <row r="1035" spans="1:11" x14ac:dyDescent="0.25">
      <c r="A1035" t="s">
        <v>7044</v>
      </c>
      <c r="B1035" t="s">
        <v>18</v>
      </c>
      <c r="C1035" t="s">
        <v>31</v>
      </c>
      <c r="D1035" t="s">
        <v>286</v>
      </c>
      <c r="E1035" s="2">
        <v>41</v>
      </c>
      <c r="F1035" s="4">
        <v>6</v>
      </c>
      <c r="G1035" s="2">
        <v>246</v>
      </c>
      <c r="H1035" t="s">
        <v>15</v>
      </c>
      <c r="I1035" t="s">
        <v>36</v>
      </c>
      <c r="J1035" s="1">
        <v>44987</v>
      </c>
      <c r="K1035" t="b">
        <v>0</v>
      </c>
    </row>
    <row r="1036" spans="1:11" x14ac:dyDescent="0.25">
      <c r="A1036" t="s">
        <v>3506</v>
      </c>
      <c r="B1036" t="s">
        <v>77</v>
      </c>
      <c r="C1036" t="s">
        <v>38</v>
      </c>
      <c r="D1036" t="s">
        <v>75</v>
      </c>
      <c r="E1036" s="2">
        <v>41</v>
      </c>
      <c r="F1036" s="4">
        <v>6</v>
      </c>
      <c r="G1036" s="2">
        <v>246</v>
      </c>
      <c r="H1036" t="s">
        <v>45</v>
      </c>
      <c r="I1036" t="s">
        <v>36</v>
      </c>
      <c r="J1036" s="1">
        <v>45303</v>
      </c>
      <c r="K1036" t="b">
        <v>1</v>
      </c>
    </row>
    <row r="1037" spans="1:11" x14ac:dyDescent="0.25">
      <c r="A1037" t="s">
        <v>896</v>
      </c>
      <c r="B1037" t="s">
        <v>69</v>
      </c>
      <c r="C1037" t="s">
        <v>38</v>
      </c>
      <c r="D1037" t="s">
        <v>75</v>
      </c>
      <c r="E1037" s="2">
        <v>41</v>
      </c>
      <c r="F1037" s="4">
        <v>6</v>
      </c>
      <c r="G1037" s="2">
        <v>246</v>
      </c>
      <c r="H1037" t="s">
        <v>25</v>
      </c>
      <c r="I1037" t="s">
        <v>16</v>
      </c>
      <c r="J1037" s="1">
        <v>45357</v>
      </c>
      <c r="K1037" t="b">
        <v>0</v>
      </c>
    </row>
    <row r="1038" spans="1:11" x14ac:dyDescent="0.25">
      <c r="A1038" t="s">
        <v>7256</v>
      </c>
      <c r="B1038" t="s">
        <v>97</v>
      </c>
      <c r="C1038" t="s">
        <v>13</v>
      </c>
      <c r="D1038" t="s">
        <v>161</v>
      </c>
      <c r="E1038" s="2">
        <v>41</v>
      </c>
      <c r="F1038" s="4">
        <v>6</v>
      </c>
      <c r="G1038" s="2">
        <v>246</v>
      </c>
      <c r="H1038" t="s">
        <v>45</v>
      </c>
      <c r="I1038" t="s">
        <v>36</v>
      </c>
      <c r="J1038" s="1">
        <v>44909</v>
      </c>
      <c r="K1038" t="b">
        <v>1</v>
      </c>
    </row>
    <row r="1039" spans="1:11" x14ac:dyDescent="0.25">
      <c r="A1039" t="s">
        <v>3517</v>
      </c>
      <c r="B1039" t="s">
        <v>18</v>
      </c>
      <c r="C1039" t="s">
        <v>59</v>
      </c>
      <c r="D1039" t="s">
        <v>325</v>
      </c>
      <c r="E1039" s="2">
        <v>41</v>
      </c>
      <c r="F1039" s="4">
        <v>6</v>
      </c>
      <c r="G1039" s="2">
        <v>246</v>
      </c>
      <c r="H1039" t="s">
        <v>25</v>
      </c>
      <c r="I1039" t="s">
        <v>16</v>
      </c>
      <c r="J1039" s="1">
        <v>45489</v>
      </c>
      <c r="K1039" t="b">
        <v>1</v>
      </c>
    </row>
    <row r="1040" spans="1:11" x14ac:dyDescent="0.25">
      <c r="A1040" t="s">
        <v>5696</v>
      </c>
      <c r="B1040" t="s">
        <v>72</v>
      </c>
      <c r="C1040" t="s">
        <v>59</v>
      </c>
      <c r="D1040" t="s">
        <v>325</v>
      </c>
      <c r="E1040" s="2">
        <v>41</v>
      </c>
      <c r="F1040" s="4">
        <v>6</v>
      </c>
      <c r="G1040" s="2">
        <v>246</v>
      </c>
      <c r="H1040" t="s">
        <v>45</v>
      </c>
      <c r="I1040" t="s">
        <v>36</v>
      </c>
      <c r="J1040" s="1">
        <v>45340</v>
      </c>
      <c r="K1040" t="b">
        <v>0</v>
      </c>
    </row>
    <row r="1041" spans="1:11" x14ac:dyDescent="0.25">
      <c r="A1041" t="s">
        <v>1237</v>
      </c>
      <c r="B1041" t="s">
        <v>142</v>
      </c>
      <c r="C1041" t="s">
        <v>59</v>
      </c>
      <c r="D1041" t="s">
        <v>325</v>
      </c>
      <c r="E1041" s="2">
        <v>41</v>
      </c>
      <c r="F1041" s="4">
        <v>6</v>
      </c>
      <c r="G1041" s="2">
        <v>246</v>
      </c>
      <c r="H1041" t="s">
        <v>25</v>
      </c>
      <c r="I1041" t="s">
        <v>36</v>
      </c>
      <c r="J1041" s="1">
        <v>44896</v>
      </c>
      <c r="K1041" t="b">
        <v>1</v>
      </c>
    </row>
    <row r="1042" spans="1:11" x14ac:dyDescent="0.25">
      <c r="A1042" t="s">
        <v>6461</v>
      </c>
      <c r="B1042" t="s">
        <v>26</v>
      </c>
      <c r="C1042" t="s">
        <v>27</v>
      </c>
      <c r="D1042" t="s">
        <v>89</v>
      </c>
      <c r="E1042" s="2">
        <v>41</v>
      </c>
      <c r="F1042" s="4">
        <v>6</v>
      </c>
      <c r="G1042" s="2">
        <v>246</v>
      </c>
      <c r="H1042" t="s">
        <v>15</v>
      </c>
      <c r="I1042" t="s">
        <v>16</v>
      </c>
      <c r="J1042" s="1">
        <v>44613</v>
      </c>
      <c r="K1042" t="b">
        <v>1</v>
      </c>
    </row>
    <row r="1043" spans="1:11" x14ac:dyDescent="0.25">
      <c r="A1043" t="s">
        <v>7400</v>
      </c>
      <c r="B1043" t="s">
        <v>142</v>
      </c>
      <c r="C1043" t="s">
        <v>38</v>
      </c>
      <c r="D1043" t="s">
        <v>75</v>
      </c>
      <c r="E1043" s="2">
        <v>41</v>
      </c>
      <c r="F1043" s="4">
        <v>6</v>
      </c>
      <c r="G1043" s="2">
        <v>246</v>
      </c>
      <c r="H1043" t="s">
        <v>45</v>
      </c>
      <c r="I1043" t="s">
        <v>36</v>
      </c>
      <c r="J1043" s="1">
        <v>45522</v>
      </c>
      <c r="K1043" t="b">
        <v>1</v>
      </c>
    </row>
    <row r="1044" spans="1:11" x14ac:dyDescent="0.25">
      <c r="A1044" t="s">
        <v>3480</v>
      </c>
      <c r="B1044" t="s">
        <v>22</v>
      </c>
      <c r="C1044" t="s">
        <v>27</v>
      </c>
      <c r="D1044" t="s">
        <v>89</v>
      </c>
      <c r="E1044" s="2">
        <v>41</v>
      </c>
      <c r="F1044" s="4">
        <v>6</v>
      </c>
      <c r="G1044" s="2">
        <v>246</v>
      </c>
      <c r="H1044" t="s">
        <v>15</v>
      </c>
      <c r="I1044" t="s">
        <v>36</v>
      </c>
      <c r="J1044" s="1">
        <v>45364</v>
      </c>
      <c r="K1044" t="b">
        <v>1</v>
      </c>
    </row>
    <row r="1045" spans="1:11" x14ac:dyDescent="0.25">
      <c r="A1045" t="s">
        <v>4095</v>
      </c>
      <c r="B1045" t="s">
        <v>58</v>
      </c>
      <c r="C1045" t="s">
        <v>59</v>
      </c>
      <c r="D1045" t="s">
        <v>325</v>
      </c>
      <c r="E1045" s="2">
        <v>41</v>
      </c>
      <c r="F1045" s="4">
        <v>6</v>
      </c>
      <c r="G1045" s="2">
        <v>246</v>
      </c>
      <c r="H1045" t="s">
        <v>45</v>
      </c>
      <c r="I1045" t="s">
        <v>36</v>
      </c>
      <c r="J1045" s="1">
        <v>45127</v>
      </c>
      <c r="K1045" t="b">
        <v>0</v>
      </c>
    </row>
    <row r="1046" spans="1:11" x14ac:dyDescent="0.25">
      <c r="A1046" t="s">
        <v>6013</v>
      </c>
      <c r="B1046" t="s">
        <v>63</v>
      </c>
      <c r="C1046" t="s">
        <v>59</v>
      </c>
      <c r="D1046" t="s">
        <v>325</v>
      </c>
      <c r="E1046" s="2">
        <v>41</v>
      </c>
      <c r="F1046" s="4">
        <v>6</v>
      </c>
      <c r="G1046" s="2">
        <v>246</v>
      </c>
      <c r="H1046" t="s">
        <v>15</v>
      </c>
      <c r="I1046" t="s">
        <v>16</v>
      </c>
      <c r="J1046" s="1">
        <v>45128</v>
      </c>
      <c r="K1046" t="b">
        <v>1</v>
      </c>
    </row>
    <row r="1047" spans="1:11" x14ac:dyDescent="0.25">
      <c r="A1047" t="s">
        <v>1909</v>
      </c>
      <c r="B1047" t="s">
        <v>104</v>
      </c>
      <c r="C1047" t="s">
        <v>59</v>
      </c>
      <c r="D1047" t="s">
        <v>325</v>
      </c>
      <c r="E1047" s="2">
        <v>41</v>
      </c>
      <c r="F1047" s="4">
        <v>6</v>
      </c>
      <c r="G1047" s="2">
        <v>246</v>
      </c>
      <c r="H1047" t="s">
        <v>45</v>
      </c>
      <c r="I1047" t="s">
        <v>36</v>
      </c>
      <c r="J1047" s="1">
        <v>44842</v>
      </c>
      <c r="K1047" t="b">
        <v>0</v>
      </c>
    </row>
    <row r="1048" spans="1:11" x14ac:dyDescent="0.25">
      <c r="A1048" t="s">
        <v>4282</v>
      </c>
      <c r="B1048" t="s">
        <v>63</v>
      </c>
      <c r="C1048" t="s">
        <v>23</v>
      </c>
      <c r="D1048" t="s">
        <v>302</v>
      </c>
      <c r="E1048" s="2">
        <v>41</v>
      </c>
      <c r="F1048" s="4">
        <v>6</v>
      </c>
      <c r="G1048" s="2">
        <v>246</v>
      </c>
      <c r="H1048" t="s">
        <v>15</v>
      </c>
      <c r="I1048" t="s">
        <v>36</v>
      </c>
      <c r="J1048" s="1">
        <v>45266</v>
      </c>
      <c r="K1048" t="b">
        <v>0</v>
      </c>
    </row>
    <row r="1049" spans="1:11" x14ac:dyDescent="0.25">
      <c r="A1049" t="s">
        <v>7000</v>
      </c>
      <c r="B1049" t="s">
        <v>18</v>
      </c>
      <c r="C1049" t="s">
        <v>59</v>
      </c>
      <c r="D1049" t="s">
        <v>325</v>
      </c>
      <c r="E1049" s="2">
        <v>41</v>
      </c>
      <c r="F1049" s="4">
        <v>6</v>
      </c>
      <c r="G1049" s="2">
        <v>246</v>
      </c>
      <c r="H1049" t="s">
        <v>15</v>
      </c>
      <c r="I1049" t="s">
        <v>36</v>
      </c>
      <c r="J1049" s="1">
        <v>44959</v>
      </c>
      <c r="K1049" t="b">
        <v>1</v>
      </c>
    </row>
    <row r="1050" spans="1:11" x14ac:dyDescent="0.25">
      <c r="A1050" t="s">
        <v>2015</v>
      </c>
      <c r="B1050" t="s">
        <v>26</v>
      </c>
      <c r="C1050" t="s">
        <v>31</v>
      </c>
      <c r="D1050" t="s">
        <v>286</v>
      </c>
      <c r="E1050" s="2">
        <v>41</v>
      </c>
      <c r="F1050" s="4">
        <v>6</v>
      </c>
      <c r="G1050" s="2">
        <v>246</v>
      </c>
      <c r="H1050" t="s">
        <v>15</v>
      </c>
      <c r="I1050" t="s">
        <v>16</v>
      </c>
      <c r="J1050" s="1">
        <v>45355</v>
      </c>
      <c r="K1050" t="b">
        <v>0</v>
      </c>
    </row>
    <row r="1051" spans="1:11" x14ac:dyDescent="0.25">
      <c r="A1051" t="s">
        <v>1205</v>
      </c>
      <c r="B1051" t="s">
        <v>30</v>
      </c>
      <c r="C1051" t="s">
        <v>31</v>
      </c>
      <c r="D1051" t="s">
        <v>286</v>
      </c>
      <c r="E1051" s="2">
        <v>41</v>
      </c>
      <c r="F1051" s="4">
        <v>6</v>
      </c>
      <c r="G1051" s="2">
        <v>246</v>
      </c>
      <c r="H1051" t="s">
        <v>15</v>
      </c>
      <c r="I1051" t="s">
        <v>16</v>
      </c>
      <c r="J1051" s="1">
        <v>45610</v>
      </c>
      <c r="K1051" t="b">
        <v>0</v>
      </c>
    </row>
    <row r="1052" spans="1:11" x14ac:dyDescent="0.25">
      <c r="A1052" t="s">
        <v>7344</v>
      </c>
      <c r="B1052" t="s">
        <v>40</v>
      </c>
      <c r="C1052" t="s">
        <v>38</v>
      </c>
      <c r="D1052" t="s">
        <v>75</v>
      </c>
      <c r="E1052" s="2">
        <v>41</v>
      </c>
      <c r="F1052" s="4">
        <v>6</v>
      </c>
      <c r="G1052" s="2">
        <v>246</v>
      </c>
      <c r="H1052" t="s">
        <v>25</v>
      </c>
      <c r="I1052" t="s">
        <v>16</v>
      </c>
      <c r="J1052" s="1">
        <v>44811</v>
      </c>
      <c r="K1052" t="b">
        <v>1</v>
      </c>
    </row>
    <row r="1053" spans="1:11" x14ac:dyDescent="0.25">
      <c r="A1053" t="s">
        <v>4662</v>
      </c>
      <c r="B1053" t="s">
        <v>100</v>
      </c>
      <c r="C1053" t="s">
        <v>13</v>
      </c>
      <c r="D1053" t="s">
        <v>139</v>
      </c>
      <c r="E1053" s="2">
        <v>24.5</v>
      </c>
      <c r="F1053" s="4">
        <v>10</v>
      </c>
      <c r="G1053" s="2">
        <v>245</v>
      </c>
      <c r="H1053" t="s">
        <v>45</v>
      </c>
      <c r="I1053" t="s">
        <v>16</v>
      </c>
      <c r="J1053" s="1">
        <v>44637</v>
      </c>
      <c r="K1053" t="b">
        <v>1</v>
      </c>
    </row>
    <row r="1054" spans="1:11" x14ac:dyDescent="0.25">
      <c r="A1054" t="s">
        <v>3473</v>
      </c>
      <c r="B1054" t="s">
        <v>86</v>
      </c>
      <c r="C1054" t="s">
        <v>38</v>
      </c>
      <c r="D1054" t="s">
        <v>163</v>
      </c>
      <c r="E1054" s="2">
        <v>35</v>
      </c>
      <c r="F1054" s="4">
        <v>7</v>
      </c>
      <c r="G1054" s="2">
        <v>245</v>
      </c>
      <c r="H1054" t="s">
        <v>45</v>
      </c>
      <c r="I1054" t="s">
        <v>16</v>
      </c>
      <c r="J1054" s="1">
        <v>44852</v>
      </c>
      <c r="K1054" t="b">
        <v>1</v>
      </c>
    </row>
    <row r="1055" spans="1:11" x14ac:dyDescent="0.25">
      <c r="A1055" t="s">
        <v>76</v>
      </c>
      <c r="B1055" t="s">
        <v>77</v>
      </c>
      <c r="C1055" t="s">
        <v>31</v>
      </c>
      <c r="D1055" t="s">
        <v>78</v>
      </c>
      <c r="E1055" s="2">
        <v>24.5</v>
      </c>
      <c r="F1055" s="4">
        <v>10</v>
      </c>
      <c r="G1055" s="2">
        <v>245</v>
      </c>
      <c r="H1055" t="s">
        <v>45</v>
      </c>
      <c r="I1055" t="s">
        <v>36</v>
      </c>
      <c r="J1055" s="1">
        <v>44857</v>
      </c>
      <c r="K1055" t="b">
        <v>1</v>
      </c>
    </row>
    <row r="1056" spans="1:11" x14ac:dyDescent="0.25">
      <c r="A1056" t="s">
        <v>5418</v>
      </c>
      <c r="B1056" t="s">
        <v>66</v>
      </c>
      <c r="C1056" t="s">
        <v>23</v>
      </c>
      <c r="D1056" t="s">
        <v>179</v>
      </c>
      <c r="E1056" s="2">
        <v>35</v>
      </c>
      <c r="F1056" s="4">
        <v>7</v>
      </c>
      <c r="G1056" s="2">
        <v>245</v>
      </c>
      <c r="H1056" t="s">
        <v>15</v>
      </c>
      <c r="I1056" t="s">
        <v>36</v>
      </c>
      <c r="J1056" s="1">
        <v>45638</v>
      </c>
      <c r="K1056" t="b">
        <v>0</v>
      </c>
    </row>
    <row r="1057" spans="1:11" x14ac:dyDescent="0.25">
      <c r="A1057" t="s">
        <v>305</v>
      </c>
      <c r="B1057" t="s">
        <v>85</v>
      </c>
      <c r="C1057" t="s">
        <v>110</v>
      </c>
      <c r="D1057" t="s">
        <v>197</v>
      </c>
      <c r="E1057" s="2">
        <v>35</v>
      </c>
      <c r="F1057" s="4">
        <v>7</v>
      </c>
      <c r="G1057" s="2">
        <v>245</v>
      </c>
      <c r="H1057" t="s">
        <v>45</v>
      </c>
      <c r="I1057" t="s">
        <v>16</v>
      </c>
      <c r="J1057" s="1">
        <v>45150</v>
      </c>
      <c r="K1057" t="b">
        <v>0</v>
      </c>
    </row>
    <row r="1058" spans="1:11" x14ac:dyDescent="0.25">
      <c r="A1058" t="s">
        <v>1697</v>
      </c>
      <c r="B1058" t="s">
        <v>18</v>
      </c>
      <c r="C1058" t="s">
        <v>110</v>
      </c>
      <c r="D1058" t="s">
        <v>253</v>
      </c>
      <c r="E1058" s="2">
        <v>24.5</v>
      </c>
      <c r="F1058" s="4">
        <v>10</v>
      </c>
      <c r="G1058" s="2">
        <v>245</v>
      </c>
      <c r="H1058" t="s">
        <v>45</v>
      </c>
      <c r="I1058" t="s">
        <v>36</v>
      </c>
      <c r="J1058" s="1">
        <v>45440</v>
      </c>
      <c r="K1058" t="b">
        <v>0</v>
      </c>
    </row>
    <row r="1059" spans="1:11" x14ac:dyDescent="0.25">
      <c r="A1059" t="s">
        <v>2679</v>
      </c>
      <c r="B1059" t="s">
        <v>26</v>
      </c>
      <c r="C1059" t="s">
        <v>59</v>
      </c>
      <c r="D1059" t="s">
        <v>87</v>
      </c>
      <c r="E1059" s="2">
        <v>35</v>
      </c>
      <c r="F1059" s="4">
        <v>7</v>
      </c>
      <c r="G1059" s="2">
        <v>245</v>
      </c>
      <c r="H1059" t="s">
        <v>45</v>
      </c>
      <c r="I1059" t="s">
        <v>36</v>
      </c>
      <c r="J1059" s="1">
        <v>45074</v>
      </c>
      <c r="K1059" t="b">
        <v>0</v>
      </c>
    </row>
    <row r="1060" spans="1:11" x14ac:dyDescent="0.25">
      <c r="A1060" t="s">
        <v>3115</v>
      </c>
      <c r="B1060" t="s">
        <v>97</v>
      </c>
      <c r="C1060" t="s">
        <v>110</v>
      </c>
      <c r="D1060" t="s">
        <v>197</v>
      </c>
      <c r="E1060" s="2">
        <v>35</v>
      </c>
      <c r="F1060" s="4">
        <v>7</v>
      </c>
      <c r="G1060" s="2">
        <v>245</v>
      </c>
      <c r="H1060" t="s">
        <v>45</v>
      </c>
      <c r="I1060" t="s">
        <v>36</v>
      </c>
      <c r="J1060" s="1">
        <v>44735</v>
      </c>
      <c r="K1060" t="b">
        <v>1</v>
      </c>
    </row>
    <row r="1061" spans="1:11" x14ac:dyDescent="0.25">
      <c r="A1061" t="s">
        <v>1563</v>
      </c>
      <c r="B1061" t="s">
        <v>43</v>
      </c>
      <c r="C1061" t="s">
        <v>38</v>
      </c>
      <c r="D1061" t="s">
        <v>163</v>
      </c>
      <c r="E1061" s="2">
        <v>35</v>
      </c>
      <c r="F1061" s="4">
        <v>7</v>
      </c>
      <c r="G1061" s="2">
        <v>245</v>
      </c>
      <c r="H1061" t="s">
        <v>15</v>
      </c>
      <c r="I1061" t="s">
        <v>16</v>
      </c>
      <c r="J1061" s="1">
        <v>45419</v>
      </c>
      <c r="K1061" t="b">
        <v>0</v>
      </c>
    </row>
    <row r="1062" spans="1:11" x14ac:dyDescent="0.25">
      <c r="A1062" t="s">
        <v>4931</v>
      </c>
      <c r="B1062" t="s">
        <v>85</v>
      </c>
      <c r="C1062" t="s">
        <v>27</v>
      </c>
      <c r="D1062" t="s">
        <v>170</v>
      </c>
      <c r="E1062" s="2">
        <v>24.5</v>
      </c>
      <c r="F1062" s="4">
        <v>10</v>
      </c>
      <c r="G1062" s="2">
        <v>245</v>
      </c>
      <c r="H1062" t="s">
        <v>15</v>
      </c>
      <c r="I1062" t="s">
        <v>16</v>
      </c>
      <c r="J1062" s="1">
        <v>44954</v>
      </c>
      <c r="K1062" t="b">
        <v>1</v>
      </c>
    </row>
    <row r="1063" spans="1:11" x14ac:dyDescent="0.25">
      <c r="A1063" t="s">
        <v>7793</v>
      </c>
      <c r="B1063" t="s">
        <v>66</v>
      </c>
      <c r="C1063" t="s">
        <v>27</v>
      </c>
      <c r="D1063" t="s">
        <v>170</v>
      </c>
      <c r="E1063" s="2">
        <v>24.5</v>
      </c>
      <c r="F1063" s="4">
        <v>10</v>
      </c>
      <c r="G1063" s="2">
        <v>245</v>
      </c>
      <c r="H1063" t="s">
        <v>25</v>
      </c>
      <c r="I1063" t="s">
        <v>16</v>
      </c>
      <c r="J1063" s="1">
        <v>45157</v>
      </c>
      <c r="K1063" t="b">
        <v>1</v>
      </c>
    </row>
    <row r="1064" spans="1:11" x14ac:dyDescent="0.25">
      <c r="A1064" t="s">
        <v>867</v>
      </c>
      <c r="B1064" t="s">
        <v>85</v>
      </c>
      <c r="C1064" t="s">
        <v>31</v>
      </c>
      <c r="D1064" t="s">
        <v>78</v>
      </c>
      <c r="E1064" s="2">
        <v>24.5</v>
      </c>
      <c r="F1064" s="4">
        <v>10</v>
      </c>
      <c r="G1064" s="2">
        <v>245</v>
      </c>
      <c r="H1064" t="s">
        <v>15</v>
      </c>
      <c r="I1064" t="s">
        <v>16</v>
      </c>
      <c r="J1064" s="1">
        <v>45668</v>
      </c>
      <c r="K1064" t="b">
        <v>0</v>
      </c>
    </row>
    <row r="1065" spans="1:11" x14ac:dyDescent="0.25">
      <c r="A1065" t="s">
        <v>7732</v>
      </c>
      <c r="B1065" t="s">
        <v>142</v>
      </c>
      <c r="C1065" t="s">
        <v>31</v>
      </c>
      <c r="D1065" t="s">
        <v>905</v>
      </c>
      <c r="E1065" s="2">
        <v>35</v>
      </c>
      <c r="F1065" s="4">
        <v>7</v>
      </c>
      <c r="G1065" s="2">
        <v>245</v>
      </c>
      <c r="H1065" t="s">
        <v>15</v>
      </c>
      <c r="I1065" t="s">
        <v>16</v>
      </c>
      <c r="J1065" s="1">
        <v>44941</v>
      </c>
      <c r="K1065" t="b">
        <v>0</v>
      </c>
    </row>
    <row r="1066" spans="1:11" x14ac:dyDescent="0.25">
      <c r="A1066" t="s">
        <v>1782</v>
      </c>
      <c r="B1066" t="s">
        <v>30</v>
      </c>
      <c r="C1066" t="s">
        <v>38</v>
      </c>
      <c r="D1066" t="s">
        <v>70</v>
      </c>
      <c r="E1066" s="2">
        <v>24.5</v>
      </c>
      <c r="F1066" s="4">
        <v>10</v>
      </c>
      <c r="G1066" s="2">
        <v>245</v>
      </c>
      <c r="H1066" t="s">
        <v>45</v>
      </c>
      <c r="I1066" t="s">
        <v>36</v>
      </c>
      <c r="J1066" s="1">
        <v>45638</v>
      </c>
      <c r="K1066" t="b">
        <v>0</v>
      </c>
    </row>
    <row r="1067" spans="1:11" x14ac:dyDescent="0.25">
      <c r="A1067" t="s">
        <v>6504</v>
      </c>
      <c r="B1067" t="s">
        <v>26</v>
      </c>
      <c r="C1067" t="s">
        <v>13</v>
      </c>
      <c r="D1067" t="s">
        <v>139</v>
      </c>
      <c r="E1067" s="2">
        <v>24.5</v>
      </c>
      <c r="F1067" s="4">
        <v>10</v>
      </c>
      <c r="G1067" s="2">
        <v>245</v>
      </c>
      <c r="H1067" t="s">
        <v>45</v>
      </c>
      <c r="I1067" t="s">
        <v>16</v>
      </c>
      <c r="J1067" s="1">
        <v>45200</v>
      </c>
      <c r="K1067" t="b">
        <v>0</v>
      </c>
    </row>
    <row r="1068" spans="1:11" x14ac:dyDescent="0.25">
      <c r="A1068" t="s">
        <v>7469</v>
      </c>
      <c r="B1068" t="s">
        <v>63</v>
      </c>
      <c r="C1068" t="s">
        <v>27</v>
      </c>
      <c r="D1068" t="s">
        <v>170</v>
      </c>
      <c r="E1068" s="2">
        <v>24.5</v>
      </c>
      <c r="F1068" s="4">
        <v>10</v>
      </c>
      <c r="G1068" s="2">
        <v>245</v>
      </c>
      <c r="H1068" t="s">
        <v>45</v>
      </c>
      <c r="I1068" t="s">
        <v>16</v>
      </c>
      <c r="J1068" s="1">
        <v>44787</v>
      </c>
      <c r="K1068" t="b">
        <v>0</v>
      </c>
    </row>
    <row r="1069" spans="1:11" x14ac:dyDescent="0.25">
      <c r="A1069" t="s">
        <v>4829</v>
      </c>
      <c r="B1069" t="s">
        <v>40</v>
      </c>
      <c r="C1069" t="s">
        <v>27</v>
      </c>
      <c r="D1069" t="s">
        <v>240</v>
      </c>
      <c r="E1069" s="2">
        <v>35</v>
      </c>
      <c r="F1069" s="4">
        <v>7</v>
      </c>
      <c r="G1069" s="2">
        <v>245</v>
      </c>
      <c r="H1069" t="s">
        <v>25</v>
      </c>
      <c r="I1069" t="s">
        <v>36</v>
      </c>
      <c r="J1069" s="1">
        <v>45627</v>
      </c>
      <c r="K1069" t="b">
        <v>0</v>
      </c>
    </row>
    <row r="1070" spans="1:11" x14ac:dyDescent="0.25">
      <c r="A1070" t="s">
        <v>2071</v>
      </c>
      <c r="B1070" t="s">
        <v>100</v>
      </c>
      <c r="C1070" t="s">
        <v>38</v>
      </c>
      <c r="D1070" t="s">
        <v>163</v>
      </c>
      <c r="E1070" s="2">
        <v>35</v>
      </c>
      <c r="F1070" s="4">
        <v>7</v>
      </c>
      <c r="G1070" s="2">
        <v>245</v>
      </c>
      <c r="H1070" t="s">
        <v>15</v>
      </c>
      <c r="I1070" t="s">
        <v>36</v>
      </c>
      <c r="J1070" s="1">
        <v>45401</v>
      </c>
      <c r="K1070" t="b">
        <v>1</v>
      </c>
    </row>
    <row r="1071" spans="1:11" x14ac:dyDescent="0.25">
      <c r="A1071" t="s">
        <v>5645</v>
      </c>
      <c r="B1071" t="s">
        <v>86</v>
      </c>
      <c r="C1071" t="s">
        <v>31</v>
      </c>
      <c r="D1071" t="s">
        <v>78</v>
      </c>
      <c r="E1071" s="2">
        <v>24.5</v>
      </c>
      <c r="F1071" s="4">
        <v>10</v>
      </c>
      <c r="G1071" s="2">
        <v>245</v>
      </c>
      <c r="H1071" t="s">
        <v>25</v>
      </c>
      <c r="I1071" t="s">
        <v>36</v>
      </c>
      <c r="J1071" s="1">
        <v>44956</v>
      </c>
      <c r="K1071" t="b">
        <v>0</v>
      </c>
    </row>
    <row r="1072" spans="1:11" x14ac:dyDescent="0.25">
      <c r="A1072" t="s">
        <v>486</v>
      </c>
      <c r="B1072" t="s">
        <v>97</v>
      </c>
      <c r="C1072" t="s">
        <v>19</v>
      </c>
      <c r="D1072" t="s">
        <v>487</v>
      </c>
      <c r="E1072" s="2">
        <v>24.5</v>
      </c>
      <c r="F1072" s="4">
        <v>10</v>
      </c>
      <c r="G1072" s="2">
        <v>245</v>
      </c>
      <c r="H1072" t="s">
        <v>25</v>
      </c>
      <c r="I1072" t="s">
        <v>16</v>
      </c>
      <c r="J1072" s="1">
        <v>45656</v>
      </c>
      <c r="K1072" t="b">
        <v>1</v>
      </c>
    </row>
    <row r="1073" spans="1:11" x14ac:dyDescent="0.25">
      <c r="A1073" t="s">
        <v>1002</v>
      </c>
      <c r="B1073" t="s">
        <v>51</v>
      </c>
      <c r="C1073" t="s">
        <v>27</v>
      </c>
      <c r="D1073" t="s">
        <v>170</v>
      </c>
      <c r="E1073" s="2">
        <v>24.5</v>
      </c>
      <c r="F1073" s="4">
        <v>10</v>
      </c>
      <c r="G1073" s="2">
        <v>245</v>
      </c>
      <c r="H1073" t="s">
        <v>45</v>
      </c>
      <c r="I1073" t="s">
        <v>16</v>
      </c>
      <c r="J1073" s="1">
        <v>44592</v>
      </c>
      <c r="K1073" t="b">
        <v>1</v>
      </c>
    </row>
    <row r="1074" spans="1:11" x14ac:dyDescent="0.25">
      <c r="A1074" t="s">
        <v>712</v>
      </c>
      <c r="B1074" t="s">
        <v>34</v>
      </c>
      <c r="C1074" t="s">
        <v>110</v>
      </c>
      <c r="D1074" t="s">
        <v>253</v>
      </c>
      <c r="E1074" s="2">
        <v>24.5</v>
      </c>
      <c r="F1074" s="4">
        <v>10</v>
      </c>
      <c r="G1074" s="2">
        <v>245</v>
      </c>
      <c r="H1074" t="s">
        <v>25</v>
      </c>
      <c r="I1074" t="s">
        <v>36</v>
      </c>
      <c r="J1074" s="1">
        <v>44594</v>
      </c>
      <c r="K1074" t="b">
        <v>1</v>
      </c>
    </row>
    <row r="1075" spans="1:11" x14ac:dyDescent="0.25">
      <c r="A1075" t="s">
        <v>783</v>
      </c>
      <c r="B1075" t="s">
        <v>77</v>
      </c>
      <c r="C1075" t="s">
        <v>110</v>
      </c>
      <c r="D1075" t="s">
        <v>197</v>
      </c>
      <c r="E1075" s="2">
        <v>35</v>
      </c>
      <c r="F1075" s="4">
        <v>7</v>
      </c>
      <c r="G1075" s="2">
        <v>245</v>
      </c>
      <c r="H1075" t="s">
        <v>15</v>
      </c>
      <c r="I1075" t="s">
        <v>36</v>
      </c>
      <c r="J1075" s="1">
        <v>45009</v>
      </c>
      <c r="K1075" t="b">
        <v>1</v>
      </c>
    </row>
    <row r="1076" spans="1:11" x14ac:dyDescent="0.25">
      <c r="A1076" t="s">
        <v>3039</v>
      </c>
      <c r="B1076" t="s">
        <v>56</v>
      </c>
      <c r="C1076" t="s">
        <v>31</v>
      </c>
      <c r="D1076" t="s">
        <v>78</v>
      </c>
      <c r="E1076" s="2">
        <v>24.5</v>
      </c>
      <c r="F1076" s="4">
        <v>10</v>
      </c>
      <c r="G1076" s="2">
        <v>245</v>
      </c>
      <c r="H1076" t="s">
        <v>25</v>
      </c>
      <c r="I1076" t="s">
        <v>16</v>
      </c>
      <c r="J1076" s="1">
        <v>44986</v>
      </c>
      <c r="K1076" t="b">
        <v>0</v>
      </c>
    </row>
    <row r="1077" spans="1:11" x14ac:dyDescent="0.25">
      <c r="A1077" t="s">
        <v>2753</v>
      </c>
      <c r="B1077" t="s">
        <v>86</v>
      </c>
      <c r="C1077" t="s">
        <v>31</v>
      </c>
      <c r="D1077" t="s">
        <v>78</v>
      </c>
      <c r="E1077" s="2">
        <v>24.5</v>
      </c>
      <c r="F1077" s="4">
        <v>10</v>
      </c>
      <c r="G1077" s="2">
        <v>245</v>
      </c>
      <c r="H1077" t="s">
        <v>45</v>
      </c>
      <c r="I1077" t="s">
        <v>16</v>
      </c>
      <c r="J1077" s="1">
        <v>44769</v>
      </c>
      <c r="K1077" t="b">
        <v>0</v>
      </c>
    </row>
    <row r="1078" spans="1:11" x14ac:dyDescent="0.25">
      <c r="A1078" t="s">
        <v>3491</v>
      </c>
      <c r="B1078" t="s">
        <v>51</v>
      </c>
      <c r="C1078" t="s">
        <v>110</v>
      </c>
      <c r="D1078" t="s">
        <v>253</v>
      </c>
      <c r="E1078" s="2">
        <v>24.5</v>
      </c>
      <c r="F1078" s="4">
        <v>10</v>
      </c>
      <c r="G1078" s="2">
        <v>245</v>
      </c>
      <c r="H1078" t="s">
        <v>15</v>
      </c>
      <c r="I1078" t="s">
        <v>36</v>
      </c>
      <c r="J1078" s="1">
        <v>45032</v>
      </c>
      <c r="K1078" t="b">
        <v>0</v>
      </c>
    </row>
    <row r="1079" spans="1:11" x14ac:dyDescent="0.25">
      <c r="A1079" t="s">
        <v>514</v>
      </c>
      <c r="B1079" t="s">
        <v>51</v>
      </c>
      <c r="C1079" t="s">
        <v>27</v>
      </c>
      <c r="D1079" t="s">
        <v>170</v>
      </c>
      <c r="E1079" s="2">
        <v>24.5</v>
      </c>
      <c r="F1079" s="4">
        <v>10</v>
      </c>
      <c r="G1079" s="2">
        <v>245</v>
      </c>
      <c r="H1079" t="s">
        <v>15</v>
      </c>
      <c r="I1079" t="s">
        <v>16</v>
      </c>
      <c r="J1079" s="1">
        <v>45449</v>
      </c>
      <c r="K1079" t="b">
        <v>0</v>
      </c>
    </row>
    <row r="1080" spans="1:11" x14ac:dyDescent="0.25">
      <c r="A1080" t="s">
        <v>138</v>
      </c>
      <c r="B1080" t="s">
        <v>61</v>
      </c>
      <c r="C1080" t="s">
        <v>13</v>
      </c>
      <c r="D1080" t="s">
        <v>139</v>
      </c>
      <c r="E1080" s="2">
        <v>24.5</v>
      </c>
      <c r="F1080" s="4">
        <v>10</v>
      </c>
      <c r="G1080" s="2">
        <v>245</v>
      </c>
      <c r="H1080" t="s">
        <v>25</v>
      </c>
      <c r="I1080" t="s">
        <v>36</v>
      </c>
      <c r="J1080" s="1">
        <v>44601</v>
      </c>
      <c r="K1080" t="b">
        <v>0</v>
      </c>
    </row>
    <row r="1081" spans="1:11" x14ac:dyDescent="0.25">
      <c r="A1081" t="s">
        <v>5396</v>
      </c>
      <c r="B1081" t="s">
        <v>43</v>
      </c>
      <c r="C1081" t="s">
        <v>38</v>
      </c>
      <c r="D1081" t="s">
        <v>163</v>
      </c>
      <c r="E1081" s="2">
        <v>35</v>
      </c>
      <c r="F1081" s="4">
        <v>7</v>
      </c>
      <c r="G1081" s="2">
        <v>245</v>
      </c>
      <c r="H1081" t="s">
        <v>45</v>
      </c>
      <c r="I1081" t="s">
        <v>36</v>
      </c>
      <c r="J1081" s="1">
        <v>45319</v>
      </c>
      <c r="K1081" t="b">
        <v>1</v>
      </c>
    </row>
    <row r="1082" spans="1:11" x14ac:dyDescent="0.25">
      <c r="A1082" t="s">
        <v>1334</v>
      </c>
      <c r="B1082" t="s">
        <v>69</v>
      </c>
      <c r="C1082" t="s">
        <v>31</v>
      </c>
      <c r="D1082" t="s">
        <v>78</v>
      </c>
      <c r="E1082" s="2">
        <v>24.5</v>
      </c>
      <c r="F1082" s="4">
        <v>10</v>
      </c>
      <c r="G1082" s="2">
        <v>245</v>
      </c>
      <c r="H1082" t="s">
        <v>25</v>
      </c>
      <c r="I1082" t="s">
        <v>36</v>
      </c>
      <c r="J1082" s="1">
        <v>45322</v>
      </c>
      <c r="K1082" t="b">
        <v>1</v>
      </c>
    </row>
    <row r="1083" spans="1:11" x14ac:dyDescent="0.25">
      <c r="A1083" t="s">
        <v>1589</v>
      </c>
      <c r="B1083" t="s">
        <v>66</v>
      </c>
      <c r="C1083" t="s">
        <v>110</v>
      </c>
      <c r="D1083" t="s">
        <v>253</v>
      </c>
      <c r="E1083" s="2">
        <v>24.5</v>
      </c>
      <c r="F1083" s="4">
        <v>10</v>
      </c>
      <c r="G1083" s="2">
        <v>245</v>
      </c>
      <c r="H1083" t="s">
        <v>45</v>
      </c>
      <c r="I1083" t="s">
        <v>16</v>
      </c>
      <c r="J1083" s="1">
        <v>44878</v>
      </c>
      <c r="K1083" t="b">
        <v>0</v>
      </c>
    </row>
    <row r="1084" spans="1:11" x14ac:dyDescent="0.25">
      <c r="A1084" t="s">
        <v>1728</v>
      </c>
      <c r="B1084" t="s">
        <v>63</v>
      </c>
      <c r="C1084" t="s">
        <v>13</v>
      </c>
      <c r="D1084" t="s">
        <v>139</v>
      </c>
      <c r="E1084" s="2">
        <v>24.5</v>
      </c>
      <c r="F1084" s="4">
        <v>10</v>
      </c>
      <c r="G1084" s="2">
        <v>245</v>
      </c>
      <c r="H1084" t="s">
        <v>45</v>
      </c>
      <c r="I1084" t="s">
        <v>16</v>
      </c>
      <c r="J1084" s="1">
        <v>45353</v>
      </c>
      <c r="K1084" t="b">
        <v>1</v>
      </c>
    </row>
    <row r="1085" spans="1:11" x14ac:dyDescent="0.25">
      <c r="A1085" t="s">
        <v>1529</v>
      </c>
      <c r="B1085" t="s">
        <v>61</v>
      </c>
      <c r="C1085" t="s">
        <v>110</v>
      </c>
      <c r="D1085" t="s">
        <v>253</v>
      </c>
      <c r="E1085" s="2">
        <v>24.5</v>
      </c>
      <c r="F1085" s="4">
        <v>10</v>
      </c>
      <c r="G1085" s="2">
        <v>245</v>
      </c>
      <c r="H1085" t="s">
        <v>25</v>
      </c>
      <c r="I1085" t="s">
        <v>36</v>
      </c>
      <c r="J1085" s="1">
        <v>45592</v>
      </c>
      <c r="K1085" t="b">
        <v>1</v>
      </c>
    </row>
    <row r="1086" spans="1:11" x14ac:dyDescent="0.25">
      <c r="A1086" t="s">
        <v>3619</v>
      </c>
      <c r="B1086" t="s">
        <v>63</v>
      </c>
      <c r="C1086" t="s">
        <v>31</v>
      </c>
      <c r="D1086" t="s">
        <v>78</v>
      </c>
      <c r="E1086" s="2">
        <v>24.5</v>
      </c>
      <c r="F1086" s="4">
        <v>10</v>
      </c>
      <c r="G1086" s="2">
        <v>245</v>
      </c>
      <c r="H1086" t="s">
        <v>15</v>
      </c>
      <c r="I1086" t="s">
        <v>36</v>
      </c>
      <c r="J1086" s="1">
        <v>45024</v>
      </c>
      <c r="K1086" t="b">
        <v>1</v>
      </c>
    </row>
    <row r="1087" spans="1:11" x14ac:dyDescent="0.25">
      <c r="A1087" t="s">
        <v>5572</v>
      </c>
      <c r="B1087" t="s">
        <v>66</v>
      </c>
      <c r="C1087" t="s">
        <v>23</v>
      </c>
      <c r="D1087" t="s">
        <v>179</v>
      </c>
      <c r="E1087" s="2">
        <v>35</v>
      </c>
      <c r="F1087" s="4">
        <v>7</v>
      </c>
      <c r="G1087" s="2">
        <v>245</v>
      </c>
      <c r="H1087" t="s">
        <v>15</v>
      </c>
      <c r="I1087" t="s">
        <v>16</v>
      </c>
      <c r="J1087" s="1">
        <v>45262</v>
      </c>
      <c r="K1087" t="b">
        <v>0</v>
      </c>
    </row>
    <row r="1088" spans="1:11" x14ac:dyDescent="0.25">
      <c r="A1088" t="s">
        <v>6212</v>
      </c>
      <c r="B1088" t="s">
        <v>18</v>
      </c>
      <c r="C1088" t="s">
        <v>27</v>
      </c>
      <c r="D1088" t="s">
        <v>170</v>
      </c>
      <c r="E1088" s="2">
        <v>24.5</v>
      </c>
      <c r="F1088" s="4">
        <v>10</v>
      </c>
      <c r="G1088" s="2">
        <v>245</v>
      </c>
      <c r="H1088" t="s">
        <v>25</v>
      </c>
      <c r="I1088" t="s">
        <v>16</v>
      </c>
      <c r="J1088" s="1">
        <v>44840</v>
      </c>
      <c r="K1088" t="b">
        <v>0</v>
      </c>
    </row>
    <row r="1089" spans="1:11" x14ac:dyDescent="0.25">
      <c r="A1089" t="s">
        <v>5151</v>
      </c>
      <c r="B1089" t="s">
        <v>26</v>
      </c>
      <c r="C1089" t="s">
        <v>38</v>
      </c>
      <c r="D1089" t="s">
        <v>70</v>
      </c>
      <c r="E1089" s="2">
        <v>24.5</v>
      </c>
      <c r="F1089" s="4">
        <v>10</v>
      </c>
      <c r="G1089" s="2">
        <v>245</v>
      </c>
      <c r="H1089" t="s">
        <v>25</v>
      </c>
      <c r="I1089" t="s">
        <v>36</v>
      </c>
      <c r="J1089" s="1">
        <v>44737</v>
      </c>
      <c r="K1089" t="b">
        <v>1</v>
      </c>
    </row>
    <row r="1090" spans="1:11" x14ac:dyDescent="0.25">
      <c r="A1090" t="s">
        <v>855</v>
      </c>
      <c r="B1090" t="s">
        <v>69</v>
      </c>
      <c r="C1090" t="s">
        <v>19</v>
      </c>
      <c r="D1090" t="s">
        <v>214</v>
      </c>
      <c r="E1090" s="2">
        <v>35</v>
      </c>
      <c r="F1090" s="4">
        <v>7</v>
      </c>
      <c r="G1090" s="2">
        <v>245</v>
      </c>
      <c r="H1090" t="s">
        <v>25</v>
      </c>
      <c r="I1090" t="s">
        <v>16</v>
      </c>
      <c r="J1090" s="1">
        <v>45616</v>
      </c>
      <c r="K1090" t="b">
        <v>1</v>
      </c>
    </row>
    <row r="1091" spans="1:11" x14ac:dyDescent="0.25">
      <c r="A1091" t="s">
        <v>3324</v>
      </c>
      <c r="B1091" t="s">
        <v>69</v>
      </c>
      <c r="C1091" t="s">
        <v>27</v>
      </c>
      <c r="D1091" t="s">
        <v>170</v>
      </c>
      <c r="E1091" s="2">
        <v>24.5</v>
      </c>
      <c r="F1091" s="4">
        <v>10</v>
      </c>
      <c r="G1091" s="2">
        <v>245</v>
      </c>
      <c r="H1091" t="s">
        <v>45</v>
      </c>
      <c r="I1091" t="s">
        <v>36</v>
      </c>
      <c r="J1091" s="1">
        <v>45085</v>
      </c>
      <c r="K1091" t="b">
        <v>0</v>
      </c>
    </row>
    <row r="1092" spans="1:11" x14ac:dyDescent="0.25">
      <c r="A1092" t="s">
        <v>6232</v>
      </c>
      <c r="B1092" t="s">
        <v>51</v>
      </c>
      <c r="C1092" t="s">
        <v>31</v>
      </c>
      <c r="D1092" t="s">
        <v>78</v>
      </c>
      <c r="E1092" s="2">
        <v>24.5</v>
      </c>
      <c r="F1092" s="4">
        <v>10</v>
      </c>
      <c r="G1092" s="2">
        <v>245</v>
      </c>
      <c r="H1092" t="s">
        <v>15</v>
      </c>
      <c r="I1092" t="s">
        <v>36</v>
      </c>
      <c r="J1092" s="1">
        <v>45412</v>
      </c>
      <c r="K1092" t="b">
        <v>0</v>
      </c>
    </row>
    <row r="1093" spans="1:11" x14ac:dyDescent="0.25">
      <c r="A1093" t="s">
        <v>700</v>
      </c>
      <c r="B1093" t="s">
        <v>100</v>
      </c>
      <c r="C1093" t="s">
        <v>31</v>
      </c>
      <c r="D1093" t="s">
        <v>78</v>
      </c>
      <c r="E1093" s="2">
        <v>24.5</v>
      </c>
      <c r="F1093" s="4">
        <v>10</v>
      </c>
      <c r="G1093" s="2">
        <v>245</v>
      </c>
      <c r="H1093" t="s">
        <v>45</v>
      </c>
      <c r="I1093" t="s">
        <v>36</v>
      </c>
      <c r="J1093" s="1">
        <v>45293</v>
      </c>
      <c r="K1093" t="b">
        <v>1</v>
      </c>
    </row>
    <row r="1094" spans="1:11" x14ac:dyDescent="0.25">
      <c r="A1094" t="s">
        <v>1727</v>
      </c>
      <c r="B1094" t="s">
        <v>12</v>
      </c>
      <c r="C1094" t="s">
        <v>27</v>
      </c>
      <c r="D1094" t="s">
        <v>170</v>
      </c>
      <c r="E1094" s="2">
        <v>24.5</v>
      </c>
      <c r="F1094" s="4">
        <v>10</v>
      </c>
      <c r="G1094" s="2">
        <v>245</v>
      </c>
      <c r="H1094" t="s">
        <v>25</v>
      </c>
      <c r="I1094" t="s">
        <v>36</v>
      </c>
      <c r="J1094" s="1">
        <v>45130</v>
      </c>
      <c r="K1094" t="b">
        <v>0</v>
      </c>
    </row>
    <row r="1095" spans="1:11" x14ac:dyDescent="0.25">
      <c r="A1095" t="s">
        <v>4129</v>
      </c>
      <c r="B1095" t="s">
        <v>22</v>
      </c>
      <c r="C1095" t="s">
        <v>31</v>
      </c>
      <c r="D1095" t="s">
        <v>905</v>
      </c>
      <c r="E1095" s="2">
        <v>35</v>
      </c>
      <c r="F1095" s="4">
        <v>7</v>
      </c>
      <c r="G1095" s="2">
        <v>245</v>
      </c>
      <c r="H1095" t="s">
        <v>25</v>
      </c>
      <c r="I1095" t="s">
        <v>36</v>
      </c>
      <c r="J1095" s="1">
        <v>45190</v>
      </c>
      <c r="K1095" t="b">
        <v>1</v>
      </c>
    </row>
    <row r="1096" spans="1:11" x14ac:dyDescent="0.25">
      <c r="A1096" t="s">
        <v>2642</v>
      </c>
      <c r="B1096" t="s">
        <v>37</v>
      </c>
      <c r="C1096" t="s">
        <v>19</v>
      </c>
      <c r="D1096" t="s">
        <v>487</v>
      </c>
      <c r="E1096" s="2">
        <v>24.5</v>
      </c>
      <c r="F1096" s="4">
        <v>10</v>
      </c>
      <c r="G1096" s="2">
        <v>245</v>
      </c>
      <c r="H1096" t="s">
        <v>15</v>
      </c>
      <c r="I1096" t="s">
        <v>36</v>
      </c>
      <c r="J1096" s="1">
        <v>45336</v>
      </c>
      <c r="K1096" t="b">
        <v>1</v>
      </c>
    </row>
    <row r="1097" spans="1:11" x14ac:dyDescent="0.25">
      <c r="A1097" t="s">
        <v>2313</v>
      </c>
      <c r="B1097" t="s">
        <v>97</v>
      </c>
      <c r="C1097" t="s">
        <v>23</v>
      </c>
      <c r="D1097" t="s">
        <v>179</v>
      </c>
      <c r="E1097" s="2">
        <v>35</v>
      </c>
      <c r="F1097" s="4">
        <v>7</v>
      </c>
      <c r="G1097" s="2">
        <v>245</v>
      </c>
      <c r="H1097" t="s">
        <v>45</v>
      </c>
      <c r="I1097" t="s">
        <v>36</v>
      </c>
      <c r="J1097" s="1">
        <v>45509</v>
      </c>
      <c r="K1097" t="b">
        <v>0</v>
      </c>
    </row>
    <row r="1098" spans="1:11" x14ac:dyDescent="0.25">
      <c r="A1098" t="s">
        <v>2636</v>
      </c>
      <c r="B1098" t="s">
        <v>104</v>
      </c>
      <c r="C1098" t="s">
        <v>38</v>
      </c>
      <c r="D1098" t="s">
        <v>70</v>
      </c>
      <c r="E1098" s="2">
        <v>24.5</v>
      </c>
      <c r="F1098" s="4">
        <v>10</v>
      </c>
      <c r="G1098" s="2">
        <v>245</v>
      </c>
      <c r="H1098" t="s">
        <v>45</v>
      </c>
      <c r="I1098" t="s">
        <v>36</v>
      </c>
      <c r="J1098" s="1">
        <v>44655</v>
      </c>
      <c r="K1098" t="b">
        <v>0</v>
      </c>
    </row>
    <row r="1099" spans="1:11" x14ac:dyDescent="0.25">
      <c r="A1099" t="s">
        <v>2506</v>
      </c>
      <c r="B1099" t="s">
        <v>72</v>
      </c>
      <c r="C1099" t="s">
        <v>23</v>
      </c>
      <c r="D1099" t="s">
        <v>179</v>
      </c>
      <c r="E1099" s="2">
        <v>35</v>
      </c>
      <c r="F1099" s="4">
        <v>7</v>
      </c>
      <c r="G1099" s="2">
        <v>245</v>
      </c>
      <c r="H1099" t="s">
        <v>15</v>
      </c>
      <c r="I1099" t="s">
        <v>36</v>
      </c>
      <c r="J1099" s="1">
        <v>45627</v>
      </c>
      <c r="K1099" t="b">
        <v>0</v>
      </c>
    </row>
    <row r="1100" spans="1:11" x14ac:dyDescent="0.25">
      <c r="A1100" t="s">
        <v>3356</v>
      </c>
      <c r="B1100" t="s">
        <v>12</v>
      </c>
      <c r="C1100" t="s">
        <v>38</v>
      </c>
      <c r="D1100" t="s">
        <v>70</v>
      </c>
      <c r="E1100" s="2">
        <v>24.5</v>
      </c>
      <c r="F1100" s="4">
        <v>10</v>
      </c>
      <c r="G1100" s="2">
        <v>245</v>
      </c>
      <c r="H1100" t="s">
        <v>45</v>
      </c>
      <c r="I1100" t="s">
        <v>36</v>
      </c>
      <c r="J1100" s="1">
        <v>44610</v>
      </c>
      <c r="K1100" t="b">
        <v>0</v>
      </c>
    </row>
    <row r="1101" spans="1:11" x14ac:dyDescent="0.25">
      <c r="A1101" t="s">
        <v>1953</v>
      </c>
      <c r="B1101" t="s">
        <v>12</v>
      </c>
      <c r="C1101" t="s">
        <v>27</v>
      </c>
      <c r="D1101" t="s">
        <v>170</v>
      </c>
      <c r="E1101" s="2">
        <v>24.5</v>
      </c>
      <c r="F1101" s="4">
        <v>10</v>
      </c>
      <c r="G1101" s="2">
        <v>245</v>
      </c>
      <c r="H1101" t="s">
        <v>45</v>
      </c>
      <c r="I1101" t="s">
        <v>16</v>
      </c>
      <c r="J1101" s="1">
        <v>44973</v>
      </c>
      <c r="K1101" t="b">
        <v>1</v>
      </c>
    </row>
    <row r="1102" spans="1:11" x14ac:dyDescent="0.25">
      <c r="A1102" t="s">
        <v>4518</v>
      </c>
      <c r="B1102" t="s">
        <v>66</v>
      </c>
      <c r="C1102" t="s">
        <v>59</v>
      </c>
      <c r="D1102" t="s">
        <v>87</v>
      </c>
      <c r="E1102" s="2">
        <v>35</v>
      </c>
      <c r="F1102" s="4">
        <v>7</v>
      </c>
      <c r="G1102" s="2">
        <v>245</v>
      </c>
      <c r="H1102" t="s">
        <v>15</v>
      </c>
      <c r="I1102" t="s">
        <v>36</v>
      </c>
      <c r="J1102" s="1">
        <v>44681</v>
      </c>
      <c r="K1102" t="b">
        <v>1</v>
      </c>
    </row>
    <row r="1103" spans="1:11" x14ac:dyDescent="0.25">
      <c r="A1103" t="s">
        <v>1954</v>
      </c>
      <c r="B1103" t="s">
        <v>22</v>
      </c>
      <c r="C1103" t="s">
        <v>31</v>
      </c>
      <c r="D1103" t="s">
        <v>905</v>
      </c>
      <c r="E1103" s="2">
        <v>35</v>
      </c>
      <c r="F1103" s="4">
        <v>7</v>
      </c>
      <c r="G1103" s="2">
        <v>245</v>
      </c>
      <c r="H1103" t="s">
        <v>45</v>
      </c>
      <c r="I1103" t="s">
        <v>16</v>
      </c>
      <c r="J1103" s="1">
        <v>45473</v>
      </c>
      <c r="K1103" t="b">
        <v>1</v>
      </c>
    </row>
    <row r="1104" spans="1:11" x14ac:dyDescent="0.25">
      <c r="A1104" t="s">
        <v>6492</v>
      </c>
      <c r="B1104" t="s">
        <v>93</v>
      </c>
      <c r="C1104" t="s">
        <v>110</v>
      </c>
      <c r="D1104" t="s">
        <v>253</v>
      </c>
      <c r="E1104" s="2">
        <v>24.5</v>
      </c>
      <c r="F1104" s="4">
        <v>10</v>
      </c>
      <c r="G1104" s="2">
        <v>245</v>
      </c>
      <c r="H1104" t="s">
        <v>45</v>
      </c>
      <c r="I1104" t="s">
        <v>36</v>
      </c>
      <c r="J1104" s="1">
        <v>45017</v>
      </c>
      <c r="K1104" t="b">
        <v>1</v>
      </c>
    </row>
    <row r="1105" spans="1:11" x14ac:dyDescent="0.25">
      <c r="A1105" t="s">
        <v>1295</v>
      </c>
      <c r="B1105" t="s">
        <v>77</v>
      </c>
      <c r="C1105" t="s">
        <v>31</v>
      </c>
      <c r="D1105" t="s">
        <v>905</v>
      </c>
      <c r="E1105" s="2">
        <v>35</v>
      </c>
      <c r="F1105" s="4">
        <v>7</v>
      </c>
      <c r="G1105" s="2">
        <v>245</v>
      </c>
      <c r="H1105" t="s">
        <v>25</v>
      </c>
      <c r="I1105" t="s">
        <v>36</v>
      </c>
      <c r="J1105" s="1">
        <v>44771</v>
      </c>
      <c r="K1105" t="b">
        <v>1</v>
      </c>
    </row>
    <row r="1106" spans="1:11" x14ac:dyDescent="0.25">
      <c r="A1106" t="s">
        <v>5996</v>
      </c>
      <c r="B1106" t="s">
        <v>12</v>
      </c>
      <c r="C1106" t="s">
        <v>38</v>
      </c>
      <c r="D1106" t="s">
        <v>163</v>
      </c>
      <c r="E1106" s="2">
        <v>35</v>
      </c>
      <c r="F1106" s="4">
        <v>7</v>
      </c>
      <c r="G1106" s="2">
        <v>245</v>
      </c>
      <c r="H1106" t="s">
        <v>15</v>
      </c>
      <c r="I1106" t="s">
        <v>16</v>
      </c>
      <c r="J1106" s="1">
        <v>45039</v>
      </c>
      <c r="K1106" t="b">
        <v>1</v>
      </c>
    </row>
    <row r="1107" spans="1:11" x14ac:dyDescent="0.25">
      <c r="A1107" t="s">
        <v>4692</v>
      </c>
      <c r="B1107" t="s">
        <v>142</v>
      </c>
      <c r="C1107" t="s">
        <v>13</v>
      </c>
      <c r="D1107" t="s">
        <v>139</v>
      </c>
      <c r="E1107" s="2">
        <v>24.5</v>
      </c>
      <c r="F1107" s="4">
        <v>10</v>
      </c>
      <c r="G1107" s="2">
        <v>245</v>
      </c>
      <c r="H1107" t="s">
        <v>15</v>
      </c>
      <c r="I1107" t="s">
        <v>36</v>
      </c>
      <c r="J1107" s="1">
        <v>45592</v>
      </c>
      <c r="K1107" t="b">
        <v>1</v>
      </c>
    </row>
    <row r="1108" spans="1:11" x14ac:dyDescent="0.25">
      <c r="A1108" t="s">
        <v>1080</v>
      </c>
      <c r="B1108" t="s">
        <v>63</v>
      </c>
      <c r="C1108" t="s">
        <v>23</v>
      </c>
      <c r="D1108" t="s">
        <v>430</v>
      </c>
      <c r="E1108" s="2">
        <v>24.5</v>
      </c>
      <c r="F1108" s="4">
        <v>10</v>
      </c>
      <c r="G1108" s="2">
        <v>245</v>
      </c>
      <c r="H1108" t="s">
        <v>15</v>
      </c>
      <c r="I1108" t="s">
        <v>36</v>
      </c>
      <c r="J1108" s="1">
        <v>44869</v>
      </c>
      <c r="K1108" t="b">
        <v>0</v>
      </c>
    </row>
    <row r="1109" spans="1:11" x14ac:dyDescent="0.25">
      <c r="A1109" t="s">
        <v>2470</v>
      </c>
      <c r="B1109" t="s">
        <v>43</v>
      </c>
      <c r="C1109" t="s">
        <v>23</v>
      </c>
      <c r="D1109" t="s">
        <v>179</v>
      </c>
      <c r="E1109" s="2">
        <v>35</v>
      </c>
      <c r="F1109" s="4">
        <v>7</v>
      </c>
      <c r="G1109" s="2">
        <v>245</v>
      </c>
      <c r="H1109" t="s">
        <v>25</v>
      </c>
      <c r="I1109" t="s">
        <v>16</v>
      </c>
      <c r="J1109" s="1">
        <v>45410</v>
      </c>
      <c r="K1109" t="b">
        <v>1</v>
      </c>
    </row>
    <row r="1110" spans="1:11" x14ac:dyDescent="0.25">
      <c r="A1110" t="s">
        <v>6858</v>
      </c>
      <c r="B1110" t="s">
        <v>18</v>
      </c>
      <c r="C1110" t="s">
        <v>38</v>
      </c>
      <c r="D1110" t="s">
        <v>70</v>
      </c>
      <c r="E1110" s="2">
        <v>24.5</v>
      </c>
      <c r="F1110" s="4">
        <v>10</v>
      </c>
      <c r="G1110" s="2">
        <v>245</v>
      </c>
      <c r="H1110" t="s">
        <v>45</v>
      </c>
      <c r="I1110" t="s">
        <v>36</v>
      </c>
      <c r="J1110" s="1">
        <v>44907</v>
      </c>
      <c r="K1110" t="b">
        <v>1</v>
      </c>
    </row>
    <row r="1111" spans="1:11" x14ac:dyDescent="0.25">
      <c r="A1111" t="s">
        <v>4460</v>
      </c>
      <c r="B1111" t="s">
        <v>34</v>
      </c>
      <c r="C1111" t="s">
        <v>23</v>
      </c>
      <c r="D1111" t="s">
        <v>223</v>
      </c>
      <c r="E1111" s="2">
        <v>30.5</v>
      </c>
      <c r="F1111" s="4">
        <v>8</v>
      </c>
      <c r="G1111" s="2">
        <v>244</v>
      </c>
      <c r="H1111" t="s">
        <v>45</v>
      </c>
      <c r="I1111" t="s">
        <v>16</v>
      </c>
      <c r="J1111" s="1">
        <v>44898</v>
      </c>
      <c r="K1111" t="b">
        <v>0</v>
      </c>
    </row>
    <row r="1112" spans="1:11" x14ac:dyDescent="0.25">
      <c r="A1112" t="s">
        <v>3903</v>
      </c>
      <c r="B1112" t="s">
        <v>18</v>
      </c>
      <c r="C1112" t="s">
        <v>19</v>
      </c>
      <c r="D1112" t="s">
        <v>474</v>
      </c>
      <c r="E1112" s="2">
        <v>30.5</v>
      </c>
      <c r="F1112" s="4">
        <v>8</v>
      </c>
      <c r="G1112" s="2">
        <v>244</v>
      </c>
      <c r="H1112" t="s">
        <v>15</v>
      </c>
      <c r="I1112" t="s">
        <v>16</v>
      </c>
      <c r="J1112" s="1">
        <v>44700</v>
      </c>
      <c r="K1112" t="b">
        <v>1</v>
      </c>
    </row>
    <row r="1113" spans="1:11" x14ac:dyDescent="0.25">
      <c r="A1113" t="s">
        <v>5782</v>
      </c>
      <c r="B1113" t="s">
        <v>63</v>
      </c>
      <c r="C1113" t="s">
        <v>110</v>
      </c>
      <c r="D1113" t="s">
        <v>256</v>
      </c>
      <c r="E1113" s="2">
        <v>30.5</v>
      </c>
      <c r="F1113" s="4">
        <v>8</v>
      </c>
      <c r="G1113" s="2">
        <v>244</v>
      </c>
      <c r="H1113" t="s">
        <v>45</v>
      </c>
      <c r="I1113" t="s">
        <v>16</v>
      </c>
      <c r="J1113" s="1">
        <v>44885</v>
      </c>
      <c r="K1113" t="b">
        <v>1</v>
      </c>
    </row>
    <row r="1114" spans="1:11" x14ac:dyDescent="0.25">
      <c r="A1114" t="s">
        <v>7019</v>
      </c>
      <c r="B1114" t="s">
        <v>72</v>
      </c>
      <c r="C1114" t="s">
        <v>38</v>
      </c>
      <c r="D1114" t="s">
        <v>780</v>
      </c>
      <c r="E1114" s="2">
        <v>30.5</v>
      </c>
      <c r="F1114" s="4">
        <v>8</v>
      </c>
      <c r="G1114" s="2">
        <v>244</v>
      </c>
      <c r="H1114" t="s">
        <v>45</v>
      </c>
      <c r="I1114" t="s">
        <v>16</v>
      </c>
      <c r="J1114" s="1">
        <v>44696</v>
      </c>
      <c r="K1114" t="b">
        <v>1</v>
      </c>
    </row>
    <row r="1115" spans="1:11" x14ac:dyDescent="0.25">
      <c r="A1115" t="s">
        <v>7802</v>
      </c>
      <c r="B1115" t="s">
        <v>142</v>
      </c>
      <c r="C1115" t="s">
        <v>31</v>
      </c>
      <c r="D1115" t="s">
        <v>144</v>
      </c>
      <c r="E1115" s="2">
        <v>30.5</v>
      </c>
      <c r="F1115" s="4">
        <v>8</v>
      </c>
      <c r="G1115" s="2">
        <v>244</v>
      </c>
      <c r="H1115" t="s">
        <v>25</v>
      </c>
      <c r="I1115" t="s">
        <v>36</v>
      </c>
      <c r="J1115" s="1">
        <v>44611</v>
      </c>
      <c r="K1115" t="b">
        <v>0</v>
      </c>
    </row>
    <row r="1116" spans="1:11" x14ac:dyDescent="0.25">
      <c r="A1116" t="s">
        <v>4261</v>
      </c>
      <c r="B1116" t="s">
        <v>56</v>
      </c>
      <c r="C1116" t="s">
        <v>19</v>
      </c>
      <c r="D1116" t="s">
        <v>474</v>
      </c>
      <c r="E1116" s="2">
        <v>30.5</v>
      </c>
      <c r="F1116" s="4">
        <v>8</v>
      </c>
      <c r="G1116" s="2">
        <v>244</v>
      </c>
      <c r="H1116" t="s">
        <v>15</v>
      </c>
      <c r="I1116" t="s">
        <v>36</v>
      </c>
      <c r="J1116" s="1">
        <v>45251</v>
      </c>
      <c r="K1116" t="b">
        <v>1</v>
      </c>
    </row>
    <row r="1117" spans="1:11" x14ac:dyDescent="0.25">
      <c r="A1117" t="s">
        <v>5636</v>
      </c>
      <c r="B1117" t="s">
        <v>69</v>
      </c>
      <c r="C1117" t="s">
        <v>59</v>
      </c>
      <c r="D1117" t="s">
        <v>676</v>
      </c>
      <c r="E1117" s="2">
        <v>30.5</v>
      </c>
      <c r="F1117" s="4">
        <v>8</v>
      </c>
      <c r="G1117" s="2">
        <v>244</v>
      </c>
      <c r="H1117" t="s">
        <v>25</v>
      </c>
      <c r="I1117" t="s">
        <v>16</v>
      </c>
      <c r="J1117" s="1">
        <v>44893</v>
      </c>
      <c r="K1117" t="b">
        <v>1</v>
      </c>
    </row>
    <row r="1118" spans="1:11" x14ac:dyDescent="0.25">
      <c r="A1118" t="s">
        <v>938</v>
      </c>
      <c r="B1118" t="s">
        <v>142</v>
      </c>
      <c r="C1118" t="s">
        <v>19</v>
      </c>
      <c r="D1118" t="s">
        <v>474</v>
      </c>
      <c r="E1118" s="2">
        <v>30.5</v>
      </c>
      <c r="F1118" s="4">
        <v>8</v>
      </c>
      <c r="G1118" s="2">
        <v>244</v>
      </c>
      <c r="H1118" t="s">
        <v>45</v>
      </c>
      <c r="I1118" t="s">
        <v>36</v>
      </c>
      <c r="J1118" s="1">
        <v>45489</v>
      </c>
      <c r="K1118" t="b">
        <v>0</v>
      </c>
    </row>
    <row r="1119" spans="1:11" x14ac:dyDescent="0.25">
      <c r="A1119" t="s">
        <v>1233</v>
      </c>
      <c r="B1119" t="s">
        <v>93</v>
      </c>
      <c r="C1119" t="s">
        <v>13</v>
      </c>
      <c r="D1119" t="s">
        <v>1016</v>
      </c>
      <c r="E1119" s="2">
        <v>30.5</v>
      </c>
      <c r="F1119" s="4">
        <v>8</v>
      </c>
      <c r="G1119" s="2">
        <v>244</v>
      </c>
      <c r="H1119" t="s">
        <v>45</v>
      </c>
      <c r="I1119" t="s">
        <v>16</v>
      </c>
      <c r="J1119" s="1">
        <v>45592</v>
      </c>
      <c r="K1119" t="b">
        <v>1</v>
      </c>
    </row>
    <row r="1120" spans="1:11" x14ac:dyDescent="0.25">
      <c r="A1120" t="s">
        <v>2215</v>
      </c>
      <c r="B1120" t="s">
        <v>22</v>
      </c>
      <c r="C1120" t="s">
        <v>23</v>
      </c>
      <c r="D1120" t="s">
        <v>223</v>
      </c>
      <c r="E1120" s="2">
        <v>30.5</v>
      </c>
      <c r="F1120" s="4">
        <v>8</v>
      </c>
      <c r="G1120" s="2">
        <v>244</v>
      </c>
      <c r="H1120" t="s">
        <v>25</v>
      </c>
      <c r="I1120" t="s">
        <v>16</v>
      </c>
      <c r="J1120" s="1">
        <v>45492</v>
      </c>
      <c r="K1120" t="b">
        <v>1</v>
      </c>
    </row>
    <row r="1121" spans="1:11" x14ac:dyDescent="0.25">
      <c r="A1121" t="s">
        <v>391</v>
      </c>
      <c r="B1121" t="s">
        <v>97</v>
      </c>
      <c r="C1121" t="s">
        <v>31</v>
      </c>
      <c r="D1121" t="s">
        <v>144</v>
      </c>
      <c r="E1121" s="2">
        <v>30.5</v>
      </c>
      <c r="F1121" s="4">
        <v>8</v>
      </c>
      <c r="G1121" s="2">
        <v>244</v>
      </c>
      <c r="H1121" t="s">
        <v>25</v>
      </c>
      <c r="I1121" t="s">
        <v>36</v>
      </c>
      <c r="J1121" s="1">
        <v>44989</v>
      </c>
      <c r="K1121" t="b">
        <v>1</v>
      </c>
    </row>
    <row r="1122" spans="1:11" x14ac:dyDescent="0.25">
      <c r="A1122" t="s">
        <v>7631</v>
      </c>
      <c r="B1122" t="s">
        <v>34</v>
      </c>
      <c r="C1122" t="s">
        <v>110</v>
      </c>
      <c r="D1122" t="s">
        <v>256</v>
      </c>
      <c r="E1122" s="2">
        <v>30.5</v>
      </c>
      <c r="F1122" s="4">
        <v>8</v>
      </c>
      <c r="G1122" s="2">
        <v>244</v>
      </c>
      <c r="H1122" t="s">
        <v>45</v>
      </c>
      <c r="I1122" t="s">
        <v>16</v>
      </c>
      <c r="J1122" s="1">
        <v>45476</v>
      </c>
      <c r="K1122" t="b">
        <v>0</v>
      </c>
    </row>
    <row r="1123" spans="1:11" x14ac:dyDescent="0.25">
      <c r="A1123" t="s">
        <v>1669</v>
      </c>
      <c r="B1123" t="s">
        <v>63</v>
      </c>
      <c r="C1123" t="s">
        <v>110</v>
      </c>
      <c r="D1123" t="s">
        <v>256</v>
      </c>
      <c r="E1123" s="2">
        <v>30.5</v>
      </c>
      <c r="F1123" s="4">
        <v>8</v>
      </c>
      <c r="G1123" s="2">
        <v>244</v>
      </c>
      <c r="H1123" t="s">
        <v>15</v>
      </c>
      <c r="I1123" t="s">
        <v>16</v>
      </c>
      <c r="J1123" s="1">
        <v>45536</v>
      </c>
      <c r="K1123" t="b">
        <v>0</v>
      </c>
    </row>
    <row r="1124" spans="1:11" x14ac:dyDescent="0.25">
      <c r="A1124" t="s">
        <v>807</v>
      </c>
      <c r="B1124" t="s">
        <v>30</v>
      </c>
      <c r="C1124" t="s">
        <v>38</v>
      </c>
      <c r="D1124" t="s">
        <v>780</v>
      </c>
      <c r="E1124" s="2">
        <v>30.5</v>
      </c>
      <c r="F1124" s="4">
        <v>8</v>
      </c>
      <c r="G1124" s="2">
        <v>244</v>
      </c>
      <c r="H1124" t="s">
        <v>25</v>
      </c>
      <c r="I1124" t="s">
        <v>16</v>
      </c>
      <c r="J1124" s="1">
        <v>44700</v>
      </c>
      <c r="K1124" t="b">
        <v>0</v>
      </c>
    </row>
    <row r="1125" spans="1:11" x14ac:dyDescent="0.25">
      <c r="A1125" t="s">
        <v>2724</v>
      </c>
      <c r="B1125" t="s">
        <v>86</v>
      </c>
      <c r="C1125" t="s">
        <v>27</v>
      </c>
      <c r="D1125" t="s">
        <v>524</v>
      </c>
      <c r="E1125" s="2">
        <v>30.5</v>
      </c>
      <c r="F1125" s="4">
        <v>8</v>
      </c>
      <c r="G1125" s="2">
        <v>244</v>
      </c>
      <c r="H1125" t="s">
        <v>25</v>
      </c>
      <c r="I1125" t="s">
        <v>36</v>
      </c>
      <c r="J1125" s="1">
        <v>45379</v>
      </c>
      <c r="K1125" t="b">
        <v>1</v>
      </c>
    </row>
    <row r="1126" spans="1:11" x14ac:dyDescent="0.25">
      <c r="A1126" t="s">
        <v>5726</v>
      </c>
      <c r="B1126" t="s">
        <v>66</v>
      </c>
      <c r="C1126" t="s">
        <v>38</v>
      </c>
      <c r="D1126" t="s">
        <v>780</v>
      </c>
      <c r="E1126" s="2">
        <v>30.5</v>
      </c>
      <c r="F1126" s="4">
        <v>8</v>
      </c>
      <c r="G1126" s="2">
        <v>244</v>
      </c>
      <c r="H1126" t="s">
        <v>25</v>
      </c>
      <c r="I1126" t="s">
        <v>16</v>
      </c>
      <c r="J1126" s="1">
        <v>45172</v>
      </c>
      <c r="K1126" t="b">
        <v>1</v>
      </c>
    </row>
    <row r="1127" spans="1:11" x14ac:dyDescent="0.25">
      <c r="A1127" t="s">
        <v>5698</v>
      </c>
      <c r="B1127" t="s">
        <v>34</v>
      </c>
      <c r="C1127" t="s">
        <v>27</v>
      </c>
      <c r="D1127" t="s">
        <v>524</v>
      </c>
      <c r="E1127" s="2">
        <v>30.5</v>
      </c>
      <c r="F1127" s="4">
        <v>8</v>
      </c>
      <c r="G1127" s="2">
        <v>244</v>
      </c>
      <c r="H1127" t="s">
        <v>45</v>
      </c>
      <c r="I1127" t="s">
        <v>16</v>
      </c>
      <c r="J1127" s="1">
        <v>45494</v>
      </c>
      <c r="K1127" t="b">
        <v>1</v>
      </c>
    </row>
    <row r="1128" spans="1:11" x14ac:dyDescent="0.25">
      <c r="A1128" t="s">
        <v>4324</v>
      </c>
      <c r="B1128" t="s">
        <v>97</v>
      </c>
      <c r="C1128" t="s">
        <v>27</v>
      </c>
      <c r="D1128" t="s">
        <v>524</v>
      </c>
      <c r="E1128" s="2">
        <v>30.5</v>
      </c>
      <c r="F1128" s="4">
        <v>8</v>
      </c>
      <c r="G1128" s="2">
        <v>244</v>
      </c>
      <c r="H1128" t="s">
        <v>45</v>
      </c>
      <c r="I1128" t="s">
        <v>36</v>
      </c>
      <c r="J1128" s="1">
        <v>45449</v>
      </c>
      <c r="K1128" t="b">
        <v>0</v>
      </c>
    </row>
    <row r="1129" spans="1:11" x14ac:dyDescent="0.25">
      <c r="A1129" t="s">
        <v>2303</v>
      </c>
      <c r="B1129" t="s">
        <v>30</v>
      </c>
      <c r="C1129" t="s">
        <v>31</v>
      </c>
      <c r="D1129" t="s">
        <v>144</v>
      </c>
      <c r="E1129" s="2">
        <v>30.5</v>
      </c>
      <c r="F1129" s="4">
        <v>8</v>
      </c>
      <c r="G1129" s="2">
        <v>244</v>
      </c>
      <c r="H1129" t="s">
        <v>25</v>
      </c>
      <c r="I1129" t="s">
        <v>16</v>
      </c>
      <c r="J1129" s="1">
        <v>45417</v>
      </c>
      <c r="K1129" t="b">
        <v>1</v>
      </c>
    </row>
    <row r="1130" spans="1:11" x14ac:dyDescent="0.25">
      <c r="A1130" t="s">
        <v>3598</v>
      </c>
      <c r="B1130" t="s">
        <v>86</v>
      </c>
      <c r="C1130" t="s">
        <v>13</v>
      </c>
      <c r="D1130" t="s">
        <v>1016</v>
      </c>
      <c r="E1130" s="2">
        <v>30.5</v>
      </c>
      <c r="F1130" s="4">
        <v>8</v>
      </c>
      <c r="G1130" s="2">
        <v>244</v>
      </c>
      <c r="H1130" t="s">
        <v>25</v>
      </c>
      <c r="I1130" t="s">
        <v>16</v>
      </c>
      <c r="J1130" s="1">
        <v>44807</v>
      </c>
      <c r="K1130" t="b">
        <v>1</v>
      </c>
    </row>
    <row r="1131" spans="1:11" x14ac:dyDescent="0.25">
      <c r="A1131" t="s">
        <v>1015</v>
      </c>
      <c r="B1131" t="s">
        <v>72</v>
      </c>
      <c r="C1131" t="s">
        <v>13</v>
      </c>
      <c r="D1131" t="s">
        <v>1016</v>
      </c>
      <c r="E1131" s="2">
        <v>30.5</v>
      </c>
      <c r="F1131" s="4">
        <v>8</v>
      </c>
      <c r="G1131" s="2">
        <v>244</v>
      </c>
      <c r="H1131" t="s">
        <v>25</v>
      </c>
      <c r="I1131" t="s">
        <v>36</v>
      </c>
      <c r="J1131" s="1">
        <v>45432</v>
      </c>
      <c r="K1131" t="b">
        <v>0</v>
      </c>
    </row>
    <row r="1132" spans="1:11" x14ac:dyDescent="0.25">
      <c r="A1132" t="s">
        <v>7457</v>
      </c>
      <c r="B1132" t="s">
        <v>85</v>
      </c>
      <c r="C1132" t="s">
        <v>27</v>
      </c>
      <c r="D1132" t="s">
        <v>524</v>
      </c>
      <c r="E1132" s="2">
        <v>30.5</v>
      </c>
      <c r="F1132" s="4">
        <v>8</v>
      </c>
      <c r="G1132" s="2">
        <v>244</v>
      </c>
      <c r="H1132" t="s">
        <v>45</v>
      </c>
      <c r="I1132" t="s">
        <v>36</v>
      </c>
      <c r="J1132" s="1">
        <v>45492</v>
      </c>
      <c r="K1132" t="b">
        <v>1</v>
      </c>
    </row>
    <row r="1133" spans="1:11" x14ac:dyDescent="0.25">
      <c r="A1133" t="s">
        <v>5305</v>
      </c>
      <c r="B1133" t="s">
        <v>56</v>
      </c>
      <c r="C1133" t="s">
        <v>31</v>
      </c>
      <c r="D1133" t="s">
        <v>144</v>
      </c>
      <c r="E1133" s="2">
        <v>30.5</v>
      </c>
      <c r="F1133" s="4">
        <v>8</v>
      </c>
      <c r="G1133" s="2">
        <v>244</v>
      </c>
      <c r="H1133" t="s">
        <v>45</v>
      </c>
      <c r="I1133" t="s">
        <v>16</v>
      </c>
      <c r="J1133" s="1">
        <v>44770</v>
      </c>
      <c r="K1133" t="b">
        <v>1</v>
      </c>
    </row>
    <row r="1134" spans="1:11" x14ac:dyDescent="0.25">
      <c r="A1134" t="s">
        <v>5325</v>
      </c>
      <c r="B1134" t="s">
        <v>72</v>
      </c>
      <c r="C1134" t="s">
        <v>23</v>
      </c>
      <c r="D1134" t="s">
        <v>223</v>
      </c>
      <c r="E1134" s="2">
        <v>30.5</v>
      </c>
      <c r="F1134" s="4">
        <v>8</v>
      </c>
      <c r="G1134" s="2">
        <v>244</v>
      </c>
      <c r="H1134" t="s">
        <v>45</v>
      </c>
      <c r="I1134" t="s">
        <v>36</v>
      </c>
      <c r="J1134" s="1">
        <v>45639</v>
      </c>
      <c r="K1134" t="b">
        <v>0</v>
      </c>
    </row>
    <row r="1135" spans="1:11" x14ac:dyDescent="0.25">
      <c r="A1135" t="s">
        <v>746</v>
      </c>
      <c r="B1135" t="s">
        <v>69</v>
      </c>
      <c r="C1135" t="s">
        <v>23</v>
      </c>
      <c r="D1135" t="s">
        <v>223</v>
      </c>
      <c r="E1135" s="2">
        <v>30.5</v>
      </c>
      <c r="F1135" s="4">
        <v>8</v>
      </c>
      <c r="G1135" s="2">
        <v>244</v>
      </c>
      <c r="H1135" t="s">
        <v>15</v>
      </c>
      <c r="I1135" t="s">
        <v>16</v>
      </c>
      <c r="J1135" s="1">
        <v>45024</v>
      </c>
      <c r="K1135" t="b">
        <v>0</v>
      </c>
    </row>
    <row r="1136" spans="1:11" x14ac:dyDescent="0.25">
      <c r="A1136" t="s">
        <v>7009</v>
      </c>
      <c r="B1136" t="s">
        <v>100</v>
      </c>
      <c r="C1136" t="s">
        <v>23</v>
      </c>
      <c r="D1136" t="s">
        <v>223</v>
      </c>
      <c r="E1136" s="2">
        <v>30.5</v>
      </c>
      <c r="F1136" s="4">
        <v>8</v>
      </c>
      <c r="G1136" s="2">
        <v>244</v>
      </c>
      <c r="H1136" t="s">
        <v>45</v>
      </c>
      <c r="I1136" t="s">
        <v>16</v>
      </c>
      <c r="J1136" s="1">
        <v>45573</v>
      </c>
      <c r="K1136" t="b">
        <v>0</v>
      </c>
    </row>
    <row r="1137" spans="1:11" x14ac:dyDescent="0.25">
      <c r="A1137" t="s">
        <v>7010</v>
      </c>
      <c r="B1137" t="s">
        <v>61</v>
      </c>
      <c r="C1137" t="s">
        <v>19</v>
      </c>
      <c r="D1137" t="s">
        <v>220</v>
      </c>
      <c r="E1137" s="2">
        <v>39.5</v>
      </c>
      <c r="F1137" s="4">
        <v>6</v>
      </c>
      <c r="G1137" s="2">
        <v>237</v>
      </c>
      <c r="H1137" t="s">
        <v>25</v>
      </c>
      <c r="I1137" t="s">
        <v>36</v>
      </c>
      <c r="J1137" s="1">
        <v>45307</v>
      </c>
      <c r="K1137" t="b">
        <v>1</v>
      </c>
    </row>
    <row r="1138" spans="1:11" x14ac:dyDescent="0.25">
      <c r="A1138" t="s">
        <v>942</v>
      </c>
      <c r="B1138" t="s">
        <v>26</v>
      </c>
      <c r="C1138" t="s">
        <v>110</v>
      </c>
      <c r="D1138" t="s">
        <v>130</v>
      </c>
      <c r="E1138" s="2">
        <v>39.5</v>
      </c>
      <c r="F1138" s="4">
        <v>6</v>
      </c>
      <c r="G1138" s="2">
        <v>237</v>
      </c>
      <c r="H1138" t="s">
        <v>25</v>
      </c>
      <c r="I1138" t="s">
        <v>36</v>
      </c>
      <c r="J1138" s="1">
        <v>45610</v>
      </c>
      <c r="K1138" t="b">
        <v>1</v>
      </c>
    </row>
    <row r="1139" spans="1:11" x14ac:dyDescent="0.25">
      <c r="A1139" t="s">
        <v>1134</v>
      </c>
      <c r="B1139" t="s">
        <v>26</v>
      </c>
      <c r="C1139" t="s">
        <v>31</v>
      </c>
      <c r="D1139" t="s">
        <v>212</v>
      </c>
      <c r="E1139" s="2">
        <v>39.5</v>
      </c>
      <c r="F1139" s="4">
        <v>6</v>
      </c>
      <c r="G1139" s="2">
        <v>237</v>
      </c>
      <c r="H1139" t="s">
        <v>45</v>
      </c>
      <c r="I1139" t="s">
        <v>16</v>
      </c>
      <c r="J1139" s="1">
        <v>45553</v>
      </c>
      <c r="K1139" t="b">
        <v>1</v>
      </c>
    </row>
    <row r="1140" spans="1:11" x14ac:dyDescent="0.25">
      <c r="A1140" t="s">
        <v>7137</v>
      </c>
      <c r="B1140" t="s">
        <v>77</v>
      </c>
      <c r="C1140" t="s">
        <v>31</v>
      </c>
      <c r="D1140" t="s">
        <v>212</v>
      </c>
      <c r="E1140" s="2">
        <v>39.5</v>
      </c>
      <c r="F1140" s="4">
        <v>6</v>
      </c>
      <c r="G1140" s="2">
        <v>237</v>
      </c>
      <c r="H1140" t="s">
        <v>15</v>
      </c>
      <c r="I1140" t="s">
        <v>36</v>
      </c>
      <c r="J1140" s="1">
        <v>45221</v>
      </c>
      <c r="K1140" t="b">
        <v>1</v>
      </c>
    </row>
    <row r="1141" spans="1:11" x14ac:dyDescent="0.25">
      <c r="A1141" t="s">
        <v>4742</v>
      </c>
      <c r="B1141" t="s">
        <v>18</v>
      </c>
      <c r="C1141" t="s">
        <v>27</v>
      </c>
      <c r="D1141" t="s">
        <v>482</v>
      </c>
      <c r="E1141" s="2">
        <v>39.5</v>
      </c>
      <c r="F1141" s="4">
        <v>6</v>
      </c>
      <c r="G1141" s="2">
        <v>237</v>
      </c>
      <c r="H1141" t="s">
        <v>45</v>
      </c>
      <c r="I1141" t="s">
        <v>36</v>
      </c>
      <c r="J1141" s="1">
        <v>45362</v>
      </c>
      <c r="K1141" t="b">
        <v>1</v>
      </c>
    </row>
    <row r="1142" spans="1:11" x14ac:dyDescent="0.25">
      <c r="A1142" t="s">
        <v>1218</v>
      </c>
      <c r="B1142" t="s">
        <v>63</v>
      </c>
      <c r="C1142" t="s">
        <v>13</v>
      </c>
      <c r="D1142" t="s">
        <v>52</v>
      </c>
      <c r="E1142" s="2">
        <v>39.5</v>
      </c>
      <c r="F1142" s="4">
        <v>6</v>
      </c>
      <c r="G1142" s="2">
        <v>237</v>
      </c>
      <c r="H1142" t="s">
        <v>45</v>
      </c>
      <c r="I1142" t="s">
        <v>16</v>
      </c>
      <c r="J1142" s="1">
        <v>45096</v>
      </c>
      <c r="K1142" t="b">
        <v>1</v>
      </c>
    </row>
    <row r="1143" spans="1:11" x14ac:dyDescent="0.25">
      <c r="A1143" t="s">
        <v>5329</v>
      </c>
      <c r="B1143" t="s">
        <v>30</v>
      </c>
      <c r="C1143" t="s">
        <v>59</v>
      </c>
      <c r="D1143" t="s">
        <v>536</v>
      </c>
      <c r="E1143" s="2">
        <v>39.5</v>
      </c>
      <c r="F1143" s="4">
        <v>6</v>
      </c>
      <c r="G1143" s="2">
        <v>237</v>
      </c>
      <c r="H1143" t="s">
        <v>15</v>
      </c>
      <c r="I1143" t="s">
        <v>16</v>
      </c>
      <c r="J1143" s="1">
        <v>45050</v>
      </c>
      <c r="K1143" t="b">
        <v>0</v>
      </c>
    </row>
    <row r="1144" spans="1:11" x14ac:dyDescent="0.25">
      <c r="A1144" t="s">
        <v>1959</v>
      </c>
      <c r="B1144" t="s">
        <v>86</v>
      </c>
      <c r="C1144" t="s">
        <v>38</v>
      </c>
      <c r="D1144" t="s">
        <v>165</v>
      </c>
      <c r="E1144" s="2">
        <v>39.5</v>
      </c>
      <c r="F1144" s="4">
        <v>6</v>
      </c>
      <c r="G1144" s="2">
        <v>237</v>
      </c>
      <c r="H1144" t="s">
        <v>25</v>
      </c>
      <c r="I1144" t="s">
        <v>16</v>
      </c>
      <c r="J1144" s="1">
        <v>45396</v>
      </c>
      <c r="K1144" t="b">
        <v>0</v>
      </c>
    </row>
    <row r="1145" spans="1:11" x14ac:dyDescent="0.25">
      <c r="A1145" t="s">
        <v>3188</v>
      </c>
      <c r="B1145" t="s">
        <v>12</v>
      </c>
      <c r="C1145" t="s">
        <v>38</v>
      </c>
      <c r="D1145" t="s">
        <v>165</v>
      </c>
      <c r="E1145" s="2">
        <v>39.5</v>
      </c>
      <c r="F1145" s="4">
        <v>6</v>
      </c>
      <c r="G1145" s="2">
        <v>237</v>
      </c>
      <c r="H1145" t="s">
        <v>15</v>
      </c>
      <c r="I1145" t="s">
        <v>16</v>
      </c>
      <c r="J1145" s="1">
        <v>45077</v>
      </c>
      <c r="K1145" t="b">
        <v>1</v>
      </c>
    </row>
    <row r="1146" spans="1:11" x14ac:dyDescent="0.25">
      <c r="A1146" t="s">
        <v>481</v>
      </c>
      <c r="B1146" t="s">
        <v>66</v>
      </c>
      <c r="C1146" t="s">
        <v>27</v>
      </c>
      <c r="D1146" t="s">
        <v>482</v>
      </c>
      <c r="E1146" s="2">
        <v>39.5</v>
      </c>
      <c r="F1146" s="4">
        <v>6</v>
      </c>
      <c r="G1146" s="2">
        <v>237</v>
      </c>
      <c r="H1146" t="s">
        <v>25</v>
      </c>
      <c r="I1146" t="s">
        <v>16</v>
      </c>
      <c r="J1146" s="1">
        <v>44735</v>
      </c>
      <c r="K1146" t="b">
        <v>0</v>
      </c>
    </row>
    <row r="1147" spans="1:11" x14ac:dyDescent="0.25">
      <c r="A1147" t="s">
        <v>4430</v>
      </c>
      <c r="B1147" t="s">
        <v>26</v>
      </c>
      <c r="C1147" t="s">
        <v>19</v>
      </c>
      <c r="D1147" t="s">
        <v>220</v>
      </c>
      <c r="E1147" s="2">
        <v>39.5</v>
      </c>
      <c r="F1147" s="4">
        <v>6</v>
      </c>
      <c r="G1147" s="2">
        <v>237</v>
      </c>
      <c r="H1147" t="s">
        <v>15</v>
      </c>
      <c r="I1147" t="s">
        <v>16</v>
      </c>
      <c r="J1147" s="1">
        <v>45068</v>
      </c>
      <c r="K1147" t="b">
        <v>0</v>
      </c>
    </row>
    <row r="1148" spans="1:11" x14ac:dyDescent="0.25">
      <c r="A1148" t="s">
        <v>50</v>
      </c>
      <c r="B1148" t="s">
        <v>51</v>
      </c>
      <c r="C1148" t="s">
        <v>13</v>
      </c>
      <c r="D1148" t="s">
        <v>52</v>
      </c>
      <c r="E1148" s="2">
        <v>39.5</v>
      </c>
      <c r="F1148" s="4">
        <v>6</v>
      </c>
      <c r="G1148" s="2">
        <v>237</v>
      </c>
      <c r="H1148" t="s">
        <v>15</v>
      </c>
      <c r="I1148" t="s">
        <v>36</v>
      </c>
      <c r="J1148" s="1">
        <v>44701</v>
      </c>
      <c r="K1148" t="b">
        <v>0</v>
      </c>
    </row>
    <row r="1149" spans="1:11" x14ac:dyDescent="0.25">
      <c r="A1149" t="s">
        <v>1624</v>
      </c>
      <c r="B1149" t="s">
        <v>22</v>
      </c>
      <c r="C1149" t="s">
        <v>23</v>
      </c>
      <c r="D1149" t="s">
        <v>103</v>
      </c>
      <c r="E1149" s="2">
        <v>39.5</v>
      </c>
      <c r="F1149" s="4">
        <v>6</v>
      </c>
      <c r="G1149" s="2">
        <v>237</v>
      </c>
      <c r="H1149" t="s">
        <v>15</v>
      </c>
      <c r="I1149" t="s">
        <v>16</v>
      </c>
      <c r="J1149" s="1">
        <v>44743</v>
      </c>
      <c r="K1149" t="b">
        <v>0</v>
      </c>
    </row>
    <row r="1150" spans="1:11" x14ac:dyDescent="0.25">
      <c r="A1150" t="s">
        <v>3633</v>
      </c>
      <c r="B1150" t="s">
        <v>37</v>
      </c>
      <c r="C1150" t="s">
        <v>38</v>
      </c>
      <c r="D1150" t="s">
        <v>165</v>
      </c>
      <c r="E1150" s="2">
        <v>39.5</v>
      </c>
      <c r="F1150" s="4">
        <v>6</v>
      </c>
      <c r="G1150" s="2">
        <v>237</v>
      </c>
      <c r="H1150" t="s">
        <v>45</v>
      </c>
      <c r="I1150" t="s">
        <v>16</v>
      </c>
      <c r="J1150" s="1">
        <v>45440</v>
      </c>
      <c r="K1150" t="b">
        <v>1</v>
      </c>
    </row>
    <row r="1151" spans="1:11" x14ac:dyDescent="0.25">
      <c r="A1151" t="s">
        <v>3979</v>
      </c>
      <c r="B1151" t="s">
        <v>40</v>
      </c>
      <c r="C1151" t="s">
        <v>23</v>
      </c>
      <c r="D1151" t="s">
        <v>103</v>
      </c>
      <c r="E1151" s="2">
        <v>39.5</v>
      </c>
      <c r="F1151" s="4">
        <v>6</v>
      </c>
      <c r="G1151" s="2">
        <v>237</v>
      </c>
      <c r="H1151" t="s">
        <v>45</v>
      </c>
      <c r="I1151" t="s">
        <v>16</v>
      </c>
      <c r="J1151" s="1">
        <v>45010</v>
      </c>
      <c r="K1151" t="b">
        <v>0</v>
      </c>
    </row>
    <row r="1152" spans="1:11" x14ac:dyDescent="0.25">
      <c r="A1152" t="s">
        <v>7190</v>
      </c>
      <c r="B1152" t="s">
        <v>142</v>
      </c>
      <c r="C1152" t="s">
        <v>27</v>
      </c>
      <c r="D1152" t="s">
        <v>482</v>
      </c>
      <c r="E1152" s="2">
        <v>39.5</v>
      </c>
      <c r="F1152" s="4">
        <v>6</v>
      </c>
      <c r="G1152" s="2">
        <v>237</v>
      </c>
      <c r="H1152" t="s">
        <v>45</v>
      </c>
      <c r="I1152" t="s">
        <v>16</v>
      </c>
      <c r="J1152" s="1">
        <v>45205</v>
      </c>
      <c r="K1152" t="b">
        <v>0</v>
      </c>
    </row>
    <row r="1153" spans="1:11" x14ac:dyDescent="0.25">
      <c r="A1153" t="s">
        <v>1628</v>
      </c>
      <c r="B1153" t="s">
        <v>104</v>
      </c>
      <c r="C1153" t="s">
        <v>13</v>
      </c>
      <c r="D1153" t="s">
        <v>52</v>
      </c>
      <c r="E1153" s="2">
        <v>39.5</v>
      </c>
      <c r="F1153" s="4">
        <v>6</v>
      </c>
      <c r="G1153" s="2">
        <v>237</v>
      </c>
      <c r="H1153" t="s">
        <v>15</v>
      </c>
      <c r="I1153" t="s">
        <v>16</v>
      </c>
      <c r="J1153" s="1">
        <v>44726</v>
      </c>
      <c r="K1153" t="b">
        <v>0</v>
      </c>
    </row>
    <row r="1154" spans="1:11" x14ac:dyDescent="0.25">
      <c r="A1154" t="s">
        <v>1303</v>
      </c>
      <c r="B1154" t="s">
        <v>51</v>
      </c>
      <c r="C1154" t="s">
        <v>31</v>
      </c>
      <c r="D1154" t="s">
        <v>212</v>
      </c>
      <c r="E1154" s="2">
        <v>39.5</v>
      </c>
      <c r="F1154" s="4">
        <v>6</v>
      </c>
      <c r="G1154" s="2">
        <v>237</v>
      </c>
      <c r="H1154" t="s">
        <v>45</v>
      </c>
      <c r="I1154" t="s">
        <v>16</v>
      </c>
      <c r="J1154" s="1">
        <v>44785</v>
      </c>
      <c r="K1154" t="b">
        <v>0</v>
      </c>
    </row>
    <row r="1155" spans="1:11" x14ac:dyDescent="0.25">
      <c r="A1155" t="s">
        <v>671</v>
      </c>
      <c r="B1155" t="s">
        <v>30</v>
      </c>
      <c r="C1155" t="s">
        <v>27</v>
      </c>
      <c r="D1155" t="s">
        <v>482</v>
      </c>
      <c r="E1155" s="2">
        <v>39.5</v>
      </c>
      <c r="F1155" s="4">
        <v>6</v>
      </c>
      <c r="G1155" s="2">
        <v>237</v>
      </c>
      <c r="H1155" t="s">
        <v>25</v>
      </c>
      <c r="I1155" t="s">
        <v>36</v>
      </c>
      <c r="J1155" s="1">
        <v>44929</v>
      </c>
      <c r="K1155" t="b">
        <v>1</v>
      </c>
    </row>
    <row r="1156" spans="1:11" x14ac:dyDescent="0.25">
      <c r="A1156" t="s">
        <v>5618</v>
      </c>
      <c r="B1156" t="s">
        <v>63</v>
      </c>
      <c r="C1156" t="s">
        <v>31</v>
      </c>
      <c r="D1156" t="s">
        <v>212</v>
      </c>
      <c r="E1156" s="2">
        <v>39.5</v>
      </c>
      <c r="F1156" s="4">
        <v>6</v>
      </c>
      <c r="G1156" s="2">
        <v>237</v>
      </c>
      <c r="H1156" t="s">
        <v>25</v>
      </c>
      <c r="I1156" t="s">
        <v>16</v>
      </c>
      <c r="J1156" s="1">
        <v>45227</v>
      </c>
      <c r="K1156" t="b">
        <v>0</v>
      </c>
    </row>
    <row r="1157" spans="1:11" x14ac:dyDescent="0.25">
      <c r="A1157" t="s">
        <v>2266</v>
      </c>
      <c r="B1157" t="s">
        <v>56</v>
      </c>
      <c r="C1157" t="s">
        <v>23</v>
      </c>
      <c r="D1157" t="s">
        <v>103</v>
      </c>
      <c r="E1157" s="2">
        <v>39.5</v>
      </c>
      <c r="F1157" s="4">
        <v>6</v>
      </c>
      <c r="G1157" s="2">
        <v>237</v>
      </c>
      <c r="H1157" t="s">
        <v>25</v>
      </c>
      <c r="I1157" t="s">
        <v>16</v>
      </c>
      <c r="J1157" s="1">
        <v>45366</v>
      </c>
      <c r="K1157" t="b">
        <v>0</v>
      </c>
    </row>
    <row r="1158" spans="1:11" x14ac:dyDescent="0.25">
      <c r="A1158" t="s">
        <v>2124</v>
      </c>
      <c r="B1158" t="s">
        <v>86</v>
      </c>
      <c r="C1158" t="s">
        <v>19</v>
      </c>
      <c r="D1158" t="s">
        <v>220</v>
      </c>
      <c r="E1158" s="2">
        <v>39.5</v>
      </c>
      <c r="F1158" s="4">
        <v>6</v>
      </c>
      <c r="G1158" s="2">
        <v>237</v>
      </c>
      <c r="H1158" t="s">
        <v>45</v>
      </c>
      <c r="I1158" t="s">
        <v>36</v>
      </c>
      <c r="J1158" s="1">
        <v>45603</v>
      </c>
      <c r="K1158" t="b">
        <v>1</v>
      </c>
    </row>
    <row r="1159" spans="1:11" x14ac:dyDescent="0.25">
      <c r="A1159" t="s">
        <v>3729</v>
      </c>
      <c r="B1159" t="s">
        <v>93</v>
      </c>
      <c r="C1159" t="s">
        <v>27</v>
      </c>
      <c r="D1159" t="s">
        <v>482</v>
      </c>
      <c r="E1159" s="2">
        <v>39.5</v>
      </c>
      <c r="F1159" s="4">
        <v>6</v>
      </c>
      <c r="G1159" s="2">
        <v>237</v>
      </c>
      <c r="H1159" t="s">
        <v>15</v>
      </c>
      <c r="I1159" t="s">
        <v>36</v>
      </c>
      <c r="J1159" s="1">
        <v>45539</v>
      </c>
      <c r="K1159" t="b">
        <v>1</v>
      </c>
    </row>
    <row r="1160" spans="1:11" x14ac:dyDescent="0.25">
      <c r="A1160" t="s">
        <v>3136</v>
      </c>
      <c r="B1160" t="s">
        <v>104</v>
      </c>
      <c r="C1160" t="s">
        <v>19</v>
      </c>
      <c r="D1160" t="s">
        <v>220</v>
      </c>
      <c r="E1160" s="2">
        <v>39.5</v>
      </c>
      <c r="F1160" s="4">
        <v>6</v>
      </c>
      <c r="G1160" s="2">
        <v>237</v>
      </c>
      <c r="H1160" t="s">
        <v>15</v>
      </c>
      <c r="I1160" t="s">
        <v>16</v>
      </c>
      <c r="J1160" s="1">
        <v>45633</v>
      </c>
      <c r="K1160" t="b">
        <v>0</v>
      </c>
    </row>
    <row r="1161" spans="1:11" x14ac:dyDescent="0.25">
      <c r="A1161" t="s">
        <v>3087</v>
      </c>
      <c r="B1161" t="s">
        <v>85</v>
      </c>
      <c r="C1161" t="s">
        <v>23</v>
      </c>
      <c r="D1161" t="s">
        <v>103</v>
      </c>
      <c r="E1161" s="2">
        <v>39.5</v>
      </c>
      <c r="F1161" s="4">
        <v>6</v>
      </c>
      <c r="G1161" s="2">
        <v>237</v>
      </c>
      <c r="H1161" t="s">
        <v>45</v>
      </c>
      <c r="I1161" t="s">
        <v>16</v>
      </c>
      <c r="J1161" s="1">
        <v>45067</v>
      </c>
      <c r="K1161" t="b">
        <v>0</v>
      </c>
    </row>
    <row r="1162" spans="1:11" x14ac:dyDescent="0.25">
      <c r="A1162" t="s">
        <v>395</v>
      </c>
      <c r="B1162" t="s">
        <v>26</v>
      </c>
      <c r="C1162" t="s">
        <v>38</v>
      </c>
      <c r="D1162" t="s">
        <v>165</v>
      </c>
      <c r="E1162" s="2">
        <v>39.5</v>
      </c>
      <c r="F1162" s="4">
        <v>6</v>
      </c>
      <c r="G1162" s="2">
        <v>237</v>
      </c>
      <c r="H1162" t="s">
        <v>25</v>
      </c>
      <c r="I1162" t="s">
        <v>36</v>
      </c>
      <c r="J1162" s="1">
        <v>44583</v>
      </c>
      <c r="K1162" t="b">
        <v>1</v>
      </c>
    </row>
    <row r="1163" spans="1:11" x14ac:dyDescent="0.25">
      <c r="A1163" t="s">
        <v>6719</v>
      </c>
      <c r="B1163" t="s">
        <v>30</v>
      </c>
      <c r="C1163" t="s">
        <v>23</v>
      </c>
      <c r="D1163" t="s">
        <v>103</v>
      </c>
      <c r="E1163" s="2">
        <v>39.5</v>
      </c>
      <c r="F1163" s="4">
        <v>6</v>
      </c>
      <c r="G1163" s="2">
        <v>237</v>
      </c>
      <c r="H1163" t="s">
        <v>25</v>
      </c>
      <c r="I1163" t="s">
        <v>16</v>
      </c>
      <c r="J1163" s="1">
        <v>44784</v>
      </c>
      <c r="K1163" t="b">
        <v>0</v>
      </c>
    </row>
    <row r="1164" spans="1:11" x14ac:dyDescent="0.25">
      <c r="A1164" t="s">
        <v>6290</v>
      </c>
      <c r="B1164" t="s">
        <v>22</v>
      </c>
      <c r="C1164" t="s">
        <v>23</v>
      </c>
      <c r="D1164" t="s">
        <v>103</v>
      </c>
      <c r="E1164" s="2">
        <v>39.5</v>
      </c>
      <c r="F1164" s="4">
        <v>6</v>
      </c>
      <c r="G1164" s="2">
        <v>237</v>
      </c>
      <c r="H1164" t="s">
        <v>15</v>
      </c>
      <c r="I1164" t="s">
        <v>36</v>
      </c>
      <c r="J1164" s="1">
        <v>44655</v>
      </c>
      <c r="K1164" t="b">
        <v>1</v>
      </c>
    </row>
    <row r="1165" spans="1:11" x14ac:dyDescent="0.25">
      <c r="A1165" t="s">
        <v>3031</v>
      </c>
      <c r="B1165" t="s">
        <v>97</v>
      </c>
      <c r="C1165" t="s">
        <v>59</v>
      </c>
      <c r="D1165" t="s">
        <v>536</v>
      </c>
      <c r="E1165" s="2">
        <v>39.5</v>
      </c>
      <c r="F1165" s="4">
        <v>6</v>
      </c>
      <c r="G1165" s="2">
        <v>237</v>
      </c>
      <c r="H1165" t="s">
        <v>45</v>
      </c>
      <c r="I1165" t="s">
        <v>16</v>
      </c>
      <c r="J1165" s="1">
        <v>45482</v>
      </c>
      <c r="K1165" t="b">
        <v>0</v>
      </c>
    </row>
    <row r="1166" spans="1:11" x14ac:dyDescent="0.25">
      <c r="A1166" t="s">
        <v>6651</v>
      </c>
      <c r="B1166" t="s">
        <v>104</v>
      </c>
      <c r="C1166" t="s">
        <v>23</v>
      </c>
      <c r="D1166" t="s">
        <v>103</v>
      </c>
      <c r="E1166" s="2">
        <v>39.5</v>
      </c>
      <c r="F1166" s="4">
        <v>6</v>
      </c>
      <c r="G1166" s="2">
        <v>237</v>
      </c>
      <c r="H1166" t="s">
        <v>25</v>
      </c>
      <c r="I1166" t="s">
        <v>36</v>
      </c>
      <c r="J1166" s="1">
        <v>44562</v>
      </c>
      <c r="K1166" t="b">
        <v>1</v>
      </c>
    </row>
    <row r="1167" spans="1:11" x14ac:dyDescent="0.25">
      <c r="A1167" t="s">
        <v>1069</v>
      </c>
      <c r="B1167" t="s">
        <v>12</v>
      </c>
      <c r="C1167" t="s">
        <v>27</v>
      </c>
      <c r="D1167" t="s">
        <v>482</v>
      </c>
      <c r="E1167" s="2">
        <v>39.5</v>
      </c>
      <c r="F1167" s="4">
        <v>6</v>
      </c>
      <c r="G1167" s="2">
        <v>237</v>
      </c>
      <c r="H1167" t="s">
        <v>25</v>
      </c>
      <c r="I1167" t="s">
        <v>16</v>
      </c>
      <c r="J1167" s="1">
        <v>45045</v>
      </c>
      <c r="K1167" t="b">
        <v>0</v>
      </c>
    </row>
    <row r="1168" spans="1:11" x14ac:dyDescent="0.25">
      <c r="A1168" t="s">
        <v>2899</v>
      </c>
      <c r="B1168" t="s">
        <v>69</v>
      </c>
      <c r="C1168" t="s">
        <v>13</v>
      </c>
      <c r="D1168" t="s">
        <v>52</v>
      </c>
      <c r="E1168" s="2">
        <v>39.5</v>
      </c>
      <c r="F1168" s="4">
        <v>6</v>
      </c>
      <c r="G1168" s="2">
        <v>237</v>
      </c>
      <c r="H1168" t="s">
        <v>15</v>
      </c>
      <c r="I1168" t="s">
        <v>36</v>
      </c>
      <c r="J1168" s="1">
        <v>45661</v>
      </c>
      <c r="K1168" t="b">
        <v>1</v>
      </c>
    </row>
    <row r="1169" spans="1:11" x14ac:dyDescent="0.25">
      <c r="A1169" t="s">
        <v>6470</v>
      </c>
      <c r="B1169" t="s">
        <v>100</v>
      </c>
      <c r="C1169" t="s">
        <v>13</v>
      </c>
      <c r="D1169" t="s">
        <v>52</v>
      </c>
      <c r="E1169" s="2">
        <v>39.5</v>
      </c>
      <c r="F1169" s="4">
        <v>6</v>
      </c>
      <c r="G1169" s="2">
        <v>237</v>
      </c>
      <c r="H1169" t="s">
        <v>25</v>
      </c>
      <c r="I1169" t="s">
        <v>36</v>
      </c>
      <c r="J1169" s="1">
        <v>44593</v>
      </c>
      <c r="K1169" t="b">
        <v>0</v>
      </c>
    </row>
    <row r="1170" spans="1:11" x14ac:dyDescent="0.25">
      <c r="A1170" t="s">
        <v>6889</v>
      </c>
      <c r="B1170" t="s">
        <v>12</v>
      </c>
      <c r="C1170" t="s">
        <v>27</v>
      </c>
      <c r="D1170" t="s">
        <v>209</v>
      </c>
      <c r="E1170" s="2">
        <v>33.5</v>
      </c>
      <c r="F1170" s="4">
        <v>7</v>
      </c>
      <c r="G1170" s="2">
        <v>234.5</v>
      </c>
      <c r="H1170" t="s">
        <v>15</v>
      </c>
      <c r="I1170" t="s">
        <v>16</v>
      </c>
      <c r="J1170" s="1">
        <v>45521</v>
      </c>
      <c r="K1170" t="b">
        <v>0</v>
      </c>
    </row>
    <row r="1171" spans="1:11" x14ac:dyDescent="0.25">
      <c r="A1171" t="s">
        <v>7273</v>
      </c>
      <c r="B1171" t="s">
        <v>18</v>
      </c>
      <c r="C1171" t="s">
        <v>31</v>
      </c>
      <c r="D1171" t="s">
        <v>155</v>
      </c>
      <c r="E1171" s="2">
        <v>33.5</v>
      </c>
      <c r="F1171" s="4">
        <v>7</v>
      </c>
      <c r="G1171" s="2">
        <v>234.5</v>
      </c>
      <c r="H1171" t="s">
        <v>25</v>
      </c>
      <c r="I1171" t="s">
        <v>36</v>
      </c>
      <c r="J1171" s="1">
        <v>44697</v>
      </c>
      <c r="K1171" t="b">
        <v>1</v>
      </c>
    </row>
    <row r="1172" spans="1:11" x14ac:dyDescent="0.25">
      <c r="A1172" t="s">
        <v>5586</v>
      </c>
      <c r="B1172" t="s">
        <v>63</v>
      </c>
      <c r="C1172" t="s">
        <v>38</v>
      </c>
      <c r="D1172" t="s">
        <v>434</v>
      </c>
      <c r="E1172" s="2">
        <v>33.5</v>
      </c>
      <c r="F1172" s="4">
        <v>7</v>
      </c>
      <c r="G1172" s="2">
        <v>234.5</v>
      </c>
      <c r="H1172" t="s">
        <v>25</v>
      </c>
      <c r="I1172" t="s">
        <v>36</v>
      </c>
      <c r="J1172" s="1">
        <v>44660</v>
      </c>
      <c r="K1172" t="b">
        <v>1</v>
      </c>
    </row>
    <row r="1173" spans="1:11" x14ac:dyDescent="0.25">
      <c r="A1173" t="s">
        <v>1450</v>
      </c>
      <c r="B1173" t="s">
        <v>69</v>
      </c>
      <c r="C1173" t="s">
        <v>38</v>
      </c>
      <c r="D1173" t="s">
        <v>434</v>
      </c>
      <c r="E1173" s="2">
        <v>33.5</v>
      </c>
      <c r="F1173" s="4">
        <v>7</v>
      </c>
      <c r="G1173" s="2">
        <v>234.5</v>
      </c>
      <c r="H1173" t="s">
        <v>25</v>
      </c>
      <c r="I1173" t="s">
        <v>16</v>
      </c>
      <c r="J1173" s="1">
        <v>45211</v>
      </c>
      <c r="K1173" t="b">
        <v>1</v>
      </c>
    </row>
    <row r="1174" spans="1:11" x14ac:dyDescent="0.25">
      <c r="A1174" t="s">
        <v>6237</v>
      </c>
      <c r="B1174" t="s">
        <v>34</v>
      </c>
      <c r="C1174" t="s">
        <v>59</v>
      </c>
      <c r="D1174" t="s">
        <v>270</v>
      </c>
      <c r="E1174" s="2">
        <v>33.5</v>
      </c>
      <c r="F1174" s="4">
        <v>7</v>
      </c>
      <c r="G1174" s="2">
        <v>234.5</v>
      </c>
      <c r="H1174" t="s">
        <v>25</v>
      </c>
      <c r="I1174" t="s">
        <v>16</v>
      </c>
      <c r="J1174" s="1">
        <v>45508</v>
      </c>
      <c r="K1174" t="b">
        <v>1</v>
      </c>
    </row>
    <row r="1175" spans="1:11" x14ac:dyDescent="0.25">
      <c r="A1175" t="s">
        <v>1906</v>
      </c>
      <c r="B1175" t="s">
        <v>37</v>
      </c>
      <c r="C1175" t="s">
        <v>31</v>
      </c>
      <c r="D1175" t="s">
        <v>155</v>
      </c>
      <c r="E1175" s="2">
        <v>33.5</v>
      </c>
      <c r="F1175" s="4">
        <v>7</v>
      </c>
      <c r="G1175" s="2">
        <v>234.5</v>
      </c>
      <c r="H1175" t="s">
        <v>45</v>
      </c>
      <c r="I1175" t="s">
        <v>16</v>
      </c>
      <c r="J1175" s="1">
        <v>44812</v>
      </c>
      <c r="K1175" t="b">
        <v>0</v>
      </c>
    </row>
    <row r="1176" spans="1:11" x14ac:dyDescent="0.25">
      <c r="A1176" t="s">
        <v>6312</v>
      </c>
      <c r="B1176" t="s">
        <v>30</v>
      </c>
      <c r="C1176" t="s">
        <v>59</v>
      </c>
      <c r="D1176" t="s">
        <v>270</v>
      </c>
      <c r="E1176" s="2">
        <v>33.5</v>
      </c>
      <c r="F1176" s="4">
        <v>7</v>
      </c>
      <c r="G1176" s="2">
        <v>234.5</v>
      </c>
      <c r="H1176" t="s">
        <v>15</v>
      </c>
      <c r="I1176" t="s">
        <v>36</v>
      </c>
      <c r="J1176" s="1">
        <v>45119</v>
      </c>
      <c r="K1176" t="b">
        <v>1</v>
      </c>
    </row>
    <row r="1177" spans="1:11" x14ac:dyDescent="0.25">
      <c r="A1177" t="s">
        <v>3957</v>
      </c>
      <c r="B1177" t="s">
        <v>58</v>
      </c>
      <c r="C1177" t="s">
        <v>23</v>
      </c>
      <c r="D1177" t="s">
        <v>73</v>
      </c>
      <c r="E1177" s="2">
        <v>33.5</v>
      </c>
      <c r="F1177" s="4">
        <v>7</v>
      </c>
      <c r="G1177" s="2">
        <v>234.5</v>
      </c>
      <c r="H1177" t="s">
        <v>15</v>
      </c>
      <c r="I1177" t="s">
        <v>36</v>
      </c>
      <c r="J1177" s="1">
        <v>44562</v>
      </c>
      <c r="K1177" t="b">
        <v>1</v>
      </c>
    </row>
    <row r="1178" spans="1:11" x14ac:dyDescent="0.25">
      <c r="A1178" t="s">
        <v>7362</v>
      </c>
      <c r="B1178" t="s">
        <v>30</v>
      </c>
      <c r="C1178" t="s">
        <v>27</v>
      </c>
      <c r="D1178" t="s">
        <v>209</v>
      </c>
      <c r="E1178" s="2">
        <v>33.5</v>
      </c>
      <c r="F1178" s="4">
        <v>7</v>
      </c>
      <c r="G1178" s="2">
        <v>234.5</v>
      </c>
      <c r="H1178" t="s">
        <v>25</v>
      </c>
      <c r="I1178" t="s">
        <v>36</v>
      </c>
      <c r="J1178" s="1">
        <v>44613</v>
      </c>
      <c r="K1178" t="b">
        <v>1</v>
      </c>
    </row>
    <row r="1179" spans="1:11" x14ac:dyDescent="0.25">
      <c r="A1179" t="s">
        <v>5254</v>
      </c>
      <c r="B1179" t="s">
        <v>30</v>
      </c>
      <c r="C1179" t="s">
        <v>13</v>
      </c>
      <c r="D1179" t="s">
        <v>375</v>
      </c>
      <c r="E1179" s="2">
        <v>33.5</v>
      </c>
      <c r="F1179" s="4">
        <v>7</v>
      </c>
      <c r="G1179" s="2">
        <v>234.5</v>
      </c>
      <c r="H1179" t="s">
        <v>15</v>
      </c>
      <c r="I1179" t="s">
        <v>36</v>
      </c>
      <c r="J1179" s="1">
        <v>44678</v>
      </c>
      <c r="K1179" t="b">
        <v>0</v>
      </c>
    </row>
    <row r="1180" spans="1:11" x14ac:dyDescent="0.25">
      <c r="A1180" t="s">
        <v>7712</v>
      </c>
      <c r="B1180" t="s">
        <v>142</v>
      </c>
      <c r="C1180" t="s">
        <v>110</v>
      </c>
      <c r="D1180" t="s">
        <v>154</v>
      </c>
      <c r="E1180" s="2">
        <v>33.5</v>
      </c>
      <c r="F1180" s="4">
        <v>7</v>
      </c>
      <c r="G1180" s="2">
        <v>234.5</v>
      </c>
      <c r="H1180" t="s">
        <v>15</v>
      </c>
      <c r="I1180" t="s">
        <v>16</v>
      </c>
      <c r="J1180" s="1">
        <v>44763</v>
      </c>
      <c r="K1180" t="b">
        <v>1</v>
      </c>
    </row>
    <row r="1181" spans="1:11" x14ac:dyDescent="0.25">
      <c r="A1181" t="s">
        <v>2000</v>
      </c>
      <c r="B1181" t="s">
        <v>40</v>
      </c>
      <c r="C1181" t="s">
        <v>31</v>
      </c>
      <c r="D1181" t="s">
        <v>155</v>
      </c>
      <c r="E1181" s="2">
        <v>33.5</v>
      </c>
      <c r="F1181" s="4">
        <v>7</v>
      </c>
      <c r="G1181" s="2">
        <v>234.5</v>
      </c>
      <c r="H1181" t="s">
        <v>25</v>
      </c>
      <c r="I1181" t="s">
        <v>16</v>
      </c>
      <c r="J1181" s="1">
        <v>44787</v>
      </c>
      <c r="K1181" t="b">
        <v>0</v>
      </c>
    </row>
    <row r="1182" spans="1:11" x14ac:dyDescent="0.25">
      <c r="A1182" t="s">
        <v>3459</v>
      </c>
      <c r="B1182" t="s">
        <v>18</v>
      </c>
      <c r="C1182" t="s">
        <v>19</v>
      </c>
      <c r="D1182" t="s">
        <v>626</v>
      </c>
      <c r="E1182" s="2">
        <v>33.5</v>
      </c>
      <c r="F1182" s="4">
        <v>7</v>
      </c>
      <c r="G1182" s="2">
        <v>234.5</v>
      </c>
      <c r="H1182" t="s">
        <v>25</v>
      </c>
      <c r="I1182" t="s">
        <v>16</v>
      </c>
      <c r="J1182" s="1">
        <v>45344</v>
      </c>
      <c r="K1182" t="b">
        <v>1</v>
      </c>
    </row>
    <row r="1183" spans="1:11" x14ac:dyDescent="0.25">
      <c r="A1183" t="s">
        <v>3662</v>
      </c>
      <c r="B1183" t="s">
        <v>22</v>
      </c>
      <c r="C1183" t="s">
        <v>59</v>
      </c>
      <c r="D1183" t="s">
        <v>270</v>
      </c>
      <c r="E1183" s="2">
        <v>33.5</v>
      </c>
      <c r="F1183" s="4">
        <v>7</v>
      </c>
      <c r="G1183" s="2">
        <v>234.5</v>
      </c>
      <c r="H1183" t="s">
        <v>15</v>
      </c>
      <c r="I1183" t="s">
        <v>36</v>
      </c>
      <c r="J1183" s="1">
        <v>45149</v>
      </c>
      <c r="K1183" t="b">
        <v>0</v>
      </c>
    </row>
    <row r="1184" spans="1:11" x14ac:dyDescent="0.25">
      <c r="A1184" t="s">
        <v>2163</v>
      </c>
      <c r="B1184" t="s">
        <v>69</v>
      </c>
      <c r="C1184" t="s">
        <v>59</v>
      </c>
      <c r="D1184" t="s">
        <v>270</v>
      </c>
      <c r="E1184" s="2">
        <v>33.5</v>
      </c>
      <c r="F1184" s="4">
        <v>7</v>
      </c>
      <c r="G1184" s="2">
        <v>234.5</v>
      </c>
      <c r="H1184" t="s">
        <v>25</v>
      </c>
      <c r="I1184" t="s">
        <v>36</v>
      </c>
      <c r="J1184" s="1">
        <v>45477</v>
      </c>
      <c r="K1184" t="b">
        <v>1</v>
      </c>
    </row>
    <row r="1185" spans="1:11" x14ac:dyDescent="0.25">
      <c r="A1185" t="s">
        <v>5073</v>
      </c>
      <c r="B1185" t="s">
        <v>40</v>
      </c>
      <c r="C1185" t="s">
        <v>110</v>
      </c>
      <c r="D1185" t="s">
        <v>154</v>
      </c>
      <c r="E1185" s="2">
        <v>33.5</v>
      </c>
      <c r="F1185" s="4">
        <v>7</v>
      </c>
      <c r="G1185" s="2">
        <v>234.5</v>
      </c>
      <c r="H1185" t="s">
        <v>25</v>
      </c>
      <c r="I1185" t="s">
        <v>36</v>
      </c>
      <c r="J1185" s="1">
        <v>45154</v>
      </c>
      <c r="K1185" t="b">
        <v>0</v>
      </c>
    </row>
    <row r="1186" spans="1:11" x14ac:dyDescent="0.25">
      <c r="A1186" t="s">
        <v>7800</v>
      </c>
      <c r="B1186" t="s">
        <v>97</v>
      </c>
      <c r="C1186" t="s">
        <v>27</v>
      </c>
      <c r="D1186" t="s">
        <v>209</v>
      </c>
      <c r="E1186" s="2">
        <v>33.5</v>
      </c>
      <c r="F1186" s="4">
        <v>7</v>
      </c>
      <c r="G1186" s="2">
        <v>234.5</v>
      </c>
      <c r="H1186" t="s">
        <v>25</v>
      </c>
      <c r="I1186" t="s">
        <v>16</v>
      </c>
      <c r="J1186" s="1">
        <v>45425</v>
      </c>
      <c r="K1186" t="b">
        <v>0</v>
      </c>
    </row>
    <row r="1187" spans="1:11" x14ac:dyDescent="0.25">
      <c r="A1187" t="s">
        <v>1965</v>
      </c>
      <c r="B1187" t="s">
        <v>26</v>
      </c>
      <c r="C1187" t="s">
        <v>59</v>
      </c>
      <c r="D1187" t="s">
        <v>270</v>
      </c>
      <c r="E1187" s="2">
        <v>33.5</v>
      </c>
      <c r="F1187" s="4">
        <v>7</v>
      </c>
      <c r="G1187" s="2">
        <v>234.5</v>
      </c>
      <c r="H1187" t="s">
        <v>15</v>
      </c>
      <c r="I1187" t="s">
        <v>16</v>
      </c>
      <c r="J1187" s="1">
        <v>45323</v>
      </c>
      <c r="K1187" t="b">
        <v>0</v>
      </c>
    </row>
    <row r="1188" spans="1:11" x14ac:dyDescent="0.25">
      <c r="A1188" t="s">
        <v>1999</v>
      </c>
      <c r="B1188" t="s">
        <v>30</v>
      </c>
      <c r="C1188" t="s">
        <v>27</v>
      </c>
      <c r="D1188" t="s">
        <v>209</v>
      </c>
      <c r="E1188" s="2">
        <v>33.5</v>
      </c>
      <c r="F1188" s="4">
        <v>7</v>
      </c>
      <c r="G1188" s="2">
        <v>234.5</v>
      </c>
      <c r="H1188" t="s">
        <v>25</v>
      </c>
      <c r="I1188" t="s">
        <v>16</v>
      </c>
      <c r="J1188" s="1">
        <v>45617</v>
      </c>
      <c r="K1188" t="b">
        <v>0</v>
      </c>
    </row>
    <row r="1189" spans="1:11" x14ac:dyDescent="0.25">
      <c r="A1189" t="s">
        <v>2624</v>
      </c>
      <c r="B1189" t="s">
        <v>66</v>
      </c>
      <c r="C1189" t="s">
        <v>59</v>
      </c>
      <c r="D1189" t="s">
        <v>270</v>
      </c>
      <c r="E1189" s="2">
        <v>33.5</v>
      </c>
      <c r="F1189" s="4">
        <v>7</v>
      </c>
      <c r="G1189" s="2">
        <v>234.5</v>
      </c>
      <c r="H1189" t="s">
        <v>15</v>
      </c>
      <c r="I1189" t="s">
        <v>36</v>
      </c>
      <c r="J1189" s="1">
        <v>44614</v>
      </c>
      <c r="K1189" t="b">
        <v>0</v>
      </c>
    </row>
    <row r="1190" spans="1:11" x14ac:dyDescent="0.25">
      <c r="A1190" t="s">
        <v>5228</v>
      </c>
      <c r="B1190" t="s">
        <v>43</v>
      </c>
      <c r="C1190" t="s">
        <v>23</v>
      </c>
      <c r="D1190" t="s">
        <v>73</v>
      </c>
      <c r="E1190" s="2">
        <v>33.5</v>
      </c>
      <c r="F1190" s="4">
        <v>7</v>
      </c>
      <c r="G1190" s="2">
        <v>234.5</v>
      </c>
      <c r="H1190" t="s">
        <v>15</v>
      </c>
      <c r="I1190" t="s">
        <v>16</v>
      </c>
      <c r="J1190" s="1">
        <v>44755</v>
      </c>
      <c r="K1190" t="b">
        <v>0</v>
      </c>
    </row>
    <row r="1191" spans="1:11" x14ac:dyDescent="0.25">
      <c r="A1191" t="s">
        <v>7523</v>
      </c>
      <c r="B1191" t="s">
        <v>34</v>
      </c>
      <c r="C1191" t="s">
        <v>110</v>
      </c>
      <c r="D1191" t="s">
        <v>154</v>
      </c>
      <c r="E1191" s="2">
        <v>33.5</v>
      </c>
      <c r="F1191" s="4">
        <v>7</v>
      </c>
      <c r="G1191" s="2">
        <v>234.5</v>
      </c>
      <c r="H1191" t="s">
        <v>25</v>
      </c>
      <c r="I1191" t="s">
        <v>16</v>
      </c>
      <c r="J1191" s="1">
        <v>44676</v>
      </c>
      <c r="K1191" t="b">
        <v>0</v>
      </c>
    </row>
    <row r="1192" spans="1:11" x14ac:dyDescent="0.25">
      <c r="A1192" t="s">
        <v>7246</v>
      </c>
      <c r="B1192" t="s">
        <v>58</v>
      </c>
      <c r="C1192" t="s">
        <v>23</v>
      </c>
      <c r="D1192" t="s">
        <v>73</v>
      </c>
      <c r="E1192" s="2">
        <v>33.5</v>
      </c>
      <c r="F1192" s="4">
        <v>7</v>
      </c>
      <c r="G1192" s="2">
        <v>234.5</v>
      </c>
      <c r="H1192" t="s">
        <v>15</v>
      </c>
      <c r="I1192" t="s">
        <v>16</v>
      </c>
      <c r="J1192" s="1">
        <v>45417</v>
      </c>
      <c r="K1192" t="b">
        <v>1</v>
      </c>
    </row>
    <row r="1193" spans="1:11" x14ac:dyDescent="0.25">
      <c r="A1193" t="s">
        <v>3696</v>
      </c>
      <c r="B1193" t="s">
        <v>22</v>
      </c>
      <c r="C1193" t="s">
        <v>59</v>
      </c>
      <c r="D1193" t="s">
        <v>270</v>
      </c>
      <c r="E1193" s="2">
        <v>33.5</v>
      </c>
      <c r="F1193" s="4">
        <v>7</v>
      </c>
      <c r="G1193" s="2">
        <v>234.5</v>
      </c>
      <c r="H1193" t="s">
        <v>25</v>
      </c>
      <c r="I1193" t="s">
        <v>36</v>
      </c>
      <c r="J1193" s="1">
        <v>45331</v>
      </c>
      <c r="K1193" t="b">
        <v>0</v>
      </c>
    </row>
    <row r="1194" spans="1:11" x14ac:dyDescent="0.25">
      <c r="A1194" t="s">
        <v>7786</v>
      </c>
      <c r="B1194" t="s">
        <v>61</v>
      </c>
      <c r="C1194" t="s">
        <v>110</v>
      </c>
      <c r="D1194" t="s">
        <v>154</v>
      </c>
      <c r="E1194" s="2">
        <v>33.5</v>
      </c>
      <c r="F1194" s="4">
        <v>7</v>
      </c>
      <c r="G1194" s="2">
        <v>234.5</v>
      </c>
      <c r="H1194" t="s">
        <v>15</v>
      </c>
      <c r="I1194" t="s">
        <v>36</v>
      </c>
      <c r="J1194" s="1">
        <v>44704</v>
      </c>
      <c r="K1194" t="b">
        <v>0</v>
      </c>
    </row>
    <row r="1195" spans="1:11" x14ac:dyDescent="0.25">
      <c r="A1195" t="s">
        <v>6507</v>
      </c>
      <c r="B1195" t="s">
        <v>37</v>
      </c>
      <c r="C1195" t="s">
        <v>59</v>
      </c>
      <c r="D1195" t="s">
        <v>270</v>
      </c>
      <c r="E1195" s="2">
        <v>33.5</v>
      </c>
      <c r="F1195" s="4">
        <v>7</v>
      </c>
      <c r="G1195" s="2">
        <v>234.5</v>
      </c>
      <c r="H1195" t="s">
        <v>25</v>
      </c>
      <c r="I1195" t="s">
        <v>16</v>
      </c>
      <c r="J1195" s="1">
        <v>45318</v>
      </c>
      <c r="K1195" t="b">
        <v>1</v>
      </c>
    </row>
    <row r="1196" spans="1:11" x14ac:dyDescent="0.25">
      <c r="A1196" t="s">
        <v>583</v>
      </c>
      <c r="B1196" t="s">
        <v>56</v>
      </c>
      <c r="C1196" t="s">
        <v>110</v>
      </c>
      <c r="D1196" t="s">
        <v>154</v>
      </c>
      <c r="E1196" s="2">
        <v>33.5</v>
      </c>
      <c r="F1196" s="4">
        <v>7</v>
      </c>
      <c r="G1196" s="2">
        <v>234.5</v>
      </c>
      <c r="H1196" t="s">
        <v>25</v>
      </c>
      <c r="I1196" t="s">
        <v>36</v>
      </c>
      <c r="J1196" s="1">
        <v>45030</v>
      </c>
      <c r="K1196" t="b">
        <v>1</v>
      </c>
    </row>
    <row r="1197" spans="1:11" x14ac:dyDescent="0.25">
      <c r="A1197" t="s">
        <v>5942</v>
      </c>
      <c r="B1197" t="s">
        <v>72</v>
      </c>
      <c r="C1197" t="s">
        <v>23</v>
      </c>
      <c r="D1197" t="s">
        <v>73</v>
      </c>
      <c r="E1197" s="2">
        <v>33.5</v>
      </c>
      <c r="F1197" s="4">
        <v>7</v>
      </c>
      <c r="G1197" s="2">
        <v>234.5</v>
      </c>
      <c r="H1197" t="s">
        <v>45</v>
      </c>
      <c r="I1197" t="s">
        <v>16</v>
      </c>
      <c r="J1197" s="1">
        <v>44808</v>
      </c>
      <c r="K1197" t="b">
        <v>0</v>
      </c>
    </row>
    <row r="1198" spans="1:11" x14ac:dyDescent="0.25">
      <c r="A1198" t="s">
        <v>3895</v>
      </c>
      <c r="B1198" t="s">
        <v>72</v>
      </c>
      <c r="C1198" t="s">
        <v>31</v>
      </c>
      <c r="D1198" t="s">
        <v>155</v>
      </c>
      <c r="E1198" s="2">
        <v>33.5</v>
      </c>
      <c r="F1198" s="4">
        <v>7</v>
      </c>
      <c r="G1198" s="2">
        <v>234.5</v>
      </c>
      <c r="H1198" t="s">
        <v>45</v>
      </c>
      <c r="I1198" t="s">
        <v>36</v>
      </c>
      <c r="J1198" s="1">
        <v>45181</v>
      </c>
      <c r="K1198" t="b">
        <v>0</v>
      </c>
    </row>
    <row r="1199" spans="1:11" x14ac:dyDescent="0.25">
      <c r="A1199" t="s">
        <v>7478</v>
      </c>
      <c r="B1199" t="s">
        <v>66</v>
      </c>
      <c r="C1199" t="s">
        <v>13</v>
      </c>
      <c r="D1199" t="s">
        <v>375</v>
      </c>
      <c r="E1199" s="2">
        <v>33.5</v>
      </c>
      <c r="F1199" s="4">
        <v>7</v>
      </c>
      <c r="G1199" s="2">
        <v>234.5</v>
      </c>
      <c r="H1199" t="s">
        <v>45</v>
      </c>
      <c r="I1199" t="s">
        <v>36</v>
      </c>
      <c r="J1199" s="1">
        <v>45247</v>
      </c>
      <c r="K1199" t="b">
        <v>1</v>
      </c>
    </row>
    <row r="1200" spans="1:11" x14ac:dyDescent="0.25">
      <c r="A1200" t="s">
        <v>4071</v>
      </c>
      <c r="B1200" t="s">
        <v>58</v>
      </c>
      <c r="C1200" t="s">
        <v>27</v>
      </c>
      <c r="D1200" t="s">
        <v>209</v>
      </c>
      <c r="E1200" s="2">
        <v>33.5</v>
      </c>
      <c r="F1200" s="4">
        <v>7</v>
      </c>
      <c r="G1200" s="2">
        <v>234.5</v>
      </c>
      <c r="H1200" t="s">
        <v>25</v>
      </c>
      <c r="I1200" t="s">
        <v>16</v>
      </c>
      <c r="J1200" s="1">
        <v>44887</v>
      </c>
      <c r="K1200" t="b">
        <v>0</v>
      </c>
    </row>
    <row r="1201" spans="1:11" x14ac:dyDescent="0.25">
      <c r="A1201" t="s">
        <v>1248</v>
      </c>
      <c r="B1201" t="s">
        <v>58</v>
      </c>
      <c r="C1201" t="s">
        <v>110</v>
      </c>
      <c r="D1201" t="s">
        <v>154</v>
      </c>
      <c r="E1201" s="2">
        <v>33.5</v>
      </c>
      <c r="F1201" s="4">
        <v>7</v>
      </c>
      <c r="G1201" s="2">
        <v>234.5</v>
      </c>
      <c r="H1201" t="s">
        <v>15</v>
      </c>
      <c r="I1201" t="s">
        <v>16</v>
      </c>
      <c r="J1201" s="1">
        <v>45059</v>
      </c>
      <c r="K1201" t="b">
        <v>0</v>
      </c>
    </row>
    <row r="1202" spans="1:11" x14ac:dyDescent="0.25">
      <c r="A1202" t="s">
        <v>651</v>
      </c>
      <c r="B1202" t="s">
        <v>43</v>
      </c>
      <c r="C1202" t="s">
        <v>13</v>
      </c>
      <c r="D1202" t="s">
        <v>375</v>
      </c>
      <c r="E1202" s="2">
        <v>33.5</v>
      </c>
      <c r="F1202" s="4">
        <v>7</v>
      </c>
      <c r="G1202" s="2">
        <v>234.5</v>
      </c>
      <c r="H1202" t="s">
        <v>25</v>
      </c>
      <c r="I1202" t="s">
        <v>36</v>
      </c>
      <c r="J1202" s="1">
        <v>44745</v>
      </c>
      <c r="K1202" t="b">
        <v>0</v>
      </c>
    </row>
    <row r="1203" spans="1:11" x14ac:dyDescent="0.25">
      <c r="A1203" t="s">
        <v>3202</v>
      </c>
      <c r="B1203" t="s">
        <v>18</v>
      </c>
      <c r="C1203" t="s">
        <v>31</v>
      </c>
      <c r="D1203" t="s">
        <v>155</v>
      </c>
      <c r="E1203" s="2">
        <v>33.5</v>
      </c>
      <c r="F1203" s="4">
        <v>7</v>
      </c>
      <c r="G1203" s="2">
        <v>234.5</v>
      </c>
      <c r="H1203" t="s">
        <v>25</v>
      </c>
      <c r="I1203" t="s">
        <v>36</v>
      </c>
      <c r="J1203" s="1">
        <v>44836</v>
      </c>
      <c r="K1203" t="b">
        <v>0</v>
      </c>
    </row>
    <row r="1204" spans="1:11" x14ac:dyDescent="0.25">
      <c r="A1204" t="s">
        <v>1750</v>
      </c>
      <c r="B1204" t="s">
        <v>12</v>
      </c>
      <c r="C1204" t="s">
        <v>38</v>
      </c>
      <c r="D1204" t="s">
        <v>434</v>
      </c>
      <c r="E1204" s="2">
        <v>33.5</v>
      </c>
      <c r="F1204" s="4">
        <v>7</v>
      </c>
      <c r="G1204" s="2">
        <v>234.5</v>
      </c>
      <c r="H1204" t="s">
        <v>45</v>
      </c>
      <c r="I1204" t="s">
        <v>16</v>
      </c>
      <c r="J1204" s="1">
        <v>45458</v>
      </c>
      <c r="K1204" t="b">
        <v>1</v>
      </c>
    </row>
    <row r="1205" spans="1:11" x14ac:dyDescent="0.25">
      <c r="A1205" t="s">
        <v>5473</v>
      </c>
      <c r="B1205" t="s">
        <v>142</v>
      </c>
      <c r="C1205" t="s">
        <v>31</v>
      </c>
      <c r="D1205" t="s">
        <v>155</v>
      </c>
      <c r="E1205" s="2">
        <v>33.5</v>
      </c>
      <c r="F1205" s="4">
        <v>7</v>
      </c>
      <c r="G1205" s="2">
        <v>234.5</v>
      </c>
      <c r="H1205" t="s">
        <v>25</v>
      </c>
      <c r="I1205" t="s">
        <v>16</v>
      </c>
      <c r="J1205" s="1">
        <v>44885</v>
      </c>
      <c r="K1205" t="b">
        <v>0</v>
      </c>
    </row>
    <row r="1206" spans="1:11" x14ac:dyDescent="0.25">
      <c r="A1206" t="s">
        <v>4538</v>
      </c>
      <c r="B1206" t="s">
        <v>26</v>
      </c>
      <c r="C1206" t="s">
        <v>31</v>
      </c>
      <c r="D1206" t="s">
        <v>155</v>
      </c>
      <c r="E1206" s="2">
        <v>33.5</v>
      </c>
      <c r="F1206" s="4">
        <v>7</v>
      </c>
      <c r="G1206" s="2">
        <v>234.5</v>
      </c>
      <c r="H1206" t="s">
        <v>45</v>
      </c>
      <c r="I1206" t="s">
        <v>16</v>
      </c>
      <c r="J1206" s="1">
        <v>45428</v>
      </c>
      <c r="K1206" t="b">
        <v>0</v>
      </c>
    </row>
    <row r="1207" spans="1:11" x14ac:dyDescent="0.25">
      <c r="A1207" t="s">
        <v>2804</v>
      </c>
      <c r="B1207" t="s">
        <v>86</v>
      </c>
      <c r="C1207" t="s">
        <v>13</v>
      </c>
      <c r="D1207" t="s">
        <v>375</v>
      </c>
      <c r="E1207" s="2">
        <v>33.5</v>
      </c>
      <c r="F1207" s="4">
        <v>7</v>
      </c>
      <c r="G1207" s="2">
        <v>234.5</v>
      </c>
      <c r="H1207" t="s">
        <v>25</v>
      </c>
      <c r="I1207" t="s">
        <v>36</v>
      </c>
      <c r="J1207" s="1">
        <v>45311</v>
      </c>
      <c r="K1207" t="b">
        <v>1</v>
      </c>
    </row>
    <row r="1208" spans="1:11" x14ac:dyDescent="0.25">
      <c r="A1208" t="s">
        <v>5811</v>
      </c>
      <c r="B1208" t="s">
        <v>93</v>
      </c>
      <c r="C1208" t="s">
        <v>13</v>
      </c>
      <c r="D1208" t="s">
        <v>375</v>
      </c>
      <c r="E1208" s="2">
        <v>33.5</v>
      </c>
      <c r="F1208" s="4">
        <v>7</v>
      </c>
      <c r="G1208" s="2">
        <v>234.5</v>
      </c>
      <c r="H1208" t="s">
        <v>15</v>
      </c>
      <c r="I1208" t="s">
        <v>36</v>
      </c>
      <c r="J1208" s="1">
        <v>45173</v>
      </c>
      <c r="K1208" t="b">
        <v>1</v>
      </c>
    </row>
    <row r="1209" spans="1:11" x14ac:dyDescent="0.25">
      <c r="A1209" t="s">
        <v>6014</v>
      </c>
      <c r="B1209" t="s">
        <v>69</v>
      </c>
      <c r="C1209" t="s">
        <v>19</v>
      </c>
      <c r="D1209" t="s">
        <v>626</v>
      </c>
      <c r="E1209" s="2">
        <v>33.5</v>
      </c>
      <c r="F1209" s="4">
        <v>7</v>
      </c>
      <c r="G1209" s="2">
        <v>234.5</v>
      </c>
      <c r="H1209" t="s">
        <v>45</v>
      </c>
      <c r="I1209" t="s">
        <v>16</v>
      </c>
      <c r="J1209" s="1">
        <v>45026</v>
      </c>
      <c r="K1209" t="b">
        <v>1</v>
      </c>
    </row>
    <row r="1210" spans="1:11" x14ac:dyDescent="0.25">
      <c r="A1210" t="s">
        <v>1327</v>
      </c>
      <c r="B1210" t="s">
        <v>18</v>
      </c>
      <c r="C1210" t="s">
        <v>38</v>
      </c>
      <c r="D1210" t="s">
        <v>434</v>
      </c>
      <c r="E1210" s="2">
        <v>33.5</v>
      </c>
      <c r="F1210" s="4">
        <v>7</v>
      </c>
      <c r="G1210" s="2">
        <v>234.5</v>
      </c>
      <c r="H1210" t="s">
        <v>15</v>
      </c>
      <c r="I1210" t="s">
        <v>36</v>
      </c>
      <c r="J1210" s="1">
        <v>45473</v>
      </c>
      <c r="K1210" t="b">
        <v>0</v>
      </c>
    </row>
    <row r="1211" spans="1:11" x14ac:dyDescent="0.25">
      <c r="A1211" t="s">
        <v>2732</v>
      </c>
      <c r="B1211" t="s">
        <v>86</v>
      </c>
      <c r="C1211" t="s">
        <v>110</v>
      </c>
      <c r="D1211" t="s">
        <v>154</v>
      </c>
      <c r="E1211" s="2">
        <v>33.5</v>
      </c>
      <c r="F1211" s="4">
        <v>7</v>
      </c>
      <c r="G1211" s="2">
        <v>234.5</v>
      </c>
      <c r="H1211" t="s">
        <v>15</v>
      </c>
      <c r="I1211" t="s">
        <v>36</v>
      </c>
      <c r="J1211" s="1">
        <v>44720</v>
      </c>
      <c r="K1211" t="b">
        <v>1</v>
      </c>
    </row>
    <row r="1212" spans="1:11" x14ac:dyDescent="0.25">
      <c r="A1212" t="s">
        <v>7706</v>
      </c>
      <c r="B1212" t="s">
        <v>97</v>
      </c>
      <c r="C1212" t="s">
        <v>59</v>
      </c>
      <c r="D1212" t="s">
        <v>270</v>
      </c>
      <c r="E1212" s="2">
        <v>33.5</v>
      </c>
      <c r="F1212" s="4">
        <v>7</v>
      </c>
      <c r="G1212" s="2">
        <v>234.5</v>
      </c>
      <c r="H1212" t="s">
        <v>15</v>
      </c>
      <c r="I1212" t="s">
        <v>16</v>
      </c>
      <c r="J1212" s="1">
        <v>45098</v>
      </c>
      <c r="K1212" t="b">
        <v>1</v>
      </c>
    </row>
    <row r="1213" spans="1:11" x14ac:dyDescent="0.25">
      <c r="A1213" t="s">
        <v>5902</v>
      </c>
      <c r="B1213" t="s">
        <v>30</v>
      </c>
      <c r="C1213" t="s">
        <v>110</v>
      </c>
      <c r="D1213" t="s">
        <v>126</v>
      </c>
      <c r="E1213" s="2">
        <v>26</v>
      </c>
      <c r="F1213" s="4">
        <v>9</v>
      </c>
      <c r="G1213" s="2">
        <v>234</v>
      </c>
      <c r="H1213" t="s">
        <v>25</v>
      </c>
      <c r="I1213" t="s">
        <v>36</v>
      </c>
      <c r="J1213" s="1">
        <v>45040</v>
      </c>
      <c r="K1213" t="b">
        <v>0</v>
      </c>
    </row>
    <row r="1214" spans="1:11" x14ac:dyDescent="0.25">
      <c r="A1214" t="s">
        <v>1933</v>
      </c>
      <c r="B1214" t="s">
        <v>22</v>
      </c>
      <c r="C1214" t="s">
        <v>38</v>
      </c>
      <c r="D1214" t="s">
        <v>341</v>
      </c>
      <c r="E1214" s="2">
        <v>26</v>
      </c>
      <c r="F1214" s="4">
        <v>9</v>
      </c>
      <c r="G1214" s="2">
        <v>234</v>
      </c>
      <c r="H1214" t="s">
        <v>45</v>
      </c>
      <c r="I1214" t="s">
        <v>36</v>
      </c>
      <c r="J1214" s="1">
        <v>45151</v>
      </c>
      <c r="K1214" t="b">
        <v>0</v>
      </c>
    </row>
    <row r="1215" spans="1:11" x14ac:dyDescent="0.25">
      <c r="A1215" t="s">
        <v>2687</v>
      </c>
      <c r="B1215" t="s">
        <v>58</v>
      </c>
      <c r="C1215" t="s">
        <v>59</v>
      </c>
      <c r="D1215" t="s">
        <v>463</v>
      </c>
      <c r="E1215" s="2">
        <v>26</v>
      </c>
      <c r="F1215" s="4">
        <v>9</v>
      </c>
      <c r="G1215" s="2">
        <v>234</v>
      </c>
      <c r="H1215" t="s">
        <v>15</v>
      </c>
      <c r="I1215" t="s">
        <v>16</v>
      </c>
      <c r="J1215" s="1">
        <v>45604</v>
      </c>
      <c r="K1215" t="b">
        <v>1</v>
      </c>
    </row>
    <row r="1216" spans="1:11" x14ac:dyDescent="0.25">
      <c r="A1216" t="s">
        <v>1097</v>
      </c>
      <c r="B1216" t="s">
        <v>77</v>
      </c>
      <c r="C1216" t="s">
        <v>38</v>
      </c>
      <c r="D1216" t="s">
        <v>341</v>
      </c>
      <c r="E1216" s="2">
        <v>26</v>
      </c>
      <c r="F1216" s="4">
        <v>9</v>
      </c>
      <c r="G1216" s="2">
        <v>234</v>
      </c>
      <c r="H1216" t="s">
        <v>25</v>
      </c>
      <c r="I1216" t="s">
        <v>16</v>
      </c>
      <c r="J1216" s="1">
        <v>44870</v>
      </c>
      <c r="K1216" t="b">
        <v>0</v>
      </c>
    </row>
    <row r="1217" spans="1:11" x14ac:dyDescent="0.25">
      <c r="A1217" t="s">
        <v>342</v>
      </c>
      <c r="B1217" t="s">
        <v>61</v>
      </c>
      <c r="C1217" t="s">
        <v>13</v>
      </c>
      <c r="D1217" t="s">
        <v>343</v>
      </c>
      <c r="E1217" s="2">
        <v>26</v>
      </c>
      <c r="F1217" s="4">
        <v>9</v>
      </c>
      <c r="G1217" s="2">
        <v>234</v>
      </c>
      <c r="H1217" t="s">
        <v>15</v>
      </c>
      <c r="I1217" t="s">
        <v>36</v>
      </c>
      <c r="J1217" s="1">
        <v>45613</v>
      </c>
      <c r="K1217" t="b">
        <v>0</v>
      </c>
    </row>
    <row r="1218" spans="1:11" x14ac:dyDescent="0.25">
      <c r="A1218" t="s">
        <v>6646</v>
      </c>
      <c r="B1218" t="s">
        <v>18</v>
      </c>
      <c r="C1218" t="s">
        <v>27</v>
      </c>
      <c r="D1218" t="s">
        <v>620</v>
      </c>
      <c r="E1218" s="2">
        <v>26</v>
      </c>
      <c r="F1218" s="4">
        <v>9</v>
      </c>
      <c r="G1218" s="2">
        <v>234</v>
      </c>
      <c r="H1218" t="s">
        <v>15</v>
      </c>
      <c r="I1218" t="s">
        <v>36</v>
      </c>
      <c r="J1218" s="1">
        <v>44930</v>
      </c>
      <c r="K1218" t="b">
        <v>1</v>
      </c>
    </row>
    <row r="1219" spans="1:11" x14ac:dyDescent="0.25">
      <c r="A1219" t="s">
        <v>7315</v>
      </c>
      <c r="B1219" t="s">
        <v>40</v>
      </c>
      <c r="C1219" t="s">
        <v>110</v>
      </c>
      <c r="D1219" t="s">
        <v>126</v>
      </c>
      <c r="E1219" s="2">
        <v>26</v>
      </c>
      <c r="F1219" s="4">
        <v>9</v>
      </c>
      <c r="G1219" s="2">
        <v>234</v>
      </c>
      <c r="H1219" t="s">
        <v>15</v>
      </c>
      <c r="I1219" t="s">
        <v>36</v>
      </c>
      <c r="J1219" s="1">
        <v>45137</v>
      </c>
      <c r="K1219" t="b">
        <v>0</v>
      </c>
    </row>
    <row r="1220" spans="1:11" x14ac:dyDescent="0.25">
      <c r="A1220" t="s">
        <v>5532</v>
      </c>
      <c r="B1220" t="s">
        <v>86</v>
      </c>
      <c r="C1220" t="s">
        <v>38</v>
      </c>
      <c r="D1220" t="s">
        <v>341</v>
      </c>
      <c r="E1220" s="2">
        <v>26</v>
      </c>
      <c r="F1220" s="4">
        <v>9</v>
      </c>
      <c r="G1220" s="2">
        <v>234</v>
      </c>
      <c r="H1220" t="s">
        <v>45</v>
      </c>
      <c r="I1220" t="s">
        <v>36</v>
      </c>
      <c r="J1220" s="1">
        <v>45064</v>
      </c>
      <c r="K1220" t="b">
        <v>0</v>
      </c>
    </row>
    <row r="1221" spans="1:11" x14ac:dyDescent="0.25">
      <c r="A1221" t="s">
        <v>3223</v>
      </c>
      <c r="B1221" t="s">
        <v>86</v>
      </c>
      <c r="C1221" t="s">
        <v>59</v>
      </c>
      <c r="D1221" t="s">
        <v>463</v>
      </c>
      <c r="E1221" s="2">
        <v>26</v>
      </c>
      <c r="F1221" s="4">
        <v>9</v>
      </c>
      <c r="G1221" s="2">
        <v>234</v>
      </c>
      <c r="H1221" t="s">
        <v>25</v>
      </c>
      <c r="I1221" t="s">
        <v>36</v>
      </c>
      <c r="J1221" s="1">
        <v>45669</v>
      </c>
      <c r="K1221" t="b">
        <v>0</v>
      </c>
    </row>
    <row r="1222" spans="1:11" x14ac:dyDescent="0.25">
      <c r="A1222" t="s">
        <v>6430</v>
      </c>
      <c r="B1222" t="s">
        <v>63</v>
      </c>
      <c r="C1222" t="s">
        <v>13</v>
      </c>
      <c r="D1222" t="s">
        <v>343</v>
      </c>
      <c r="E1222" s="2">
        <v>26</v>
      </c>
      <c r="F1222" s="4">
        <v>9</v>
      </c>
      <c r="G1222" s="2">
        <v>234</v>
      </c>
      <c r="H1222" t="s">
        <v>25</v>
      </c>
      <c r="I1222" t="s">
        <v>16</v>
      </c>
      <c r="J1222" s="1">
        <v>45024</v>
      </c>
      <c r="K1222" t="b">
        <v>0</v>
      </c>
    </row>
    <row r="1223" spans="1:11" x14ac:dyDescent="0.25">
      <c r="A1223" t="s">
        <v>4607</v>
      </c>
      <c r="B1223" t="s">
        <v>56</v>
      </c>
      <c r="C1223" t="s">
        <v>59</v>
      </c>
      <c r="D1223" t="s">
        <v>463</v>
      </c>
      <c r="E1223" s="2">
        <v>26</v>
      </c>
      <c r="F1223" s="4">
        <v>9</v>
      </c>
      <c r="G1223" s="2">
        <v>234</v>
      </c>
      <c r="H1223" t="s">
        <v>45</v>
      </c>
      <c r="I1223" t="s">
        <v>36</v>
      </c>
      <c r="J1223" s="1">
        <v>45284</v>
      </c>
      <c r="K1223" t="b">
        <v>0</v>
      </c>
    </row>
    <row r="1224" spans="1:11" x14ac:dyDescent="0.25">
      <c r="A1224" t="s">
        <v>5234</v>
      </c>
      <c r="B1224" t="s">
        <v>100</v>
      </c>
      <c r="C1224" t="s">
        <v>31</v>
      </c>
      <c r="D1224" t="s">
        <v>579</v>
      </c>
      <c r="E1224" s="2">
        <v>26</v>
      </c>
      <c r="F1224" s="4">
        <v>9</v>
      </c>
      <c r="G1224" s="2">
        <v>234</v>
      </c>
      <c r="H1224" t="s">
        <v>25</v>
      </c>
      <c r="I1224" t="s">
        <v>36</v>
      </c>
      <c r="J1224" s="1">
        <v>44749</v>
      </c>
      <c r="K1224" t="b">
        <v>1</v>
      </c>
    </row>
    <row r="1225" spans="1:11" x14ac:dyDescent="0.25">
      <c r="A1225" t="s">
        <v>4195</v>
      </c>
      <c r="B1225" t="s">
        <v>43</v>
      </c>
      <c r="C1225" t="s">
        <v>13</v>
      </c>
      <c r="D1225" t="s">
        <v>343</v>
      </c>
      <c r="E1225" s="2">
        <v>26</v>
      </c>
      <c r="F1225" s="4">
        <v>9</v>
      </c>
      <c r="G1225" s="2">
        <v>234</v>
      </c>
      <c r="H1225" t="s">
        <v>45</v>
      </c>
      <c r="I1225" t="s">
        <v>36</v>
      </c>
      <c r="J1225" s="1">
        <v>44835</v>
      </c>
      <c r="K1225" t="b">
        <v>0</v>
      </c>
    </row>
    <row r="1226" spans="1:11" x14ac:dyDescent="0.25">
      <c r="A1226" t="s">
        <v>775</v>
      </c>
      <c r="B1226" t="s">
        <v>51</v>
      </c>
      <c r="C1226" t="s">
        <v>38</v>
      </c>
      <c r="D1226" t="s">
        <v>341</v>
      </c>
      <c r="E1226" s="2">
        <v>26</v>
      </c>
      <c r="F1226" s="4">
        <v>9</v>
      </c>
      <c r="G1226" s="2">
        <v>234</v>
      </c>
      <c r="H1226" t="s">
        <v>15</v>
      </c>
      <c r="I1226" t="s">
        <v>16</v>
      </c>
      <c r="J1226" s="1">
        <v>45286</v>
      </c>
      <c r="K1226" t="b">
        <v>0</v>
      </c>
    </row>
    <row r="1227" spans="1:11" x14ac:dyDescent="0.25">
      <c r="A1227" t="s">
        <v>125</v>
      </c>
      <c r="B1227" t="s">
        <v>34</v>
      </c>
      <c r="C1227" t="s">
        <v>110</v>
      </c>
      <c r="D1227" t="s">
        <v>126</v>
      </c>
      <c r="E1227" s="2">
        <v>26</v>
      </c>
      <c r="F1227" s="4">
        <v>9</v>
      </c>
      <c r="G1227" s="2">
        <v>234</v>
      </c>
      <c r="H1227" t="s">
        <v>45</v>
      </c>
      <c r="I1227" t="s">
        <v>16</v>
      </c>
      <c r="J1227" s="1">
        <v>45495</v>
      </c>
      <c r="K1227" t="b">
        <v>1</v>
      </c>
    </row>
    <row r="1228" spans="1:11" x14ac:dyDescent="0.25">
      <c r="A1228" t="s">
        <v>3836</v>
      </c>
      <c r="B1228" t="s">
        <v>72</v>
      </c>
      <c r="C1228" t="s">
        <v>13</v>
      </c>
      <c r="D1228" t="s">
        <v>343</v>
      </c>
      <c r="E1228" s="2">
        <v>26</v>
      </c>
      <c r="F1228" s="4">
        <v>9</v>
      </c>
      <c r="G1228" s="2">
        <v>234</v>
      </c>
      <c r="H1228" t="s">
        <v>15</v>
      </c>
      <c r="I1228" t="s">
        <v>36</v>
      </c>
      <c r="J1228" s="1">
        <v>45058</v>
      </c>
      <c r="K1228" t="b">
        <v>0</v>
      </c>
    </row>
    <row r="1229" spans="1:11" x14ac:dyDescent="0.25">
      <c r="A1229" t="s">
        <v>340</v>
      </c>
      <c r="B1229" t="s">
        <v>142</v>
      </c>
      <c r="C1229" t="s">
        <v>38</v>
      </c>
      <c r="D1229" t="s">
        <v>341</v>
      </c>
      <c r="E1229" s="2">
        <v>26</v>
      </c>
      <c r="F1229" s="4">
        <v>9</v>
      </c>
      <c r="G1229" s="2">
        <v>234</v>
      </c>
      <c r="H1229" t="s">
        <v>45</v>
      </c>
      <c r="I1229" t="s">
        <v>36</v>
      </c>
      <c r="J1229" s="1">
        <v>44575</v>
      </c>
      <c r="K1229" t="b">
        <v>0</v>
      </c>
    </row>
    <row r="1230" spans="1:11" x14ac:dyDescent="0.25">
      <c r="A1230" t="s">
        <v>6798</v>
      </c>
      <c r="B1230" t="s">
        <v>69</v>
      </c>
      <c r="C1230" t="s">
        <v>23</v>
      </c>
      <c r="D1230" t="s">
        <v>853</v>
      </c>
      <c r="E1230" s="2">
        <v>26</v>
      </c>
      <c r="F1230" s="4">
        <v>9</v>
      </c>
      <c r="G1230" s="2">
        <v>234</v>
      </c>
      <c r="H1230" t="s">
        <v>45</v>
      </c>
      <c r="I1230" t="s">
        <v>16</v>
      </c>
      <c r="J1230" s="1">
        <v>45092</v>
      </c>
      <c r="K1230" t="b">
        <v>0</v>
      </c>
    </row>
    <row r="1231" spans="1:11" x14ac:dyDescent="0.25">
      <c r="A1231" t="s">
        <v>2972</v>
      </c>
      <c r="B1231" t="s">
        <v>72</v>
      </c>
      <c r="C1231" t="s">
        <v>38</v>
      </c>
      <c r="D1231" t="s">
        <v>341</v>
      </c>
      <c r="E1231" s="2">
        <v>26</v>
      </c>
      <c r="F1231" s="4">
        <v>9</v>
      </c>
      <c r="G1231" s="2">
        <v>234</v>
      </c>
      <c r="H1231" t="s">
        <v>45</v>
      </c>
      <c r="I1231" t="s">
        <v>16</v>
      </c>
      <c r="J1231" s="1">
        <v>45543</v>
      </c>
      <c r="K1231" t="b">
        <v>1</v>
      </c>
    </row>
    <row r="1232" spans="1:11" x14ac:dyDescent="0.25">
      <c r="A1232" t="s">
        <v>1287</v>
      </c>
      <c r="B1232" t="s">
        <v>86</v>
      </c>
      <c r="C1232" t="s">
        <v>13</v>
      </c>
      <c r="D1232" t="s">
        <v>343</v>
      </c>
      <c r="E1232" s="2">
        <v>26</v>
      </c>
      <c r="F1232" s="4">
        <v>9</v>
      </c>
      <c r="G1232" s="2">
        <v>234</v>
      </c>
      <c r="H1232" t="s">
        <v>25</v>
      </c>
      <c r="I1232" t="s">
        <v>36</v>
      </c>
      <c r="J1232" s="1">
        <v>45303</v>
      </c>
      <c r="K1232" t="b">
        <v>1</v>
      </c>
    </row>
    <row r="1233" spans="1:11" x14ac:dyDescent="0.25">
      <c r="A1233" t="s">
        <v>1039</v>
      </c>
      <c r="B1233" t="s">
        <v>86</v>
      </c>
      <c r="C1233" t="s">
        <v>38</v>
      </c>
      <c r="D1233" t="s">
        <v>341</v>
      </c>
      <c r="E1233" s="2">
        <v>26</v>
      </c>
      <c r="F1233" s="4">
        <v>9</v>
      </c>
      <c r="G1233" s="2">
        <v>234</v>
      </c>
      <c r="H1233" t="s">
        <v>25</v>
      </c>
      <c r="I1233" t="s">
        <v>16</v>
      </c>
      <c r="J1233" s="1">
        <v>44995</v>
      </c>
      <c r="K1233" t="b">
        <v>0</v>
      </c>
    </row>
    <row r="1234" spans="1:11" x14ac:dyDescent="0.25">
      <c r="A1234" t="s">
        <v>6514</v>
      </c>
      <c r="B1234" t="s">
        <v>66</v>
      </c>
      <c r="C1234" t="s">
        <v>38</v>
      </c>
      <c r="D1234" t="s">
        <v>341</v>
      </c>
      <c r="E1234" s="2">
        <v>26</v>
      </c>
      <c r="F1234" s="4">
        <v>9</v>
      </c>
      <c r="G1234" s="2">
        <v>234</v>
      </c>
      <c r="H1234" t="s">
        <v>25</v>
      </c>
      <c r="I1234" t="s">
        <v>36</v>
      </c>
      <c r="J1234" s="1">
        <v>44783</v>
      </c>
      <c r="K1234" t="b">
        <v>0</v>
      </c>
    </row>
    <row r="1235" spans="1:11" x14ac:dyDescent="0.25">
      <c r="A1235" t="s">
        <v>3070</v>
      </c>
      <c r="B1235" t="s">
        <v>40</v>
      </c>
      <c r="C1235" t="s">
        <v>110</v>
      </c>
      <c r="D1235" t="s">
        <v>126</v>
      </c>
      <c r="E1235" s="2">
        <v>26</v>
      </c>
      <c r="F1235" s="4">
        <v>9</v>
      </c>
      <c r="G1235" s="2">
        <v>234</v>
      </c>
      <c r="H1235" t="s">
        <v>15</v>
      </c>
      <c r="I1235" t="s">
        <v>16</v>
      </c>
      <c r="J1235" s="1">
        <v>45606</v>
      </c>
      <c r="K1235" t="b">
        <v>1</v>
      </c>
    </row>
    <row r="1236" spans="1:11" x14ac:dyDescent="0.25">
      <c r="A1236" t="s">
        <v>2877</v>
      </c>
      <c r="B1236" t="s">
        <v>63</v>
      </c>
      <c r="C1236" t="s">
        <v>59</v>
      </c>
      <c r="D1236" t="s">
        <v>463</v>
      </c>
      <c r="E1236" s="2">
        <v>26</v>
      </c>
      <c r="F1236" s="4">
        <v>9</v>
      </c>
      <c r="G1236" s="2">
        <v>234</v>
      </c>
      <c r="H1236" t="s">
        <v>25</v>
      </c>
      <c r="I1236" t="s">
        <v>16</v>
      </c>
      <c r="J1236" s="1">
        <v>45542</v>
      </c>
      <c r="K1236" t="b">
        <v>0</v>
      </c>
    </row>
    <row r="1237" spans="1:11" x14ac:dyDescent="0.25">
      <c r="A1237" t="s">
        <v>3333</v>
      </c>
      <c r="B1237" t="s">
        <v>22</v>
      </c>
      <c r="C1237" t="s">
        <v>13</v>
      </c>
      <c r="D1237" t="s">
        <v>343</v>
      </c>
      <c r="E1237" s="2">
        <v>26</v>
      </c>
      <c r="F1237" s="4">
        <v>9</v>
      </c>
      <c r="G1237" s="2">
        <v>234</v>
      </c>
      <c r="H1237" t="s">
        <v>25</v>
      </c>
      <c r="I1237" t="s">
        <v>36</v>
      </c>
      <c r="J1237" s="1">
        <v>44802</v>
      </c>
      <c r="K1237" t="b">
        <v>1</v>
      </c>
    </row>
    <row r="1238" spans="1:11" x14ac:dyDescent="0.25">
      <c r="A1238" t="s">
        <v>3313</v>
      </c>
      <c r="B1238" t="s">
        <v>51</v>
      </c>
      <c r="C1238" t="s">
        <v>59</v>
      </c>
      <c r="D1238" t="s">
        <v>463</v>
      </c>
      <c r="E1238" s="2">
        <v>26</v>
      </c>
      <c r="F1238" s="4">
        <v>9</v>
      </c>
      <c r="G1238" s="2">
        <v>234</v>
      </c>
      <c r="H1238" t="s">
        <v>15</v>
      </c>
      <c r="I1238" t="s">
        <v>16</v>
      </c>
      <c r="J1238" s="1">
        <v>45320</v>
      </c>
      <c r="K1238" t="b">
        <v>1</v>
      </c>
    </row>
    <row r="1239" spans="1:11" x14ac:dyDescent="0.25">
      <c r="A1239" t="s">
        <v>7686</v>
      </c>
      <c r="B1239" t="s">
        <v>30</v>
      </c>
      <c r="C1239" t="s">
        <v>19</v>
      </c>
      <c r="D1239" t="s">
        <v>268</v>
      </c>
      <c r="E1239" s="2">
        <v>26</v>
      </c>
      <c r="F1239" s="4">
        <v>9</v>
      </c>
      <c r="G1239" s="2">
        <v>234</v>
      </c>
      <c r="H1239" t="s">
        <v>15</v>
      </c>
      <c r="I1239" t="s">
        <v>16</v>
      </c>
      <c r="J1239" s="1">
        <v>45648</v>
      </c>
      <c r="K1239" t="b">
        <v>0</v>
      </c>
    </row>
    <row r="1240" spans="1:11" x14ac:dyDescent="0.25">
      <c r="A1240" t="s">
        <v>1395</v>
      </c>
      <c r="B1240" t="s">
        <v>22</v>
      </c>
      <c r="C1240" t="s">
        <v>59</v>
      </c>
      <c r="D1240" t="s">
        <v>463</v>
      </c>
      <c r="E1240" s="2">
        <v>26</v>
      </c>
      <c r="F1240" s="4">
        <v>9</v>
      </c>
      <c r="G1240" s="2">
        <v>234</v>
      </c>
      <c r="H1240" t="s">
        <v>15</v>
      </c>
      <c r="I1240" t="s">
        <v>16</v>
      </c>
      <c r="J1240" s="1">
        <v>44724</v>
      </c>
      <c r="K1240" t="b">
        <v>0</v>
      </c>
    </row>
    <row r="1241" spans="1:11" x14ac:dyDescent="0.25">
      <c r="A1241" t="s">
        <v>7536</v>
      </c>
      <c r="B1241" t="s">
        <v>97</v>
      </c>
      <c r="C1241" t="s">
        <v>23</v>
      </c>
      <c r="D1241" t="s">
        <v>853</v>
      </c>
      <c r="E1241" s="2">
        <v>26</v>
      </c>
      <c r="F1241" s="4">
        <v>9</v>
      </c>
      <c r="G1241" s="2">
        <v>234</v>
      </c>
      <c r="H1241" t="s">
        <v>25</v>
      </c>
      <c r="I1241" t="s">
        <v>36</v>
      </c>
      <c r="J1241" s="1">
        <v>44741</v>
      </c>
      <c r="K1241" t="b">
        <v>1</v>
      </c>
    </row>
    <row r="1242" spans="1:11" x14ac:dyDescent="0.25">
      <c r="A1242" t="s">
        <v>4440</v>
      </c>
      <c r="B1242" t="s">
        <v>142</v>
      </c>
      <c r="C1242" t="s">
        <v>59</v>
      </c>
      <c r="D1242" t="s">
        <v>463</v>
      </c>
      <c r="E1242" s="2">
        <v>26</v>
      </c>
      <c r="F1242" s="4">
        <v>9</v>
      </c>
      <c r="G1242" s="2">
        <v>234</v>
      </c>
      <c r="H1242" t="s">
        <v>25</v>
      </c>
      <c r="I1242" t="s">
        <v>36</v>
      </c>
      <c r="J1242" s="1">
        <v>44711</v>
      </c>
      <c r="K1242" t="b">
        <v>0</v>
      </c>
    </row>
    <row r="1243" spans="1:11" x14ac:dyDescent="0.25">
      <c r="A1243" t="s">
        <v>1012</v>
      </c>
      <c r="B1243" t="s">
        <v>93</v>
      </c>
      <c r="C1243" t="s">
        <v>59</v>
      </c>
      <c r="D1243" t="s">
        <v>463</v>
      </c>
      <c r="E1243" s="2">
        <v>26</v>
      </c>
      <c r="F1243" s="4">
        <v>9</v>
      </c>
      <c r="G1243" s="2">
        <v>234</v>
      </c>
      <c r="H1243" t="s">
        <v>45</v>
      </c>
      <c r="I1243" t="s">
        <v>36</v>
      </c>
      <c r="J1243" s="1">
        <v>45420</v>
      </c>
      <c r="K1243" t="b">
        <v>0</v>
      </c>
    </row>
    <row r="1244" spans="1:11" x14ac:dyDescent="0.25">
      <c r="A1244" t="s">
        <v>5017</v>
      </c>
      <c r="B1244" t="s">
        <v>85</v>
      </c>
      <c r="C1244" t="s">
        <v>23</v>
      </c>
      <c r="D1244" t="s">
        <v>853</v>
      </c>
      <c r="E1244" s="2">
        <v>26</v>
      </c>
      <c r="F1244" s="4">
        <v>9</v>
      </c>
      <c r="G1244" s="2">
        <v>234</v>
      </c>
      <c r="H1244" t="s">
        <v>45</v>
      </c>
      <c r="I1244" t="s">
        <v>16</v>
      </c>
      <c r="J1244" s="1">
        <v>44895</v>
      </c>
      <c r="K1244" t="b">
        <v>0</v>
      </c>
    </row>
    <row r="1245" spans="1:11" x14ac:dyDescent="0.25">
      <c r="A1245" t="s">
        <v>6134</v>
      </c>
      <c r="B1245" t="s">
        <v>93</v>
      </c>
      <c r="C1245" t="s">
        <v>23</v>
      </c>
      <c r="D1245" t="s">
        <v>853</v>
      </c>
      <c r="E1245" s="2">
        <v>26</v>
      </c>
      <c r="F1245" s="4">
        <v>9</v>
      </c>
      <c r="G1245" s="2">
        <v>234</v>
      </c>
      <c r="H1245" t="s">
        <v>25</v>
      </c>
      <c r="I1245" t="s">
        <v>36</v>
      </c>
      <c r="J1245" s="1">
        <v>44587</v>
      </c>
      <c r="K1245" t="b">
        <v>1</v>
      </c>
    </row>
    <row r="1246" spans="1:11" x14ac:dyDescent="0.25">
      <c r="A1246" t="s">
        <v>7606</v>
      </c>
      <c r="B1246" t="s">
        <v>100</v>
      </c>
      <c r="C1246" t="s">
        <v>13</v>
      </c>
      <c r="D1246" t="s">
        <v>343</v>
      </c>
      <c r="E1246" s="2">
        <v>26</v>
      </c>
      <c r="F1246" s="4">
        <v>9</v>
      </c>
      <c r="G1246" s="2">
        <v>234</v>
      </c>
      <c r="H1246" t="s">
        <v>15</v>
      </c>
      <c r="I1246" t="s">
        <v>16</v>
      </c>
      <c r="J1246" s="1">
        <v>45274</v>
      </c>
      <c r="K1246" t="b">
        <v>0</v>
      </c>
    </row>
    <row r="1247" spans="1:11" x14ac:dyDescent="0.25">
      <c r="A1247" t="s">
        <v>5524</v>
      </c>
      <c r="B1247" t="s">
        <v>58</v>
      </c>
      <c r="C1247" t="s">
        <v>38</v>
      </c>
      <c r="D1247" t="s">
        <v>341</v>
      </c>
      <c r="E1247" s="2">
        <v>26</v>
      </c>
      <c r="F1247" s="4">
        <v>9</v>
      </c>
      <c r="G1247" s="2">
        <v>234</v>
      </c>
      <c r="H1247" t="s">
        <v>15</v>
      </c>
      <c r="I1247" t="s">
        <v>36</v>
      </c>
      <c r="J1247" s="1">
        <v>45407</v>
      </c>
      <c r="K1247" t="b">
        <v>1</v>
      </c>
    </row>
    <row r="1248" spans="1:11" x14ac:dyDescent="0.25">
      <c r="A1248" t="s">
        <v>3147</v>
      </c>
      <c r="B1248" t="s">
        <v>72</v>
      </c>
      <c r="C1248" t="s">
        <v>59</v>
      </c>
      <c r="D1248" t="s">
        <v>297</v>
      </c>
      <c r="E1248" s="2">
        <v>29</v>
      </c>
      <c r="F1248" s="4">
        <v>8</v>
      </c>
      <c r="G1248" s="2">
        <v>232</v>
      </c>
      <c r="H1248" t="s">
        <v>15</v>
      </c>
      <c r="I1248" t="s">
        <v>16</v>
      </c>
      <c r="J1248" s="1">
        <v>44983</v>
      </c>
      <c r="K1248" t="b">
        <v>1</v>
      </c>
    </row>
    <row r="1249" spans="1:11" x14ac:dyDescent="0.25">
      <c r="A1249" t="s">
        <v>715</v>
      </c>
      <c r="B1249" t="s">
        <v>93</v>
      </c>
      <c r="C1249" t="s">
        <v>27</v>
      </c>
      <c r="D1249" t="s">
        <v>421</v>
      </c>
      <c r="E1249" s="2">
        <v>29</v>
      </c>
      <c r="F1249" s="4">
        <v>8</v>
      </c>
      <c r="G1249" s="2">
        <v>232</v>
      </c>
      <c r="H1249" t="s">
        <v>25</v>
      </c>
      <c r="I1249" t="s">
        <v>36</v>
      </c>
      <c r="J1249" s="1">
        <v>44600</v>
      </c>
      <c r="K1249" t="b">
        <v>0</v>
      </c>
    </row>
    <row r="1250" spans="1:11" x14ac:dyDescent="0.25">
      <c r="A1250" t="s">
        <v>5591</v>
      </c>
      <c r="B1250" t="s">
        <v>18</v>
      </c>
      <c r="C1250" t="s">
        <v>27</v>
      </c>
      <c r="D1250" t="s">
        <v>421</v>
      </c>
      <c r="E1250" s="2">
        <v>29</v>
      </c>
      <c r="F1250" s="4">
        <v>8</v>
      </c>
      <c r="G1250" s="2">
        <v>232</v>
      </c>
      <c r="H1250" t="s">
        <v>25</v>
      </c>
      <c r="I1250" t="s">
        <v>36</v>
      </c>
      <c r="J1250" s="1">
        <v>45115</v>
      </c>
      <c r="K1250" t="b">
        <v>1</v>
      </c>
    </row>
    <row r="1251" spans="1:11" x14ac:dyDescent="0.25">
      <c r="A1251" t="s">
        <v>1435</v>
      </c>
      <c r="B1251" t="s">
        <v>34</v>
      </c>
      <c r="C1251" t="s">
        <v>13</v>
      </c>
      <c r="D1251" t="s">
        <v>55</v>
      </c>
      <c r="E1251" s="2">
        <v>29</v>
      </c>
      <c r="F1251" s="4">
        <v>8</v>
      </c>
      <c r="G1251" s="2">
        <v>232</v>
      </c>
      <c r="H1251" t="s">
        <v>45</v>
      </c>
      <c r="I1251" t="s">
        <v>36</v>
      </c>
      <c r="J1251" s="1">
        <v>45183</v>
      </c>
      <c r="K1251" t="b">
        <v>0</v>
      </c>
    </row>
    <row r="1252" spans="1:11" x14ac:dyDescent="0.25">
      <c r="A1252" t="s">
        <v>3867</v>
      </c>
      <c r="B1252" t="s">
        <v>66</v>
      </c>
      <c r="C1252" t="s">
        <v>19</v>
      </c>
      <c r="D1252" t="s">
        <v>20</v>
      </c>
      <c r="E1252" s="2">
        <v>29</v>
      </c>
      <c r="F1252" s="4">
        <v>8</v>
      </c>
      <c r="G1252" s="2">
        <v>232</v>
      </c>
      <c r="H1252" t="s">
        <v>45</v>
      </c>
      <c r="I1252" t="s">
        <v>36</v>
      </c>
      <c r="J1252" s="1">
        <v>44929</v>
      </c>
      <c r="K1252" t="b">
        <v>1</v>
      </c>
    </row>
    <row r="1253" spans="1:11" x14ac:dyDescent="0.25">
      <c r="A1253" t="s">
        <v>3106</v>
      </c>
      <c r="B1253" t="s">
        <v>12</v>
      </c>
      <c r="C1253" t="s">
        <v>27</v>
      </c>
      <c r="D1253" t="s">
        <v>421</v>
      </c>
      <c r="E1253" s="2">
        <v>29</v>
      </c>
      <c r="F1253" s="4">
        <v>8</v>
      </c>
      <c r="G1253" s="2">
        <v>232</v>
      </c>
      <c r="H1253" t="s">
        <v>15</v>
      </c>
      <c r="I1253" t="s">
        <v>16</v>
      </c>
      <c r="J1253" s="1">
        <v>45120</v>
      </c>
      <c r="K1253" t="b">
        <v>1</v>
      </c>
    </row>
    <row r="1254" spans="1:11" x14ac:dyDescent="0.25">
      <c r="A1254" t="s">
        <v>3738</v>
      </c>
      <c r="B1254" t="s">
        <v>37</v>
      </c>
      <c r="C1254" t="s">
        <v>19</v>
      </c>
      <c r="D1254" t="s">
        <v>20</v>
      </c>
      <c r="E1254" s="2">
        <v>29</v>
      </c>
      <c r="F1254" s="4">
        <v>8</v>
      </c>
      <c r="G1254" s="2">
        <v>232</v>
      </c>
      <c r="H1254" t="s">
        <v>15</v>
      </c>
      <c r="I1254" t="s">
        <v>36</v>
      </c>
      <c r="J1254" s="1">
        <v>45416</v>
      </c>
      <c r="K1254" t="b">
        <v>0</v>
      </c>
    </row>
    <row r="1255" spans="1:11" x14ac:dyDescent="0.25">
      <c r="A1255" t="s">
        <v>1093</v>
      </c>
      <c r="B1255" t="s">
        <v>142</v>
      </c>
      <c r="C1255" t="s">
        <v>19</v>
      </c>
      <c r="D1255" t="s">
        <v>20</v>
      </c>
      <c r="E1255" s="2">
        <v>29</v>
      </c>
      <c r="F1255" s="4">
        <v>8</v>
      </c>
      <c r="G1255" s="2">
        <v>232</v>
      </c>
      <c r="H1255" t="s">
        <v>25</v>
      </c>
      <c r="I1255" t="s">
        <v>36</v>
      </c>
      <c r="J1255" s="1">
        <v>45189</v>
      </c>
      <c r="K1255" t="b">
        <v>1</v>
      </c>
    </row>
    <row r="1256" spans="1:11" x14ac:dyDescent="0.25">
      <c r="A1256" t="s">
        <v>5179</v>
      </c>
      <c r="B1256" t="s">
        <v>30</v>
      </c>
      <c r="C1256" t="s">
        <v>27</v>
      </c>
      <c r="D1256" t="s">
        <v>421</v>
      </c>
      <c r="E1256" s="2">
        <v>29</v>
      </c>
      <c r="F1256" s="4">
        <v>8</v>
      </c>
      <c r="G1256" s="2">
        <v>232</v>
      </c>
      <c r="H1256" t="s">
        <v>45</v>
      </c>
      <c r="I1256" t="s">
        <v>16</v>
      </c>
      <c r="J1256" s="1">
        <v>45556</v>
      </c>
      <c r="K1256" t="b">
        <v>1</v>
      </c>
    </row>
    <row r="1257" spans="1:11" x14ac:dyDescent="0.25">
      <c r="A1257" t="s">
        <v>3933</v>
      </c>
      <c r="B1257" t="s">
        <v>26</v>
      </c>
      <c r="C1257" t="s">
        <v>27</v>
      </c>
      <c r="D1257" t="s">
        <v>421</v>
      </c>
      <c r="E1257" s="2">
        <v>29</v>
      </c>
      <c r="F1257" s="4">
        <v>8</v>
      </c>
      <c r="G1257" s="2">
        <v>232</v>
      </c>
      <c r="H1257" t="s">
        <v>15</v>
      </c>
      <c r="I1257" t="s">
        <v>16</v>
      </c>
      <c r="J1257" s="1">
        <v>44959</v>
      </c>
      <c r="K1257" t="b">
        <v>0</v>
      </c>
    </row>
    <row r="1258" spans="1:11" x14ac:dyDescent="0.25">
      <c r="A1258" t="s">
        <v>7185</v>
      </c>
      <c r="B1258" t="s">
        <v>66</v>
      </c>
      <c r="C1258" t="s">
        <v>19</v>
      </c>
      <c r="D1258" t="s">
        <v>20</v>
      </c>
      <c r="E1258" s="2">
        <v>29</v>
      </c>
      <c r="F1258" s="4">
        <v>8</v>
      </c>
      <c r="G1258" s="2">
        <v>232</v>
      </c>
      <c r="H1258" t="s">
        <v>25</v>
      </c>
      <c r="I1258" t="s">
        <v>36</v>
      </c>
      <c r="J1258" s="1">
        <v>45045</v>
      </c>
      <c r="K1258" t="b">
        <v>0</v>
      </c>
    </row>
    <row r="1259" spans="1:11" x14ac:dyDescent="0.25">
      <c r="A1259" t="s">
        <v>7456</v>
      </c>
      <c r="B1259" t="s">
        <v>69</v>
      </c>
      <c r="C1259" t="s">
        <v>38</v>
      </c>
      <c r="D1259" t="s">
        <v>267</v>
      </c>
      <c r="E1259" s="2">
        <v>29</v>
      </c>
      <c r="F1259" s="4">
        <v>8</v>
      </c>
      <c r="G1259" s="2">
        <v>232</v>
      </c>
      <c r="H1259" t="s">
        <v>45</v>
      </c>
      <c r="I1259" t="s">
        <v>36</v>
      </c>
      <c r="J1259" s="1">
        <v>44684</v>
      </c>
      <c r="K1259" t="b">
        <v>1</v>
      </c>
    </row>
    <row r="1260" spans="1:11" x14ac:dyDescent="0.25">
      <c r="A1260" t="s">
        <v>5699</v>
      </c>
      <c r="B1260" t="s">
        <v>26</v>
      </c>
      <c r="C1260" t="s">
        <v>31</v>
      </c>
      <c r="D1260" t="s">
        <v>372</v>
      </c>
      <c r="E1260" s="2">
        <v>29</v>
      </c>
      <c r="F1260" s="4">
        <v>8</v>
      </c>
      <c r="G1260" s="2">
        <v>232</v>
      </c>
      <c r="H1260" t="s">
        <v>25</v>
      </c>
      <c r="I1260" t="s">
        <v>36</v>
      </c>
      <c r="J1260" s="1">
        <v>45645</v>
      </c>
      <c r="K1260" t="b">
        <v>0</v>
      </c>
    </row>
    <row r="1261" spans="1:11" x14ac:dyDescent="0.25">
      <c r="A1261" t="s">
        <v>3573</v>
      </c>
      <c r="B1261" t="s">
        <v>69</v>
      </c>
      <c r="C1261" t="s">
        <v>19</v>
      </c>
      <c r="D1261" t="s">
        <v>20</v>
      </c>
      <c r="E1261" s="2">
        <v>29</v>
      </c>
      <c r="F1261" s="4">
        <v>8</v>
      </c>
      <c r="G1261" s="2">
        <v>232</v>
      </c>
      <c r="H1261" t="s">
        <v>15</v>
      </c>
      <c r="I1261" t="s">
        <v>36</v>
      </c>
      <c r="J1261" s="1">
        <v>45314</v>
      </c>
      <c r="K1261" t="b">
        <v>1</v>
      </c>
    </row>
    <row r="1262" spans="1:11" x14ac:dyDescent="0.25">
      <c r="A1262" t="s">
        <v>7728</v>
      </c>
      <c r="B1262" t="s">
        <v>58</v>
      </c>
      <c r="C1262" t="s">
        <v>59</v>
      </c>
      <c r="D1262" t="s">
        <v>297</v>
      </c>
      <c r="E1262" s="2">
        <v>29</v>
      </c>
      <c r="F1262" s="4">
        <v>8</v>
      </c>
      <c r="G1262" s="2">
        <v>232</v>
      </c>
      <c r="H1262" t="s">
        <v>15</v>
      </c>
      <c r="I1262" t="s">
        <v>16</v>
      </c>
      <c r="J1262" s="1">
        <v>44904</v>
      </c>
      <c r="K1262" t="b">
        <v>1</v>
      </c>
    </row>
    <row r="1263" spans="1:11" x14ac:dyDescent="0.25">
      <c r="A1263" t="s">
        <v>371</v>
      </c>
      <c r="B1263" t="s">
        <v>63</v>
      </c>
      <c r="C1263" t="s">
        <v>31</v>
      </c>
      <c r="D1263" t="s">
        <v>372</v>
      </c>
      <c r="E1263" s="2">
        <v>29</v>
      </c>
      <c r="F1263" s="4">
        <v>8</v>
      </c>
      <c r="G1263" s="2">
        <v>232</v>
      </c>
      <c r="H1263" t="s">
        <v>45</v>
      </c>
      <c r="I1263" t="s">
        <v>16</v>
      </c>
      <c r="J1263" s="1">
        <v>45625</v>
      </c>
      <c r="K1263" t="b">
        <v>1</v>
      </c>
    </row>
    <row r="1264" spans="1:11" x14ac:dyDescent="0.25">
      <c r="A1264" t="s">
        <v>6124</v>
      </c>
      <c r="B1264" t="s">
        <v>66</v>
      </c>
      <c r="C1264" t="s">
        <v>23</v>
      </c>
      <c r="D1264" t="s">
        <v>352</v>
      </c>
      <c r="E1264" s="2">
        <v>29</v>
      </c>
      <c r="F1264" s="4">
        <v>8</v>
      </c>
      <c r="G1264" s="2">
        <v>232</v>
      </c>
      <c r="H1264" t="s">
        <v>45</v>
      </c>
      <c r="I1264" t="s">
        <v>16</v>
      </c>
      <c r="J1264" s="1">
        <v>45366</v>
      </c>
      <c r="K1264" t="b">
        <v>1</v>
      </c>
    </row>
    <row r="1265" spans="1:11" x14ac:dyDescent="0.25">
      <c r="A1265" t="s">
        <v>2563</v>
      </c>
      <c r="B1265" t="s">
        <v>63</v>
      </c>
      <c r="C1265" t="s">
        <v>59</v>
      </c>
      <c r="D1265" t="s">
        <v>297</v>
      </c>
      <c r="E1265" s="2">
        <v>29</v>
      </c>
      <c r="F1265" s="4">
        <v>8</v>
      </c>
      <c r="G1265" s="2">
        <v>232</v>
      </c>
      <c r="H1265" t="s">
        <v>45</v>
      </c>
      <c r="I1265" t="s">
        <v>16</v>
      </c>
      <c r="J1265" s="1">
        <v>45107</v>
      </c>
      <c r="K1265" t="b">
        <v>1</v>
      </c>
    </row>
    <row r="1266" spans="1:11" x14ac:dyDescent="0.25">
      <c r="A1266" t="s">
        <v>6974</v>
      </c>
      <c r="B1266" t="s">
        <v>61</v>
      </c>
      <c r="C1266" t="s">
        <v>19</v>
      </c>
      <c r="D1266" t="s">
        <v>20</v>
      </c>
      <c r="E1266" s="2">
        <v>29</v>
      </c>
      <c r="F1266" s="4">
        <v>8</v>
      </c>
      <c r="G1266" s="2">
        <v>232</v>
      </c>
      <c r="H1266" t="s">
        <v>25</v>
      </c>
      <c r="I1266" t="s">
        <v>16</v>
      </c>
      <c r="J1266" s="1">
        <v>45315</v>
      </c>
      <c r="K1266" t="b">
        <v>0</v>
      </c>
    </row>
    <row r="1267" spans="1:11" x14ac:dyDescent="0.25">
      <c r="A1267" t="s">
        <v>4646</v>
      </c>
      <c r="B1267" t="s">
        <v>97</v>
      </c>
      <c r="C1267" t="s">
        <v>13</v>
      </c>
      <c r="D1267" t="s">
        <v>55</v>
      </c>
      <c r="E1267" s="2">
        <v>29</v>
      </c>
      <c r="F1267" s="4">
        <v>8</v>
      </c>
      <c r="G1267" s="2">
        <v>232</v>
      </c>
      <c r="H1267" t="s">
        <v>15</v>
      </c>
      <c r="I1267" t="s">
        <v>36</v>
      </c>
      <c r="J1267" s="1">
        <v>45162</v>
      </c>
      <c r="K1267" t="b">
        <v>1</v>
      </c>
    </row>
    <row r="1268" spans="1:11" x14ac:dyDescent="0.25">
      <c r="A1268" t="s">
        <v>4101</v>
      </c>
      <c r="B1268" t="s">
        <v>12</v>
      </c>
      <c r="C1268" t="s">
        <v>38</v>
      </c>
      <c r="D1268" t="s">
        <v>267</v>
      </c>
      <c r="E1268" s="2">
        <v>29</v>
      </c>
      <c r="F1268" s="4">
        <v>8</v>
      </c>
      <c r="G1268" s="2">
        <v>232</v>
      </c>
      <c r="H1268" t="s">
        <v>25</v>
      </c>
      <c r="I1268" t="s">
        <v>16</v>
      </c>
      <c r="J1268" s="1">
        <v>44956</v>
      </c>
      <c r="K1268" t="b">
        <v>1</v>
      </c>
    </row>
    <row r="1269" spans="1:11" x14ac:dyDescent="0.25">
      <c r="A1269" t="s">
        <v>6864</v>
      </c>
      <c r="B1269" t="s">
        <v>12</v>
      </c>
      <c r="C1269" t="s">
        <v>110</v>
      </c>
      <c r="D1269" t="s">
        <v>386</v>
      </c>
      <c r="E1269" s="2">
        <v>29</v>
      </c>
      <c r="F1269" s="4">
        <v>8</v>
      </c>
      <c r="G1269" s="2">
        <v>232</v>
      </c>
      <c r="H1269" t="s">
        <v>15</v>
      </c>
      <c r="I1269" t="s">
        <v>16</v>
      </c>
      <c r="J1269" s="1">
        <v>44766</v>
      </c>
      <c r="K1269" t="b">
        <v>0</v>
      </c>
    </row>
    <row r="1270" spans="1:11" x14ac:dyDescent="0.25">
      <c r="A1270" t="s">
        <v>5929</v>
      </c>
      <c r="B1270" t="s">
        <v>104</v>
      </c>
      <c r="C1270" t="s">
        <v>19</v>
      </c>
      <c r="D1270" t="s">
        <v>20</v>
      </c>
      <c r="E1270" s="2">
        <v>29</v>
      </c>
      <c r="F1270" s="4">
        <v>8</v>
      </c>
      <c r="G1270" s="2">
        <v>232</v>
      </c>
      <c r="H1270" t="s">
        <v>15</v>
      </c>
      <c r="I1270" t="s">
        <v>16</v>
      </c>
      <c r="J1270" s="1">
        <v>44831</v>
      </c>
      <c r="K1270" t="b">
        <v>0</v>
      </c>
    </row>
    <row r="1271" spans="1:11" x14ac:dyDescent="0.25">
      <c r="A1271" t="s">
        <v>3217</v>
      </c>
      <c r="B1271" t="s">
        <v>97</v>
      </c>
      <c r="C1271" t="s">
        <v>13</v>
      </c>
      <c r="D1271" t="s">
        <v>55</v>
      </c>
      <c r="E1271" s="2">
        <v>29</v>
      </c>
      <c r="F1271" s="4">
        <v>8</v>
      </c>
      <c r="G1271" s="2">
        <v>232</v>
      </c>
      <c r="H1271" t="s">
        <v>15</v>
      </c>
      <c r="I1271" t="s">
        <v>16</v>
      </c>
      <c r="J1271" s="1">
        <v>45264</v>
      </c>
      <c r="K1271" t="b">
        <v>1</v>
      </c>
    </row>
    <row r="1272" spans="1:11" x14ac:dyDescent="0.25">
      <c r="A1272" t="s">
        <v>6209</v>
      </c>
      <c r="B1272" t="s">
        <v>100</v>
      </c>
      <c r="C1272" t="s">
        <v>38</v>
      </c>
      <c r="D1272" t="s">
        <v>267</v>
      </c>
      <c r="E1272" s="2">
        <v>29</v>
      </c>
      <c r="F1272" s="4">
        <v>8</v>
      </c>
      <c r="G1272" s="2">
        <v>232</v>
      </c>
      <c r="H1272" t="s">
        <v>25</v>
      </c>
      <c r="I1272" t="s">
        <v>16</v>
      </c>
      <c r="J1272" s="1">
        <v>45149</v>
      </c>
      <c r="K1272" t="b">
        <v>1</v>
      </c>
    </row>
    <row r="1273" spans="1:11" x14ac:dyDescent="0.25">
      <c r="A1273" t="s">
        <v>2028</v>
      </c>
      <c r="B1273" t="s">
        <v>66</v>
      </c>
      <c r="C1273" t="s">
        <v>19</v>
      </c>
      <c r="D1273" t="s">
        <v>20</v>
      </c>
      <c r="E1273" s="2">
        <v>29</v>
      </c>
      <c r="F1273" s="4">
        <v>8</v>
      </c>
      <c r="G1273" s="2">
        <v>232</v>
      </c>
      <c r="H1273" t="s">
        <v>15</v>
      </c>
      <c r="I1273" t="s">
        <v>16</v>
      </c>
      <c r="J1273" s="1">
        <v>44643</v>
      </c>
      <c r="K1273" t="b">
        <v>0</v>
      </c>
    </row>
    <row r="1274" spans="1:11" x14ac:dyDescent="0.25">
      <c r="A1274" t="s">
        <v>6659</v>
      </c>
      <c r="B1274" t="s">
        <v>72</v>
      </c>
      <c r="C1274" t="s">
        <v>13</v>
      </c>
      <c r="D1274" t="s">
        <v>55</v>
      </c>
      <c r="E1274" s="2">
        <v>29</v>
      </c>
      <c r="F1274" s="4">
        <v>8</v>
      </c>
      <c r="G1274" s="2">
        <v>232</v>
      </c>
      <c r="H1274" t="s">
        <v>25</v>
      </c>
      <c r="I1274" t="s">
        <v>36</v>
      </c>
      <c r="J1274" s="1">
        <v>45315</v>
      </c>
      <c r="K1274" t="b">
        <v>1</v>
      </c>
    </row>
    <row r="1275" spans="1:11" x14ac:dyDescent="0.25">
      <c r="A1275" t="s">
        <v>54</v>
      </c>
      <c r="B1275" t="s">
        <v>40</v>
      </c>
      <c r="C1275" t="s">
        <v>13</v>
      </c>
      <c r="D1275" t="s">
        <v>55</v>
      </c>
      <c r="E1275" s="2">
        <v>29</v>
      </c>
      <c r="F1275" s="4">
        <v>8</v>
      </c>
      <c r="G1275" s="2">
        <v>232</v>
      </c>
      <c r="H1275" t="s">
        <v>45</v>
      </c>
      <c r="I1275" t="s">
        <v>16</v>
      </c>
      <c r="J1275" s="1">
        <v>45612</v>
      </c>
      <c r="K1275" t="b">
        <v>1</v>
      </c>
    </row>
    <row r="1276" spans="1:11" x14ac:dyDescent="0.25">
      <c r="A1276" t="s">
        <v>2576</v>
      </c>
      <c r="B1276" t="s">
        <v>51</v>
      </c>
      <c r="C1276" t="s">
        <v>19</v>
      </c>
      <c r="D1276" t="s">
        <v>20</v>
      </c>
      <c r="E1276" s="2">
        <v>29</v>
      </c>
      <c r="F1276" s="4">
        <v>8</v>
      </c>
      <c r="G1276" s="2">
        <v>232</v>
      </c>
      <c r="H1276" t="s">
        <v>45</v>
      </c>
      <c r="I1276" t="s">
        <v>36</v>
      </c>
      <c r="J1276" s="1">
        <v>44897</v>
      </c>
      <c r="K1276" t="b">
        <v>0</v>
      </c>
    </row>
    <row r="1277" spans="1:11" x14ac:dyDescent="0.25">
      <c r="A1277" t="s">
        <v>7264</v>
      </c>
      <c r="B1277" t="s">
        <v>61</v>
      </c>
      <c r="C1277" t="s">
        <v>38</v>
      </c>
      <c r="D1277" t="s">
        <v>267</v>
      </c>
      <c r="E1277" s="2">
        <v>29</v>
      </c>
      <c r="F1277" s="4">
        <v>8</v>
      </c>
      <c r="G1277" s="2">
        <v>232</v>
      </c>
      <c r="H1277" t="s">
        <v>45</v>
      </c>
      <c r="I1277" t="s">
        <v>36</v>
      </c>
      <c r="J1277" s="1">
        <v>45325</v>
      </c>
      <c r="K1277" t="b">
        <v>1</v>
      </c>
    </row>
    <row r="1278" spans="1:11" x14ac:dyDescent="0.25">
      <c r="A1278" t="s">
        <v>7481</v>
      </c>
      <c r="B1278" t="s">
        <v>85</v>
      </c>
      <c r="C1278" t="s">
        <v>13</v>
      </c>
      <c r="D1278" t="s">
        <v>55</v>
      </c>
      <c r="E1278" s="2">
        <v>29</v>
      </c>
      <c r="F1278" s="4">
        <v>8</v>
      </c>
      <c r="G1278" s="2">
        <v>232</v>
      </c>
      <c r="H1278" t="s">
        <v>45</v>
      </c>
      <c r="I1278" t="s">
        <v>36</v>
      </c>
      <c r="J1278" s="1">
        <v>45497</v>
      </c>
      <c r="K1278" t="b">
        <v>0</v>
      </c>
    </row>
    <row r="1279" spans="1:11" x14ac:dyDescent="0.25">
      <c r="A1279" t="s">
        <v>3005</v>
      </c>
      <c r="B1279" t="s">
        <v>37</v>
      </c>
      <c r="C1279" t="s">
        <v>59</v>
      </c>
      <c r="D1279" t="s">
        <v>297</v>
      </c>
      <c r="E1279" s="2">
        <v>29</v>
      </c>
      <c r="F1279" s="4">
        <v>8</v>
      </c>
      <c r="G1279" s="2">
        <v>232</v>
      </c>
      <c r="H1279" t="s">
        <v>15</v>
      </c>
      <c r="I1279" t="s">
        <v>36</v>
      </c>
      <c r="J1279" s="1">
        <v>44664</v>
      </c>
      <c r="K1279" t="b">
        <v>0</v>
      </c>
    </row>
    <row r="1280" spans="1:11" x14ac:dyDescent="0.25">
      <c r="A1280" t="s">
        <v>2640</v>
      </c>
      <c r="B1280" t="s">
        <v>30</v>
      </c>
      <c r="C1280" t="s">
        <v>19</v>
      </c>
      <c r="D1280" t="s">
        <v>20</v>
      </c>
      <c r="E1280" s="2">
        <v>29</v>
      </c>
      <c r="F1280" s="4">
        <v>8</v>
      </c>
      <c r="G1280" s="2">
        <v>232</v>
      </c>
      <c r="H1280" t="s">
        <v>45</v>
      </c>
      <c r="I1280" t="s">
        <v>36</v>
      </c>
      <c r="J1280" s="1">
        <v>44761</v>
      </c>
      <c r="K1280" t="b">
        <v>0</v>
      </c>
    </row>
    <row r="1281" spans="1:11" x14ac:dyDescent="0.25">
      <c r="A1281" t="s">
        <v>4443</v>
      </c>
      <c r="B1281" t="s">
        <v>30</v>
      </c>
      <c r="C1281" t="s">
        <v>13</v>
      </c>
      <c r="D1281" t="s">
        <v>55</v>
      </c>
      <c r="E1281" s="2">
        <v>29</v>
      </c>
      <c r="F1281" s="4">
        <v>8</v>
      </c>
      <c r="G1281" s="2">
        <v>232</v>
      </c>
      <c r="H1281" t="s">
        <v>45</v>
      </c>
      <c r="I1281" t="s">
        <v>16</v>
      </c>
      <c r="J1281" s="1">
        <v>45370</v>
      </c>
      <c r="K1281" t="b">
        <v>1</v>
      </c>
    </row>
    <row r="1282" spans="1:11" x14ac:dyDescent="0.25">
      <c r="A1282" t="s">
        <v>3366</v>
      </c>
      <c r="B1282" t="s">
        <v>97</v>
      </c>
      <c r="C1282" t="s">
        <v>27</v>
      </c>
      <c r="D1282" t="s">
        <v>421</v>
      </c>
      <c r="E1282" s="2">
        <v>29</v>
      </c>
      <c r="F1282" s="4">
        <v>8</v>
      </c>
      <c r="G1282" s="2">
        <v>232</v>
      </c>
      <c r="H1282" t="s">
        <v>15</v>
      </c>
      <c r="I1282" t="s">
        <v>36</v>
      </c>
      <c r="J1282" s="1">
        <v>44690</v>
      </c>
      <c r="K1282" t="b">
        <v>1</v>
      </c>
    </row>
    <row r="1283" spans="1:11" x14ac:dyDescent="0.25">
      <c r="A1283" t="s">
        <v>2762</v>
      </c>
      <c r="B1283" t="s">
        <v>86</v>
      </c>
      <c r="C1283" t="s">
        <v>19</v>
      </c>
      <c r="D1283" t="s">
        <v>20</v>
      </c>
      <c r="E1283" s="2">
        <v>29</v>
      </c>
      <c r="F1283" s="4">
        <v>8</v>
      </c>
      <c r="G1283" s="2">
        <v>232</v>
      </c>
      <c r="H1283" t="s">
        <v>15</v>
      </c>
      <c r="I1283" t="s">
        <v>16</v>
      </c>
      <c r="J1283" s="1">
        <v>45185</v>
      </c>
      <c r="K1283" t="b">
        <v>0</v>
      </c>
    </row>
    <row r="1284" spans="1:11" x14ac:dyDescent="0.25">
      <c r="A1284" t="s">
        <v>3893</v>
      </c>
      <c r="B1284" t="s">
        <v>34</v>
      </c>
      <c r="C1284" t="s">
        <v>110</v>
      </c>
      <c r="D1284" t="s">
        <v>386</v>
      </c>
      <c r="E1284" s="2">
        <v>29</v>
      </c>
      <c r="F1284" s="4">
        <v>8</v>
      </c>
      <c r="G1284" s="2">
        <v>232</v>
      </c>
      <c r="H1284" t="s">
        <v>45</v>
      </c>
      <c r="I1284" t="s">
        <v>16</v>
      </c>
      <c r="J1284" s="1">
        <v>45392</v>
      </c>
      <c r="K1284" t="b">
        <v>0</v>
      </c>
    </row>
    <row r="1285" spans="1:11" x14ac:dyDescent="0.25">
      <c r="A1285" t="s">
        <v>5420</v>
      </c>
      <c r="B1285" t="s">
        <v>85</v>
      </c>
      <c r="C1285" t="s">
        <v>31</v>
      </c>
      <c r="D1285" t="s">
        <v>372</v>
      </c>
      <c r="E1285" s="2">
        <v>29</v>
      </c>
      <c r="F1285" s="4">
        <v>8</v>
      </c>
      <c r="G1285" s="2">
        <v>232</v>
      </c>
      <c r="H1285" t="s">
        <v>25</v>
      </c>
      <c r="I1285" t="s">
        <v>16</v>
      </c>
      <c r="J1285" s="1">
        <v>44785</v>
      </c>
      <c r="K1285" t="b">
        <v>1</v>
      </c>
    </row>
    <row r="1286" spans="1:11" x14ac:dyDescent="0.25">
      <c r="A1286" t="s">
        <v>6656</v>
      </c>
      <c r="B1286" t="s">
        <v>61</v>
      </c>
      <c r="C1286" t="s">
        <v>110</v>
      </c>
      <c r="D1286" t="s">
        <v>232</v>
      </c>
      <c r="E1286" s="2">
        <v>23</v>
      </c>
      <c r="F1286" s="4">
        <v>10</v>
      </c>
      <c r="G1286" s="2">
        <v>230</v>
      </c>
      <c r="H1286" t="s">
        <v>15</v>
      </c>
      <c r="I1286" t="s">
        <v>36</v>
      </c>
      <c r="J1286" s="1">
        <v>44668</v>
      </c>
      <c r="K1286" t="b">
        <v>0</v>
      </c>
    </row>
    <row r="1287" spans="1:11" x14ac:dyDescent="0.25">
      <c r="A1287" t="s">
        <v>3609</v>
      </c>
      <c r="B1287" t="s">
        <v>61</v>
      </c>
      <c r="C1287" t="s">
        <v>31</v>
      </c>
      <c r="D1287" t="s">
        <v>361</v>
      </c>
      <c r="E1287" s="2">
        <v>23</v>
      </c>
      <c r="F1287" s="4">
        <v>10</v>
      </c>
      <c r="G1287" s="2">
        <v>230</v>
      </c>
      <c r="H1287" t="s">
        <v>45</v>
      </c>
      <c r="I1287" t="s">
        <v>16</v>
      </c>
      <c r="J1287" s="1">
        <v>45633</v>
      </c>
      <c r="K1287" t="b">
        <v>1</v>
      </c>
    </row>
    <row r="1288" spans="1:11" x14ac:dyDescent="0.25">
      <c r="A1288" t="s">
        <v>4105</v>
      </c>
      <c r="B1288" t="s">
        <v>77</v>
      </c>
      <c r="C1288" t="s">
        <v>31</v>
      </c>
      <c r="D1288" t="s">
        <v>361</v>
      </c>
      <c r="E1288" s="2">
        <v>23</v>
      </c>
      <c r="F1288" s="4">
        <v>10</v>
      </c>
      <c r="G1288" s="2">
        <v>230</v>
      </c>
      <c r="H1288" t="s">
        <v>25</v>
      </c>
      <c r="I1288" t="s">
        <v>36</v>
      </c>
      <c r="J1288" s="1">
        <v>45382</v>
      </c>
      <c r="K1288" t="b">
        <v>1</v>
      </c>
    </row>
    <row r="1289" spans="1:11" x14ac:dyDescent="0.25">
      <c r="A1289" t="s">
        <v>3247</v>
      </c>
      <c r="B1289" t="s">
        <v>43</v>
      </c>
      <c r="C1289" t="s">
        <v>110</v>
      </c>
      <c r="D1289" t="s">
        <v>232</v>
      </c>
      <c r="E1289" s="2">
        <v>23</v>
      </c>
      <c r="F1289" s="4">
        <v>10</v>
      </c>
      <c r="G1289" s="2">
        <v>230</v>
      </c>
      <c r="H1289" t="s">
        <v>45</v>
      </c>
      <c r="I1289" t="s">
        <v>36</v>
      </c>
      <c r="J1289" s="1">
        <v>45316</v>
      </c>
      <c r="K1289" t="b">
        <v>1</v>
      </c>
    </row>
    <row r="1290" spans="1:11" x14ac:dyDescent="0.25">
      <c r="A1290" t="s">
        <v>1570</v>
      </c>
      <c r="B1290" t="s">
        <v>56</v>
      </c>
      <c r="C1290" t="s">
        <v>23</v>
      </c>
      <c r="D1290" t="s">
        <v>244</v>
      </c>
      <c r="E1290" s="2">
        <v>23</v>
      </c>
      <c r="F1290" s="4">
        <v>10</v>
      </c>
      <c r="G1290" s="2">
        <v>230</v>
      </c>
      <c r="H1290" t="s">
        <v>45</v>
      </c>
      <c r="I1290" t="s">
        <v>16</v>
      </c>
      <c r="J1290" s="1">
        <v>45641</v>
      </c>
      <c r="K1290" t="b">
        <v>0</v>
      </c>
    </row>
    <row r="1291" spans="1:11" x14ac:dyDescent="0.25">
      <c r="A1291" t="s">
        <v>7408</v>
      </c>
      <c r="B1291" t="s">
        <v>63</v>
      </c>
      <c r="C1291" t="s">
        <v>13</v>
      </c>
      <c r="D1291" t="s">
        <v>292</v>
      </c>
      <c r="E1291" s="2">
        <v>23</v>
      </c>
      <c r="F1291" s="4">
        <v>10</v>
      </c>
      <c r="G1291" s="2">
        <v>230</v>
      </c>
      <c r="H1291" t="s">
        <v>25</v>
      </c>
      <c r="I1291" t="s">
        <v>36</v>
      </c>
      <c r="J1291" s="1">
        <v>45498</v>
      </c>
      <c r="K1291" t="b">
        <v>0</v>
      </c>
    </row>
    <row r="1292" spans="1:11" x14ac:dyDescent="0.25">
      <c r="A1292" t="s">
        <v>3857</v>
      </c>
      <c r="B1292" t="s">
        <v>40</v>
      </c>
      <c r="C1292" t="s">
        <v>59</v>
      </c>
      <c r="D1292" t="s">
        <v>60</v>
      </c>
      <c r="E1292" s="2">
        <v>23</v>
      </c>
      <c r="F1292" s="4">
        <v>10</v>
      </c>
      <c r="G1292" s="2">
        <v>230</v>
      </c>
      <c r="H1292" t="s">
        <v>45</v>
      </c>
      <c r="I1292" t="s">
        <v>36</v>
      </c>
      <c r="J1292" s="1">
        <v>44889</v>
      </c>
      <c r="K1292" t="b">
        <v>0</v>
      </c>
    </row>
    <row r="1293" spans="1:11" x14ac:dyDescent="0.25">
      <c r="A1293" t="s">
        <v>2226</v>
      </c>
      <c r="B1293" t="s">
        <v>104</v>
      </c>
      <c r="C1293" t="s">
        <v>31</v>
      </c>
      <c r="D1293" t="s">
        <v>361</v>
      </c>
      <c r="E1293" s="2">
        <v>23</v>
      </c>
      <c r="F1293" s="4">
        <v>10</v>
      </c>
      <c r="G1293" s="2">
        <v>230</v>
      </c>
      <c r="H1293" t="s">
        <v>45</v>
      </c>
      <c r="I1293" t="s">
        <v>16</v>
      </c>
      <c r="J1293" s="1">
        <v>45133</v>
      </c>
      <c r="K1293" t="b">
        <v>0</v>
      </c>
    </row>
    <row r="1294" spans="1:11" x14ac:dyDescent="0.25">
      <c r="A1294" t="s">
        <v>1314</v>
      </c>
      <c r="B1294" t="s">
        <v>69</v>
      </c>
      <c r="C1294" t="s">
        <v>19</v>
      </c>
      <c r="D1294" t="s">
        <v>400</v>
      </c>
      <c r="E1294" s="2">
        <v>23</v>
      </c>
      <c r="F1294" s="4">
        <v>10</v>
      </c>
      <c r="G1294" s="2">
        <v>230</v>
      </c>
      <c r="H1294" t="s">
        <v>45</v>
      </c>
      <c r="I1294" t="s">
        <v>16</v>
      </c>
      <c r="J1294" s="1">
        <v>44885</v>
      </c>
      <c r="K1294" t="b">
        <v>1</v>
      </c>
    </row>
    <row r="1295" spans="1:11" x14ac:dyDescent="0.25">
      <c r="A1295" t="s">
        <v>7677</v>
      </c>
      <c r="B1295" t="s">
        <v>61</v>
      </c>
      <c r="C1295" t="s">
        <v>59</v>
      </c>
      <c r="D1295" t="s">
        <v>60</v>
      </c>
      <c r="E1295" s="2">
        <v>23</v>
      </c>
      <c r="F1295" s="4">
        <v>10</v>
      </c>
      <c r="G1295" s="2">
        <v>230</v>
      </c>
      <c r="H1295" t="s">
        <v>25</v>
      </c>
      <c r="I1295" t="s">
        <v>36</v>
      </c>
      <c r="J1295" s="1">
        <v>45639</v>
      </c>
      <c r="K1295" t="b">
        <v>1</v>
      </c>
    </row>
    <row r="1296" spans="1:11" x14ac:dyDescent="0.25">
      <c r="A1296" t="s">
        <v>535</v>
      </c>
      <c r="B1296" t="s">
        <v>85</v>
      </c>
      <c r="C1296" t="s">
        <v>23</v>
      </c>
      <c r="D1296" t="s">
        <v>244</v>
      </c>
      <c r="E1296" s="2">
        <v>23</v>
      </c>
      <c r="F1296" s="4">
        <v>10</v>
      </c>
      <c r="G1296" s="2">
        <v>230</v>
      </c>
      <c r="H1296" t="s">
        <v>15</v>
      </c>
      <c r="I1296" t="s">
        <v>36</v>
      </c>
      <c r="J1296" s="1">
        <v>44936</v>
      </c>
      <c r="K1296" t="b">
        <v>1</v>
      </c>
    </row>
    <row r="1297" spans="1:11" x14ac:dyDescent="0.25">
      <c r="A1297" t="s">
        <v>4426</v>
      </c>
      <c r="B1297" t="s">
        <v>51</v>
      </c>
      <c r="C1297" t="s">
        <v>59</v>
      </c>
      <c r="D1297" t="s">
        <v>60</v>
      </c>
      <c r="E1297" s="2">
        <v>23</v>
      </c>
      <c r="F1297" s="4">
        <v>10</v>
      </c>
      <c r="G1297" s="2">
        <v>230</v>
      </c>
      <c r="H1297" t="s">
        <v>45</v>
      </c>
      <c r="I1297" t="s">
        <v>16</v>
      </c>
      <c r="J1297" s="1">
        <v>45404</v>
      </c>
      <c r="K1297" t="b">
        <v>0</v>
      </c>
    </row>
    <row r="1298" spans="1:11" x14ac:dyDescent="0.25">
      <c r="A1298" t="s">
        <v>4208</v>
      </c>
      <c r="B1298" t="s">
        <v>63</v>
      </c>
      <c r="C1298" t="s">
        <v>23</v>
      </c>
      <c r="D1298" t="s">
        <v>244</v>
      </c>
      <c r="E1298" s="2">
        <v>23</v>
      </c>
      <c r="F1298" s="4">
        <v>10</v>
      </c>
      <c r="G1298" s="2">
        <v>230</v>
      </c>
      <c r="H1298" t="s">
        <v>25</v>
      </c>
      <c r="I1298" t="s">
        <v>16</v>
      </c>
      <c r="J1298" s="1">
        <v>44859</v>
      </c>
      <c r="K1298" t="b">
        <v>1</v>
      </c>
    </row>
    <row r="1299" spans="1:11" x14ac:dyDescent="0.25">
      <c r="A1299" t="s">
        <v>2702</v>
      </c>
      <c r="B1299" t="s">
        <v>66</v>
      </c>
      <c r="C1299" t="s">
        <v>23</v>
      </c>
      <c r="D1299" t="s">
        <v>244</v>
      </c>
      <c r="E1299" s="2">
        <v>23</v>
      </c>
      <c r="F1299" s="4">
        <v>10</v>
      </c>
      <c r="G1299" s="2">
        <v>230</v>
      </c>
      <c r="H1299" t="s">
        <v>25</v>
      </c>
      <c r="I1299" t="s">
        <v>16</v>
      </c>
      <c r="J1299" s="1">
        <v>44726</v>
      </c>
      <c r="K1299" t="b">
        <v>1</v>
      </c>
    </row>
    <row r="1300" spans="1:11" x14ac:dyDescent="0.25">
      <c r="A1300" t="s">
        <v>3634</v>
      </c>
      <c r="B1300" t="s">
        <v>51</v>
      </c>
      <c r="C1300" t="s">
        <v>59</v>
      </c>
      <c r="D1300" t="s">
        <v>60</v>
      </c>
      <c r="E1300" s="2">
        <v>23</v>
      </c>
      <c r="F1300" s="4">
        <v>10</v>
      </c>
      <c r="G1300" s="2">
        <v>230</v>
      </c>
      <c r="H1300" t="s">
        <v>25</v>
      </c>
      <c r="I1300" t="s">
        <v>16</v>
      </c>
      <c r="J1300" s="1">
        <v>44756</v>
      </c>
      <c r="K1300" t="b">
        <v>0</v>
      </c>
    </row>
    <row r="1301" spans="1:11" x14ac:dyDescent="0.25">
      <c r="A1301" t="s">
        <v>5094</v>
      </c>
      <c r="B1301" t="s">
        <v>100</v>
      </c>
      <c r="C1301" t="s">
        <v>59</v>
      </c>
      <c r="D1301" t="s">
        <v>60</v>
      </c>
      <c r="E1301" s="2">
        <v>23</v>
      </c>
      <c r="F1301" s="4">
        <v>10</v>
      </c>
      <c r="G1301" s="2">
        <v>230</v>
      </c>
      <c r="H1301" t="s">
        <v>45</v>
      </c>
      <c r="I1301" t="s">
        <v>36</v>
      </c>
      <c r="J1301" s="1">
        <v>45632</v>
      </c>
      <c r="K1301" t="b">
        <v>0</v>
      </c>
    </row>
    <row r="1302" spans="1:11" x14ac:dyDescent="0.25">
      <c r="A1302" t="s">
        <v>2522</v>
      </c>
      <c r="B1302" t="s">
        <v>100</v>
      </c>
      <c r="C1302" t="s">
        <v>19</v>
      </c>
      <c r="D1302" t="s">
        <v>400</v>
      </c>
      <c r="E1302" s="2">
        <v>23</v>
      </c>
      <c r="F1302" s="4">
        <v>10</v>
      </c>
      <c r="G1302" s="2">
        <v>230</v>
      </c>
      <c r="H1302" t="s">
        <v>25</v>
      </c>
      <c r="I1302" t="s">
        <v>36</v>
      </c>
      <c r="J1302" s="1">
        <v>44973</v>
      </c>
      <c r="K1302" t="b">
        <v>0</v>
      </c>
    </row>
    <row r="1303" spans="1:11" x14ac:dyDescent="0.25">
      <c r="A1303" t="s">
        <v>2586</v>
      </c>
      <c r="B1303" t="s">
        <v>56</v>
      </c>
      <c r="C1303" t="s">
        <v>110</v>
      </c>
      <c r="D1303" t="s">
        <v>232</v>
      </c>
      <c r="E1303" s="2">
        <v>23</v>
      </c>
      <c r="F1303" s="4">
        <v>10</v>
      </c>
      <c r="G1303" s="2">
        <v>230</v>
      </c>
      <c r="H1303" t="s">
        <v>15</v>
      </c>
      <c r="I1303" t="s">
        <v>36</v>
      </c>
      <c r="J1303" s="1">
        <v>45182</v>
      </c>
      <c r="K1303" t="b">
        <v>1</v>
      </c>
    </row>
    <row r="1304" spans="1:11" x14ac:dyDescent="0.25">
      <c r="A1304" t="s">
        <v>6499</v>
      </c>
      <c r="B1304" t="s">
        <v>93</v>
      </c>
      <c r="C1304" t="s">
        <v>31</v>
      </c>
      <c r="D1304" t="s">
        <v>361</v>
      </c>
      <c r="E1304" s="2">
        <v>23</v>
      </c>
      <c r="F1304" s="4">
        <v>10</v>
      </c>
      <c r="G1304" s="2">
        <v>230</v>
      </c>
      <c r="H1304" t="s">
        <v>45</v>
      </c>
      <c r="I1304" t="s">
        <v>16</v>
      </c>
      <c r="J1304" s="1">
        <v>45520</v>
      </c>
      <c r="K1304" t="b">
        <v>0</v>
      </c>
    </row>
    <row r="1305" spans="1:11" x14ac:dyDescent="0.25">
      <c r="A1305" t="s">
        <v>5146</v>
      </c>
      <c r="B1305" t="s">
        <v>104</v>
      </c>
      <c r="C1305" t="s">
        <v>19</v>
      </c>
      <c r="D1305" t="s">
        <v>400</v>
      </c>
      <c r="E1305" s="2">
        <v>23</v>
      </c>
      <c r="F1305" s="4">
        <v>10</v>
      </c>
      <c r="G1305" s="2">
        <v>230</v>
      </c>
      <c r="H1305" t="s">
        <v>15</v>
      </c>
      <c r="I1305" t="s">
        <v>16</v>
      </c>
      <c r="J1305" s="1">
        <v>44610</v>
      </c>
      <c r="K1305" t="b">
        <v>1</v>
      </c>
    </row>
    <row r="1306" spans="1:11" x14ac:dyDescent="0.25">
      <c r="A1306" t="s">
        <v>7600</v>
      </c>
      <c r="B1306" t="s">
        <v>69</v>
      </c>
      <c r="C1306" t="s">
        <v>23</v>
      </c>
      <c r="D1306" t="s">
        <v>244</v>
      </c>
      <c r="E1306" s="2">
        <v>23</v>
      </c>
      <c r="F1306" s="4">
        <v>10</v>
      </c>
      <c r="G1306" s="2">
        <v>230</v>
      </c>
      <c r="H1306" t="s">
        <v>25</v>
      </c>
      <c r="I1306" t="s">
        <v>36</v>
      </c>
      <c r="J1306" s="1">
        <v>45430</v>
      </c>
      <c r="K1306" t="b">
        <v>0</v>
      </c>
    </row>
    <row r="1307" spans="1:11" x14ac:dyDescent="0.25">
      <c r="A1307" t="s">
        <v>5405</v>
      </c>
      <c r="B1307" t="s">
        <v>51</v>
      </c>
      <c r="C1307" t="s">
        <v>19</v>
      </c>
      <c r="D1307" t="s">
        <v>400</v>
      </c>
      <c r="E1307" s="2">
        <v>23</v>
      </c>
      <c r="F1307" s="4">
        <v>10</v>
      </c>
      <c r="G1307" s="2">
        <v>230</v>
      </c>
      <c r="H1307" t="s">
        <v>15</v>
      </c>
      <c r="I1307" t="s">
        <v>36</v>
      </c>
      <c r="J1307" s="1">
        <v>45279</v>
      </c>
      <c r="K1307" t="b">
        <v>0</v>
      </c>
    </row>
    <row r="1308" spans="1:11" x14ac:dyDescent="0.25">
      <c r="A1308" t="s">
        <v>7311</v>
      </c>
      <c r="B1308" t="s">
        <v>12</v>
      </c>
      <c r="C1308" t="s">
        <v>23</v>
      </c>
      <c r="D1308" t="s">
        <v>244</v>
      </c>
      <c r="E1308" s="2">
        <v>23</v>
      </c>
      <c r="F1308" s="4">
        <v>10</v>
      </c>
      <c r="G1308" s="2">
        <v>230</v>
      </c>
      <c r="H1308" t="s">
        <v>25</v>
      </c>
      <c r="I1308" t="s">
        <v>16</v>
      </c>
      <c r="J1308" s="1">
        <v>44619</v>
      </c>
      <c r="K1308" t="b">
        <v>0</v>
      </c>
    </row>
    <row r="1309" spans="1:11" x14ac:dyDescent="0.25">
      <c r="A1309" t="s">
        <v>4119</v>
      </c>
      <c r="B1309" t="s">
        <v>18</v>
      </c>
      <c r="C1309" t="s">
        <v>19</v>
      </c>
      <c r="D1309" t="s">
        <v>400</v>
      </c>
      <c r="E1309" s="2">
        <v>23</v>
      </c>
      <c r="F1309" s="4">
        <v>10</v>
      </c>
      <c r="G1309" s="2">
        <v>230</v>
      </c>
      <c r="H1309" t="s">
        <v>45</v>
      </c>
      <c r="I1309" t="s">
        <v>36</v>
      </c>
      <c r="J1309" s="1">
        <v>45536</v>
      </c>
      <c r="K1309" t="b">
        <v>0</v>
      </c>
    </row>
    <row r="1310" spans="1:11" x14ac:dyDescent="0.25">
      <c r="A1310" t="s">
        <v>1561</v>
      </c>
      <c r="B1310" t="s">
        <v>40</v>
      </c>
      <c r="C1310" t="s">
        <v>13</v>
      </c>
      <c r="D1310" t="s">
        <v>292</v>
      </c>
      <c r="E1310" s="2">
        <v>23</v>
      </c>
      <c r="F1310" s="4">
        <v>10</v>
      </c>
      <c r="G1310" s="2">
        <v>230</v>
      </c>
      <c r="H1310" t="s">
        <v>45</v>
      </c>
      <c r="I1310" t="s">
        <v>36</v>
      </c>
      <c r="J1310" s="1">
        <v>45350</v>
      </c>
      <c r="K1310" t="b">
        <v>0</v>
      </c>
    </row>
    <row r="1311" spans="1:11" x14ac:dyDescent="0.25">
      <c r="A1311" t="s">
        <v>7431</v>
      </c>
      <c r="B1311" t="s">
        <v>22</v>
      </c>
      <c r="C1311" t="s">
        <v>59</v>
      </c>
      <c r="D1311" t="s">
        <v>60</v>
      </c>
      <c r="E1311" s="2">
        <v>23</v>
      </c>
      <c r="F1311" s="4">
        <v>10</v>
      </c>
      <c r="G1311" s="2">
        <v>230</v>
      </c>
      <c r="H1311" t="s">
        <v>25</v>
      </c>
      <c r="I1311" t="s">
        <v>36</v>
      </c>
      <c r="J1311" s="1">
        <v>44740</v>
      </c>
      <c r="K1311" t="b">
        <v>0</v>
      </c>
    </row>
    <row r="1312" spans="1:11" x14ac:dyDescent="0.25">
      <c r="A1312" t="s">
        <v>1330</v>
      </c>
      <c r="B1312" t="s">
        <v>72</v>
      </c>
      <c r="C1312" t="s">
        <v>13</v>
      </c>
      <c r="D1312" t="s">
        <v>292</v>
      </c>
      <c r="E1312" s="2">
        <v>23</v>
      </c>
      <c r="F1312" s="4">
        <v>10</v>
      </c>
      <c r="G1312" s="2">
        <v>230</v>
      </c>
      <c r="H1312" t="s">
        <v>45</v>
      </c>
      <c r="I1312" t="s">
        <v>36</v>
      </c>
      <c r="J1312" s="1">
        <v>44852</v>
      </c>
      <c r="K1312" t="b">
        <v>0</v>
      </c>
    </row>
    <row r="1313" spans="1:11" x14ac:dyDescent="0.25">
      <c r="A1313" t="s">
        <v>5345</v>
      </c>
      <c r="B1313" t="s">
        <v>69</v>
      </c>
      <c r="C1313" t="s">
        <v>23</v>
      </c>
      <c r="D1313" t="s">
        <v>244</v>
      </c>
      <c r="E1313" s="2">
        <v>23</v>
      </c>
      <c r="F1313" s="4">
        <v>10</v>
      </c>
      <c r="G1313" s="2">
        <v>230</v>
      </c>
      <c r="H1313" t="s">
        <v>25</v>
      </c>
      <c r="I1313" t="s">
        <v>16</v>
      </c>
      <c r="J1313" s="1">
        <v>44961</v>
      </c>
      <c r="K1313" t="b">
        <v>1</v>
      </c>
    </row>
    <row r="1314" spans="1:11" x14ac:dyDescent="0.25">
      <c r="A1314" t="s">
        <v>1158</v>
      </c>
      <c r="B1314" t="s">
        <v>85</v>
      </c>
      <c r="C1314" t="s">
        <v>19</v>
      </c>
      <c r="D1314" t="s">
        <v>400</v>
      </c>
      <c r="E1314" s="2">
        <v>23</v>
      </c>
      <c r="F1314" s="4">
        <v>10</v>
      </c>
      <c r="G1314" s="2">
        <v>230</v>
      </c>
      <c r="H1314" t="s">
        <v>15</v>
      </c>
      <c r="I1314" t="s">
        <v>36</v>
      </c>
      <c r="J1314" s="1">
        <v>44691</v>
      </c>
      <c r="K1314" t="b">
        <v>1</v>
      </c>
    </row>
    <row r="1315" spans="1:11" x14ac:dyDescent="0.25">
      <c r="A1315" t="s">
        <v>1662</v>
      </c>
      <c r="B1315" t="s">
        <v>86</v>
      </c>
      <c r="C1315" t="s">
        <v>110</v>
      </c>
      <c r="D1315" t="s">
        <v>232</v>
      </c>
      <c r="E1315" s="2">
        <v>23</v>
      </c>
      <c r="F1315" s="4">
        <v>10</v>
      </c>
      <c r="G1315" s="2">
        <v>230</v>
      </c>
      <c r="H1315" t="s">
        <v>15</v>
      </c>
      <c r="I1315" t="s">
        <v>36</v>
      </c>
      <c r="J1315" s="1">
        <v>45094</v>
      </c>
      <c r="K1315" t="b">
        <v>0</v>
      </c>
    </row>
    <row r="1316" spans="1:11" x14ac:dyDescent="0.25">
      <c r="A1316" t="s">
        <v>2566</v>
      </c>
      <c r="B1316" t="s">
        <v>26</v>
      </c>
      <c r="C1316" t="s">
        <v>27</v>
      </c>
      <c r="D1316" t="s">
        <v>947</v>
      </c>
      <c r="E1316" s="2">
        <v>23</v>
      </c>
      <c r="F1316" s="4">
        <v>10</v>
      </c>
      <c r="G1316" s="2">
        <v>230</v>
      </c>
      <c r="H1316" t="s">
        <v>45</v>
      </c>
      <c r="I1316" t="s">
        <v>16</v>
      </c>
      <c r="J1316" s="1">
        <v>44808</v>
      </c>
      <c r="K1316" t="b">
        <v>0</v>
      </c>
    </row>
    <row r="1317" spans="1:11" x14ac:dyDescent="0.25">
      <c r="A1317" t="s">
        <v>6843</v>
      </c>
      <c r="B1317" t="s">
        <v>142</v>
      </c>
      <c r="C1317" t="s">
        <v>59</v>
      </c>
      <c r="D1317" t="s">
        <v>60</v>
      </c>
      <c r="E1317" s="2">
        <v>23</v>
      </c>
      <c r="F1317" s="4">
        <v>10</v>
      </c>
      <c r="G1317" s="2">
        <v>230</v>
      </c>
      <c r="H1317" t="s">
        <v>45</v>
      </c>
      <c r="I1317" t="s">
        <v>16</v>
      </c>
      <c r="J1317" s="1">
        <v>45199</v>
      </c>
      <c r="K1317" t="b">
        <v>1</v>
      </c>
    </row>
    <row r="1318" spans="1:11" x14ac:dyDescent="0.25">
      <c r="A1318" t="s">
        <v>5630</v>
      </c>
      <c r="B1318" t="s">
        <v>22</v>
      </c>
      <c r="C1318" t="s">
        <v>19</v>
      </c>
      <c r="D1318" t="s">
        <v>400</v>
      </c>
      <c r="E1318" s="2">
        <v>23</v>
      </c>
      <c r="F1318" s="4">
        <v>10</v>
      </c>
      <c r="G1318" s="2">
        <v>230</v>
      </c>
      <c r="H1318" t="s">
        <v>45</v>
      </c>
      <c r="I1318" t="s">
        <v>36</v>
      </c>
      <c r="J1318" s="1">
        <v>45412</v>
      </c>
      <c r="K1318" t="b">
        <v>0</v>
      </c>
    </row>
    <row r="1319" spans="1:11" x14ac:dyDescent="0.25">
      <c r="A1319" t="s">
        <v>7484</v>
      </c>
      <c r="B1319" t="s">
        <v>69</v>
      </c>
      <c r="C1319" t="s">
        <v>23</v>
      </c>
      <c r="D1319" t="s">
        <v>244</v>
      </c>
      <c r="E1319" s="2">
        <v>23</v>
      </c>
      <c r="F1319" s="4">
        <v>10</v>
      </c>
      <c r="G1319" s="2">
        <v>230</v>
      </c>
      <c r="H1319" t="s">
        <v>45</v>
      </c>
      <c r="I1319" t="s">
        <v>16</v>
      </c>
      <c r="J1319" s="1">
        <v>44862</v>
      </c>
      <c r="K1319" t="b">
        <v>0</v>
      </c>
    </row>
    <row r="1320" spans="1:11" x14ac:dyDescent="0.25">
      <c r="A1320" t="s">
        <v>6249</v>
      </c>
      <c r="B1320" t="s">
        <v>56</v>
      </c>
      <c r="C1320" t="s">
        <v>110</v>
      </c>
      <c r="D1320" t="s">
        <v>232</v>
      </c>
      <c r="E1320" s="2">
        <v>23</v>
      </c>
      <c r="F1320" s="4">
        <v>10</v>
      </c>
      <c r="G1320" s="2">
        <v>230</v>
      </c>
      <c r="H1320" t="s">
        <v>25</v>
      </c>
      <c r="I1320" t="s">
        <v>36</v>
      </c>
      <c r="J1320" s="1">
        <v>45103</v>
      </c>
      <c r="K1320" t="b">
        <v>1</v>
      </c>
    </row>
    <row r="1321" spans="1:11" x14ac:dyDescent="0.25">
      <c r="A1321" t="s">
        <v>6220</v>
      </c>
      <c r="B1321" t="s">
        <v>26</v>
      </c>
      <c r="C1321" t="s">
        <v>31</v>
      </c>
      <c r="D1321" t="s">
        <v>361</v>
      </c>
      <c r="E1321" s="2">
        <v>23</v>
      </c>
      <c r="F1321" s="4">
        <v>10</v>
      </c>
      <c r="G1321" s="2">
        <v>230</v>
      </c>
      <c r="H1321" t="s">
        <v>15</v>
      </c>
      <c r="I1321" t="s">
        <v>36</v>
      </c>
      <c r="J1321" s="1">
        <v>44650</v>
      </c>
      <c r="K1321" t="b">
        <v>0</v>
      </c>
    </row>
    <row r="1322" spans="1:11" x14ac:dyDescent="0.25">
      <c r="A1322" t="s">
        <v>3769</v>
      </c>
      <c r="B1322" t="s">
        <v>100</v>
      </c>
      <c r="C1322" t="s">
        <v>31</v>
      </c>
      <c r="D1322" t="s">
        <v>361</v>
      </c>
      <c r="E1322" s="2">
        <v>23</v>
      </c>
      <c r="F1322" s="4">
        <v>10</v>
      </c>
      <c r="G1322" s="2">
        <v>230</v>
      </c>
      <c r="H1322" t="s">
        <v>45</v>
      </c>
      <c r="I1322" t="s">
        <v>36</v>
      </c>
      <c r="J1322" s="1">
        <v>44752</v>
      </c>
      <c r="K1322" t="b">
        <v>0</v>
      </c>
    </row>
    <row r="1323" spans="1:11" x14ac:dyDescent="0.25">
      <c r="A1323" t="s">
        <v>4731</v>
      </c>
      <c r="B1323" t="s">
        <v>72</v>
      </c>
      <c r="C1323" t="s">
        <v>13</v>
      </c>
      <c r="D1323" t="s">
        <v>567</v>
      </c>
      <c r="E1323" s="2">
        <v>38</v>
      </c>
      <c r="F1323" s="4">
        <v>6</v>
      </c>
      <c r="G1323" s="2">
        <v>228</v>
      </c>
      <c r="H1323" t="s">
        <v>45</v>
      </c>
      <c r="I1323" t="s">
        <v>16</v>
      </c>
      <c r="J1323" s="1">
        <v>44791</v>
      </c>
      <c r="K1323" t="b">
        <v>1</v>
      </c>
    </row>
    <row r="1324" spans="1:11" x14ac:dyDescent="0.25">
      <c r="A1324" t="s">
        <v>5155</v>
      </c>
      <c r="B1324" t="s">
        <v>56</v>
      </c>
      <c r="C1324" t="s">
        <v>23</v>
      </c>
      <c r="D1324" t="s">
        <v>98</v>
      </c>
      <c r="E1324" s="2">
        <v>38</v>
      </c>
      <c r="F1324" s="4">
        <v>6</v>
      </c>
      <c r="G1324" s="2">
        <v>228</v>
      </c>
      <c r="H1324" t="s">
        <v>25</v>
      </c>
      <c r="I1324" t="s">
        <v>16</v>
      </c>
      <c r="J1324" s="1">
        <v>44750</v>
      </c>
      <c r="K1324" t="b">
        <v>0</v>
      </c>
    </row>
    <row r="1325" spans="1:11" x14ac:dyDescent="0.25">
      <c r="A1325" t="s">
        <v>2813</v>
      </c>
      <c r="B1325" t="s">
        <v>12</v>
      </c>
      <c r="C1325" t="s">
        <v>19</v>
      </c>
      <c r="D1325" t="s">
        <v>203</v>
      </c>
      <c r="E1325" s="2">
        <v>38</v>
      </c>
      <c r="F1325" s="4">
        <v>6</v>
      </c>
      <c r="G1325" s="2">
        <v>228</v>
      </c>
      <c r="H1325" t="s">
        <v>15</v>
      </c>
      <c r="I1325" t="s">
        <v>36</v>
      </c>
      <c r="J1325" s="1">
        <v>45120</v>
      </c>
      <c r="K1325" t="b">
        <v>1</v>
      </c>
    </row>
    <row r="1326" spans="1:11" x14ac:dyDescent="0.25">
      <c r="A1326" t="s">
        <v>895</v>
      </c>
      <c r="B1326" t="s">
        <v>30</v>
      </c>
      <c r="C1326" t="s">
        <v>19</v>
      </c>
      <c r="D1326" t="s">
        <v>203</v>
      </c>
      <c r="E1326" s="2">
        <v>38</v>
      </c>
      <c r="F1326" s="4">
        <v>6</v>
      </c>
      <c r="G1326" s="2">
        <v>228</v>
      </c>
      <c r="H1326" t="s">
        <v>15</v>
      </c>
      <c r="I1326" t="s">
        <v>36</v>
      </c>
      <c r="J1326" s="1">
        <v>45369</v>
      </c>
      <c r="K1326" t="b">
        <v>0</v>
      </c>
    </row>
    <row r="1327" spans="1:11" x14ac:dyDescent="0.25">
      <c r="A1327" t="s">
        <v>5060</v>
      </c>
      <c r="B1327" t="s">
        <v>72</v>
      </c>
      <c r="C1327" t="s">
        <v>19</v>
      </c>
      <c r="D1327" t="s">
        <v>203</v>
      </c>
      <c r="E1327" s="2">
        <v>38</v>
      </c>
      <c r="F1327" s="4">
        <v>6</v>
      </c>
      <c r="G1327" s="2">
        <v>228</v>
      </c>
      <c r="H1327" t="s">
        <v>45</v>
      </c>
      <c r="I1327" t="s">
        <v>16</v>
      </c>
      <c r="J1327" s="1">
        <v>44780</v>
      </c>
      <c r="K1327" t="b">
        <v>1</v>
      </c>
    </row>
    <row r="1328" spans="1:11" x14ac:dyDescent="0.25">
      <c r="A1328" t="s">
        <v>632</v>
      </c>
      <c r="B1328" t="s">
        <v>104</v>
      </c>
      <c r="C1328" t="s">
        <v>13</v>
      </c>
      <c r="D1328" t="s">
        <v>567</v>
      </c>
      <c r="E1328" s="2">
        <v>38</v>
      </c>
      <c r="F1328" s="4">
        <v>6</v>
      </c>
      <c r="G1328" s="2">
        <v>228</v>
      </c>
      <c r="H1328" t="s">
        <v>45</v>
      </c>
      <c r="I1328" t="s">
        <v>36</v>
      </c>
      <c r="J1328" s="1">
        <v>45572</v>
      </c>
      <c r="K1328" t="b">
        <v>0</v>
      </c>
    </row>
    <row r="1329" spans="1:11" x14ac:dyDescent="0.25">
      <c r="A1329" t="s">
        <v>7703</v>
      </c>
      <c r="B1329" t="s">
        <v>66</v>
      </c>
      <c r="C1329" t="s">
        <v>59</v>
      </c>
      <c r="D1329" t="s">
        <v>275</v>
      </c>
      <c r="E1329" s="2">
        <v>38</v>
      </c>
      <c r="F1329" s="4">
        <v>6</v>
      </c>
      <c r="G1329" s="2">
        <v>228</v>
      </c>
      <c r="H1329" t="s">
        <v>25</v>
      </c>
      <c r="I1329" t="s">
        <v>36</v>
      </c>
      <c r="J1329" s="1">
        <v>45282</v>
      </c>
      <c r="K1329" t="b">
        <v>1</v>
      </c>
    </row>
    <row r="1330" spans="1:11" x14ac:dyDescent="0.25">
      <c r="A1330" t="s">
        <v>4450</v>
      </c>
      <c r="B1330" t="s">
        <v>85</v>
      </c>
      <c r="C1330" t="s">
        <v>38</v>
      </c>
      <c r="D1330" t="s">
        <v>122</v>
      </c>
      <c r="E1330" s="2">
        <v>38</v>
      </c>
      <c r="F1330" s="4">
        <v>6</v>
      </c>
      <c r="G1330" s="2">
        <v>228</v>
      </c>
      <c r="H1330" t="s">
        <v>25</v>
      </c>
      <c r="I1330" t="s">
        <v>16</v>
      </c>
      <c r="J1330" s="1">
        <v>45454</v>
      </c>
      <c r="K1330" t="b">
        <v>0</v>
      </c>
    </row>
    <row r="1331" spans="1:11" x14ac:dyDescent="0.25">
      <c r="A1331" t="s">
        <v>1045</v>
      </c>
      <c r="B1331" t="s">
        <v>43</v>
      </c>
      <c r="C1331" t="s">
        <v>13</v>
      </c>
      <c r="D1331" t="s">
        <v>567</v>
      </c>
      <c r="E1331" s="2">
        <v>38</v>
      </c>
      <c r="F1331" s="4">
        <v>6</v>
      </c>
      <c r="G1331" s="2">
        <v>228</v>
      </c>
      <c r="H1331" t="s">
        <v>45</v>
      </c>
      <c r="I1331" t="s">
        <v>16</v>
      </c>
      <c r="J1331" s="1">
        <v>45315</v>
      </c>
      <c r="K1331" t="b">
        <v>1</v>
      </c>
    </row>
    <row r="1332" spans="1:11" x14ac:dyDescent="0.25">
      <c r="A1332" t="s">
        <v>1720</v>
      </c>
      <c r="B1332" t="s">
        <v>63</v>
      </c>
      <c r="C1332" t="s">
        <v>23</v>
      </c>
      <c r="D1332" t="s">
        <v>98</v>
      </c>
      <c r="E1332" s="2">
        <v>38</v>
      </c>
      <c r="F1332" s="4">
        <v>6</v>
      </c>
      <c r="G1332" s="2">
        <v>228</v>
      </c>
      <c r="H1332" t="s">
        <v>15</v>
      </c>
      <c r="I1332" t="s">
        <v>36</v>
      </c>
      <c r="J1332" s="1">
        <v>44761</v>
      </c>
      <c r="K1332" t="b">
        <v>1</v>
      </c>
    </row>
    <row r="1333" spans="1:11" x14ac:dyDescent="0.25">
      <c r="A1333" t="s">
        <v>7498</v>
      </c>
      <c r="B1333" t="s">
        <v>37</v>
      </c>
      <c r="C1333" t="s">
        <v>59</v>
      </c>
      <c r="D1333" t="s">
        <v>275</v>
      </c>
      <c r="E1333" s="2">
        <v>38</v>
      </c>
      <c r="F1333" s="4">
        <v>6</v>
      </c>
      <c r="G1333" s="2">
        <v>228</v>
      </c>
      <c r="H1333" t="s">
        <v>45</v>
      </c>
      <c r="I1333" t="s">
        <v>36</v>
      </c>
      <c r="J1333" s="1">
        <v>45663</v>
      </c>
      <c r="K1333" t="b">
        <v>0</v>
      </c>
    </row>
    <row r="1334" spans="1:11" x14ac:dyDescent="0.25">
      <c r="A1334" t="s">
        <v>2425</v>
      </c>
      <c r="B1334" t="s">
        <v>77</v>
      </c>
      <c r="C1334" t="s">
        <v>59</v>
      </c>
      <c r="D1334" t="s">
        <v>275</v>
      </c>
      <c r="E1334" s="2">
        <v>38</v>
      </c>
      <c r="F1334" s="4">
        <v>6</v>
      </c>
      <c r="G1334" s="2">
        <v>228</v>
      </c>
      <c r="H1334" t="s">
        <v>45</v>
      </c>
      <c r="I1334" t="s">
        <v>36</v>
      </c>
      <c r="J1334" s="1">
        <v>45424</v>
      </c>
      <c r="K1334" t="b">
        <v>0</v>
      </c>
    </row>
    <row r="1335" spans="1:11" x14ac:dyDescent="0.25">
      <c r="A1335" t="s">
        <v>2346</v>
      </c>
      <c r="B1335" t="s">
        <v>100</v>
      </c>
      <c r="C1335" t="s">
        <v>23</v>
      </c>
      <c r="D1335" t="s">
        <v>98</v>
      </c>
      <c r="E1335" s="2">
        <v>38</v>
      </c>
      <c r="F1335" s="4">
        <v>6</v>
      </c>
      <c r="G1335" s="2">
        <v>228</v>
      </c>
      <c r="H1335" t="s">
        <v>25</v>
      </c>
      <c r="I1335" t="s">
        <v>36</v>
      </c>
      <c r="J1335" s="1">
        <v>45568</v>
      </c>
      <c r="K1335" t="b">
        <v>1</v>
      </c>
    </row>
    <row r="1336" spans="1:11" x14ac:dyDescent="0.25">
      <c r="A1336" t="s">
        <v>5230</v>
      </c>
      <c r="B1336" t="s">
        <v>30</v>
      </c>
      <c r="C1336" t="s">
        <v>31</v>
      </c>
      <c r="D1336" t="s">
        <v>91</v>
      </c>
      <c r="E1336" s="2">
        <v>38</v>
      </c>
      <c r="F1336" s="4">
        <v>6</v>
      </c>
      <c r="G1336" s="2">
        <v>228</v>
      </c>
      <c r="H1336" t="s">
        <v>45</v>
      </c>
      <c r="I1336" t="s">
        <v>16</v>
      </c>
      <c r="J1336" s="1">
        <v>45506</v>
      </c>
      <c r="K1336" t="b">
        <v>1</v>
      </c>
    </row>
    <row r="1337" spans="1:11" x14ac:dyDescent="0.25">
      <c r="A1337" t="s">
        <v>5667</v>
      </c>
      <c r="B1337" t="s">
        <v>66</v>
      </c>
      <c r="C1337" t="s">
        <v>19</v>
      </c>
      <c r="D1337" t="s">
        <v>203</v>
      </c>
      <c r="E1337" s="2">
        <v>38</v>
      </c>
      <c r="F1337" s="4">
        <v>6</v>
      </c>
      <c r="G1337" s="2">
        <v>228</v>
      </c>
      <c r="H1337" t="s">
        <v>25</v>
      </c>
      <c r="I1337" t="s">
        <v>36</v>
      </c>
      <c r="J1337" s="1">
        <v>44987</v>
      </c>
      <c r="K1337" t="b">
        <v>0</v>
      </c>
    </row>
    <row r="1338" spans="1:11" x14ac:dyDescent="0.25">
      <c r="A1338" t="s">
        <v>2045</v>
      </c>
      <c r="B1338" t="s">
        <v>58</v>
      </c>
      <c r="C1338" t="s">
        <v>19</v>
      </c>
      <c r="D1338" t="s">
        <v>203</v>
      </c>
      <c r="E1338" s="2">
        <v>38</v>
      </c>
      <c r="F1338" s="4">
        <v>6</v>
      </c>
      <c r="G1338" s="2">
        <v>228</v>
      </c>
      <c r="H1338" t="s">
        <v>45</v>
      </c>
      <c r="I1338" t="s">
        <v>16</v>
      </c>
      <c r="J1338" s="1">
        <v>45174</v>
      </c>
      <c r="K1338" t="b">
        <v>1</v>
      </c>
    </row>
    <row r="1339" spans="1:11" x14ac:dyDescent="0.25">
      <c r="A1339" t="s">
        <v>6810</v>
      </c>
      <c r="B1339" t="s">
        <v>72</v>
      </c>
      <c r="C1339" t="s">
        <v>27</v>
      </c>
      <c r="D1339" t="s">
        <v>205</v>
      </c>
      <c r="E1339" s="2">
        <v>38</v>
      </c>
      <c r="F1339" s="4">
        <v>6</v>
      </c>
      <c r="G1339" s="2">
        <v>228</v>
      </c>
      <c r="H1339" t="s">
        <v>45</v>
      </c>
      <c r="I1339" t="s">
        <v>16</v>
      </c>
      <c r="J1339" s="1">
        <v>45193</v>
      </c>
      <c r="K1339" t="b">
        <v>1</v>
      </c>
    </row>
    <row r="1340" spans="1:11" x14ac:dyDescent="0.25">
      <c r="A1340" t="s">
        <v>4608</v>
      </c>
      <c r="B1340" t="s">
        <v>61</v>
      </c>
      <c r="C1340" t="s">
        <v>23</v>
      </c>
      <c r="D1340" t="s">
        <v>98</v>
      </c>
      <c r="E1340" s="2">
        <v>38</v>
      </c>
      <c r="F1340" s="4">
        <v>6</v>
      </c>
      <c r="G1340" s="2">
        <v>228</v>
      </c>
      <c r="H1340" t="s">
        <v>45</v>
      </c>
      <c r="I1340" t="s">
        <v>16</v>
      </c>
      <c r="J1340" s="1">
        <v>44865</v>
      </c>
      <c r="K1340" t="b">
        <v>0</v>
      </c>
    </row>
    <row r="1341" spans="1:11" x14ac:dyDescent="0.25">
      <c r="A1341" t="s">
        <v>4720</v>
      </c>
      <c r="B1341" t="s">
        <v>86</v>
      </c>
      <c r="C1341" t="s">
        <v>23</v>
      </c>
      <c r="D1341" t="s">
        <v>98</v>
      </c>
      <c r="E1341" s="2">
        <v>38</v>
      </c>
      <c r="F1341" s="4">
        <v>6</v>
      </c>
      <c r="G1341" s="2">
        <v>228</v>
      </c>
      <c r="H1341" t="s">
        <v>45</v>
      </c>
      <c r="I1341" t="s">
        <v>36</v>
      </c>
      <c r="J1341" s="1">
        <v>44884</v>
      </c>
      <c r="K1341" t="b">
        <v>0</v>
      </c>
    </row>
    <row r="1342" spans="1:11" x14ac:dyDescent="0.25">
      <c r="A1342" t="s">
        <v>1256</v>
      </c>
      <c r="B1342" t="s">
        <v>18</v>
      </c>
      <c r="C1342" t="s">
        <v>23</v>
      </c>
      <c r="D1342" t="s">
        <v>98</v>
      </c>
      <c r="E1342" s="2">
        <v>38</v>
      </c>
      <c r="F1342" s="4">
        <v>6</v>
      </c>
      <c r="G1342" s="2">
        <v>228</v>
      </c>
      <c r="H1342" t="s">
        <v>45</v>
      </c>
      <c r="I1342" t="s">
        <v>16</v>
      </c>
      <c r="J1342" s="1">
        <v>45255</v>
      </c>
      <c r="K1342" t="b">
        <v>1</v>
      </c>
    </row>
    <row r="1343" spans="1:11" x14ac:dyDescent="0.25">
      <c r="A1343" t="s">
        <v>4893</v>
      </c>
      <c r="B1343" t="s">
        <v>22</v>
      </c>
      <c r="C1343" t="s">
        <v>38</v>
      </c>
      <c r="D1343" t="s">
        <v>122</v>
      </c>
      <c r="E1343" s="2">
        <v>38</v>
      </c>
      <c r="F1343" s="4">
        <v>6</v>
      </c>
      <c r="G1343" s="2">
        <v>228</v>
      </c>
      <c r="H1343" t="s">
        <v>25</v>
      </c>
      <c r="I1343" t="s">
        <v>36</v>
      </c>
      <c r="J1343" s="1">
        <v>45240</v>
      </c>
      <c r="K1343" t="b">
        <v>0</v>
      </c>
    </row>
    <row r="1344" spans="1:11" x14ac:dyDescent="0.25">
      <c r="A1344" t="s">
        <v>3947</v>
      </c>
      <c r="B1344" t="s">
        <v>86</v>
      </c>
      <c r="C1344" t="s">
        <v>13</v>
      </c>
      <c r="D1344" t="s">
        <v>567</v>
      </c>
      <c r="E1344" s="2">
        <v>38</v>
      </c>
      <c r="F1344" s="4">
        <v>6</v>
      </c>
      <c r="G1344" s="2">
        <v>228</v>
      </c>
      <c r="H1344" t="s">
        <v>25</v>
      </c>
      <c r="I1344" t="s">
        <v>16</v>
      </c>
      <c r="J1344" s="1">
        <v>45627</v>
      </c>
      <c r="K1344" t="b">
        <v>0</v>
      </c>
    </row>
    <row r="1345" spans="1:11" x14ac:dyDescent="0.25">
      <c r="A1345" t="s">
        <v>3295</v>
      </c>
      <c r="B1345" t="s">
        <v>56</v>
      </c>
      <c r="C1345" t="s">
        <v>27</v>
      </c>
      <c r="D1345" t="s">
        <v>205</v>
      </c>
      <c r="E1345" s="2">
        <v>38</v>
      </c>
      <c r="F1345" s="4">
        <v>6</v>
      </c>
      <c r="G1345" s="2">
        <v>228</v>
      </c>
      <c r="H1345" t="s">
        <v>15</v>
      </c>
      <c r="I1345" t="s">
        <v>16</v>
      </c>
      <c r="J1345" s="1">
        <v>44666</v>
      </c>
      <c r="K1345" t="b">
        <v>1</v>
      </c>
    </row>
    <row r="1346" spans="1:11" x14ac:dyDescent="0.25">
      <c r="A1346" t="s">
        <v>447</v>
      </c>
      <c r="B1346" t="s">
        <v>104</v>
      </c>
      <c r="C1346" t="s">
        <v>59</v>
      </c>
      <c r="D1346" t="s">
        <v>275</v>
      </c>
      <c r="E1346" s="2">
        <v>38</v>
      </c>
      <c r="F1346" s="4">
        <v>6</v>
      </c>
      <c r="G1346" s="2">
        <v>228</v>
      </c>
      <c r="H1346" t="s">
        <v>25</v>
      </c>
      <c r="I1346" t="s">
        <v>16</v>
      </c>
      <c r="J1346" s="1">
        <v>45311</v>
      </c>
      <c r="K1346" t="b">
        <v>1</v>
      </c>
    </row>
    <row r="1347" spans="1:11" x14ac:dyDescent="0.25">
      <c r="A1347" t="s">
        <v>4891</v>
      </c>
      <c r="B1347" t="s">
        <v>37</v>
      </c>
      <c r="C1347" t="s">
        <v>38</v>
      </c>
      <c r="D1347" t="s">
        <v>122</v>
      </c>
      <c r="E1347" s="2">
        <v>38</v>
      </c>
      <c r="F1347" s="4">
        <v>6</v>
      </c>
      <c r="G1347" s="2">
        <v>228</v>
      </c>
      <c r="H1347" t="s">
        <v>25</v>
      </c>
      <c r="I1347" t="s">
        <v>36</v>
      </c>
      <c r="J1347" s="1">
        <v>45352</v>
      </c>
      <c r="K1347" t="b">
        <v>0</v>
      </c>
    </row>
    <row r="1348" spans="1:11" x14ac:dyDescent="0.25">
      <c r="A1348" t="s">
        <v>255</v>
      </c>
      <c r="B1348" t="s">
        <v>100</v>
      </c>
      <c r="C1348" t="s">
        <v>27</v>
      </c>
      <c r="D1348" t="s">
        <v>205</v>
      </c>
      <c r="E1348" s="2">
        <v>38</v>
      </c>
      <c r="F1348" s="4">
        <v>6</v>
      </c>
      <c r="G1348" s="2">
        <v>228</v>
      </c>
      <c r="H1348" t="s">
        <v>45</v>
      </c>
      <c r="I1348" t="s">
        <v>16</v>
      </c>
      <c r="J1348" s="1">
        <v>45243</v>
      </c>
      <c r="K1348" t="b">
        <v>0</v>
      </c>
    </row>
    <row r="1349" spans="1:11" x14ac:dyDescent="0.25">
      <c r="A1349" t="s">
        <v>6618</v>
      </c>
      <c r="B1349" t="s">
        <v>85</v>
      </c>
      <c r="C1349" t="s">
        <v>19</v>
      </c>
      <c r="D1349" t="s">
        <v>203</v>
      </c>
      <c r="E1349" s="2">
        <v>38</v>
      </c>
      <c r="F1349" s="4">
        <v>6</v>
      </c>
      <c r="G1349" s="2">
        <v>228</v>
      </c>
      <c r="H1349" t="s">
        <v>15</v>
      </c>
      <c r="I1349" t="s">
        <v>16</v>
      </c>
      <c r="J1349" s="1">
        <v>45256</v>
      </c>
      <c r="K1349" t="b">
        <v>0</v>
      </c>
    </row>
    <row r="1350" spans="1:11" x14ac:dyDescent="0.25">
      <c r="A1350" t="s">
        <v>906</v>
      </c>
      <c r="B1350" t="s">
        <v>85</v>
      </c>
      <c r="C1350" t="s">
        <v>110</v>
      </c>
      <c r="D1350" t="s">
        <v>534</v>
      </c>
      <c r="E1350" s="2">
        <v>38</v>
      </c>
      <c r="F1350" s="4">
        <v>6</v>
      </c>
      <c r="G1350" s="2">
        <v>228</v>
      </c>
      <c r="H1350" t="s">
        <v>45</v>
      </c>
      <c r="I1350" t="s">
        <v>16</v>
      </c>
      <c r="J1350" s="1">
        <v>45024</v>
      </c>
      <c r="K1350" t="b">
        <v>0</v>
      </c>
    </row>
    <row r="1351" spans="1:11" x14ac:dyDescent="0.25">
      <c r="A1351" t="s">
        <v>3716</v>
      </c>
      <c r="B1351" t="s">
        <v>56</v>
      </c>
      <c r="C1351" t="s">
        <v>23</v>
      </c>
      <c r="D1351" t="s">
        <v>98</v>
      </c>
      <c r="E1351" s="2">
        <v>38</v>
      </c>
      <c r="F1351" s="4">
        <v>6</v>
      </c>
      <c r="G1351" s="2">
        <v>228</v>
      </c>
      <c r="H1351" t="s">
        <v>45</v>
      </c>
      <c r="I1351" t="s">
        <v>16</v>
      </c>
      <c r="J1351" s="1">
        <v>44582</v>
      </c>
      <c r="K1351" t="b">
        <v>1</v>
      </c>
    </row>
    <row r="1352" spans="1:11" x14ac:dyDescent="0.25">
      <c r="A1352" t="s">
        <v>5715</v>
      </c>
      <c r="B1352" t="s">
        <v>58</v>
      </c>
      <c r="C1352" t="s">
        <v>27</v>
      </c>
      <c r="D1352" t="s">
        <v>205</v>
      </c>
      <c r="E1352" s="2">
        <v>38</v>
      </c>
      <c r="F1352" s="4">
        <v>6</v>
      </c>
      <c r="G1352" s="2">
        <v>228</v>
      </c>
      <c r="H1352" t="s">
        <v>15</v>
      </c>
      <c r="I1352" t="s">
        <v>36</v>
      </c>
      <c r="J1352" s="1">
        <v>44676</v>
      </c>
      <c r="K1352" t="b">
        <v>1</v>
      </c>
    </row>
    <row r="1353" spans="1:11" x14ac:dyDescent="0.25">
      <c r="A1353" t="s">
        <v>2572</v>
      </c>
      <c r="B1353" t="s">
        <v>26</v>
      </c>
      <c r="C1353" t="s">
        <v>31</v>
      </c>
      <c r="D1353" t="s">
        <v>91</v>
      </c>
      <c r="E1353" s="2">
        <v>38</v>
      </c>
      <c r="F1353" s="4">
        <v>6</v>
      </c>
      <c r="G1353" s="2">
        <v>228</v>
      </c>
      <c r="H1353" t="s">
        <v>45</v>
      </c>
      <c r="I1353" t="s">
        <v>36</v>
      </c>
      <c r="J1353" s="1">
        <v>45341</v>
      </c>
      <c r="K1353" t="b">
        <v>1</v>
      </c>
    </row>
    <row r="1354" spans="1:11" x14ac:dyDescent="0.25">
      <c r="A1354" t="s">
        <v>4847</v>
      </c>
      <c r="B1354" t="s">
        <v>22</v>
      </c>
      <c r="C1354" t="s">
        <v>110</v>
      </c>
      <c r="D1354" t="s">
        <v>282</v>
      </c>
      <c r="E1354" s="2">
        <v>32</v>
      </c>
      <c r="F1354" s="4">
        <v>7</v>
      </c>
      <c r="G1354" s="2">
        <v>224</v>
      </c>
      <c r="H1354" t="s">
        <v>15</v>
      </c>
      <c r="I1354" t="s">
        <v>16</v>
      </c>
      <c r="J1354" s="1">
        <v>45318</v>
      </c>
      <c r="K1354" t="b">
        <v>1</v>
      </c>
    </row>
    <row r="1355" spans="1:11" x14ac:dyDescent="0.25">
      <c r="A1355" t="s">
        <v>1580</v>
      </c>
      <c r="B1355" t="s">
        <v>56</v>
      </c>
      <c r="C1355" t="s">
        <v>19</v>
      </c>
      <c r="D1355" t="s">
        <v>120</v>
      </c>
      <c r="E1355" s="2">
        <v>32</v>
      </c>
      <c r="F1355" s="4">
        <v>7</v>
      </c>
      <c r="G1355" s="2">
        <v>224</v>
      </c>
      <c r="H1355" t="s">
        <v>15</v>
      </c>
      <c r="I1355" t="s">
        <v>16</v>
      </c>
      <c r="J1355" s="1">
        <v>45284</v>
      </c>
      <c r="K1355" t="b">
        <v>0</v>
      </c>
    </row>
    <row r="1356" spans="1:11" x14ac:dyDescent="0.25">
      <c r="A1356" t="s">
        <v>4458</v>
      </c>
      <c r="B1356" t="s">
        <v>43</v>
      </c>
      <c r="C1356" t="s">
        <v>27</v>
      </c>
      <c r="D1356" t="s">
        <v>207</v>
      </c>
      <c r="E1356" s="2">
        <v>32</v>
      </c>
      <c r="F1356" s="4">
        <v>7</v>
      </c>
      <c r="G1356" s="2">
        <v>224</v>
      </c>
      <c r="H1356" t="s">
        <v>15</v>
      </c>
      <c r="I1356" t="s">
        <v>16</v>
      </c>
      <c r="J1356" s="1">
        <v>45512</v>
      </c>
      <c r="K1356" t="b">
        <v>0</v>
      </c>
    </row>
    <row r="1357" spans="1:11" x14ac:dyDescent="0.25">
      <c r="A1357" t="s">
        <v>934</v>
      </c>
      <c r="B1357" t="s">
        <v>72</v>
      </c>
      <c r="C1357" t="s">
        <v>38</v>
      </c>
      <c r="D1357" t="s">
        <v>748</v>
      </c>
      <c r="E1357" s="2">
        <v>32</v>
      </c>
      <c r="F1357" s="4">
        <v>7</v>
      </c>
      <c r="G1357" s="2">
        <v>224</v>
      </c>
      <c r="H1357" t="s">
        <v>25</v>
      </c>
      <c r="I1357" t="s">
        <v>16</v>
      </c>
      <c r="J1357" s="1">
        <v>45222</v>
      </c>
      <c r="K1357" t="b">
        <v>1</v>
      </c>
    </row>
    <row r="1358" spans="1:11" x14ac:dyDescent="0.25">
      <c r="A1358" t="s">
        <v>5282</v>
      </c>
      <c r="B1358" t="s">
        <v>12</v>
      </c>
      <c r="C1358" t="s">
        <v>23</v>
      </c>
      <c r="D1358" t="s">
        <v>708</v>
      </c>
      <c r="E1358" s="2">
        <v>32</v>
      </c>
      <c r="F1358" s="4">
        <v>7</v>
      </c>
      <c r="G1358" s="2">
        <v>224</v>
      </c>
      <c r="H1358" t="s">
        <v>15</v>
      </c>
      <c r="I1358" t="s">
        <v>36</v>
      </c>
      <c r="J1358" s="1">
        <v>44999</v>
      </c>
      <c r="K1358" t="b">
        <v>0</v>
      </c>
    </row>
    <row r="1359" spans="1:11" x14ac:dyDescent="0.25">
      <c r="A1359" t="s">
        <v>6216</v>
      </c>
      <c r="B1359" t="s">
        <v>104</v>
      </c>
      <c r="C1359" t="s">
        <v>19</v>
      </c>
      <c r="D1359" t="s">
        <v>120</v>
      </c>
      <c r="E1359" s="2">
        <v>32</v>
      </c>
      <c r="F1359" s="4">
        <v>7</v>
      </c>
      <c r="G1359" s="2">
        <v>224</v>
      </c>
      <c r="H1359" t="s">
        <v>45</v>
      </c>
      <c r="I1359" t="s">
        <v>16</v>
      </c>
      <c r="J1359" s="1">
        <v>45650</v>
      </c>
      <c r="K1359" t="b">
        <v>0</v>
      </c>
    </row>
    <row r="1360" spans="1:11" x14ac:dyDescent="0.25">
      <c r="A1360" t="s">
        <v>3219</v>
      </c>
      <c r="B1360" t="s">
        <v>69</v>
      </c>
      <c r="C1360" t="s">
        <v>110</v>
      </c>
      <c r="D1360" t="s">
        <v>282</v>
      </c>
      <c r="E1360" s="2">
        <v>32</v>
      </c>
      <c r="F1360" s="4">
        <v>7</v>
      </c>
      <c r="G1360" s="2">
        <v>224</v>
      </c>
      <c r="H1360" t="s">
        <v>15</v>
      </c>
      <c r="I1360" t="s">
        <v>16</v>
      </c>
      <c r="J1360" s="1">
        <v>44585</v>
      </c>
      <c r="K1360" t="b">
        <v>1</v>
      </c>
    </row>
    <row r="1361" spans="1:11" x14ac:dyDescent="0.25">
      <c r="A1361" t="s">
        <v>7779</v>
      </c>
      <c r="B1361" t="s">
        <v>30</v>
      </c>
      <c r="C1361" t="s">
        <v>38</v>
      </c>
      <c r="D1361" t="s">
        <v>748</v>
      </c>
      <c r="E1361" s="2">
        <v>32</v>
      </c>
      <c r="F1361" s="4">
        <v>7</v>
      </c>
      <c r="G1361" s="2">
        <v>224</v>
      </c>
      <c r="H1361" t="s">
        <v>45</v>
      </c>
      <c r="I1361" t="s">
        <v>36</v>
      </c>
      <c r="J1361" s="1">
        <v>45256</v>
      </c>
      <c r="K1361" t="b">
        <v>1</v>
      </c>
    </row>
    <row r="1362" spans="1:11" x14ac:dyDescent="0.25">
      <c r="A1362" t="s">
        <v>2530</v>
      </c>
      <c r="B1362" t="s">
        <v>97</v>
      </c>
      <c r="C1362" t="s">
        <v>19</v>
      </c>
      <c r="D1362" t="s">
        <v>120</v>
      </c>
      <c r="E1362" s="2">
        <v>32</v>
      </c>
      <c r="F1362" s="4">
        <v>7</v>
      </c>
      <c r="G1362" s="2">
        <v>224</v>
      </c>
      <c r="H1362" t="s">
        <v>45</v>
      </c>
      <c r="I1362" t="s">
        <v>16</v>
      </c>
      <c r="J1362" s="1">
        <v>45300</v>
      </c>
      <c r="K1362" t="b">
        <v>1</v>
      </c>
    </row>
    <row r="1363" spans="1:11" x14ac:dyDescent="0.25">
      <c r="A1363" t="s">
        <v>1822</v>
      </c>
      <c r="B1363" t="s">
        <v>18</v>
      </c>
      <c r="C1363" t="s">
        <v>19</v>
      </c>
      <c r="D1363" t="s">
        <v>120</v>
      </c>
      <c r="E1363" s="2">
        <v>32</v>
      </c>
      <c r="F1363" s="4">
        <v>7</v>
      </c>
      <c r="G1363" s="2">
        <v>224</v>
      </c>
      <c r="H1363" t="s">
        <v>45</v>
      </c>
      <c r="I1363" t="s">
        <v>36</v>
      </c>
      <c r="J1363" s="1">
        <v>44663</v>
      </c>
      <c r="K1363" t="b">
        <v>1</v>
      </c>
    </row>
    <row r="1364" spans="1:11" x14ac:dyDescent="0.25">
      <c r="A1364" t="s">
        <v>5990</v>
      </c>
      <c r="B1364" t="s">
        <v>100</v>
      </c>
      <c r="C1364" t="s">
        <v>110</v>
      </c>
      <c r="D1364" t="s">
        <v>282</v>
      </c>
      <c r="E1364" s="2">
        <v>32</v>
      </c>
      <c r="F1364" s="4">
        <v>7</v>
      </c>
      <c r="G1364" s="2">
        <v>224</v>
      </c>
      <c r="H1364" t="s">
        <v>25</v>
      </c>
      <c r="I1364" t="s">
        <v>16</v>
      </c>
      <c r="J1364" s="1">
        <v>45595</v>
      </c>
      <c r="K1364" t="b">
        <v>0</v>
      </c>
    </row>
    <row r="1365" spans="1:11" x14ac:dyDescent="0.25">
      <c r="A1365" t="s">
        <v>373</v>
      </c>
      <c r="B1365" t="s">
        <v>85</v>
      </c>
      <c r="C1365" t="s">
        <v>110</v>
      </c>
      <c r="D1365" t="s">
        <v>282</v>
      </c>
      <c r="E1365" s="2">
        <v>32</v>
      </c>
      <c r="F1365" s="4">
        <v>7</v>
      </c>
      <c r="G1365" s="2">
        <v>224</v>
      </c>
      <c r="H1365" t="s">
        <v>25</v>
      </c>
      <c r="I1365" t="s">
        <v>16</v>
      </c>
      <c r="J1365" s="1">
        <v>44906</v>
      </c>
      <c r="K1365" t="b">
        <v>1</v>
      </c>
    </row>
    <row r="1366" spans="1:11" x14ac:dyDescent="0.25">
      <c r="A1366" t="s">
        <v>6478</v>
      </c>
      <c r="B1366" t="s">
        <v>61</v>
      </c>
      <c r="C1366" t="s">
        <v>19</v>
      </c>
      <c r="D1366" t="s">
        <v>120</v>
      </c>
      <c r="E1366" s="2">
        <v>32</v>
      </c>
      <c r="F1366" s="4">
        <v>7</v>
      </c>
      <c r="G1366" s="2">
        <v>224</v>
      </c>
      <c r="H1366" t="s">
        <v>45</v>
      </c>
      <c r="I1366" t="s">
        <v>36</v>
      </c>
      <c r="J1366" s="1">
        <v>44687</v>
      </c>
      <c r="K1366" t="b">
        <v>0</v>
      </c>
    </row>
    <row r="1367" spans="1:11" x14ac:dyDescent="0.25">
      <c r="A1367" t="s">
        <v>2689</v>
      </c>
      <c r="B1367" t="s">
        <v>66</v>
      </c>
      <c r="C1367" t="s">
        <v>110</v>
      </c>
      <c r="D1367" t="s">
        <v>282</v>
      </c>
      <c r="E1367" s="2">
        <v>32</v>
      </c>
      <c r="F1367" s="4">
        <v>7</v>
      </c>
      <c r="G1367" s="2">
        <v>224</v>
      </c>
      <c r="H1367" t="s">
        <v>45</v>
      </c>
      <c r="I1367" t="s">
        <v>36</v>
      </c>
      <c r="J1367" s="1">
        <v>45188</v>
      </c>
      <c r="K1367" t="b">
        <v>0</v>
      </c>
    </row>
    <row r="1368" spans="1:11" x14ac:dyDescent="0.25">
      <c r="A1368" t="s">
        <v>5914</v>
      </c>
      <c r="B1368" t="s">
        <v>43</v>
      </c>
      <c r="C1368" t="s">
        <v>13</v>
      </c>
      <c r="D1368" t="s">
        <v>426</v>
      </c>
      <c r="E1368" s="2">
        <v>32</v>
      </c>
      <c r="F1368" s="4">
        <v>7</v>
      </c>
      <c r="G1368" s="2">
        <v>224</v>
      </c>
      <c r="H1368" t="s">
        <v>15</v>
      </c>
      <c r="I1368" t="s">
        <v>16</v>
      </c>
      <c r="J1368" s="1">
        <v>45073</v>
      </c>
      <c r="K1368" t="b">
        <v>1</v>
      </c>
    </row>
    <row r="1369" spans="1:11" x14ac:dyDescent="0.25">
      <c r="A1369" t="s">
        <v>3591</v>
      </c>
      <c r="B1369" t="s">
        <v>37</v>
      </c>
      <c r="C1369" t="s">
        <v>27</v>
      </c>
      <c r="D1369" t="s">
        <v>207</v>
      </c>
      <c r="E1369" s="2">
        <v>32</v>
      </c>
      <c r="F1369" s="4">
        <v>7</v>
      </c>
      <c r="G1369" s="2">
        <v>224</v>
      </c>
      <c r="H1369" t="s">
        <v>25</v>
      </c>
      <c r="I1369" t="s">
        <v>16</v>
      </c>
      <c r="J1369" s="1">
        <v>44685</v>
      </c>
      <c r="K1369" t="b">
        <v>1</v>
      </c>
    </row>
    <row r="1370" spans="1:11" x14ac:dyDescent="0.25">
      <c r="A1370" t="s">
        <v>4991</v>
      </c>
      <c r="B1370" t="s">
        <v>104</v>
      </c>
      <c r="C1370" t="s">
        <v>27</v>
      </c>
      <c r="D1370" t="s">
        <v>207</v>
      </c>
      <c r="E1370" s="2">
        <v>32</v>
      </c>
      <c r="F1370" s="4">
        <v>7</v>
      </c>
      <c r="G1370" s="2">
        <v>224</v>
      </c>
      <c r="H1370" t="s">
        <v>15</v>
      </c>
      <c r="I1370" t="s">
        <v>36</v>
      </c>
      <c r="J1370" s="1">
        <v>45322</v>
      </c>
      <c r="K1370" t="b">
        <v>0</v>
      </c>
    </row>
    <row r="1371" spans="1:11" x14ac:dyDescent="0.25">
      <c r="A1371" t="s">
        <v>2705</v>
      </c>
      <c r="B1371" t="s">
        <v>56</v>
      </c>
      <c r="C1371" t="s">
        <v>110</v>
      </c>
      <c r="D1371" t="s">
        <v>282</v>
      </c>
      <c r="E1371" s="2">
        <v>32</v>
      </c>
      <c r="F1371" s="4">
        <v>7</v>
      </c>
      <c r="G1371" s="2">
        <v>224</v>
      </c>
      <c r="H1371" t="s">
        <v>25</v>
      </c>
      <c r="I1371" t="s">
        <v>16</v>
      </c>
      <c r="J1371" s="1">
        <v>44917</v>
      </c>
      <c r="K1371" t="b">
        <v>0</v>
      </c>
    </row>
    <row r="1372" spans="1:11" x14ac:dyDescent="0.25">
      <c r="A1372" t="s">
        <v>4234</v>
      </c>
      <c r="B1372" t="s">
        <v>61</v>
      </c>
      <c r="C1372" t="s">
        <v>110</v>
      </c>
      <c r="D1372" t="s">
        <v>282</v>
      </c>
      <c r="E1372" s="2">
        <v>32</v>
      </c>
      <c r="F1372" s="4">
        <v>7</v>
      </c>
      <c r="G1372" s="2">
        <v>224</v>
      </c>
      <c r="H1372" t="s">
        <v>15</v>
      </c>
      <c r="I1372" t="s">
        <v>16</v>
      </c>
      <c r="J1372" s="1">
        <v>44988</v>
      </c>
      <c r="K1372" t="b">
        <v>1</v>
      </c>
    </row>
    <row r="1373" spans="1:11" x14ac:dyDescent="0.25">
      <c r="A1373" t="s">
        <v>720</v>
      </c>
      <c r="B1373" t="s">
        <v>104</v>
      </c>
      <c r="C1373" t="s">
        <v>27</v>
      </c>
      <c r="D1373" t="s">
        <v>207</v>
      </c>
      <c r="E1373" s="2">
        <v>32</v>
      </c>
      <c r="F1373" s="4">
        <v>7</v>
      </c>
      <c r="G1373" s="2">
        <v>224</v>
      </c>
      <c r="H1373" t="s">
        <v>15</v>
      </c>
      <c r="I1373" t="s">
        <v>16</v>
      </c>
      <c r="J1373" s="1">
        <v>44843</v>
      </c>
      <c r="K1373" t="b">
        <v>1</v>
      </c>
    </row>
    <row r="1374" spans="1:11" x14ac:dyDescent="0.25">
      <c r="A1374" t="s">
        <v>6792</v>
      </c>
      <c r="B1374" t="s">
        <v>12</v>
      </c>
      <c r="C1374" t="s">
        <v>59</v>
      </c>
      <c r="D1374" t="s">
        <v>254</v>
      </c>
      <c r="E1374" s="2">
        <v>32</v>
      </c>
      <c r="F1374" s="4">
        <v>7</v>
      </c>
      <c r="G1374" s="2">
        <v>224</v>
      </c>
      <c r="H1374" t="s">
        <v>15</v>
      </c>
      <c r="I1374" t="s">
        <v>16</v>
      </c>
      <c r="J1374" s="1">
        <v>45570</v>
      </c>
      <c r="K1374" t="b">
        <v>1</v>
      </c>
    </row>
    <row r="1375" spans="1:11" x14ac:dyDescent="0.25">
      <c r="A1375" t="s">
        <v>5376</v>
      </c>
      <c r="B1375" t="s">
        <v>86</v>
      </c>
      <c r="C1375" t="s">
        <v>59</v>
      </c>
      <c r="D1375" t="s">
        <v>254</v>
      </c>
      <c r="E1375" s="2">
        <v>32</v>
      </c>
      <c r="F1375" s="4">
        <v>7</v>
      </c>
      <c r="G1375" s="2">
        <v>224</v>
      </c>
      <c r="H1375" t="s">
        <v>45</v>
      </c>
      <c r="I1375" t="s">
        <v>16</v>
      </c>
      <c r="J1375" s="1">
        <v>45483</v>
      </c>
      <c r="K1375" t="b">
        <v>0</v>
      </c>
    </row>
    <row r="1376" spans="1:11" x14ac:dyDescent="0.25">
      <c r="A1376" t="s">
        <v>6680</v>
      </c>
      <c r="B1376" t="s">
        <v>104</v>
      </c>
      <c r="C1376" t="s">
        <v>110</v>
      </c>
      <c r="D1376" t="s">
        <v>282</v>
      </c>
      <c r="E1376" s="2">
        <v>32</v>
      </c>
      <c r="F1376" s="4">
        <v>7</v>
      </c>
      <c r="G1376" s="2">
        <v>224</v>
      </c>
      <c r="H1376" t="s">
        <v>15</v>
      </c>
      <c r="I1376" t="s">
        <v>16</v>
      </c>
      <c r="J1376" s="1">
        <v>45163</v>
      </c>
      <c r="K1376" t="b">
        <v>0</v>
      </c>
    </row>
    <row r="1377" spans="1:11" x14ac:dyDescent="0.25">
      <c r="A1377" t="s">
        <v>6183</v>
      </c>
      <c r="B1377" t="s">
        <v>26</v>
      </c>
      <c r="C1377" t="s">
        <v>31</v>
      </c>
      <c r="D1377" t="s">
        <v>1505</v>
      </c>
      <c r="E1377" s="2">
        <v>32</v>
      </c>
      <c r="F1377" s="4">
        <v>7</v>
      </c>
      <c r="G1377" s="2">
        <v>224</v>
      </c>
      <c r="H1377" t="s">
        <v>15</v>
      </c>
      <c r="I1377" t="s">
        <v>36</v>
      </c>
      <c r="J1377" s="1">
        <v>45204</v>
      </c>
      <c r="K1377" t="b">
        <v>0</v>
      </c>
    </row>
    <row r="1378" spans="1:11" x14ac:dyDescent="0.25">
      <c r="A1378" t="s">
        <v>2155</v>
      </c>
      <c r="B1378" t="s">
        <v>61</v>
      </c>
      <c r="C1378" t="s">
        <v>23</v>
      </c>
      <c r="D1378" t="s">
        <v>708</v>
      </c>
      <c r="E1378" s="2">
        <v>32</v>
      </c>
      <c r="F1378" s="4">
        <v>7</v>
      </c>
      <c r="G1378" s="2">
        <v>224</v>
      </c>
      <c r="H1378" t="s">
        <v>45</v>
      </c>
      <c r="I1378" t="s">
        <v>16</v>
      </c>
      <c r="J1378" s="1">
        <v>44694</v>
      </c>
      <c r="K1378" t="b">
        <v>1</v>
      </c>
    </row>
    <row r="1379" spans="1:11" x14ac:dyDescent="0.25">
      <c r="A1379" t="s">
        <v>6091</v>
      </c>
      <c r="B1379" t="s">
        <v>72</v>
      </c>
      <c r="C1379" t="s">
        <v>38</v>
      </c>
      <c r="D1379" t="s">
        <v>748</v>
      </c>
      <c r="E1379" s="2">
        <v>32</v>
      </c>
      <c r="F1379" s="4">
        <v>7</v>
      </c>
      <c r="G1379" s="2">
        <v>224</v>
      </c>
      <c r="H1379" t="s">
        <v>25</v>
      </c>
      <c r="I1379" t="s">
        <v>36</v>
      </c>
      <c r="J1379" s="1">
        <v>44927</v>
      </c>
      <c r="K1379" t="b">
        <v>1</v>
      </c>
    </row>
    <row r="1380" spans="1:11" x14ac:dyDescent="0.25">
      <c r="A1380" t="s">
        <v>5048</v>
      </c>
      <c r="B1380" t="s">
        <v>61</v>
      </c>
      <c r="C1380" t="s">
        <v>38</v>
      </c>
      <c r="D1380" t="s">
        <v>70</v>
      </c>
      <c r="E1380" s="2">
        <v>24.5</v>
      </c>
      <c r="F1380" s="4">
        <v>9</v>
      </c>
      <c r="G1380" s="2">
        <v>220.5</v>
      </c>
      <c r="H1380" t="s">
        <v>25</v>
      </c>
      <c r="I1380" t="s">
        <v>36</v>
      </c>
      <c r="J1380" s="1">
        <v>44941</v>
      </c>
      <c r="K1380" t="b">
        <v>1</v>
      </c>
    </row>
    <row r="1381" spans="1:11" x14ac:dyDescent="0.25">
      <c r="A1381" t="s">
        <v>679</v>
      </c>
      <c r="B1381" t="s">
        <v>85</v>
      </c>
      <c r="C1381" t="s">
        <v>110</v>
      </c>
      <c r="D1381" t="s">
        <v>253</v>
      </c>
      <c r="E1381" s="2">
        <v>24.5</v>
      </c>
      <c r="F1381" s="4">
        <v>9</v>
      </c>
      <c r="G1381" s="2">
        <v>220.5</v>
      </c>
      <c r="H1381" t="s">
        <v>25</v>
      </c>
      <c r="I1381" t="s">
        <v>36</v>
      </c>
      <c r="J1381" s="1">
        <v>45170</v>
      </c>
      <c r="K1381" t="b">
        <v>0</v>
      </c>
    </row>
    <row r="1382" spans="1:11" x14ac:dyDescent="0.25">
      <c r="A1382" t="s">
        <v>7648</v>
      </c>
      <c r="B1382" t="s">
        <v>142</v>
      </c>
      <c r="C1382" t="s">
        <v>27</v>
      </c>
      <c r="D1382" t="s">
        <v>170</v>
      </c>
      <c r="E1382" s="2">
        <v>24.5</v>
      </c>
      <c r="F1382" s="4">
        <v>9</v>
      </c>
      <c r="G1382" s="2">
        <v>220.5</v>
      </c>
      <c r="H1382" t="s">
        <v>25</v>
      </c>
      <c r="I1382" t="s">
        <v>36</v>
      </c>
      <c r="J1382" s="1">
        <v>44733</v>
      </c>
      <c r="K1382" t="b">
        <v>0</v>
      </c>
    </row>
    <row r="1383" spans="1:11" x14ac:dyDescent="0.25">
      <c r="A1383" t="s">
        <v>1530</v>
      </c>
      <c r="B1383" t="s">
        <v>22</v>
      </c>
      <c r="C1383" t="s">
        <v>23</v>
      </c>
      <c r="D1383" t="s">
        <v>430</v>
      </c>
      <c r="E1383" s="2">
        <v>24.5</v>
      </c>
      <c r="F1383" s="4">
        <v>9</v>
      </c>
      <c r="G1383" s="2">
        <v>220.5</v>
      </c>
      <c r="H1383" t="s">
        <v>25</v>
      </c>
      <c r="I1383" t="s">
        <v>16</v>
      </c>
      <c r="J1383" s="1">
        <v>44675</v>
      </c>
      <c r="K1383" t="b">
        <v>0</v>
      </c>
    </row>
    <row r="1384" spans="1:11" x14ac:dyDescent="0.25">
      <c r="A1384" t="s">
        <v>6827</v>
      </c>
      <c r="B1384" t="s">
        <v>100</v>
      </c>
      <c r="C1384" t="s">
        <v>110</v>
      </c>
      <c r="D1384" t="s">
        <v>253</v>
      </c>
      <c r="E1384" s="2">
        <v>24.5</v>
      </c>
      <c r="F1384" s="4">
        <v>9</v>
      </c>
      <c r="G1384" s="2">
        <v>220.5</v>
      </c>
      <c r="H1384" t="s">
        <v>25</v>
      </c>
      <c r="I1384" t="s">
        <v>36</v>
      </c>
      <c r="J1384" s="1">
        <v>45074</v>
      </c>
      <c r="K1384" t="b">
        <v>1</v>
      </c>
    </row>
    <row r="1385" spans="1:11" x14ac:dyDescent="0.25">
      <c r="A1385" t="s">
        <v>2864</v>
      </c>
      <c r="B1385" t="s">
        <v>40</v>
      </c>
      <c r="C1385" t="s">
        <v>13</v>
      </c>
      <c r="D1385" t="s">
        <v>139</v>
      </c>
      <c r="E1385" s="2">
        <v>24.5</v>
      </c>
      <c r="F1385" s="4">
        <v>9</v>
      </c>
      <c r="G1385" s="2">
        <v>220.5</v>
      </c>
      <c r="H1385" t="s">
        <v>15</v>
      </c>
      <c r="I1385" t="s">
        <v>16</v>
      </c>
      <c r="J1385" s="1">
        <v>44709</v>
      </c>
      <c r="K1385" t="b">
        <v>0</v>
      </c>
    </row>
    <row r="1386" spans="1:11" x14ac:dyDescent="0.25">
      <c r="A1386" t="s">
        <v>2312</v>
      </c>
      <c r="B1386" t="s">
        <v>58</v>
      </c>
      <c r="C1386" t="s">
        <v>27</v>
      </c>
      <c r="D1386" t="s">
        <v>170</v>
      </c>
      <c r="E1386" s="2">
        <v>24.5</v>
      </c>
      <c r="F1386" s="4">
        <v>9</v>
      </c>
      <c r="G1386" s="2">
        <v>220.5</v>
      </c>
      <c r="H1386" t="s">
        <v>45</v>
      </c>
      <c r="I1386" t="s">
        <v>36</v>
      </c>
      <c r="J1386" s="1">
        <v>45552</v>
      </c>
      <c r="K1386" t="b">
        <v>0</v>
      </c>
    </row>
    <row r="1387" spans="1:11" x14ac:dyDescent="0.25">
      <c r="A1387" t="s">
        <v>4390</v>
      </c>
      <c r="B1387" t="s">
        <v>100</v>
      </c>
      <c r="C1387" t="s">
        <v>27</v>
      </c>
      <c r="D1387" t="s">
        <v>170</v>
      </c>
      <c r="E1387" s="2">
        <v>24.5</v>
      </c>
      <c r="F1387" s="4">
        <v>9</v>
      </c>
      <c r="G1387" s="2">
        <v>220.5</v>
      </c>
      <c r="H1387" t="s">
        <v>45</v>
      </c>
      <c r="I1387" t="s">
        <v>16</v>
      </c>
      <c r="J1387" s="1">
        <v>44596</v>
      </c>
      <c r="K1387" t="b">
        <v>0</v>
      </c>
    </row>
    <row r="1388" spans="1:11" x14ac:dyDescent="0.25">
      <c r="A1388" t="s">
        <v>3256</v>
      </c>
      <c r="B1388" t="s">
        <v>12</v>
      </c>
      <c r="C1388" t="s">
        <v>23</v>
      </c>
      <c r="D1388" t="s">
        <v>430</v>
      </c>
      <c r="E1388" s="2">
        <v>24.5</v>
      </c>
      <c r="F1388" s="4">
        <v>9</v>
      </c>
      <c r="G1388" s="2">
        <v>220.5</v>
      </c>
      <c r="H1388" t="s">
        <v>15</v>
      </c>
      <c r="I1388" t="s">
        <v>16</v>
      </c>
      <c r="J1388" s="1">
        <v>45573</v>
      </c>
      <c r="K1388" t="b">
        <v>0</v>
      </c>
    </row>
    <row r="1389" spans="1:11" x14ac:dyDescent="0.25">
      <c r="A1389" t="s">
        <v>3027</v>
      </c>
      <c r="B1389" t="s">
        <v>97</v>
      </c>
      <c r="C1389" t="s">
        <v>13</v>
      </c>
      <c r="D1389" t="s">
        <v>139</v>
      </c>
      <c r="E1389" s="2">
        <v>24.5</v>
      </c>
      <c r="F1389" s="4">
        <v>9</v>
      </c>
      <c r="G1389" s="2">
        <v>220.5</v>
      </c>
      <c r="H1389" t="s">
        <v>45</v>
      </c>
      <c r="I1389" t="s">
        <v>16</v>
      </c>
      <c r="J1389" s="1">
        <v>45481</v>
      </c>
      <c r="K1389" t="b">
        <v>1</v>
      </c>
    </row>
    <row r="1390" spans="1:11" x14ac:dyDescent="0.25">
      <c r="A1390" t="s">
        <v>1803</v>
      </c>
      <c r="B1390" t="s">
        <v>58</v>
      </c>
      <c r="C1390" t="s">
        <v>19</v>
      </c>
      <c r="D1390" t="s">
        <v>487</v>
      </c>
      <c r="E1390" s="2">
        <v>24.5</v>
      </c>
      <c r="F1390" s="4">
        <v>9</v>
      </c>
      <c r="G1390" s="2">
        <v>220.5</v>
      </c>
      <c r="H1390" t="s">
        <v>25</v>
      </c>
      <c r="I1390" t="s">
        <v>36</v>
      </c>
      <c r="J1390" s="1">
        <v>44716</v>
      </c>
      <c r="K1390" t="b">
        <v>1</v>
      </c>
    </row>
    <row r="1391" spans="1:11" x14ac:dyDescent="0.25">
      <c r="A1391" t="s">
        <v>3992</v>
      </c>
      <c r="B1391" t="s">
        <v>85</v>
      </c>
      <c r="C1391" t="s">
        <v>38</v>
      </c>
      <c r="D1391" t="s">
        <v>70</v>
      </c>
      <c r="E1391" s="2">
        <v>24.5</v>
      </c>
      <c r="F1391" s="4">
        <v>9</v>
      </c>
      <c r="G1391" s="2">
        <v>220.5</v>
      </c>
      <c r="H1391" t="s">
        <v>25</v>
      </c>
      <c r="I1391" t="s">
        <v>36</v>
      </c>
      <c r="J1391" s="1">
        <v>45248</v>
      </c>
      <c r="K1391" t="b">
        <v>0</v>
      </c>
    </row>
    <row r="1392" spans="1:11" x14ac:dyDescent="0.25">
      <c r="A1392" t="s">
        <v>2970</v>
      </c>
      <c r="B1392" t="s">
        <v>58</v>
      </c>
      <c r="C1392" t="s">
        <v>13</v>
      </c>
      <c r="D1392" t="s">
        <v>139</v>
      </c>
      <c r="E1392" s="2">
        <v>24.5</v>
      </c>
      <c r="F1392" s="4">
        <v>9</v>
      </c>
      <c r="G1392" s="2">
        <v>220.5</v>
      </c>
      <c r="H1392" t="s">
        <v>25</v>
      </c>
      <c r="I1392" t="s">
        <v>16</v>
      </c>
      <c r="J1392" s="1">
        <v>44739</v>
      </c>
      <c r="K1392" t="b">
        <v>1</v>
      </c>
    </row>
    <row r="1393" spans="1:11" x14ac:dyDescent="0.25">
      <c r="A1393" t="s">
        <v>2962</v>
      </c>
      <c r="B1393" t="s">
        <v>100</v>
      </c>
      <c r="C1393" t="s">
        <v>13</v>
      </c>
      <c r="D1393" t="s">
        <v>139</v>
      </c>
      <c r="E1393" s="2">
        <v>24.5</v>
      </c>
      <c r="F1393" s="4">
        <v>9</v>
      </c>
      <c r="G1393" s="2">
        <v>220.5</v>
      </c>
      <c r="H1393" t="s">
        <v>15</v>
      </c>
      <c r="I1393" t="s">
        <v>36</v>
      </c>
      <c r="J1393" s="1">
        <v>45456</v>
      </c>
      <c r="K1393" t="b">
        <v>1</v>
      </c>
    </row>
    <row r="1394" spans="1:11" x14ac:dyDescent="0.25">
      <c r="A1394" t="s">
        <v>4813</v>
      </c>
      <c r="B1394" t="s">
        <v>58</v>
      </c>
      <c r="C1394" t="s">
        <v>31</v>
      </c>
      <c r="D1394" t="s">
        <v>78</v>
      </c>
      <c r="E1394" s="2">
        <v>24.5</v>
      </c>
      <c r="F1394" s="4">
        <v>9</v>
      </c>
      <c r="G1394" s="2">
        <v>220.5</v>
      </c>
      <c r="H1394" t="s">
        <v>25</v>
      </c>
      <c r="I1394" t="s">
        <v>36</v>
      </c>
      <c r="J1394" s="1">
        <v>45274</v>
      </c>
      <c r="K1394" t="b">
        <v>0</v>
      </c>
    </row>
    <row r="1395" spans="1:11" x14ac:dyDescent="0.25">
      <c r="A1395" t="s">
        <v>7193</v>
      </c>
      <c r="B1395" t="s">
        <v>77</v>
      </c>
      <c r="C1395" t="s">
        <v>38</v>
      </c>
      <c r="D1395" t="s">
        <v>70</v>
      </c>
      <c r="E1395" s="2">
        <v>24.5</v>
      </c>
      <c r="F1395" s="4">
        <v>9</v>
      </c>
      <c r="G1395" s="2">
        <v>220.5</v>
      </c>
      <c r="H1395" t="s">
        <v>15</v>
      </c>
      <c r="I1395" t="s">
        <v>16</v>
      </c>
      <c r="J1395" s="1">
        <v>44610</v>
      </c>
      <c r="K1395" t="b">
        <v>0</v>
      </c>
    </row>
    <row r="1396" spans="1:11" x14ac:dyDescent="0.25">
      <c r="A1396" t="s">
        <v>3018</v>
      </c>
      <c r="B1396" t="s">
        <v>40</v>
      </c>
      <c r="C1396" t="s">
        <v>31</v>
      </c>
      <c r="D1396" t="s">
        <v>78</v>
      </c>
      <c r="E1396" s="2">
        <v>24.5</v>
      </c>
      <c r="F1396" s="4">
        <v>9</v>
      </c>
      <c r="G1396" s="2">
        <v>220.5</v>
      </c>
      <c r="H1396" t="s">
        <v>15</v>
      </c>
      <c r="I1396" t="s">
        <v>16</v>
      </c>
      <c r="J1396" s="1">
        <v>45465</v>
      </c>
      <c r="K1396" t="b">
        <v>1</v>
      </c>
    </row>
    <row r="1397" spans="1:11" x14ac:dyDescent="0.25">
      <c r="A1397" t="s">
        <v>3902</v>
      </c>
      <c r="B1397" t="s">
        <v>22</v>
      </c>
      <c r="C1397" t="s">
        <v>110</v>
      </c>
      <c r="D1397" t="s">
        <v>253</v>
      </c>
      <c r="E1397" s="2">
        <v>24.5</v>
      </c>
      <c r="F1397" s="4">
        <v>9</v>
      </c>
      <c r="G1397" s="2">
        <v>220.5</v>
      </c>
      <c r="H1397" t="s">
        <v>25</v>
      </c>
      <c r="I1397" t="s">
        <v>16</v>
      </c>
      <c r="J1397" s="1">
        <v>44587</v>
      </c>
      <c r="K1397" t="b">
        <v>0</v>
      </c>
    </row>
    <row r="1398" spans="1:11" x14ac:dyDescent="0.25">
      <c r="A1398" t="s">
        <v>2180</v>
      </c>
      <c r="B1398" t="s">
        <v>77</v>
      </c>
      <c r="C1398" t="s">
        <v>38</v>
      </c>
      <c r="D1398" t="s">
        <v>70</v>
      </c>
      <c r="E1398" s="2">
        <v>24.5</v>
      </c>
      <c r="F1398" s="4">
        <v>9</v>
      </c>
      <c r="G1398" s="2">
        <v>220.5</v>
      </c>
      <c r="H1398" t="s">
        <v>45</v>
      </c>
      <c r="I1398" t="s">
        <v>36</v>
      </c>
      <c r="J1398" s="1">
        <v>45493</v>
      </c>
      <c r="K1398" t="b">
        <v>1</v>
      </c>
    </row>
    <row r="1399" spans="1:11" x14ac:dyDescent="0.25">
      <c r="A1399" t="s">
        <v>3436</v>
      </c>
      <c r="B1399" t="s">
        <v>61</v>
      </c>
      <c r="C1399" t="s">
        <v>27</v>
      </c>
      <c r="D1399" t="s">
        <v>170</v>
      </c>
      <c r="E1399" s="2">
        <v>24.5</v>
      </c>
      <c r="F1399" s="4">
        <v>9</v>
      </c>
      <c r="G1399" s="2">
        <v>220.5</v>
      </c>
      <c r="H1399" t="s">
        <v>25</v>
      </c>
      <c r="I1399" t="s">
        <v>16</v>
      </c>
      <c r="J1399" s="1">
        <v>44612</v>
      </c>
      <c r="K1399" t="b">
        <v>0</v>
      </c>
    </row>
    <row r="1400" spans="1:11" x14ac:dyDescent="0.25">
      <c r="A1400" t="s">
        <v>3600</v>
      </c>
      <c r="B1400" t="s">
        <v>58</v>
      </c>
      <c r="C1400" t="s">
        <v>13</v>
      </c>
      <c r="D1400" t="s">
        <v>139</v>
      </c>
      <c r="E1400" s="2">
        <v>24.5</v>
      </c>
      <c r="F1400" s="4">
        <v>9</v>
      </c>
      <c r="G1400" s="2">
        <v>220.5</v>
      </c>
      <c r="H1400" t="s">
        <v>45</v>
      </c>
      <c r="I1400" t="s">
        <v>36</v>
      </c>
      <c r="J1400" s="1">
        <v>44818</v>
      </c>
      <c r="K1400" t="b">
        <v>1</v>
      </c>
    </row>
    <row r="1401" spans="1:11" x14ac:dyDescent="0.25">
      <c r="A1401" t="s">
        <v>3481</v>
      </c>
      <c r="B1401" t="s">
        <v>104</v>
      </c>
      <c r="C1401" t="s">
        <v>59</v>
      </c>
      <c r="D1401" t="s">
        <v>1513</v>
      </c>
      <c r="E1401" s="2">
        <v>24.5</v>
      </c>
      <c r="F1401" s="4">
        <v>9</v>
      </c>
      <c r="G1401" s="2">
        <v>220.5</v>
      </c>
      <c r="H1401" t="s">
        <v>25</v>
      </c>
      <c r="I1401" t="s">
        <v>16</v>
      </c>
      <c r="J1401" s="1">
        <v>45218</v>
      </c>
      <c r="K1401" t="b">
        <v>1</v>
      </c>
    </row>
    <row r="1402" spans="1:11" x14ac:dyDescent="0.25">
      <c r="A1402" t="s">
        <v>6288</v>
      </c>
      <c r="B1402" t="s">
        <v>26</v>
      </c>
      <c r="C1402" t="s">
        <v>27</v>
      </c>
      <c r="D1402" t="s">
        <v>28</v>
      </c>
      <c r="E1402" s="2">
        <v>27.5</v>
      </c>
      <c r="F1402" s="4">
        <v>8</v>
      </c>
      <c r="G1402" s="2">
        <v>220</v>
      </c>
      <c r="H1402" t="s">
        <v>25</v>
      </c>
      <c r="I1402" t="s">
        <v>36</v>
      </c>
      <c r="J1402" s="1">
        <v>45416</v>
      </c>
      <c r="K1402" t="b">
        <v>1</v>
      </c>
    </row>
    <row r="1403" spans="1:11" x14ac:dyDescent="0.25">
      <c r="A1403" t="s">
        <v>6088</v>
      </c>
      <c r="B1403" t="s">
        <v>30</v>
      </c>
      <c r="C1403" t="s">
        <v>110</v>
      </c>
      <c r="D1403" t="s">
        <v>111</v>
      </c>
      <c r="E1403" s="2">
        <v>27.5</v>
      </c>
      <c r="F1403" s="4">
        <v>8</v>
      </c>
      <c r="G1403" s="2">
        <v>220</v>
      </c>
      <c r="H1403" t="s">
        <v>25</v>
      </c>
      <c r="I1403" t="s">
        <v>16</v>
      </c>
      <c r="J1403" s="1">
        <v>44992</v>
      </c>
      <c r="K1403" t="b">
        <v>0</v>
      </c>
    </row>
    <row r="1404" spans="1:11" x14ac:dyDescent="0.25">
      <c r="A1404" t="s">
        <v>2276</v>
      </c>
      <c r="B1404" t="s">
        <v>104</v>
      </c>
      <c r="C1404" t="s">
        <v>38</v>
      </c>
      <c r="D1404" t="s">
        <v>41</v>
      </c>
      <c r="E1404" s="2">
        <v>27.5</v>
      </c>
      <c r="F1404" s="4">
        <v>8</v>
      </c>
      <c r="G1404" s="2">
        <v>220</v>
      </c>
      <c r="H1404" t="s">
        <v>25</v>
      </c>
      <c r="I1404" t="s">
        <v>16</v>
      </c>
      <c r="J1404" s="1">
        <v>45089</v>
      </c>
      <c r="K1404" t="b">
        <v>0</v>
      </c>
    </row>
    <row r="1405" spans="1:11" x14ac:dyDescent="0.25">
      <c r="A1405" t="s">
        <v>456</v>
      </c>
      <c r="B1405" t="s">
        <v>85</v>
      </c>
      <c r="C1405" t="s">
        <v>19</v>
      </c>
      <c r="D1405" t="s">
        <v>53</v>
      </c>
      <c r="E1405" s="2">
        <v>27.5</v>
      </c>
      <c r="F1405" s="4">
        <v>8</v>
      </c>
      <c r="G1405" s="2">
        <v>220</v>
      </c>
      <c r="H1405" t="s">
        <v>15</v>
      </c>
      <c r="I1405" t="s">
        <v>16</v>
      </c>
      <c r="J1405" s="1">
        <v>45409</v>
      </c>
      <c r="K1405" t="b">
        <v>1</v>
      </c>
    </row>
    <row r="1406" spans="1:11" x14ac:dyDescent="0.25">
      <c r="A1406" t="s">
        <v>3160</v>
      </c>
      <c r="B1406" t="s">
        <v>61</v>
      </c>
      <c r="C1406" t="s">
        <v>59</v>
      </c>
      <c r="D1406" t="s">
        <v>272</v>
      </c>
      <c r="E1406" s="2">
        <v>27.5</v>
      </c>
      <c r="F1406" s="4">
        <v>8</v>
      </c>
      <c r="G1406" s="2">
        <v>220</v>
      </c>
      <c r="H1406" t="s">
        <v>25</v>
      </c>
      <c r="I1406" t="s">
        <v>16</v>
      </c>
      <c r="J1406" s="1">
        <v>44804</v>
      </c>
      <c r="K1406" t="b">
        <v>0</v>
      </c>
    </row>
    <row r="1407" spans="1:11" x14ac:dyDescent="0.25">
      <c r="A1407" t="s">
        <v>7385</v>
      </c>
      <c r="B1407" t="s">
        <v>85</v>
      </c>
      <c r="C1407" t="s">
        <v>13</v>
      </c>
      <c r="D1407" t="s">
        <v>183</v>
      </c>
      <c r="E1407" s="2">
        <v>27.5</v>
      </c>
      <c r="F1407" s="4">
        <v>8</v>
      </c>
      <c r="G1407" s="2">
        <v>220</v>
      </c>
      <c r="H1407" t="s">
        <v>45</v>
      </c>
      <c r="I1407" t="s">
        <v>16</v>
      </c>
      <c r="J1407" s="1">
        <v>44743</v>
      </c>
      <c r="K1407" t="b">
        <v>0</v>
      </c>
    </row>
    <row r="1408" spans="1:11" x14ac:dyDescent="0.25">
      <c r="A1408" t="s">
        <v>5786</v>
      </c>
      <c r="B1408" t="s">
        <v>61</v>
      </c>
      <c r="C1408" t="s">
        <v>19</v>
      </c>
      <c r="D1408" t="s">
        <v>53</v>
      </c>
      <c r="E1408" s="2">
        <v>27.5</v>
      </c>
      <c r="F1408" s="4">
        <v>8</v>
      </c>
      <c r="G1408" s="2">
        <v>220</v>
      </c>
      <c r="H1408" t="s">
        <v>25</v>
      </c>
      <c r="I1408" t="s">
        <v>36</v>
      </c>
      <c r="J1408" s="1">
        <v>45246</v>
      </c>
      <c r="K1408" t="b">
        <v>0</v>
      </c>
    </row>
    <row r="1409" spans="1:11" x14ac:dyDescent="0.25">
      <c r="A1409" t="s">
        <v>7666</v>
      </c>
      <c r="B1409" t="s">
        <v>85</v>
      </c>
      <c r="C1409" t="s">
        <v>19</v>
      </c>
      <c r="D1409" t="s">
        <v>53</v>
      </c>
      <c r="E1409" s="2">
        <v>27.5</v>
      </c>
      <c r="F1409" s="4">
        <v>8</v>
      </c>
      <c r="G1409" s="2">
        <v>220</v>
      </c>
      <c r="H1409" t="s">
        <v>45</v>
      </c>
      <c r="I1409" t="s">
        <v>36</v>
      </c>
      <c r="J1409" s="1">
        <v>45120</v>
      </c>
      <c r="K1409" t="b">
        <v>0</v>
      </c>
    </row>
    <row r="1410" spans="1:11" x14ac:dyDescent="0.25">
      <c r="A1410" t="s">
        <v>2235</v>
      </c>
      <c r="B1410" t="s">
        <v>104</v>
      </c>
      <c r="C1410" t="s">
        <v>59</v>
      </c>
      <c r="D1410" t="s">
        <v>272</v>
      </c>
      <c r="E1410" s="2">
        <v>27.5</v>
      </c>
      <c r="F1410" s="4">
        <v>8</v>
      </c>
      <c r="G1410" s="2">
        <v>220</v>
      </c>
      <c r="H1410" t="s">
        <v>15</v>
      </c>
      <c r="I1410" t="s">
        <v>36</v>
      </c>
      <c r="J1410" s="1">
        <v>45135</v>
      </c>
      <c r="K1410" t="b">
        <v>0</v>
      </c>
    </row>
    <row r="1411" spans="1:11" x14ac:dyDescent="0.25">
      <c r="A1411" t="s">
        <v>5701</v>
      </c>
      <c r="B1411" t="s">
        <v>86</v>
      </c>
      <c r="C1411" t="s">
        <v>19</v>
      </c>
      <c r="D1411" t="s">
        <v>53</v>
      </c>
      <c r="E1411" s="2">
        <v>27.5</v>
      </c>
      <c r="F1411" s="4">
        <v>8</v>
      </c>
      <c r="G1411" s="2">
        <v>220</v>
      </c>
      <c r="H1411" t="s">
        <v>15</v>
      </c>
      <c r="I1411" t="s">
        <v>36</v>
      </c>
      <c r="J1411" s="1">
        <v>45613</v>
      </c>
      <c r="K1411" t="b">
        <v>0</v>
      </c>
    </row>
    <row r="1412" spans="1:11" x14ac:dyDescent="0.25">
      <c r="A1412" t="s">
        <v>3024</v>
      </c>
      <c r="B1412" t="s">
        <v>22</v>
      </c>
      <c r="C1412" t="s">
        <v>27</v>
      </c>
      <c r="D1412" t="s">
        <v>28</v>
      </c>
      <c r="E1412" s="2">
        <v>27.5</v>
      </c>
      <c r="F1412" s="4">
        <v>8</v>
      </c>
      <c r="G1412" s="2">
        <v>220</v>
      </c>
      <c r="H1412" t="s">
        <v>15</v>
      </c>
      <c r="I1412" t="s">
        <v>16</v>
      </c>
      <c r="J1412" s="1">
        <v>45179</v>
      </c>
      <c r="K1412" t="b">
        <v>1</v>
      </c>
    </row>
    <row r="1413" spans="1:11" x14ac:dyDescent="0.25">
      <c r="A1413" t="s">
        <v>674</v>
      </c>
      <c r="B1413" t="s">
        <v>12</v>
      </c>
      <c r="C1413" t="s">
        <v>38</v>
      </c>
      <c r="D1413" t="s">
        <v>41</v>
      </c>
      <c r="E1413" s="2">
        <v>27.5</v>
      </c>
      <c r="F1413" s="4">
        <v>8</v>
      </c>
      <c r="G1413" s="2">
        <v>220</v>
      </c>
      <c r="H1413" t="s">
        <v>45</v>
      </c>
      <c r="I1413" t="s">
        <v>16</v>
      </c>
      <c r="J1413" s="1">
        <v>45038</v>
      </c>
      <c r="K1413" t="b">
        <v>0</v>
      </c>
    </row>
    <row r="1414" spans="1:11" x14ac:dyDescent="0.25">
      <c r="A1414" t="s">
        <v>2759</v>
      </c>
      <c r="B1414" t="s">
        <v>69</v>
      </c>
      <c r="C1414" t="s">
        <v>23</v>
      </c>
      <c r="D1414" t="s">
        <v>115</v>
      </c>
      <c r="E1414" s="2">
        <v>27.5</v>
      </c>
      <c r="F1414" s="4">
        <v>8</v>
      </c>
      <c r="G1414" s="2">
        <v>220</v>
      </c>
      <c r="H1414" t="s">
        <v>25</v>
      </c>
      <c r="I1414" t="s">
        <v>16</v>
      </c>
      <c r="J1414" s="1">
        <v>45403</v>
      </c>
      <c r="K1414" t="b">
        <v>0</v>
      </c>
    </row>
    <row r="1415" spans="1:11" x14ac:dyDescent="0.25">
      <c r="A1415" t="s">
        <v>3643</v>
      </c>
      <c r="B1415" t="s">
        <v>30</v>
      </c>
      <c r="C1415" t="s">
        <v>23</v>
      </c>
      <c r="D1415" t="s">
        <v>115</v>
      </c>
      <c r="E1415" s="2">
        <v>27.5</v>
      </c>
      <c r="F1415" s="4">
        <v>8</v>
      </c>
      <c r="G1415" s="2">
        <v>220</v>
      </c>
      <c r="H1415" t="s">
        <v>45</v>
      </c>
      <c r="I1415" t="s">
        <v>16</v>
      </c>
      <c r="J1415" s="1">
        <v>45431</v>
      </c>
      <c r="K1415" t="b">
        <v>1</v>
      </c>
    </row>
    <row r="1416" spans="1:11" x14ac:dyDescent="0.25">
      <c r="A1416" t="s">
        <v>4317</v>
      </c>
      <c r="B1416" t="s">
        <v>34</v>
      </c>
      <c r="C1416" t="s">
        <v>23</v>
      </c>
      <c r="D1416" t="s">
        <v>115</v>
      </c>
      <c r="E1416" s="2">
        <v>27.5</v>
      </c>
      <c r="F1416" s="4">
        <v>8</v>
      </c>
      <c r="G1416" s="2">
        <v>220</v>
      </c>
      <c r="H1416" t="s">
        <v>15</v>
      </c>
      <c r="I1416" t="s">
        <v>16</v>
      </c>
      <c r="J1416" s="1">
        <v>45123</v>
      </c>
      <c r="K1416" t="b">
        <v>1</v>
      </c>
    </row>
    <row r="1417" spans="1:11" x14ac:dyDescent="0.25">
      <c r="A1417" t="s">
        <v>7760</v>
      </c>
      <c r="B1417" t="s">
        <v>26</v>
      </c>
      <c r="C1417" t="s">
        <v>23</v>
      </c>
      <c r="D1417" t="s">
        <v>115</v>
      </c>
      <c r="E1417" s="2">
        <v>27.5</v>
      </c>
      <c r="F1417" s="4">
        <v>8</v>
      </c>
      <c r="G1417" s="2">
        <v>220</v>
      </c>
      <c r="H1417" t="s">
        <v>25</v>
      </c>
      <c r="I1417" t="s">
        <v>36</v>
      </c>
      <c r="J1417" s="1">
        <v>45129</v>
      </c>
      <c r="K1417" t="b">
        <v>0</v>
      </c>
    </row>
    <row r="1418" spans="1:11" x14ac:dyDescent="0.25">
      <c r="A1418" t="s">
        <v>3485</v>
      </c>
      <c r="B1418" t="s">
        <v>69</v>
      </c>
      <c r="C1418" t="s">
        <v>19</v>
      </c>
      <c r="D1418" t="s">
        <v>53</v>
      </c>
      <c r="E1418" s="2">
        <v>27.5</v>
      </c>
      <c r="F1418" s="4">
        <v>8</v>
      </c>
      <c r="G1418" s="2">
        <v>220</v>
      </c>
      <c r="H1418" t="s">
        <v>25</v>
      </c>
      <c r="I1418" t="s">
        <v>16</v>
      </c>
      <c r="J1418" s="1">
        <v>45200</v>
      </c>
      <c r="K1418" t="b">
        <v>0</v>
      </c>
    </row>
    <row r="1419" spans="1:11" x14ac:dyDescent="0.25">
      <c r="A1419" t="s">
        <v>1280</v>
      </c>
      <c r="B1419" t="s">
        <v>58</v>
      </c>
      <c r="C1419" t="s">
        <v>19</v>
      </c>
      <c r="D1419" t="s">
        <v>53</v>
      </c>
      <c r="E1419" s="2">
        <v>27.5</v>
      </c>
      <c r="F1419" s="4">
        <v>8</v>
      </c>
      <c r="G1419" s="2">
        <v>220</v>
      </c>
      <c r="H1419" t="s">
        <v>45</v>
      </c>
      <c r="I1419" t="s">
        <v>16</v>
      </c>
      <c r="J1419" s="1">
        <v>44953</v>
      </c>
      <c r="K1419" t="b">
        <v>1</v>
      </c>
    </row>
    <row r="1420" spans="1:11" x14ac:dyDescent="0.25">
      <c r="A1420" t="s">
        <v>1654</v>
      </c>
      <c r="B1420" t="s">
        <v>66</v>
      </c>
      <c r="C1420" t="s">
        <v>13</v>
      </c>
      <c r="D1420" t="s">
        <v>183</v>
      </c>
      <c r="E1420" s="2">
        <v>27.5</v>
      </c>
      <c r="F1420" s="4">
        <v>8</v>
      </c>
      <c r="G1420" s="2">
        <v>220</v>
      </c>
      <c r="H1420" t="s">
        <v>15</v>
      </c>
      <c r="I1420" t="s">
        <v>36</v>
      </c>
      <c r="J1420" s="1">
        <v>45390</v>
      </c>
      <c r="K1420" t="b">
        <v>1</v>
      </c>
    </row>
    <row r="1421" spans="1:11" x14ac:dyDescent="0.25">
      <c r="A1421" t="s">
        <v>4222</v>
      </c>
      <c r="B1421" t="s">
        <v>100</v>
      </c>
      <c r="C1421" t="s">
        <v>27</v>
      </c>
      <c r="D1421" t="s">
        <v>28</v>
      </c>
      <c r="E1421" s="2">
        <v>27.5</v>
      </c>
      <c r="F1421" s="4">
        <v>8</v>
      </c>
      <c r="G1421" s="2">
        <v>220</v>
      </c>
      <c r="H1421" t="s">
        <v>45</v>
      </c>
      <c r="I1421" t="s">
        <v>36</v>
      </c>
      <c r="J1421" s="1">
        <v>45633</v>
      </c>
      <c r="K1421" t="b">
        <v>0</v>
      </c>
    </row>
    <row r="1422" spans="1:11" x14ac:dyDescent="0.25">
      <c r="A1422" t="s">
        <v>1787</v>
      </c>
      <c r="B1422" t="s">
        <v>97</v>
      </c>
      <c r="C1422" t="s">
        <v>27</v>
      </c>
      <c r="D1422" t="s">
        <v>28</v>
      </c>
      <c r="E1422" s="2">
        <v>27.5</v>
      </c>
      <c r="F1422" s="4">
        <v>8</v>
      </c>
      <c r="G1422" s="2">
        <v>220</v>
      </c>
      <c r="H1422" t="s">
        <v>15</v>
      </c>
      <c r="I1422" t="s">
        <v>36</v>
      </c>
      <c r="J1422" s="1">
        <v>44892</v>
      </c>
      <c r="K1422" t="b">
        <v>1</v>
      </c>
    </row>
    <row r="1423" spans="1:11" x14ac:dyDescent="0.25">
      <c r="A1423" t="s">
        <v>4351</v>
      </c>
      <c r="B1423" t="s">
        <v>56</v>
      </c>
      <c r="C1423" t="s">
        <v>13</v>
      </c>
      <c r="D1423" t="s">
        <v>183</v>
      </c>
      <c r="E1423" s="2">
        <v>27.5</v>
      </c>
      <c r="F1423" s="4">
        <v>8</v>
      </c>
      <c r="G1423" s="2">
        <v>220</v>
      </c>
      <c r="H1423" t="s">
        <v>25</v>
      </c>
      <c r="I1423" t="s">
        <v>36</v>
      </c>
      <c r="J1423" s="1">
        <v>45652</v>
      </c>
      <c r="K1423" t="b">
        <v>1</v>
      </c>
    </row>
    <row r="1424" spans="1:11" x14ac:dyDescent="0.25">
      <c r="A1424" t="s">
        <v>5069</v>
      </c>
      <c r="B1424" t="s">
        <v>85</v>
      </c>
      <c r="C1424" t="s">
        <v>23</v>
      </c>
      <c r="D1424" t="s">
        <v>115</v>
      </c>
      <c r="E1424" s="2">
        <v>27.5</v>
      </c>
      <c r="F1424" s="4">
        <v>8</v>
      </c>
      <c r="G1424" s="2">
        <v>220</v>
      </c>
      <c r="H1424" t="s">
        <v>45</v>
      </c>
      <c r="I1424" t="s">
        <v>36</v>
      </c>
      <c r="J1424" s="1">
        <v>45069</v>
      </c>
      <c r="K1424" t="b">
        <v>0</v>
      </c>
    </row>
    <row r="1425" spans="1:11" x14ac:dyDescent="0.25">
      <c r="A1425" t="s">
        <v>3146</v>
      </c>
      <c r="B1425" t="s">
        <v>56</v>
      </c>
      <c r="C1425" t="s">
        <v>31</v>
      </c>
      <c r="D1425" t="s">
        <v>1456</v>
      </c>
      <c r="E1425" s="2">
        <v>27.5</v>
      </c>
      <c r="F1425" s="4">
        <v>8</v>
      </c>
      <c r="G1425" s="2">
        <v>220</v>
      </c>
      <c r="H1425" t="s">
        <v>25</v>
      </c>
      <c r="I1425" t="s">
        <v>36</v>
      </c>
      <c r="J1425" s="1">
        <v>45296</v>
      </c>
      <c r="K1425" t="b">
        <v>1</v>
      </c>
    </row>
    <row r="1426" spans="1:11" x14ac:dyDescent="0.25">
      <c r="A1426" t="s">
        <v>4716</v>
      </c>
      <c r="B1426" t="s">
        <v>34</v>
      </c>
      <c r="C1426" t="s">
        <v>13</v>
      </c>
      <c r="D1426" t="s">
        <v>183</v>
      </c>
      <c r="E1426" s="2">
        <v>27.5</v>
      </c>
      <c r="F1426" s="4">
        <v>8</v>
      </c>
      <c r="G1426" s="2">
        <v>220</v>
      </c>
      <c r="H1426" t="s">
        <v>15</v>
      </c>
      <c r="I1426" t="s">
        <v>16</v>
      </c>
      <c r="J1426" s="1">
        <v>44985</v>
      </c>
      <c r="K1426" t="b">
        <v>0</v>
      </c>
    </row>
    <row r="1427" spans="1:11" x14ac:dyDescent="0.25">
      <c r="A1427" t="s">
        <v>3056</v>
      </c>
      <c r="B1427" t="s">
        <v>34</v>
      </c>
      <c r="C1427" t="s">
        <v>23</v>
      </c>
      <c r="D1427" t="s">
        <v>115</v>
      </c>
      <c r="E1427" s="2">
        <v>27.5</v>
      </c>
      <c r="F1427" s="4">
        <v>8</v>
      </c>
      <c r="G1427" s="2">
        <v>220</v>
      </c>
      <c r="H1427" t="s">
        <v>15</v>
      </c>
      <c r="I1427" t="s">
        <v>36</v>
      </c>
      <c r="J1427" s="1">
        <v>45456</v>
      </c>
      <c r="K1427" t="b">
        <v>1</v>
      </c>
    </row>
    <row r="1428" spans="1:11" x14ac:dyDescent="0.25">
      <c r="A1428" t="s">
        <v>1855</v>
      </c>
      <c r="B1428" t="s">
        <v>86</v>
      </c>
      <c r="C1428" t="s">
        <v>23</v>
      </c>
      <c r="D1428" t="s">
        <v>115</v>
      </c>
      <c r="E1428" s="2">
        <v>27.5</v>
      </c>
      <c r="F1428" s="4">
        <v>8</v>
      </c>
      <c r="G1428" s="2">
        <v>220</v>
      </c>
      <c r="H1428" t="s">
        <v>45</v>
      </c>
      <c r="I1428" t="s">
        <v>36</v>
      </c>
      <c r="J1428" s="1">
        <v>45165</v>
      </c>
      <c r="K1428" t="b">
        <v>0</v>
      </c>
    </row>
    <row r="1429" spans="1:11" x14ac:dyDescent="0.25">
      <c r="A1429" t="s">
        <v>153</v>
      </c>
      <c r="B1429" t="s">
        <v>22</v>
      </c>
      <c r="C1429" t="s">
        <v>27</v>
      </c>
      <c r="D1429" t="s">
        <v>101</v>
      </c>
      <c r="E1429" s="2">
        <v>36.5</v>
      </c>
      <c r="F1429" s="4">
        <v>6</v>
      </c>
      <c r="G1429" s="2">
        <v>219</v>
      </c>
      <c r="H1429" t="s">
        <v>45</v>
      </c>
      <c r="I1429" t="s">
        <v>36</v>
      </c>
      <c r="J1429" s="1">
        <v>44964</v>
      </c>
      <c r="K1429" t="b">
        <v>1</v>
      </c>
    </row>
    <row r="1430" spans="1:11" x14ac:dyDescent="0.25">
      <c r="A1430" t="s">
        <v>4686</v>
      </c>
      <c r="B1430" t="s">
        <v>40</v>
      </c>
      <c r="C1430" t="s">
        <v>27</v>
      </c>
      <c r="D1430" t="s">
        <v>101</v>
      </c>
      <c r="E1430" s="2">
        <v>36.5</v>
      </c>
      <c r="F1430" s="4">
        <v>6</v>
      </c>
      <c r="G1430" s="2">
        <v>219</v>
      </c>
      <c r="H1430" t="s">
        <v>15</v>
      </c>
      <c r="I1430" t="s">
        <v>16</v>
      </c>
      <c r="J1430" s="1">
        <v>44681</v>
      </c>
      <c r="K1430" t="b">
        <v>0</v>
      </c>
    </row>
    <row r="1431" spans="1:11" x14ac:dyDescent="0.25">
      <c r="A1431" t="s">
        <v>490</v>
      </c>
      <c r="B1431" t="s">
        <v>12</v>
      </c>
      <c r="C1431" t="s">
        <v>59</v>
      </c>
      <c r="D1431" t="s">
        <v>290</v>
      </c>
      <c r="E1431" s="2">
        <v>36.5</v>
      </c>
      <c r="F1431" s="4">
        <v>6</v>
      </c>
      <c r="G1431" s="2">
        <v>219</v>
      </c>
      <c r="H1431" t="s">
        <v>45</v>
      </c>
      <c r="I1431" t="s">
        <v>36</v>
      </c>
      <c r="J1431" s="1">
        <v>45053</v>
      </c>
      <c r="K1431" t="b">
        <v>0</v>
      </c>
    </row>
    <row r="1432" spans="1:11" x14ac:dyDescent="0.25">
      <c r="A1432" t="s">
        <v>5681</v>
      </c>
      <c r="B1432" t="s">
        <v>30</v>
      </c>
      <c r="C1432" t="s">
        <v>31</v>
      </c>
      <c r="D1432" t="s">
        <v>136</v>
      </c>
      <c r="E1432" s="2">
        <v>36.5</v>
      </c>
      <c r="F1432" s="4">
        <v>6</v>
      </c>
      <c r="G1432" s="2">
        <v>219</v>
      </c>
      <c r="H1432" t="s">
        <v>45</v>
      </c>
      <c r="I1432" t="s">
        <v>16</v>
      </c>
      <c r="J1432" s="1">
        <v>44864</v>
      </c>
      <c r="K1432" t="b">
        <v>0</v>
      </c>
    </row>
    <row r="1433" spans="1:11" x14ac:dyDescent="0.25">
      <c r="A1433" t="s">
        <v>6460</v>
      </c>
      <c r="B1433" t="s">
        <v>18</v>
      </c>
      <c r="C1433" t="s">
        <v>59</v>
      </c>
      <c r="D1433" t="s">
        <v>290</v>
      </c>
      <c r="E1433" s="2">
        <v>36.5</v>
      </c>
      <c r="F1433" s="4">
        <v>6</v>
      </c>
      <c r="G1433" s="2">
        <v>219</v>
      </c>
      <c r="H1433" t="s">
        <v>45</v>
      </c>
      <c r="I1433" t="s">
        <v>36</v>
      </c>
      <c r="J1433" s="1">
        <v>44809</v>
      </c>
      <c r="K1433" t="b">
        <v>1</v>
      </c>
    </row>
    <row r="1434" spans="1:11" x14ac:dyDescent="0.25">
      <c r="A1434" t="s">
        <v>2149</v>
      </c>
      <c r="B1434" t="s">
        <v>66</v>
      </c>
      <c r="C1434" t="s">
        <v>23</v>
      </c>
      <c r="D1434" t="s">
        <v>44</v>
      </c>
      <c r="E1434" s="2">
        <v>36.5</v>
      </c>
      <c r="F1434" s="4">
        <v>6</v>
      </c>
      <c r="G1434" s="2">
        <v>219</v>
      </c>
      <c r="H1434" t="s">
        <v>25</v>
      </c>
      <c r="I1434" t="s">
        <v>36</v>
      </c>
      <c r="J1434" s="1">
        <v>44637</v>
      </c>
      <c r="K1434" t="b">
        <v>0</v>
      </c>
    </row>
    <row r="1435" spans="1:11" x14ac:dyDescent="0.25">
      <c r="A1435" t="s">
        <v>3336</v>
      </c>
      <c r="B1435" t="s">
        <v>100</v>
      </c>
      <c r="C1435" t="s">
        <v>110</v>
      </c>
      <c r="D1435" t="s">
        <v>134</v>
      </c>
      <c r="E1435" s="2">
        <v>36.5</v>
      </c>
      <c r="F1435" s="4">
        <v>6</v>
      </c>
      <c r="G1435" s="2">
        <v>219</v>
      </c>
      <c r="H1435" t="s">
        <v>25</v>
      </c>
      <c r="I1435" t="s">
        <v>16</v>
      </c>
      <c r="J1435" s="1">
        <v>44940</v>
      </c>
      <c r="K1435" t="b">
        <v>1</v>
      </c>
    </row>
    <row r="1436" spans="1:11" x14ac:dyDescent="0.25">
      <c r="A1436" t="s">
        <v>6501</v>
      </c>
      <c r="B1436" t="s">
        <v>34</v>
      </c>
      <c r="C1436" t="s">
        <v>31</v>
      </c>
      <c r="D1436" t="s">
        <v>136</v>
      </c>
      <c r="E1436" s="2">
        <v>36.5</v>
      </c>
      <c r="F1436" s="4">
        <v>6</v>
      </c>
      <c r="G1436" s="2">
        <v>219</v>
      </c>
      <c r="H1436" t="s">
        <v>45</v>
      </c>
      <c r="I1436" t="s">
        <v>36</v>
      </c>
      <c r="J1436" s="1">
        <v>44952</v>
      </c>
      <c r="K1436" t="b">
        <v>0</v>
      </c>
    </row>
    <row r="1437" spans="1:11" x14ac:dyDescent="0.25">
      <c r="A1437" t="s">
        <v>7297</v>
      </c>
      <c r="B1437" t="s">
        <v>22</v>
      </c>
      <c r="C1437" t="s">
        <v>19</v>
      </c>
      <c r="D1437" t="s">
        <v>412</v>
      </c>
      <c r="E1437" s="2">
        <v>36.5</v>
      </c>
      <c r="F1437" s="4">
        <v>6</v>
      </c>
      <c r="G1437" s="2">
        <v>219</v>
      </c>
      <c r="H1437" t="s">
        <v>15</v>
      </c>
      <c r="I1437" t="s">
        <v>36</v>
      </c>
      <c r="J1437" s="1">
        <v>45118</v>
      </c>
      <c r="K1437" t="b">
        <v>0</v>
      </c>
    </row>
    <row r="1438" spans="1:11" x14ac:dyDescent="0.25">
      <c r="A1438" t="s">
        <v>5585</v>
      </c>
      <c r="B1438" t="s">
        <v>18</v>
      </c>
      <c r="C1438" t="s">
        <v>110</v>
      </c>
      <c r="D1438" t="s">
        <v>134</v>
      </c>
      <c r="E1438" s="2">
        <v>36.5</v>
      </c>
      <c r="F1438" s="4">
        <v>6</v>
      </c>
      <c r="G1438" s="2">
        <v>219</v>
      </c>
      <c r="H1438" t="s">
        <v>15</v>
      </c>
      <c r="I1438" t="s">
        <v>16</v>
      </c>
      <c r="J1438" s="1">
        <v>45099</v>
      </c>
      <c r="K1438" t="b">
        <v>0</v>
      </c>
    </row>
    <row r="1439" spans="1:11" x14ac:dyDescent="0.25">
      <c r="A1439" t="s">
        <v>6300</v>
      </c>
      <c r="B1439" t="s">
        <v>61</v>
      </c>
      <c r="C1439" t="s">
        <v>110</v>
      </c>
      <c r="D1439" t="s">
        <v>134</v>
      </c>
      <c r="E1439" s="2">
        <v>36.5</v>
      </c>
      <c r="F1439" s="4">
        <v>6</v>
      </c>
      <c r="G1439" s="2">
        <v>219</v>
      </c>
      <c r="H1439" t="s">
        <v>15</v>
      </c>
      <c r="I1439" t="s">
        <v>36</v>
      </c>
      <c r="J1439" s="1">
        <v>45093</v>
      </c>
      <c r="K1439" t="b">
        <v>1</v>
      </c>
    </row>
    <row r="1440" spans="1:11" x14ac:dyDescent="0.25">
      <c r="A1440" t="s">
        <v>242</v>
      </c>
      <c r="B1440" t="s">
        <v>22</v>
      </c>
      <c r="C1440" t="s">
        <v>23</v>
      </c>
      <c r="D1440" t="s">
        <v>44</v>
      </c>
      <c r="E1440" s="2">
        <v>36.5</v>
      </c>
      <c r="F1440" s="4">
        <v>6</v>
      </c>
      <c r="G1440" s="2">
        <v>219</v>
      </c>
      <c r="H1440" t="s">
        <v>15</v>
      </c>
      <c r="I1440" t="s">
        <v>36</v>
      </c>
      <c r="J1440" s="1">
        <v>45476</v>
      </c>
      <c r="K1440" t="b">
        <v>0</v>
      </c>
    </row>
    <row r="1441" spans="1:11" x14ac:dyDescent="0.25">
      <c r="A1441" t="s">
        <v>2871</v>
      </c>
      <c r="B1441" t="s">
        <v>104</v>
      </c>
      <c r="C1441" t="s">
        <v>23</v>
      </c>
      <c r="D1441" t="s">
        <v>44</v>
      </c>
      <c r="E1441" s="2">
        <v>36.5</v>
      </c>
      <c r="F1441" s="4">
        <v>6</v>
      </c>
      <c r="G1441" s="2">
        <v>219</v>
      </c>
      <c r="H1441" t="s">
        <v>25</v>
      </c>
      <c r="I1441" t="s">
        <v>16</v>
      </c>
      <c r="J1441" s="1">
        <v>45206</v>
      </c>
      <c r="K1441" t="b">
        <v>0</v>
      </c>
    </row>
    <row r="1442" spans="1:11" x14ac:dyDescent="0.25">
      <c r="A1442" t="s">
        <v>5487</v>
      </c>
      <c r="B1442" t="s">
        <v>93</v>
      </c>
      <c r="C1442" t="s">
        <v>59</v>
      </c>
      <c r="D1442" t="s">
        <v>290</v>
      </c>
      <c r="E1442" s="2">
        <v>36.5</v>
      </c>
      <c r="F1442" s="4">
        <v>6</v>
      </c>
      <c r="G1442" s="2">
        <v>219</v>
      </c>
      <c r="H1442" t="s">
        <v>45</v>
      </c>
      <c r="I1442" t="s">
        <v>36</v>
      </c>
      <c r="J1442" s="1">
        <v>44957</v>
      </c>
      <c r="K1442" t="b">
        <v>1</v>
      </c>
    </row>
    <row r="1443" spans="1:11" x14ac:dyDescent="0.25">
      <c r="A1443" t="s">
        <v>2817</v>
      </c>
      <c r="B1443" t="s">
        <v>77</v>
      </c>
      <c r="C1443" t="s">
        <v>23</v>
      </c>
      <c r="D1443" t="s">
        <v>44</v>
      </c>
      <c r="E1443" s="2">
        <v>36.5</v>
      </c>
      <c r="F1443" s="4">
        <v>6</v>
      </c>
      <c r="G1443" s="2">
        <v>219</v>
      </c>
      <c r="H1443" t="s">
        <v>15</v>
      </c>
      <c r="I1443" t="s">
        <v>16</v>
      </c>
      <c r="J1443" s="1">
        <v>45017</v>
      </c>
      <c r="K1443" t="b">
        <v>0</v>
      </c>
    </row>
    <row r="1444" spans="1:11" x14ac:dyDescent="0.25">
      <c r="A1444" t="s">
        <v>7191</v>
      </c>
      <c r="B1444" t="s">
        <v>93</v>
      </c>
      <c r="C1444" t="s">
        <v>23</v>
      </c>
      <c r="D1444" t="s">
        <v>44</v>
      </c>
      <c r="E1444" s="2">
        <v>36.5</v>
      </c>
      <c r="F1444" s="4">
        <v>6</v>
      </c>
      <c r="G1444" s="2">
        <v>219</v>
      </c>
      <c r="H1444" t="s">
        <v>25</v>
      </c>
      <c r="I1444" t="s">
        <v>36</v>
      </c>
      <c r="J1444" s="1">
        <v>45011</v>
      </c>
      <c r="K1444" t="b">
        <v>0</v>
      </c>
    </row>
    <row r="1445" spans="1:11" x14ac:dyDescent="0.25">
      <c r="A1445" t="s">
        <v>2466</v>
      </c>
      <c r="B1445" t="s">
        <v>18</v>
      </c>
      <c r="C1445" t="s">
        <v>19</v>
      </c>
      <c r="D1445" t="s">
        <v>412</v>
      </c>
      <c r="E1445" s="2">
        <v>36.5</v>
      </c>
      <c r="F1445" s="4">
        <v>6</v>
      </c>
      <c r="G1445" s="2">
        <v>219</v>
      </c>
      <c r="H1445" t="s">
        <v>45</v>
      </c>
      <c r="I1445" t="s">
        <v>16</v>
      </c>
      <c r="J1445" s="1">
        <v>45538</v>
      </c>
      <c r="K1445" t="b">
        <v>1</v>
      </c>
    </row>
    <row r="1446" spans="1:11" x14ac:dyDescent="0.25">
      <c r="A1446" t="s">
        <v>2321</v>
      </c>
      <c r="B1446" t="s">
        <v>100</v>
      </c>
      <c r="C1446" t="s">
        <v>27</v>
      </c>
      <c r="D1446" t="s">
        <v>101</v>
      </c>
      <c r="E1446" s="2">
        <v>36.5</v>
      </c>
      <c r="F1446" s="4">
        <v>6</v>
      </c>
      <c r="G1446" s="2">
        <v>219</v>
      </c>
      <c r="H1446" t="s">
        <v>25</v>
      </c>
      <c r="I1446" t="s">
        <v>36</v>
      </c>
      <c r="J1446" s="1">
        <v>45204</v>
      </c>
      <c r="K1446" t="b">
        <v>0</v>
      </c>
    </row>
    <row r="1447" spans="1:11" x14ac:dyDescent="0.25">
      <c r="A1447" t="s">
        <v>6829</v>
      </c>
      <c r="B1447" t="s">
        <v>97</v>
      </c>
      <c r="C1447" t="s">
        <v>23</v>
      </c>
      <c r="D1447" t="s">
        <v>44</v>
      </c>
      <c r="E1447" s="2">
        <v>36.5</v>
      </c>
      <c r="F1447" s="4">
        <v>6</v>
      </c>
      <c r="G1447" s="2">
        <v>219</v>
      </c>
      <c r="H1447" t="s">
        <v>45</v>
      </c>
      <c r="I1447" t="s">
        <v>36</v>
      </c>
      <c r="J1447" s="1">
        <v>45380</v>
      </c>
      <c r="K1447" t="b">
        <v>1</v>
      </c>
    </row>
    <row r="1448" spans="1:11" x14ac:dyDescent="0.25">
      <c r="A1448" t="s">
        <v>3547</v>
      </c>
      <c r="B1448" t="s">
        <v>104</v>
      </c>
      <c r="C1448" t="s">
        <v>59</v>
      </c>
      <c r="D1448" t="s">
        <v>290</v>
      </c>
      <c r="E1448" s="2">
        <v>36.5</v>
      </c>
      <c r="F1448" s="4">
        <v>6</v>
      </c>
      <c r="G1448" s="2">
        <v>219</v>
      </c>
      <c r="H1448" t="s">
        <v>15</v>
      </c>
      <c r="I1448" t="s">
        <v>36</v>
      </c>
      <c r="J1448" s="1">
        <v>44569</v>
      </c>
      <c r="K1448" t="b">
        <v>0</v>
      </c>
    </row>
    <row r="1449" spans="1:11" x14ac:dyDescent="0.25">
      <c r="A1449" t="s">
        <v>5949</v>
      </c>
      <c r="B1449" t="s">
        <v>43</v>
      </c>
      <c r="C1449" t="s">
        <v>59</v>
      </c>
      <c r="D1449" t="s">
        <v>290</v>
      </c>
      <c r="E1449" s="2">
        <v>36.5</v>
      </c>
      <c r="F1449" s="4">
        <v>6</v>
      </c>
      <c r="G1449" s="2">
        <v>219</v>
      </c>
      <c r="H1449" t="s">
        <v>45</v>
      </c>
      <c r="I1449" t="s">
        <v>16</v>
      </c>
      <c r="J1449" s="1">
        <v>45557</v>
      </c>
      <c r="K1449" t="b">
        <v>1</v>
      </c>
    </row>
    <row r="1450" spans="1:11" x14ac:dyDescent="0.25">
      <c r="A1450" t="s">
        <v>5538</v>
      </c>
      <c r="B1450" t="s">
        <v>18</v>
      </c>
      <c r="C1450" t="s">
        <v>19</v>
      </c>
      <c r="D1450" t="s">
        <v>412</v>
      </c>
      <c r="E1450" s="2">
        <v>36.5</v>
      </c>
      <c r="F1450" s="4">
        <v>6</v>
      </c>
      <c r="G1450" s="2">
        <v>219</v>
      </c>
      <c r="H1450" t="s">
        <v>45</v>
      </c>
      <c r="I1450" t="s">
        <v>16</v>
      </c>
      <c r="J1450" s="1">
        <v>44926</v>
      </c>
      <c r="K1450" t="b">
        <v>0</v>
      </c>
    </row>
    <row r="1451" spans="1:11" x14ac:dyDescent="0.25">
      <c r="A1451" t="s">
        <v>3581</v>
      </c>
      <c r="B1451" t="s">
        <v>61</v>
      </c>
      <c r="C1451" t="s">
        <v>59</v>
      </c>
      <c r="D1451" t="s">
        <v>288</v>
      </c>
      <c r="E1451" s="2">
        <v>21.5</v>
      </c>
      <c r="F1451" s="4">
        <v>10</v>
      </c>
      <c r="G1451" s="2">
        <v>215</v>
      </c>
      <c r="H1451" t="s">
        <v>25</v>
      </c>
      <c r="I1451" t="s">
        <v>36</v>
      </c>
      <c r="J1451" s="1">
        <v>44716</v>
      </c>
      <c r="K1451" t="b">
        <v>1</v>
      </c>
    </row>
    <row r="1452" spans="1:11" x14ac:dyDescent="0.25">
      <c r="A1452" t="s">
        <v>3066</v>
      </c>
      <c r="B1452" t="s">
        <v>56</v>
      </c>
      <c r="C1452" t="s">
        <v>59</v>
      </c>
      <c r="D1452" t="s">
        <v>288</v>
      </c>
      <c r="E1452" s="2">
        <v>21.5</v>
      </c>
      <c r="F1452" s="4">
        <v>10</v>
      </c>
      <c r="G1452" s="2">
        <v>215</v>
      </c>
      <c r="H1452" t="s">
        <v>45</v>
      </c>
      <c r="I1452" t="s">
        <v>16</v>
      </c>
      <c r="J1452" s="1">
        <v>44695</v>
      </c>
      <c r="K1452" t="b">
        <v>1</v>
      </c>
    </row>
    <row r="1453" spans="1:11" x14ac:dyDescent="0.25">
      <c r="A1453" t="s">
        <v>2186</v>
      </c>
      <c r="B1453" t="s">
        <v>26</v>
      </c>
      <c r="C1453" t="s">
        <v>23</v>
      </c>
      <c r="D1453" t="s">
        <v>24</v>
      </c>
      <c r="E1453" s="2">
        <v>21.5</v>
      </c>
      <c r="F1453" s="4">
        <v>10</v>
      </c>
      <c r="G1453" s="2">
        <v>215</v>
      </c>
      <c r="H1453" t="s">
        <v>15</v>
      </c>
      <c r="I1453" t="s">
        <v>16</v>
      </c>
      <c r="J1453" s="1">
        <v>44855</v>
      </c>
      <c r="K1453" t="b">
        <v>1</v>
      </c>
    </row>
    <row r="1454" spans="1:11" x14ac:dyDescent="0.25">
      <c r="A1454" t="s">
        <v>453</v>
      </c>
      <c r="B1454" t="s">
        <v>58</v>
      </c>
      <c r="C1454" t="s">
        <v>23</v>
      </c>
      <c r="D1454" t="s">
        <v>24</v>
      </c>
      <c r="E1454" s="2">
        <v>21.5</v>
      </c>
      <c r="F1454" s="4">
        <v>10</v>
      </c>
      <c r="G1454" s="2">
        <v>215</v>
      </c>
      <c r="H1454" t="s">
        <v>45</v>
      </c>
      <c r="I1454" t="s">
        <v>16</v>
      </c>
      <c r="J1454" s="1">
        <v>44755</v>
      </c>
      <c r="K1454" t="b">
        <v>1</v>
      </c>
    </row>
    <row r="1455" spans="1:11" x14ac:dyDescent="0.25">
      <c r="A1455" t="s">
        <v>5534</v>
      </c>
      <c r="B1455" t="s">
        <v>66</v>
      </c>
      <c r="C1455" t="s">
        <v>59</v>
      </c>
      <c r="D1455" t="s">
        <v>288</v>
      </c>
      <c r="E1455" s="2">
        <v>21.5</v>
      </c>
      <c r="F1455" s="4">
        <v>10</v>
      </c>
      <c r="G1455" s="2">
        <v>215</v>
      </c>
      <c r="H1455" t="s">
        <v>45</v>
      </c>
      <c r="I1455" t="s">
        <v>36</v>
      </c>
      <c r="J1455" s="1">
        <v>44887</v>
      </c>
      <c r="K1455" t="b">
        <v>0</v>
      </c>
    </row>
    <row r="1456" spans="1:11" x14ac:dyDescent="0.25">
      <c r="A1456" t="s">
        <v>7367</v>
      </c>
      <c r="B1456" t="s">
        <v>18</v>
      </c>
      <c r="C1456" t="s">
        <v>110</v>
      </c>
      <c r="D1456" t="s">
        <v>451</v>
      </c>
      <c r="E1456" s="2">
        <v>21.5</v>
      </c>
      <c r="F1456" s="4">
        <v>10</v>
      </c>
      <c r="G1456" s="2">
        <v>215</v>
      </c>
      <c r="H1456" t="s">
        <v>25</v>
      </c>
      <c r="I1456" t="s">
        <v>36</v>
      </c>
      <c r="J1456" s="1">
        <v>45040</v>
      </c>
      <c r="K1456" t="b">
        <v>0</v>
      </c>
    </row>
    <row r="1457" spans="1:11" x14ac:dyDescent="0.25">
      <c r="A1457" t="s">
        <v>6245</v>
      </c>
      <c r="B1457" t="s">
        <v>30</v>
      </c>
      <c r="C1457" t="s">
        <v>27</v>
      </c>
      <c r="D1457" t="s">
        <v>315</v>
      </c>
      <c r="E1457" s="2">
        <v>21.5</v>
      </c>
      <c r="F1457" s="4">
        <v>10</v>
      </c>
      <c r="G1457" s="2">
        <v>215</v>
      </c>
      <c r="H1457" t="s">
        <v>25</v>
      </c>
      <c r="I1457" t="s">
        <v>36</v>
      </c>
      <c r="J1457" s="1">
        <v>45298</v>
      </c>
      <c r="K1457" t="b">
        <v>1</v>
      </c>
    </row>
    <row r="1458" spans="1:11" x14ac:dyDescent="0.25">
      <c r="A1458" t="s">
        <v>2044</v>
      </c>
      <c r="B1458" t="s">
        <v>43</v>
      </c>
      <c r="C1458" t="s">
        <v>59</v>
      </c>
      <c r="D1458" t="s">
        <v>288</v>
      </c>
      <c r="E1458" s="2">
        <v>21.5</v>
      </c>
      <c r="F1458" s="4">
        <v>10</v>
      </c>
      <c r="G1458" s="2">
        <v>215</v>
      </c>
      <c r="H1458" t="s">
        <v>25</v>
      </c>
      <c r="I1458" t="s">
        <v>16</v>
      </c>
      <c r="J1458" s="1">
        <v>45382</v>
      </c>
      <c r="K1458" t="b">
        <v>1</v>
      </c>
    </row>
    <row r="1459" spans="1:11" x14ac:dyDescent="0.25">
      <c r="A1459" t="s">
        <v>6949</v>
      </c>
      <c r="B1459" t="s">
        <v>100</v>
      </c>
      <c r="C1459" t="s">
        <v>110</v>
      </c>
      <c r="D1459" t="s">
        <v>451</v>
      </c>
      <c r="E1459" s="2">
        <v>21.5</v>
      </c>
      <c r="F1459" s="4">
        <v>10</v>
      </c>
      <c r="G1459" s="2">
        <v>215</v>
      </c>
      <c r="H1459" t="s">
        <v>25</v>
      </c>
      <c r="I1459" t="s">
        <v>16</v>
      </c>
      <c r="J1459" s="1">
        <v>44632</v>
      </c>
      <c r="K1459" t="b">
        <v>0</v>
      </c>
    </row>
    <row r="1460" spans="1:11" x14ac:dyDescent="0.25">
      <c r="A1460" t="s">
        <v>2204</v>
      </c>
      <c r="B1460" t="s">
        <v>142</v>
      </c>
      <c r="C1460" t="s">
        <v>13</v>
      </c>
      <c r="D1460" t="s">
        <v>141</v>
      </c>
      <c r="E1460" s="2">
        <v>21.5</v>
      </c>
      <c r="F1460" s="4">
        <v>10</v>
      </c>
      <c r="G1460" s="2">
        <v>215</v>
      </c>
      <c r="H1460" t="s">
        <v>15</v>
      </c>
      <c r="I1460" t="s">
        <v>36</v>
      </c>
      <c r="J1460" s="1">
        <v>44785</v>
      </c>
      <c r="K1460" t="b">
        <v>0</v>
      </c>
    </row>
    <row r="1461" spans="1:11" x14ac:dyDescent="0.25">
      <c r="A1461" t="s">
        <v>3426</v>
      </c>
      <c r="B1461" t="s">
        <v>63</v>
      </c>
      <c r="C1461" t="s">
        <v>110</v>
      </c>
      <c r="D1461" t="s">
        <v>451</v>
      </c>
      <c r="E1461" s="2">
        <v>21.5</v>
      </c>
      <c r="F1461" s="4">
        <v>10</v>
      </c>
      <c r="G1461" s="2">
        <v>215</v>
      </c>
      <c r="H1461" t="s">
        <v>25</v>
      </c>
      <c r="I1461" t="s">
        <v>36</v>
      </c>
      <c r="J1461" s="1">
        <v>45514</v>
      </c>
      <c r="K1461" t="b">
        <v>1</v>
      </c>
    </row>
    <row r="1462" spans="1:11" x14ac:dyDescent="0.25">
      <c r="A1462" t="s">
        <v>948</v>
      </c>
      <c r="B1462" t="s">
        <v>22</v>
      </c>
      <c r="C1462" t="s">
        <v>27</v>
      </c>
      <c r="D1462" t="s">
        <v>315</v>
      </c>
      <c r="E1462" s="2">
        <v>21.5</v>
      </c>
      <c r="F1462" s="4">
        <v>10</v>
      </c>
      <c r="G1462" s="2">
        <v>215</v>
      </c>
      <c r="H1462" t="s">
        <v>45</v>
      </c>
      <c r="I1462" t="s">
        <v>36</v>
      </c>
      <c r="J1462" s="1">
        <v>44682</v>
      </c>
      <c r="K1462" t="b">
        <v>1</v>
      </c>
    </row>
    <row r="1463" spans="1:11" x14ac:dyDescent="0.25">
      <c r="A1463" t="s">
        <v>4575</v>
      </c>
      <c r="B1463" t="s">
        <v>18</v>
      </c>
      <c r="C1463" t="s">
        <v>13</v>
      </c>
      <c r="D1463" t="s">
        <v>141</v>
      </c>
      <c r="E1463" s="2">
        <v>21.5</v>
      </c>
      <c r="F1463" s="4">
        <v>10</v>
      </c>
      <c r="G1463" s="2">
        <v>215</v>
      </c>
      <c r="H1463" t="s">
        <v>25</v>
      </c>
      <c r="I1463" t="s">
        <v>36</v>
      </c>
      <c r="J1463" s="1">
        <v>44610</v>
      </c>
      <c r="K1463" t="b">
        <v>0</v>
      </c>
    </row>
    <row r="1464" spans="1:11" x14ac:dyDescent="0.25">
      <c r="A1464" t="s">
        <v>1411</v>
      </c>
      <c r="B1464" t="s">
        <v>18</v>
      </c>
      <c r="C1464" t="s">
        <v>23</v>
      </c>
      <c r="D1464" t="s">
        <v>24</v>
      </c>
      <c r="E1464" s="2">
        <v>21.5</v>
      </c>
      <c r="F1464" s="4">
        <v>10</v>
      </c>
      <c r="G1464" s="2">
        <v>215</v>
      </c>
      <c r="H1464" t="s">
        <v>25</v>
      </c>
      <c r="I1464" t="s">
        <v>16</v>
      </c>
      <c r="J1464" s="1">
        <v>45464</v>
      </c>
      <c r="K1464" t="b">
        <v>0</v>
      </c>
    </row>
    <row r="1465" spans="1:11" x14ac:dyDescent="0.25">
      <c r="A1465" t="s">
        <v>5044</v>
      </c>
      <c r="B1465" t="s">
        <v>61</v>
      </c>
      <c r="C1465" t="s">
        <v>110</v>
      </c>
      <c r="D1465" t="s">
        <v>451</v>
      </c>
      <c r="E1465" s="2">
        <v>21.5</v>
      </c>
      <c r="F1465" s="4">
        <v>10</v>
      </c>
      <c r="G1465" s="2">
        <v>215</v>
      </c>
      <c r="H1465" t="s">
        <v>25</v>
      </c>
      <c r="I1465" t="s">
        <v>36</v>
      </c>
      <c r="J1465" s="1">
        <v>44821</v>
      </c>
      <c r="K1465" t="b">
        <v>1</v>
      </c>
    </row>
    <row r="1466" spans="1:11" x14ac:dyDescent="0.25">
      <c r="A1466" t="s">
        <v>4463</v>
      </c>
      <c r="B1466" t="s">
        <v>100</v>
      </c>
      <c r="C1466" t="s">
        <v>27</v>
      </c>
      <c r="D1466" t="s">
        <v>315</v>
      </c>
      <c r="E1466" s="2">
        <v>21.5</v>
      </c>
      <c r="F1466" s="4">
        <v>10</v>
      </c>
      <c r="G1466" s="2">
        <v>215</v>
      </c>
      <c r="H1466" t="s">
        <v>45</v>
      </c>
      <c r="I1466" t="s">
        <v>16</v>
      </c>
      <c r="J1466" s="1">
        <v>45519</v>
      </c>
      <c r="K1466" t="b">
        <v>1</v>
      </c>
    </row>
    <row r="1467" spans="1:11" x14ac:dyDescent="0.25">
      <c r="A1467" t="s">
        <v>3736</v>
      </c>
      <c r="B1467" t="s">
        <v>104</v>
      </c>
      <c r="C1467" t="s">
        <v>27</v>
      </c>
      <c r="D1467" t="s">
        <v>315</v>
      </c>
      <c r="E1467" s="2">
        <v>21.5</v>
      </c>
      <c r="F1467" s="4">
        <v>10</v>
      </c>
      <c r="G1467" s="2">
        <v>215</v>
      </c>
      <c r="H1467" t="s">
        <v>25</v>
      </c>
      <c r="I1467" t="s">
        <v>16</v>
      </c>
      <c r="J1467" s="1">
        <v>45366</v>
      </c>
      <c r="K1467" t="b">
        <v>1</v>
      </c>
    </row>
    <row r="1468" spans="1:11" x14ac:dyDescent="0.25">
      <c r="A1468" t="s">
        <v>7229</v>
      </c>
      <c r="B1468" t="s">
        <v>72</v>
      </c>
      <c r="C1468" t="s">
        <v>27</v>
      </c>
      <c r="D1468" t="s">
        <v>315</v>
      </c>
      <c r="E1468" s="2">
        <v>21.5</v>
      </c>
      <c r="F1468" s="4">
        <v>10</v>
      </c>
      <c r="G1468" s="2">
        <v>215</v>
      </c>
      <c r="H1468" t="s">
        <v>25</v>
      </c>
      <c r="I1468" t="s">
        <v>36</v>
      </c>
      <c r="J1468" s="1">
        <v>45045</v>
      </c>
      <c r="K1468" t="b">
        <v>0</v>
      </c>
    </row>
    <row r="1469" spans="1:11" x14ac:dyDescent="0.25">
      <c r="A1469" t="s">
        <v>1263</v>
      </c>
      <c r="B1469" t="s">
        <v>104</v>
      </c>
      <c r="C1469" t="s">
        <v>31</v>
      </c>
      <c r="D1469" t="s">
        <v>108</v>
      </c>
      <c r="E1469" s="2">
        <v>21.5</v>
      </c>
      <c r="F1469" s="4">
        <v>10</v>
      </c>
      <c r="G1469" s="2">
        <v>215</v>
      </c>
      <c r="H1469" t="s">
        <v>15</v>
      </c>
      <c r="I1469" t="s">
        <v>36</v>
      </c>
      <c r="J1469" s="1">
        <v>45628</v>
      </c>
      <c r="K1469" t="b">
        <v>0</v>
      </c>
    </row>
    <row r="1470" spans="1:11" x14ac:dyDescent="0.25">
      <c r="A1470" t="s">
        <v>119</v>
      </c>
      <c r="B1470" t="s">
        <v>37</v>
      </c>
      <c r="C1470" t="s">
        <v>31</v>
      </c>
      <c r="D1470" t="s">
        <v>108</v>
      </c>
      <c r="E1470" s="2">
        <v>21.5</v>
      </c>
      <c r="F1470" s="4">
        <v>10</v>
      </c>
      <c r="G1470" s="2">
        <v>215</v>
      </c>
      <c r="H1470" t="s">
        <v>15</v>
      </c>
      <c r="I1470" t="s">
        <v>36</v>
      </c>
      <c r="J1470" s="1">
        <v>44940</v>
      </c>
      <c r="K1470" t="b">
        <v>0</v>
      </c>
    </row>
    <row r="1471" spans="1:11" x14ac:dyDescent="0.25">
      <c r="A1471" t="s">
        <v>532</v>
      </c>
      <c r="B1471" t="s">
        <v>97</v>
      </c>
      <c r="C1471" t="s">
        <v>31</v>
      </c>
      <c r="D1471" t="s">
        <v>108</v>
      </c>
      <c r="E1471" s="2">
        <v>21.5</v>
      </c>
      <c r="F1471" s="4">
        <v>10</v>
      </c>
      <c r="G1471" s="2">
        <v>215</v>
      </c>
      <c r="H1471" t="s">
        <v>45</v>
      </c>
      <c r="I1471" t="s">
        <v>36</v>
      </c>
      <c r="J1471" s="1">
        <v>45422</v>
      </c>
      <c r="K1471" t="b">
        <v>0</v>
      </c>
    </row>
    <row r="1472" spans="1:11" x14ac:dyDescent="0.25">
      <c r="A1472" t="s">
        <v>2393</v>
      </c>
      <c r="B1472" t="s">
        <v>104</v>
      </c>
      <c r="C1472" t="s">
        <v>23</v>
      </c>
      <c r="D1472" t="s">
        <v>24</v>
      </c>
      <c r="E1472" s="2">
        <v>21.5</v>
      </c>
      <c r="F1472" s="4">
        <v>10</v>
      </c>
      <c r="G1472" s="2">
        <v>215</v>
      </c>
      <c r="H1472" t="s">
        <v>45</v>
      </c>
      <c r="I1472" t="s">
        <v>36</v>
      </c>
      <c r="J1472" s="1">
        <v>45426</v>
      </c>
      <c r="K1472" t="b">
        <v>1</v>
      </c>
    </row>
    <row r="1473" spans="1:11" x14ac:dyDescent="0.25">
      <c r="A1473" t="s">
        <v>4689</v>
      </c>
      <c r="B1473" t="s">
        <v>40</v>
      </c>
      <c r="C1473" t="s">
        <v>27</v>
      </c>
      <c r="D1473" t="s">
        <v>315</v>
      </c>
      <c r="E1473" s="2">
        <v>21.5</v>
      </c>
      <c r="F1473" s="4">
        <v>10</v>
      </c>
      <c r="G1473" s="2">
        <v>215</v>
      </c>
      <c r="H1473" t="s">
        <v>25</v>
      </c>
      <c r="I1473" t="s">
        <v>36</v>
      </c>
      <c r="J1473" s="1">
        <v>44769</v>
      </c>
      <c r="K1473" t="b">
        <v>0</v>
      </c>
    </row>
    <row r="1474" spans="1:11" x14ac:dyDescent="0.25">
      <c r="A1474" t="s">
        <v>2718</v>
      </c>
      <c r="B1474" t="s">
        <v>97</v>
      </c>
      <c r="C1474" t="s">
        <v>31</v>
      </c>
      <c r="D1474" t="s">
        <v>108</v>
      </c>
      <c r="E1474" s="2">
        <v>21.5</v>
      </c>
      <c r="F1474" s="4">
        <v>10</v>
      </c>
      <c r="G1474" s="2">
        <v>215</v>
      </c>
      <c r="H1474" t="s">
        <v>45</v>
      </c>
      <c r="I1474" t="s">
        <v>36</v>
      </c>
      <c r="J1474" s="1">
        <v>44579</v>
      </c>
      <c r="K1474" t="b">
        <v>0</v>
      </c>
    </row>
    <row r="1475" spans="1:11" x14ac:dyDescent="0.25">
      <c r="A1475" t="s">
        <v>5117</v>
      </c>
      <c r="B1475" t="s">
        <v>12</v>
      </c>
      <c r="C1475" t="s">
        <v>23</v>
      </c>
      <c r="D1475" t="s">
        <v>24</v>
      </c>
      <c r="E1475" s="2">
        <v>21.5</v>
      </c>
      <c r="F1475" s="4">
        <v>10</v>
      </c>
      <c r="G1475" s="2">
        <v>215</v>
      </c>
      <c r="H1475" t="s">
        <v>45</v>
      </c>
      <c r="I1475" t="s">
        <v>16</v>
      </c>
      <c r="J1475" s="1">
        <v>45583</v>
      </c>
      <c r="K1475" t="b">
        <v>0</v>
      </c>
    </row>
    <row r="1476" spans="1:11" x14ac:dyDescent="0.25">
      <c r="A1476" t="s">
        <v>1319</v>
      </c>
      <c r="B1476" t="s">
        <v>104</v>
      </c>
      <c r="C1476" t="s">
        <v>23</v>
      </c>
      <c r="D1476" t="s">
        <v>24</v>
      </c>
      <c r="E1476" s="2">
        <v>21.5</v>
      </c>
      <c r="F1476" s="4">
        <v>10</v>
      </c>
      <c r="G1476" s="2">
        <v>215</v>
      </c>
      <c r="H1476" t="s">
        <v>45</v>
      </c>
      <c r="I1476" t="s">
        <v>36</v>
      </c>
      <c r="J1476" s="1">
        <v>44995</v>
      </c>
      <c r="K1476" t="b">
        <v>1</v>
      </c>
    </row>
    <row r="1477" spans="1:11" x14ac:dyDescent="0.25">
      <c r="A1477" t="s">
        <v>913</v>
      </c>
      <c r="B1477" t="s">
        <v>100</v>
      </c>
      <c r="C1477" t="s">
        <v>38</v>
      </c>
      <c r="D1477" t="s">
        <v>509</v>
      </c>
      <c r="E1477" s="2">
        <v>21.5</v>
      </c>
      <c r="F1477" s="4">
        <v>10</v>
      </c>
      <c r="G1477" s="2">
        <v>215</v>
      </c>
      <c r="H1477" t="s">
        <v>45</v>
      </c>
      <c r="I1477" t="s">
        <v>16</v>
      </c>
      <c r="J1477" s="1">
        <v>45414</v>
      </c>
      <c r="K1477" t="b">
        <v>1</v>
      </c>
    </row>
    <row r="1478" spans="1:11" x14ac:dyDescent="0.25">
      <c r="A1478" t="s">
        <v>5621</v>
      </c>
      <c r="B1478" t="s">
        <v>58</v>
      </c>
      <c r="C1478" t="s">
        <v>23</v>
      </c>
      <c r="D1478" t="s">
        <v>24</v>
      </c>
      <c r="E1478" s="2">
        <v>21.5</v>
      </c>
      <c r="F1478" s="4">
        <v>10</v>
      </c>
      <c r="G1478" s="2">
        <v>215</v>
      </c>
      <c r="H1478" t="s">
        <v>25</v>
      </c>
      <c r="I1478" t="s">
        <v>16</v>
      </c>
      <c r="J1478" s="1">
        <v>45487</v>
      </c>
      <c r="K1478" t="b">
        <v>1</v>
      </c>
    </row>
    <row r="1479" spans="1:11" x14ac:dyDescent="0.25">
      <c r="A1479" t="s">
        <v>4350</v>
      </c>
      <c r="B1479" t="s">
        <v>72</v>
      </c>
      <c r="C1479" t="s">
        <v>31</v>
      </c>
      <c r="D1479" t="s">
        <v>108</v>
      </c>
      <c r="E1479" s="2">
        <v>21.5</v>
      </c>
      <c r="F1479" s="4">
        <v>10</v>
      </c>
      <c r="G1479" s="2">
        <v>215</v>
      </c>
      <c r="H1479" t="s">
        <v>15</v>
      </c>
      <c r="I1479" t="s">
        <v>36</v>
      </c>
      <c r="J1479" s="1">
        <v>44957</v>
      </c>
      <c r="K1479" t="b">
        <v>0</v>
      </c>
    </row>
    <row r="1480" spans="1:11" x14ac:dyDescent="0.25">
      <c r="A1480" t="s">
        <v>5166</v>
      </c>
      <c r="B1480" t="s">
        <v>61</v>
      </c>
      <c r="C1480" t="s">
        <v>59</v>
      </c>
      <c r="D1480" t="s">
        <v>288</v>
      </c>
      <c r="E1480" s="2">
        <v>21.5</v>
      </c>
      <c r="F1480" s="4">
        <v>10</v>
      </c>
      <c r="G1480" s="2">
        <v>215</v>
      </c>
      <c r="H1480" t="s">
        <v>45</v>
      </c>
      <c r="I1480" t="s">
        <v>16</v>
      </c>
      <c r="J1480" s="1">
        <v>45080</v>
      </c>
      <c r="K1480" t="b">
        <v>0</v>
      </c>
    </row>
    <row r="1481" spans="1:11" x14ac:dyDescent="0.25">
      <c r="A1481" t="s">
        <v>2887</v>
      </c>
      <c r="B1481" t="s">
        <v>61</v>
      </c>
      <c r="C1481" t="s">
        <v>110</v>
      </c>
      <c r="D1481" t="s">
        <v>451</v>
      </c>
      <c r="E1481" s="2">
        <v>21.5</v>
      </c>
      <c r="F1481" s="4">
        <v>10</v>
      </c>
      <c r="G1481" s="2">
        <v>215</v>
      </c>
      <c r="H1481" t="s">
        <v>15</v>
      </c>
      <c r="I1481" t="s">
        <v>36</v>
      </c>
      <c r="J1481" s="1">
        <v>45164</v>
      </c>
      <c r="K1481" t="b">
        <v>1</v>
      </c>
    </row>
    <row r="1482" spans="1:11" x14ac:dyDescent="0.25">
      <c r="A1482" t="s">
        <v>691</v>
      </c>
      <c r="B1482" t="s">
        <v>69</v>
      </c>
      <c r="C1482" t="s">
        <v>31</v>
      </c>
      <c r="D1482" t="s">
        <v>108</v>
      </c>
      <c r="E1482" s="2">
        <v>21.5</v>
      </c>
      <c r="F1482" s="4">
        <v>10</v>
      </c>
      <c r="G1482" s="2">
        <v>215</v>
      </c>
      <c r="H1482" t="s">
        <v>45</v>
      </c>
      <c r="I1482" t="s">
        <v>16</v>
      </c>
      <c r="J1482" s="1">
        <v>45543</v>
      </c>
      <c r="K1482" t="b">
        <v>0</v>
      </c>
    </row>
    <row r="1483" spans="1:11" x14ac:dyDescent="0.25">
      <c r="A1483" t="s">
        <v>4474</v>
      </c>
      <c r="B1483" t="s">
        <v>56</v>
      </c>
      <c r="C1483" t="s">
        <v>23</v>
      </c>
      <c r="D1483" t="s">
        <v>24</v>
      </c>
      <c r="E1483" s="2">
        <v>21.5</v>
      </c>
      <c r="F1483" s="4">
        <v>10</v>
      </c>
      <c r="G1483" s="2">
        <v>215</v>
      </c>
      <c r="H1483" t="s">
        <v>45</v>
      </c>
      <c r="I1483" t="s">
        <v>16</v>
      </c>
      <c r="J1483" s="1">
        <v>45494</v>
      </c>
      <c r="K1483" t="b">
        <v>0</v>
      </c>
    </row>
    <row r="1484" spans="1:11" x14ac:dyDescent="0.25">
      <c r="A1484" t="s">
        <v>6365</v>
      </c>
      <c r="B1484" t="s">
        <v>142</v>
      </c>
      <c r="C1484" t="s">
        <v>38</v>
      </c>
      <c r="D1484" t="s">
        <v>509</v>
      </c>
      <c r="E1484" s="2">
        <v>21.5</v>
      </c>
      <c r="F1484" s="4">
        <v>10</v>
      </c>
      <c r="G1484" s="2">
        <v>215</v>
      </c>
      <c r="H1484" t="s">
        <v>45</v>
      </c>
      <c r="I1484" t="s">
        <v>36</v>
      </c>
      <c r="J1484" s="1">
        <v>44774</v>
      </c>
      <c r="K1484" t="b">
        <v>0</v>
      </c>
    </row>
    <row r="1485" spans="1:11" x14ac:dyDescent="0.25">
      <c r="A1485" t="s">
        <v>3804</v>
      </c>
      <c r="B1485" t="s">
        <v>56</v>
      </c>
      <c r="C1485" t="s">
        <v>110</v>
      </c>
      <c r="D1485" t="s">
        <v>451</v>
      </c>
      <c r="E1485" s="2">
        <v>21.5</v>
      </c>
      <c r="F1485" s="4">
        <v>10</v>
      </c>
      <c r="G1485" s="2">
        <v>215</v>
      </c>
      <c r="H1485" t="s">
        <v>25</v>
      </c>
      <c r="I1485" t="s">
        <v>36</v>
      </c>
      <c r="J1485" s="1">
        <v>44776</v>
      </c>
      <c r="K1485" t="b">
        <v>1</v>
      </c>
    </row>
    <row r="1486" spans="1:11" x14ac:dyDescent="0.25">
      <c r="A1486" t="s">
        <v>1471</v>
      </c>
      <c r="B1486" t="s">
        <v>26</v>
      </c>
      <c r="C1486" t="s">
        <v>59</v>
      </c>
      <c r="D1486" t="s">
        <v>288</v>
      </c>
      <c r="E1486" s="2">
        <v>21.5</v>
      </c>
      <c r="F1486" s="4">
        <v>10</v>
      </c>
      <c r="G1486" s="2">
        <v>215</v>
      </c>
      <c r="H1486" t="s">
        <v>25</v>
      </c>
      <c r="I1486" t="s">
        <v>16</v>
      </c>
      <c r="J1486" s="1">
        <v>45158</v>
      </c>
      <c r="K1486" t="b">
        <v>0</v>
      </c>
    </row>
    <row r="1487" spans="1:11" x14ac:dyDescent="0.25">
      <c r="A1487" t="s">
        <v>7713</v>
      </c>
      <c r="B1487" t="s">
        <v>18</v>
      </c>
      <c r="C1487" t="s">
        <v>110</v>
      </c>
      <c r="D1487" t="s">
        <v>451</v>
      </c>
      <c r="E1487" s="2">
        <v>21.5</v>
      </c>
      <c r="F1487" s="4">
        <v>10</v>
      </c>
      <c r="G1487" s="2">
        <v>215</v>
      </c>
      <c r="H1487" t="s">
        <v>45</v>
      </c>
      <c r="I1487" t="s">
        <v>36</v>
      </c>
      <c r="J1487" s="1">
        <v>45457</v>
      </c>
      <c r="K1487" t="b">
        <v>0</v>
      </c>
    </row>
    <row r="1488" spans="1:11" x14ac:dyDescent="0.25">
      <c r="A1488" t="s">
        <v>2524</v>
      </c>
      <c r="B1488" t="s">
        <v>40</v>
      </c>
      <c r="C1488" t="s">
        <v>13</v>
      </c>
      <c r="D1488" t="s">
        <v>141</v>
      </c>
      <c r="E1488" s="2">
        <v>21.5</v>
      </c>
      <c r="F1488" s="4">
        <v>10</v>
      </c>
      <c r="G1488" s="2">
        <v>215</v>
      </c>
      <c r="H1488" t="s">
        <v>15</v>
      </c>
      <c r="I1488" t="s">
        <v>16</v>
      </c>
      <c r="J1488" s="1">
        <v>44806</v>
      </c>
      <c r="K1488" t="b">
        <v>0</v>
      </c>
    </row>
    <row r="1489" spans="1:11" x14ac:dyDescent="0.25">
      <c r="A1489" t="s">
        <v>3711</v>
      </c>
      <c r="B1489" t="s">
        <v>66</v>
      </c>
      <c r="C1489" t="s">
        <v>110</v>
      </c>
      <c r="D1489" t="s">
        <v>451</v>
      </c>
      <c r="E1489" s="2">
        <v>21.5</v>
      </c>
      <c r="F1489" s="4">
        <v>10</v>
      </c>
      <c r="G1489" s="2">
        <v>215</v>
      </c>
      <c r="H1489" t="s">
        <v>15</v>
      </c>
      <c r="I1489" t="s">
        <v>16</v>
      </c>
      <c r="J1489" s="1">
        <v>45122</v>
      </c>
      <c r="K1489" t="b">
        <v>0</v>
      </c>
    </row>
    <row r="1490" spans="1:11" x14ac:dyDescent="0.25">
      <c r="A1490" t="s">
        <v>2252</v>
      </c>
      <c r="B1490" t="s">
        <v>12</v>
      </c>
      <c r="C1490" t="s">
        <v>59</v>
      </c>
      <c r="D1490" t="s">
        <v>288</v>
      </c>
      <c r="E1490" s="2">
        <v>21.5</v>
      </c>
      <c r="F1490" s="4">
        <v>10</v>
      </c>
      <c r="G1490" s="2">
        <v>215</v>
      </c>
      <c r="H1490" t="s">
        <v>25</v>
      </c>
      <c r="I1490" t="s">
        <v>36</v>
      </c>
      <c r="J1490" s="1">
        <v>44990</v>
      </c>
      <c r="K1490" t="b">
        <v>1</v>
      </c>
    </row>
    <row r="1491" spans="1:11" x14ac:dyDescent="0.25">
      <c r="A1491" t="s">
        <v>870</v>
      </c>
      <c r="B1491" t="s">
        <v>97</v>
      </c>
      <c r="C1491" t="s">
        <v>38</v>
      </c>
      <c r="D1491" t="s">
        <v>509</v>
      </c>
      <c r="E1491" s="2">
        <v>21.5</v>
      </c>
      <c r="F1491" s="4">
        <v>10</v>
      </c>
      <c r="G1491" s="2">
        <v>215</v>
      </c>
      <c r="H1491" t="s">
        <v>25</v>
      </c>
      <c r="I1491" t="s">
        <v>16</v>
      </c>
      <c r="J1491" s="1">
        <v>45105</v>
      </c>
      <c r="K1491" t="b">
        <v>1</v>
      </c>
    </row>
    <row r="1492" spans="1:11" x14ac:dyDescent="0.25">
      <c r="A1492" t="s">
        <v>3307</v>
      </c>
      <c r="B1492" t="s">
        <v>30</v>
      </c>
      <c r="C1492" t="s">
        <v>13</v>
      </c>
      <c r="D1492" t="s">
        <v>141</v>
      </c>
      <c r="E1492" s="2">
        <v>21.5</v>
      </c>
      <c r="F1492" s="4">
        <v>10</v>
      </c>
      <c r="G1492" s="2">
        <v>215</v>
      </c>
      <c r="H1492" t="s">
        <v>45</v>
      </c>
      <c r="I1492" t="s">
        <v>16</v>
      </c>
      <c r="J1492" s="1">
        <v>44637</v>
      </c>
      <c r="K1492" t="b">
        <v>1</v>
      </c>
    </row>
    <row r="1493" spans="1:11" x14ac:dyDescent="0.25">
      <c r="A1493" t="s">
        <v>6172</v>
      </c>
      <c r="B1493" t="s">
        <v>18</v>
      </c>
      <c r="C1493" t="s">
        <v>23</v>
      </c>
      <c r="D1493" t="s">
        <v>24</v>
      </c>
      <c r="E1493" s="2">
        <v>21.5</v>
      </c>
      <c r="F1493" s="4">
        <v>10</v>
      </c>
      <c r="G1493" s="2">
        <v>215</v>
      </c>
      <c r="H1493" t="s">
        <v>25</v>
      </c>
      <c r="I1493" t="s">
        <v>16</v>
      </c>
      <c r="J1493" s="1">
        <v>44855</v>
      </c>
      <c r="K1493" t="b">
        <v>1</v>
      </c>
    </row>
    <row r="1494" spans="1:11" x14ac:dyDescent="0.25">
      <c r="A1494" t="s">
        <v>5038</v>
      </c>
      <c r="B1494" t="s">
        <v>97</v>
      </c>
      <c r="C1494" t="s">
        <v>27</v>
      </c>
      <c r="D1494" t="s">
        <v>315</v>
      </c>
      <c r="E1494" s="2">
        <v>21.5</v>
      </c>
      <c r="F1494" s="4">
        <v>10</v>
      </c>
      <c r="G1494" s="2">
        <v>215</v>
      </c>
      <c r="H1494" t="s">
        <v>25</v>
      </c>
      <c r="I1494" t="s">
        <v>16</v>
      </c>
      <c r="J1494" s="1">
        <v>44896</v>
      </c>
      <c r="K1494" t="b">
        <v>1</v>
      </c>
    </row>
    <row r="1495" spans="1:11" x14ac:dyDescent="0.25">
      <c r="A1495" t="s">
        <v>2007</v>
      </c>
      <c r="B1495" t="s">
        <v>26</v>
      </c>
      <c r="C1495" t="s">
        <v>38</v>
      </c>
      <c r="D1495" t="s">
        <v>780</v>
      </c>
      <c r="E1495" s="2">
        <v>30.5</v>
      </c>
      <c r="F1495" s="4">
        <v>7</v>
      </c>
      <c r="G1495" s="2">
        <v>213.5</v>
      </c>
      <c r="H1495" t="s">
        <v>45</v>
      </c>
      <c r="I1495" t="s">
        <v>16</v>
      </c>
      <c r="J1495" s="1">
        <v>44942</v>
      </c>
      <c r="K1495" t="b">
        <v>0</v>
      </c>
    </row>
    <row r="1496" spans="1:11" x14ac:dyDescent="0.25">
      <c r="A1496" t="s">
        <v>7099</v>
      </c>
      <c r="B1496" t="s">
        <v>30</v>
      </c>
      <c r="C1496" t="s">
        <v>110</v>
      </c>
      <c r="D1496" t="s">
        <v>256</v>
      </c>
      <c r="E1496" s="2">
        <v>30.5</v>
      </c>
      <c r="F1496" s="4">
        <v>7</v>
      </c>
      <c r="G1496" s="2">
        <v>213.5</v>
      </c>
      <c r="H1496" t="s">
        <v>25</v>
      </c>
      <c r="I1496" t="s">
        <v>36</v>
      </c>
      <c r="J1496" s="1">
        <v>45193</v>
      </c>
      <c r="K1496" t="b">
        <v>1</v>
      </c>
    </row>
    <row r="1497" spans="1:11" x14ac:dyDescent="0.25">
      <c r="A1497" t="s">
        <v>6051</v>
      </c>
      <c r="B1497" t="s">
        <v>93</v>
      </c>
      <c r="C1497" t="s">
        <v>23</v>
      </c>
      <c r="D1497" t="s">
        <v>223</v>
      </c>
      <c r="E1497" s="2">
        <v>30.5</v>
      </c>
      <c r="F1497" s="4">
        <v>7</v>
      </c>
      <c r="G1497" s="2">
        <v>213.5</v>
      </c>
      <c r="H1497" t="s">
        <v>25</v>
      </c>
      <c r="I1497" t="s">
        <v>36</v>
      </c>
      <c r="J1497" s="1">
        <v>45106</v>
      </c>
      <c r="K1497" t="b">
        <v>0</v>
      </c>
    </row>
    <row r="1498" spans="1:11" x14ac:dyDescent="0.25">
      <c r="A1498" t="s">
        <v>1783</v>
      </c>
      <c r="B1498" t="s">
        <v>30</v>
      </c>
      <c r="C1498" t="s">
        <v>13</v>
      </c>
      <c r="D1498" t="s">
        <v>1016</v>
      </c>
      <c r="E1498" s="2">
        <v>30.5</v>
      </c>
      <c r="F1498" s="4">
        <v>7</v>
      </c>
      <c r="G1498" s="2">
        <v>213.5</v>
      </c>
      <c r="H1498" t="s">
        <v>25</v>
      </c>
      <c r="I1498" t="s">
        <v>16</v>
      </c>
      <c r="J1498" s="1">
        <v>45637</v>
      </c>
      <c r="K1498" t="b">
        <v>0</v>
      </c>
    </row>
    <row r="1499" spans="1:11" x14ac:dyDescent="0.25">
      <c r="A1499" t="s">
        <v>7598</v>
      </c>
      <c r="B1499" t="s">
        <v>77</v>
      </c>
      <c r="C1499" t="s">
        <v>31</v>
      </c>
      <c r="D1499" t="s">
        <v>144</v>
      </c>
      <c r="E1499" s="2">
        <v>30.5</v>
      </c>
      <c r="F1499" s="4">
        <v>7</v>
      </c>
      <c r="G1499" s="2">
        <v>213.5</v>
      </c>
      <c r="H1499" t="s">
        <v>45</v>
      </c>
      <c r="I1499" t="s">
        <v>16</v>
      </c>
      <c r="J1499" s="1">
        <v>45289</v>
      </c>
      <c r="K1499" t="b">
        <v>1</v>
      </c>
    </row>
    <row r="1500" spans="1:11" x14ac:dyDescent="0.25">
      <c r="A1500" t="s">
        <v>7744</v>
      </c>
      <c r="B1500" t="s">
        <v>86</v>
      </c>
      <c r="C1500" t="s">
        <v>31</v>
      </c>
      <c r="D1500" t="s">
        <v>144</v>
      </c>
      <c r="E1500" s="2">
        <v>30.5</v>
      </c>
      <c r="F1500" s="4">
        <v>7</v>
      </c>
      <c r="G1500" s="2">
        <v>213.5</v>
      </c>
      <c r="H1500" t="s">
        <v>15</v>
      </c>
      <c r="I1500" t="s">
        <v>16</v>
      </c>
      <c r="J1500" s="1">
        <v>45283</v>
      </c>
      <c r="K1500" t="b">
        <v>0</v>
      </c>
    </row>
    <row r="1501" spans="1:11" x14ac:dyDescent="0.25">
      <c r="A1501" t="s">
        <v>3120</v>
      </c>
      <c r="B1501" t="s">
        <v>104</v>
      </c>
      <c r="C1501" t="s">
        <v>110</v>
      </c>
      <c r="D1501" t="s">
        <v>256</v>
      </c>
      <c r="E1501" s="2">
        <v>30.5</v>
      </c>
      <c r="F1501" s="4">
        <v>7</v>
      </c>
      <c r="G1501" s="2">
        <v>213.5</v>
      </c>
      <c r="H1501" t="s">
        <v>25</v>
      </c>
      <c r="I1501" t="s">
        <v>16</v>
      </c>
      <c r="J1501" s="1">
        <v>44587</v>
      </c>
      <c r="K1501" t="b">
        <v>1</v>
      </c>
    </row>
    <row r="1502" spans="1:11" x14ac:dyDescent="0.25">
      <c r="A1502" t="s">
        <v>5883</v>
      </c>
      <c r="B1502" t="s">
        <v>86</v>
      </c>
      <c r="C1502" t="s">
        <v>27</v>
      </c>
      <c r="D1502" t="s">
        <v>524</v>
      </c>
      <c r="E1502" s="2">
        <v>30.5</v>
      </c>
      <c r="F1502" s="4">
        <v>7</v>
      </c>
      <c r="G1502" s="2">
        <v>213.5</v>
      </c>
      <c r="H1502" t="s">
        <v>25</v>
      </c>
      <c r="I1502" t="s">
        <v>16</v>
      </c>
      <c r="J1502" s="1">
        <v>44598</v>
      </c>
      <c r="K1502" t="b">
        <v>1</v>
      </c>
    </row>
    <row r="1503" spans="1:11" x14ac:dyDescent="0.25">
      <c r="A1503" t="s">
        <v>1090</v>
      </c>
      <c r="B1503" t="s">
        <v>66</v>
      </c>
      <c r="C1503" t="s">
        <v>110</v>
      </c>
      <c r="D1503" t="s">
        <v>256</v>
      </c>
      <c r="E1503" s="2">
        <v>30.5</v>
      </c>
      <c r="F1503" s="4">
        <v>7</v>
      </c>
      <c r="G1503" s="2">
        <v>213.5</v>
      </c>
      <c r="H1503" t="s">
        <v>15</v>
      </c>
      <c r="I1503" t="s">
        <v>16</v>
      </c>
      <c r="J1503" s="1">
        <v>45117</v>
      </c>
      <c r="K1503" t="b">
        <v>1</v>
      </c>
    </row>
    <row r="1504" spans="1:11" x14ac:dyDescent="0.25">
      <c r="A1504" t="s">
        <v>3260</v>
      </c>
      <c r="B1504" t="s">
        <v>63</v>
      </c>
      <c r="C1504" t="s">
        <v>27</v>
      </c>
      <c r="D1504" t="s">
        <v>524</v>
      </c>
      <c r="E1504" s="2">
        <v>30.5</v>
      </c>
      <c r="F1504" s="4">
        <v>7</v>
      </c>
      <c r="G1504" s="2">
        <v>213.5</v>
      </c>
      <c r="H1504" t="s">
        <v>15</v>
      </c>
      <c r="I1504" t="s">
        <v>16</v>
      </c>
      <c r="J1504" s="1">
        <v>44786</v>
      </c>
      <c r="K1504" t="b">
        <v>1</v>
      </c>
    </row>
    <row r="1505" spans="1:11" x14ac:dyDescent="0.25">
      <c r="A1505" t="s">
        <v>3576</v>
      </c>
      <c r="B1505" t="s">
        <v>22</v>
      </c>
      <c r="C1505" t="s">
        <v>31</v>
      </c>
      <c r="D1505" t="s">
        <v>144</v>
      </c>
      <c r="E1505" s="2">
        <v>30.5</v>
      </c>
      <c r="F1505" s="4">
        <v>7</v>
      </c>
      <c r="G1505" s="2">
        <v>213.5</v>
      </c>
      <c r="H1505" t="s">
        <v>25</v>
      </c>
      <c r="I1505" t="s">
        <v>16</v>
      </c>
      <c r="J1505" s="1">
        <v>45364</v>
      </c>
      <c r="K1505" t="b">
        <v>1</v>
      </c>
    </row>
    <row r="1506" spans="1:11" x14ac:dyDescent="0.25">
      <c r="A1506" t="s">
        <v>7328</v>
      </c>
      <c r="B1506" t="s">
        <v>66</v>
      </c>
      <c r="C1506" t="s">
        <v>19</v>
      </c>
      <c r="D1506" t="s">
        <v>474</v>
      </c>
      <c r="E1506" s="2">
        <v>30.5</v>
      </c>
      <c r="F1506" s="4">
        <v>7</v>
      </c>
      <c r="G1506" s="2">
        <v>213.5</v>
      </c>
      <c r="H1506" t="s">
        <v>15</v>
      </c>
      <c r="I1506" t="s">
        <v>36</v>
      </c>
      <c r="J1506" s="1">
        <v>44800</v>
      </c>
      <c r="K1506" t="b">
        <v>0</v>
      </c>
    </row>
    <row r="1507" spans="1:11" x14ac:dyDescent="0.25">
      <c r="A1507" t="s">
        <v>4491</v>
      </c>
      <c r="B1507" t="s">
        <v>37</v>
      </c>
      <c r="C1507" t="s">
        <v>31</v>
      </c>
      <c r="D1507" t="s">
        <v>144</v>
      </c>
      <c r="E1507" s="2">
        <v>30.5</v>
      </c>
      <c r="F1507" s="4">
        <v>7</v>
      </c>
      <c r="G1507" s="2">
        <v>213.5</v>
      </c>
      <c r="H1507" t="s">
        <v>15</v>
      </c>
      <c r="I1507" t="s">
        <v>16</v>
      </c>
      <c r="J1507" s="1">
        <v>45221</v>
      </c>
      <c r="K1507" t="b">
        <v>0</v>
      </c>
    </row>
    <row r="1508" spans="1:11" x14ac:dyDescent="0.25">
      <c r="A1508" t="s">
        <v>5523</v>
      </c>
      <c r="B1508" t="s">
        <v>56</v>
      </c>
      <c r="C1508" t="s">
        <v>13</v>
      </c>
      <c r="D1508" t="s">
        <v>1016</v>
      </c>
      <c r="E1508" s="2">
        <v>30.5</v>
      </c>
      <c r="F1508" s="4">
        <v>7</v>
      </c>
      <c r="G1508" s="2">
        <v>213.5</v>
      </c>
      <c r="H1508" t="s">
        <v>25</v>
      </c>
      <c r="I1508" t="s">
        <v>16</v>
      </c>
      <c r="J1508" s="1">
        <v>44828</v>
      </c>
      <c r="K1508" t="b">
        <v>1</v>
      </c>
    </row>
    <row r="1509" spans="1:11" x14ac:dyDescent="0.25">
      <c r="A1509" t="s">
        <v>5810</v>
      </c>
      <c r="B1509" t="s">
        <v>86</v>
      </c>
      <c r="C1509" t="s">
        <v>31</v>
      </c>
      <c r="D1509" t="s">
        <v>144</v>
      </c>
      <c r="E1509" s="2">
        <v>30.5</v>
      </c>
      <c r="F1509" s="4">
        <v>7</v>
      </c>
      <c r="G1509" s="2">
        <v>213.5</v>
      </c>
      <c r="H1509" t="s">
        <v>25</v>
      </c>
      <c r="I1509" t="s">
        <v>36</v>
      </c>
      <c r="J1509" s="1">
        <v>44973</v>
      </c>
      <c r="K1509" t="b">
        <v>0</v>
      </c>
    </row>
    <row r="1510" spans="1:11" x14ac:dyDescent="0.25">
      <c r="A1510" t="s">
        <v>2460</v>
      </c>
      <c r="B1510" t="s">
        <v>18</v>
      </c>
      <c r="C1510" t="s">
        <v>59</v>
      </c>
      <c r="D1510" t="s">
        <v>676</v>
      </c>
      <c r="E1510" s="2">
        <v>30.5</v>
      </c>
      <c r="F1510" s="4">
        <v>7</v>
      </c>
      <c r="G1510" s="2">
        <v>213.5</v>
      </c>
      <c r="H1510" t="s">
        <v>15</v>
      </c>
      <c r="I1510" t="s">
        <v>16</v>
      </c>
      <c r="J1510" s="1">
        <v>45434</v>
      </c>
      <c r="K1510" t="b">
        <v>1</v>
      </c>
    </row>
    <row r="1511" spans="1:11" x14ac:dyDescent="0.25">
      <c r="A1511" t="s">
        <v>1359</v>
      </c>
      <c r="B1511" t="s">
        <v>142</v>
      </c>
      <c r="C1511" t="s">
        <v>23</v>
      </c>
      <c r="D1511" t="s">
        <v>223</v>
      </c>
      <c r="E1511" s="2">
        <v>30.5</v>
      </c>
      <c r="F1511" s="4">
        <v>7</v>
      </c>
      <c r="G1511" s="2">
        <v>213.5</v>
      </c>
      <c r="H1511" t="s">
        <v>15</v>
      </c>
      <c r="I1511" t="s">
        <v>16</v>
      </c>
      <c r="J1511" s="1">
        <v>45185</v>
      </c>
      <c r="K1511" t="b">
        <v>1</v>
      </c>
    </row>
    <row r="1512" spans="1:11" x14ac:dyDescent="0.25">
      <c r="A1512" t="s">
        <v>6860</v>
      </c>
      <c r="B1512" t="s">
        <v>72</v>
      </c>
      <c r="C1512" t="s">
        <v>23</v>
      </c>
      <c r="D1512" t="s">
        <v>223</v>
      </c>
      <c r="E1512" s="2">
        <v>30.5</v>
      </c>
      <c r="F1512" s="4">
        <v>7</v>
      </c>
      <c r="G1512" s="2">
        <v>213.5</v>
      </c>
      <c r="H1512" t="s">
        <v>45</v>
      </c>
      <c r="I1512" t="s">
        <v>16</v>
      </c>
      <c r="J1512" s="1">
        <v>45343</v>
      </c>
      <c r="K1512" t="b">
        <v>0</v>
      </c>
    </row>
    <row r="1513" spans="1:11" x14ac:dyDescent="0.25">
      <c r="A1513" t="s">
        <v>4709</v>
      </c>
      <c r="B1513" t="s">
        <v>26</v>
      </c>
      <c r="C1513" t="s">
        <v>31</v>
      </c>
      <c r="D1513" t="s">
        <v>144</v>
      </c>
      <c r="E1513" s="2">
        <v>30.5</v>
      </c>
      <c r="F1513" s="4">
        <v>7</v>
      </c>
      <c r="G1513" s="2">
        <v>213.5</v>
      </c>
      <c r="H1513" t="s">
        <v>45</v>
      </c>
      <c r="I1513" t="s">
        <v>36</v>
      </c>
      <c r="J1513" s="1">
        <v>44640</v>
      </c>
      <c r="K1513" t="b">
        <v>0</v>
      </c>
    </row>
    <row r="1514" spans="1:11" x14ac:dyDescent="0.25">
      <c r="A1514" t="s">
        <v>3448</v>
      </c>
      <c r="B1514" t="s">
        <v>58</v>
      </c>
      <c r="C1514" t="s">
        <v>19</v>
      </c>
      <c r="D1514" t="s">
        <v>474</v>
      </c>
      <c r="E1514" s="2">
        <v>30.5</v>
      </c>
      <c r="F1514" s="4">
        <v>7</v>
      </c>
      <c r="G1514" s="2">
        <v>213.5</v>
      </c>
      <c r="H1514" t="s">
        <v>15</v>
      </c>
      <c r="I1514" t="s">
        <v>16</v>
      </c>
      <c r="J1514" s="1">
        <v>44703</v>
      </c>
      <c r="K1514" t="b">
        <v>1</v>
      </c>
    </row>
    <row r="1515" spans="1:11" x14ac:dyDescent="0.25">
      <c r="A1515" t="s">
        <v>6407</v>
      </c>
      <c r="B1515" t="s">
        <v>85</v>
      </c>
      <c r="C1515" t="s">
        <v>31</v>
      </c>
      <c r="D1515" t="s">
        <v>144</v>
      </c>
      <c r="E1515" s="2">
        <v>30.5</v>
      </c>
      <c r="F1515" s="4">
        <v>7</v>
      </c>
      <c r="G1515" s="2">
        <v>213.5</v>
      </c>
      <c r="H1515" t="s">
        <v>25</v>
      </c>
      <c r="I1515" t="s">
        <v>36</v>
      </c>
      <c r="J1515" s="1">
        <v>45572</v>
      </c>
      <c r="K1515" t="b">
        <v>0</v>
      </c>
    </row>
    <row r="1516" spans="1:11" x14ac:dyDescent="0.25">
      <c r="A1516" t="s">
        <v>562</v>
      </c>
      <c r="B1516" t="s">
        <v>72</v>
      </c>
      <c r="C1516" t="s">
        <v>19</v>
      </c>
      <c r="D1516" t="s">
        <v>474</v>
      </c>
      <c r="E1516" s="2">
        <v>30.5</v>
      </c>
      <c r="F1516" s="4">
        <v>7</v>
      </c>
      <c r="G1516" s="2">
        <v>213.5</v>
      </c>
      <c r="H1516" t="s">
        <v>25</v>
      </c>
      <c r="I1516" t="s">
        <v>36</v>
      </c>
      <c r="J1516" s="1">
        <v>45203</v>
      </c>
      <c r="K1516" t="b">
        <v>1</v>
      </c>
    </row>
    <row r="1517" spans="1:11" x14ac:dyDescent="0.25">
      <c r="A1517" t="s">
        <v>3127</v>
      </c>
      <c r="B1517" t="s">
        <v>12</v>
      </c>
      <c r="C1517" t="s">
        <v>23</v>
      </c>
      <c r="D1517" t="s">
        <v>223</v>
      </c>
      <c r="E1517" s="2">
        <v>30.5</v>
      </c>
      <c r="F1517" s="4">
        <v>7</v>
      </c>
      <c r="G1517" s="2">
        <v>213.5</v>
      </c>
      <c r="H1517" t="s">
        <v>15</v>
      </c>
      <c r="I1517" t="s">
        <v>36</v>
      </c>
      <c r="J1517" s="1">
        <v>44858</v>
      </c>
      <c r="K1517" t="b">
        <v>1</v>
      </c>
    </row>
    <row r="1518" spans="1:11" x14ac:dyDescent="0.25">
      <c r="A1518" t="s">
        <v>1519</v>
      </c>
      <c r="B1518" t="s">
        <v>22</v>
      </c>
      <c r="C1518" t="s">
        <v>27</v>
      </c>
      <c r="D1518" t="s">
        <v>524</v>
      </c>
      <c r="E1518" s="2">
        <v>30.5</v>
      </c>
      <c r="F1518" s="4">
        <v>7</v>
      </c>
      <c r="G1518" s="2">
        <v>213.5</v>
      </c>
      <c r="H1518" t="s">
        <v>15</v>
      </c>
      <c r="I1518" t="s">
        <v>36</v>
      </c>
      <c r="J1518" s="1">
        <v>45087</v>
      </c>
      <c r="K1518" t="b">
        <v>0</v>
      </c>
    </row>
    <row r="1519" spans="1:11" x14ac:dyDescent="0.25">
      <c r="A1519" t="s">
        <v>6965</v>
      </c>
      <c r="B1519" t="s">
        <v>63</v>
      </c>
      <c r="C1519" t="s">
        <v>59</v>
      </c>
      <c r="D1519" t="s">
        <v>87</v>
      </c>
      <c r="E1519" s="2">
        <v>35</v>
      </c>
      <c r="F1519" s="4">
        <v>6</v>
      </c>
      <c r="G1519" s="2">
        <v>210</v>
      </c>
      <c r="H1519" t="s">
        <v>15</v>
      </c>
      <c r="I1519" t="s">
        <v>36</v>
      </c>
      <c r="J1519" s="1">
        <v>45479</v>
      </c>
      <c r="K1519" t="b">
        <v>1</v>
      </c>
    </row>
    <row r="1520" spans="1:11" x14ac:dyDescent="0.25">
      <c r="A1520" t="s">
        <v>5890</v>
      </c>
      <c r="B1520" t="s">
        <v>37</v>
      </c>
      <c r="C1520" t="s">
        <v>59</v>
      </c>
      <c r="D1520" t="s">
        <v>87</v>
      </c>
      <c r="E1520" s="2">
        <v>35</v>
      </c>
      <c r="F1520" s="4">
        <v>6</v>
      </c>
      <c r="G1520" s="2">
        <v>210</v>
      </c>
      <c r="H1520" t="s">
        <v>15</v>
      </c>
      <c r="I1520" t="s">
        <v>36</v>
      </c>
      <c r="J1520" s="1">
        <v>44883</v>
      </c>
      <c r="K1520" t="b">
        <v>0</v>
      </c>
    </row>
    <row r="1521" spans="1:11" x14ac:dyDescent="0.25">
      <c r="A1521" t="s">
        <v>4983</v>
      </c>
      <c r="B1521" t="s">
        <v>51</v>
      </c>
      <c r="C1521" t="s">
        <v>27</v>
      </c>
      <c r="D1521" t="s">
        <v>240</v>
      </c>
      <c r="E1521" s="2">
        <v>35</v>
      </c>
      <c r="F1521" s="4">
        <v>6</v>
      </c>
      <c r="G1521" s="2">
        <v>210</v>
      </c>
      <c r="H1521" t="s">
        <v>25</v>
      </c>
      <c r="I1521" t="s">
        <v>36</v>
      </c>
      <c r="J1521" s="1">
        <v>45315</v>
      </c>
      <c r="K1521" t="b">
        <v>1</v>
      </c>
    </row>
    <row r="1522" spans="1:11" x14ac:dyDescent="0.25">
      <c r="A1522" t="s">
        <v>5602</v>
      </c>
      <c r="B1522" t="s">
        <v>43</v>
      </c>
      <c r="C1522" t="s">
        <v>110</v>
      </c>
      <c r="D1522" t="s">
        <v>197</v>
      </c>
      <c r="E1522" s="2">
        <v>35</v>
      </c>
      <c r="F1522" s="4">
        <v>6</v>
      </c>
      <c r="G1522" s="2">
        <v>210</v>
      </c>
      <c r="H1522" t="s">
        <v>15</v>
      </c>
      <c r="I1522" t="s">
        <v>16</v>
      </c>
      <c r="J1522" s="1">
        <v>44627</v>
      </c>
      <c r="K1522" t="b">
        <v>0</v>
      </c>
    </row>
    <row r="1523" spans="1:11" x14ac:dyDescent="0.25">
      <c r="A1523" t="s">
        <v>1487</v>
      </c>
      <c r="B1523" t="s">
        <v>104</v>
      </c>
      <c r="C1523" t="s">
        <v>23</v>
      </c>
      <c r="D1523" t="s">
        <v>179</v>
      </c>
      <c r="E1523" s="2">
        <v>35</v>
      </c>
      <c r="F1523" s="4">
        <v>6</v>
      </c>
      <c r="G1523" s="2">
        <v>210</v>
      </c>
      <c r="H1523" t="s">
        <v>25</v>
      </c>
      <c r="I1523" t="s">
        <v>36</v>
      </c>
      <c r="J1523" s="1">
        <v>44601</v>
      </c>
      <c r="K1523" t="b">
        <v>0</v>
      </c>
    </row>
    <row r="1524" spans="1:11" x14ac:dyDescent="0.25">
      <c r="A1524" t="s">
        <v>516</v>
      </c>
      <c r="B1524" t="s">
        <v>85</v>
      </c>
      <c r="C1524" t="s">
        <v>59</v>
      </c>
      <c r="D1524" t="s">
        <v>87</v>
      </c>
      <c r="E1524" s="2">
        <v>35</v>
      </c>
      <c r="F1524" s="4">
        <v>6</v>
      </c>
      <c r="G1524" s="2">
        <v>210</v>
      </c>
      <c r="H1524" t="s">
        <v>45</v>
      </c>
      <c r="I1524" t="s">
        <v>36</v>
      </c>
      <c r="J1524" s="1">
        <v>45293</v>
      </c>
      <c r="K1524" t="b">
        <v>0</v>
      </c>
    </row>
    <row r="1525" spans="1:11" x14ac:dyDescent="0.25">
      <c r="A1525" t="s">
        <v>6031</v>
      </c>
      <c r="B1525" t="s">
        <v>26</v>
      </c>
      <c r="C1525" t="s">
        <v>38</v>
      </c>
      <c r="D1525" t="s">
        <v>163</v>
      </c>
      <c r="E1525" s="2">
        <v>35</v>
      </c>
      <c r="F1525" s="4">
        <v>6</v>
      </c>
      <c r="G1525" s="2">
        <v>210</v>
      </c>
      <c r="H1525" t="s">
        <v>15</v>
      </c>
      <c r="I1525" t="s">
        <v>16</v>
      </c>
      <c r="J1525" s="1">
        <v>44905</v>
      </c>
      <c r="K1525" t="b">
        <v>0</v>
      </c>
    </row>
    <row r="1526" spans="1:11" x14ac:dyDescent="0.25">
      <c r="A1526" t="s">
        <v>4590</v>
      </c>
      <c r="B1526" t="s">
        <v>63</v>
      </c>
      <c r="C1526" t="s">
        <v>19</v>
      </c>
      <c r="D1526" t="s">
        <v>214</v>
      </c>
      <c r="E1526" s="2">
        <v>35</v>
      </c>
      <c r="F1526" s="4">
        <v>6</v>
      </c>
      <c r="G1526" s="2">
        <v>210</v>
      </c>
      <c r="H1526" t="s">
        <v>15</v>
      </c>
      <c r="I1526" t="s">
        <v>16</v>
      </c>
      <c r="J1526" s="1">
        <v>45152</v>
      </c>
      <c r="K1526" t="b">
        <v>1</v>
      </c>
    </row>
    <row r="1527" spans="1:11" x14ac:dyDescent="0.25">
      <c r="A1527" t="s">
        <v>5833</v>
      </c>
      <c r="B1527" t="s">
        <v>37</v>
      </c>
      <c r="C1527" t="s">
        <v>31</v>
      </c>
      <c r="D1527" t="s">
        <v>905</v>
      </c>
      <c r="E1527" s="2">
        <v>35</v>
      </c>
      <c r="F1527" s="4">
        <v>6</v>
      </c>
      <c r="G1527" s="2">
        <v>210</v>
      </c>
      <c r="H1527" t="s">
        <v>25</v>
      </c>
      <c r="I1527" t="s">
        <v>36</v>
      </c>
      <c r="J1527" s="1">
        <v>45091</v>
      </c>
      <c r="K1527" t="b">
        <v>1</v>
      </c>
    </row>
    <row r="1528" spans="1:11" x14ac:dyDescent="0.25">
      <c r="A1528" t="s">
        <v>5332</v>
      </c>
      <c r="B1528" t="s">
        <v>63</v>
      </c>
      <c r="C1528" t="s">
        <v>59</v>
      </c>
      <c r="D1528" t="s">
        <v>87</v>
      </c>
      <c r="E1528" s="2">
        <v>35</v>
      </c>
      <c r="F1528" s="4">
        <v>6</v>
      </c>
      <c r="G1528" s="2">
        <v>210</v>
      </c>
      <c r="H1528" t="s">
        <v>15</v>
      </c>
      <c r="I1528" t="s">
        <v>36</v>
      </c>
      <c r="J1528" s="1">
        <v>45586</v>
      </c>
      <c r="K1528" t="b">
        <v>0</v>
      </c>
    </row>
    <row r="1529" spans="1:11" x14ac:dyDescent="0.25">
      <c r="A1529" t="s">
        <v>7292</v>
      </c>
      <c r="B1529" t="s">
        <v>58</v>
      </c>
      <c r="C1529" t="s">
        <v>31</v>
      </c>
      <c r="D1529" t="s">
        <v>905</v>
      </c>
      <c r="E1529" s="2">
        <v>35</v>
      </c>
      <c r="F1529" s="4">
        <v>6</v>
      </c>
      <c r="G1529" s="2">
        <v>210</v>
      </c>
      <c r="H1529" t="s">
        <v>15</v>
      </c>
      <c r="I1529" t="s">
        <v>16</v>
      </c>
      <c r="J1529" s="1">
        <v>45381</v>
      </c>
      <c r="K1529" t="b">
        <v>1</v>
      </c>
    </row>
    <row r="1530" spans="1:11" x14ac:dyDescent="0.25">
      <c r="A1530" t="s">
        <v>4860</v>
      </c>
      <c r="B1530" t="s">
        <v>56</v>
      </c>
      <c r="C1530" t="s">
        <v>31</v>
      </c>
      <c r="D1530" t="s">
        <v>905</v>
      </c>
      <c r="E1530" s="2">
        <v>35</v>
      </c>
      <c r="F1530" s="4">
        <v>6</v>
      </c>
      <c r="G1530" s="2">
        <v>210</v>
      </c>
      <c r="H1530" t="s">
        <v>25</v>
      </c>
      <c r="I1530" t="s">
        <v>16</v>
      </c>
      <c r="J1530" s="1">
        <v>45430</v>
      </c>
      <c r="K1530" t="b">
        <v>1</v>
      </c>
    </row>
    <row r="1531" spans="1:11" x14ac:dyDescent="0.25">
      <c r="A1531" t="s">
        <v>2786</v>
      </c>
      <c r="B1531" t="s">
        <v>85</v>
      </c>
      <c r="C1531" t="s">
        <v>110</v>
      </c>
      <c r="D1531" t="s">
        <v>197</v>
      </c>
      <c r="E1531" s="2">
        <v>35</v>
      </c>
      <c r="F1531" s="4">
        <v>6</v>
      </c>
      <c r="G1531" s="2">
        <v>210</v>
      </c>
      <c r="H1531" t="s">
        <v>45</v>
      </c>
      <c r="I1531" t="s">
        <v>16</v>
      </c>
      <c r="J1531" s="1">
        <v>45394</v>
      </c>
      <c r="K1531" t="b">
        <v>0</v>
      </c>
    </row>
    <row r="1532" spans="1:11" x14ac:dyDescent="0.25">
      <c r="A1532" t="s">
        <v>1862</v>
      </c>
      <c r="B1532" t="s">
        <v>100</v>
      </c>
      <c r="C1532" t="s">
        <v>23</v>
      </c>
      <c r="D1532" t="s">
        <v>179</v>
      </c>
      <c r="E1532" s="2">
        <v>35</v>
      </c>
      <c r="F1532" s="4">
        <v>6</v>
      </c>
      <c r="G1532" s="2">
        <v>210</v>
      </c>
      <c r="H1532" t="s">
        <v>25</v>
      </c>
      <c r="I1532" t="s">
        <v>16</v>
      </c>
      <c r="J1532" s="1">
        <v>45545</v>
      </c>
      <c r="K1532" t="b">
        <v>1</v>
      </c>
    </row>
    <row r="1533" spans="1:11" x14ac:dyDescent="0.25">
      <c r="A1533" t="s">
        <v>3714</v>
      </c>
      <c r="B1533" t="s">
        <v>85</v>
      </c>
      <c r="C1533" t="s">
        <v>31</v>
      </c>
      <c r="D1533" t="s">
        <v>905</v>
      </c>
      <c r="E1533" s="2">
        <v>35</v>
      </c>
      <c r="F1533" s="4">
        <v>6</v>
      </c>
      <c r="G1533" s="2">
        <v>210</v>
      </c>
      <c r="H1533" t="s">
        <v>45</v>
      </c>
      <c r="I1533" t="s">
        <v>16</v>
      </c>
      <c r="J1533" s="1">
        <v>44819</v>
      </c>
      <c r="K1533" t="b">
        <v>1</v>
      </c>
    </row>
    <row r="1534" spans="1:11" x14ac:dyDescent="0.25">
      <c r="A1534" t="s">
        <v>4479</v>
      </c>
      <c r="B1534" t="s">
        <v>26</v>
      </c>
      <c r="C1534" t="s">
        <v>110</v>
      </c>
      <c r="D1534" t="s">
        <v>197</v>
      </c>
      <c r="E1534" s="2">
        <v>35</v>
      </c>
      <c r="F1534" s="4">
        <v>6</v>
      </c>
      <c r="G1534" s="2">
        <v>210</v>
      </c>
      <c r="H1534" t="s">
        <v>25</v>
      </c>
      <c r="I1534" t="s">
        <v>36</v>
      </c>
      <c r="J1534" s="1">
        <v>44615</v>
      </c>
      <c r="K1534" t="b">
        <v>0</v>
      </c>
    </row>
    <row r="1535" spans="1:11" x14ac:dyDescent="0.25">
      <c r="A1535" t="s">
        <v>3845</v>
      </c>
      <c r="B1535" t="s">
        <v>12</v>
      </c>
      <c r="C1535" t="s">
        <v>23</v>
      </c>
      <c r="D1535" t="s">
        <v>179</v>
      </c>
      <c r="E1535" s="2">
        <v>35</v>
      </c>
      <c r="F1535" s="4">
        <v>6</v>
      </c>
      <c r="G1535" s="2">
        <v>210</v>
      </c>
      <c r="H1535" t="s">
        <v>15</v>
      </c>
      <c r="I1535" t="s">
        <v>36</v>
      </c>
      <c r="J1535" s="1">
        <v>45283</v>
      </c>
      <c r="K1535" t="b">
        <v>1</v>
      </c>
    </row>
    <row r="1536" spans="1:11" x14ac:dyDescent="0.25">
      <c r="A1536" t="s">
        <v>6222</v>
      </c>
      <c r="B1536" t="s">
        <v>12</v>
      </c>
      <c r="C1536" t="s">
        <v>19</v>
      </c>
      <c r="D1536" t="s">
        <v>214</v>
      </c>
      <c r="E1536" s="2">
        <v>35</v>
      </c>
      <c r="F1536" s="4">
        <v>6</v>
      </c>
      <c r="G1536" s="2">
        <v>210</v>
      </c>
      <c r="H1536" t="s">
        <v>15</v>
      </c>
      <c r="I1536" t="s">
        <v>36</v>
      </c>
      <c r="J1536" s="1">
        <v>44806</v>
      </c>
      <c r="K1536" t="b">
        <v>1</v>
      </c>
    </row>
    <row r="1537" spans="1:11" x14ac:dyDescent="0.25">
      <c r="A1537" t="s">
        <v>1713</v>
      </c>
      <c r="B1537" t="s">
        <v>63</v>
      </c>
      <c r="C1537" t="s">
        <v>59</v>
      </c>
      <c r="D1537" t="s">
        <v>87</v>
      </c>
      <c r="E1537" s="2">
        <v>35</v>
      </c>
      <c r="F1537" s="4">
        <v>6</v>
      </c>
      <c r="G1537" s="2">
        <v>210</v>
      </c>
      <c r="H1537" t="s">
        <v>45</v>
      </c>
      <c r="I1537" t="s">
        <v>36</v>
      </c>
      <c r="J1537" s="1">
        <v>45511</v>
      </c>
      <c r="K1537" t="b">
        <v>1</v>
      </c>
    </row>
    <row r="1538" spans="1:11" x14ac:dyDescent="0.25">
      <c r="A1538" t="s">
        <v>2448</v>
      </c>
      <c r="B1538" t="s">
        <v>61</v>
      </c>
      <c r="C1538" t="s">
        <v>31</v>
      </c>
      <c r="D1538" t="s">
        <v>905</v>
      </c>
      <c r="E1538" s="2">
        <v>35</v>
      </c>
      <c r="F1538" s="4">
        <v>6</v>
      </c>
      <c r="G1538" s="2">
        <v>210</v>
      </c>
      <c r="H1538" t="s">
        <v>25</v>
      </c>
      <c r="I1538" t="s">
        <v>36</v>
      </c>
      <c r="J1538" s="1">
        <v>45085</v>
      </c>
      <c r="K1538" t="b">
        <v>0</v>
      </c>
    </row>
    <row r="1539" spans="1:11" x14ac:dyDescent="0.25">
      <c r="A1539" t="s">
        <v>6628</v>
      </c>
      <c r="B1539" t="s">
        <v>56</v>
      </c>
      <c r="C1539" t="s">
        <v>110</v>
      </c>
      <c r="D1539" t="s">
        <v>197</v>
      </c>
      <c r="E1539" s="2">
        <v>35</v>
      </c>
      <c r="F1539" s="4">
        <v>6</v>
      </c>
      <c r="G1539" s="2">
        <v>210</v>
      </c>
      <c r="H1539" t="s">
        <v>25</v>
      </c>
      <c r="I1539" t="s">
        <v>16</v>
      </c>
      <c r="J1539" s="1">
        <v>45275</v>
      </c>
      <c r="K1539" t="b">
        <v>0</v>
      </c>
    </row>
    <row r="1540" spans="1:11" x14ac:dyDescent="0.25">
      <c r="A1540" t="s">
        <v>4291</v>
      </c>
      <c r="B1540" t="s">
        <v>63</v>
      </c>
      <c r="C1540" t="s">
        <v>59</v>
      </c>
      <c r="D1540" t="s">
        <v>87</v>
      </c>
      <c r="E1540" s="2">
        <v>35</v>
      </c>
      <c r="F1540" s="4">
        <v>6</v>
      </c>
      <c r="G1540" s="2">
        <v>210</v>
      </c>
      <c r="H1540" t="s">
        <v>15</v>
      </c>
      <c r="I1540" t="s">
        <v>36</v>
      </c>
      <c r="J1540" s="1">
        <v>44719</v>
      </c>
      <c r="K1540" t="b">
        <v>1</v>
      </c>
    </row>
    <row r="1541" spans="1:11" x14ac:dyDescent="0.25">
      <c r="A1541" t="s">
        <v>2668</v>
      </c>
      <c r="B1541" t="s">
        <v>43</v>
      </c>
      <c r="C1541" t="s">
        <v>59</v>
      </c>
      <c r="D1541" t="s">
        <v>463</v>
      </c>
      <c r="E1541" s="2">
        <v>26</v>
      </c>
      <c r="F1541" s="4">
        <v>8</v>
      </c>
      <c r="G1541" s="2">
        <v>208</v>
      </c>
      <c r="H1541" t="s">
        <v>25</v>
      </c>
      <c r="I1541" t="s">
        <v>36</v>
      </c>
      <c r="J1541" s="1">
        <v>44835</v>
      </c>
      <c r="K1541" t="b">
        <v>0</v>
      </c>
    </row>
    <row r="1542" spans="1:11" x14ac:dyDescent="0.25">
      <c r="A1542" t="s">
        <v>7014</v>
      </c>
      <c r="B1542" t="s">
        <v>93</v>
      </c>
      <c r="C1542" t="s">
        <v>13</v>
      </c>
      <c r="D1542" t="s">
        <v>343</v>
      </c>
      <c r="E1542" s="2">
        <v>26</v>
      </c>
      <c r="F1542" s="4">
        <v>8</v>
      </c>
      <c r="G1542" s="2">
        <v>208</v>
      </c>
      <c r="H1542" t="s">
        <v>25</v>
      </c>
      <c r="I1542" t="s">
        <v>16</v>
      </c>
      <c r="J1542" s="1">
        <v>44573</v>
      </c>
      <c r="K1542" t="b">
        <v>0</v>
      </c>
    </row>
    <row r="1543" spans="1:11" x14ac:dyDescent="0.25">
      <c r="A1543" t="s">
        <v>3281</v>
      </c>
      <c r="B1543" t="s">
        <v>77</v>
      </c>
      <c r="C1543" t="s">
        <v>38</v>
      </c>
      <c r="D1543" t="s">
        <v>341</v>
      </c>
      <c r="E1543" s="2">
        <v>26</v>
      </c>
      <c r="F1543" s="4">
        <v>8</v>
      </c>
      <c r="G1543" s="2">
        <v>208</v>
      </c>
      <c r="H1543" t="s">
        <v>45</v>
      </c>
      <c r="I1543" t="s">
        <v>16</v>
      </c>
      <c r="J1543" s="1">
        <v>44973</v>
      </c>
      <c r="K1543" t="b">
        <v>0</v>
      </c>
    </row>
    <row r="1544" spans="1:11" x14ac:dyDescent="0.25">
      <c r="A1544" t="s">
        <v>1711</v>
      </c>
      <c r="B1544" t="s">
        <v>100</v>
      </c>
      <c r="C1544" t="s">
        <v>38</v>
      </c>
      <c r="D1544" t="s">
        <v>341</v>
      </c>
      <c r="E1544" s="2">
        <v>26</v>
      </c>
      <c r="F1544" s="4">
        <v>8</v>
      </c>
      <c r="G1544" s="2">
        <v>208</v>
      </c>
      <c r="H1544" t="s">
        <v>15</v>
      </c>
      <c r="I1544" t="s">
        <v>16</v>
      </c>
      <c r="J1544" s="1">
        <v>44972</v>
      </c>
      <c r="K1544" t="b">
        <v>0</v>
      </c>
    </row>
    <row r="1545" spans="1:11" x14ac:dyDescent="0.25">
      <c r="A1545" t="s">
        <v>2416</v>
      </c>
      <c r="B1545" t="s">
        <v>18</v>
      </c>
      <c r="C1545" t="s">
        <v>38</v>
      </c>
      <c r="D1545" t="s">
        <v>341</v>
      </c>
      <c r="E1545" s="2">
        <v>26</v>
      </c>
      <c r="F1545" s="4">
        <v>8</v>
      </c>
      <c r="G1545" s="2">
        <v>208</v>
      </c>
      <c r="H1545" t="s">
        <v>15</v>
      </c>
      <c r="I1545" t="s">
        <v>16</v>
      </c>
      <c r="J1545" s="1">
        <v>45614</v>
      </c>
      <c r="K1545" t="b">
        <v>0</v>
      </c>
    </row>
    <row r="1546" spans="1:11" x14ac:dyDescent="0.25">
      <c r="A1546" t="s">
        <v>6298</v>
      </c>
      <c r="B1546" t="s">
        <v>40</v>
      </c>
      <c r="C1546" t="s">
        <v>38</v>
      </c>
      <c r="D1546" t="s">
        <v>341</v>
      </c>
      <c r="E1546" s="2">
        <v>26</v>
      </c>
      <c r="F1546" s="4">
        <v>8</v>
      </c>
      <c r="G1546" s="2">
        <v>208</v>
      </c>
      <c r="H1546" t="s">
        <v>15</v>
      </c>
      <c r="I1546" t="s">
        <v>16</v>
      </c>
      <c r="J1546" s="1">
        <v>45421</v>
      </c>
      <c r="K1546" t="b">
        <v>0</v>
      </c>
    </row>
    <row r="1547" spans="1:11" x14ac:dyDescent="0.25">
      <c r="A1547" t="s">
        <v>6032</v>
      </c>
      <c r="B1547" t="s">
        <v>37</v>
      </c>
      <c r="C1547" t="s">
        <v>110</v>
      </c>
      <c r="D1547" t="s">
        <v>126</v>
      </c>
      <c r="E1547" s="2">
        <v>26</v>
      </c>
      <c r="F1547" s="4">
        <v>8</v>
      </c>
      <c r="G1547" s="2">
        <v>208</v>
      </c>
      <c r="H1547" t="s">
        <v>15</v>
      </c>
      <c r="I1547" t="s">
        <v>36</v>
      </c>
      <c r="J1547" s="1">
        <v>45642</v>
      </c>
      <c r="K1547" t="b">
        <v>0</v>
      </c>
    </row>
    <row r="1548" spans="1:11" x14ac:dyDescent="0.25">
      <c r="A1548" t="s">
        <v>5878</v>
      </c>
      <c r="B1548" t="s">
        <v>93</v>
      </c>
      <c r="C1548" t="s">
        <v>23</v>
      </c>
      <c r="D1548" t="s">
        <v>853</v>
      </c>
      <c r="E1548" s="2">
        <v>26</v>
      </c>
      <c r="F1548" s="4">
        <v>8</v>
      </c>
      <c r="G1548" s="2">
        <v>208</v>
      </c>
      <c r="H1548" t="s">
        <v>45</v>
      </c>
      <c r="I1548" t="s">
        <v>16</v>
      </c>
      <c r="J1548" s="1">
        <v>44572</v>
      </c>
      <c r="K1548" t="b">
        <v>1</v>
      </c>
    </row>
    <row r="1549" spans="1:11" x14ac:dyDescent="0.25">
      <c r="A1549" t="s">
        <v>3564</v>
      </c>
      <c r="B1549" t="s">
        <v>142</v>
      </c>
      <c r="C1549" t="s">
        <v>38</v>
      </c>
      <c r="D1549" t="s">
        <v>341</v>
      </c>
      <c r="E1549" s="2">
        <v>26</v>
      </c>
      <c r="F1549" s="4">
        <v>8</v>
      </c>
      <c r="G1549" s="2">
        <v>208</v>
      </c>
      <c r="H1549" t="s">
        <v>45</v>
      </c>
      <c r="I1549" t="s">
        <v>16</v>
      </c>
      <c r="J1549" s="1">
        <v>45014</v>
      </c>
      <c r="K1549" t="b">
        <v>0</v>
      </c>
    </row>
    <row r="1550" spans="1:11" x14ac:dyDescent="0.25">
      <c r="A1550" t="s">
        <v>7253</v>
      </c>
      <c r="B1550" t="s">
        <v>93</v>
      </c>
      <c r="C1550" t="s">
        <v>59</v>
      </c>
      <c r="D1550" t="s">
        <v>463</v>
      </c>
      <c r="E1550" s="2">
        <v>26</v>
      </c>
      <c r="F1550" s="4">
        <v>8</v>
      </c>
      <c r="G1550" s="2">
        <v>208</v>
      </c>
      <c r="H1550" t="s">
        <v>15</v>
      </c>
      <c r="I1550" t="s">
        <v>16</v>
      </c>
      <c r="J1550" s="1">
        <v>44816</v>
      </c>
      <c r="K1550" t="b">
        <v>1</v>
      </c>
    </row>
    <row r="1551" spans="1:11" x14ac:dyDescent="0.25">
      <c r="A1551" t="s">
        <v>1206</v>
      </c>
      <c r="B1551" t="s">
        <v>37</v>
      </c>
      <c r="C1551" t="s">
        <v>110</v>
      </c>
      <c r="D1551" t="s">
        <v>126</v>
      </c>
      <c r="E1551" s="2">
        <v>26</v>
      </c>
      <c r="F1551" s="4">
        <v>8</v>
      </c>
      <c r="G1551" s="2">
        <v>208</v>
      </c>
      <c r="H1551" t="s">
        <v>15</v>
      </c>
      <c r="I1551" t="s">
        <v>16</v>
      </c>
      <c r="J1551" s="1">
        <v>45600</v>
      </c>
      <c r="K1551" t="b">
        <v>0</v>
      </c>
    </row>
    <row r="1552" spans="1:11" x14ac:dyDescent="0.25">
      <c r="A1552" t="s">
        <v>1399</v>
      </c>
      <c r="B1552" t="s">
        <v>63</v>
      </c>
      <c r="C1552" t="s">
        <v>110</v>
      </c>
      <c r="D1552" t="s">
        <v>126</v>
      </c>
      <c r="E1552" s="2">
        <v>26</v>
      </c>
      <c r="F1552" s="4">
        <v>8</v>
      </c>
      <c r="G1552" s="2">
        <v>208</v>
      </c>
      <c r="H1552" t="s">
        <v>45</v>
      </c>
      <c r="I1552" t="s">
        <v>16</v>
      </c>
      <c r="J1552" s="1">
        <v>45093</v>
      </c>
      <c r="K1552" t="b">
        <v>0</v>
      </c>
    </row>
    <row r="1553" spans="1:11" x14ac:dyDescent="0.25">
      <c r="A1553" t="s">
        <v>2685</v>
      </c>
      <c r="B1553" t="s">
        <v>77</v>
      </c>
      <c r="C1553" t="s">
        <v>23</v>
      </c>
      <c r="D1553" t="s">
        <v>853</v>
      </c>
      <c r="E1553" s="2">
        <v>26</v>
      </c>
      <c r="F1553" s="4">
        <v>8</v>
      </c>
      <c r="G1553" s="2">
        <v>208</v>
      </c>
      <c r="H1553" t="s">
        <v>45</v>
      </c>
      <c r="I1553" t="s">
        <v>36</v>
      </c>
      <c r="J1553" s="1">
        <v>44587</v>
      </c>
      <c r="K1553" t="b">
        <v>1</v>
      </c>
    </row>
    <row r="1554" spans="1:11" x14ac:dyDescent="0.25">
      <c r="A1554" t="s">
        <v>4933</v>
      </c>
      <c r="B1554" t="s">
        <v>37</v>
      </c>
      <c r="C1554" t="s">
        <v>59</v>
      </c>
      <c r="D1554" t="s">
        <v>463</v>
      </c>
      <c r="E1554" s="2">
        <v>26</v>
      </c>
      <c r="F1554" s="4">
        <v>8</v>
      </c>
      <c r="G1554" s="2">
        <v>208</v>
      </c>
      <c r="H1554" t="s">
        <v>45</v>
      </c>
      <c r="I1554" t="s">
        <v>16</v>
      </c>
      <c r="J1554" s="1">
        <v>45193</v>
      </c>
      <c r="K1554" t="b">
        <v>1</v>
      </c>
    </row>
    <row r="1555" spans="1:11" x14ac:dyDescent="0.25">
      <c r="A1555" t="s">
        <v>4402</v>
      </c>
      <c r="B1555" t="s">
        <v>51</v>
      </c>
      <c r="C1555" t="s">
        <v>59</v>
      </c>
      <c r="D1555" t="s">
        <v>463</v>
      </c>
      <c r="E1555" s="2">
        <v>26</v>
      </c>
      <c r="F1555" s="4">
        <v>8</v>
      </c>
      <c r="G1555" s="2">
        <v>208</v>
      </c>
      <c r="H1555" t="s">
        <v>15</v>
      </c>
      <c r="I1555" t="s">
        <v>16</v>
      </c>
      <c r="J1555" s="1">
        <v>44856</v>
      </c>
      <c r="K1555" t="b">
        <v>1</v>
      </c>
    </row>
    <row r="1556" spans="1:11" x14ac:dyDescent="0.25">
      <c r="A1556" t="s">
        <v>1369</v>
      </c>
      <c r="B1556" t="s">
        <v>26</v>
      </c>
      <c r="C1556" t="s">
        <v>19</v>
      </c>
      <c r="D1556" t="s">
        <v>268</v>
      </c>
      <c r="E1556" s="2">
        <v>26</v>
      </c>
      <c r="F1556" s="4">
        <v>8</v>
      </c>
      <c r="G1556" s="2">
        <v>208</v>
      </c>
      <c r="H1556" t="s">
        <v>45</v>
      </c>
      <c r="I1556" t="s">
        <v>16</v>
      </c>
      <c r="J1556" s="1">
        <v>45386</v>
      </c>
      <c r="K1556" t="b">
        <v>0</v>
      </c>
    </row>
    <row r="1557" spans="1:11" x14ac:dyDescent="0.25">
      <c r="A1557" t="s">
        <v>7171</v>
      </c>
      <c r="B1557" t="s">
        <v>22</v>
      </c>
      <c r="C1557" t="s">
        <v>31</v>
      </c>
      <c r="D1557" t="s">
        <v>579</v>
      </c>
      <c r="E1557" s="2">
        <v>26</v>
      </c>
      <c r="F1557" s="4">
        <v>8</v>
      </c>
      <c r="G1557" s="2">
        <v>208</v>
      </c>
      <c r="H1557" t="s">
        <v>25</v>
      </c>
      <c r="I1557" t="s">
        <v>36</v>
      </c>
      <c r="J1557" s="1">
        <v>44958</v>
      </c>
      <c r="K1557" t="b">
        <v>0</v>
      </c>
    </row>
    <row r="1558" spans="1:11" x14ac:dyDescent="0.25">
      <c r="A1558" t="s">
        <v>5414</v>
      </c>
      <c r="B1558" t="s">
        <v>142</v>
      </c>
      <c r="C1558" t="s">
        <v>19</v>
      </c>
      <c r="D1558" t="s">
        <v>268</v>
      </c>
      <c r="E1558" s="2">
        <v>26</v>
      </c>
      <c r="F1558" s="4">
        <v>8</v>
      </c>
      <c r="G1558" s="2">
        <v>208</v>
      </c>
      <c r="H1558" t="s">
        <v>25</v>
      </c>
      <c r="I1558" t="s">
        <v>36</v>
      </c>
      <c r="J1558" s="1">
        <v>45226</v>
      </c>
      <c r="K1558" t="b">
        <v>0</v>
      </c>
    </row>
    <row r="1559" spans="1:11" x14ac:dyDescent="0.25">
      <c r="A1559" t="s">
        <v>6631</v>
      </c>
      <c r="B1559" t="s">
        <v>34</v>
      </c>
      <c r="C1559" t="s">
        <v>23</v>
      </c>
      <c r="D1559" t="s">
        <v>853</v>
      </c>
      <c r="E1559" s="2">
        <v>26</v>
      </c>
      <c r="F1559" s="4">
        <v>8</v>
      </c>
      <c r="G1559" s="2">
        <v>208</v>
      </c>
      <c r="H1559" t="s">
        <v>45</v>
      </c>
      <c r="I1559" t="s">
        <v>16</v>
      </c>
      <c r="J1559" s="1">
        <v>44690</v>
      </c>
      <c r="K1559" t="b">
        <v>1</v>
      </c>
    </row>
    <row r="1560" spans="1:11" x14ac:dyDescent="0.25">
      <c r="A1560" t="s">
        <v>1085</v>
      </c>
      <c r="B1560" t="s">
        <v>18</v>
      </c>
      <c r="C1560" t="s">
        <v>59</v>
      </c>
      <c r="D1560" t="s">
        <v>463</v>
      </c>
      <c r="E1560" s="2">
        <v>26</v>
      </c>
      <c r="F1560" s="4">
        <v>8</v>
      </c>
      <c r="G1560" s="2">
        <v>208</v>
      </c>
      <c r="H1560" t="s">
        <v>15</v>
      </c>
      <c r="I1560" t="s">
        <v>16</v>
      </c>
      <c r="J1560" s="1">
        <v>44648</v>
      </c>
      <c r="K1560" t="b">
        <v>0</v>
      </c>
    </row>
    <row r="1561" spans="1:11" x14ac:dyDescent="0.25">
      <c r="A1561" t="s">
        <v>702</v>
      </c>
      <c r="B1561" t="s">
        <v>12</v>
      </c>
      <c r="C1561" t="s">
        <v>38</v>
      </c>
      <c r="D1561" t="s">
        <v>341</v>
      </c>
      <c r="E1561" s="2">
        <v>26</v>
      </c>
      <c r="F1561" s="4">
        <v>8</v>
      </c>
      <c r="G1561" s="2">
        <v>208</v>
      </c>
      <c r="H1561" t="s">
        <v>45</v>
      </c>
      <c r="I1561" t="s">
        <v>36</v>
      </c>
      <c r="J1561" s="1">
        <v>45275</v>
      </c>
      <c r="K1561" t="b">
        <v>1</v>
      </c>
    </row>
    <row r="1562" spans="1:11" x14ac:dyDescent="0.25">
      <c r="A1562" t="s">
        <v>5192</v>
      </c>
      <c r="B1562" t="s">
        <v>43</v>
      </c>
      <c r="C1562" t="s">
        <v>27</v>
      </c>
      <c r="D1562" t="s">
        <v>620</v>
      </c>
      <c r="E1562" s="2">
        <v>26</v>
      </c>
      <c r="F1562" s="4">
        <v>8</v>
      </c>
      <c r="G1562" s="2">
        <v>208</v>
      </c>
      <c r="H1562" t="s">
        <v>15</v>
      </c>
      <c r="I1562" t="s">
        <v>16</v>
      </c>
      <c r="J1562" s="1">
        <v>45105</v>
      </c>
      <c r="K1562" t="b">
        <v>1</v>
      </c>
    </row>
    <row r="1563" spans="1:11" x14ac:dyDescent="0.25">
      <c r="A1563" t="s">
        <v>6416</v>
      </c>
      <c r="B1563" t="s">
        <v>86</v>
      </c>
      <c r="C1563" t="s">
        <v>13</v>
      </c>
      <c r="D1563" t="s">
        <v>343</v>
      </c>
      <c r="E1563" s="2">
        <v>26</v>
      </c>
      <c r="F1563" s="4">
        <v>8</v>
      </c>
      <c r="G1563" s="2">
        <v>208</v>
      </c>
      <c r="H1563" t="s">
        <v>25</v>
      </c>
      <c r="I1563" t="s">
        <v>16</v>
      </c>
      <c r="J1563" s="1">
        <v>44935</v>
      </c>
      <c r="K1563" t="b">
        <v>1</v>
      </c>
    </row>
    <row r="1564" spans="1:11" x14ac:dyDescent="0.25">
      <c r="A1564" t="s">
        <v>7145</v>
      </c>
      <c r="B1564" t="s">
        <v>43</v>
      </c>
      <c r="C1564" t="s">
        <v>13</v>
      </c>
      <c r="D1564" t="s">
        <v>343</v>
      </c>
      <c r="E1564" s="2">
        <v>26</v>
      </c>
      <c r="F1564" s="4">
        <v>8</v>
      </c>
      <c r="G1564" s="2">
        <v>208</v>
      </c>
      <c r="H1564" t="s">
        <v>25</v>
      </c>
      <c r="I1564" t="s">
        <v>16</v>
      </c>
      <c r="J1564" s="1">
        <v>44677</v>
      </c>
      <c r="K1564" t="b">
        <v>0</v>
      </c>
    </row>
    <row r="1565" spans="1:11" x14ac:dyDescent="0.25">
      <c r="A1565" t="s">
        <v>3331</v>
      </c>
      <c r="B1565" t="s">
        <v>37</v>
      </c>
      <c r="C1565" t="s">
        <v>27</v>
      </c>
      <c r="D1565" t="s">
        <v>620</v>
      </c>
      <c r="E1565" s="2">
        <v>26</v>
      </c>
      <c r="F1565" s="4">
        <v>8</v>
      </c>
      <c r="G1565" s="2">
        <v>208</v>
      </c>
      <c r="H1565" t="s">
        <v>15</v>
      </c>
      <c r="I1565" t="s">
        <v>36</v>
      </c>
      <c r="J1565" s="1">
        <v>45435</v>
      </c>
      <c r="K1565" t="b">
        <v>1</v>
      </c>
    </row>
    <row r="1566" spans="1:11" x14ac:dyDescent="0.25">
      <c r="A1566" t="s">
        <v>2777</v>
      </c>
      <c r="B1566" t="s">
        <v>142</v>
      </c>
      <c r="C1566" t="s">
        <v>110</v>
      </c>
      <c r="D1566" t="s">
        <v>126</v>
      </c>
      <c r="E1566" s="2">
        <v>26</v>
      </c>
      <c r="F1566" s="4">
        <v>8</v>
      </c>
      <c r="G1566" s="2">
        <v>208</v>
      </c>
      <c r="H1566" t="s">
        <v>15</v>
      </c>
      <c r="I1566" t="s">
        <v>16</v>
      </c>
      <c r="J1566" s="1">
        <v>45485</v>
      </c>
      <c r="K1566" t="b">
        <v>1</v>
      </c>
    </row>
    <row r="1567" spans="1:11" x14ac:dyDescent="0.25">
      <c r="A1567" t="s">
        <v>6321</v>
      </c>
      <c r="B1567" t="s">
        <v>26</v>
      </c>
      <c r="C1567" t="s">
        <v>110</v>
      </c>
      <c r="D1567" t="s">
        <v>126</v>
      </c>
      <c r="E1567" s="2">
        <v>26</v>
      </c>
      <c r="F1567" s="4">
        <v>8</v>
      </c>
      <c r="G1567" s="2">
        <v>208</v>
      </c>
      <c r="H1567" t="s">
        <v>45</v>
      </c>
      <c r="I1567" t="s">
        <v>36</v>
      </c>
      <c r="J1567" s="1">
        <v>44707</v>
      </c>
      <c r="K1567" t="b">
        <v>0</v>
      </c>
    </row>
    <row r="1568" spans="1:11" x14ac:dyDescent="0.25">
      <c r="A1568" t="s">
        <v>1272</v>
      </c>
      <c r="B1568" t="s">
        <v>43</v>
      </c>
      <c r="C1568" t="s">
        <v>38</v>
      </c>
      <c r="D1568" t="s">
        <v>341</v>
      </c>
      <c r="E1568" s="2">
        <v>26</v>
      </c>
      <c r="F1568" s="4">
        <v>8</v>
      </c>
      <c r="G1568" s="2">
        <v>208</v>
      </c>
      <c r="H1568" t="s">
        <v>45</v>
      </c>
      <c r="I1568" t="s">
        <v>36</v>
      </c>
      <c r="J1568" s="1">
        <v>45519</v>
      </c>
      <c r="K1568" t="b">
        <v>1</v>
      </c>
    </row>
    <row r="1569" spans="1:11" x14ac:dyDescent="0.25">
      <c r="A1569" t="s">
        <v>6914</v>
      </c>
      <c r="B1569" t="s">
        <v>40</v>
      </c>
      <c r="C1569" t="s">
        <v>110</v>
      </c>
      <c r="D1569" t="s">
        <v>126</v>
      </c>
      <c r="E1569" s="2">
        <v>26</v>
      </c>
      <c r="F1569" s="4">
        <v>8</v>
      </c>
      <c r="G1569" s="2">
        <v>208</v>
      </c>
      <c r="H1569" t="s">
        <v>15</v>
      </c>
      <c r="I1569" t="s">
        <v>16</v>
      </c>
      <c r="J1569" s="1">
        <v>45491</v>
      </c>
      <c r="K1569" t="b">
        <v>0</v>
      </c>
    </row>
    <row r="1570" spans="1:11" x14ac:dyDescent="0.25">
      <c r="A1570" t="s">
        <v>4382</v>
      </c>
      <c r="B1570" t="s">
        <v>30</v>
      </c>
      <c r="C1570" t="s">
        <v>59</v>
      </c>
      <c r="D1570" t="s">
        <v>60</v>
      </c>
      <c r="E1570" s="2">
        <v>23</v>
      </c>
      <c r="F1570" s="4">
        <v>9</v>
      </c>
      <c r="G1570" s="2">
        <v>207</v>
      </c>
      <c r="H1570" t="s">
        <v>25</v>
      </c>
      <c r="I1570" t="s">
        <v>16</v>
      </c>
      <c r="J1570" s="1">
        <v>45516</v>
      </c>
      <c r="K1570" t="b">
        <v>0</v>
      </c>
    </row>
    <row r="1571" spans="1:11" x14ac:dyDescent="0.25">
      <c r="A1571" t="s">
        <v>6955</v>
      </c>
      <c r="B1571" t="s">
        <v>43</v>
      </c>
      <c r="C1571" t="s">
        <v>19</v>
      </c>
      <c r="D1571" t="s">
        <v>400</v>
      </c>
      <c r="E1571" s="2">
        <v>23</v>
      </c>
      <c r="F1571" s="4">
        <v>9</v>
      </c>
      <c r="G1571" s="2">
        <v>207</v>
      </c>
      <c r="H1571" t="s">
        <v>45</v>
      </c>
      <c r="I1571" t="s">
        <v>16</v>
      </c>
      <c r="J1571" s="1">
        <v>45434</v>
      </c>
      <c r="K1571" t="b">
        <v>1</v>
      </c>
    </row>
    <row r="1572" spans="1:11" x14ac:dyDescent="0.25">
      <c r="A1572" t="s">
        <v>2010</v>
      </c>
      <c r="B1572" t="s">
        <v>86</v>
      </c>
      <c r="C1572" t="s">
        <v>59</v>
      </c>
      <c r="D1572" t="s">
        <v>60</v>
      </c>
      <c r="E1572" s="2">
        <v>23</v>
      </c>
      <c r="F1572" s="4">
        <v>9</v>
      </c>
      <c r="G1572" s="2">
        <v>207</v>
      </c>
      <c r="H1572" t="s">
        <v>25</v>
      </c>
      <c r="I1572" t="s">
        <v>16</v>
      </c>
      <c r="J1572" s="1">
        <v>44976</v>
      </c>
      <c r="K1572" t="b">
        <v>1</v>
      </c>
    </row>
    <row r="1573" spans="1:11" x14ac:dyDescent="0.25">
      <c r="A1573" t="s">
        <v>7005</v>
      </c>
      <c r="B1573" t="s">
        <v>63</v>
      </c>
      <c r="C1573" t="s">
        <v>59</v>
      </c>
      <c r="D1573" t="s">
        <v>60</v>
      </c>
      <c r="E1573" s="2">
        <v>23</v>
      </c>
      <c r="F1573" s="4">
        <v>9</v>
      </c>
      <c r="G1573" s="2">
        <v>207</v>
      </c>
      <c r="H1573" t="s">
        <v>15</v>
      </c>
      <c r="I1573" t="s">
        <v>16</v>
      </c>
      <c r="J1573" s="1">
        <v>44765</v>
      </c>
      <c r="K1573" t="b">
        <v>1</v>
      </c>
    </row>
    <row r="1574" spans="1:11" x14ac:dyDescent="0.25">
      <c r="A1574" t="s">
        <v>3271</v>
      </c>
      <c r="B1574" t="s">
        <v>97</v>
      </c>
      <c r="C1574" t="s">
        <v>19</v>
      </c>
      <c r="D1574" t="s">
        <v>400</v>
      </c>
      <c r="E1574" s="2">
        <v>23</v>
      </c>
      <c r="F1574" s="4">
        <v>9</v>
      </c>
      <c r="G1574" s="2">
        <v>207</v>
      </c>
      <c r="H1574" t="s">
        <v>15</v>
      </c>
      <c r="I1574" t="s">
        <v>16</v>
      </c>
      <c r="J1574" s="1">
        <v>45106</v>
      </c>
      <c r="K1574" t="b">
        <v>1</v>
      </c>
    </row>
    <row r="1575" spans="1:11" x14ac:dyDescent="0.25">
      <c r="A1575" t="s">
        <v>3773</v>
      </c>
      <c r="B1575" t="s">
        <v>63</v>
      </c>
      <c r="C1575" t="s">
        <v>31</v>
      </c>
      <c r="D1575" t="s">
        <v>361</v>
      </c>
      <c r="E1575" s="2">
        <v>23</v>
      </c>
      <c r="F1575" s="4">
        <v>9</v>
      </c>
      <c r="G1575" s="2">
        <v>207</v>
      </c>
      <c r="H1575" t="s">
        <v>15</v>
      </c>
      <c r="I1575" t="s">
        <v>16</v>
      </c>
      <c r="J1575" s="1">
        <v>45201</v>
      </c>
      <c r="K1575" t="b">
        <v>1</v>
      </c>
    </row>
    <row r="1576" spans="1:11" x14ac:dyDescent="0.25">
      <c r="A1576" t="s">
        <v>6334</v>
      </c>
      <c r="B1576" t="s">
        <v>34</v>
      </c>
      <c r="C1576" t="s">
        <v>23</v>
      </c>
      <c r="D1576" t="s">
        <v>244</v>
      </c>
      <c r="E1576" s="2">
        <v>23</v>
      </c>
      <c r="F1576" s="4">
        <v>9</v>
      </c>
      <c r="G1576" s="2">
        <v>207</v>
      </c>
      <c r="H1576" t="s">
        <v>25</v>
      </c>
      <c r="I1576" t="s">
        <v>36</v>
      </c>
      <c r="J1576" s="1">
        <v>44925</v>
      </c>
      <c r="K1576" t="b">
        <v>1</v>
      </c>
    </row>
    <row r="1577" spans="1:11" x14ac:dyDescent="0.25">
      <c r="A1577" t="s">
        <v>1934</v>
      </c>
      <c r="B1577" t="s">
        <v>18</v>
      </c>
      <c r="C1577" t="s">
        <v>19</v>
      </c>
      <c r="D1577" t="s">
        <v>400</v>
      </c>
      <c r="E1577" s="2">
        <v>23</v>
      </c>
      <c r="F1577" s="4">
        <v>9</v>
      </c>
      <c r="G1577" s="2">
        <v>207</v>
      </c>
      <c r="H1577" t="s">
        <v>15</v>
      </c>
      <c r="I1577" t="s">
        <v>36</v>
      </c>
      <c r="J1577" s="1">
        <v>45178</v>
      </c>
      <c r="K1577" t="b">
        <v>0</v>
      </c>
    </row>
    <row r="1578" spans="1:11" x14ac:dyDescent="0.25">
      <c r="A1578" t="s">
        <v>5478</v>
      </c>
      <c r="B1578" t="s">
        <v>40</v>
      </c>
      <c r="C1578" t="s">
        <v>110</v>
      </c>
      <c r="D1578" t="s">
        <v>232</v>
      </c>
      <c r="E1578" s="2">
        <v>23</v>
      </c>
      <c r="F1578" s="4">
        <v>9</v>
      </c>
      <c r="G1578" s="2">
        <v>207</v>
      </c>
      <c r="H1578" t="s">
        <v>45</v>
      </c>
      <c r="I1578" t="s">
        <v>36</v>
      </c>
      <c r="J1578" s="1">
        <v>45539</v>
      </c>
      <c r="K1578" t="b">
        <v>1</v>
      </c>
    </row>
    <row r="1579" spans="1:11" x14ac:dyDescent="0.25">
      <c r="A1579" t="s">
        <v>3847</v>
      </c>
      <c r="B1579" t="s">
        <v>97</v>
      </c>
      <c r="C1579" t="s">
        <v>13</v>
      </c>
      <c r="D1579" t="s">
        <v>292</v>
      </c>
      <c r="E1579" s="2">
        <v>23</v>
      </c>
      <c r="F1579" s="4">
        <v>9</v>
      </c>
      <c r="G1579" s="2">
        <v>207</v>
      </c>
      <c r="H1579" t="s">
        <v>45</v>
      </c>
      <c r="I1579" t="s">
        <v>16</v>
      </c>
      <c r="J1579" s="1">
        <v>45061</v>
      </c>
      <c r="K1579" t="b">
        <v>1</v>
      </c>
    </row>
    <row r="1580" spans="1:11" x14ac:dyDescent="0.25">
      <c r="A1580" t="s">
        <v>2320</v>
      </c>
      <c r="B1580" t="s">
        <v>104</v>
      </c>
      <c r="C1580" t="s">
        <v>23</v>
      </c>
      <c r="D1580" t="s">
        <v>244</v>
      </c>
      <c r="E1580" s="2">
        <v>23</v>
      </c>
      <c r="F1580" s="4">
        <v>9</v>
      </c>
      <c r="G1580" s="2">
        <v>207</v>
      </c>
      <c r="H1580" t="s">
        <v>45</v>
      </c>
      <c r="I1580" t="s">
        <v>16</v>
      </c>
      <c r="J1580" s="1">
        <v>44681</v>
      </c>
      <c r="K1580" t="b">
        <v>1</v>
      </c>
    </row>
    <row r="1581" spans="1:11" x14ac:dyDescent="0.25">
      <c r="A1581" t="s">
        <v>5316</v>
      </c>
      <c r="B1581" t="s">
        <v>85</v>
      </c>
      <c r="C1581" t="s">
        <v>31</v>
      </c>
      <c r="D1581" t="s">
        <v>361</v>
      </c>
      <c r="E1581" s="2">
        <v>23</v>
      </c>
      <c r="F1581" s="4">
        <v>9</v>
      </c>
      <c r="G1581" s="2">
        <v>207</v>
      </c>
      <c r="H1581" t="s">
        <v>25</v>
      </c>
      <c r="I1581" t="s">
        <v>16</v>
      </c>
      <c r="J1581" s="1">
        <v>44918</v>
      </c>
      <c r="K1581" t="b">
        <v>0</v>
      </c>
    </row>
    <row r="1582" spans="1:11" x14ac:dyDescent="0.25">
      <c r="A1582" t="s">
        <v>7544</v>
      </c>
      <c r="B1582" t="s">
        <v>40</v>
      </c>
      <c r="C1582" t="s">
        <v>13</v>
      </c>
      <c r="D1582" t="s">
        <v>292</v>
      </c>
      <c r="E1582" s="2">
        <v>23</v>
      </c>
      <c r="F1582" s="4">
        <v>9</v>
      </c>
      <c r="G1582" s="2">
        <v>207</v>
      </c>
      <c r="H1582" t="s">
        <v>15</v>
      </c>
      <c r="I1582" t="s">
        <v>16</v>
      </c>
      <c r="J1582" s="1">
        <v>45167</v>
      </c>
      <c r="K1582" t="b">
        <v>0</v>
      </c>
    </row>
    <row r="1583" spans="1:11" x14ac:dyDescent="0.25">
      <c r="A1583" t="s">
        <v>1051</v>
      </c>
      <c r="B1583" t="s">
        <v>86</v>
      </c>
      <c r="C1583" t="s">
        <v>13</v>
      </c>
      <c r="D1583" t="s">
        <v>292</v>
      </c>
      <c r="E1583" s="2">
        <v>23</v>
      </c>
      <c r="F1583" s="4">
        <v>9</v>
      </c>
      <c r="G1583" s="2">
        <v>207</v>
      </c>
      <c r="H1583" t="s">
        <v>45</v>
      </c>
      <c r="I1583" t="s">
        <v>16</v>
      </c>
      <c r="J1583" s="1">
        <v>45466</v>
      </c>
      <c r="K1583" t="b">
        <v>0</v>
      </c>
    </row>
    <row r="1584" spans="1:11" x14ac:dyDescent="0.25">
      <c r="A1584" t="s">
        <v>882</v>
      </c>
      <c r="B1584" t="s">
        <v>12</v>
      </c>
      <c r="C1584" t="s">
        <v>19</v>
      </c>
      <c r="D1584" t="s">
        <v>400</v>
      </c>
      <c r="E1584" s="2">
        <v>23</v>
      </c>
      <c r="F1584" s="4">
        <v>9</v>
      </c>
      <c r="G1584" s="2">
        <v>207</v>
      </c>
      <c r="H1584" t="s">
        <v>25</v>
      </c>
      <c r="I1584" t="s">
        <v>16</v>
      </c>
      <c r="J1584" s="1">
        <v>44615</v>
      </c>
      <c r="K1584" t="b">
        <v>1</v>
      </c>
    </row>
    <row r="1585" spans="1:11" x14ac:dyDescent="0.25">
      <c r="A1585" t="s">
        <v>6769</v>
      </c>
      <c r="B1585" t="s">
        <v>63</v>
      </c>
      <c r="C1585" t="s">
        <v>23</v>
      </c>
      <c r="D1585" t="s">
        <v>244</v>
      </c>
      <c r="E1585" s="2">
        <v>23</v>
      </c>
      <c r="F1585" s="4">
        <v>9</v>
      </c>
      <c r="G1585" s="2">
        <v>207</v>
      </c>
      <c r="H1585" t="s">
        <v>45</v>
      </c>
      <c r="I1585" t="s">
        <v>36</v>
      </c>
      <c r="J1585" s="1">
        <v>44782</v>
      </c>
      <c r="K1585" t="b">
        <v>1</v>
      </c>
    </row>
    <row r="1586" spans="1:11" x14ac:dyDescent="0.25">
      <c r="A1586" t="s">
        <v>5832</v>
      </c>
      <c r="B1586" t="s">
        <v>51</v>
      </c>
      <c r="C1586" t="s">
        <v>31</v>
      </c>
      <c r="D1586" t="s">
        <v>361</v>
      </c>
      <c r="E1586" s="2">
        <v>23</v>
      </c>
      <c r="F1586" s="4">
        <v>9</v>
      </c>
      <c r="G1586" s="2">
        <v>207</v>
      </c>
      <c r="H1586" t="s">
        <v>25</v>
      </c>
      <c r="I1586" t="s">
        <v>36</v>
      </c>
      <c r="J1586" s="1">
        <v>44947</v>
      </c>
      <c r="K1586" t="b">
        <v>1</v>
      </c>
    </row>
    <row r="1587" spans="1:11" x14ac:dyDescent="0.25">
      <c r="A1587" t="s">
        <v>382</v>
      </c>
      <c r="B1587" t="s">
        <v>142</v>
      </c>
      <c r="C1587" t="s">
        <v>59</v>
      </c>
      <c r="D1587" t="s">
        <v>60</v>
      </c>
      <c r="E1587" s="2">
        <v>23</v>
      </c>
      <c r="F1587" s="4">
        <v>9</v>
      </c>
      <c r="G1587" s="2">
        <v>207</v>
      </c>
      <c r="H1587" t="s">
        <v>15</v>
      </c>
      <c r="I1587" t="s">
        <v>16</v>
      </c>
      <c r="J1587" s="1">
        <v>45651</v>
      </c>
      <c r="K1587" t="b">
        <v>0</v>
      </c>
    </row>
    <row r="1588" spans="1:11" x14ac:dyDescent="0.25">
      <c r="A1588" t="s">
        <v>4477</v>
      </c>
      <c r="B1588" t="s">
        <v>30</v>
      </c>
      <c r="C1588" t="s">
        <v>31</v>
      </c>
      <c r="D1588" t="s">
        <v>361</v>
      </c>
      <c r="E1588" s="2">
        <v>23</v>
      </c>
      <c r="F1588" s="4">
        <v>9</v>
      </c>
      <c r="G1588" s="2">
        <v>207</v>
      </c>
      <c r="H1588" t="s">
        <v>45</v>
      </c>
      <c r="I1588" t="s">
        <v>16</v>
      </c>
      <c r="J1588" s="1">
        <v>44959</v>
      </c>
      <c r="K1588" t="b">
        <v>1</v>
      </c>
    </row>
    <row r="1589" spans="1:11" x14ac:dyDescent="0.25">
      <c r="A1589" t="s">
        <v>808</v>
      </c>
      <c r="B1589" t="s">
        <v>30</v>
      </c>
      <c r="C1589" t="s">
        <v>59</v>
      </c>
      <c r="D1589" t="s">
        <v>60</v>
      </c>
      <c r="E1589" s="2">
        <v>23</v>
      </c>
      <c r="F1589" s="4">
        <v>9</v>
      </c>
      <c r="G1589" s="2">
        <v>207</v>
      </c>
      <c r="H1589" t="s">
        <v>45</v>
      </c>
      <c r="I1589" t="s">
        <v>16</v>
      </c>
      <c r="J1589" s="1">
        <v>44621</v>
      </c>
      <c r="K1589" t="b">
        <v>1</v>
      </c>
    </row>
    <row r="1590" spans="1:11" x14ac:dyDescent="0.25">
      <c r="A1590" t="s">
        <v>4140</v>
      </c>
      <c r="B1590" t="s">
        <v>69</v>
      </c>
      <c r="C1590" t="s">
        <v>31</v>
      </c>
      <c r="D1590" t="s">
        <v>361</v>
      </c>
      <c r="E1590" s="2">
        <v>23</v>
      </c>
      <c r="F1590" s="4">
        <v>9</v>
      </c>
      <c r="G1590" s="2">
        <v>207</v>
      </c>
      <c r="H1590" t="s">
        <v>25</v>
      </c>
      <c r="I1590" t="s">
        <v>16</v>
      </c>
      <c r="J1590" s="1">
        <v>45341</v>
      </c>
      <c r="K1590" t="b">
        <v>0</v>
      </c>
    </row>
    <row r="1591" spans="1:11" x14ac:dyDescent="0.25">
      <c r="A1591" t="s">
        <v>5437</v>
      </c>
      <c r="B1591" t="s">
        <v>37</v>
      </c>
      <c r="C1591" t="s">
        <v>59</v>
      </c>
      <c r="D1591" t="s">
        <v>60</v>
      </c>
      <c r="E1591" s="2">
        <v>23</v>
      </c>
      <c r="F1591" s="4">
        <v>9</v>
      </c>
      <c r="G1591" s="2">
        <v>207</v>
      </c>
      <c r="H1591" t="s">
        <v>15</v>
      </c>
      <c r="I1591" t="s">
        <v>36</v>
      </c>
      <c r="J1591" s="1">
        <v>45192</v>
      </c>
      <c r="K1591" t="b">
        <v>1</v>
      </c>
    </row>
    <row r="1592" spans="1:11" x14ac:dyDescent="0.25">
      <c r="A1592" t="s">
        <v>7343</v>
      </c>
      <c r="B1592" t="s">
        <v>12</v>
      </c>
      <c r="C1592" t="s">
        <v>19</v>
      </c>
      <c r="D1592" t="s">
        <v>400</v>
      </c>
      <c r="E1592" s="2">
        <v>23</v>
      </c>
      <c r="F1592" s="4">
        <v>9</v>
      </c>
      <c r="G1592" s="2">
        <v>207</v>
      </c>
      <c r="H1592" t="s">
        <v>45</v>
      </c>
      <c r="I1592" t="s">
        <v>36</v>
      </c>
      <c r="J1592" s="1">
        <v>45529</v>
      </c>
      <c r="K1592" t="b">
        <v>1</v>
      </c>
    </row>
    <row r="1593" spans="1:11" x14ac:dyDescent="0.25">
      <c r="A1593" t="s">
        <v>1345</v>
      </c>
      <c r="B1593" t="s">
        <v>22</v>
      </c>
      <c r="C1593" t="s">
        <v>59</v>
      </c>
      <c r="D1593" t="s">
        <v>60</v>
      </c>
      <c r="E1593" s="2">
        <v>23</v>
      </c>
      <c r="F1593" s="4">
        <v>9</v>
      </c>
      <c r="G1593" s="2">
        <v>207</v>
      </c>
      <c r="H1593" t="s">
        <v>25</v>
      </c>
      <c r="I1593" t="s">
        <v>16</v>
      </c>
      <c r="J1593" s="1">
        <v>45199</v>
      </c>
      <c r="K1593" t="b">
        <v>0</v>
      </c>
    </row>
    <row r="1594" spans="1:11" x14ac:dyDescent="0.25">
      <c r="A1594" t="s">
        <v>3068</v>
      </c>
      <c r="B1594" t="s">
        <v>58</v>
      </c>
      <c r="C1594" t="s">
        <v>23</v>
      </c>
      <c r="D1594" t="s">
        <v>244</v>
      </c>
      <c r="E1594" s="2">
        <v>23</v>
      </c>
      <c r="F1594" s="4">
        <v>9</v>
      </c>
      <c r="G1594" s="2">
        <v>207</v>
      </c>
      <c r="H1594" t="s">
        <v>45</v>
      </c>
      <c r="I1594" t="s">
        <v>16</v>
      </c>
      <c r="J1594" s="1">
        <v>45269</v>
      </c>
      <c r="K1594" t="b">
        <v>0</v>
      </c>
    </row>
    <row r="1595" spans="1:11" x14ac:dyDescent="0.25">
      <c r="A1595" t="s">
        <v>7028</v>
      </c>
      <c r="B1595" t="s">
        <v>37</v>
      </c>
      <c r="C1595" t="s">
        <v>59</v>
      </c>
      <c r="D1595" t="s">
        <v>60</v>
      </c>
      <c r="E1595" s="2">
        <v>23</v>
      </c>
      <c r="F1595" s="4">
        <v>9</v>
      </c>
      <c r="G1595" s="2">
        <v>207</v>
      </c>
      <c r="H1595" t="s">
        <v>15</v>
      </c>
      <c r="I1595" t="s">
        <v>16</v>
      </c>
      <c r="J1595" s="1">
        <v>45518</v>
      </c>
      <c r="K1595" t="b">
        <v>1</v>
      </c>
    </row>
    <row r="1596" spans="1:11" x14ac:dyDescent="0.25">
      <c r="A1596" t="s">
        <v>621</v>
      </c>
      <c r="B1596" t="s">
        <v>63</v>
      </c>
      <c r="C1596" t="s">
        <v>19</v>
      </c>
      <c r="D1596" t="s">
        <v>400</v>
      </c>
      <c r="E1596" s="2">
        <v>23</v>
      </c>
      <c r="F1596" s="4">
        <v>9</v>
      </c>
      <c r="G1596" s="2">
        <v>207</v>
      </c>
      <c r="H1596" t="s">
        <v>15</v>
      </c>
      <c r="I1596" t="s">
        <v>36</v>
      </c>
      <c r="J1596" s="1">
        <v>45587</v>
      </c>
      <c r="K1596" t="b">
        <v>1</v>
      </c>
    </row>
    <row r="1597" spans="1:11" x14ac:dyDescent="0.25">
      <c r="A1597" t="s">
        <v>789</v>
      </c>
      <c r="B1597" t="s">
        <v>22</v>
      </c>
      <c r="C1597" t="s">
        <v>23</v>
      </c>
      <c r="D1597" t="s">
        <v>244</v>
      </c>
      <c r="E1597" s="2">
        <v>23</v>
      </c>
      <c r="F1597" s="4">
        <v>9</v>
      </c>
      <c r="G1597" s="2">
        <v>207</v>
      </c>
      <c r="H1597" t="s">
        <v>25</v>
      </c>
      <c r="I1597" t="s">
        <v>36</v>
      </c>
      <c r="J1597" s="1">
        <v>45161</v>
      </c>
      <c r="K1597" t="b">
        <v>0</v>
      </c>
    </row>
    <row r="1598" spans="1:11" x14ac:dyDescent="0.25">
      <c r="A1598" t="s">
        <v>6670</v>
      </c>
      <c r="B1598" t="s">
        <v>66</v>
      </c>
      <c r="C1598" t="s">
        <v>13</v>
      </c>
      <c r="D1598" t="s">
        <v>292</v>
      </c>
      <c r="E1598" s="2">
        <v>23</v>
      </c>
      <c r="F1598" s="4">
        <v>9</v>
      </c>
      <c r="G1598" s="2">
        <v>207</v>
      </c>
      <c r="H1598" t="s">
        <v>45</v>
      </c>
      <c r="I1598" t="s">
        <v>16</v>
      </c>
      <c r="J1598" s="1">
        <v>44827</v>
      </c>
      <c r="K1598" t="b">
        <v>1</v>
      </c>
    </row>
    <row r="1599" spans="1:11" x14ac:dyDescent="0.25">
      <c r="A1599" t="s">
        <v>2441</v>
      </c>
      <c r="B1599" t="s">
        <v>93</v>
      </c>
      <c r="C1599" t="s">
        <v>31</v>
      </c>
      <c r="D1599" t="s">
        <v>361</v>
      </c>
      <c r="E1599" s="2">
        <v>23</v>
      </c>
      <c r="F1599" s="4">
        <v>9</v>
      </c>
      <c r="G1599" s="2">
        <v>207</v>
      </c>
      <c r="H1599" t="s">
        <v>45</v>
      </c>
      <c r="I1599" t="s">
        <v>36</v>
      </c>
      <c r="J1599" s="1">
        <v>44875</v>
      </c>
      <c r="K1599" t="b">
        <v>1</v>
      </c>
    </row>
    <row r="1600" spans="1:11" x14ac:dyDescent="0.25">
      <c r="A1600" t="s">
        <v>4807</v>
      </c>
      <c r="B1600" t="s">
        <v>100</v>
      </c>
      <c r="C1600" t="s">
        <v>59</v>
      </c>
      <c r="D1600" t="s">
        <v>60</v>
      </c>
      <c r="E1600" s="2">
        <v>23</v>
      </c>
      <c r="F1600" s="4">
        <v>9</v>
      </c>
      <c r="G1600" s="2">
        <v>207</v>
      </c>
      <c r="H1600" t="s">
        <v>25</v>
      </c>
      <c r="I1600" t="s">
        <v>16</v>
      </c>
      <c r="J1600" s="1">
        <v>44921</v>
      </c>
      <c r="K1600" t="b">
        <v>0</v>
      </c>
    </row>
    <row r="1601" spans="1:11" x14ac:dyDescent="0.25">
      <c r="A1601" t="s">
        <v>6438</v>
      </c>
      <c r="B1601" t="s">
        <v>66</v>
      </c>
      <c r="C1601" t="s">
        <v>23</v>
      </c>
      <c r="D1601" t="s">
        <v>302</v>
      </c>
      <c r="E1601" s="2">
        <v>41</v>
      </c>
      <c r="F1601" s="4">
        <v>5</v>
      </c>
      <c r="G1601" s="2">
        <v>205</v>
      </c>
      <c r="H1601" t="s">
        <v>45</v>
      </c>
      <c r="I1601" t="s">
        <v>16</v>
      </c>
      <c r="J1601" s="1">
        <v>44749</v>
      </c>
      <c r="K1601" t="b">
        <v>0</v>
      </c>
    </row>
    <row r="1602" spans="1:11" x14ac:dyDescent="0.25">
      <c r="A1602" t="s">
        <v>919</v>
      </c>
      <c r="B1602" t="s">
        <v>61</v>
      </c>
      <c r="C1602" t="s">
        <v>31</v>
      </c>
      <c r="D1602" t="s">
        <v>286</v>
      </c>
      <c r="E1602" s="2">
        <v>41</v>
      </c>
      <c r="F1602" s="4">
        <v>5</v>
      </c>
      <c r="G1602" s="2">
        <v>205</v>
      </c>
      <c r="H1602" t="s">
        <v>25</v>
      </c>
      <c r="I1602" t="s">
        <v>36</v>
      </c>
      <c r="J1602" s="1">
        <v>45018</v>
      </c>
      <c r="K1602" t="b">
        <v>0</v>
      </c>
    </row>
    <row r="1603" spans="1:11" x14ac:dyDescent="0.25">
      <c r="A1603" t="s">
        <v>3468</v>
      </c>
      <c r="B1603" t="s">
        <v>104</v>
      </c>
      <c r="C1603" t="s">
        <v>59</v>
      </c>
      <c r="D1603" t="s">
        <v>325</v>
      </c>
      <c r="E1603" s="2">
        <v>41</v>
      </c>
      <c r="F1603" s="4">
        <v>5</v>
      </c>
      <c r="G1603" s="2">
        <v>205</v>
      </c>
      <c r="H1603" t="s">
        <v>15</v>
      </c>
      <c r="I1603" t="s">
        <v>36</v>
      </c>
      <c r="J1603" s="1">
        <v>45128</v>
      </c>
      <c r="K1603" t="b">
        <v>0</v>
      </c>
    </row>
    <row r="1604" spans="1:11" x14ac:dyDescent="0.25">
      <c r="A1604" t="s">
        <v>2896</v>
      </c>
      <c r="B1604" t="s">
        <v>58</v>
      </c>
      <c r="C1604" t="s">
        <v>27</v>
      </c>
      <c r="D1604" t="s">
        <v>89</v>
      </c>
      <c r="E1604" s="2">
        <v>41</v>
      </c>
      <c r="F1604" s="4">
        <v>5</v>
      </c>
      <c r="G1604" s="2">
        <v>205</v>
      </c>
      <c r="H1604" t="s">
        <v>25</v>
      </c>
      <c r="I1604" t="s">
        <v>16</v>
      </c>
      <c r="J1604" s="1">
        <v>45642</v>
      </c>
      <c r="K1604" t="b">
        <v>1</v>
      </c>
    </row>
    <row r="1605" spans="1:11" x14ac:dyDescent="0.25">
      <c r="A1605" t="s">
        <v>5290</v>
      </c>
      <c r="B1605" t="s">
        <v>142</v>
      </c>
      <c r="C1605" t="s">
        <v>31</v>
      </c>
      <c r="D1605" t="s">
        <v>286</v>
      </c>
      <c r="E1605" s="2">
        <v>41</v>
      </c>
      <c r="F1605" s="4">
        <v>5</v>
      </c>
      <c r="G1605" s="2">
        <v>205</v>
      </c>
      <c r="H1605" t="s">
        <v>15</v>
      </c>
      <c r="I1605" t="s">
        <v>36</v>
      </c>
      <c r="J1605" s="1">
        <v>45146</v>
      </c>
      <c r="K1605" t="b">
        <v>1</v>
      </c>
    </row>
    <row r="1606" spans="1:11" x14ac:dyDescent="0.25">
      <c r="A1606" t="s">
        <v>2330</v>
      </c>
      <c r="B1606" t="s">
        <v>86</v>
      </c>
      <c r="C1606" t="s">
        <v>59</v>
      </c>
      <c r="D1606" t="s">
        <v>325</v>
      </c>
      <c r="E1606" s="2">
        <v>41</v>
      </c>
      <c r="F1606" s="4">
        <v>5</v>
      </c>
      <c r="G1606" s="2">
        <v>205</v>
      </c>
      <c r="H1606" t="s">
        <v>15</v>
      </c>
      <c r="I1606" t="s">
        <v>16</v>
      </c>
      <c r="J1606" s="1">
        <v>44870</v>
      </c>
      <c r="K1606" t="b">
        <v>0</v>
      </c>
    </row>
    <row r="1607" spans="1:11" x14ac:dyDescent="0.25">
      <c r="A1607" t="s">
        <v>7552</v>
      </c>
      <c r="B1607" t="s">
        <v>100</v>
      </c>
      <c r="C1607" t="s">
        <v>23</v>
      </c>
      <c r="D1607" t="s">
        <v>302</v>
      </c>
      <c r="E1607" s="2">
        <v>41</v>
      </c>
      <c r="F1607" s="4">
        <v>5</v>
      </c>
      <c r="G1607" s="2">
        <v>205</v>
      </c>
      <c r="H1607" t="s">
        <v>15</v>
      </c>
      <c r="I1607" t="s">
        <v>16</v>
      </c>
      <c r="J1607" s="1">
        <v>45520</v>
      </c>
      <c r="K1607" t="b">
        <v>1</v>
      </c>
    </row>
    <row r="1608" spans="1:11" x14ac:dyDescent="0.25">
      <c r="A1608" t="s">
        <v>7309</v>
      </c>
      <c r="B1608" t="s">
        <v>77</v>
      </c>
      <c r="C1608" t="s">
        <v>13</v>
      </c>
      <c r="D1608" t="s">
        <v>161</v>
      </c>
      <c r="E1608" s="2">
        <v>41</v>
      </c>
      <c r="F1608" s="4">
        <v>5</v>
      </c>
      <c r="G1608" s="2">
        <v>205</v>
      </c>
      <c r="H1608" t="s">
        <v>25</v>
      </c>
      <c r="I1608" t="s">
        <v>36</v>
      </c>
      <c r="J1608" s="1">
        <v>44961</v>
      </c>
      <c r="K1608" t="b">
        <v>0</v>
      </c>
    </row>
    <row r="1609" spans="1:11" x14ac:dyDescent="0.25">
      <c r="A1609" t="s">
        <v>6151</v>
      </c>
      <c r="B1609" t="s">
        <v>56</v>
      </c>
      <c r="C1609" t="s">
        <v>31</v>
      </c>
      <c r="D1609" t="s">
        <v>286</v>
      </c>
      <c r="E1609" s="2">
        <v>41</v>
      </c>
      <c r="F1609" s="4">
        <v>5</v>
      </c>
      <c r="G1609" s="2">
        <v>205</v>
      </c>
      <c r="H1609" t="s">
        <v>15</v>
      </c>
      <c r="I1609" t="s">
        <v>16</v>
      </c>
      <c r="J1609" s="1">
        <v>44997</v>
      </c>
      <c r="K1609" t="b">
        <v>1</v>
      </c>
    </row>
    <row r="1610" spans="1:11" x14ac:dyDescent="0.25">
      <c r="A1610" t="s">
        <v>2531</v>
      </c>
      <c r="B1610" t="s">
        <v>97</v>
      </c>
      <c r="C1610" t="s">
        <v>23</v>
      </c>
      <c r="D1610" t="s">
        <v>302</v>
      </c>
      <c r="E1610" s="2">
        <v>41</v>
      </c>
      <c r="F1610" s="4">
        <v>5</v>
      </c>
      <c r="G1610" s="2">
        <v>205</v>
      </c>
      <c r="H1610" t="s">
        <v>25</v>
      </c>
      <c r="I1610" t="s">
        <v>16</v>
      </c>
      <c r="J1610" s="1">
        <v>45312</v>
      </c>
      <c r="K1610" t="b">
        <v>0</v>
      </c>
    </row>
    <row r="1611" spans="1:11" x14ac:dyDescent="0.25">
      <c r="A1611" t="s">
        <v>3983</v>
      </c>
      <c r="B1611" t="s">
        <v>104</v>
      </c>
      <c r="C1611" t="s">
        <v>27</v>
      </c>
      <c r="D1611" t="s">
        <v>89</v>
      </c>
      <c r="E1611" s="2">
        <v>41</v>
      </c>
      <c r="F1611" s="4">
        <v>5</v>
      </c>
      <c r="G1611" s="2">
        <v>205</v>
      </c>
      <c r="H1611" t="s">
        <v>45</v>
      </c>
      <c r="I1611" t="s">
        <v>36</v>
      </c>
      <c r="J1611" s="1">
        <v>45254</v>
      </c>
      <c r="K1611" t="b">
        <v>0</v>
      </c>
    </row>
    <row r="1612" spans="1:11" x14ac:dyDescent="0.25">
      <c r="A1612" t="s">
        <v>2288</v>
      </c>
      <c r="B1612" t="s">
        <v>142</v>
      </c>
      <c r="C1612" t="s">
        <v>27</v>
      </c>
      <c r="D1612" t="s">
        <v>89</v>
      </c>
      <c r="E1612" s="2">
        <v>41</v>
      </c>
      <c r="F1612" s="4">
        <v>5</v>
      </c>
      <c r="G1612" s="2">
        <v>205</v>
      </c>
      <c r="H1612" t="s">
        <v>25</v>
      </c>
      <c r="I1612" t="s">
        <v>16</v>
      </c>
      <c r="J1612" s="1">
        <v>45019</v>
      </c>
      <c r="K1612" t="b">
        <v>1</v>
      </c>
    </row>
    <row r="1613" spans="1:11" x14ac:dyDescent="0.25">
      <c r="A1613" t="s">
        <v>727</v>
      </c>
      <c r="B1613" t="s">
        <v>86</v>
      </c>
      <c r="C1613" t="s">
        <v>23</v>
      </c>
      <c r="D1613" t="s">
        <v>302</v>
      </c>
      <c r="E1613" s="2">
        <v>41</v>
      </c>
      <c r="F1613" s="4">
        <v>5</v>
      </c>
      <c r="G1613" s="2">
        <v>205</v>
      </c>
      <c r="H1613" t="s">
        <v>45</v>
      </c>
      <c r="I1613" t="s">
        <v>16</v>
      </c>
      <c r="J1613" s="1">
        <v>44978</v>
      </c>
      <c r="K1613" t="b">
        <v>1</v>
      </c>
    </row>
    <row r="1614" spans="1:11" x14ac:dyDescent="0.25">
      <c r="A1614" t="s">
        <v>834</v>
      </c>
      <c r="B1614" t="s">
        <v>104</v>
      </c>
      <c r="C1614" t="s">
        <v>23</v>
      </c>
      <c r="D1614" t="s">
        <v>302</v>
      </c>
      <c r="E1614" s="2">
        <v>41</v>
      </c>
      <c r="F1614" s="4">
        <v>5</v>
      </c>
      <c r="G1614" s="2">
        <v>205</v>
      </c>
      <c r="H1614" t="s">
        <v>45</v>
      </c>
      <c r="I1614" t="s">
        <v>16</v>
      </c>
      <c r="J1614" s="1">
        <v>44838</v>
      </c>
      <c r="K1614" t="b">
        <v>1</v>
      </c>
    </row>
    <row r="1615" spans="1:11" x14ac:dyDescent="0.25">
      <c r="A1615" t="s">
        <v>6716</v>
      </c>
      <c r="B1615" t="s">
        <v>12</v>
      </c>
      <c r="C1615" t="s">
        <v>23</v>
      </c>
      <c r="D1615" t="s">
        <v>302</v>
      </c>
      <c r="E1615" s="2">
        <v>41</v>
      </c>
      <c r="F1615" s="4">
        <v>5</v>
      </c>
      <c r="G1615" s="2">
        <v>205</v>
      </c>
      <c r="H1615" t="s">
        <v>45</v>
      </c>
      <c r="I1615" t="s">
        <v>36</v>
      </c>
      <c r="J1615" s="1">
        <v>44964</v>
      </c>
      <c r="K1615" t="b">
        <v>1</v>
      </c>
    </row>
    <row r="1616" spans="1:11" x14ac:dyDescent="0.25">
      <c r="A1616" t="s">
        <v>7782</v>
      </c>
      <c r="B1616" t="s">
        <v>69</v>
      </c>
      <c r="C1616" t="s">
        <v>23</v>
      </c>
      <c r="D1616" t="s">
        <v>302</v>
      </c>
      <c r="E1616" s="2">
        <v>41</v>
      </c>
      <c r="F1616" s="4">
        <v>5</v>
      </c>
      <c r="G1616" s="2">
        <v>205</v>
      </c>
      <c r="H1616" t="s">
        <v>25</v>
      </c>
      <c r="I1616" t="s">
        <v>36</v>
      </c>
      <c r="J1616" s="1">
        <v>45318</v>
      </c>
      <c r="K1616" t="b">
        <v>1</v>
      </c>
    </row>
    <row r="1617" spans="1:11" x14ac:dyDescent="0.25">
      <c r="A1617" t="s">
        <v>7143</v>
      </c>
      <c r="B1617" t="s">
        <v>86</v>
      </c>
      <c r="C1617" t="s">
        <v>23</v>
      </c>
      <c r="D1617" t="s">
        <v>302</v>
      </c>
      <c r="E1617" s="2">
        <v>41</v>
      </c>
      <c r="F1617" s="4">
        <v>5</v>
      </c>
      <c r="G1617" s="2">
        <v>205</v>
      </c>
      <c r="H1617" t="s">
        <v>25</v>
      </c>
      <c r="I1617" t="s">
        <v>16</v>
      </c>
      <c r="J1617" s="1">
        <v>45200</v>
      </c>
      <c r="K1617" t="b">
        <v>1</v>
      </c>
    </row>
    <row r="1618" spans="1:11" x14ac:dyDescent="0.25">
      <c r="A1618" t="s">
        <v>2267</v>
      </c>
      <c r="B1618" t="s">
        <v>97</v>
      </c>
      <c r="C1618" t="s">
        <v>31</v>
      </c>
      <c r="D1618" t="s">
        <v>286</v>
      </c>
      <c r="E1618" s="2">
        <v>41</v>
      </c>
      <c r="F1618" s="4">
        <v>5</v>
      </c>
      <c r="G1618" s="2">
        <v>205</v>
      </c>
      <c r="H1618" t="s">
        <v>25</v>
      </c>
      <c r="I1618" t="s">
        <v>36</v>
      </c>
      <c r="J1618" s="1">
        <v>44813</v>
      </c>
      <c r="K1618" t="b">
        <v>1</v>
      </c>
    </row>
    <row r="1619" spans="1:11" x14ac:dyDescent="0.25">
      <c r="A1619" t="s">
        <v>1614</v>
      </c>
      <c r="B1619" t="s">
        <v>37</v>
      </c>
      <c r="C1619" t="s">
        <v>110</v>
      </c>
      <c r="D1619" t="s">
        <v>185</v>
      </c>
      <c r="E1619" s="2">
        <v>41</v>
      </c>
      <c r="F1619" s="4">
        <v>5</v>
      </c>
      <c r="G1619" s="2">
        <v>205</v>
      </c>
      <c r="H1619" t="s">
        <v>45</v>
      </c>
      <c r="I1619" t="s">
        <v>16</v>
      </c>
      <c r="J1619" s="1">
        <v>45526</v>
      </c>
      <c r="K1619" t="b">
        <v>0</v>
      </c>
    </row>
    <row r="1620" spans="1:11" x14ac:dyDescent="0.25">
      <c r="A1620" t="s">
        <v>5911</v>
      </c>
      <c r="B1620" t="s">
        <v>142</v>
      </c>
      <c r="C1620" t="s">
        <v>110</v>
      </c>
      <c r="D1620" t="s">
        <v>185</v>
      </c>
      <c r="E1620" s="2">
        <v>41</v>
      </c>
      <c r="F1620" s="4">
        <v>5</v>
      </c>
      <c r="G1620" s="2">
        <v>205</v>
      </c>
      <c r="H1620" t="s">
        <v>15</v>
      </c>
      <c r="I1620" t="s">
        <v>16</v>
      </c>
      <c r="J1620" s="1">
        <v>45564</v>
      </c>
      <c r="K1620" t="b">
        <v>0</v>
      </c>
    </row>
    <row r="1621" spans="1:11" x14ac:dyDescent="0.25">
      <c r="A1621" t="s">
        <v>688</v>
      </c>
      <c r="B1621" t="s">
        <v>97</v>
      </c>
      <c r="C1621" t="s">
        <v>23</v>
      </c>
      <c r="D1621" t="s">
        <v>302</v>
      </c>
      <c r="E1621" s="2">
        <v>41</v>
      </c>
      <c r="F1621" s="4">
        <v>5</v>
      </c>
      <c r="G1621" s="2">
        <v>205</v>
      </c>
      <c r="H1621" t="s">
        <v>25</v>
      </c>
      <c r="I1621" t="s">
        <v>16</v>
      </c>
      <c r="J1621" s="1">
        <v>45198</v>
      </c>
      <c r="K1621" t="b">
        <v>0</v>
      </c>
    </row>
    <row r="1622" spans="1:11" x14ac:dyDescent="0.25">
      <c r="A1622" t="s">
        <v>5567</v>
      </c>
      <c r="B1622" t="s">
        <v>58</v>
      </c>
      <c r="C1622" t="s">
        <v>38</v>
      </c>
      <c r="D1622" t="s">
        <v>75</v>
      </c>
      <c r="E1622" s="2">
        <v>41</v>
      </c>
      <c r="F1622" s="4">
        <v>5</v>
      </c>
      <c r="G1622" s="2">
        <v>205</v>
      </c>
      <c r="H1622" t="s">
        <v>15</v>
      </c>
      <c r="I1622" t="s">
        <v>36</v>
      </c>
      <c r="J1622" s="1">
        <v>45023</v>
      </c>
      <c r="K1622" t="b">
        <v>1</v>
      </c>
    </row>
    <row r="1623" spans="1:11" x14ac:dyDescent="0.25">
      <c r="A1623" t="s">
        <v>3496</v>
      </c>
      <c r="B1623" t="s">
        <v>93</v>
      </c>
      <c r="C1623" t="s">
        <v>27</v>
      </c>
      <c r="D1623" t="s">
        <v>89</v>
      </c>
      <c r="E1623" s="2">
        <v>41</v>
      </c>
      <c r="F1623" s="4">
        <v>5</v>
      </c>
      <c r="G1623" s="2">
        <v>205</v>
      </c>
      <c r="H1623" t="s">
        <v>25</v>
      </c>
      <c r="I1623" t="s">
        <v>16</v>
      </c>
      <c r="J1623" s="1">
        <v>44732</v>
      </c>
      <c r="K1623" t="b">
        <v>0</v>
      </c>
    </row>
    <row r="1624" spans="1:11" x14ac:dyDescent="0.25">
      <c r="A1624" t="s">
        <v>4454</v>
      </c>
      <c r="B1624" t="s">
        <v>63</v>
      </c>
      <c r="C1624" t="s">
        <v>110</v>
      </c>
      <c r="D1624" t="s">
        <v>185</v>
      </c>
      <c r="E1624" s="2">
        <v>41</v>
      </c>
      <c r="F1624" s="4">
        <v>5</v>
      </c>
      <c r="G1624" s="2">
        <v>205</v>
      </c>
      <c r="H1624" t="s">
        <v>45</v>
      </c>
      <c r="I1624" t="s">
        <v>16</v>
      </c>
      <c r="J1624" s="1">
        <v>44758</v>
      </c>
      <c r="K1624" t="b">
        <v>0</v>
      </c>
    </row>
    <row r="1625" spans="1:11" x14ac:dyDescent="0.25">
      <c r="A1625" t="s">
        <v>1208</v>
      </c>
      <c r="B1625" t="s">
        <v>100</v>
      </c>
      <c r="C1625" t="s">
        <v>31</v>
      </c>
      <c r="D1625" t="s">
        <v>286</v>
      </c>
      <c r="E1625" s="2">
        <v>41</v>
      </c>
      <c r="F1625" s="4">
        <v>5</v>
      </c>
      <c r="G1625" s="2">
        <v>205</v>
      </c>
      <c r="H1625" t="s">
        <v>45</v>
      </c>
      <c r="I1625" t="s">
        <v>36</v>
      </c>
      <c r="J1625" s="1">
        <v>45023</v>
      </c>
      <c r="K1625" t="b">
        <v>1</v>
      </c>
    </row>
    <row r="1626" spans="1:11" x14ac:dyDescent="0.25">
      <c r="A1626" t="s">
        <v>3629</v>
      </c>
      <c r="B1626" t="s">
        <v>97</v>
      </c>
      <c r="C1626" t="s">
        <v>110</v>
      </c>
      <c r="D1626" t="s">
        <v>185</v>
      </c>
      <c r="E1626" s="2">
        <v>41</v>
      </c>
      <c r="F1626" s="4">
        <v>5</v>
      </c>
      <c r="G1626" s="2">
        <v>205</v>
      </c>
      <c r="H1626" t="s">
        <v>15</v>
      </c>
      <c r="I1626" t="s">
        <v>16</v>
      </c>
      <c r="J1626" s="1">
        <v>44703</v>
      </c>
      <c r="K1626" t="b">
        <v>1</v>
      </c>
    </row>
    <row r="1627" spans="1:11" x14ac:dyDescent="0.25">
      <c r="A1627" t="s">
        <v>4063</v>
      </c>
      <c r="B1627" t="s">
        <v>18</v>
      </c>
      <c r="C1627" t="s">
        <v>38</v>
      </c>
      <c r="D1627" t="s">
        <v>75</v>
      </c>
      <c r="E1627" s="2">
        <v>41</v>
      </c>
      <c r="F1627" s="4">
        <v>5</v>
      </c>
      <c r="G1627" s="2">
        <v>205</v>
      </c>
      <c r="H1627" t="s">
        <v>15</v>
      </c>
      <c r="I1627" t="s">
        <v>36</v>
      </c>
      <c r="J1627" s="1">
        <v>45190</v>
      </c>
      <c r="K1627" t="b">
        <v>1</v>
      </c>
    </row>
    <row r="1628" spans="1:11" x14ac:dyDescent="0.25">
      <c r="A1628" t="s">
        <v>5314</v>
      </c>
      <c r="B1628" t="s">
        <v>97</v>
      </c>
      <c r="C1628" t="s">
        <v>23</v>
      </c>
      <c r="D1628" t="s">
        <v>302</v>
      </c>
      <c r="E1628" s="2">
        <v>41</v>
      </c>
      <c r="F1628" s="4">
        <v>5</v>
      </c>
      <c r="G1628" s="2">
        <v>205</v>
      </c>
      <c r="H1628" t="s">
        <v>15</v>
      </c>
      <c r="I1628" t="s">
        <v>16</v>
      </c>
      <c r="J1628" s="1">
        <v>45088</v>
      </c>
      <c r="K1628" t="b">
        <v>1</v>
      </c>
    </row>
    <row r="1629" spans="1:11" x14ac:dyDescent="0.25">
      <c r="A1629" t="s">
        <v>6636</v>
      </c>
      <c r="B1629" t="s">
        <v>51</v>
      </c>
      <c r="C1629" t="s">
        <v>110</v>
      </c>
      <c r="D1629" t="s">
        <v>185</v>
      </c>
      <c r="E1629" s="2">
        <v>41</v>
      </c>
      <c r="F1629" s="4">
        <v>5</v>
      </c>
      <c r="G1629" s="2">
        <v>205</v>
      </c>
      <c r="H1629" t="s">
        <v>15</v>
      </c>
      <c r="I1629" t="s">
        <v>36</v>
      </c>
      <c r="J1629" s="1">
        <v>44679</v>
      </c>
      <c r="K1629" t="b">
        <v>1</v>
      </c>
    </row>
    <row r="1630" spans="1:11" x14ac:dyDescent="0.25">
      <c r="A1630" t="s">
        <v>1535</v>
      </c>
      <c r="B1630" t="s">
        <v>30</v>
      </c>
      <c r="C1630" t="s">
        <v>38</v>
      </c>
      <c r="D1630" t="s">
        <v>75</v>
      </c>
      <c r="E1630" s="2">
        <v>41</v>
      </c>
      <c r="F1630" s="4">
        <v>5</v>
      </c>
      <c r="G1630" s="2">
        <v>205</v>
      </c>
      <c r="H1630" t="s">
        <v>15</v>
      </c>
      <c r="I1630" t="s">
        <v>36</v>
      </c>
      <c r="J1630" s="1">
        <v>44833</v>
      </c>
      <c r="K1630" t="b">
        <v>1</v>
      </c>
    </row>
    <row r="1631" spans="1:11" x14ac:dyDescent="0.25">
      <c r="A1631" t="s">
        <v>550</v>
      </c>
      <c r="B1631" t="s">
        <v>37</v>
      </c>
      <c r="C1631" t="s">
        <v>59</v>
      </c>
      <c r="D1631" t="s">
        <v>325</v>
      </c>
      <c r="E1631" s="2">
        <v>41</v>
      </c>
      <c r="F1631" s="4">
        <v>5</v>
      </c>
      <c r="G1631" s="2">
        <v>205</v>
      </c>
      <c r="H1631" t="s">
        <v>15</v>
      </c>
      <c r="I1631" t="s">
        <v>16</v>
      </c>
      <c r="J1631" s="1">
        <v>45373</v>
      </c>
      <c r="K1631" t="b">
        <v>1</v>
      </c>
    </row>
    <row r="1632" spans="1:11" x14ac:dyDescent="0.25">
      <c r="A1632" t="s">
        <v>828</v>
      </c>
      <c r="B1632" t="s">
        <v>43</v>
      </c>
      <c r="C1632" t="s">
        <v>59</v>
      </c>
      <c r="D1632" t="s">
        <v>325</v>
      </c>
      <c r="E1632" s="2">
        <v>41</v>
      </c>
      <c r="F1632" s="4">
        <v>5</v>
      </c>
      <c r="G1632" s="2">
        <v>205</v>
      </c>
      <c r="H1632" t="s">
        <v>25</v>
      </c>
      <c r="I1632" t="s">
        <v>36</v>
      </c>
      <c r="J1632" s="1">
        <v>45654</v>
      </c>
      <c r="K1632" t="b">
        <v>1</v>
      </c>
    </row>
    <row r="1633" spans="1:11" x14ac:dyDescent="0.25">
      <c r="A1633" t="s">
        <v>4920</v>
      </c>
      <c r="B1633" t="s">
        <v>37</v>
      </c>
      <c r="C1633" t="s">
        <v>23</v>
      </c>
      <c r="D1633" t="s">
        <v>302</v>
      </c>
      <c r="E1633" s="2">
        <v>41</v>
      </c>
      <c r="F1633" s="4">
        <v>5</v>
      </c>
      <c r="G1633" s="2">
        <v>205</v>
      </c>
      <c r="H1633" t="s">
        <v>45</v>
      </c>
      <c r="I1633" t="s">
        <v>36</v>
      </c>
      <c r="J1633" s="1">
        <v>45653</v>
      </c>
      <c r="K1633" t="b">
        <v>1</v>
      </c>
    </row>
    <row r="1634" spans="1:11" x14ac:dyDescent="0.25">
      <c r="A1634" t="s">
        <v>2604</v>
      </c>
      <c r="B1634" t="s">
        <v>18</v>
      </c>
      <c r="C1634" t="s">
        <v>23</v>
      </c>
      <c r="D1634" t="s">
        <v>302</v>
      </c>
      <c r="E1634" s="2">
        <v>41</v>
      </c>
      <c r="F1634" s="4">
        <v>5</v>
      </c>
      <c r="G1634" s="2">
        <v>205</v>
      </c>
      <c r="H1634" t="s">
        <v>25</v>
      </c>
      <c r="I1634" t="s">
        <v>16</v>
      </c>
      <c r="J1634" s="1">
        <v>44659</v>
      </c>
      <c r="K1634" t="b">
        <v>0</v>
      </c>
    </row>
    <row r="1635" spans="1:11" x14ac:dyDescent="0.25">
      <c r="A1635" t="s">
        <v>2026</v>
      </c>
      <c r="B1635" t="s">
        <v>61</v>
      </c>
      <c r="C1635" t="s">
        <v>38</v>
      </c>
      <c r="D1635" t="s">
        <v>267</v>
      </c>
      <c r="E1635" s="2">
        <v>29</v>
      </c>
      <c r="F1635" s="4">
        <v>7</v>
      </c>
      <c r="G1635" s="2">
        <v>203</v>
      </c>
      <c r="H1635" t="s">
        <v>15</v>
      </c>
      <c r="I1635" t="s">
        <v>36</v>
      </c>
      <c r="J1635" s="1">
        <v>44869</v>
      </c>
      <c r="K1635" t="b">
        <v>1</v>
      </c>
    </row>
    <row r="1636" spans="1:11" x14ac:dyDescent="0.25">
      <c r="A1636" t="s">
        <v>4870</v>
      </c>
      <c r="B1636" t="s">
        <v>43</v>
      </c>
      <c r="C1636" t="s">
        <v>27</v>
      </c>
      <c r="D1636" t="s">
        <v>421</v>
      </c>
      <c r="E1636" s="2">
        <v>29</v>
      </c>
      <c r="F1636" s="4">
        <v>7</v>
      </c>
      <c r="G1636" s="2">
        <v>203</v>
      </c>
      <c r="H1636" t="s">
        <v>15</v>
      </c>
      <c r="I1636" t="s">
        <v>36</v>
      </c>
      <c r="J1636" s="1">
        <v>44911</v>
      </c>
      <c r="K1636" t="b">
        <v>1</v>
      </c>
    </row>
    <row r="1637" spans="1:11" x14ac:dyDescent="0.25">
      <c r="A1637" t="s">
        <v>2161</v>
      </c>
      <c r="B1637" t="s">
        <v>51</v>
      </c>
      <c r="C1637" t="s">
        <v>19</v>
      </c>
      <c r="D1637" t="s">
        <v>20</v>
      </c>
      <c r="E1637" s="2">
        <v>29</v>
      </c>
      <c r="F1637" s="4">
        <v>7</v>
      </c>
      <c r="G1637" s="2">
        <v>203</v>
      </c>
      <c r="H1637" t="s">
        <v>15</v>
      </c>
      <c r="I1637" t="s">
        <v>16</v>
      </c>
      <c r="J1637" s="1">
        <v>44822</v>
      </c>
      <c r="K1637" t="b">
        <v>1</v>
      </c>
    </row>
    <row r="1638" spans="1:11" x14ac:dyDescent="0.25">
      <c r="A1638" t="s">
        <v>1569</v>
      </c>
      <c r="B1638" t="s">
        <v>40</v>
      </c>
      <c r="C1638" t="s">
        <v>13</v>
      </c>
      <c r="D1638" t="s">
        <v>55</v>
      </c>
      <c r="E1638" s="2">
        <v>29</v>
      </c>
      <c r="F1638" s="4">
        <v>7</v>
      </c>
      <c r="G1638" s="2">
        <v>203</v>
      </c>
      <c r="H1638" t="s">
        <v>25</v>
      </c>
      <c r="I1638" t="s">
        <v>36</v>
      </c>
      <c r="J1638" s="1">
        <v>44736</v>
      </c>
      <c r="K1638" t="b">
        <v>1</v>
      </c>
    </row>
    <row r="1639" spans="1:11" x14ac:dyDescent="0.25">
      <c r="A1639" t="s">
        <v>4180</v>
      </c>
      <c r="B1639" t="s">
        <v>93</v>
      </c>
      <c r="C1639" t="s">
        <v>13</v>
      </c>
      <c r="D1639" t="s">
        <v>55</v>
      </c>
      <c r="E1639" s="2">
        <v>29</v>
      </c>
      <c r="F1639" s="4">
        <v>7</v>
      </c>
      <c r="G1639" s="2">
        <v>203</v>
      </c>
      <c r="H1639" t="s">
        <v>45</v>
      </c>
      <c r="I1639" t="s">
        <v>36</v>
      </c>
      <c r="J1639" s="1">
        <v>44612</v>
      </c>
      <c r="K1639" t="b">
        <v>0</v>
      </c>
    </row>
    <row r="1640" spans="1:11" x14ac:dyDescent="0.25">
      <c r="A1640" t="s">
        <v>5055</v>
      </c>
      <c r="B1640" t="s">
        <v>104</v>
      </c>
      <c r="C1640" t="s">
        <v>31</v>
      </c>
      <c r="D1640" t="s">
        <v>372</v>
      </c>
      <c r="E1640" s="2">
        <v>29</v>
      </c>
      <c r="F1640" s="4">
        <v>7</v>
      </c>
      <c r="G1640" s="2">
        <v>203</v>
      </c>
      <c r="H1640" t="s">
        <v>15</v>
      </c>
      <c r="I1640" t="s">
        <v>16</v>
      </c>
      <c r="J1640" s="1">
        <v>44977</v>
      </c>
      <c r="K1640" t="b">
        <v>0</v>
      </c>
    </row>
    <row r="1641" spans="1:11" x14ac:dyDescent="0.25">
      <c r="A1641" t="s">
        <v>2769</v>
      </c>
      <c r="B1641" t="s">
        <v>93</v>
      </c>
      <c r="C1641" t="s">
        <v>13</v>
      </c>
      <c r="D1641" t="s">
        <v>55</v>
      </c>
      <c r="E1641" s="2">
        <v>29</v>
      </c>
      <c r="F1641" s="4">
        <v>7</v>
      </c>
      <c r="G1641" s="2">
        <v>203</v>
      </c>
      <c r="H1641" t="s">
        <v>15</v>
      </c>
      <c r="I1641" t="s">
        <v>16</v>
      </c>
      <c r="J1641" s="1">
        <v>44649</v>
      </c>
      <c r="K1641" t="b">
        <v>1</v>
      </c>
    </row>
    <row r="1642" spans="1:11" x14ac:dyDescent="0.25">
      <c r="A1642" t="s">
        <v>4593</v>
      </c>
      <c r="B1642" t="s">
        <v>69</v>
      </c>
      <c r="C1642" t="s">
        <v>19</v>
      </c>
      <c r="D1642" t="s">
        <v>20</v>
      </c>
      <c r="E1642" s="2">
        <v>29</v>
      </c>
      <c r="F1642" s="4">
        <v>7</v>
      </c>
      <c r="G1642" s="2">
        <v>203</v>
      </c>
      <c r="H1642" t="s">
        <v>15</v>
      </c>
      <c r="I1642" t="s">
        <v>16</v>
      </c>
      <c r="J1642" s="1">
        <v>44610</v>
      </c>
      <c r="K1642" t="b">
        <v>1</v>
      </c>
    </row>
    <row r="1643" spans="1:11" x14ac:dyDescent="0.25">
      <c r="A1643" t="s">
        <v>1178</v>
      </c>
      <c r="B1643" t="s">
        <v>18</v>
      </c>
      <c r="C1643" t="s">
        <v>59</v>
      </c>
      <c r="D1643" t="s">
        <v>297</v>
      </c>
      <c r="E1643" s="2">
        <v>29</v>
      </c>
      <c r="F1643" s="4">
        <v>7</v>
      </c>
      <c r="G1643" s="2">
        <v>203</v>
      </c>
      <c r="H1643" t="s">
        <v>25</v>
      </c>
      <c r="I1643" t="s">
        <v>16</v>
      </c>
      <c r="J1643" s="1">
        <v>45653</v>
      </c>
      <c r="K1643" t="b">
        <v>0</v>
      </c>
    </row>
    <row r="1644" spans="1:11" x14ac:dyDescent="0.25">
      <c r="A1644" t="s">
        <v>2217</v>
      </c>
      <c r="B1644" t="s">
        <v>30</v>
      </c>
      <c r="C1644" t="s">
        <v>31</v>
      </c>
      <c r="D1644" t="s">
        <v>372</v>
      </c>
      <c r="E1644" s="2">
        <v>29</v>
      </c>
      <c r="F1644" s="4">
        <v>7</v>
      </c>
      <c r="G1644" s="2">
        <v>203</v>
      </c>
      <c r="H1644" t="s">
        <v>45</v>
      </c>
      <c r="I1644" t="s">
        <v>36</v>
      </c>
      <c r="J1644" s="1">
        <v>45491</v>
      </c>
      <c r="K1644" t="b">
        <v>1</v>
      </c>
    </row>
    <row r="1645" spans="1:11" x14ac:dyDescent="0.25">
      <c r="A1645" t="s">
        <v>5704</v>
      </c>
      <c r="B1645" t="s">
        <v>40</v>
      </c>
      <c r="C1645" t="s">
        <v>19</v>
      </c>
      <c r="D1645" t="s">
        <v>20</v>
      </c>
      <c r="E1645" s="2">
        <v>29</v>
      </c>
      <c r="F1645" s="4">
        <v>7</v>
      </c>
      <c r="G1645" s="2">
        <v>203</v>
      </c>
      <c r="H1645" t="s">
        <v>15</v>
      </c>
      <c r="I1645" t="s">
        <v>36</v>
      </c>
      <c r="J1645" s="1">
        <v>44799</v>
      </c>
      <c r="K1645" t="b">
        <v>0</v>
      </c>
    </row>
    <row r="1646" spans="1:11" x14ac:dyDescent="0.25">
      <c r="A1646" t="s">
        <v>4497</v>
      </c>
      <c r="B1646" t="s">
        <v>86</v>
      </c>
      <c r="C1646" t="s">
        <v>59</v>
      </c>
      <c r="D1646" t="s">
        <v>297</v>
      </c>
      <c r="E1646" s="2">
        <v>29</v>
      </c>
      <c r="F1646" s="4">
        <v>7</v>
      </c>
      <c r="G1646" s="2">
        <v>203</v>
      </c>
      <c r="H1646" t="s">
        <v>45</v>
      </c>
      <c r="I1646" t="s">
        <v>36</v>
      </c>
      <c r="J1646" s="1">
        <v>44913</v>
      </c>
      <c r="K1646" t="b">
        <v>1</v>
      </c>
    </row>
    <row r="1647" spans="1:11" x14ac:dyDescent="0.25">
      <c r="A1647" t="s">
        <v>2327</v>
      </c>
      <c r="B1647" t="s">
        <v>43</v>
      </c>
      <c r="C1647" t="s">
        <v>31</v>
      </c>
      <c r="D1647" t="s">
        <v>372</v>
      </c>
      <c r="E1647" s="2">
        <v>29</v>
      </c>
      <c r="F1647" s="4">
        <v>7</v>
      </c>
      <c r="G1647" s="2">
        <v>203</v>
      </c>
      <c r="H1647" t="s">
        <v>45</v>
      </c>
      <c r="I1647" t="s">
        <v>36</v>
      </c>
      <c r="J1647" s="1">
        <v>45368</v>
      </c>
      <c r="K1647" t="b">
        <v>1</v>
      </c>
    </row>
    <row r="1648" spans="1:11" x14ac:dyDescent="0.25">
      <c r="A1648" t="s">
        <v>4310</v>
      </c>
      <c r="B1648" t="s">
        <v>69</v>
      </c>
      <c r="C1648" t="s">
        <v>13</v>
      </c>
      <c r="D1648" t="s">
        <v>55</v>
      </c>
      <c r="E1648" s="2">
        <v>29</v>
      </c>
      <c r="F1648" s="4">
        <v>7</v>
      </c>
      <c r="G1648" s="2">
        <v>203</v>
      </c>
      <c r="H1648" t="s">
        <v>15</v>
      </c>
      <c r="I1648" t="s">
        <v>36</v>
      </c>
      <c r="J1648" s="1">
        <v>45450</v>
      </c>
      <c r="K1648" t="b">
        <v>0</v>
      </c>
    </row>
    <row r="1649" spans="1:11" x14ac:dyDescent="0.25">
      <c r="A1649" t="s">
        <v>3712</v>
      </c>
      <c r="B1649" t="s">
        <v>34</v>
      </c>
      <c r="C1649" t="s">
        <v>31</v>
      </c>
      <c r="D1649" t="s">
        <v>372</v>
      </c>
      <c r="E1649" s="2">
        <v>29</v>
      </c>
      <c r="F1649" s="4">
        <v>7</v>
      </c>
      <c r="G1649" s="2">
        <v>203</v>
      </c>
      <c r="H1649" t="s">
        <v>25</v>
      </c>
      <c r="I1649" t="s">
        <v>16</v>
      </c>
      <c r="J1649" s="1">
        <v>45595</v>
      </c>
      <c r="K1649" t="b">
        <v>1</v>
      </c>
    </row>
    <row r="1650" spans="1:11" x14ac:dyDescent="0.25">
      <c r="A1650" t="s">
        <v>3095</v>
      </c>
      <c r="B1650" t="s">
        <v>12</v>
      </c>
      <c r="C1650" t="s">
        <v>31</v>
      </c>
      <c r="D1650" t="s">
        <v>372</v>
      </c>
      <c r="E1650" s="2">
        <v>29</v>
      </c>
      <c r="F1650" s="4">
        <v>7</v>
      </c>
      <c r="G1650" s="2">
        <v>203</v>
      </c>
      <c r="H1650" t="s">
        <v>45</v>
      </c>
      <c r="I1650" t="s">
        <v>16</v>
      </c>
      <c r="J1650" s="1">
        <v>45035</v>
      </c>
      <c r="K1650" t="b">
        <v>1</v>
      </c>
    </row>
    <row r="1651" spans="1:11" x14ac:dyDescent="0.25">
      <c r="A1651" t="s">
        <v>3882</v>
      </c>
      <c r="B1651" t="s">
        <v>22</v>
      </c>
      <c r="C1651" t="s">
        <v>27</v>
      </c>
      <c r="D1651" t="s">
        <v>421</v>
      </c>
      <c r="E1651" s="2">
        <v>29</v>
      </c>
      <c r="F1651" s="4">
        <v>7</v>
      </c>
      <c r="G1651" s="2">
        <v>203</v>
      </c>
      <c r="H1651" t="s">
        <v>45</v>
      </c>
      <c r="I1651" t="s">
        <v>16</v>
      </c>
      <c r="J1651" s="1">
        <v>45334</v>
      </c>
      <c r="K1651" t="b">
        <v>0</v>
      </c>
    </row>
    <row r="1652" spans="1:11" x14ac:dyDescent="0.25">
      <c r="A1652" t="s">
        <v>1031</v>
      </c>
      <c r="B1652" t="s">
        <v>104</v>
      </c>
      <c r="C1652" t="s">
        <v>13</v>
      </c>
      <c r="D1652" t="s">
        <v>55</v>
      </c>
      <c r="E1652" s="2">
        <v>29</v>
      </c>
      <c r="F1652" s="4">
        <v>7</v>
      </c>
      <c r="G1652" s="2">
        <v>203</v>
      </c>
      <c r="H1652" t="s">
        <v>25</v>
      </c>
      <c r="I1652" t="s">
        <v>36</v>
      </c>
      <c r="J1652" s="1">
        <v>44644</v>
      </c>
      <c r="K1652" t="b">
        <v>0</v>
      </c>
    </row>
    <row r="1653" spans="1:11" x14ac:dyDescent="0.25">
      <c r="A1653" t="s">
        <v>774</v>
      </c>
      <c r="B1653" t="s">
        <v>58</v>
      </c>
      <c r="C1653" t="s">
        <v>38</v>
      </c>
      <c r="D1653" t="s">
        <v>267</v>
      </c>
      <c r="E1653" s="2">
        <v>29</v>
      </c>
      <c r="F1653" s="4">
        <v>7</v>
      </c>
      <c r="G1653" s="2">
        <v>203</v>
      </c>
      <c r="H1653" t="s">
        <v>25</v>
      </c>
      <c r="I1653" t="s">
        <v>36</v>
      </c>
      <c r="J1653" s="1">
        <v>45260</v>
      </c>
      <c r="K1653" t="b">
        <v>1</v>
      </c>
    </row>
    <row r="1654" spans="1:11" x14ac:dyDescent="0.25">
      <c r="A1654" t="s">
        <v>2037</v>
      </c>
      <c r="B1654" t="s">
        <v>97</v>
      </c>
      <c r="C1654" t="s">
        <v>31</v>
      </c>
      <c r="D1654" t="s">
        <v>372</v>
      </c>
      <c r="E1654" s="2">
        <v>29</v>
      </c>
      <c r="F1654" s="4">
        <v>7</v>
      </c>
      <c r="G1654" s="2">
        <v>203</v>
      </c>
      <c r="H1654" t="s">
        <v>45</v>
      </c>
      <c r="I1654" t="s">
        <v>36</v>
      </c>
      <c r="J1654" s="1">
        <v>45474</v>
      </c>
      <c r="K1654" t="b">
        <v>0</v>
      </c>
    </row>
    <row r="1655" spans="1:11" x14ac:dyDescent="0.25">
      <c r="A1655" t="s">
        <v>2845</v>
      </c>
      <c r="B1655" t="s">
        <v>58</v>
      </c>
      <c r="C1655" t="s">
        <v>27</v>
      </c>
      <c r="D1655" t="s">
        <v>421</v>
      </c>
      <c r="E1655" s="2">
        <v>29</v>
      </c>
      <c r="F1655" s="4">
        <v>7</v>
      </c>
      <c r="G1655" s="2">
        <v>203</v>
      </c>
      <c r="H1655" t="s">
        <v>15</v>
      </c>
      <c r="I1655" t="s">
        <v>16</v>
      </c>
      <c r="J1655" s="1">
        <v>45091</v>
      </c>
      <c r="K1655" t="b">
        <v>1</v>
      </c>
    </row>
    <row r="1656" spans="1:11" x14ac:dyDescent="0.25">
      <c r="A1656" t="s">
        <v>1780</v>
      </c>
      <c r="B1656" t="s">
        <v>58</v>
      </c>
      <c r="C1656" t="s">
        <v>27</v>
      </c>
      <c r="D1656" t="s">
        <v>421</v>
      </c>
      <c r="E1656" s="2">
        <v>29</v>
      </c>
      <c r="F1656" s="4">
        <v>7</v>
      </c>
      <c r="G1656" s="2">
        <v>203</v>
      </c>
      <c r="H1656" t="s">
        <v>25</v>
      </c>
      <c r="I1656" t="s">
        <v>16</v>
      </c>
      <c r="J1656" s="1">
        <v>45611</v>
      </c>
      <c r="K1656" t="b">
        <v>1</v>
      </c>
    </row>
    <row r="1657" spans="1:11" x14ac:dyDescent="0.25">
      <c r="A1657" t="s">
        <v>2213</v>
      </c>
      <c r="B1657" t="s">
        <v>40</v>
      </c>
      <c r="C1657" t="s">
        <v>110</v>
      </c>
      <c r="D1657" t="s">
        <v>386</v>
      </c>
      <c r="E1657" s="2">
        <v>29</v>
      </c>
      <c r="F1657" s="4">
        <v>7</v>
      </c>
      <c r="G1657" s="2">
        <v>203</v>
      </c>
      <c r="H1657" t="s">
        <v>25</v>
      </c>
      <c r="I1657" t="s">
        <v>16</v>
      </c>
      <c r="J1657" s="1">
        <v>45434</v>
      </c>
      <c r="K1657" t="b">
        <v>0</v>
      </c>
    </row>
    <row r="1658" spans="1:11" x14ac:dyDescent="0.25">
      <c r="A1658" t="s">
        <v>5985</v>
      </c>
      <c r="B1658" t="s">
        <v>93</v>
      </c>
      <c r="C1658" t="s">
        <v>59</v>
      </c>
      <c r="D1658" t="s">
        <v>297</v>
      </c>
      <c r="E1658" s="2">
        <v>29</v>
      </c>
      <c r="F1658" s="4">
        <v>7</v>
      </c>
      <c r="G1658" s="2">
        <v>203</v>
      </c>
      <c r="H1658" t="s">
        <v>25</v>
      </c>
      <c r="I1658" t="s">
        <v>36</v>
      </c>
      <c r="J1658" s="1">
        <v>45595</v>
      </c>
      <c r="K1658" t="b">
        <v>1</v>
      </c>
    </row>
    <row r="1659" spans="1:11" x14ac:dyDescent="0.25">
      <c r="A1659" t="s">
        <v>3863</v>
      </c>
      <c r="B1659" t="s">
        <v>93</v>
      </c>
      <c r="C1659" t="s">
        <v>19</v>
      </c>
      <c r="D1659" t="s">
        <v>20</v>
      </c>
      <c r="E1659" s="2">
        <v>29</v>
      </c>
      <c r="F1659" s="4">
        <v>7</v>
      </c>
      <c r="G1659" s="2">
        <v>203</v>
      </c>
      <c r="H1659" t="s">
        <v>15</v>
      </c>
      <c r="I1659" t="s">
        <v>16</v>
      </c>
      <c r="J1659" s="1">
        <v>45212</v>
      </c>
      <c r="K1659" t="b">
        <v>1</v>
      </c>
    </row>
    <row r="1660" spans="1:11" x14ac:dyDescent="0.25">
      <c r="A1660" t="s">
        <v>2811</v>
      </c>
      <c r="B1660" t="s">
        <v>104</v>
      </c>
      <c r="C1660" t="s">
        <v>38</v>
      </c>
      <c r="D1660" t="s">
        <v>267</v>
      </c>
      <c r="E1660" s="2">
        <v>29</v>
      </c>
      <c r="F1660" s="4">
        <v>7</v>
      </c>
      <c r="G1660" s="2">
        <v>203</v>
      </c>
      <c r="H1660" t="s">
        <v>15</v>
      </c>
      <c r="I1660" t="s">
        <v>16</v>
      </c>
      <c r="J1660" s="1">
        <v>44813</v>
      </c>
      <c r="K1660" t="b">
        <v>1</v>
      </c>
    </row>
    <row r="1661" spans="1:11" x14ac:dyDescent="0.25">
      <c r="A1661" t="s">
        <v>2622</v>
      </c>
      <c r="B1661" t="s">
        <v>66</v>
      </c>
      <c r="C1661" t="s">
        <v>31</v>
      </c>
      <c r="D1661" t="s">
        <v>372</v>
      </c>
      <c r="E1661" s="2">
        <v>29</v>
      </c>
      <c r="F1661" s="4">
        <v>7</v>
      </c>
      <c r="G1661" s="2">
        <v>203</v>
      </c>
      <c r="H1661" t="s">
        <v>45</v>
      </c>
      <c r="I1661" t="s">
        <v>36</v>
      </c>
      <c r="J1661" s="1">
        <v>44843</v>
      </c>
      <c r="K1661" t="b">
        <v>0</v>
      </c>
    </row>
    <row r="1662" spans="1:11" x14ac:dyDescent="0.25">
      <c r="A1662" t="s">
        <v>5978</v>
      </c>
      <c r="B1662" t="s">
        <v>40</v>
      </c>
      <c r="C1662" t="s">
        <v>59</v>
      </c>
      <c r="D1662" t="s">
        <v>297</v>
      </c>
      <c r="E1662" s="2">
        <v>29</v>
      </c>
      <c r="F1662" s="4">
        <v>7</v>
      </c>
      <c r="G1662" s="2">
        <v>203</v>
      </c>
      <c r="H1662" t="s">
        <v>45</v>
      </c>
      <c r="I1662" t="s">
        <v>16</v>
      </c>
      <c r="J1662" s="1">
        <v>45491</v>
      </c>
      <c r="K1662" t="b">
        <v>0</v>
      </c>
    </row>
    <row r="1663" spans="1:11" x14ac:dyDescent="0.25">
      <c r="A1663" t="s">
        <v>5404</v>
      </c>
      <c r="B1663" t="s">
        <v>30</v>
      </c>
      <c r="C1663" t="s">
        <v>27</v>
      </c>
      <c r="D1663" t="s">
        <v>421</v>
      </c>
      <c r="E1663" s="2">
        <v>29</v>
      </c>
      <c r="F1663" s="4">
        <v>7</v>
      </c>
      <c r="G1663" s="2">
        <v>203</v>
      </c>
      <c r="H1663" t="s">
        <v>15</v>
      </c>
      <c r="I1663" t="s">
        <v>36</v>
      </c>
      <c r="J1663" s="1">
        <v>45541</v>
      </c>
      <c r="K1663" t="b">
        <v>0</v>
      </c>
    </row>
    <row r="1664" spans="1:11" x14ac:dyDescent="0.25">
      <c r="A1664" t="s">
        <v>4714</v>
      </c>
      <c r="B1664" t="s">
        <v>56</v>
      </c>
      <c r="C1664" t="s">
        <v>110</v>
      </c>
      <c r="D1664" t="s">
        <v>386</v>
      </c>
      <c r="E1664" s="2">
        <v>29</v>
      </c>
      <c r="F1664" s="4">
        <v>7</v>
      </c>
      <c r="G1664" s="2">
        <v>203</v>
      </c>
      <c r="H1664" t="s">
        <v>15</v>
      </c>
      <c r="I1664" t="s">
        <v>36</v>
      </c>
      <c r="J1664" s="1">
        <v>45323</v>
      </c>
      <c r="K1664" t="b">
        <v>1</v>
      </c>
    </row>
    <row r="1665" spans="1:11" x14ac:dyDescent="0.25">
      <c r="A1665" t="s">
        <v>5034</v>
      </c>
      <c r="B1665" t="s">
        <v>66</v>
      </c>
      <c r="C1665" t="s">
        <v>13</v>
      </c>
      <c r="D1665" t="s">
        <v>55</v>
      </c>
      <c r="E1665" s="2">
        <v>29</v>
      </c>
      <c r="F1665" s="4">
        <v>7</v>
      </c>
      <c r="G1665" s="2">
        <v>203</v>
      </c>
      <c r="H1665" t="s">
        <v>25</v>
      </c>
      <c r="I1665" t="s">
        <v>36</v>
      </c>
      <c r="J1665" s="1">
        <v>45074</v>
      </c>
      <c r="K1665" t="b">
        <v>1</v>
      </c>
    </row>
    <row r="1666" spans="1:11" x14ac:dyDescent="0.25">
      <c r="A1666" t="s">
        <v>4357</v>
      </c>
      <c r="B1666" t="s">
        <v>22</v>
      </c>
      <c r="C1666" t="s">
        <v>27</v>
      </c>
      <c r="D1666" t="s">
        <v>421</v>
      </c>
      <c r="E1666" s="2">
        <v>29</v>
      </c>
      <c r="F1666" s="4">
        <v>7</v>
      </c>
      <c r="G1666" s="2">
        <v>203</v>
      </c>
      <c r="H1666" t="s">
        <v>15</v>
      </c>
      <c r="I1666" t="s">
        <v>36</v>
      </c>
      <c r="J1666" s="1">
        <v>45177</v>
      </c>
      <c r="K1666" t="b">
        <v>1</v>
      </c>
    </row>
    <row r="1667" spans="1:11" x14ac:dyDescent="0.25">
      <c r="A1667" t="s">
        <v>4614</v>
      </c>
      <c r="B1667" t="s">
        <v>61</v>
      </c>
      <c r="C1667" t="s">
        <v>110</v>
      </c>
      <c r="D1667" t="s">
        <v>154</v>
      </c>
      <c r="E1667" s="2">
        <v>33.5</v>
      </c>
      <c r="F1667" s="4">
        <v>6</v>
      </c>
      <c r="G1667" s="2">
        <v>201</v>
      </c>
      <c r="H1667" t="s">
        <v>45</v>
      </c>
      <c r="I1667" t="s">
        <v>16</v>
      </c>
      <c r="J1667" s="1">
        <v>45483</v>
      </c>
      <c r="K1667" t="b">
        <v>0</v>
      </c>
    </row>
    <row r="1668" spans="1:11" x14ac:dyDescent="0.25">
      <c r="A1668" t="s">
        <v>4054</v>
      </c>
      <c r="B1668" t="s">
        <v>12</v>
      </c>
      <c r="C1668" t="s">
        <v>13</v>
      </c>
      <c r="D1668" t="s">
        <v>375</v>
      </c>
      <c r="E1668" s="2">
        <v>33.5</v>
      </c>
      <c r="F1668" s="4">
        <v>6</v>
      </c>
      <c r="G1668" s="2">
        <v>201</v>
      </c>
      <c r="H1668" t="s">
        <v>45</v>
      </c>
      <c r="I1668" t="s">
        <v>16</v>
      </c>
      <c r="J1668" s="1">
        <v>44659</v>
      </c>
      <c r="K1668" t="b">
        <v>1</v>
      </c>
    </row>
    <row r="1669" spans="1:11" x14ac:dyDescent="0.25">
      <c r="A1669" t="s">
        <v>3913</v>
      </c>
      <c r="B1669" t="s">
        <v>30</v>
      </c>
      <c r="C1669" t="s">
        <v>31</v>
      </c>
      <c r="D1669" t="s">
        <v>155</v>
      </c>
      <c r="E1669" s="2">
        <v>33.5</v>
      </c>
      <c r="F1669" s="4">
        <v>6</v>
      </c>
      <c r="G1669" s="2">
        <v>201</v>
      </c>
      <c r="H1669" t="s">
        <v>25</v>
      </c>
      <c r="I1669" t="s">
        <v>16</v>
      </c>
      <c r="J1669" s="1">
        <v>45339</v>
      </c>
      <c r="K1669" t="b">
        <v>0</v>
      </c>
    </row>
    <row r="1670" spans="1:11" x14ac:dyDescent="0.25">
      <c r="A1670" t="s">
        <v>6485</v>
      </c>
      <c r="B1670" t="s">
        <v>61</v>
      </c>
      <c r="C1670" t="s">
        <v>38</v>
      </c>
      <c r="D1670" t="s">
        <v>434</v>
      </c>
      <c r="E1670" s="2">
        <v>33.5</v>
      </c>
      <c r="F1670" s="4">
        <v>6</v>
      </c>
      <c r="G1670" s="2">
        <v>201</v>
      </c>
      <c r="H1670" t="s">
        <v>15</v>
      </c>
      <c r="I1670" t="s">
        <v>36</v>
      </c>
      <c r="J1670" s="1">
        <v>45254</v>
      </c>
      <c r="K1670" t="b">
        <v>0</v>
      </c>
    </row>
    <row r="1671" spans="1:11" x14ac:dyDescent="0.25">
      <c r="A1671" t="s">
        <v>2079</v>
      </c>
      <c r="B1671" t="s">
        <v>61</v>
      </c>
      <c r="C1671" t="s">
        <v>31</v>
      </c>
      <c r="D1671" t="s">
        <v>155</v>
      </c>
      <c r="E1671" s="2">
        <v>33.5</v>
      </c>
      <c r="F1671" s="4">
        <v>6</v>
      </c>
      <c r="G1671" s="2">
        <v>201</v>
      </c>
      <c r="H1671" t="s">
        <v>15</v>
      </c>
      <c r="I1671" t="s">
        <v>16</v>
      </c>
      <c r="J1671" s="1">
        <v>45405</v>
      </c>
      <c r="K1671" t="b">
        <v>1</v>
      </c>
    </row>
    <row r="1672" spans="1:11" x14ac:dyDescent="0.25">
      <c r="A1672" t="s">
        <v>1001</v>
      </c>
      <c r="B1672" t="s">
        <v>61</v>
      </c>
      <c r="C1672" t="s">
        <v>59</v>
      </c>
      <c r="D1672" t="s">
        <v>270</v>
      </c>
      <c r="E1672" s="2">
        <v>33.5</v>
      </c>
      <c r="F1672" s="4">
        <v>6</v>
      </c>
      <c r="G1672" s="2">
        <v>201</v>
      </c>
      <c r="H1672" t="s">
        <v>45</v>
      </c>
      <c r="I1672" t="s">
        <v>16</v>
      </c>
      <c r="J1672" s="1">
        <v>44607</v>
      </c>
      <c r="K1672" t="b">
        <v>1</v>
      </c>
    </row>
    <row r="1673" spans="1:11" x14ac:dyDescent="0.25">
      <c r="A1673" t="s">
        <v>891</v>
      </c>
      <c r="B1673" t="s">
        <v>51</v>
      </c>
      <c r="C1673" t="s">
        <v>23</v>
      </c>
      <c r="D1673" t="s">
        <v>73</v>
      </c>
      <c r="E1673" s="2">
        <v>33.5</v>
      </c>
      <c r="F1673" s="4">
        <v>6</v>
      </c>
      <c r="G1673" s="2">
        <v>201</v>
      </c>
      <c r="H1673" t="s">
        <v>45</v>
      </c>
      <c r="I1673" t="s">
        <v>36</v>
      </c>
      <c r="J1673" s="1">
        <v>45282</v>
      </c>
      <c r="K1673" t="b">
        <v>0</v>
      </c>
    </row>
    <row r="1674" spans="1:11" x14ac:dyDescent="0.25">
      <c r="A1674" t="s">
        <v>6597</v>
      </c>
      <c r="B1674" t="s">
        <v>66</v>
      </c>
      <c r="C1674" t="s">
        <v>59</v>
      </c>
      <c r="D1674" t="s">
        <v>270</v>
      </c>
      <c r="E1674" s="2">
        <v>33.5</v>
      </c>
      <c r="F1674" s="4">
        <v>6</v>
      </c>
      <c r="G1674" s="2">
        <v>201</v>
      </c>
      <c r="H1674" t="s">
        <v>25</v>
      </c>
      <c r="I1674" t="s">
        <v>36</v>
      </c>
      <c r="J1674" s="1">
        <v>44847</v>
      </c>
      <c r="K1674" t="b">
        <v>1</v>
      </c>
    </row>
    <row r="1675" spans="1:11" x14ac:dyDescent="0.25">
      <c r="A1675" t="s">
        <v>3015</v>
      </c>
      <c r="B1675" t="s">
        <v>58</v>
      </c>
      <c r="C1675" t="s">
        <v>110</v>
      </c>
      <c r="D1675" t="s">
        <v>154</v>
      </c>
      <c r="E1675" s="2">
        <v>33.5</v>
      </c>
      <c r="F1675" s="4">
        <v>6</v>
      </c>
      <c r="G1675" s="2">
        <v>201</v>
      </c>
      <c r="H1675" t="s">
        <v>45</v>
      </c>
      <c r="I1675" t="s">
        <v>16</v>
      </c>
      <c r="J1675" s="1">
        <v>44978</v>
      </c>
      <c r="K1675" t="b">
        <v>1</v>
      </c>
    </row>
    <row r="1676" spans="1:11" x14ac:dyDescent="0.25">
      <c r="A1676" t="s">
        <v>4219</v>
      </c>
      <c r="B1676" t="s">
        <v>69</v>
      </c>
      <c r="C1676" t="s">
        <v>31</v>
      </c>
      <c r="D1676" t="s">
        <v>155</v>
      </c>
      <c r="E1676" s="2">
        <v>33.5</v>
      </c>
      <c r="F1676" s="4">
        <v>6</v>
      </c>
      <c r="G1676" s="2">
        <v>201</v>
      </c>
      <c r="H1676" t="s">
        <v>25</v>
      </c>
      <c r="I1676" t="s">
        <v>16</v>
      </c>
      <c r="J1676" s="1">
        <v>45167</v>
      </c>
      <c r="K1676" t="b">
        <v>0</v>
      </c>
    </row>
    <row r="1677" spans="1:11" x14ac:dyDescent="0.25">
      <c r="A1677" t="s">
        <v>4958</v>
      </c>
      <c r="B1677" t="s">
        <v>22</v>
      </c>
      <c r="C1677" t="s">
        <v>27</v>
      </c>
      <c r="D1677" t="s">
        <v>209</v>
      </c>
      <c r="E1677" s="2">
        <v>33.5</v>
      </c>
      <c r="F1677" s="4">
        <v>6</v>
      </c>
      <c r="G1677" s="2">
        <v>201</v>
      </c>
      <c r="H1677" t="s">
        <v>25</v>
      </c>
      <c r="I1677" t="s">
        <v>36</v>
      </c>
      <c r="J1677" s="1">
        <v>44754</v>
      </c>
      <c r="K1677" t="b">
        <v>0</v>
      </c>
    </row>
    <row r="1678" spans="1:11" x14ac:dyDescent="0.25">
      <c r="A1678" t="s">
        <v>5570</v>
      </c>
      <c r="B1678" t="s">
        <v>97</v>
      </c>
      <c r="C1678" t="s">
        <v>23</v>
      </c>
      <c r="D1678" t="s">
        <v>73</v>
      </c>
      <c r="E1678" s="2">
        <v>33.5</v>
      </c>
      <c r="F1678" s="4">
        <v>6</v>
      </c>
      <c r="G1678" s="2">
        <v>201</v>
      </c>
      <c r="H1678" t="s">
        <v>25</v>
      </c>
      <c r="I1678" t="s">
        <v>16</v>
      </c>
      <c r="J1678" s="1">
        <v>44855</v>
      </c>
      <c r="K1678" t="b">
        <v>1</v>
      </c>
    </row>
    <row r="1679" spans="1:11" x14ac:dyDescent="0.25">
      <c r="A1679" t="s">
        <v>2832</v>
      </c>
      <c r="B1679" t="s">
        <v>30</v>
      </c>
      <c r="C1679" t="s">
        <v>38</v>
      </c>
      <c r="D1679" t="s">
        <v>434</v>
      </c>
      <c r="E1679" s="2">
        <v>33.5</v>
      </c>
      <c r="F1679" s="4">
        <v>6</v>
      </c>
      <c r="G1679" s="2">
        <v>201</v>
      </c>
      <c r="H1679" t="s">
        <v>15</v>
      </c>
      <c r="I1679" t="s">
        <v>36</v>
      </c>
      <c r="J1679" s="1">
        <v>45037</v>
      </c>
      <c r="K1679" t="b">
        <v>1</v>
      </c>
    </row>
    <row r="1680" spans="1:11" x14ac:dyDescent="0.25">
      <c r="A1680" t="s">
        <v>2140</v>
      </c>
      <c r="B1680" t="s">
        <v>58</v>
      </c>
      <c r="C1680" t="s">
        <v>38</v>
      </c>
      <c r="D1680" t="s">
        <v>434</v>
      </c>
      <c r="E1680" s="2">
        <v>33.5</v>
      </c>
      <c r="F1680" s="4">
        <v>6</v>
      </c>
      <c r="G1680" s="2">
        <v>201</v>
      </c>
      <c r="H1680" t="s">
        <v>25</v>
      </c>
      <c r="I1680" t="s">
        <v>16</v>
      </c>
      <c r="J1680" s="1">
        <v>45553</v>
      </c>
      <c r="K1680" t="b">
        <v>0</v>
      </c>
    </row>
    <row r="1681" spans="1:11" x14ac:dyDescent="0.25">
      <c r="A1681" t="s">
        <v>1756</v>
      </c>
      <c r="B1681" t="s">
        <v>61</v>
      </c>
      <c r="C1681" t="s">
        <v>38</v>
      </c>
      <c r="D1681" t="s">
        <v>434</v>
      </c>
      <c r="E1681" s="2">
        <v>33.5</v>
      </c>
      <c r="F1681" s="4">
        <v>6</v>
      </c>
      <c r="G1681" s="2">
        <v>201</v>
      </c>
      <c r="H1681" t="s">
        <v>25</v>
      </c>
      <c r="I1681" t="s">
        <v>16</v>
      </c>
      <c r="J1681" s="1">
        <v>45640</v>
      </c>
      <c r="K1681" t="b">
        <v>0</v>
      </c>
    </row>
    <row r="1682" spans="1:11" x14ac:dyDescent="0.25">
      <c r="A1682" t="s">
        <v>7313</v>
      </c>
      <c r="B1682" t="s">
        <v>86</v>
      </c>
      <c r="C1682" t="s">
        <v>13</v>
      </c>
      <c r="D1682" t="s">
        <v>375</v>
      </c>
      <c r="E1682" s="2">
        <v>33.5</v>
      </c>
      <c r="F1682" s="4">
        <v>6</v>
      </c>
      <c r="G1682" s="2">
        <v>201</v>
      </c>
      <c r="H1682" t="s">
        <v>15</v>
      </c>
      <c r="I1682" t="s">
        <v>16</v>
      </c>
      <c r="J1682" s="1">
        <v>45134</v>
      </c>
      <c r="K1682" t="b">
        <v>1</v>
      </c>
    </row>
    <row r="1683" spans="1:11" x14ac:dyDescent="0.25">
      <c r="A1683" t="s">
        <v>1788</v>
      </c>
      <c r="B1683" t="s">
        <v>66</v>
      </c>
      <c r="C1683" t="s">
        <v>19</v>
      </c>
      <c r="D1683" t="s">
        <v>626</v>
      </c>
      <c r="E1683" s="2">
        <v>33.5</v>
      </c>
      <c r="F1683" s="4">
        <v>6</v>
      </c>
      <c r="G1683" s="2">
        <v>201</v>
      </c>
      <c r="H1683" t="s">
        <v>15</v>
      </c>
      <c r="I1683" t="s">
        <v>36</v>
      </c>
      <c r="J1683" s="1">
        <v>45585</v>
      </c>
      <c r="K1683" t="b">
        <v>1</v>
      </c>
    </row>
    <row r="1684" spans="1:11" x14ac:dyDescent="0.25">
      <c r="A1684" t="s">
        <v>4253</v>
      </c>
      <c r="B1684" t="s">
        <v>63</v>
      </c>
      <c r="C1684" t="s">
        <v>38</v>
      </c>
      <c r="D1684" t="s">
        <v>434</v>
      </c>
      <c r="E1684" s="2">
        <v>33.5</v>
      </c>
      <c r="F1684" s="4">
        <v>6</v>
      </c>
      <c r="G1684" s="2">
        <v>201</v>
      </c>
      <c r="H1684" t="s">
        <v>25</v>
      </c>
      <c r="I1684" t="s">
        <v>16</v>
      </c>
      <c r="J1684" s="1">
        <v>45304</v>
      </c>
      <c r="K1684" t="b">
        <v>0</v>
      </c>
    </row>
    <row r="1685" spans="1:11" x14ac:dyDescent="0.25">
      <c r="A1685" t="s">
        <v>2700</v>
      </c>
      <c r="B1685" t="s">
        <v>58</v>
      </c>
      <c r="C1685" t="s">
        <v>27</v>
      </c>
      <c r="D1685" t="s">
        <v>209</v>
      </c>
      <c r="E1685" s="2">
        <v>33.5</v>
      </c>
      <c r="F1685" s="4">
        <v>6</v>
      </c>
      <c r="G1685" s="2">
        <v>201</v>
      </c>
      <c r="H1685" t="s">
        <v>15</v>
      </c>
      <c r="I1685" t="s">
        <v>36</v>
      </c>
      <c r="J1685" s="1">
        <v>44897</v>
      </c>
      <c r="K1685" t="b">
        <v>1</v>
      </c>
    </row>
    <row r="1686" spans="1:11" x14ac:dyDescent="0.25">
      <c r="A1686" t="s">
        <v>4013</v>
      </c>
      <c r="B1686" t="s">
        <v>34</v>
      </c>
      <c r="C1686" t="s">
        <v>59</v>
      </c>
      <c r="D1686" t="s">
        <v>270</v>
      </c>
      <c r="E1686" s="2">
        <v>33.5</v>
      </c>
      <c r="F1686" s="4">
        <v>6</v>
      </c>
      <c r="G1686" s="2">
        <v>201</v>
      </c>
      <c r="H1686" t="s">
        <v>25</v>
      </c>
      <c r="I1686" t="s">
        <v>36</v>
      </c>
      <c r="J1686" s="1">
        <v>44714</v>
      </c>
      <c r="K1686" t="b">
        <v>1</v>
      </c>
    </row>
    <row r="1687" spans="1:11" x14ac:dyDescent="0.25">
      <c r="A1687" t="s">
        <v>1258</v>
      </c>
      <c r="B1687" t="s">
        <v>58</v>
      </c>
      <c r="C1687" t="s">
        <v>23</v>
      </c>
      <c r="D1687" t="s">
        <v>73</v>
      </c>
      <c r="E1687" s="2">
        <v>33.5</v>
      </c>
      <c r="F1687" s="4">
        <v>6</v>
      </c>
      <c r="G1687" s="2">
        <v>201</v>
      </c>
      <c r="H1687" t="s">
        <v>15</v>
      </c>
      <c r="I1687" t="s">
        <v>36</v>
      </c>
      <c r="J1687" s="1">
        <v>45272</v>
      </c>
      <c r="K1687" t="b">
        <v>0</v>
      </c>
    </row>
    <row r="1688" spans="1:11" x14ac:dyDescent="0.25">
      <c r="A1688" t="s">
        <v>6380</v>
      </c>
      <c r="B1688" t="s">
        <v>37</v>
      </c>
      <c r="C1688" t="s">
        <v>59</v>
      </c>
      <c r="D1688" t="s">
        <v>270</v>
      </c>
      <c r="E1688" s="2">
        <v>33.5</v>
      </c>
      <c r="F1688" s="4">
        <v>6</v>
      </c>
      <c r="G1688" s="2">
        <v>201</v>
      </c>
      <c r="H1688" t="s">
        <v>45</v>
      </c>
      <c r="I1688" t="s">
        <v>36</v>
      </c>
      <c r="J1688" s="1">
        <v>44931</v>
      </c>
      <c r="K1688" t="b">
        <v>0</v>
      </c>
    </row>
    <row r="1689" spans="1:11" x14ac:dyDescent="0.25">
      <c r="A1689" t="s">
        <v>3248</v>
      </c>
      <c r="B1689" t="s">
        <v>85</v>
      </c>
      <c r="C1689" t="s">
        <v>31</v>
      </c>
      <c r="D1689" t="s">
        <v>155</v>
      </c>
      <c r="E1689" s="2">
        <v>33.5</v>
      </c>
      <c r="F1689" s="4">
        <v>6</v>
      </c>
      <c r="G1689" s="2">
        <v>201</v>
      </c>
      <c r="H1689" t="s">
        <v>15</v>
      </c>
      <c r="I1689" t="s">
        <v>16</v>
      </c>
      <c r="J1689" s="1">
        <v>44921</v>
      </c>
      <c r="K1689" t="b">
        <v>0</v>
      </c>
    </row>
    <row r="1690" spans="1:11" x14ac:dyDescent="0.25">
      <c r="A1690" t="s">
        <v>1718</v>
      </c>
      <c r="B1690" t="s">
        <v>12</v>
      </c>
      <c r="C1690" t="s">
        <v>13</v>
      </c>
      <c r="D1690" t="s">
        <v>375</v>
      </c>
      <c r="E1690" s="2">
        <v>33.5</v>
      </c>
      <c r="F1690" s="4">
        <v>6</v>
      </c>
      <c r="G1690" s="2">
        <v>201</v>
      </c>
      <c r="H1690" t="s">
        <v>45</v>
      </c>
      <c r="I1690" t="s">
        <v>16</v>
      </c>
      <c r="J1690" s="1">
        <v>44980</v>
      </c>
      <c r="K1690" t="b">
        <v>1</v>
      </c>
    </row>
    <row r="1691" spans="1:11" x14ac:dyDescent="0.25">
      <c r="A1691" t="s">
        <v>7546</v>
      </c>
      <c r="B1691" t="s">
        <v>142</v>
      </c>
      <c r="C1691" t="s">
        <v>110</v>
      </c>
      <c r="D1691" t="s">
        <v>154</v>
      </c>
      <c r="E1691" s="2">
        <v>33.5</v>
      </c>
      <c r="F1691" s="4">
        <v>6</v>
      </c>
      <c r="G1691" s="2">
        <v>201</v>
      </c>
      <c r="H1691" t="s">
        <v>45</v>
      </c>
      <c r="I1691" t="s">
        <v>16</v>
      </c>
      <c r="J1691" s="1">
        <v>45372</v>
      </c>
      <c r="K1691" t="b">
        <v>1</v>
      </c>
    </row>
    <row r="1692" spans="1:11" x14ac:dyDescent="0.25">
      <c r="A1692" t="s">
        <v>4172</v>
      </c>
      <c r="B1692" t="s">
        <v>12</v>
      </c>
      <c r="C1692" t="s">
        <v>59</v>
      </c>
      <c r="D1692" t="s">
        <v>270</v>
      </c>
      <c r="E1692" s="2">
        <v>33.5</v>
      </c>
      <c r="F1692" s="4">
        <v>6</v>
      </c>
      <c r="G1692" s="2">
        <v>201</v>
      </c>
      <c r="H1692" t="s">
        <v>45</v>
      </c>
      <c r="I1692" t="s">
        <v>36</v>
      </c>
      <c r="J1692" s="1">
        <v>45053</v>
      </c>
      <c r="K1692" t="b">
        <v>1</v>
      </c>
    </row>
    <row r="1693" spans="1:11" x14ac:dyDescent="0.25">
      <c r="A1693" t="s">
        <v>2741</v>
      </c>
      <c r="B1693" t="s">
        <v>69</v>
      </c>
      <c r="C1693" t="s">
        <v>110</v>
      </c>
      <c r="D1693" t="s">
        <v>154</v>
      </c>
      <c r="E1693" s="2">
        <v>33.5</v>
      </c>
      <c r="F1693" s="4">
        <v>6</v>
      </c>
      <c r="G1693" s="2">
        <v>201</v>
      </c>
      <c r="H1693" t="s">
        <v>15</v>
      </c>
      <c r="I1693" t="s">
        <v>16</v>
      </c>
      <c r="J1693" s="1">
        <v>45629</v>
      </c>
      <c r="K1693" t="b">
        <v>1</v>
      </c>
    </row>
    <row r="1694" spans="1:11" x14ac:dyDescent="0.25">
      <c r="A1694" t="s">
        <v>2829</v>
      </c>
      <c r="B1694" t="s">
        <v>34</v>
      </c>
      <c r="C1694" t="s">
        <v>31</v>
      </c>
      <c r="D1694" t="s">
        <v>155</v>
      </c>
      <c r="E1694" s="2">
        <v>33.5</v>
      </c>
      <c r="F1694" s="4">
        <v>6</v>
      </c>
      <c r="G1694" s="2">
        <v>201</v>
      </c>
      <c r="H1694" t="s">
        <v>15</v>
      </c>
      <c r="I1694" t="s">
        <v>16</v>
      </c>
      <c r="J1694" s="1">
        <v>45521</v>
      </c>
      <c r="K1694" t="b">
        <v>1</v>
      </c>
    </row>
    <row r="1695" spans="1:11" x14ac:dyDescent="0.25">
      <c r="A1695" t="s">
        <v>3461</v>
      </c>
      <c r="B1695" t="s">
        <v>86</v>
      </c>
      <c r="C1695" t="s">
        <v>31</v>
      </c>
      <c r="D1695" t="s">
        <v>155</v>
      </c>
      <c r="E1695" s="2">
        <v>33.5</v>
      </c>
      <c r="F1695" s="4">
        <v>6</v>
      </c>
      <c r="G1695" s="2">
        <v>201</v>
      </c>
      <c r="H1695" t="s">
        <v>15</v>
      </c>
      <c r="I1695" t="s">
        <v>16</v>
      </c>
      <c r="J1695" s="1">
        <v>45219</v>
      </c>
      <c r="K1695" t="b">
        <v>1</v>
      </c>
    </row>
    <row r="1696" spans="1:11" x14ac:dyDescent="0.25">
      <c r="A1696" t="s">
        <v>1996</v>
      </c>
      <c r="B1696" t="s">
        <v>40</v>
      </c>
      <c r="C1696" t="s">
        <v>27</v>
      </c>
      <c r="D1696" t="s">
        <v>209</v>
      </c>
      <c r="E1696" s="2">
        <v>33.5</v>
      </c>
      <c r="F1696" s="4">
        <v>6</v>
      </c>
      <c r="G1696" s="2">
        <v>201</v>
      </c>
      <c r="H1696" t="s">
        <v>45</v>
      </c>
      <c r="I1696" t="s">
        <v>36</v>
      </c>
      <c r="J1696" s="1">
        <v>44654</v>
      </c>
      <c r="K1696" t="b">
        <v>0</v>
      </c>
    </row>
    <row r="1697" spans="1:11" x14ac:dyDescent="0.25">
      <c r="A1697" t="s">
        <v>6392</v>
      </c>
      <c r="B1697" t="s">
        <v>26</v>
      </c>
      <c r="C1697" t="s">
        <v>110</v>
      </c>
      <c r="D1697" t="s">
        <v>154</v>
      </c>
      <c r="E1697" s="2">
        <v>33.5</v>
      </c>
      <c r="F1697" s="4">
        <v>6</v>
      </c>
      <c r="G1697" s="2">
        <v>201</v>
      </c>
      <c r="H1697" t="s">
        <v>45</v>
      </c>
      <c r="I1697" t="s">
        <v>36</v>
      </c>
      <c r="J1697" s="1">
        <v>45405</v>
      </c>
      <c r="K1697" t="b">
        <v>1</v>
      </c>
    </row>
    <row r="1698" spans="1:11" x14ac:dyDescent="0.25">
      <c r="A1698" t="s">
        <v>1824</v>
      </c>
      <c r="B1698" t="s">
        <v>63</v>
      </c>
      <c r="C1698" t="s">
        <v>110</v>
      </c>
      <c r="D1698" t="s">
        <v>154</v>
      </c>
      <c r="E1698" s="2">
        <v>33.5</v>
      </c>
      <c r="F1698" s="4">
        <v>6</v>
      </c>
      <c r="G1698" s="2">
        <v>201</v>
      </c>
      <c r="H1698" t="s">
        <v>45</v>
      </c>
      <c r="I1698" t="s">
        <v>16</v>
      </c>
      <c r="J1698" s="1">
        <v>45148</v>
      </c>
      <c r="K1698" t="b">
        <v>1</v>
      </c>
    </row>
    <row r="1699" spans="1:11" x14ac:dyDescent="0.25">
      <c r="A1699" t="s">
        <v>6009</v>
      </c>
      <c r="B1699" t="s">
        <v>30</v>
      </c>
      <c r="C1699" t="s">
        <v>38</v>
      </c>
      <c r="D1699" t="s">
        <v>434</v>
      </c>
      <c r="E1699" s="2">
        <v>33.5</v>
      </c>
      <c r="F1699" s="4">
        <v>6</v>
      </c>
      <c r="G1699" s="2">
        <v>201</v>
      </c>
      <c r="H1699" t="s">
        <v>15</v>
      </c>
      <c r="I1699" t="s">
        <v>16</v>
      </c>
      <c r="J1699" s="1">
        <v>44838</v>
      </c>
      <c r="K1699" t="b">
        <v>1</v>
      </c>
    </row>
    <row r="1700" spans="1:11" x14ac:dyDescent="0.25">
      <c r="A1700" t="s">
        <v>4806</v>
      </c>
      <c r="B1700" t="s">
        <v>97</v>
      </c>
      <c r="C1700" t="s">
        <v>23</v>
      </c>
      <c r="D1700" t="s">
        <v>73</v>
      </c>
      <c r="E1700" s="2">
        <v>33.5</v>
      </c>
      <c r="F1700" s="4">
        <v>6</v>
      </c>
      <c r="G1700" s="2">
        <v>201</v>
      </c>
      <c r="H1700" t="s">
        <v>15</v>
      </c>
      <c r="I1700" t="s">
        <v>36</v>
      </c>
      <c r="J1700" s="1">
        <v>45575</v>
      </c>
      <c r="K1700" t="b">
        <v>0</v>
      </c>
    </row>
    <row r="1701" spans="1:11" x14ac:dyDescent="0.25">
      <c r="A1701" t="s">
        <v>6270</v>
      </c>
      <c r="B1701" t="s">
        <v>61</v>
      </c>
      <c r="C1701" t="s">
        <v>31</v>
      </c>
      <c r="D1701" t="s">
        <v>155</v>
      </c>
      <c r="E1701" s="2">
        <v>33.5</v>
      </c>
      <c r="F1701" s="4">
        <v>6</v>
      </c>
      <c r="G1701" s="2">
        <v>201</v>
      </c>
      <c r="H1701" t="s">
        <v>15</v>
      </c>
      <c r="I1701" t="s">
        <v>16</v>
      </c>
      <c r="J1701" s="1">
        <v>45551</v>
      </c>
      <c r="K1701" t="b">
        <v>1</v>
      </c>
    </row>
    <row r="1702" spans="1:11" x14ac:dyDescent="0.25">
      <c r="A1702" t="s">
        <v>3348</v>
      </c>
      <c r="B1702" t="s">
        <v>69</v>
      </c>
      <c r="C1702" t="s">
        <v>13</v>
      </c>
      <c r="D1702" t="s">
        <v>375</v>
      </c>
      <c r="E1702" s="2">
        <v>33.5</v>
      </c>
      <c r="F1702" s="4">
        <v>6</v>
      </c>
      <c r="G1702" s="2">
        <v>201</v>
      </c>
      <c r="H1702" t="s">
        <v>25</v>
      </c>
      <c r="I1702" t="s">
        <v>16</v>
      </c>
      <c r="J1702" s="1">
        <v>45391</v>
      </c>
      <c r="K1702" t="b">
        <v>0</v>
      </c>
    </row>
    <row r="1703" spans="1:11" x14ac:dyDescent="0.25">
      <c r="A1703" t="s">
        <v>3586</v>
      </c>
      <c r="B1703" t="s">
        <v>22</v>
      </c>
      <c r="C1703" t="s">
        <v>59</v>
      </c>
      <c r="D1703" t="s">
        <v>270</v>
      </c>
      <c r="E1703" s="2">
        <v>33.5</v>
      </c>
      <c r="F1703" s="4">
        <v>6</v>
      </c>
      <c r="G1703" s="2">
        <v>201</v>
      </c>
      <c r="H1703" t="s">
        <v>15</v>
      </c>
      <c r="I1703" t="s">
        <v>16</v>
      </c>
      <c r="J1703" s="1">
        <v>45519</v>
      </c>
      <c r="K1703" t="b">
        <v>0</v>
      </c>
    </row>
    <row r="1704" spans="1:11" x14ac:dyDescent="0.25">
      <c r="A1704" t="s">
        <v>5001</v>
      </c>
      <c r="B1704" t="s">
        <v>43</v>
      </c>
      <c r="C1704" t="s">
        <v>59</v>
      </c>
      <c r="D1704" t="s">
        <v>270</v>
      </c>
      <c r="E1704" s="2">
        <v>33.5</v>
      </c>
      <c r="F1704" s="4">
        <v>6</v>
      </c>
      <c r="G1704" s="2">
        <v>201</v>
      </c>
      <c r="H1704" t="s">
        <v>45</v>
      </c>
      <c r="I1704" t="s">
        <v>16</v>
      </c>
      <c r="J1704" s="1">
        <v>45614</v>
      </c>
      <c r="K1704" t="b">
        <v>1</v>
      </c>
    </row>
    <row r="1705" spans="1:11" x14ac:dyDescent="0.25">
      <c r="A1705" t="s">
        <v>582</v>
      </c>
      <c r="B1705" t="s">
        <v>93</v>
      </c>
      <c r="C1705" t="s">
        <v>27</v>
      </c>
      <c r="D1705" t="s">
        <v>209</v>
      </c>
      <c r="E1705" s="2">
        <v>33.5</v>
      </c>
      <c r="F1705" s="4">
        <v>6</v>
      </c>
      <c r="G1705" s="2">
        <v>201</v>
      </c>
      <c r="H1705" t="s">
        <v>25</v>
      </c>
      <c r="I1705" t="s">
        <v>16</v>
      </c>
      <c r="J1705" s="1">
        <v>44578</v>
      </c>
      <c r="K1705" t="b">
        <v>0</v>
      </c>
    </row>
    <row r="1706" spans="1:11" x14ac:dyDescent="0.25">
      <c r="A1706" t="s">
        <v>5888</v>
      </c>
      <c r="B1706" t="s">
        <v>51</v>
      </c>
      <c r="C1706" t="s">
        <v>13</v>
      </c>
      <c r="D1706" t="s">
        <v>375</v>
      </c>
      <c r="E1706" s="2">
        <v>33.5</v>
      </c>
      <c r="F1706" s="4">
        <v>6</v>
      </c>
      <c r="G1706" s="2">
        <v>201</v>
      </c>
      <c r="H1706" t="s">
        <v>45</v>
      </c>
      <c r="I1706" t="s">
        <v>36</v>
      </c>
      <c r="J1706" s="1">
        <v>44843</v>
      </c>
      <c r="K1706" t="b">
        <v>1</v>
      </c>
    </row>
    <row r="1707" spans="1:11" x14ac:dyDescent="0.25">
      <c r="A1707" t="s">
        <v>5400</v>
      </c>
      <c r="B1707" t="s">
        <v>37</v>
      </c>
      <c r="C1707" t="s">
        <v>38</v>
      </c>
      <c r="D1707" t="s">
        <v>434</v>
      </c>
      <c r="E1707" s="2">
        <v>33.5</v>
      </c>
      <c r="F1707" s="4">
        <v>6</v>
      </c>
      <c r="G1707" s="2">
        <v>201</v>
      </c>
      <c r="H1707" t="s">
        <v>25</v>
      </c>
      <c r="I1707" t="s">
        <v>16</v>
      </c>
      <c r="J1707" s="1">
        <v>44658</v>
      </c>
      <c r="K1707" t="b">
        <v>1</v>
      </c>
    </row>
    <row r="1708" spans="1:11" x14ac:dyDescent="0.25">
      <c r="A1708" t="s">
        <v>7543</v>
      </c>
      <c r="B1708" t="s">
        <v>43</v>
      </c>
      <c r="C1708" t="s">
        <v>110</v>
      </c>
      <c r="D1708" t="s">
        <v>154</v>
      </c>
      <c r="E1708" s="2">
        <v>33.5</v>
      </c>
      <c r="F1708" s="4">
        <v>6</v>
      </c>
      <c r="G1708" s="2">
        <v>201</v>
      </c>
      <c r="H1708" t="s">
        <v>15</v>
      </c>
      <c r="I1708" t="s">
        <v>16</v>
      </c>
      <c r="J1708" s="1">
        <v>44568</v>
      </c>
      <c r="K1708" t="b">
        <v>0</v>
      </c>
    </row>
    <row r="1709" spans="1:11" x14ac:dyDescent="0.25">
      <c r="A1709" t="s">
        <v>5831</v>
      </c>
      <c r="B1709" t="s">
        <v>61</v>
      </c>
      <c r="C1709" t="s">
        <v>27</v>
      </c>
      <c r="D1709" t="s">
        <v>209</v>
      </c>
      <c r="E1709" s="2">
        <v>33.5</v>
      </c>
      <c r="F1709" s="4">
        <v>6</v>
      </c>
      <c r="G1709" s="2">
        <v>201</v>
      </c>
      <c r="H1709" t="s">
        <v>25</v>
      </c>
      <c r="I1709" t="s">
        <v>36</v>
      </c>
      <c r="J1709" s="1">
        <v>44772</v>
      </c>
      <c r="K1709" t="b">
        <v>1</v>
      </c>
    </row>
    <row r="1710" spans="1:11" x14ac:dyDescent="0.25">
      <c r="A1710" t="s">
        <v>5923</v>
      </c>
      <c r="B1710" t="s">
        <v>43</v>
      </c>
      <c r="C1710" t="s">
        <v>23</v>
      </c>
      <c r="D1710" t="s">
        <v>73</v>
      </c>
      <c r="E1710" s="2">
        <v>33.5</v>
      </c>
      <c r="F1710" s="4">
        <v>6</v>
      </c>
      <c r="G1710" s="2">
        <v>201</v>
      </c>
      <c r="H1710" t="s">
        <v>25</v>
      </c>
      <c r="I1710" t="s">
        <v>36</v>
      </c>
      <c r="J1710" s="1">
        <v>44867</v>
      </c>
      <c r="K1710" t="b">
        <v>0</v>
      </c>
    </row>
    <row r="1711" spans="1:11" x14ac:dyDescent="0.25">
      <c r="A1711" t="s">
        <v>2737</v>
      </c>
      <c r="B1711" t="s">
        <v>104</v>
      </c>
      <c r="C1711" t="s">
        <v>38</v>
      </c>
      <c r="D1711" t="s">
        <v>434</v>
      </c>
      <c r="E1711" s="2">
        <v>33.5</v>
      </c>
      <c r="F1711" s="4">
        <v>6</v>
      </c>
      <c r="G1711" s="2">
        <v>201</v>
      </c>
      <c r="H1711" t="s">
        <v>15</v>
      </c>
      <c r="I1711" t="s">
        <v>36</v>
      </c>
      <c r="J1711" s="1">
        <v>45380</v>
      </c>
      <c r="K1711" t="b">
        <v>0</v>
      </c>
    </row>
    <row r="1712" spans="1:11" x14ac:dyDescent="0.25">
      <c r="A1712" t="s">
        <v>4932</v>
      </c>
      <c r="B1712" t="s">
        <v>37</v>
      </c>
      <c r="C1712" t="s">
        <v>23</v>
      </c>
      <c r="D1712" t="s">
        <v>73</v>
      </c>
      <c r="E1712" s="2">
        <v>33.5</v>
      </c>
      <c r="F1712" s="4">
        <v>6</v>
      </c>
      <c r="G1712" s="2">
        <v>201</v>
      </c>
      <c r="H1712" t="s">
        <v>15</v>
      </c>
      <c r="I1712" t="s">
        <v>36</v>
      </c>
      <c r="J1712" s="1">
        <v>44863</v>
      </c>
      <c r="K1712" t="b">
        <v>1</v>
      </c>
    </row>
    <row r="1713" spans="1:11" x14ac:dyDescent="0.25">
      <c r="A1713" t="s">
        <v>4342</v>
      </c>
      <c r="B1713" t="s">
        <v>100</v>
      </c>
      <c r="C1713" t="s">
        <v>110</v>
      </c>
      <c r="D1713" t="s">
        <v>154</v>
      </c>
      <c r="E1713" s="2">
        <v>33.5</v>
      </c>
      <c r="F1713" s="4">
        <v>6</v>
      </c>
      <c r="G1713" s="2">
        <v>201</v>
      </c>
      <c r="H1713" t="s">
        <v>25</v>
      </c>
      <c r="I1713" t="s">
        <v>36</v>
      </c>
      <c r="J1713" s="1">
        <v>44719</v>
      </c>
      <c r="K1713" t="b">
        <v>1</v>
      </c>
    </row>
    <row r="1714" spans="1:11" x14ac:dyDescent="0.25">
      <c r="A1714" t="s">
        <v>3976</v>
      </c>
      <c r="B1714" t="s">
        <v>51</v>
      </c>
      <c r="C1714" t="s">
        <v>31</v>
      </c>
      <c r="D1714" t="s">
        <v>155</v>
      </c>
      <c r="E1714" s="2">
        <v>33.5</v>
      </c>
      <c r="F1714" s="4">
        <v>6</v>
      </c>
      <c r="G1714" s="2">
        <v>201</v>
      </c>
      <c r="H1714" t="s">
        <v>45</v>
      </c>
      <c r="I1714" t="s">
        <v>16</v>
      </c>
      <c r="J1714" s="1">
        <v>44971</v>
      </c>
      <c r="K1714" t="b">
        <v>1</v>
      </c>
    </row>
    <row r="1715" spans="1:11" x14ac:dyDescent="0.25">
      <c r="A1715" t="s">
        <v>3680</v>
      </c>
      <c r="B1715" t="s">
        <v>22</v>
      </c>
      <c r="C1715" t="s">
        <v>31</v>
      </c>
      <c r="D1715" t="s">
        <v>82</v>
      </c>
      <c r="E1715" s="2">
        <v>20</v>
      </c>
      <c r="F1715" s="4">
        <v>10</v>
      </c>
      <c r="G1715" s="2">
        <v>200</v>
      </c>
      <c r="H1715" t="s">
        <v>15</v>
      </c>
      <c r="I1715" t="s">
        <v>36</v>
      </c>
      <c r="J1715" s="1">
        <v>44702</v>
      </c>
      <c r="K1715" t="b">
        <v>1</v>
      </c>
    </row>
    <row r="1716" spans="1:11" x14ac:dyDescent="0.25">
      <c r="A1716" t="s">
        <v>7132</v>
      </c>
      <c r="B1716" t="s">
        <v>104</v>
      </c>
      <c r="C1716" t="s">
        <v>13</v>
      </c>
      <c r="D1716" t="s">
        <v>113</v>
      </c>
      <c r="E1716" s="2">
        <v>20</v>
      </c>
      <c r="F1716" s="4">
        <v>10</v>
      </c>
      <c r="G1716" s="2">
        <v>200</v>
      </c>
      <c r="H1716" t="s">
        <v>45</v>
      </c>
      <c r="I1716" t="s">
        <v>16</v>
      </c>
      <c r="J1716" s="1">
        <v>44714</v>
      </c>
      <c r="K1716" t="b">
        <v>0</v>
      </c>
    </row>
    <row r="1717" spans="1:11" x14ac:dyDescent="0.25">
      <c r="A1717" t="s">
        <v>3184</v>
      </c>
      <c r="B1717" t="s">
        <v>40</v>
      </c>
      <c r="C1717" t="s">
        <v>31</v>
      </c>
      <c r="D1717" t="s">
        <v>82</v>
      </c>
      <c r="E1717" s="2">
        <v>20</v>
      </c>
      <c r="F1717" s="4">
        <v>10</v>
      </c>
      <c r="G1717" s="2">
        <v>200</v>
      </c>
      <c r="H1717" t="s">
        <v>15</v>
      </c>
      <c r="I1717" t="s">
        <v>36</v>
      </c>
      <c r="J1717" s="1">
        <v>45636</v>
      </c>
      <c r="K1717" t="b">
        <v>1</v>
      </c>
    </row>
    <row r="1718" spans="1:11" x14ac:dyDescent="0.25">
      <c r="A1718" t="s">
        <v>2940</v>
      </c>
      <c r="B1718" t="s">
        <v>85</v>
      </c>
      <c r="C1718" t="s">
        <v>31</v>
      </c>
      <c r="D1718" t="s">
        <v>82</v>
      </c>
      <c r="E1718" s="2">
        <v>20</v>
      </c>
      <c r="F1718" s="4">
        <v>10</v>
      </c>
      <c r="G1718" s="2">
        <v>200</v>
      </c>
      <c r="H1718" t="s">
        <v>25</v>
      </c>
      <c r="I1718" t="s">
        <v>36</v>
      </c>
      <c r="J1718" s="1">
        <v>44803</v>
      </c>
      <c r="K1718" t="b">
        <v>1</v>
      </c>
    </row>
    <row r="1719" spans="1:11" x14ac:dyDescent="0.25">
      <c r="A1719" t="s">
        <v>3392</v>
      </c>
      <c r="B1719" t="s">
        <v>40</v>
      </c>
      <c r="C1719" t="s">
        <v>59</v>
      </c>
      <c r="D1719" t="s">
        <v>365</v>
      </c>
      <c r="E1719" s="2">
        <v>20</v>
      </c>
      <c r="F1719" s="4">
        <v>10</v>
      </c>
      <c r="G1719" s="2">
        <v>200</v>
      </c>
      <c r="H1719" t="s">
        <v>45</v>
      </c>
      <c r="I1719" t="s">
        <v>36</v>
      </c>
      <c r="J1719" s="1">
        <v>45419</v>
      </c>
      <c r="K1719" t="b">
        <v>0</v>
      </c>
    </row>
    <row r="1720" spans="1:11" x14ac:dyDescent="0.25">
      <c r="A1720" t="s">
        <v>1223</v>
      </c>
      <c r="B1720" t="s">
        <v>56</v>
      </c>
      <c r="C1720" t="s">
        <v>110</v>
      </c>
      <c r="D1720" t="s">
        <v>263</v>
      </c>
      <c r="E1720" s="2">
        <v>20</v>
      </c>
      <c r="F1720" s="4">
        <v>10</v>
      </c>
      <c r="G1720" s="2">
        <v>200</v>
      </c>
      <c r="H1720" t="s">
        <v>15</v>
      </c>
      <c r="I1720" t="s">
        <v>36</v>
      </c>
      <c r="J1720" s="1">
        <v>45033</v>
      </c>
      <c r="K1720" t="b">
        <v>1</v>
      </c>
    </row>
    <row r="1721" spans="1:11" x14ac:dyDescent="0.25">
      <c r="A1721" t="s">
        <v>6813</v>
      </c>
      <c r="B1721" t="s">
        <v>61</v>
      </c>
      <c r="C1721" t="s">
        <v>38</v>
      </c>
      <c r="D1721" t="s">
        <v>159</v>
      </c>
      <c r="E1721" s="2">
        <v>20</v>
      </c>
      <c r="F1721" s="4">
        <v>10</v>
      </c>
      <c r="G1721" s="2">
        <v>200</v>
      </c>
      <c r="H1721" t="s">
        <v>15</v>
      </c>
      <c r="I1721" t="s">
        <v>16</v>
      </c>
      <c r="J1721" s="1">
        <v>45649</v>
      </c>
      <c r="K1721" t="b">
        <v>0</v>
      </c>
    </row>
    <row r="1722" spans="1:11" x14ac:dyDescent="0.25">
      <c r="A1722" t="s">
        <v>7763</v>
      </c>
      <c r="B1722" t="s">
        <v>51</v>
      </c>
      <c r="C1722" t="s">
        <v>27</v>
      </c>
      <c r="D1722" t="s">
        <v>95</v>
      </c>
      <c r="E1722" s="2">
        <v>20</v>
      </c>
      <c r="F1722" s="4">
        <v>10</v>
      </c>
      <c r="G1722" s="2">
        <v>200</v>
      </c>
      <c r="H1722" t="s">
        <v>25</v>
      </c>
      <c r="I1722" t="s">
        <v>36</v>
      </c>
      <c r="J1722" s="1">
        <v>45022</v>
      </c>
      <c r="K1722" t="b">
        <v>0</v>
      </c>
    </row>
    <row r="1723" spans="1:11" x14ac:dyDescent="0.25">
      <c r="A1723" t="s">
        <v>3539</v>
      </c>
      <c r="B1723" t="s">
        <v>63</v>
      </c>
      <c r="C1723" t="s">
        <v>38</v>
      </c>
      <c r="D1723" t="s">
        <v>159</v>
      </c>
      <c r="E1723" s="2">
        <v>20</v>
      </c>
      <c r="F1723" s="4">
        <v>10</v>
      </c>
      <c r="G1723" s="2">
        <v>200</v>
      </c>
      <c r="H1723" t="s">
        <v>15</v>
      </c>
      <c r="I1723" t="s">
        <v>36</v>
      </c>
      <c r="J1723" s="1">
        <v>45211</v>
      </c>
      <c r="K1723" t="b">
        <v>0</v>
      </c>
    </row>
    <row r="1724" spans="1:11" x14ac:dyDescent="0.25">
      <c r="A1724" t="s">
        <v>5153</v>
      </c>
      <c r="B1724" t="s">
        <v>30</v>
      </c>
      <c r="C1724" t="s">
        <v>27</v>
      </c>
      <c r="D1724" t="s">
        <v>95</v>
      </c>
      <c r="E1724" s="2">
        <v>20</v>
      </c>
      <c r="F1724" s="4">
        <v>10</v>
      </c>
      <c r="G1724" s="2">
        <v>200</v>
      </c>
      <c r="H1724" t="s">
        <v>15</v>
      </c>
      <c r="I1724" t="s">
        <v>36</v>
      </c>
      <c r="J1724" s="1">
        <v>44606</v>
      </c>
      <c r="K1724" t="b">
        <v>1</v>
      </c>
    </row>
    <row r="1725" spans="1:11" x14ac:dyDescent="0.25">
      <c r="A1725" t="s">
        <v>4263</v>
      </c>
      <c r="B1725" t="s">
        <v>37</v>
      </c>
      <c r="C1725" t="s">
        <v>38</v>
      </c>
      <c r="D1725" t="s">
        <v>159</v>
      </c>
      <c r="E1725" s="2">
        <v>20</v>
      </c>
      <c r="F1725" s="4">
        <v>10</v>
      </c>
      <c r="G1725" s="2">
        <v>200</v>
      </c>
      <c r="H1725" t="s">
        <v>15</v>
      </c>
      <c r="I1725" t="s">
        <v>36</v>
      </c>
      <c r="J1725" s="1">
        <v>45311</v>
      </c>
      <c r="K1725" t="b">
        <v>1</v>
      </c>
    </row>
    <row r="1726" spans="1:11" x14ac:dyDescent="0.25">
      <c r="A1726" t="s">
        <v>755</v>
      </c>
      <c r="B1726" t="s">
        <v>12</v>
      </c>
      <c r="C1726" t="s">
        <v>13</v>
      </c>
      <c r="D1726" t="s">
        <v>113</v>
      </c>
      <c r="E1726" s="2">
        <v>20</v>
      </c>
      <c r="F1726" s="4">
        <v>10</v>
      </c>
      <c r="G1726" s="2">
        <v>200</v>
      </c>
      <c r="H1726" t="s">
        <v>45</v>
      </c>
      <c r="I1726" t="s">
        <v>36</v>
      </c>
      <c r="J1726" s="1">
        <v>45635</v>
      </c>
      <c r="K1726" t="b">
        <v>0</v>
      </c>
    </row>
    <row r="1727" spans="1:11" x14ac:dyDescent="0.25">
      <c r="A1727" t="s">
        <v>2954</v>
      </c>
      <c r="B1727" t="s">
        <v>34</v>
      </c>
      <c r="C1727" t="s">
        <v>19</v>
      </c>
      <c r="D1727" t="s">
        <v>228</v>
      </c>
      <c r="E1727" s="2">
        <v>20</v>
      </c>
      <c r="F1727" s="4">
        <v>10</v>
      </c>
      <c r="G1727" s="2">
        <v>200</v>
      </c>
      <c r="H1727" t="s">
        <v>45</v>
      </c>
      <c r="I1727" t="s">
        <v>36</v>
      </c>
      <c r="J1727" s="1">
        <v>44837</v>
      </c>
      <c r="K1727" t="b">
        <v>0</v>
      </c>
    </row>
    <row r="1728" spans="1:11" x14ac:dyDescent="0.25">
      <c r="A1728" t="s">
        <v>6844</v>
      </c>
      <c r="B1728" t="s">
        <v>51</v>
      </c>
      <c r="C1728" t="s">
        <v>110</v>
      </c>
      <c r="D1728" t="s">
        <v>263</v>
      </c>
      <c r="E1728" s="2">
        <v>20</v>
      </c>
      <c r="F1728" s="4">
        <v>10</v>
      </c>
      <c r="G1728" s="2">
        <v>200</v>
      </c>
      <c r="H1728" t="s">
        <v>25</v>
      </c>
      <c r="I1728" t="s">
        <v>16</v>
      </c>
      <c r="J1728" s="1">
        <v>45366</v>
      </c>
      <c r="K1728" t="b">
        <v>1</v>
      </c>
    </row>
    <row r="1729" spans="1:11" x14ac:dyDescent="0.25">
      <c r="A1729" t="s">
        <v>1444</v>
      </c>
      <c r="B1729" t="s">
        <v>77</v>
      </c>
      <c r="C1729" t="s">
        <v>31</v>
      </c>
      <c r="D1729" t="s">
        <v>82</v>
      </c>
      <c r="E1729" s="2">
        <v>20</v>
      </c>
      <c r="F1729" s="4">
        <v>10</v>
      </c>
      <c r="G1729" s="2">
        <v>200</v>
      </c>
      <c r="H1729" t="s">
        <v>15</v>
      </c>
      <c r="I1729" t="s">
        <v>36</v>
      </c>
      <c r="J1729" s="1">
        <v>44687</v>
      </c>
      <c r="K1729" t="b">
        <v>0</v>
      </c>
    </row>
    <row r="1730" spans="1:11" x14ac:dyDescent="0.25">
      <c r="A1730" t="s">
        <v>3048</v>
      </c>
      <c r="B1730" t="s">
        <v>26</v>
      </c>
      <c r="C1730" t="s">
        <v>19</v>
      </c>
      <c r="D1730" t="s">
        <v>228</v>
      </c>
      <c r="E1730" s="2">
        <v>20</v>
      </c>
      <c r="F1730" s="4">
        <v>10</v>
      </c>
      <c r="G1730" s="2">
        <v>200</v>
      </c>
      <c r="H1730" t="s">
        <v>45</v>
      </c>
      <c r="I1730" t="s">
        <v>36</v>
      </c>
      <c r="J1730" s="1">
        <v>44967</v>
      </c>
      <c r="K1730" t="b">
        <v>1</v>
      </c>
    </row>
    <row r="1731" spans="1:11" x14ac:dyDescent="0.25">
      <c r="A1731" t="s">
        <v>81</v>
      </c>
      <c r="B1731" t="s">
        <v>30</v>
      </c>
      <c r="C1731" t="s">
        <v>31</v>
      </c>
      <c r="D1731" t="s">
        <v>82</v>
      </c>
      <c r="E1731" s="2">
        <v>20</v>
      </c>
      <c r="F1731" s="4">
        <v>10</v>
      </c>
      <c r="G1731" s="2">
        <v>200</v>
      </c>
      <c r="H1731" t="s">
        <v>15</v>
      </c>
      <c r="I1731" t="s">
        <v>16</v>
      </c>
      <c r="J1731" s="1">
        <v>44677</v>
      </c>
      <c r="K1731" t="b">
        <v>0</v>
      </c>
    </row>
    <row r="1732" spans="1:11" x14ac:dyDescent="0.25">
      <c r="A1732" t="s">
        <v>2065</v>
      </c>
      <c r="B1732" t="s">
        <v>66</v>
      </c>
      <c r="C1732" t="s">
        <v>19</v>
      </c>
      <c r="D1732" t="s">
        <v>228</v>
      </c>
      <c r="E1732" s="2">
        <v>20</v>
      </c>
      <c r="F1732" s="4">
        <v>10</v>
      </c>
      <c r="G1732" s="2">
        <v>200</v>
      </c>
      <c r="H1732" t="s">
        <v>15</v>
      </c>
      <c r="I1732" t="s">
        <v>36</v>
      </c>
      <c r="J1732" s="1">
        <v>45481</v>
      </c>
      <c r="K1732" t="b">
        <v>0</v>
      </c>
    </row>
    <row r="1733" spans="1:11" x14ac:dyDescent="0.25">
      <c r="A1733" t="s">
        <v>1935</v>
      </c>
      <c r="B1733" t="s">
        <v>104</v>
      </c>
      <c r="C1733" t="s">
        <v>31</v>
      </c>
      <c r="D1733" t="s">
        <v>82</v>
      </c>
      <c r="E1733" s="2">
        <v>20</v>
      </c>
      <c r="F1733" s="4">
        <v>10</v>
      </c>
      <c r="G1733" s="2">
        <v>200</v>
      </c>
      <c r="H1733" t="s">
        <v>15</v>
      </c>
      <c r="I1733" t="s">
        <v>36</v>
      </c>
      <c r="J1733" s="1">
        <v>44758</v>
      </c>
      <c r="K1733" t="b">
        <v>0</v>
      </c>
    </row>
    <row r="1734" spans="1:11" x14ac:dyDescent="0.25">
      <c r="A1734" t="s">
        <v>6694</v>
      </c>
      <c r="B1734" t="s">
        <v>26</v>
      </c>
      <c r="C1734" t="s">
        <v>13</v>
      </c>
      <c r="D1734" t="s">
        <v>113</v>
      </c>
      <c r="E1734" s="2">
        <v>20</v>
      </c>
      <c r="F1734" s="4">
        <v>10</v>
      </c>
      <c r="G1734" s="2">
        <v>200</v>
      </c>
      <c r="H1734" t="s">
        <v>15</v>
      </c>
      <c r="I1734" t="s">
        <v>16</v>
      </c>
      <c r="J1734" s="1">
        <v>45563</v>
      </c>
      <c r="K1734" t="b">
        <v>0</v>
      </c>
    </row>
    <row r="1735" spans="1:11" x14ac:dyDescent="0.25">
      <c r="A1735" t="s">
        <v>6624</v>
      </c>
      <c r="B1735" t="s">
        <v>61</v>
      </c>
      <c r="C1735" t="s">
        <v>27</v>
      </c>
      <c r="D1735" t="s">
        <v>95</v>
      </c>
      <c r="E1735" s="2">
        <v>20</v>
      </c>
      <c r="F1735" s="4">
        <v>10</v>
      </c>
      <c r="G1735" s="2">
        <v>200</v>
      </c>
      <c r="H1735" t="s">
        <v>25</v>
      </c>
      <c r="I1735" t="s">
        <v>16</v>
      </c>
      <c r="J1735" s="1">
        <v>44957</v>
      </c>
      <c r="K1735" t="b">
        <v>1</v>
      </c>
    </row>
    <row r="1736" spans="1:11" x14ac:dyDescent="0.25">
      <c r="A1736" t="s">
        <v>5144</v>
      </c>
      <c r="B1736" t="s">
        <v>77</v>
      </c>
      <c r="C1736" t="s">
        <v>13</v>
      </c>
      <c r="D1736" t="s">
        <v>113</v>
      </c>
      <c r="E1736" s="2">
        <v>20</v>
      </c>
      <c r="F1736" s="4">
        <v>10</v>
      </c>
      <c r="G1736" s="2">
        <v>200</v>
      </c>
      <c r="H1736" t="s">
        <v>25</v>
      </c>
      <c r="I1736" t="s">
        <v>36</v>
      </c>
      <c r="J1736" s="1">
        <v>45131</v>
      </c>
      <c r="K1736" t="b">
        <v>1</v>
      </c>
    </row>
    <row r="1737" spans="1:11" x14ac:dyDescent="0.25">
      <c r="A1737" t="s">
        <v>2985</v>
      </c>
      <c r="B1737" t="s">
        <v>63</v>
      </c>
      <c r="C1737" t="s">
        <v>13</v>
      </c>
      <c r="D1737" t="s">
        <v>113</v>
      </c>
      <c r="E1737" s="2">
        <v>20</v>
      </c>
      <c r="F1737" s="4">
        <v>10</v>
      </c>
      <c r="G1737" s="2">
        <v>200</v>
      </c>
      <c r="H1737" t="s">
        <v>45</v>
      </c>
      <c r="I1737" t="s">
        <v>16</v>
      </c>
      <c r="J1737" s="1">
        <v>45535</v>
      </c>
      <c r="K1737" t="b">
        <v>1</v>
      </c>
    </row>
    <row r="1738" spans="1:11" x14ac:dyDescent="0.25">
      <c r="A1738" t="s">
        <v>4859</v>
      </c>
      <c r="B1738" t="s">
        <v>34</v>
      </c>
      <c r="C1738" t="s">
        <v>110</v>
      </c>
      <c r="D1738" t="s">
        <v>263</v>
      </c>
      <c r="E1738" s="2">
        <v>20</v>
      </c>
      <c r="F1738" s="4">
        <v>10</v>
      </c>
      <c r="G1738" s="2">
        <v>200</v>
      </c>
      <c r="H1738" t="s">
        <v>45</v>
      </c>
      <c r="I1738" t="s">
        <v>16</v>
      </c>
      <c r="J1738" s="1">
        <v>45551</v>
      </c>
      <c r="K1738" t="b">
        <v>0</v>
      </c>
    </row>
    <row r="1739" spans="1:11" x14ac:dyDescent="0.25">
      <c r="A1739" t="s">
        <v>6077</v>
      </c>
      <c r="B1739" t="s">
        <v>77</v>
      </c>
      <c r="C1739" t="s">
        <v>19</v>
      </c>
      <c r="D1739" t="s">
        <v>228</v>
      </c>
      <c r="E1739" s="2">
        <v>20</v>
      </c>
      <c r="F1739" s="4">
        <v>10</v>
      </c>
      <c r="G1739" s="2">
        <v>200</v>
      </c>
      <c r="H1739" t="s">
        <v>25</v>
      </c>
      <c r="I1739" t="s">
        <v>36</v>
      </c>
      <c r="J1739" s="1">
        <v>44570</v>
      </c>
      <c r="K1739" t="b">
        <v>1</v>
      </c>
    </row>
    <row r="1740" spans="1:11" x14ac:dyDescent="0.25">
      <c r="A1740" t="s">
        <v>5560</v>
      </c>
      <c r="B1740" t="s">
        <v>18</v>
      </c>
      <c r="C1740" t="s">
        <v>38</v>
      </c>
      <c r="D1740" t="s">
        <v>159</v>
      </c>
      <c r="E1740" s="2">
        <v>20</v>
      </c>
      <c r="F1740" s="4">
        <v>10</v>
      </c>
      <c r="G1740" s="2">
        <v>200</v>
      </c>
      <c r="H1740" t="s">
        <v>45</v>
      </c>
      <c r="I1740" t="s">
        <v>16</v>
      </c>
      <c r="J1740" s="1">
        <v>45403</v>
      </c>
      <c r="K1740" t="b">
        <v>1</v>
      </c>
    </row>
    <row r="1741" spans="1:11" x14ac:dyDescent="0.25">
      <c r="A1741" t="s">
        <v>856</v>
      </c>
      <c r="B1741" t="s">
        <v>40</v>
      </c>
      <c r="C1741" t="s">
        <v>19</v>
      </c>
      <c r="D1741" t="s">
        <v>228</v>
      </c>
      <c r="E1741" s="2">
        <v>20</v>
      </c>
      <c r="F1741" s="4">
        <v>10</v>
      </c>
      <c r="G1741" s="2">
        <v>200</v>
      </c>
      <c r="H1741" t="s">
        <v>15</v>
      </c>
      <c r="I1741" t="s">
        <v>36</v>
      </c>
      <c r="J1741" s="1">
        <v>44658</v>
      </c>
      <c r="K1741" t="b">
        <v>0</v>
      </c>
    </row>
    <row r="1742" spans="1:11" x14ac:dyDescent="0.25">
      <c r="A1742" t="s">
        <v>5648</v>
      </c>
      <c r="B1742" t="s">
        <v>69</v>
      </c>
      <c r="C1742" t="s">
        <v>31</v>
      </c>
      <c r="D1742" t="s">
        <v>82</v>
      </c>
      <c r="E1742" s="2">
        <v>20</v>
      </c>
      <c r="F1742" s="4">
        <v>10</v>
      </c>
      <c r="G1742" s="2">
        <v>200</v>
      </c>
      <c r="H1742" t="s">
        <v>25</v>
      </c>
      <c r="I1742" t="s">
        <v>36</v>
      </c>
      <c r="J1742" s="1">
        <v>45092</v>
      </c>
      <c r="K1742" t="b">
        <v>1</v>
      </c>
    </row>
    <row r="1743" spans="1:11" x14ac:dyDescent="0.25">
      <c r="A1743" t="s">
        <v>7597</v>
      </c>
      <c r="B1743" t="s">
        <v>18</v>
      </c>
      <c r="C1743" t="s">
        <v>19</v>
      </c>
      <c r="D1743" t="s">
        <v>228</v>
      </c>
      <c r="E1743" s="2">
        <v>20</v>
      </c>
      <c r="F1743" s="4">
        <v>10</v>
      </c>
      <c r="G1743" s="2">
        <v>200</v>
      </c>
      <c r="H1743" t="s">
        <v>45</v>
      </c>
      <c r="I1743" t="s">
        <v>16</v>
      </c>
      <c r="J1743" s="1">
        <v>44762</v>
      </c>
      <c r="K1743" t="b">
        <v>0</v>
      </c>
    </row>
    <row r="1744" spans="1:11" x14ac:dyDescent="0.25">
      <c r="A1744" t="s">
        <v>7178</v>
      </c>
      <c r="B1744" t="s">
        <v>26</v>
      </c>
      <c r="C1744" t="s">
        <v>13</v>
      </c>
      <c r="D1744" t="s">
        <v>113</v>
      </c>
      <c r="E1744" s="2">
        <v>20</v>
      </c>
      <c r="F1744" s="4">
        <v>10</v>
      </c>
      <c r="G1744" s="2">
        <v>200</v>
      </c>
      <c r="H1744" t="s">
        <v>25</v>
      </c>
      <c r="I1744" t="s">
        <v>16</v>
      </c>
      <c r="J1744" s="1">
        <v>45595</v>
      </c>
      <c r="K1744" t="b">
        <v>1</v>
      </c>
    </row>
    <row r="1745" spans="1:11" x14ac:dyDescent="0.25">
      <c r="A1745" t="s">
        <v>6048</v>
      </c>
      <c r="B1745" t="s">
        <v>30</v>
      </c>
      <c r="C1745" t="s">
        <v>13</v>
      </c>
      <c r="D1745" t="s">
        <v>113</v>
      </c>
      <c r="E1745" s="2">
        <v>20</v>
      </c>
      <c r="F1745" s="4">
        <v>10</v>
      </c>
      <c r="G1745" s="2">
        <v>200</v>
      </c>
      <c r="H1745" t="s">
        <v>25</v>
      </c>
      <c r="I1745" t="s">
        <v>16</v>
      </c>
      <c r="J1745" s="1">
        <v>44821</v>
      </c>
      <c r="K1745" t="b">
        <v>1</v>
      </c>
    </row>
    <row r="1746" spans="1:11" x14ac:dyDescent="0.25">
      <c r="A1746" t="s">
        <v>3158</v>
      </c>
      <c r="B1746" t="s">
        <v>40</v>
      </c>
      <c r="C1746" t="s">
        <v>13</v>
      </c>
      <c r="D1746" t="s">
        <v>113</v>
      </c>
      <c r="E1746" s="2">
        <v>20</v>
      </c>
      <c r="F1746" s="4">
        <v>10</v>
      </c>
      <c r="G1746" s="2">
        <v>200</v>
      </c>
      <c r="H1746" t="s">
        <v>15</v>
      </c>
      <c r="I1746" t="s">
        <v>16</v>
      </c>
      <c r="J1746" s="1">
        <v>45441</v>
      </c>
      <c r="K1746" t="b">
        <v>1</v>
      </c>
    </row>
    <row r="1747" spans="1:11" x14ac:dyDescent="0.25">
      <c r="A1747" t="s">
        <v>7163</v>
      </c>
      <c r="B1747" t="s">
        <v>43</v>
      </c>
      <c r="C1747" t="s">
        <v>31</v>
      </c>
      <c r="D1747" t="s">
        <v>82</v>
      </c>
      <c r="E1747" s="2">
        <v>20</v>
      </c>
      <c r="F1747" s="4">
        <v>10</v>
      </c>
      <c r="G1747" s="2">
        <v>200</v>
      </c>
      <c r="H1747" t="s">
        <v>15</v>
      </c>
      <c r="I1747" t="s">
        <v>16</v>
      </c>
      <c r="J1747" s="1">
        <v>45188</v>
      </c>
      <c r="K1747" t="b">
        <v>0</v>
      </c>
    </row>
    <row r="1748" spans="1:11" x14ac:dyDescent="0.25">
      <c r="A1748" t="s">
        <v>1290</v>
      </c>
      <c r="B1748" t="s">
        <v>104</v>
      </c>
      <c r="C1748" t="s">
        <v>13</v>
      </c>
      <c r="D1748" t="s">
        <v>113</v>
      </c>
      <c r="E1748" s="2">
        <v>20</v>
      </c>
      <c r="F1748" s="4">
        <v>10</v>
      </c>
      <c r="G1748" s="2">
        <v>200</v>
      </c>
      <c r="H1748" t="s">
        <v>45</v>
      </c>
      <c r="I1748" t="s">
        <v>16</v>
      </c>
      <c r="J1748" s="1">
        <v>44818</v>
      </c>
      <c r="K1748" t="b">
        <v>0</v>
      </c>
    </row>
    <row r="1749" spans="1:11" x14ac:dyDescent="0.25">
      <c r="A1749" t="s">
        <v>5647</v>
      </c>
      <c r="B1749" t="s">
        <v>18</v>
      </c>
      <c r="C1749" t="s">
        <v>13</v>
      </c>
      <c r="D1749" t="s">
        <v>113</v>
      </c>
      <c r="E1749" s="2">
        <v>20</v>
      </c>
      <c r="F1749" s="4">
        <v>10</v>
      </c>
      <c r="G1749" s="2">
        <v>200</v>
      </c>
      <c r="H1749" t="s">
        <v>45</v>
      </c>
      <c r="I1749" t="s">
        <v>36</v>
      </c>
      <c r="J1749" s="1">
        <v>45314</v>
      </c>
      <c r="K1749" t="b">
        <v>0</v>
      </c>
    </row>
    <row r="1750" spans="1:11" x14ac:dyDescent="0.25">
      <c r="A1750" t="s">
        <v>5177</v>
      </c>
      <c r="B1750" t="s">
        <v>12</v>
      </c>
      <c r="C1750" t="s">
        <v>13</v>
      </c>
      <c r="D1750" t="s">
        <v>113</v>
      </c>
      <c r="E1750" s="2">
        <v>20</v>
      </c>
      <c r="F1750" s="4">
        <v>10</v>
      </c>
      <c r="G1750" s="2">
        <v>200</v>
      </c>
      <c r="H1750" t="s">
        <v>15</v>
      </c>
      <c r="I1750" t="s">
        <v>16</v>
      </c>
      <c r="J1750" s="1">
        <v>45400</v>
      </c>
      <c r="K1750" t="b">
        <v>0</v>
      </c>
    </row>
    <row r="1751" spans="1:11" x14ac:dyDescent="0.25">
      <c r="A1751" t="s">
        <v>2404</v>
      </c>
      <c r="B1751" t="s">
        <v>142</v>
      </c>
      <c r="C1751" t="s">
        <v>110</v>
      </c>
      <c r="D1751" t="s">
        <v>263</v>
      </c>
      <c r="E1751" s="2">
        <v>20</v>
      </c>
      <c r="F1751" s="4">
        <v>10</v>
      </c>
      <c r="G1751" s="2">
        <v>200</v>
      </c>
      <c r="H1751" t="s">
        <v>45</v>
      </c>
      <c r="I1751" t="s">
        <v>36</v>
      </c>
      <c r="J1751" s="1">
        <v>45364</v>
      </c>
      <c r="K1751" t="b">
        <v>1</v>
      </c>
    </row>
    <row r="1752" spans="1:11" x14ac:dyDescent="0.25">
      <c r="A1752" t="s">
        <v>2898</v>
      </c>
      <c r="B1752" t="s">
        <v>97</v>
      </c>
      <c r="C1752" t="s">
        <v>110</v>
      </c>
      <c r="D1752" t="s">
        <v>263</v>
      </c>
      <c r="E1752" s="2">
        <v>20</v>
      </c>
      <c r="F1752" s="4">
        <v>10</v>
      </c>
      <c r="G1752" s="2">
        <v>200</v>
      </c>
      <c r="H1752" t="s">
        <v>15</v>
      </c>
      <c r="I1752" t="s">
        <v>36</v>
      </c>
      <c r="J1752" s="1">
        <v>45254</v>
      </c>
      <c r="K1752" t="b">
        <v>0</v>
      </c>
    </row>
    <row r="1753" spans="1:11" x14ac:dyDescent="0.25">
      <c r="A1753" t="s">
        <v>773</v>
      </c>
      <c r="B1753" t="s">
        <v>86</v>
      </c>
      <c r="C1753" t="s">
        <v>31</v>
      </c>
      <c r="D1753" t="s">
        <v>82</v>
      </c>
      <c r="E1753" s="2">
        <v>20</v>
      </c>
      <c r="F1753" s="4">
        <v>10</v>
      </c>
      <c r="G1753" s="2">
        <v>200</v>
      </c>
      <c r="H1753" t="s">
        <v>25</v>
      </c>
      <c r="I1753" t="s">
        <v>16</v>
      </c>
      <c r="J1753" s="1">
        <v>44999</v>
      </c>
      <c r="K1753" t="b">
        <v>0</v>
      </c>
    </row>
    <row r="1754" spans="1:11" x14ac:dyDescent="0.25">
      <c r="A1754" t="s">
        <v>2030</v>
      </c>
      <c r="B1754" t="s">
        <v>37</v>
      </c>
      <c r="C1754" t="s">
        <v>19</v>
      </c>
      <c r="D1754" t="s">
        <v>228</v>
      </c>
      <c r="E1754" s="2">
        <v>20</v>
      </c>
      <c r="F1754" s="4">
        <v>10</v>
      </c>
      <c r="G1754" s="2">
        <v>200</v>
      </c>
      <c r="H1754" t="s">
        <v>15</v>
      </c>
      <c r="I1754" t="s">
        <v>16</v>
      </c>
      <c r="J1754" s="1">
        <v>44590</v>
      </c>
      <c r="K1754" t="b">
        <v>0</v>
      </c>
    </row>
    <row r="1755" spans="1:11" x14ac:dyDescent="0.25">
      <c r="A1755" t="s">
        <v>2419</v>
      </c>
      <c r="B1755" t="s">
        <v>77</v>
      </c>
      <c r="C1755" t="s">
        <v>19</v>
      </c>
      <c r="D1755" t="s">
        <v>228</v>
      </c>
      <c r="E1755" s="2">
        <v>20</v>
      </c>
      <c r="F1755" s="4">
        <v>10</v>
      </c>
      <c r="G1755" s="2">
        <v>200</v>
      </c>
      <c r="H1755" t="s">
        <v>25</v>
      </c>
      <c r="I1755" t="s">
        <v>36</v>
      </c>
      <c r="J1755" s="1">
        <v>45236</v>
      </c>
      <c r="K1755" t="b">
        <v>1</v>
      </c>
    </row>
    <row r="1756" spans="1:11" x14ac:dyDescent="0.25">
      <c r="A1756" t="s">
        <v>6994</v>
      </c>
      <c r="B1756" t="s">
        <v>37</v>
      </c>
      <c r="C1756" t="s">
        <v>19</v>
      </c>
      <c r="D1756" t="s">
        <v>228</v>
      </c>
      <c r="E1756" s="2">
        <v>20</v>
      </c>
      <c r="F1756" s="4">
        <v>10</v>
      </c>
      <c r="G1756" s="2">
        <v>200</v>
      </c>
      <c r="H1756" t="s">
        <v>45</v>
      </c>
      <c r="I1756" t="s">
        <v>36</v>
      </c>
      <c r="J1756" s="1">
        <v>44950</v>
      </c>
      <c r="K1756" t="b">
        <v>0</v>
      </c>
    </row>
    <row r="1757" spans="1:11" x14ac:dyDescent="0.25">
      <c r="A1757" t="s">
        <v>7259</v>
      </c>
      <c r="B1757" t="s">
        <v>56</v>
      </c>
      <c r="C1757" t="s">
        <v>13</v>
      </c>
      <c r="D1757" t="s">
        <v>52</v>
      </c>
      <c r="E1757" s="2">
        <v>39.5</v>
      </c>
      <c r="F1757" s="4">
        <v>5</v>
      </c>
      <c r="G1757" s="2">
        <v>197.5</v>
      </c>
      <c r="H1757" t="s">
        <v>15</v>
      </c>
      <c r="I1757" t="s">
        <v>36</v>
      </c>
      <c r="J1757" s="1">
        <v>45390</v>
      </c>
      <c r="K1757" t="b">
        <v>1</v>
      </c>
    </row>
    <row r="1758" spans="1:11" x14ac:dyDescent="0.25">
      <c r="A1758" t="s">
        <v>3282</v>
      </c>
      <c r="B1758" t="s">
        <v>69</v>
      </c>
      <c r="C1758" t="s">
        <v>27</v>
      </c>
      <c r="D1758" t="s">
        <v>482</v>
      </c>
      <c r="E1758" s="2">
        <v>39.5</v>
      </c>
      <c r="F1758" s="4">
        <v>5</v>
      </c>
      <c r="G1758" s="2">
        <v>197.5</v>
      </c>
      <c r="H1758" t="s">
        <v>25</v>
      </c>
      <c r="I1758" t="s">
        <v>36</v>
      </c>
      <c r="J1758" s="1">
        <v>45271</v>
      </c>
      <c r="K1758" t="b">
        <v>1</v>
      </c>
    </row>
    <row r="1759" spans="1:11" x14ac:dyDescent="0.25">
      <c r="A1759" t="s">
        <v>6990</v>
      </c>
      <c r="B1759" t="s">
        <v>43</v>
      </c>
      <c r="C1759" t="s">
        <v>38</v>
      </c>
      <c r="D1759" t="s">
        <v>165</v>
      </c>
      <c r="E1759" s="2">
        <v>39.5</v>
      </c>
      <c r="F1759" s="4">
        <v>5</v>
      </c>
      <c r="G1759" s="2">
        <v>197.5</v>
      </c>
      <c r="H1759" t="s">
        <v>15</v>
      </c>
      <c r="I1759" t="s">
        <v>36</v>
      </c>
      <c r="J1759" s="1">
        <v>45367</v>
      </c>
      <c r="K1759" t="b">
        <v>0</v>
      </c>
    </row>
    <row r="1760" spans="1:11" x14ac:dyDescent="0.25">
      <c r="A1760" t="s">
        <v>1625</v>
      </c>
      <c r="B1760" t="s">
        <v>93</v>
      </c>
      <c r="C1760" t="s">
        <v>19</v>
      </c>
      <c r="D1760" t="s">
        <v>220</v>
      </c>
      <c r="E1760" s="2">
        <v>39.5</v>
      </c>
      <c r="F1760" s="4">
        <v>5</v>
      </c>
      <c r="G1760" s="2">
        <v>197.5</v>
      </c>
      <c r="H1760" t="s">
        <v>25</v>
      </c>
      <c r="I1760" t="s">
        <v>36</v>
      </c>
      <c r="J1760" s="1">
        <v>45653</v>
      </c>
      <c r="K1760" t="b">
        <v>1</v>
      </c>
    </row>
    <row r="1761" spans="1:11" x14ac:dyDescent="0.25">
      <c r="A1761" t="s">
        <v>1103</v>
      </c>
      <c r="B1761" t="s">
        <v>26</v>
      </c>
      <c r="C1761" t="s">
        <v>38</v>
      </c>
      <c r="D1761" t="s">
        <v>165</v>
      </c>
      <c r="E1761" s="2">
        <v>39.5</v>
      </c>
      <c r="F1761" s="4">
        <v>5</v>
      </c>
      <c r="G1761" s="2">
        <v>197.5</v>
      </c>
      <c r="H1761" t="s">
        <v>45</v>
      </c>
      <c r="I1761" t="s">
        <v>36</v>
      </c>
      <c r="J1761" s="1">
        <v>45535</v>
      </c>
      <c r="K1761" t="b">
        <v>1</v>
      </c>
    </row>
    <row r="1762" spans="1:11" x14ac:dyDescent="0.25">
      <c r="A1762" t="s">
        <v>4862</v>
      </c>
      <c r="B1762" t="s">
        <v>30</v>
      </c>
      <c r="C1762" t="s">
        <v>38</v>
      </c>
      <c r="D1762" t="s">
        <v>165</v>
      </c>
      <c r="E1762" s="2">
        <v>39.5</v>
      </c>
      <c r="F1762" s="4">
        <v>5</v>
      </c>
      <c r="G1762" s="2">
        <v>197.5</v>
      </c>
      <c r="H1762" t="s">
        <v>25</v>
      </c>
      <c r="I1762" t="s">
        <v>36</v>
      </c>
      <c r="J1762" s="1">
        <v>44893</v>
      </c>
      <c r="K1762" t="b">
        <v>0</v>
      </c>
    </row>
    <row r="1763" spans="1:11" x14ac:dyDescent="0.25">
      <c r="A1763" t="s">
        <v>6975</v>
      </c>
      <c r="B1763" t="s">
        <v>85</v>
      </c>
      <c r="C1763" t="s">
        <v>19</v>
      </c>
      <c r="D1763" t="s">
        <v>220</v>
      </c>
      <c r="E1763" s="2">
        <v>39.5</v>
      </c>
      <c r="F1763" s="4">
        <v>5</v>
      </c>
      <c r="G1763" s="2">
        <v>197.5</v>
      </c>
      <c r="H1763" t="s">
        <v>15</v>
      </c>
      <c r="I1763" t="s">
        <v>36</v>
      </c>
      <c r="J1763" s="1">
        <v>44975</v>
      </c>
      <c r="K1763" t="b">
        <v>1</v>
      </c>
    </row>
    <row r="1764" spans="1:11" x14ac:dyDescent="0.25">
      <c r="A1764" t="s">
        <v>5382</v>
      </c>
      <c r="B1764" t="s">
        <v>37</v>
      </c>
      <c r="C1764" t="s">
        <v>27</v>
      </c>
      <c r="D1764" t="s">
        <v>482</v>
      </c>
      <c r="E1764" s="2">
        <v>39.5</v>
      </c>
      <c r="F1764" s="4">
        <v>5</v>
      </c>
      <c r="G1764" s="2">
        <v>197.5</v>
      </c>
      <c r="H1764" t="s">
        <v>25</v>
      </c>
      <c r="I1764" t="s">
        <v>36</v>
      </c>
      <c r="J1764" s="1">
        <v>45501</v>
      </c>
      <c r="K1764" t="b">
        <v>1</v>
      </c>
    </row>
    <row r="1765" spans="1:11" x14ac:dyDescent="0.25">
      <c r="A1765" t="s">
        <v>5106</v>
      </c>
      <c r="B1765" t="s">
        <v>77</v>
      </c>
      <c r="C1765" t="s">
        <v>19</v>
      </c>
      <c r="D1765" t="s">
        <v>220</v>
      </c>
      <c r="E1765" s="2">
        <v>39.5</v>
      </c>
      <c r="F1765" s="4">
        <v>5</v>
      </c>
      <c r="G1765" s="2">
        <v>197.5</v>
      </c>
      <c r="H1765" t="s">
        <v>25</v>
      </c>
      <c r="I1765" t="s">
        <v>16</v>
      </c>
      <c r="J1765" s="1">
        <v>45077</v>
      </c>
      <c r="K1765" t="b">
        <v>0</v>
      </c>
    </row>
    <row r="1766" spans="1:11" x14ac:dyDescent="0.25">
      <c r="A1766" t="s">
        <v>2116</v>
      </c>
      <c r="B1766" t="s">
        <v>100</v>
      </c>
      <c r="C1766" t="s">
        <v>31</v>
      </c>
      <c r="D1766" t="s">
        <v>212</v>
      </c>
      <c r="E1766" s="2">
        <v>39.5</v>
      </c>
      <c r="F1766" s="4">
        <v>5</v>
      </c>
      <c r="G1766" s="2">
        <v>197.5</v>
      </c>
      <c r="H1766" t="s">
        <v>15</v>
      </c>
      <c r="I1766" t="s">
        <v>36</v>
      </c>
      <c r="J1766" s="1">
        <v>45201</v>
      </c>
      <c r="K1766" t="b">
        <v>0</v>
      </c>
    </row>
    <row r="1767" spans="1:11" x14ac:dyDescent="0.25">
      <c r="A1767" t="s">
        <v>5801</v>
      </c>
      <c r="B1767" t="s">
        <v>66</v>
      </c>
      <c r="C1767" t="s">
        <v>31</v>
      </c>
      <c r="D1767" t="s">
        <v>212</v>
      </c>
      <c r="E1767" s="2">
        <v>39.5</v>
      </c>
      <c r="F1767" s="4">
        <v>5</v>
      </c>
      <c r="G1767" s="2">
        <v>197.5</v>
      </c>
      <c r="H1767" t="s">
        <v>15</v>
      </c>
      <c r="I1767" t="s">
        <v>36</v>
      </c>
      <c r="J1767" s="1">
        <v>45308</v>
      </c>
      <c r="K1767" t="b">
        <v>0</v>
      </c>
    </row>
    <row r="1768" spans="1:11" x14ac:dyDescent="0.25">
      <c r="A1768" t="s">
        <v>7413</v>
      </c>
      <c r="B1768" t="s">
        <v>43</v>
      </c>
      <c r="C1768" t="s">
        <v>38</v>
      </c>
      <c r="D1768" t="s">
        <v>165</v>
      </c>
      <c r="E1768" s="2">
        <v>39.5</v>
      </c>
      <c r="F1768" s="4">
        <v>5</v>
      </c>
      <c r="G1768" s="2">
        <v>197.5</v>
      </c>
      <c r="H1768" t="s">
        <v>15</v>
      </c>
      <c r="I1768" t="s">
        <v>16</v>
      </c>
      <c r="J1768" s="1">
        <v>44703</v>
      </c>
      <c r="K1768" t="b">
        <v>0</v>
      </c>
    </row>
    <row r="1769" spans="1:11" x14ac:dyDescent="0.25">
      <c r="A1769" t="s">
        <v>7668</v>
      </c>
      <c r="B1769" t="s">
        <v>142</v>
      </c>
      <c r="C1769" t="s">
        <v>59</v>
      </c>
      <c r="D1769" t="s">
        <v>536</v>
      </c>
      <c r="E1769" s="2">
        <v>39.5</v>
      </c>
      <c r="F1769" s="4">
        <v>5</v>
      </c>
      <c r="G1769" s="2">
        <v>197.5</v>
      </c>
      <c r="H1769" t="s">
        <v>25</v>
      </c>
      <c r="I1769" t="s">
        <v>16</v>
      </c>
      <c r="J1769" s="1">
        <v>45603</v>
      </c>
      <c r="K1769" t="b">
        <v>1</v>
      </c>
    </row>
    <row r="1770" spans="1:11" x14ac:dyDescent="0.25">
      <c r="A1770" t="s">
        <v>5132</v>
      </c>
      <c r="B1770" t="s">
        <v>34</v>
      </c>
      <c r="C1770" t="s">
        <v>13</v>
      </c>
      <c r="D1770" t="s">
        <v>52</v>
      </c>
      <c r="E1770" s="2">
        <v>39.5</v>
      </c>
      <c r="F1770" s="4">
        <v>5</v>
      </c>
      <c r="G1770" s="2">
        <v>197.5</v>
      </c>
      <c r="H1770" t="s">
        <v>15</v>
      </c>
      <c r="I1770" t="s">
        <v>16</v>
      </c>
      <c r="J1770" s="1">
        <v>45202</v>
      </c>
      <c r="K1770" t="b">
        <v>1</v>
      </c>
    </row>
    <row r="1771" spans="1:11" x14ac:dyDescent="0.25">
      <c r="A1771" t="s">
        <v>1806</v>
      </c>
      <c r="B1771" t="s">
        <v>97</v>
      </c>
      <c r="C1771" t="s">
        <v>38</v>
      </c>
      <c r="D1771" t="s">
        <v>165</v>
      </c>
      <c r="E1771" s="2">
        <v>39.5</v>
      </c>
      <c r="F1771" s="4">
        <v>5</v>
      </c>
      <c r="G1771" s="2">
        <v>197.5</v>
      </c>
      <c r="H1771" t="s">
        <v>45</v>
      </c>
      <c r="I1771" t="s">
        <v>36</v>
      </c>
      <c r="J1771" s="1">
        <v>45533</v>
      </c>
      <c r="K1771" t="b">
        <v>0</v>
      </c>
    </row>
    <row r="1772" spans="1:11" x14ac:dyDescent="0.25">
      <c r="A1772" t="s">
        <v>6962</v>
      </c>
      <c r="B1772" t="s">
        <v>100</v>
      </c>
      <c r="C1772" t="s">
        <v>27</v>
      </c>
      <c r="D1772" t="s">
        <v>482</v>
      </c>
      <c r="E1772" s="2">
        <v>39.5</v>
      </c>
      <c r="F1772" s="4">
        <v>5</v>
      </c>
      <c r="G1772" s="2">
        <v>197.5</v>
      </c>
      <c r="H1772" t="s">
        <v>15</v>
      </c>
      <c r="I1772" t="s">
        <v>16</v>
      </c>
      <c r="J1772" s="1">
        <v>44956</v>
      </c>
      <c r="K1772" t="b">
        <v>1</v>
      </c>
    </row>
    <row r="1773" spans="1:11" x14ac:dyDescent="0.25">
      <c r="A1773" t="s">
        <v>4865</v>
      </c>
      <c r="B1773" t="s">
        <v>93</v>
      </c>
      <c r="C1773" t="s">
        <v>110</v>
      </c>
      <c r="D1773" t="s">
        <v>130</v>
      </c>
      <c r="E1773" s="2">
        <v>39.5</v>
      </c>
      <c r="F1773" s="4">
        <v>5</v>
      </c>
      <c r="G1773" s="2">
        <v>197.5</v>
      </c>
      <c r="H1773" t="s">
        <v>15</v>
      </c>
      <c r="I1773" t="s">
        <v>16</v>
      </c>
      <c r="J1773" s="1">
        <v>45228</v>
      </c>
      <c r="K1773" t="b">
        <v>0</v>
      </c>
    </row>
    <row r="1774" spans="1:11" x14ac:dyDescent="0.25">
      <c r="A1774" t="s">
        <v>1897</v>
      </c>
      <c r="B1774" t="s">
        <v>18</v>
      </c>
      <c r="C1774" t="s">
        <v>38</v>
      </c>
      <c r="D1774" t="s">
        <v>165</v>
      </c>
      <c r="E1774" s="2">
        <v>39.5</v>
      </c>
      <c r="F1774" s="4">
        <v>5</v>
      </c>
      <c r="G1774" s="2">
        <v>197.5</v>
      </c>
      <c r="H1774" t="s">
        <v>25</v>
      </c>
      <c r="I1774" t="s">
        <v>36</v>
      </c>
      <c r="J1774" s="1">
        <v>44821</v>
      </c>
      <c r="K1774" t="b">
        <v>1</v>
      </c>
    </row>
    <row r="1775" spans="1:11" x14ac:dyDescent="0.25">
      <c r="A1775" t="s">
        <v>1985</v>
      </c>
      <c r="B1775" t="s">
        <v>142</v>
      </c>
      <c r="C1775" t="s">
        <v>27</v>
      </c>
      <c r="D1775" t="s">
        <v>482</v>
      </c>
      <c r="E1775" s="2">
        <v>39.5</v>
      </c>
      <c r="F1775" s="4">
        <v>5</v>
      </c>
      <c r="G1775" s="2">
        <v>197.5</v>
      </c>
      <c r="H1775" t="s">
        <v>25</v>
      </c>
      <c r="I1775" t="s">
        <v>36</v>
      </c>
      <c r="J1775" s="1">
        <v>44765</v>
      </c>
      <c r="K1775" t="b">
        <v>1</v>
      </c>
    </row>
    <row r="1776" spans="1:11" x14ac:dyDescent="0.25">
      <c r="A1776" t="s">
        <v>3470</v>
      </c>
      <c r="B1776" t="s">
        <v>34</v>
      </c>
      <c r="C1776" t="s">
        <v>19</v>
      </c>
      <c r="D1776" t="s">
        <v>220</v>
      </c>
      <c r="E1776" s="2">
        <v>39.5</v>
      </c>
      <c r="F1776" s="4">
        <v>5</v>
      </c>
      <c r="G1776" s="2">
        <v>197.5</v>
      </c>
      <c r="H1776" t="s">
        <v>25</v>
      </c>
      <c r="I1776" t="s">
        <v>16</v>
      </c>
      <c r="J1776" s="1">
        <v>44587</v>
      </c>
      <c r="K1776" t="b">
        <v>1</v>
      </c>
    </row>
    <row r="1777" spans="1:11" x14ac:dyDescent="0.25">
      <c r="A1777" t="s">
        <v>1194</v>
      </c>
      <c r="B1777" t="s">
        <v>72</v>
      </c>
      <c r="C1777" t="s">
        <v>38</v>
      </c>
      <c r="D1777" t="s">
        <v>165</v>
      </c>
      <c r="E1777" s="2">
        <v>39.5</v>
      </c>
      <c r="F1777" s="4">
        <v>5</v>
      </c>
      <c r="G1777" s="2">
        <v>197.5</v>
      </c>
      <c r="H1777" t="s">
        <v>25</v>
      </c>
      <c r="I1777" t="s">
        <v>36</v>
      </c>
      <c r="J1777" s="1">
        <v>45309</v>
      </c>
      <c r="K1777" t="b">
        <v>1</v>
      </c>
    </row>
    <row r="1778" spans="1:11" x14ac:dyDescent="0.25">
      <c r="A1778" t="s">
        <v>1473</v>
      </c>
      <c r="B1778" t="s">
        <v>72</v>
      </c>
      <c r="C1778" t="s">
        <v>13</v>
      </c>
      <c r="D1778" t="s">
        <v>52</v>
      </c>
      <c r="E1778" s="2">
        <v>39.5</v>
      </c>
      <c r="F1778" s="4">
        <v>5</v>
      </c>
      <c r="G1778" s="2">
        <v>197.5</v>
      </c>
      <c r="H1778" t="s">
        <v>15</v>
      </c>
      <c r="I1778" t="s">
        <v>36</v>
      </c>
      <c r="J1778" s="1">
        <v>44766</v>
      </c>
      <c r="K1778" t="b">
        <v>0</v>
      </c>
    </row>
    <row r="1779" spans="1:11" x14ac:dyDescent="0.25">
      <c r="A1779" t="s">
        <v>7434</v>
      </c>
      <c r="B1779" t="s">
        <v>142</v>
      </c>
      <c r="C1779" t="s">
        <v>27</v>
      </c>
      <c r="D1779" t="s">
        <v>482</v>
      </c>
      <c r="E1779" s="2">
        <v>39.5</v>
      </c>
      <c r="F1779" s="4">
        <v>5</v>
      </c>
      <c r="G1779" s="2">
        <v>197.5</v>
      </c>
      <c r="H1779" t="s">
        <v>25</v>
      </c>
      <c r="I1779" t="s">
        <v>16</v>
      </c>
      <c r="J1779" s="1">
        <v>44685</v>
      </c>
      <c r="K1779" t="b">
        <v>0</v>
      </c>
    </row>
    <row r="1780" spans="1:11" x14ac:dyDescent="0.25">
      <c r="A1780" t="s">
        <v>3831</v>
      </c>
      <c r="B1780" t="s">
        <v>56</v>
      </c>
      <c r="C1780" t="s">
        <v>19</v>
      </c>
      <c r="D1780" t="s">
        <v>220</v>
      </c>
      <c r="E1780" s="2">
        <v>39.5</v>
      </c>
      <c r="F1780" s="4">
        <v>5</v>
      </c>
      <c r="G1780" s="2">
        <v>197.5</v>
      </c>
      <c r="H1780" t="s">
        <v>25</v>
      </c>
      <c r="I1780" t="s">
        <v>16</v>
      </c>
      <c r="J1780" s="1">
        <v>45607</v>
      </c>
      <c r="K1780" t="b">
        <v>1</v>
      </c>
    </row>
    <row r="1781" spans="1:11" x14ac:dyDescent="0.25">
      <c r="A1781" t="s">
        <v>4161</v>
      </c>
      <c r="B1781" t="s">
        <v>85</v>
      </c>
      <c r="C1781" t="s">
        <v>27</v>
      </c>
      <c r="D1781" t="s">
        <v>482</v>
      </c>
      <c r="E1781" s="2">
        <v>39.5</v>
      </c>
      <c r="F1781" s="4">
        <v>5</v>
      </c>
      <c r="G1781" s="2">
        <v>197.5</v>
      </c>
      <c r="H1781" t="s">
        <v>15</v>
      </c>
      <c r="I1781" t="s">
        <v>36</v>
      </c>
      <c r="J1781" s="1">
        <v>45472</v>
      </c>
      <c r="K1781" t="b">
        <v>1</v>
      </c>
    </row>
    <row r="1782" spans="1:11" x14ac:dyDescent="0.25">
      <c r="A1782" t="s">
        <v>7769</v>
      </c>
      <c r="B1782" t="s">
        <v>85</v>
      </c>
      <c r="C1782" t="s">
        <v>23</v>
      </c>
      <c r="D1782" t="s">
        <v>103</v>
      </c>
      <c r="E1782" s="2">
        <v>39.5</v>
      </c>
      <c r="F1782" s="4">
        <v>5</v>
      </c>
      <c r="G1782" s="2">
        <v>197.5</v>
      </c>
      <c r="H1782" t="s">
        <v>45</v>
      </c>
      <c r="I1782" t="s">
        <v>36</v>
      </c>
      <c r="J1782" s="1">
        <v>45098</v>
      </c>
      <c r="K1782" t="b">
        <v>0</v>
      </c>
    </row>
    <row r="1783" spans="1:11" x14ac:dyDescent="0.25">
      <c r="A1783" t="s">
        <v>6872</v>
      </c>
      <c r="B1783" t="s">
        <v>37</v>
      </c>
      <c r="C1783" t="s">
        <v>38</v>
      </c>
      <c r="D1783" t="s">
        <v>165</v>
      </c>
      <c r="E1783" s="2">
        <v>39.5</v>
      </c>
      <c r="F1783" s="4">
        <v>5</v>
      </c>
      <c r="G1783" s="2">
        <v>197.5</v>
      </c>
      <c r="H1783" t="s">
        <v>15</v>
      </c>
      <c r="I1783" t="s">
        <v>36</v>
      </c>
      <c r="J1783" s="1">
        <v>45212</v>
      </c>
      <c r="K1783" t="b">
        <v>1</v>
      </c>
    </row>
    <row r="1784" spans="1:11" x14ac:dyDescent="0.25">
      <c r="A1784" t="s">
        <v>1264</v>
      </c>
      <c r="B1784" t="s">
        <v>97</v>
      </c>
      <c r="C1784" t="s">
        <v>13</v>
      </c>
      <c r="D1784" t="s">
        <v>52</v>
      </c>
      <c r="E1784" s="2">
        <v>39.5</v>
      </c>
      <c r="F1784" s="4">
        <v>5</v>
      </c>
      <c r="G1784" s="2">
        <v>197.5</v>
      </c>
      <c r="H1784" t="s">
        <v>15</v>
      </c>
      <c r="I1784" t="s">
        <v>36</v>
      </c>
      <c r="J1784" s="1">
        <v>44813</v>
      </c>
      <c r="K1784" t="b">
        <v>1</v>
      </c>
    </row>
    <row r="1785" spans="1:11" x14ac:dyDescent="0.25">
      <c r="A1785" t="s">
        <v>3767</v>
      </c>
      <c r="B1785" t="s">
        <v>18</v>
      </c>
      <c r="C1785" t="s">
        <v>110</v>
      </c>
      <c r="D1785" t="s">
        <v>253</v>
      </c>
      <c r="E1785" s="2">
        <v>24.5</v>
      </c>
      <c r="F1785" s="4">
        <v>8</v>
      </c>
      <c r="G1785" s="2">
        <v>196</v>
      </c>
      <c r="H1785" t="s">
        <v>45</v>
      </c>
      <c r="I1785" t="s">
        <v>16</v>
      </c>
      <c r="J1785" s="1">
        <v>45406</v>
      </c>
      <c r="K1785" t="b">
        <v>1</v>
      </c>
    </row>
    <row r="1786" spans="1:11" x14ac:dyDescent="0.25">
      <c r="A1786" t="s">
        <v>4391</v>
      </c>
      <c r="B1786" t="s">
        <v>86</v>
      </c>
      <c r="C1786" t="s">
        <v>110</v>
      </c>
      <c r="D1786" t="s">
        <v>253</v>
      </c>
      <c r="E1786" s="2">
        <v>24.5</v>
      </c>
      <c r="F1786" s="4">
        <v>8</v>
      </c>
      <c r="G1786" s="2">
        <v>196</v>
      </c>
      <c r="H1786" t="s">
        <v>45</v>
      </c>
      <c r="I1786" t="s">
        <v>16</v>
      </c>
      <c r="J1786" s="1">
        <v>44629</v>
      </c>
      <c r="K1786" t="b">
        <v>0</v>
      </c>
    </row>
    <row r="1787" spans="1:11" x14ac:dyDescent="0.25">
      <c r="A1787" t="s">
        <v>2090</v>
      </c>
      <c r="B1787" t="s">
        <v>93</v>
      </c>
      <c r="C1787" t="s">
        <v>38</v>
      </c>
      <c r="D1787" t="s">
        <v>70</v>
      </c>
      <c r="E1787" s="2">
        <v>24.5</v>
      </c>
      <c r="F1787" s="4">
        <v>8</v>
      </c>
      <c r="G1787" s="2">
        <v>196</v>
      </c>
      <c r="H1787" t="s">
        <v>45</v>
      </c>
      <c r="I1787" t="s">
        <v>36</v>
      </c>
      <c r="J1787" s="1">
        <v>44845</v>
      </c>
      <c r="K1787" t="b">
        <v>1</v>
      </c>
    </row>
    <row r="1788" spans="1:11" x14ac:dyDescent="0.25">
      <c r="A1788" t="s">
        <v>6743</v>
      </c>
      <c r="B1788" t="s">
        <v>142</v>
      </c>
      <c r="C1788" t="s">
        <v>110</v>
      </c>
      <c r="D1788" t="s">
        <v>253</v>
      </c>
      <c r="E1788" s="2">
        <v>24.5</v>
      </c>
      <c r="F1788" s="4">
        <v>8</v>
      </c>
      <c r="G1788" s="2">
        <v>196</v>
      </c>
      <c r="H1788" t="s">
        <v>25</v>
      </c>
      <c r="I1788" t="s">
        <v>36</v>
      </c>
      <c r="J1788" s="1">
        <v>44681</v>
      </c>
      <c r="K1788" t="b">
        <v>0</v>
      </c>
    </row>
    <row r="1789" spans="1:11" x14ac:dyDescent="0.25">
      <c r="A1789" t="s">
        <v>838</v>
      </c>
      <c r="B1789" t="s">
        <v>56</v>
      </c>
      <c r="C1789" t="s">
        <v>38</v>
      </c>
      <c r="D1789" t="s">
        <v>70</v>
      </c>
      <c r="E1789" s="2">
        <v>24.5</v>
      </c>
      <c r="F1789" s="4">
        <v>8</v>
      </c>
      <c r="G1789" s="2">
        <v>196</v>
      </c>
      <c r="H1789" t="s">
        <v>45</v>
      </c>
      <c r="I1789" t="s">
        <v>16</v>
      </c>
      <c r="J1789" s="1">
        <v>44566</v>
      </c>
      <c r="K1789" t="b">
        <v>1</v>
      </c>
    </row>
    <row r="1790" spans="1:11" x14ac:dyDescent="0.25">
      <c r="A1790" t="s">
        <v>872</v>
      </c>
      <c r="B1790" t="s">
        <v>72</v>
      </c>
      <c r="C1790" t="s">
        <v>110</v>
      </c>
      <c r="D1790" t="s">
        <v>253</v>
      </c>
      <c r="E1790" s="2">
        <v>24.5</v>
      </c>
      <c r="F1790" s="4">
        <v>8</v>
      </c>
      <c r="G1790" s="2">
        <v>196</v>
      </c>
      <c r="H1790" t="s">
        <v>45</v>
      </c>
      <c r="I1790" t="s">
        <v>36</v>
      </c>
      <c r="J1790" s="1">
        <v>44895</v>
      </c>
      <c r="K1790" t="b">
        <v>1</v>
      </c>
    </row>
    <row r="1791" spans="1:11" x14ac:dyDescent="0.25">
      <c r="A1791" t="s">
        <v>2653</v>
      </c>
      <c r="B1791" t="s">
        <v>40</v>
      </c>
      <c r="C1791" t="s">
        <v>13</v>
      </c>
      <c r="D1791" t="s">
        <v>139</v>
      </c>
      <c r="E1791" s="2">
        <v>24.5</v>
      </c>
      <c r="F1791" s="4">
        <v>8</v>
      </c>
      <c r="G1791" s="2">
        <v>196</v>
      </c>
      <c r="H1791" t="s">
        <v>15</v>
      </c>
      <c r="I1791" t="s">
        <v>36</v>
      </c>
      <c r="J1791" s="1">
        <v>45206</v>
      </c>
      <c r="K1791" t="b">
        <v>0</v>
      </c>
    </row>
    <row r="1792" spans="1:11" x14ac:dyDescent="0.25">
      <c r="A1792" t="s">
        <v>6874</v>
      </c>
      <c r="B1792" t="s">
        <v>30</v>
      </c>
      <c r="C1792" t="s">
        <v>27</v>
      </c>
      <c r="D1792" t="s">
        <v>170</v>
      </c>
      <c r="E1792" s="2">
        <v>24.5</v>
      </c>
      <c r="F1792" s="4">
        <v>8</v>
      </c>
      <c r="G1792" s="2">
        <v>196</v>
      </c>
      <c r="H1792" t="s">
        <v>45</v>
      </c>
      <c r="I1792" t="s">
        <v>36</v>
      </c>
      <c r="J1792" s="1">
        <v>45395</v>
      </c>
      <c r="K1792" t="b">
        <v>0</v>
      </c>
    </row>
    <row r="1793" spans="1:11" x14ac:dyDescent="0.25">
      <c r="A1793" t="s">
        <v>6145</v>
      </c>
      <c r="B1793" t="s">
        <v>86</v>
      </c>
      <c r="C1793" t="s">
        <v>31</v>
      </c>
      <c r="D1793" t="s">
        <v>78</v>
      </c>
      <c r="E1793" s="2">
        <v>24.5</v>
      </c>
      <c r="F1793" s="4">
        <v>8</v>
      </c>
      <c r="G1793" s="2">
        <v>196</v>
      </c>
      <c r="H1793" t="s">
        <v>45</v>
      </c>
      <c r="I1793" t="s">
        <v>16</v>
      </c>
      <c r="J1793" s="1">
        <v>45618</v>
      </c>
      <c r="K1793" t="b">
        <v>0</v>
      </c>
    </row>
    <row r="1794" spans="1:11" x14ac:dyDescent="0.25">
      <c r="A1794" t="s">
        <v>7307</v>
      </c>
      <c r="B1794" t="s">
        <v>100</v>
      </c>
      <c r="C1794" t="s">
        <v>31</v>
      </c>
      <c r="D1794" t="s">
        <v>78</v>
      </c>
      <c r="E1794" s="2">
        <v>24.5</v>
      </c>
      <c r="F1794" s="4">
        <v>8</v>
      </c>
      <c r="G1794" s="2">
        <v>196</v>
      </c>
      <c r="H1794" t="s">
        <v>45</v>
      </c>
      <c r="I1794" t="s">
        <v>36</v>
      </c>
      <c r="J1794" s="1">
        <v>45165</v>
      </c>
      <c r="K1794" t="b">
        <v>1</v>
      </c>
    </row>
    <row r="1795" spans="1:11" x14ac:dyDescent="0.25">
      <c r="A1795" t="s">
        <v>5551</v>
      </c>
      <c r="B1795" t="s">
        <v>26</v>
      </c>
      <c r="C1795" t="s">
        <v>31</v>
      </c>
      <c r="D1795" t="s">
        <v>78</v>
      </c>
      <c r="E1795" s="2">
        <v>24.5</v>
      </c>
      <c r="F1795" s="4">
        <v>8</v>
      </c>
      <c r="G1795" s="2">
        <v>196</v>
      </c>
      <c r="H1795" t="s">
        <v>45</v>
      </c>
      <c r="I1795" t="s">
        <v>16</v>
      </c>
      <c r="J1795" s="1">
        <v>45222</v>
      </c>
      <c r="K1795" t="b">
        <v>0</v>
      </c>
    </row>
    <row r="1796" spans="1:11" x14ac:dyDescent="0.25">
      <c r="A1796" t="s">
        <v>791</v>
      </c>
      <c r="B1796" t="s">
        <v>40</v>
      </c>
      <c r="C1796" t="s">
        <v>13</v>
      </c>
      <c r="D1796" t="s">
        <v>139</v>
      </c>
      <c r="E1796" s="2">
        <v>24.5</v>
      </c>
      <c r="F1796" s="4">
        <v>8</v>
      </c>
      <c r="G1796" s="2">
        <v>196</v>
      </c>
      <c r="H1796" t="s">
        <v>25</v>
      </c>
      <c r="I1796" t="s">
        <v>16</v>
      </c>
      <c r="J1796" s="1">
        <v>45662</v>
      </c>
      <c r="K1796" t="b">
        <v>0</v>
      </c>
    </row>
    <row r="1797" spans="1:11" x14ac:dyDescent="0.25">
      <c r="A1797" t="s">
        <v>860</v>
      </c>
      <c r="B1797" t="s">
        <v>40</v>
      </c>
      <c r="C1797" t="s">
        <v>31</v>
      </c>
      <c r="D1797" t="s">
        <v>78</v>
      </c>
      <c r="E1797" s="2">
        <v>24.5</v>
      </c>
      <c r="F1797" s="4">
        <v>8</v>
      </c>
      <c r="G1797" s="2">
        <v>196</v>
      </c>
      <c r="H1797" t="s">
        <v>25</v>
      </c>
      <c r="I1797" t="s">
        <v>16</v>
      </c>
      <c r="J1797" s="1">
        <v>45411</v>
      </c>
      <c r="K1797" t="b">
        <v>0</v>
      </c>
    </row>
    <row r="1798" spans="1:11" x14ac:dyDescent="0.25">
      <c r="A1798" t="s">
        <v>6928</v>
      </c>
      <c r="B1798" t="s">
        <v>37</v>
      </c>
      <c r="C1798" t="s">
        <v>110</v>
      </c>
      <c r="D1798" t="s">
        <v>253</v>
      </c>
      <c r="E1798" s="2">
        <v>24.5</v>
      </c>
      <c r="F1798" s="4">
        <v>8</v>
      </c>
      <c r="G1798" s="2">
        <v>196</v>
      </c>
      <c r="H1798" t="s">
        <v>15</v>
      </c>
      <c r="I1798" t="s">
        <v>16</v>
      </c>
      <c r="J1798" s="1">
        <v>45458</v>
      </c>
      <c r="K1798" t="b">
        <v>0</v>
      </c>
    </row>
    <row r="1799" spans="1:11" x14ac:dyDescent="0.25">
      <c r="A1799" t="s">
        <v>2681</v>
      </c>
      <c r="B1799" t="s">
        <v>63</v>
      </c>
      <c r="C1799" t="s">
        <v>27</v>
      </c>
      <c r="D1799" t="s">
        <v>170</v>
      </c>
      <c r="E1799" s="2">
        <v>24.5</v>
      </c>
      <c r="F1799" s="4">
        <v>8</v>
      </c>
      <c r="G1799" s="2">
        <v>196</v>
      </c>
      <c r="H1799" t="s">
        <v>45</v>
      </c>
      <c r="I1799" t="s">
        <v>36</v>
      </c>
      <c r="J1799" s="1">
        <v>45385</v>
      </c>
      <c r="K1799" t="b">
        <v>0</v>
      </c>
    </row>
    <row r="1800" spans="1:11" x14ac:dyDescent="0.25">
      <c r="A1800" t="s">
        <v>1013</v>
      </c>
      <c r="B1800" t="s">
        <v>72</v>
      </c>
      <c r="C1800" t="s">
        <v>31</v>
      </c>
      <c r="D1800" t="s">
        <v>78</v>
      </c>
      <c r="E1800" s="2">
        <v>24.5</v>
      </c>
      <c r="F1800" s="4">
        <v>8</v>
      </c>
      <c r="G1800" s="2">
        <v>196</v>
      </c>
      <c r="H1800" t="s">
        <v>15</v>
      </c>
      <c r="I1800" t="s">
        <v>36</v>
      </c>
      <c r="J1800" s="1">
        <v>45564</v>
      </c>
      <c r="K1800" t="b">
        <v>0</v>
      </c>
    </row>
    <row r="1801" spans="1:11" x14ac:dyDescent="0.25">
      <c r="A1801" t="s">
        <v>6308</v>
      </c>
      <c r="B1801" t="s">
        <v>100</v>
      </c>
      <c r="C1801" t="s">
        <v>13</v>
      </c>
      <c r="D1801" t="s">
        <v>139</v>
      </c>
      <c r="E1801" s="2">
        <v>24.5</v>
      </c>
      <c r="F1801" s="4">
        <v>8</v>
      </c>
      <c r="G1801" s="2">
        <v>196</v>
      </c>
      <c r="H1801" t="s">
        <v>25</v>
      </c>
      <c r="I1801" t="s">
        <v>36</v>
      </c>
      <c r="J1801" s="1">
        <v>45069</v>
      </c>
      <c r="K1801" t="b">
        <v>1</v>
      </c>
    </row>
    <row r="1802" spans="1:11" x14ac:dyDescent="0.25">
      <c r="A1802" t="s">
        <v>6317</v>
      </c>
      <c r="B1802" t="s">
        <v>77</v>
      </c>
      <c r="C1802" t="s">
        <v>31</v>
      </c>
      <c r="D1802" t="s">
        <v>78</v>
      </c>
      <c r="E1802" s="2">
        <v>24.5</v>
      </c>
      <c r="F1802" s="4">
        <v>8</v>
      </c>
      <c r="G1802" s="2">
        <v>196</v>
      </c>
      <c r="H1802" t="s">
        <v>25</v>
      </c>
      <c r="I1802" t="s">
        <v>16</v>
      </c>
      <c r="J1802" s="1">
        <v>44954</v>
      </c>
      <c r="K1802" t="b">
        <v>1</v>
      </c>
    </row>
    <row r="1803" spans="1:11" x14ac:dyDescent="0.25">
      <c r="A1803" t="s">
        <v>1666</v>
      </c>
      <c r="B1803" t="s">
        <v>85</v>
      </c>
      <c r="C1803" t="s">
        <v>38</v>
      </c>
      <c r="D1803" t="s">
        <v>70</v>
      </c>
      <c r="E1803" s="2">
        <v>24.5</v>
      </c>
      <c r="F1803" s="4">
        <v>8</v>
      </c>
      <c r="G1803" s="2">
        <v>196</v>
      </c>
      <c r="H1803" t="s">
        <v>25</v>
      </c>
      <c r="I1803" t="s">
        <v>16</v>
      </c>
      <c r="J1803" s="1">
        <v>45599</v>
      </c>
      <c r="K1803" t="b">
        <v>1</v>
      </c>
    </row>
    <row r="1804" spans="1:11" x14ac:dyDescent="0.25">
      <c r="A1804" t="s">
        <v>7372</v>
      </c>
      <c r="B1804" t="s">
        <v>18</v>
      </c>
      <c r="C1804" t="s">
        <v>59</v>
      </c>
      <c r="D1804" t="s">
        <v>1513</v>
      </c>
      <c r="E1804" s="2">
        <v>24.5</v>
      </c>
      <c r="F1804" s="4">
        <v>8</v>
      </c>
      <c r="G1804" s="2">
        <v>196</v>
      </c>
      <c r="H1804" t="s">
        <v>25</v>
      </c>
      <c r="I1804" t="s">
        <v>16</v>
      </c>
      <c r="J1804" s="1">
        <v>44941</v>
      </c>
      <c r="K1804" t="b">
        <v>1</v>
      </c>
    </row>
    <row r="1805" spans="1:11" x14ac:dyDescent="0.25">
      <c r="A1805" t="s">
        <v>781</v>
      </c>
      <c r="B1805" t="s">
        <v>18</v>
      </c>
      <c r="C1805" t="s">
        <v>27</v>
      </c>
      <c r="D1805" t="s">
        <v>170</v>
      </c>
      <c r="E1805" s="2">
        <v>24.5</v>
      </c>
      <c r="F1805" s="4">
        <v>8</v>
      </c>
      <c r="G1805" s="2">
        <v>196</v>
      </c>
      <c r="H1805" t="s">
        <v>15</v>
      </c>
      <c r="I1805" t="s">
        <v>16</v>
      </c>
      <c r="J1805" s="1">
        <v>44704</v>
      </c>
      <c r="K1805" t="b">
        <v>0</v>
      </c>
    </row>
    <row r="1806" spans="1:11" x14ac:dyDescent="0.25">
      <c r="A1806" t="s">
        <v>6686</v>
      </c>
      <c r="B1806" t="s">
        <v>34</v>
      </c>
      <c r="C1806" t="s">
        <v>27</v>
      </c>
      <c r="D1806" t="s">
        <v>170</v>
      </c>
      <c r="E1806" s="2">
        <v>24.5</v>
      </c>
      <c r="F1806" s="4">
        <v>8</v>
      </c>
      <c r="G1806" s="2">
        <v>196</v>
      </c>
      <c r="H1806" t="s">
        <v>45</v>
      </c>
      <c r="I1806" t="s">
        <v>36</v>
      </c>
      <c r="J1806" s="1">
        <v>45012</v>
      </c>
      <c r="K1806" t="b">
        <v>0</v>
      </c>
    </row>
    <row r="1807" spans="1:11" x14ac:dyDescent="0.25">
      <c r="A1807" t="s">
        <v>1193</v>
      </c>
      <c r="B1807" t="s">
        <v>58</v>
      </c>
      <c r="C1807" t="s">
        <v>13</v>
      </c>
      <c r="D1807" t="s">
        <v>139</v>
      </c>
      <c r="E1807" s="2">
        <v>24.5</v>
      </c>
      <c r="F1807" s="4">
        <v>8</v>
      </c>
      <c r="G1807" s="2">
        <v>196</v>
      </c>
      <c r="H1807" t="s">
        <v>45</v>
      </c>
      <c r="I1807" t="s">
        <v>36</v>
      </c>
      <c r="J1807" s="1">
        <v>45368</v>
      </c>
      <c r="K1807" t="b">
        <v>0</v>
      </c>
    </row>
    <row r="1808" spans="1:11" x14ac:dyDescent="0.25">
      <c r="A1808" t="s">
        <v>6413</v>
      </c>
      <c r="B1808" t="s">
        <v>86</v>
      </c>
      <c r="C1808" t="s">
        <v>110</v>
      </c>
      <c r="D1808" t="s">
        <v>253</v>
      </c>
      <c r="E1808" s="2">
        <v>24.5</v>
      </c>
      <c r="F1808" s="4">
        <v>8</v>
      </c>
      <c r="G1808" s="2">
        <v>196</v>
      </c>
      <c r="H1808" t="s">
        <v>25</v>
      </c>
      <c r="I1808" t="s">
        <v>36</v>
      </c>
      <c r="J1808" s="1">
        <v>44698</v>
      </c>
      <c r="K1808" t="b">
        <v>0</v>
      </c>
    </row>
    <row r="1809" spans="1:11" x14ac:dyDescent="0.25">
      <c r="A1809" t="s">
        <v>4005</v>
      </c>
      <c r="B1809" t="s">
        <v>18</v>
      </c>
      <c r="C1809" t="s">
        <v>27</v>
      </c>
      <c r="D1809" t="s">
        <v>170</v>
      </c>
      <c r="E1809" s="2">
        <v>24.5</v>
      </c>
      <c r="F1809" s="4">
        <v>8</v>
      </c>
      <c r="G1809" s="2">
        <v>196</v>
      </c>
      <c r="H1809" t="s">
        <v>45</v>
      </c>
      <c r="I1809" t="s">
        <v>16</v>
      </c>
      <c r="J1809" s="1">
        <v>45466</v>
      </c>
      <c r="K1809" t="b">
        <v>1</v>
      </c>
    </row>
    <row r="1810" spans="1:11" x14ac:dyDescent="0.25">
      <c r="A1810" t="s">
        <v>6947</v>
      </c>
      <c r="B1810" t="s">
        <v>97</v>
      </c>
      <c r="C1810" t="s">
        <v>38</v>
      </c>
      <c r="D1810" t="s">
        <v>70</v>
      </c>
      <c r="E1810" s="2">
        <v>24.5</v>
      </c>
      <c r="F1810" s="4">
        <v>8</v>
      </c>
      <c r="G1810" s="2">
        <v>196</v>
      </c>
      <c r="H1810" t="s">
        <v>15</v>
      </c>
      <c r="I1810" t="s">
        <v>16</v>
      </c>
      <c r="J1810" s="1">
        <v>44570</v>
      </c>
      <c r="K1810" t="b">
        <v>1</v>
      </c>
    </row>
    <row r="1811" spans="1:11" x14ac:dyDescent="0.25">
      <c r="A1811" t="s">
        <v>2157</v>
      </c>
      <c r="B1811" t="s">
        <v>22</v>
      </c>
      <c r="C1811" t="s">
        <v>38</v>
      </c>
      <c r="D1811" t="s">
        <v>70</v>
      </c>
      <c r="E1811" s="2">
        <v>24.5</v>
      </c>
      <c r="F1811" s="4">
        <v>8</v>
      </c>
      <c r="G1811" s="2">
        <v>196</v>
      </c>
      <c r="H1811" t="s">
        <v>25</v>
      </c>
      <c r="I1811" t="s">
        <v>16</v>
      </c>
      <c r="J1811" s="1">
        <v>44703</v>
      </c>
      <c r="K1811" t="b">
        <v>1</v>
      </c>
    </row>
    <row r="1812" spans="1:11" x14ac:dyDescent="0.25">
      <c r="A1812" t="s">
        <v>4591</v>
      </c>
      <c r="B1812" t="s">
        <v>51</v>
      </c>
      <c r="C1812" t="s">
        <v>19</v>
      </c>
      <c r="D1812" t="s">
        <v>487</v>
      </c>
      <c r="E1812" s="2">
        <v>24.5</v>
      </c>
      <c r="F1812" s="4">
        <v>8</v>
      </c>
      <c r="G1812" s="2">
        <v>196</v>
      </c>
      <c r="H1812" t="s">
        <v>45</v>
      </c>
      <c r="I1812" t="s">
        <v>36</v>
      </c>
      <c r="J1812" s="1">
        <v>44588</v>
      </c>
      <c r="K1812" t="b">
        <v>1</v>
      </c>
    </row>
    <row r="1813" spans="1:11" x14ac:dyDescent="0.25">
      <c r="A1813" t="s">
        <v>5059</v>
      </c>
      <c r="B1813" t="s">
        <v>40</v>
      </c>
      <c r="C1813" t="s">
        <v>110</v>
      </c>
      <c r="D1813" t="s">
        <v>253</v>
      </c>
      <c r="E1813" s="2">
        <v>24.5</v>
      </c>
      <c r="F1813" s="4">
        <v>8</v>
      </c>
      <c r="G1813" s="2">
        <v>196</v>
      </c>
      <c r="H1813" t="s">
        <v>15</v>
      </c>
      <c r="I1813" t="s">
        <v>16</v>
      </c>
      <c r="J1813" s="1">
        <v>45344</v>
      </c>
      <c r="K1813" t="b">
        <v>1</v>
      </c>
    </row>
    <row r="1814" spans="1:11" x14ac:dyDescent="0.25">
      <c r="A1814" t="s">
        <v>3829</v>
      </c>
      <c r="B1814" t="s">
        <v>34</v>
      </c>
      <c r="C1814" t="s">
        <v>27</v>
      </c>
      <c r="D1814" t="s">
        <v>170</v>
      </c>
      <c r="E1814" s="2">
        <v>24.5</v>
      </c>
      <c r="F1814" s="4">
        <v>8</v>
      </c>
      <c r="G1814" s="2">
        <v>196</v>
      </c>
      <c r="H1814" t="s">
        <v>25</v>
      </c>
      <c r="I1814" t="s">
        <v>36</v>
      </c>
      <c r="J1814" s="1">
        <v>44757</v>
      </c>
      <c r="K1814" t="b">
        <v>1</v>
      </c>
    </row>
    <row r="1815" spans="1:11" x14ac:dyDescent="0.25">
      <c r="A1815" t="s">
        <v>6195</v>
      </c>
      <c r="B1815" t="s">
        <v>18</v>
      </c>
      <c r="C1815" t="s">
        <v>27</v>
      </c>
      <c r="D1815" t="s">
        <v>315</v>
      </c>
      <c r="E1815" s="2">
        <v>21.5</v>
      </c>
      <c r="F1815" s="4">
        <v>9</v>
      </c>
      <c r="G1815" s="2">
        <v>193.5</v>
      </c>
      <c r="H1815" t="s">
        <v>15</v>
      </c>
      <c r="I1815" t="s">
        <v>16</v>
      </c>
      <c r="J1815" s="1">
        <v>44640</v>
      </c>
      <c r="K1815" t="b">
        <v>0</v>
      </c>
    </row>
    <row r="1816" spans="1:11" x14ac:dyDescent="0.25">
      <c r="A1816" t="s">
        <v>5971</v>
      </c>
      <c r="B1816" t="s">
        <v>40</v>
      </c>
      <c r="C1816" t="s">
        <v>110</v>
      </c>
      <c r="D1816" t="s">
        <v>451</v>
      </c>
      <c r="E1816" s="2">
        <v>21.5</v>
      </c>
      <c r="F1816" s="4">
        <v>9</v>
      </c>
      <c r="G1816" s="2">
        <v>193.5</v>
      </c>
      <c r="H1816" t="s">
        <v>15</v>
      </c>
      <c r="I1816" t="s">
        <v>36</v>
      </c>
      <c r="J1816" s="1">
        <v>45089</v>
      </c>
      <c r="K1816" t="b">
        <v>1</v>
      </c>
    </row>
    <row r="1817" spans="1:11" x14ac:dyDescent="0.25">
      <c r="A1817" t="s">
        <v>7549</v>
      </c>
      <c r="B1817" t="s">
        <v>18</v>
      </c>
      <c r="C1817" t="s">
        <v>110</v>
      </c>
      <c r="D1817" t="s">
        <v>451</v>
      </c>
      <c r="E1817" s="2">
        <v>21.5</v>
      </c>
      <c r="F1817" s="4">
        <v>9</v>
      </c>
      <c r="G1817" s="2">
        <v>193.5</v>
      </c>
      <c r="H1817" t="s">
        <v>25</v>
      </c>
      <c r="I1817" t="s">
        <v>16</v>
      </c>
      <c r="J1817" s="1">
        <v>45529</v>
      </c>
      <c r="K1817" t="b">
        <v>0</v>
      </c>
    </row>
    <row r="1818" spans="1:11" x14ac:dyDescent="0.25">
      <c r="A1818" t="s">
        <v>966</v>
      </c>
      <c r="B1818" t="s">
        <v>22</v>
      </c>
      <c r="C1818" t="s">
        <v>23</v>
      </c>
      <c r="D1818" t="s">
        <v>24</v>
      </c>
      <c r="E1818" s="2">
        <v>21.5</v>
      </c>
      <c r="F1818" s="4">
        <v>9</v>
      </c>
      <c r="G1818" s="2">
        <v>193.5</v>
      </c>
      <c r="H1818" t="s">
        <v>25</v>
      </c>
      <c r="I1818" t="s">
        <v>36</v>
      </c>
      <c r="J1818" s="1">
        <v>45025</v>
      </c>
      <c r="K1818" t="b">
        <v>1</v>
      </c>
    </row>
    <row r="1819" spans="1:11" x14ac:dyDescent="0.25">
      <c r="A1819" t="s">
        <v>450</v>
      </c>
      <c r="B1819" t="s">
        <v>77</v>
      </c>
      <c r="C1819" t="s">
        <v>110</v>
      </c>
      <c r="D1819" t="s">
        <v>451</v>
      </c>
      <c r="E1819" s="2">
        <v>21.5</v>
      </c>
      <c r="F1819" s="4">
        <v>9</v>
      </c>
      <c r="G1819" s="2">
        <v>193.5</v>
      </c>
      <c r="H1819" t="s">
        <v>45</v>
      </c>
      <c r="I1819" t="s">
        <v>16</v>
      </c>
      <c r="J1819" s="1">
        <v>45600</v>
      </c>
      <c r="K1819" t="b">
        <v>0</v>
      </c>
    </row>
    <row r="1820" spans="1:11" x14ac:dyDescent="0.25">
      <c r="A1820" t="s">
        <v>7068</v>
      </c>
      <c r="B1820" t="s">
        <v>26</v>
      </c>
      <c r="C1820" t="s">
        <v>13</v>
      </c>
      <c r="D1820" t="s">
        <v>141</v>
      </c>
      <c r="E1820" s="2">
        <v>21.5</v>
      </c>
      <c r="F1820" s="4">
        <v>9</v>
      </c>
      <c r="G1820" s="2">
        <v>193.5</v>
      </c>
      <c r="H1820" t="s">
        <v>25</v>
      </c>
      <c r="I1820" t="s">
        <v>36</v>
      </c>
      <c r="J1820" s="1">
        <v>45079</v>
      </c>
      <c r="K1820" t="b">
        <v>1</v>
      </c>
    </row>
    <row r="1821" spans="1:11" x14ac:dyDescent="0.25">
      <c r="A1821" t="s">
        <v>3871</v>
      </c>
      <c r="B1821" t="s">
        <v>63</v>
      </c>
      <c r="C1821" t="s">
        <v>27</v>
      </c>
      <c r="D1821" t="s">
        <v>315</v>
      </c>
      <c r="E1821" s="2">
        <v>21.5</v>
      </c>
      <c r="F1821" s="4">
        <v>9</v>
      </c>
      <c r="G1821" s="2">
        <v>193.5</v>
      </c>
      <c r="H1821" t="s">
        <v>25</v>
      </c>
      <c r="I1821" t="s">
        <v>36</v>
      </c>
      <c r="J1821" s="1">
        <v>45654</v>
      </c>
      <c r="K1821" t="b">
        <v>1</v>
      </c>
    </row>
    <row r="1822" spans="1:11" x14ac:dyDescent="0.25">
      <c r="A1822" t="s">
        <v>2958</v>
      </c>
      <c r="B1822" t="s">
        <v>43</v>
      </c>
      <c r="C1822" t="s">
        <v>13</v>
      </c>
      <c r="D1822" t="s">
        <v>141</v>
      </c>
      <c r="E1822" s="2">
        <v>21.5</v>
      </c>
      <c r="F1822" s="4">
        <v>9</v>
      </c>
      <c r="G1822" s="2">
        <v>193.5</v>
      </c>
      <c r="H1822" t="s">
        <v>45</v>
      </c>
      <c r="I1822" t="s">
        <v>36</v>
      </c>
      <c r="J1822" s="1">
        <v>45313</v>
      </c>
      <c r="K1822" t="b">
        <v>0</v>
      </c>
    </row>
    <row r="1823" spans="1:11" x14ac:dyDescent="0.25">
      <c r="A1823" t="s">
        <v>4044</v>
      </c>
      <c r="B1823" t="s">
        <v>86</v>
      </c>
      <c r="C1823" t="s">
        <v>27</v>
      </c>
      <c r="D1823" t="s">
        <v>315</v>
      </c>
      <c r="E1823" s="2">
        <v>21.5</v>
      </c>
      <c r="F1823" s="4">
        <v>9</v>
      </c>
      <c r="G1823" s="2">
        <v>193.5</v>
      </c>
      <c r="H1823" t="s">
        <v>15</v>
      </c>
      <c r="I1823" t="s">
        <v>36</v>
      </c>
      <c r="J1823" s="1">
        <v>44942</v>
      </c>
      <c r="K1823" t="b">
        <v>1</v>
      </c>
    </row>
    <row r="1824" spans="1:11" x14ac:dyDescent="0.25">
      <c r="A1824" t="s">
        <v>4519</v>
      </c>
      <c r="B1824" t="s">
        <v>37</v>
      </c>
      <c r="C1824" t="s">
        <v>31</v>
      </c>
      <c r="D1824" t="s">
        <v>108</v>
      </c>
      <c r="E1824" s="2">
        <v>21.5</v>
      </c>
      <c r="F1824" s="4">
        <v>9</v>
      </c>
      <c r="G1824" s="2">
        <v>193.5</v>
      </c>
      <c r="H1824" t="s">
        <v>45</v>
      </c>
      <c r="I1824" t="s">
        <v>36</v>
      </c>
      <c r="J1824" s="1">
        <v>45042</v>
      </c>
      <c r="K1824" t="b">
        <v>1</v>
      </c>
    </row>
    <row r="1825" spans="1:11" x14ac:dyDescent="0.25">
      <c r="A1825" t="s">
        <v>7379</v>
      </c>
      <c r="B1825" t="s">
        <v>51</v>
      </c>
      <c r="C1825" t="s">
        <v>13</v>
      </c>
      <c r="D1825" t="s">
        <v>141</v>
      </c>
      <c r="E1825" s="2">
        <v>21.5</v>
      </c>
      <c r="F1825" s="4">
        <v>9</v>
      </c>
      <c r="G1825" s="2">
        <v>193.5</v>
      </c>
      <c r="H1825" t="s">
        <v>25</v>
      </c>
      <c r="I1825" t="s">
        <v>36</v>
      </c>
      <c r="J1825" s="1">
        <v>44726</v>
      </c>
      <c r="K1825" t="b">
        <v>1</v>
      </c>
    </row>
    <row r="1826" spans="1:11" x14ac:dyDescent="0.25">
      <c r="A1826" t="s">
        <v>4818</v>
      </c>
      <c r="B1826" t="s">
        <v>97</v>
      </c>
      <c r="C1826" t="s">
        <v>110</v>
      </c>
      <c r="D1826" t="s">
        <v>451</v>
      </c>
      <c r="E1826" s="2">
        <v>21.5</v>
      </c>
      <c r="F1826" s="4">
        <v>9</v>
      </c>
      <c r="G1826" s="2">
        <v>193.5</v>
      </c>
      <c r="H1826" t="s">
        <v>15</v>
      </c>
      <c r="I1826" t="s">
        <v>36</v>
      </c>
      <c r="J1826" s="1">
        <v>44700</v>
      </c>
      <c r="K1826" t="b">
        <v>1</v>
      </c>
    </row>
    <row r="1827" spans="1:11" x14ac:dyDescent="0.25">
      <c r="A1827" t="s">
        <v>4845</v>
      </c>
      <c r="B1827" t="s">
        <v>85</v>
      </c>
      <c r="C1827" t="s">
        <v>19</v>
      </c>
      <c r="D1827" t="s">
        <v>1410</v>
      </c>
      <c r="E1827" s="2">
        <v>21.5</v>
      </c>
      <c r="F1827" s="4">
        <v>9</v>
      </c>
      <c r="G1827" s="2">
        <v>193.5</v>
      </c>
      <c r="H1827" t="s">
        <v>45</v>
      </c>
      <c r="I1827" t="s">
        <v>36</v>
      </c>
      <c r="J1827" s="1">
        <v>44928</v>
      </c>
      <c r="K1827" t="b">
        <v>0</v>
      </c>
    </row>
    <row r="1828" spans="1:11" x14ac:dyDescent="0.25">
      <c r="A1828" t="s">
        <v>5257</v>
      </c>
      <c r="B1828" t="s">
        <v>97</v>
      </c>
      <c r="C1828" t="s">
        <v>27</v>
      </c>
      <c r="D1828" t="s">
        <v>315</v>
      </c>
      <c r="E1828" s="2">
        <v>21.5</v>
      </c>
      <c r="F1828" s="4">
        <v>9</v>
      </c>
      <c r="G1828" s="2">
        <v>193.5</v>
      </c>
      <c r="H1828" t="s">
        <v>15</v>
      </c>
      <c r="I1828" t="s">
        <v>16</v>
      </c>
      <c r="J1828" s="1">
        <v>45265</v>
      </c>
      <c r="K1828" t="b">
        <v>0</v>
      </c>
    </row>
    <row r="1829" spans="1:11" x14ac:dyDescent="0.25">
      <c r="A1829" t="s">
        <v>7596</v>
      </c>
      <c r="B1829" t="s">
        <v>85</v>
      </c>
      <c r="C1829" t="s">
        <v>59</v>
      </c>
      <c r="D1829" t="s">
        <v>288</v>
      </c>
      <c r="E1829" s="2">
        <v>21.5</v>
      </c>
      <c r="F1829" s="4">
        <v>9</v>
      </c>
      <c r="G1829" s="2">
        <v>193.5</v>
      </c>
      <c r="H1829" t="s">
        <v>25</v>
      </c>
      <c r="I1829" t="s">
        <v>36</v>
      </c>
      <c r="J1829" s="1">
        <v>45291</v>
      </c>
      <c r="K1829" t="b">
        <v>0</v>
      </c>
    </row>
    <row r="1830" spans="1:11" x14ac:dyDescent="0.25">
      <c r="A1830" t="s">
        <v>2505</v>
      </c>
      <c r="B1830" t="s">
        <v>56</v>
      </c>
      <c r="C1830" t="s">
        <v>31</v>
      </c>
      <c r="D1830" t="s">
        <v>108</v>
      </c>
      <c r="E1830" s="2">
        <v>21.5</v>
      </c>
      <c r="F1830" s="4">
        <v>9</v>
      </c>
      <c r="G1830" s="2">
        <v>193.5</v>
      </c>
      <c r="H1830" t="s">
        <v>15</v>
      </c>
      <c r="I1830" t="s">
        <v>16</v>
      </c>
      <c r="J1830" s="1">
        <v>45358</v>
      </c>
      <c r="K1830" t="b">
        <v>0</v>
      </c>
    </row>
    <row r="1831" spans="1:11" x14ac:dyDescent="0.25">
      <c r="A1831" t="s">
        <v>2222</v>
      </c>
      <c r="B1831" t="s">
        <v>93</v>
      </c>
      <c r="C1831" t="s">
        <v>110</v>
      </c>
      <c r="D1831" t="s">
        <v>451</v>
      </c>
      <c r="E1831" s="2">
        <v>21.5</v>
      </c>
      <c r="F1831" s="4">
        <v>9</v>
      </c>
      <c r="G1831" s="2">
        <v>193.5</v>
      </c>
      <c r="H1831" t="s">
        <v>25</v>
      </c>
      <c r="I1831" t="s">
        <v>16</v>
      </c>
      <c r="J1831" s="1">
        <v>44747</v>
      </c>
      <c r="K1831" t="b">
        <v>0</v>
      </c>
    </row>
    <row r="1832" spans="1:11" x14ac:dyDescent="0.25">
      <c r="A1832" t="s">
        <v>5584</v>
      </c>
      <c r="B1832" t="s">
        <v>61</v>
      </c>
      <c r="C1832" t="s">
        <v>13</v>
      </c>
      <c r="D1832" t="s">
        <v>141</v>
      </c>
      <c r="E1832" s="2">
        <v>21.5</v>
      </c>
      <c r="F1832" s="4">
        <v>9</v>
      </c>
      <c r="G1832" s="2">
        <v>193.5</v>
      </c>
      <c r="H1832" t="s">
        <v>45</v>
      </c>
      <c r="I1832" t="s">
        <v>36</v>
      </c>
      <c r="J1832" s="1">
        <v>45242</v>
      </c>
      <c r="K1832" t="b">
        <v>1</v>
      </c>
    </row>
    <row r="1833" spans="1:11" x14ac:dyDescent="0.25">
      <c r="A1833" t="s">
        <v>538</v>
      </c>
      <c r="B1833" t="s">
        <v>58</v>
      </c>
      <c r="C1833" t="s">
        <v>110</v>
      </c>
      <c r="D1833" t="s">
        <v>451</v>
      </c>
      <c r="E1833" s="2">
        <v>21.5</v>
      </c>
      <c r="F1833" s="4">
        <v>9</v>
      </c>
      <c r="G1833" s="2">
        <v>193.5</v>
      </c>
      <c r="H1833" t="s">
        <v>15</v>
      </c>
      <c r="I1833" t="s">
        <v>16</v>
      </c>
      <c r="J1833" s="1">
        <v>44932</v>
      </c>
      <c r="K1833" t="b">
        <v>1</v>
      </c>
    </row>
    <row r="1834" spans="1:11" x14ac:dyDescent="0.25">
      <c r="A1834" t="s">
        <v>6427</v>
      </c>
      <c r="B1834" t="s">
        <v>63</v>
      </c>
      <c r="C1834" t="s">
        <v>23</v>
      </c>
      <c r="D1834" t="s">
        <v>24</v>
      </c>
      <c r="E1834" s="2">
        <v>21.5</v>
      </c>
      <c r="F1834" s="4">
        <v>9</v>
      </c>
      <c r="G1834" s="2">
        <v>193.5</v>
      </c>
      <c r="H1834" t="s">
        <v>45</v>
      </c>
      <c r="I1834" t="s">
        <v>16</v>
      </c>
      <c r="J1834" s="1">
        <v>44581</v>
      </c>
      <c r="K1834" t="b">
        <v>0</v>
      </c>
    </row>
    <row r="1835" spans="1:11" x14ac:dyDescent="0.25">
      <c r="A1835" t="s">
        <v>6654</v>
      </c>
      <c r="B1835" t="s">
        <v>51</v>
      </c>
      <c r="C1835" t="s">
        <v>59</v>
      </c>
      <c r="D1835" t="s">
        <v>288</v>
      </c>
      <c r="E1835" s="2">
        <v>21.5</v>
      </c>
      <c r="F1835" s="4">
        <v>9</v>
      </c>
      <c r="G1835" s="2">
        <v>193.5</v>
      </c>
      <c r="H1835" t="s">
        <v>25</v>
      </c>
      <c r="I1835" t="s">
        <v>16</v>
      </c>
      <c r="J1835" s="1">
        <v>44873</v>
      </c>
      <c r="K1835" t="b">
        <v>0</v>
      </c>
    </row>
    <row r="1836" spans="1:11" x14ac:dyDescent="0.25">
      <c r="A1836" t="s">
        <v>6726</v>
      </c>
      <c r="B1836" t="s">
        <v>56</v>
      </c>
      <c r="C1836" t="s">
        <v>31</v>
      </c>
      <c r="D1836" t="s">
        <v>108</v>
      </c>
      <c r="E1836" s="2">
        <v>21.5</v>
      </c>
      <c r="F1836" s="4">
        <v>9</v>
      </c>
      <c r="G1836" s="2">
        <v>193.5</v>
      </c>
      <c r="H1836" t="s">
        <v>25</v>
      </c>
      <c r="I1836" t="s">
        <v>36</v>
      </c>
      <c r="J1836" s="1">
        <v>44724</v>
      </c>
      <c r="K1836" t="b">
        <v>1</v>
      </c>
    </row>
    <row r="1837" spans="1:11" x14ac:dyDescent="0.25">
      <c r="A1837" t="s">
        <v>3125</v>
      </c>
      <c r="B1837" t="s">
        <v>69</v>
      </c>
      <c r="C1837" t="s">
        <v>31</v>
      </c>
      <c r="D1837" t="s">
        <v>108</v>
      </c>
      <c r="E1837" s="2">
        <v>21.5</v>
      </c>
      <c r="F1837" s="4">
        <v>9</v>
      </c>
      <c r="G1837" s="2">
        <v>193.5</v>
      </c>
      <c r="H1837" t="s">
        <v>45</v>
      </c>
      <c r="I1837" t="s">
        <v>36</v>
      </c>
      <c r="J1837" s="1">
        <v>45530</v>
      </c>
      <c r="K1837" t="b">
        <v>1</v>
      </c>
    </row>
    <row r="1838" spans="1:11" x14ac:dyDescent="0.25">
      <c r="A1838" t="s">
        <v>3178</v>
      </c>
      <c r="B1838" t="s">
        <v>100</v>
      </c>
      <c r="C1838" t="s">
        <v>13</v>
      </c>
      <c r="D1838" t="s">
        <v>141</v>
      </c>
      <c r="E1838" s="2">
        <v>21.5</v>
      </c>
      <c r="F1838" s="4">
        <v>9</v>
      </c>
      <c r="G1838" s="2">
        <v>193.5</v>
      </c>
      <c r="H1838" t="s">
        <v>45</v>
      </c>
      <c r="I1838" t="s">
        <v>16</v>
      </c>
      <c r="J1838" s="1">
        <v>44908</v>
      </c>
      <c r="K1838" t="b">
        <v>1</v>
      </c>
    </row>
    <row r="1839" spans="1:11" x14ac:dyDescent="0.25">
      <c r="A1839" t="s">
        <v>2058</v>
      </c>
      <c r="B1839" t="s">
        <v>77</v>
      </c>
      <c r="C1839" t="s">
        <v>27</v>
      </c>
      <c r="D1839" t="s">
        <v>315</v>
      </c>
      <c r="E1839" s="2">
        <v>21.5</v>
      </c>
      <c r="F1839" s="4">
        <v>9</v>
      </c>
      <c r="G1839" s="2">
        <v>193.5</v>
      </c>
      <c r="H1839" t="s">
        <v>25</v>
      </c>
      <c r="I1839" t="s">
        <v>36</v>
      </c>
      <c r="J1839" s="1">
        <v>45258</v>
      </c>
      <c r="K1839" t="b">
        <v>0</v>
      </c>
    </row>
    <row r="1840" spans="1:11" x14ac:dyDescent="0.25">
      <c r="A1840" t="s">
        <v>3016</v>
      </c>
      <c r="B1840" t="s">
        <v>86</v>
      </c>
      <c r="C1840" t="s">
        <v>23</v>
      </c>
      <c r="D1840" t="s">
        <v>24</v>
      </c>
      <c r="E1840" s="2">
        <v>21.5</v>
      </c>
      <c r="F1840" s="4">
        <v>9</v>
      </c>
      <c r="G1840" s="2">
        <v>193.5</v>
      </c>
      <c r="H1840" t="s">
        <v>25</v>
      </c>
      <c r="I1840" t="s">
        <v>16</v>
      </c>
      <c r="J1840" s="1">
        <v>45345</v>
      </c>
      <c r="K1840" t="b">
        <v>1</v>
      </c>
    </row>
    <row r="1841" spans="1:11" x14ac:dyDescent="0.25">
      <c r="A1841" t="s">
        <v>4192</v>
      </c>
      <c r="B1841" t="s">
        <v>100</v>
      </c>
      <c r="C1841" t="s">
        <v>23</v>
      </c>
      <c r="D1841" t="s">
        <v>24</v>
      </c>
      <c r="E1841" s="2">
        <v>21.5</v>
      </c>
      <c r="F1841" s="4">
        <v>9</v>
      </c>
      <c r="G1841" s="2">
        <v>193.5</v>
      </c>
      <c r="H1841" t="s">
        <v>15</v>
      </c>
      <c r="I1841" t="s">
        <v>16</v>
      </c>
      <c r="J1841" s="1">
        <v>45310</v>
      </c>
      <c r="K1841" t="b">
        <v>1</v>
      </c>
    </row>
    <row r="1842" spans="1:11" x14ac:dyDescent="0.25">
      <c r="A1842" t="s">
        <v>570</v>
      </c>
      <c r="B1842" t="s">
        <v>51</v>
      </c>
      <c r="C1842" t="s">
        <v>31</v>
      </c>
      <c r="D1842" t="s">
        <v>108</v>
      </c>
      <c r="E1842" s="2">
        <v>21.5</v>
      </c>
      <c r="F1842" s="4">
        <v>9</v>
      </c>
      <c r="G1842" s="2">
        <v>193.5</v>
      </c>
      <c r="H1842" t="s">
        <v>15</v>
      </c>
      <c r="I1842" t="s">
        <v>16</v>
      </c>
      <c r="J1842" s="1">
        <v>44870</v>
      </c>
      <c r="K1842" t="b">
        <v>0</v>
      </c>
    </row>
    <row r="1843" spans="1:11" x14ac:dyDescent="0.25">
      <c r="A1843" t="s">
        <v>4037</v>
      </c>
      <c r="B1843" t="s">
        <v>86</v>
      </c>
      <c r="C1843" t="s">
        <v>59</v>
      </c>
      <c r="D1843" t="s">
        <v>288</v>
      </c>
      <c r="E1843" s="2">
        <v>21.5</v>
      </c>
      <c r="F1843" s="4">
        <v>9</v>
      </c>
      <c r="G1843" s="2">
        <v>193.5</v>
      </c>
      <c r="H1843" t="s">
        <v>45</v>
      </c>
      <c r="I1843" t="s">
        <v>36</v>
      </c>
      <c r="J1843" s="1">
        <v>44592</v>
      </c>
      <c r="K1843" t="b">
        <v>0</v>
      </c>
    </row>
    <row r="1844" spans="1:11" x14ac:dyDescent="0.25">
      <c r="A1844" t="s">
        <v>3227</v>
      </c>
      <c r="B1844" t="s">
        <v>12</v>
      </c>
      <c r="C1844" t="s">
        <v>110</v>
      </c>
      <c r="D1844" t="s">
        <v>451</v>
      </c>
      <c r="E1844" s="2">
        <v>21.5</v>
      </c>
      <c r="F1844" s="4">
        <v>9</v>
      </c>
      <c r="G1844" s="2">
        <v>193.5</v>
      </c>
      <c r="H1844" t="s">
        <v>45</v>
      </c>
      <c r="I1844" t="s">
        <v>36</v>
      </c>
      <c r="J1844" s="1">
        <v>45500</v>
      </c>
      <c r="K1844" t="b">
        <v>1</v>
      </c>
    </row>
    <row r="1845" spans="1:11" x14ac:dyDescent="0.25">
      <c r="A1845" t="s">
        <v>1102</v>
      </c>
      <c r="B1845" t="s">
        <v>56</v>
      </c>
      <c r="C1845" t="s">
        <v>110</v>
      </c>
      <c r="D1845" t="s">
        <v>451</v>
      </c>
      <c r="E1845" s="2">
        <v>21.5</v>
      </c>
      <c r="F1845" s="4">
        <v>9</v>
      </c>
      <c r="G1845" s="2">
        <v>193.5</v>
      </c>
      <c r="H1845" t="s">
        <v>25</v>
      </c>
      <c r="I1845" t="s">
        <v>16</v>
      </c>
      <c r="J1845" s="1">
        <v>44938</v>
      </c>
      <c r="K1845" t="b">
        <v>0</v>
      </c>
    </row>
    <row r="1846" spans="1:11" x14ac:dyDescent="0.25">
      <c r="A1846" t="s">
        <v>903</v>
      </c>
      <c r="B1846" t="s">
        <v>61</v>
      </c>
      <c r="C1846" t="s">
        <v>13</v>
      </c>
      <c r="D1846" t="s">
        <v>141</v>
      </c>
      <c r="E1846" s="2">
        <v>21.5</v>
      </c>
      <c r="F1846" s="4">
        <v>9</v>
      </c>
      <c r="G1846" s="2">
        <v>193.5</v>
      </c>
      <c r="H1846" t="s">
        <v>15</v>
      </c>
      <c r="I1846" t="s">
        <v>36</v>
      </c>
      <c r="J1846" s="1">
        <v>44986</v>
      </c>
      <c r="K1846" t="b">
        <v>0</v>
      </c>
    </row>
    <row r="1847" spans="1:11" x14ac:dyDescent="0.25">
      <c r="A1847" t="s">
        <v>5757</v>
      </c>
      <c r="B1847" t="s">
        <v>26</v>
      </c>
      <c r="C1847" t="s">
        <v>31</v>
      </c>
      <c r="D1847" t="s">
        <v>108</v>
      </c>
      <c r="E1847" s="2">
        <v>21.5</v>
      </c>
      <c r="F1847" s="4">
        <v>9</v>
      </c>
      <c r="G1847" s="2">
        <v>193.5</v>
      </c>
      <c r="H1847" t="s">
        <v>25</v>
      </c>
      <c r="I1847" t="s">
        <v>16</v>
      </c>
      <c r="J1847" s="1">
        <v>45276</v>
      </c>
      <c r="K1847" t="b">
        <v>1</v>
      </c>
    </row>
    <row r="1848" spans="1:11" x14ac:dyDescent="0.25">
      <c r="A1848" t="s">
        <v>172</v>
      </c>
      <c r="B1848" t="s">
        <v>85</v>
      </c>
      <c r="C1848" t="s">
        <v>13</v>
      </c>
      <c r="D1848" t="s">
        <v>141</v>
      </c>
      <c r="E1848" s="2">
        <v>21.5</v>
      </c>
      <c r="F1848" s="4">
        <v>9</v>
      </c>
      <c r="G1848" s="2">
        <v>193.5</v>
      </c>
      <c r="H1848" t="s">
        <v>45</v>
      </c>
      <c r="I1848" t="s">
        <v>36</v>
      </c>
      <c r="J1848" s="1">
        <v>45048</v>
      </c>
      <c r="K1848" t="b">
        <v>1</v>
      </c>
    </row>
    <row r="1849" spans="1:11" x14ac:dyDescent="0.25">
      <c r="A1849" t="s">
        <v>3351</v>
      </c>
      <c r="B1849" t="s">
        <v>93</v>
      </c>
      <c r="C1849" t="s">
        <v>110</v>
      </c>
      <c r="D1849" t="s">
        <v>451</v>
      </c>
      <c r="E1849" s="2">
        <v>21.5</v>
      </c>
      <c r="F1849" s="4">
        <v>9</v>
      </c>
      <c r="G1849" s="2">
        <v>193.5</v>
      </c>
      <c r="H1849" t="s">
        <v>25</v>
      </c>
      <c r="I1849" t="s">
        <v>16</v>
      </c>
      <c r="J1849" s="1">
        <v>45537</v>
      </c>
      <c r="K1849" t="b">
        <v>0</v>
      </c>
    </row>
    <row r="1850" spans="1:11" x14ac:dyDescent="0.25">
      <c r="A1850" t="s">
        <v>4206</v>
      </c>
      <c r="B1850" t="s">
        <v>22</v>
      </c>
      <c r="C1850" t="s">
        <v>27</v>
      </c>
      <c r="D1850" t="s">
        <v>315</v>
      </c>
      <c r="E1850" s="2">
        <v>21.5</v>
      </c>
      <c r="F1850" s="4">
        <v>9</v>
      </c>
      <c r="G1850" s="2">
        <v>193.5</v>
      </c>
      <c r="H1850" t="s">
        <v>25</v>
      </c>
      <c r="I1850" t="s">
        <v>16</v>
      </c>
      <c r="J1850" s="1">
        <v>45673</v>
      </c>
      <c r="K1850" t="b">
        <v>1</v>
      </c>
    </row>
    <row r="1851" spans="1:11" x14ac:dyDescent="0.25">
      <c r="A1851" t="s">
        <v>7673</v>
      </c>
      <c r="B1851" t="s">
        <v>58</v>
      </c>
      <c r="C1851" t="s">
        <v>31</v>
      </c>
      <c r="D1851" t="s">
        <v>108</v>
      </c>
      <c r="E1851" s="2">
        <v>21.5</v>
      </c>
      <c r="F1851" s="4">
        <v>9</v>
      </c>
      <c r="G1851" s="2">
        <v>193.5</v>
      </c>
      <c r="H1851" t="s">
        <v>15</v>
      </c>
      <c r="I1851" t="s">
        <v>36</v>
      </c>
      <c r="J1851" s="1">
        <v>44975</v>
      </c>
      <c r="K1851" t="b">
        <v>1</v>
      </c>
    </row>
    <row r="1852" spans="1:11" x14ac:dyDescent="0.25">
      <c r="A1852" t="s">
        <v>5839</v>
      </c>
      <c r="B1852" t="s">
        <v>26</v>
      </c>
      <c r="C1852" t="s">
        <v>23</v>
      </c>
      <c r="D1852" t="s">
        <v>24</v>
      </c>
      <c r="E1852" s="2">
        <v>21.5</v>
      </c>
      <c r="F1852" s="4">
        <v>9</v>
      </c>
      <c r="G1852" s="2">
        <v>193.5</v>
      </c>
      <c r="H1852" t="s">
        <v>45</v>
      </c>
      <c r="I1852" t="s">
        <v>36</v>
      </c>
      <c r="J1852" s="1">
        <v>44566</v>
      </c>
      <c r="K1852" t="b">
        <v>0</v>
      </c>
    </row>
    <row r="1853" spans="1:11" x14ac:dyDescent="0.25">
      <c r="A1853" t="s">
        <v>1499</v>
      </c>
      <c r="B1853" t="s">
        <v>142</v>
      </c>
      <c r="C1853" t="s">
        <v>13</v>
      </c>
      <c r="D1853" t="s">
        <v>141</v>
      </c>
      <c r="E1853" s="2">
        <v>21.5</v>
      </c>
      <c r="F1853" s="4">
        <v>9</v>
      </c>
      <c r="G1853" s="2">
        <v>193.5</v>
      </c>
      <c r="H1853" t="s">
        <v>25</v>
      </c>
      <c r="I1853" t="s">
        <v>36</v>
      </c>
      <c r="J1853" s="1">
        <v>45195</v>
      </c>
      <c r="K1853" t="b">
        <v>0</v>
      </c>
    </row>
    <row r="1854" spans="1:11" x14ac:dyDescent="0.25">
      <c r="A1854" t="s">
        <v>3341</v>
      </c>
      <c r="B1854" t="s">
        <v>26</v>
      </c>
      <c r="C1854" t="s">
        <v>27</v>
      </c>
      <c r="D1854" t="s">
        <v>315</v>
      </c>
      <c r="E1854" s="2">
        <v>21.5</v>
      </c>
      <c r="F1854" s="4">
        <v>9</v>
      </c>
      <c r="G1854" s="2">
        <v>193.5</v>
      </c>
      <c r="H1854" t="s">
        <v>45</v>
      </c>
      <c r="I1854" t="s">
        <v>16</v>
      </c>
      <c r="J1854" s="1">
        <v>44708</v>
      </c>
      <c r="K1854" t="b">
        <v>1</v>
      </c>
    </row>
    <row r="1855" spans="1:11" x14ac:dyDescent="0.25">
      <c r="A1855" t="s">
        <v>7452</v>
      </c>
      <c r="B1855" t="s">
        <v>43</v>
      </c>
      <c r="C1855" t="s">
        <v>23</v>
      </c>
      <c r="D1855" t="s">
        <v>24</v>
      </c>
      <c r="E1855" s="2">
        <v>21.5</v>
      </c>
      <c r="F1855" s="4">
        <v>9</v>
      </c>
      <c r="G1855" s="2">
        <v>193.5</v>
      </c>
      <c r="H1855" t="s">
        <v>15</v>
      </c>
      <c r="I1855" t="s">
        <v>36</v>
      </c>
      <c r="J1855" s="1">
        <v>45515</v>
      </c>
      <c r="K1855" t="b">
        <v>1</v>
      </c>
    </row>
    <row r="1856" spans="1:11" x14ac:dyDescent="0.25">
      <c r="A1856" t="s">
        <v>2682</v>
      </c>
      <c r="B1856" t="s">
        <v>37</v>
      </c>
      <c r="C1856" t="s">
        <v>19</v>
      </c>
      <c r="D1856" t="s">
        <v>53</v>
      </c>
      <c r="E1856" s="2">
        <v>27.5</v>
      </c>
      <c r="F1856" s="4">
        <v>7</v>
      </c>
      <c r="G1856" s="2">
        <v>192.5</v>
      </c>
      <c r="H1856" t="s">
        <v>45</v>
      </c>
      <c r="I1856" t="s">
        <v>16</v>
      </c>
      <c r="J1856" s="1">
        <v>45578</v>
      </c>
      <c r="K1856" t="b">
        <v>1</v>
      </c>
    </row>
    <row r="1857" spans="1:11" x14ac:dyDescent="0.25">
      <c r="A1857" t="s">
        <v>4309</v>
      </c>
      <c r="B1857" t="s">
        <v>40</v>
      </c>
      <c r="C1857" t="s">
        <v>23</v>
      </c>
      <c r="D1857" t="s">
        <v>115</v>
      </c>
      <c r="E1857" s="2">
        <v>27.5</v>
      </c>
      <c r="F1857" s="4">
        <v>7</v>
      </c>
      <c r="G1857" s="2">
        <v>192.5</v>
      </c>
      <c r="H1857" t="s">
        <v>25</v>
      </c>
      <c r="I1857" t="s">
        <v>36</v>
      </c>
      <c r="J1857" s="1">
        <v>44725</v>
      </c>
      <c r="K1857" t="b">
        <v>1</v>
      </c>
    </row>
    <row r="1858" spans="1:11" x14ac:dyDescent="0.25">
      <c r="A1858" t="s">
        <v>680</v>
      </c>
      <c r="B1858" t="s">
        <v>58</v>
      </c>
      <c r="C1858" t="s">
        <v>23</v>
      </c>
      <c r="D1858" t="s">
        <v>115</v>
      </c>
      <c r="E1858" s="2">
        <v>27.5</v>
      </c>
      <c r="F1858" s="4">
        <v>7</v>
      </c>
      <c r="G1858" s="2">
        <v>192.5</v>
      </c>
      <c r="H1858" t="s">
        <v>15</v>
      </c>
      <c r="I1858" t="s">
        <v>16</v>
      </c>
      <c r="J1858" s="1">
        <v>44817</v>
      </c>
      <c r="K1858" t="b">
        <v>1</v>
      </c>
    </row>
    <row r="1859" spans="1:11" x14ac:dyDescent="0.25">
      <c r="A1859" t="s">
        <v>6545</v>
      </c>
      <c r="B1859" t="s">
        <v>34</v>
      </c>
      <c r="C1859" t="s">
        <v>38</v>
      </c>
      <c r="D1859" t="s">
        <v>41</v>
      </c>
      <c r="E1859" s="2">
        <v>27.5</v>
      </c>
      <c r="F1859" s="4">
        <v>7</v>
      </c>
      <c r="G1859" s="2">
        <v>192.5</v>
      </c>
      <c r="H1859" t="s">
        <v>15</v>
      </c>
      <c r="I1859" t="s">
        <v>36</v>
      </c>
      <c r="J1859" s="1">
        <v>45661</v>
      </c>
      <c r="K1859" t="b">
        <v>0</v>
      </c>
    </row>
    <row r="1860" spans="1:11" x14ac:dyDescent="0.25">
      <c r="A1860" t="s">
        <v>4004</v>
      </c>
      <c r="B1860" t="s">
        <v>77</v>
      </c>
      <c r="C1860" t="s">
        <v>110</v>
      </c>
      <c r="D1860" t="s">
        <v>111</v>
      </c>
      <c r="E1860" s="2">
        <v>27.5</v>
      </c>
      <c r="F1860" s="4">
        <v>7</v>
      </c>
      <c r="G1860" s="2">
        <v>192.5</v>
      </c>
      <c r="H1860" t="s">
        <v>15</v>
      </c>
      <c r="I1860" t="s">
        <v>16</v>
      </c>
      <c r="J1860" s="1">
        <v>45212</v>
      </c>
      <c r="K1860" t="b">
        <v>0</v>
      </c>
    </row>
    <row r="1861" spans="1:11" x14ac:dyDescent="0.25">
      <c r="A1861" t="s">
        <v>3264</v>
      </c>
      <c r="B1861" t="s">
        <v>85</v>
      </c>
      <c r="C1861" t="s">
        <v>23</v>
      </c>
      <c r="D1861" t="s">
        <v>115</v>
      </c>
      <c r="E1861" s="2">
        <v>27.5</v>
      </c>
      <c r="F1861" s="4">
        <v>7</v>
      </c>
      <c r="G1861" s="2">
        <v>192.5</v>
      </c>
      <c r="H1861" t="s">
        <v>45</v>
      </c>
      <c r="I1861" t="s">
        <v>36</v>
      </c>
      <c r="J1861" s="1">
        <v>44582</v>
      </c>
      <c r="K1861" t="b">
        <v>0</v>
      </c>
    </row>
    <row r="1862" spans="1:11" x14ac:dyDescent="0.25">
      <c r="A1862" t="s">
        <v>3328</v>
      </c>
      <c r="B1862" t="s">
        <v>61</v>
      </c>
      <c r="C1862" t="s">
        <v>19</v>
      </c>
      <c r="D1862" t="s">
        <v>53</v>
      </c>
      <c r="E1862" s="2">
        <v>27.5</v>
      </c>
      <c r="F1862" s="4">
        <v>7</v>
      </c>
      <c r="G1862" s="2">
        <v>192.5</v>
      </c>
      <c r="H1862" t="s">
        <v>25</v>
      </c>
      <c r="I1862" t="s">
        <v>36</v>
      </c>
      <c r="J1862" s="1">
        <v>45186</v>
      </c>
      <c r="K1862" t="b">
        <v>1</v>
      </c>
    </row>
    <row r="1863" spans="1:11" x14ac:dyDescent="0.25">
      <c r="A1863" t="s">
        <v>6546</v>
      </c>
      <c r="B1863" t="s">
        <v>72</v>
      </c>
      <c r="C1863" t="s">
        <v>19</v>
      </c>
      <c r="D1863" t="s">
        <v>53</v>
      </c>
      <c r="E1863" s="2">
        <v>27.5</v>
      </c>
      <c r="F1863" s="4">
        <v>7</v>
      </c>
      <c r="G1863" s="2">
        <v>192.5</v>
      </c>
      <c r="H1863" t="s">
        <v>25</v>
      </c>
      <c r="I1863" t="s">
        <v>16</v>
      </c>
      <c r="J1863" s="1">
        <v>44866</v>
      </c>
      <c r="K1863" t="b">
        <v>0</v>
      </c>
    </row>
    <row r="1864" spans="1:11" x14ac:dyDescent="0.25">
      <c r="A1864" t="s">
        <v>2434</v>
      </c>
      <c r="B1864" t="s">
        <v>58</v>
      </c>
      <c r="C1864" t="s">
        <v>23</v>
      </c>
      <c r="D1864" t="s">
        <v>115</v>
      </c>
      <c r="E1864" s="2">
        <v>27.5</v>
      </c>
      <c r="F1864" s="4">
        <v>7</v>
      </c>
      <c r="G1864" s="2">
        <v>192.5</v>
      </c>
      <c r="H1864" t="s">
        <v>25</v>
      </c>
      <c r="I1864" t="s">
        <v>36</v>
      </c>
      <c r="J1864" s="1">
        <v>44662</v>
      </c>
      <c r="K1864" t="b">
        <v>0</v>
      </c>
    </row>
    <row r="1865" spans="1:11" x14ac:dyDescent="0.25">
      <c r="A1865" t="s">
        <v>1265</v>
      </c>
      <c r="B1865" t="s">
        <v>61</v>
      </c>
      <c r="C1865" t="s">
        <v>110</v>
      </c>
      <c r="D1865" t="s">
        <v>111</v>
      </c>
      <c r="E1865" s="2">
        <v>27.5</v>
      </c>
      <c r="F1865" s="4">
        <v>7</v>
      </c>
      <c r="G1865" s="2">
        <v>192.5</v>
      </c>
      <c r="H1865" t="s">
        <v>25</v>
      </c>
      <c r="I1865" t="s">
        <v>16</v>
      </c>
      <c r="J1865" s="1">
        <v>45632</v>
      </c>
      <c r="K1865" t="b">
        <v>0</v>
      </c>
    </row>
    <row r="1866" spans="1:11" x14ac:dyDescent="0.25">
      <c r="A1866" t="s">
        <v>5249</v>
      </c>
      <c r="B1866" t="s">
        <v>43</v>
      </c>
      <c r="C1866" t="s">
        <v>23</v>
      </c>
      <c r="D1866" t="s">
        <v>115</v>
      </c>
      <c r="E1866" s="2">
        <v>27.5</v>
      </c>
      <c r="F1866" s="4">
        <v>7</v>
      </c>
      <c r="G1866" s="2">
        <v>192.5</v>
      </c>
      <c r="H1866" t="s">
        <v>45</v>
      </c>
      <c r="I1866" t="s">
        <v>16</v>
      </c>
      <c r="J1866" s="1">
        <v>44610</v>
      </c>
      <c r="K1866" t="b">
        <v>1</v>
      </c>
    </row>
    <row r="1867" spans="1:11" x14ac:dyDescent="0.25">
      <c r="A1867" t="s">
        <v>1084</v>
      </c>
      <c r="B1867" t="s">
        <v>97</v>
      </c>
      <c r="C1867" t="s">
        <v>110</v>
      </c>
      <c r="D1867" t="s">
        <v>111</v>
      </c>
      <c r="E1867" s="2">
        <v>27.5</v>
      </c>
      <c r="F1867" s="4">
        <v>7</v>
      </c>
      <c r="G1867" s="2">
        <v>192.5</v>
      </c>
      <c r="H1867" t="s">
        <v>45</v>
      </c>
      <c r="I1867" t="s">
        <v>16</v>
      </c>
      <c r="J1867" s="1">
        <v>45110</v>
      </c>
      <c r="K1867" t="b">
        <v>0</v>
      </c>
    </row>
    <row r="1868" spans="1:11" x14ac:dyDescent="0.25">
      <c r="A1868" t="s">
        <v>3050</v>
      </c>
      <c r="B1868" t="s">
        <v>77</v>
      </c>
      <c r="C1868" t="s">
        <v>13</v>
      </c>
      <c r="D1868" t="s">
        <v>183</v>
      </c>
      <c r="E1868" s="2">
        <v>27.5</v>
      </c>
      <c r="F1868" s="4">
        <v>7</v>
      </c>
      <c r="G1868" s="2">
        <v>192.5</v>
      </c>
      <c r="H1868" t="s">
        <v>15</v>
      </c>
      <c r="I1868" t="s">
        <v>16</v>
      </c>
      <c r="J1868" s="1">
        <v>45597</v>
      </c>
      <c r="K1868" t="b">
        <v>1</v>
      </c>
    </row>
    <row r="1869" spans="1:11" x14ac:dyDescent="0.25">
      <c r="A1869" t="s">
        <v>317</v>
      </c>
      <c r="B1869" t="s">
        <v>37</v>
      </c>
      <c r="C1869" t="s">
        <v>23</v>
      </c>
      <c r="D1869" t="s">
        <v>115</v>
      </c>
      <c r="E1869" s="2">
        <v>27.5</v>
      </c>
      <c r="F1869" s="4">
        <v>7</v>
      </c>
      <c r="G1869" s="2">
        <v>192.5</v>
      </c>
      <c r="H1869" t="s">
        <v>15</v>
      </c>
      <c r="I1869" t="s">
        <v>16</v>
      </c>
      <c r="J1869" s="1">
        <v>44604</v>
      </c>
      <c r="K1869" t="b">
        <v>0</v>
      </c>
    </row>
    <row r="1870" spans="1:11" x14ac:dyDescent="0.25">
      <c r="A1870" t="s">
        <v>2141</v>
      </c>
      <c r="B1870" t="s">
        <v>58</v>
      </c>
      <c r="C1870" t="s">
        <v>59</v>
      </c>
      <c r="D1870" t="s">
        <v>272</v>
      </c>
      <c r="E1870" s="2">
        <v>27.5</v>
      </c>
      <c r="F1870" s="4">
        <v>7</v>
      </c>
      <c r="G1870" s="2">
        <v>192.5</v>
      </c>
      <c r="H1870" t="s">
        <v>15</v>
      </c>
      <c r="I1870" t="s">
        <v>16</v>
      </c>
      <c r="J1870" s="1">
        <v>45291</v>
      </c>
      <c r="K1870" t="b">
        <v>0</v>
      </c>
    </row>
    <row r="1871" spans="1:11" x14ac:dyDescent="0.25">
      <c r="A1871" t="s">
        <v>3001</v>
      </c>
      <c r="B1871" t="s">
        <v>69</v>
      </c>
      <c r="C1871" t="s">
        <v>38</v>
      </c>
      <c r="D1871" t="s">
        <v>41</v>
      </c>
      <c r="E1871" s="2">
        <v>27.5</v>
      </c>
      <c r="F1871" s="4">
        <v>7</v>
      </c>
      <c r="G1871" s="2">
        <v>192.5</v>
      </c>
      <c r="H1871" t="s">
        <v>25</v>
      </c>
      <c r="I1871" t="s">
        <v>36</v>
      </c>
      <c r="J1871" s="1">
        <v>45527</v>
      </c>
      <c r="K1871" t="b">
        <v>0</v>
      </c>
    </row>
    <row r="1872" spans="1:11" x14ac:dyDescent="0.25">
      <c r="A1872" t="s">
        <v>1633</v>
      </c>
      <c r="B1872" t="s">
        <v>51</v>
      </c>
      <c r="C1872" t="s">
        <v>19</v>
      </c>
      <c r="D1872" t="s">
        <v>53</v>
      </c>
      <c r="E1872" s="2">
        <v>27.5</v>
      </c>
      <c r="F1872" s="4">
        <v>7</v>
      </c>
      <c r="G1872" s="2">
        <v>192.5</v>
      </c>
      <c r="H1872" t="s">
        <v>15</v>
      </c>
      <c r="I1872" t="s">
        <v>16</v>
      </c>
      <c r="J1872" s="1">
        <v>45021</v>
      </c>
      <c r="K1872" t="b">
        <v>1</v>
      </c>
    </row>
    <row r="1873" spans="1:11" x14ac:dyDescent="0.25">
      <c r="A1873" t="s">
        <v>7200</v>
      </c>
      <c r="B1873" t="s">
        <v>30</v>
      </c>
      <c r="C1873" t="s">
        <v>110</v>
      </c>
      <c r="D1873" t="s">
        <v>111</v>
      </c>
      <c r="E1873" s="2">
        <v>27.5</v>
      </c>
      <c r="F1873" s="4">
        <v>7</v>
      </c>
      <c r="G1873" s="2">
        <v>192.5</v>
      </c>
      <c r="H1873" t="s">
        <v>25</v>
      </c>
      <c r="I1873" t="s">
        <v>36</v>
      </c>
      <c r="J1873" s="1">
        <v>45211</v>
      </c>
      <c r="K1873" t="b">
        <v>0</v>
      </c>
    </row>
    <row r="1874" spans="1:11" x14ac:dyDescent="0.25">
      <c r="A1874" t="s">
        <v>970</v>
      </c>
      <c r="B1874" t="s">
        <v>69</v>
      </c>
      <c r="C1874" t="s">
        <v>13</v>
      </c>
      <c r="D1874" t="s">
        <v>183</v>
      </c>
      <c r="E1874" s="2">
        <v>27.5</v>
      </c>
      <c r="F1874" s="4">
        <v>7</v>
      </c>
      <c r="G1874" s="2">
        <v>192.5</v>
      </c>
      <c r="H1874" t="s">
        <v>45</v>
      </c>
      <c r="I1874" t="s">
        <v>16</v>
      </c>
      <c r="J1874" s="1">
        <v>44681</v>
      </c>
      <c r="K1874" t="b">
        <v>1</v>
      </c>
    </row>
    <row r="1875" spans="1:11" x14ac:dyDescent="0.25">
      <c r="A1875" t="s">
        <v>1813</v>
      </c>
      <c r="B1875" t="s">
        <v>40</v>
      </c>
      <c r="C1875" t="s">
        <v>59</v>
      </c>
      <c r="D1875" t="s">
        <v>272</v>
      </c>
      <c r="E1875" s="2">
        <v>27.5</v>
      </c>
      <c r="F1875" s="4">
        <v>7</v>
      </c>
      <c r="G1875" s="2">
        <v>192.5</v>
      </c>
      <c r="H1875" t="s">
        <v>45</v>
      </c>
      <c r="I1875" t="s">
        <v>36</v>
      </c>
      <c r="J1875" s="1">
        <v>45111</v>
      </c>
      <c r="K1875" t="b">
        <v>1</v>
      </c>
    </row>
    <row r="1876" spans="1:11" x14ac:dyDescent="0.25">
      <c r="A1876" t="s">
        <v>5389</v>
      </c>
      <c r="B1876" t="s">
        <v>77</v>
      </c>
      <c r="C1876" t="s">
        <v>19</v>
      </c>
      <c r="D1876" t="s">
        <v>53</v>
      </c>
      <c r="E1876" s="2">
        <v>27.5</v>
      </c>
      <c r="F1876" s="4">
        <v>7</v>
      </c>
      <c r="G1876" s="2">
        <v>192.5</v>
      </c>
      <c r="H1876" t="s">
        <v>25</v>
      </c>
      <c r="I1876" t="s">
        <v>36</v>
      </c>
      <c r="J1876" s="1">
        <v>45585</v>
      </c>
      <c r="K1876" t="b">
        <v>0</v>
      </c>
    </row>
    <row r="1877" spans="1:11" x14ac:dyDescent="0.25">
      <c r="A1877" t="s">
        <v>4002</v>
      </c>
      <c r="B1877" t="s">
        <v>69</v>
      </c>
      <c r="C1877" t="s">
        <v>27</v>
      </c>
      <c r="D1877" t="s">
        <v>28</v>
      </c>
      <c r="E1877" s="2">
        <v>27.5</v>
      </c>
      <c r="F1877" s="4">
        <v>7</v>
      </c>
      <c r="G1877" s="2">
        <v>192.5</v>
      </c>
      <c r="H1877" t="s">
        <v>45</v>
      </c>
      <c r="I1877" t="s">
        <v>16</v>
      </c>
      <c r="J1877" s="1">
        <v>44587</v>
      </c>
      <c r="K1877" t="b">
        <v>0</v>
      </c>
    </row>
    <row r="1878" spans="1:11" x14ac:dyDescent="0.25">
      <c r="A1878" t="s">
        <v>5690</v>
      </c>
      <c r="B1878" t="s">
        <v>51</v>
      </c>
      <c r="C1878" t="s">
        <v>23</v>
      </c>
      <c r="D1878" t="s">
        <v>115</v>
      </c>
      <c r="E1878" s="2">
        <v>27.5</v>
      </c>
      <c r="F1878" s="4">
        <v>7</v>
      </c>
      <c r="G1878" s="2">
        <v>192.5</v>
      </c>
      <c r="H1878" t="s">
        <v>15</v>
      </c>
      <c r="I1878" t="s">
        <v>36</v>
      </c>
      <c r="J1878" s="1">
        <v>45500</v>
      </c>
      <c r="K1878" t="b">
        <v>1</v>
      </c>
    </row>
    <row r="1879" spans="1:11" x14ac:dyDescent="0.25">
      <c r="A1879" t="s">
        <v>4111</v>
      </c>
      <c r="B1879" t="s">
        <v>85</v>
      </c>
      <c r="C1879" t="s">
        <v>19</v>
      </c>
      <c r="D1879" t="s">
        <v>53</v>
      </c>
      <c r="E1879" s="2">
        <v>27.5</v>
      </c>
      <c r="F1879" s="4">
        <v>7</v>
      </c>
      <c r="G1879" s="2">
        <v>192.5</v>
      </c>
      <c r="H1879" t="s">
        <v>45</v>
      </c>
      <c r="I1879" t="s">
        <v>36</v>
      </c>
      <c r="J1879" s="1">
        <v>44763</v>
      </c>
      <c r="K1879" t="b">
        <v>0</v>
      </c>
    </row>
    <row r="1880" spans="1:11" x14ac:dyDescent="0.25">
      <c r="A1880" t="s">
        <v>264</v>
      </c>
      <c r="B1880" t="s">
        <v>34</v>
      </c>
      <c r="C1880" t="s">
        <v>19</v>
      </c>
      <c r="D1880" t="s">
        <v>53</v>
      </c>
      <c r="E1880" s="2">
        <v>27.5</v>
      </c>
      <c r="F1880" s="4">
        <v>7</v>
      </c>
      <c r="G1880" s="2">
        <v>192.5</v>
      </c>
      <c r="H1880" t="s">
        <v>15</v>
      </c>
      <c r="I1880" t="s">
        <v>36</v>
      </c>
      <c r="J1880" s="1">
        <v>44858</v>
      </c>
      <c r="K1880" t="b">
        <v>0</v>
      </c>
    </row>
    <row r="1881" spans="1:11" x14ac:dyDescent="0.25">
      <c r="A1881" t="s">
        <v>4789</v>
      </c>
      <c r="B1881" t="s">
        <v>93</v>
      </c>
      <c r="C1881" t="s">
        <v>13</v>
      </c>
      <c r="D1881" t="s">
        <v>183</v>
      </c>
      <c r="E1881" s="2">
        <v>27.5</v>
      </c>
      <c r="F1881" s="4">
        <v>7</v>
      </c>
      <c r="G1881" s="2">
        <v>192.5</v>
      </c>
      <c r="H1881" t="s">
        <v>25</v>
      </c>
      <c r="I1881" t="s">
        <v>16</v>
      </c>
      <c r="J1881" s="1">
        <v>44694</v>
      </c>
      <c r="K1881" t="b">
        <v>0</v>
      </c>
    </row>
    <row r="1882" spans="1:11" x14ac:dyDescent="0.25">
      <c r="A1882" t="s">
        <v>3937</v>
      </c>
      <c r="B1882" t="s">
        <v>104</v>
      </c>
      <c r="C1882" t="s">
        <v>38</v>
      </c>
      <c r="D1882" t="s">
        <v>41</v>
      </c>
      <c r="E1882" s="2">
        <v>27.5</v>
      </c>
      <c r="F1882" s="4">
        <v>7</v>
      </c>
      <c r="G1882" s="2">
        <v>192.5</v>
      </c>
      <c r="H1882" t="s">
        <v>15</v>
      </c>
      <c r="I1882" t="s">
        <v>36</v>
      </c>
      <c r="J1882" s="1">
        <v>45180</v>
      </c>
      <c r="K1882" t="b">
        <v>0</v>
      </c>
    </row>
    <row r="1883" spans="1:11" x14ac:dyDescent="0.25">
      <c r="A1883" t="s">
        <v>7511</v>
      </c>
      <c r="B1883" t="s">
        <v>104</v>
      </c>
      <c r="C1883" t="s">
        <v>23</v>
      </c>
      <c r="D1883" t="s">
        <v>115</v>
      </c>
      <c r="E1883" s="2">
        <v>27.5</v>
      </c>
      <c r="F1883" s="4">
        <v>7</v>
      </c>
      <c r="G1883" s="2">
        <v>192.5</v>
      </c>
      <c r="H1883" t="s">
        <v>25</v>
      </c>
      <c r="I1883" t="s">
        <v>36</v>
      </c>
      <c r="J1883" s="1">
        <v>44822</v>
      </c>
      <c r="K1883" t="b">
        <v>1</v>
      </c>
    </row>
    <row r="1884" spans="1:11" x14ac:dyDescent="0.25">
      <c r="A1884" t="s">
        <v>4672</v>
      </c>
      <c r="B1884" t="s">
        <v>61</v>
      </c>
      <c r="C1884" t="s">
        <v>13</v>
      </c>
      <c r="D1884" t="s">
        <v>183</v>
      </c>
      <c r="E1884" s="2">
        <v>27.5</v>
      </c>
      <c r="F1884" s="4">
        <v>7</v>
      </c>
      <c r="G1884" s="2">
        <v>192.5</v>
      </c>
      <c r="H1884" t="s">
        <v>15</v>
      </c>
      <c r="I1884" t="s">
        <v>36</v>
      </c>
      <c r="J1884" s="1">
        <v>45328</v>
      </c>
      <c r="K1884" t="b">
        <v>0</v>
      </c>
    </row>
    <row r="1885" spans="1:11" x14ac:dyDescent="0.25">
      <c r="A1885" t="s">
        <v>7696</v>
      </c>
      <c r="B1885" t="s">
        <v>26</v>
      </c>
      <c r="C1885" t="s">
        <v>110</v>
      </c>
      <c r="D1885" t="s">
        <v>111</v>
      </c>
      <c r="E1885" s="2">
        <v>27.5</v>
      </c>
      <c r="F1885" s="4">
        <v>7</v>
      </c>
      <c r="G1885" s="2">
        <v>192.5</v>
      </c>
      <c r="H1885" t="s">
        <v>15</v>
      </c>
      <c r="I1885" t="s">
        <v>16</v>
      </c>
      <c r="J1885" s="1">
        <v>44585</v>
      </c>
      <c r="K1885" t="b">
        <v>1</v>
      </c>
    </row>
    <row r="1886" spans="1:11" x14ac:dyDescent="0.25">
      <c r="A1886" t="s">
        <v>3782</v>
      </c>
      <c r="B1886" t="s">
        <v>56</v>
      </c>
      <c r="C1886" t="s">
        <v>23</v>
      </c>
      <c r="D1886" t="s">
        <v>115</v>
      </c>
      <c r="E1886" s="2">
        <v>27.5</v>
      </c>
      <c r="F1886" s="4">
        <v>7</v>
      </c>
      <c r="G1886" s="2">
        <v>192.5</v>
      </c>
      <c r="H1886" t="s">
        <v>45</v>
      </c>
      <c r="I1886" t="s">
        <v>36</v>
      </c>
      <c r="J1886" s="1">
        <v>45261</v>
      </c>
      <c r="K1886" t="b">
        <v>1</v>
      </c>
    </row>
    <row r="1887" spans="1:11" x14ac:dyDescent="0.25">
      <c r="A1887" t="s">
        <v>1294</v>
      </c>
      <c r="B1887" t="s">
        <v>104</v>
      </c>
      <c r="C1887" t="s">
        <v>19</v>
      </c>
      <c r="D1887" t="s">
        <v>53</v>
      </c>
      <c r="E1887" s="2">
        <v>27.5</v>
      </c>
      <c r="F1887" s="4">
        <v>7</v>
      </c>
      <c r="G1887" s="2">
        <v>192.5</v>
      </c>
      <c r="H1887" t="s">
        <v>45</v>
      </c>
      <c r="I1887" t="s">
        <v>16</v>
      </c>
      <c r="J1887" s="1">
        <v>45081</v>
      </c>
      <c r="K1887" t="b">
        <v>0</v>
      </c>
    </row>
    <row r="1888" spans="1:11" x14ac:dyDescent="0.25">
      <c r="A1888" t="s">
        <v>761</v>
      </c>
      <c r="B1888" t="s">
        <v>72</v>
      </c>
      <c r="C1888" t="s">
        <v>59</v>
      </c>
      <c r="D1888" t="s">
        <v>272</v>
      </c>
      <c r="E1888" s="2">
        <v>27.5</v>
      </c>
      <c r="F1888" s="4">
        <v>7</v>
      </c>
      <c r="G1888" s="2">
        <v>192.5</v>
      </c>
      <c r="H1888" t="s">
        <v>25</v>
      </c>
      <c r="I1888" t="s">
        <v>16</v>
      </c>
      <c r="J1888" s="1">
        <v>45357</v>
      </c>
      <c r="K1888" t="b">
        <v>1</v>
      </c>
    </row>
    <row r="1889" spans="1:11" x14ac:dyDescent="0.25">
      <c r="A1889" t="s">
        <v>6633</v>
      </c>
      <c r="B1889" t="s">
        <v>66</v>
      </c>
      <c r="C1889" t="s">
        <v>27</v>
      </c>
      <c r="D1889" t="s">
        <v>28</v>
      </c>
      <c r="E1889" s="2">
        <v>27.5</v>
      </c>
      <c r="F1889" s="4">
        <v>7</v>
      </c>
      <c r="G1889" s="2">
        <v>192.5</v>
      </c>
      <c r="H1889" t="s">
        <v>45</v>
      </c>
      <c r="I1889" t="s">
        <v>16</v>
      </c>
      <c r="J1889" s="1">
        <v>44703</v>
      </c>
      <c r="K1889" t="b">
        <v>0</v>
      </c>
    </row>
    <row r="1890" spans="1:11" x14ac:dyDescent="0.25">
      <c r="A1890" t="s">
        <v>1271</v>
      </c>
      <c r="B1890" t="s">
        <v>86</v>
      </c>
      <c r="C1890" t="s">
        <v>23</v>
      </c>
      <c r="D1890" t="s">
        <v>708</v>
      </c>
      <c r="E1890" s="2">
        <v>32</v>
      </c>
      <c r="F1890" s="4">
        <v>6</v>
      </c>
      <c r="G1890" s="2">
        <v>192</v>
      </c>
      <c r="H1890" t="s">
        <v>25</v>
      </c>
      <c r="I1890" t="s">
        <v>16</v>
      </c>
      <c r="J1890" s="1">
        <v>44591</v>
      </c>
      <c r="K1890" t="b">
        <v>1</v>
      </c>
    </row>
    <row r="1891" spans="1:11" x14ac:dyDescent="0.25">
      <c r="A1891" t="s">
        <v>3201</v>
      </c>
      <c r="B1891" t="s">
        <v>34</v>
      </c>
      <c r="C1891" t="s">
        <v>27</v>
      </c>
      <c r="D1891" t="s">
        <v>207</v>
      </c>
      <c r="E1891" s="2">
        <v>32</v>
      </c>
      <c r="F1891" s="4">
        <v>6</v>
      </c>
      <c r="G1891" s="2">
        <v>192</v>
      </c>
      <c r="H1891" t="s">
        <v>15</v>
      </c>
      <c r="I1891" t="s">
        <v>36</v>
      </c>
      <c r="J1891" s="1">
        <v>45151</v>
      </c>
      <c r="K1891" t="b">
        <v>0</v>
      </c>
    </row>
    <row r="1892" spans="1:11" x14ac:dyDescent="0.25">
      <c r="A1892" t="s">
        <v>3597</v>
      </c>
      <c r="B1892" t="s">
        <v>100</v>
      </c>
      <c r="C1892" t="s">
        <v>27</v>
      </c>
      <c r="D1892" t="s">
        <v>207</v>
      </c>
      <c r="E1892" s="2">
        <v>32</v>
      </c>
      <c r="F1892" s="4">
        <v>6</v>
      </c>
      <c r="G1892" s="2">
        <v>192</v>
      </c>
      <c r="H1892" t="s">
        <v>25</v>
      </c>
      <c r="I1892" t="s">
        <v>36</v>
      </c>
      <c r="J1892" s="1">
        <v>44869</v>
      </c>
      <c r="K1892" t="b">
        <v>0</v>
      </c>
    </row>
    <row r="1893" spans="1:11" x14ac:dyDescent="0.25">
      <c r="A1893" t="s">
        <v>2305</v>
      </c>
      <c r="B1893" t="s">
        <v>26</v>
      </c>
      <c r="C1893" t="s">
        <v>110</v>
      </c>
      <c r="D1893" t="s">
        <v>282</v>
      </c>
      <c r="E1893" s="2">
        <v>32</v>
      </c>
      <c r="F1893" s="4">
        <v>6</v>
      </c>
      <c r="G1893" s="2">
        <v>192</v>
      </c>
      <c r="H1893" t="s">
        <v>25</v>
      </c>
      <c r="I1893" t="s">
        <v>16</v>
      </c>
      <c r="J1893" s="1">
        <v>44905</v>
      </c>
      <c r="K1893" t="b">
        <v>1</v>
      </c>
    </row>
    <row r="1894" spans="1:11" x14ac:dyDescent="0.25">
      <c r="A1894" t="s">
        <v>698</v>
      </c>
      <c r="B1894" t="s">
        <v>43</v>
      </c>
      <c r="C1894" t="s">
        <v>13</v>
      </c>
      <c r="D1894" t="s">
        <v>426</v>
      </c>
      <c r="E1894" s="2">
        <v>32</v>
      </c>
      <c r="F1894" s="4">
        <v>6</v>
      </c>
      <c r="G1894" s="2">
        <v>192</v>
      </c>
      <c r="H1894" t="s">
        <v>45</v>
      </c>
      <c r="I1894" t="s">
        <v>36</v>
      </c>
      <c r="J1894" s="1">
        <v>45331</v>
      </c>
      <c r="K1894" t="b">
        <v>0</v>
      </c>
    </row>
    <row r="1895" spans="1:11" x14ac:dyDescent="0.25">
      <c r="A1895" t="s">
        <v>7175</v>
      </c>
      <c r="B1895" t="s">
        <v>63</v>
      </c>
      <c r="C1895" t="s">
        <v>13</v>
      </c>
      <c r="D1895" t="s">
        <v>426</v>
      </c>
      <c r="E1895" s="2">
        <v>32</v>
      </c>
      <c r="F1895" s="4">
        <v>6</v>
      </c>
      <c r="G1895" s="2">
        <v>192</v>
      </c>
      <c r="H1895" t="s">
        <v>15</v>
      </c>
      <c r="I1895" t="s">
        <v>16</v>
      </c>
      <c r="J1895" s="1">
        <v>44601</v>
      </c>
      <c r="K1895" t="b">
        <v>1</v>
      </c>
    </row>
    <row r="1896" spans="1:11" x14ac:dyDescent="0.25">
      <c r="A1896" t="s">
        <v>5221</v>
      </c>
      <c r="B1896" t="s">
        <v>37</v>
      </c>
      <c r="C1896" t="s">
        <v>59</v>
      </c>
      <c r="D1896" t="s">
        <v>254</v>
      </c>
      <c r="E1896" s="2">
        <v>32</v>
      </c>
      <c r="F1896" s="4">
        <v>6</v>
      </c>
      <c r="G1896" s="2">
        <v>192</v>
      </c>
      <c r="H1896" t="s">
        <v>25</v>
      </c>
      <c r="I1896" t="s">
        <v>36</v>
      </c>
      <c r="J1896" s="1">
        <v>45300</v>
      </c>
      <c r="K1896" t="b">
        <v>1</v>
      </c>
    </row>
    <row r="1897" spans="1:11" x14ac:dyDescent="0.25">
      <c r="A1897" t="s">
        <v>3943</v>
      </c>
      <c r="B1897" t="s">
        <v>34</v>
      </c>
      <c r="C1897" t="s">
        <v>27</v>
      </c>
      <c r="D1897" t="s">
        <v>207</v>
      </c>
      <c r="E1897" s="2">
        <v>32</v>
      </c>
      <c r="F1897" s="4">
        <v>6</v>
      </c>
      <c r="G1897" s="2">
        <v>192</v>
      </c>
      <c r="H1897" t="s">
        <v>45</v>
      </c>
      <c r="I1897" t="s">
        <v>36</v>
      </c>
      <c r="J1897" s="1">
        <v>45056</v>
      </c>
      <c r="K1897" t="b">
        <v>1</v>
      </c>
    </row>
    <row r="1898" spans="1:11" x14ac:dyDescent="0.25">
      <c r="A1898" t="s">
        <v>5004</v>
      </c>
      <c r="B1898" t="s">
        <v>18</v>
      </c>
      <c r="C1898" t="s">
        <v>110</v>
      </c>
      <c r="D1898" t="s">
        <v>282</v>
      </c>
      <c r="E1898" s="2">
        <v>32</v>
      </c>
      <c r="F1898" s="4">
        <v>6</v>
      </c>
      <c r="G1898" s="2">
        <v>192</v>
      </c>
      <c r="H1898" t="s">
        <v>25</v>
      </c>
      <c r="I1898" t="s">
        <v>36</v>
      </c>
      <c r="J1898" s="1">
        <v>45413</v>
      </c>
      <c r="K1898" t="b">
        <v>1</v>
      </c>
    </row>
    <row r="1899" spans="1:11" x14ac:dyDescent="0.25">
      <c r="A1899" t="s">
        <v>3211</v>
      </c>
      <c r="B1899" t="s">
        <v>51</v>
      </c>
      <c r="C1899" t="s">
        <v>38</v>
      </c>
      <c r="D1899" t="s">
        <v>748</v>
      </c>
      <c r="E1899" s="2">
        <v>32</v>
      </c>
      <c r="F1899" s="4">
        <v>6</v>
      </c>
      <c r="G1899" s="2">
        <v>192</v>
      </c>
      <c r="H1899" t="s">
        <v>25</v>
      </c>
      <c r="I1899" t="s">
        <v>16</v>
      </c>
      <c r="J1899" s="1">
        <v>44869</v>
      </c>
      <c r="K1899" t="b">
        <v>1</v>
      </c>
    </row>
    <row r="1900" spans="1:11" x14ac:dyDescent="0.25">
      <c r="A1900" t="s">
        <v>2937</v>
      </c>
      <c r="B1900" t="s">
        <v>86</v>
      </c>
      <c r="C1900" t="s">
        <v>19</v>
      </c>
      <c r="D1900" t="s">
        <v>120</v>
      </c>
      <c r="E1900" s="2">
        <v>32</v>
      </c>
      <c r="F1900" s="4">
        <v>6</v>
      </c>
      <c r="G1900" s="2">
        <v>192</v>
      </c>
      <c r="H1900" t="s">
        <v>45</v>
      </c>
      <c r="I1900" t="s">
        <v>36</v>
      </c>
      <c r="J1900" s="1">
        <v>45183</v>
      </c>
      <c r="K1900" t="b">
        <v>1</v>
      </c>
    </row>
    <row r="1901" spans="1:11" x14ac:dyDescent="0.25">
      <c r="A1901" t="s">
        <v>7115</v>
      </c>
      <c r="B1901" t="s">
        <v>30</v>
      </c>
      <c r="C1901" t="s">
        <v>110</v>
      </c>
      <c r="D1901" t="s">
        <v>282</v>
      </c>
      <c r="E1901" s="2">
        <v>32</v>
      </c>
      <c r="F1901" s="4">
        <v>6</v>
      </c>
      <c r="G1901" s="2">
        <v>192</v>
      </c>
      <c r="H1901" t="s">
        <v>45</v>
      </c>
      <c r="I1901" t="s">
        <v>36</v>
      </c>
      <c r="J1901" s="1">
        <v>45573</v>
      </c>
      <c r="K1901" t="b">
        <v>0</v>
      </c>
    </row>
    <row r="1902" spans="1:11" x14ac:dyDescent="0.25">
      <c r="A1902" t="s">
        <v>2301</v>
      </c>
      <c r="B1902" t="s">
        <v>97</v>
      </c>
      <c r="C1902" t="s">
        <v>27</v>
      </c>
      <c r="D1902" t="s">
        <v>207</v>
      </c>
      <c r="E1902" s="2">
        <v>32</v>
      </c>
      <c r="F1902" s="4">
        <v>6</v>
      </c>
      <c r="G1902" s="2">
        <v>192</v>
      </c>
      <c r="H1902" t="s">
        <v>45</v>
      </c>
      <c r="I1902" t="s">
        <v>16</v>
      </c>
      <c r="J1902" s="1">
        <v>45651</v>
      </c>
      <c r="K1902" t="b">
        <v>0</v>
      </c>
    </row>
    <row r="1903" spans="1:11" x14ac:dyDescent="0.25">
      <c r="A1903" t="s">
        <v>779</v>
      </c>
      <c r="B1903" t="s">
        <v>26</v>
      </c>
      <c r="C1903" t="s">
        <v>59</v>
      </c>
      <c r="D1903" t="s">
        <v>254</v>
      </c>
      <c r="E1903" s="2">
        <v>32</v>
      </c>
      <c r="F1903" s="4">
        <v>6</v>
      </c>
      <c r="G1903" s="2">
        <v>192</v>
      </c>
      <c r="H1903" t="s">
        <v>45</v>
      </c>
      <c r="I1903" t="s">
        <v>36</v>
      </c>
      <c r="J1903" s="1">
        <v>44819</v>
      </c>
      <c r="K1903" t="b">
        <v>0</v>
      </c>
    </row>
    <row r="1904" spans="1:11" x14ac:dyDescent="0.25">
      <c r="A1904" t="s">
        <v>7532</v>
      </c>
      <c r="B1904" t="s">
        <v>97</v>
      </c>
      <c r="C1904" t="s">
        <v>19</v>
      </c>
      <c r="D1904" t="s">
        <v>120</v>
      </c>
      <c r="E1904" s="2">
        <v>32</v>
      </c>
      <c r="F1904" s="4">
        <v>6</v>
      </c>
      <c r="G1904" s="2">
        <v>192</v>
      </c>
      <c r="H1904" t="s">
        <v>25</v>
      </c>
      <c r="I1904" t="s">
        <v>16</v>
      </c>
      <c r="J1904" s="1">
        <v>45157</v>
      </c>
      <c r="K1904" t="b">
        <v>0</v>
      </c>
    </row>
    <row r="1905" spans="1:11" x14ac:dyDescent="0.25">
      <c r="A1905" t="s">
        <v>1387</v>
      </c>
      <c r="B1905" t="s">
        <v>97</v>
      </c>
      <c r="C1905" t="s">
        <v>19</v>
      </c>
      <c r="D1905" t="s">
        <v>120</v>
      </c>
      <c r="E1905" s="2">
        <v>32</v>
      </c>
      <c r="F1905" s="4">
        <v>6</v>
      </c>
      <c r="G1905" s="2">
        <v>192</v>
      </c>
      <c r="H1905" t="s">
        <v>25</v>
      </c>
      <c r="I1905" t="s">
        <v>36</v>
      </c>
      <c r="J1905" s="1">
        <v>45665</v>
      </c>
      <c r="K1905" t="b">
        <v>0</v>
      </c>
    </row>
    <row r="1906" spans="1:11" x14ac:dyDescent="0.25">
      <c r="A1906" t="s">
        <v>7095</v>
      </c>
      <c r="B1906" t="s">
        <v>26</v>
      </c>
      <c r="C1906" t="s">
        <v>38</v>
      </c>
      <c r="D1906" t="s">
        <v>748</v>
      </c>
      <c r="E1906" s="2">
        <v>32</v>
      </c>
      <c r="F1906" s="4">
        <v>6</v>
      </c>
      <c r="G1906" s="2">
        <v>192</v>
      </c>
      <c r="H1906" t="s">
        <v>25</v>
      </c>
      <c r="I1906" t="s">
        <v>36</v>
      </c>
      <c r="J1906" s="1">
        <v>45404</v>
      </c>
      <c r="K1906" t="b">
        <v>0</v>
      </c>
    </row>
    <row r="1907" spans="1:11" x14ac:dyDescent="0.25">
      <c r="A1907" t="s">
        <v>4612</v>
      </c>
      <c r="B1907" t="s">
        <v>86</v>
      </c>
      <c r="C1907" t="s">
        <v>27</v>
      </c>
      <c r="D1907" t="s">
        <v>207</v>
      </c>
      <c r="E1907" s="2">
        <v>32</v>
      </c>
      <c r="F1907" s="4">
        <v>6</v>
      </c>
      <c r="G1907" s="2">
        <v>192</v>
      </c>
      <c r="H1907" t="s">
        <v>25</v>
      </c>
      <c r="I1907" t="s">
        <v>36</v>
      </c>
      <c r="J1907" s="1">
        <v>45113</v>
      </c>
      <c r="K1907" t="b">
        <v>0</v>
      </c>
    </row>
    <row r="1908" spans="1:11" x14ac:dyDescent="0.25">
      <c r="A1908" t="s">
        <v>4422</v>
      </c>
      <c r="B1908" t="s">
        <v>69</v>
      </c>
      <c r="C1908" t="s">
        <v>19</v>
      </c>
      <c r="D1908" t="s">
        <v>120</v>
      </c>
      <c r="E1908" s="2">
        <v>32</v>
      </c>
      <c r="F1908" s="4">
        <v>6</v>
      </c>
      <c r="G1908" s="2">
        <v>192</v>
      </c>
      <c r="H1908" t="s">
        <v>45</v>
      </c>
      <c r="I1908" t="s">
        <v>36</v>
      </c>
      <c r="J1908" s="1">
        <v>44635</v>
      </c>
      <c r="K1908" t="b">
        <v>1</v>
      </c>
    </row>
    <row r="1909" spans="1:11" x14ac:dyDescent="0.25">
      <c r="A1909" t="s">
        <v>1313</v>
      </c>
      <c r="B1909" t="s">
        <v>56</v>
      </c>
      <c r="C1909" t="s">
        <v>27</v>
      </c>
      <c r="D1909" t="s">
        <v>207</v>
      </c>
      <c r="E1909" s="2">
        <v>32</v>
      </c>
      <c r="F1909" s="4">
        <v>6</v>
      </c>
      <c r="G1909" s="2">
        <v>192</v>
      </c>
      <c r="H1909" t="s">
        <v>15</v>
      </c>
      <c r="I1909" t="s">
        <v>16</v>
      </c>
      <c r="J1909" s="1">
        <v>44599</v>
      </c>
      <c r="K1909" t="b">
        <v>1</v>
      </c>
    </row>
    <row r="1910" spans="1:11" x14ac:dyDescent="0.25">
      <c r="A1910" t="s">
        <v>4406</v>
      </c>
      <c r="B1910" t="s">
        <v>97</v>
      </c>
      <c r="C1910" t="s">
        <v>13</v>
      </c>
      <c r="D1910" t="s">
        <v>426</v>
      </c>
      <c r="E1910" s="2">
        <v>32</v>
      </c>
      <c r="F1910" s="4">
        <v>6</v>
      </c>
      <c r="G1910" s="2">
        <v>192</v>
      </c>
      <c r="H1910" t="s">
        <v>25</v>
      </c>
      <c r="I1910" t="s">
        <v>16</v>
      </c>
      <c r="J1910" s="1">
        <v>44570</v>
      </c>
      <c r="K1910" t="b">
        <v>1</v>
      </c>
    </row>
    <row r="1911" spans="1:11" x14ac:dyDescent="0.25">
      <c r="A1911" t="s">
        <v>6532</v>
      </c>
      <c r="B1911" t="s">
        <v>37</v>
      </c>
      <c r="C1911" t="s">
        <v>13</v>
      </c>
      <c r="D1911" t="s">
        <v>426</v>
      </c>
      <c r="E1911" s="2">
        <v>32</v>
      </c>
      <c r="F1911" s="4">
        <v>6</v>
      </c>
      <c r="G1911" s="2">
        <v>192</v>
      </c>
      <c r="H1911" t="s">
        <v>45</v>
      </c>
      <c r="I1911" t="s">
        <v>36</v>
      </c>
      <c r="J1911" s="1">
        <v>45314</v>
      </c>
      <c r="K1911" t="b">
        <v>1</v>
      </c>
    </row>
    <row r="1912" spans="1:11" x14ac:dyDescent="0.25">
      <c r="A1912" t="s">
        <v>7037</v>
      </c>
      <c r="B1912" t="s">
        <v>66</v>
      </c>
      <c r="C1912" t="s">
        <v>38</v>
      </c>
      <c r="D1912" t="s">
        <v>748</v>
      </c>
      <c r="E1912" s="2">
        <v>32</v>
      </c>
      <c r="F1912" s="4">
        <v>6</v>
      </c>
      <c r="G1912" s="2">
        <v>192</v>
      </c>
      <c r="H1912" t="s">
        <v>45</v>
      </c>
      <c r="I1912" t="s">
        <v>36</v>
      </c>
      <c r="J1912" s="1">
        <v>45496</v>
      </c>
      <c r="K1912" t="b">
        <v>0</v>
      </c>
    </row>
    <row r="1913" spans="1:11" x14ac:dyDescent="0.25">
      <c r="A1913" t="s">
        <v>6710</v>
      </c>
      <c r="B1913" t="s">
        <v>18</v>
      </c>
      <c r="C1913" t="s">
        <v>110</v>
      </c>
      <c r="D1913" t="s">
        <v>282</v>
      </c>
      <c r="E1913" s="2">
        <v>32</v>
      </c>
      <c r="F1913" s="4">
        <v>6</v>
      </c>
      <c r="G1913" s="2">
        <v>192</v>
      </c>
      <c r="H1913" t="s">
        <v>25</v>
      </c>
      <c r="I1913" t="s">
        <v>36</v>
      </c>
      <c r="J1913" s="1">
        <v>44992</v>
      </c>
      <c r="K1913" t="b">
        <v>0</v>
      </c>
    </row>
    <row r="1914" spans="1:11" x14ac:dyDescent="0.25">
      <c r="A1914" t="s">
        <v>5608</v>
      </c>
      <c r="B1914" t="s">
        <v>63</v>
      </c>
      <c r="C1914" t="s">
        <v>110</v>
      </c>
      <c r="D1914" t="s">
        <v>282</v>
      </c>
      <c r="E1914" s="2">
        <v>32</v>
      </c>
      <c r="F1914" s="4">
        <v>6</v>
      </c>
      <c r="G1914" s="2">
        <v>192</v>
      </c>
      <c r="H1914" t="s">
        <v>45</v>
      </c>
      <c r="I1914" t="s">
        <v>36</v>
      </c>
      <c r="J1914" s="1">
        <v>45390</v>
      </c>
      <c r="K1914" t="b">
        <v>1</v>
      </c>
    </row>
    <row r="1915" spans="1:11" x14ac:dyDescent="0.25">
      <c r="A1915" t="s">
        <v>5676</v>
      </c>
      <c r="B1915" t="s">
        <v>104</v>
      </c>
      <c r="C1915" t="s">
        <v>27</v>
      </c>
      <c r="D1915" t="s">
        <v>207</v>
      </c>
      <c r="E1915" s="2">
        <v>32</v>
      </c>
      <c r="F1915" s="4">
        <v>6</v>
      </c>
      <c r="G1915" s="2">
        <v>192</v>
      </c>
      <c r="H1915" t="s">
        <v>45</v>
      </c>
      <c r="I1915" t="s">
        <v>16</v>
      </c>
      <c r="J1915" s="1">
        <v>44910</v>
      </c>
      <c r="K1915" t="b">
        <v>1</v>
      </c>
    </row>
    <row r="1916" spans="1:11" x14ac:dyDescent="0.25">
      <c r="A1916" t="s">
        <v>5067</v>
      </c>
      <c r="B1916" t="s">
        <v>30</v>
      </c>
      <c r="C1916" t="s">
        <v>19</v>
      </c>
      <c r="D1916" t="s">
        <v>120</v>
      </c>
      <c r="E1916" s="2">
        <v>32</v>
      </c>
      <c r="F1916" s="4">
        <v>6</v>
      </c>
      <c r="G1916" s="2">
        <v>192</v>
      </c>
      <c r="H1916" t="s">
        <v>15</v>
      </c>
      <c r="I1916" t="s">
        <v>16</v>
      </c>
      <c r="J1916" s="1">
        <v>45252</v>
      </c>
      <c r="K1916" t="b">
        <v>0</v>
      </c>
    </row>
    <row r="1917" spans="1:11" x14ac:dyDescent="0.25">
      <c r="A1917" t="s">
        <v>4855</v>
      </c>
      <c r="B1917" t="s">
        <v>86</v>
      </c>
      <c r="C1917" t="s">
        <v>59</v>
      </c>
      <c r="D1917" t="s">
        <v>254</v>
      </c>
      <c r="E1917" s="2">
        <v>32</v>
      </c>
      <c r="F1917" s="4">
        <v>6</v>
      </c>
      <c r="G1917" s="2">
        <v>192</v>
      </c>
      <c r="H1917" t="s">
        <v>45</v>
      </c>
      <c r="I1917" t="s">
        <v>36</v>
      </c>
      <c r="J1917" s="1">
        <v>45504</v>
      </c>
      <c r="K1917" t="b">
        <v>0</v>
      </c>
    </row>
    <row r="1918" spans="1:11" x14ac:dyDescent="0.25">
      <c r="A1918" t="s">
        <v>568</v>
      </c>
      <c r="B1918" t="s">
        <v>40</v>
      </c>
      <c r="C1918" t="s">
        <v>19</v>
      </c>
      <c r="D1918" t="s">
        <v>120</v>
      </c>
      <c r="E1918" s="2">
        <v>32</v>
      </c>
      <c r="F1918" s="4">
        <v>6</v>
      </c>
      <c r="G1918" s="2">
        <v>192</v>
      </c>
      <c r="H1918" t="s">
        <v>25</v>
      </c>
      <c r="I1918" t="s">
        <v>16</v>
      </c>
      <c r="J1918" s="1">
        <v>45186</v>
      </c>
      <c r="K1918" t="b">
        <v>1</v>
      </c>
    </row>
    <row r="1919" spans="1:11" x14ac:dyDescent="0.25">
      <c r="A1919" t="s">
        <v>6053</v>
      </c>
      <c r="B1919" t="s">
        <v>69</v>
      </c>
      <c r="C1919" t="s">
        <v>19</v>
      </c>
      <c r="D1919" t="s">
        <v>120</v>
      </c>
      <c r="E1919" s="2">
        <v>32</v>
      </c>
      <c r="F1919" s="4">
        <v>6</v>
      </c>
      <c r="G1919" s="2">
        <v>192</v>
      </c>
      <c r="H1919" t="s">
        <v>45</v>
      </c>
      <c r="I1919" t="s">
        <v>36</v>
      </c>
      <c r="J1919" s="1">
        <v>45656</v>
      </c>
      <c r="K1919" t="b">
        <v>0</v>
      </c>
    </row>
    <row r="1920" spans="1:11" x14ac:dyDescent="0.25">
      <c r="A1920" t="s">
        <v>4091</v>
      </c>
      <c r="B1920" t="s">
        <v>85</v>
      </c>
      <c r="C1920" t="s">
        <v>27</v>
      </c>
      <c r="D1920" t="s">
        <v>207</v>
      </c>
      <c r="E1920" s="2">
        <v>32</v>
      </c>
      <c r="F1920" s="4">
        <v>6</v>
      </c>
      <c r="G1920" s="2">
        <v>192</v>
      </c>
      <c r="H1920" t="s">
        <v>25</v>
      </c>
      <c r="I1920" t="s">
        <v>36</v>
      </c>
      <c r="J1920" s="1">
        <v>44579</v>
      </c>
      <c r="K1920" t="b">
        <v>1</v>
      </c>
    </row>
    <row r="1921" spans="1:11" x14ac:dyDescent="0.25">
      <c r="A1921" t="s">
        <v>3011</v>
      </c>
      <c r="B1921" t="s">
        <v>61</v>
      </c>
      <c r="C1921" t="s">
        <v>38</v>
      </c>
      <c r="D1921" t="s">
        <v>748</v>
      </c>
      <c r="E1921" s="2">
        <v>32</v>
      </c>
      <c r="F1921" s="4">
        <v>6</v>
      </c>
      <c r="G1921" s="2">
        <v>192</v>
      </c>
      <c r="H1921" t="s">
        <v>45</v>
      </c>
      <c r="I1921" t="s">
        <v>16</v>
      </c>
      <c r="J1921" s="1">
        <v>44967</v>
      </c>
      <c r="K1921" t="b">
        <v>0</v>
      </c>
    </row>
    <row r="1922" spans="1:11" x14ac:dyDescent="0.25">
      <c r="A1922" t="s">
        <v>206</v>
      </c>
      <c r="B1922" t="s">
        <v>43</v>
      </c>
      <c r="C1922" t="s">
        <v>27</v>
      </c>
      <c r="D1922" t="s">
        <v>207</v>
      </c>
      <c r="E1922" s="2">
        <v>32</v>
      </c>
      <c r="F1922" s="4">
        <v>6</v>
      </c>
      <c r="G1922" s="2">
        <v>192</v>
      </c>
      <c r="H1922" t="s">
        <v>25</v>
      </c>
      <c r="I1922" t="s">
        <v>36</v>
      </c>
      <c r="J1922" s="1">
        <v>44580</v>
      </c>
      <c r="K1922" t="b">
        <v>1</v>
      </c>
    </row>
    <row r="1923" spans="1:11" x14ac:dyDescent="0.25">
      <c r="A1923" t="s">
        <v>6022</v>
      </c>
      <c r="B1923" t="s">
        <v>61</v>
      </c>
      <c r="C1923" t="s">
        <v>19</v>
      </c>
      <c r="D1923" t="s">
        <v>203</v>
      </c>
      <c r="E1923" s="2">
        <v>38</v>
      </c>
      <c r="F1923" s="4">
        <v>5</v>
      </c>
      <c r="G1923" s="2">
        <v>190</v>
      </c>
      <c r="H1923" t="s">
        <v>15</v>
      </c>
      <c r="I1923" t="s">
        <v>16</v>
      </c>
      <c r="J1923" s="1">
        <v>45418</v>
      </c>
      <c r="K1923" t="b">
        <v>1</v>
      </c>
    </row>
    <row r="1924" spans="1:11" x14ac:dyDescent="0.25">
      <c r="A1924" t="s">
        <v>7756</v>
      </c>
      <c r="B1924" t="s">
        <v>18</v>
      </c>
      <c r="C1924" t="s">
        <v>59</v>
      </c>
      <c r="D1924" t="s">
        <v>275</v>
      </c>
      <c r="E1924" s="2">
        <v>38</v>
      </c>
      <c r="F1924" s="4">
        <v>5</v>
      </c>
      <c r="G1924" s="2">
        <v>190</v>
      </c>
      <c r="H1924" t="s">
        <v>45</v>
      </c>
      <c r="I1924" t="s">
        <v>36</v>
      </c>
      <c r="J1924" s="1">
        <v>45430</v>
      </c>
      <c r="K1924" t="b">
        <v>1</v>
      </c>
    </row>
    <row r="1925" spans="1:11" x14ac:dyDescent="0.25">
      <c r="A1925" t="s">
        <v>4746</v>
      </c>
      <c r="B1925" t="s">
        <v>86</v>
      </c>
      <c r="C1925" t="s">
        <v>23</v>
      </c>
      <c r="D1925" t="s">
        <v>98</v>
      </c>
      <c r="E1925" s="2">
        <v>38</v>
      </c>
      <c r="F1925" s="4">
        <v>5</v>
      </c>
      <c r="G1925" s="2">
        <v>190</v>
      </c>
      <c r="H1925" t="s">
        <v>25</v>
      </c>
      <c r="I1925" t="s">
        <v>36</v>
      </c>
      <c r="J1925" s="1">
        <v>44640</v>
      </c>
      <c r="K1925" t="b">
        <v>0</v>
      </c>
    </row>
    <row r="1926" spans="1:11" x14ac:dyDescent="0.25">
      <c r="A1926" t="s">
        <v>4710</v>
      </c>
      <c r="B1926" t="s">
        <v>51</v>
      </c>
      <c r="C1926" t="s">
        <v>13</v>
      </c>
      <c r="D1926" t="s">
        <v>567</v>
      </c>
      <c r="E1926" s="2">
        <v>38</v>
      </c>
      <c r="F1926" s="4">
        <v>5</v>
      </c>
      <c r="G1926" s="2">
        <v>190</v>
      </c>
      <c r="H1926" t="s">
        <v>25</v>
      </c>
      <c r="I1926" t="s">
        <v>16</v>
      </c>
      <c r="J1926" s="1">
        <v>45519</v>
      </c>
      <c r="K1926" t="b">
        <v>1</v>
      </c>
    </row>
    <row r="1927" spans="1:11" x14ac:dyDescent="0.25">
      <c r="A1927" t="s">
        <v>6425</v>
      </c>
      <c r="B1927" t="s">
        <v>51</v>
      </c>
      <c r="C1927" t="s">
        <v>13</v>
      </c>
      <c r="D1927" t="s">
        <v>567</v>
      </c>
      <c r="E1927" s="2">
        <v>38</v>
      </c>
      <c r="F1927" s="4">
        <v>5</v>
      </c>
      <c r="G1927" s="2">
        <v>190</v>
      </c>
      <c r="H1927" t="s">
        <v>45</v>
      </c>
      <c r="I1927" t="s">
        <v>16</v>
      </c>
      <c r="J1927" s="1">
        <v>45587</v>
      </c>
      <c r="K1927" t="b">
        <v>0</v>
      </c>
    </row>
    <row r="1928" spans="1:11" x14ac:dyDescent="0.25">
      <c r="A1928" t="s">
        <v>2482</v>
      </c>
      <c r="B1928" t="s">
        <v>77</v>
      </c>
      <c r="C1928" t="s">
        <v>59</v>
      </c>
      <c r="D1928" t="s">
        <v>275</v>
      </c>
      <c r="E1928" s="2">
        <v>38</v>
      </c>
      <c r="F1928" s="4">
        <v>5</v>
      </c>
      <c r="G1928" s="2">
        <v>190</v>
      </c>
      <c r="H1928" t="s">
        <v>25</v>
      </c>
      <c r="I1928" t="s">
        <v>16</v>
      </c>
      <c r="J1928" s="1">
        <v>44825</v>
      </c>
      <c r="K1928" t="b">
        <v>0</v>
      </c>
    </row>
    <row r="1929" spans="1:11" x14ac:dyDescent="0.25">
      <c r="A1929" t="s">
        <v>2089</v>
      </c>
      <c r="B1929" t="s">
        <v>142</v>
      </c>
      <c r="C1929" t="s">
        <v>23</v>
      </c>
      <c r="D1929" t="s">
        <v>98</v>
      </c>
      <c r="E1929" s="2">
        <v>38</v>
      </c>
      <c r="F1929" s="4">
        <v>5</v>
      </c>
      <c r="G1929" s="2">
        <v>190</v>
      </c>
      <c r="H1929" t="s">
        <v>45</v>
      </c>
      <c r="I1929" t="s">
        <v>16</v>
      </c>
      <c r="J1929" s="1">
        <v>45317</v>
      </c>
      <c r="K1929" t="b">
        <v>1</v>
      </c>
    </row>
    <row r="1930" spans="1:11" x14ac:dyDescent="0.25">
      <c r="A1930" t="s">
        <v>3067</v>
      </c>
      <c r="B1930" t="s">
        <v>12</v>
      </c>
      <c r="C1930" t="s">
        <v>23</v>
      </c>
      <c r="D1930" t="s">
        <v>98</v>
      </c>
      <c r="E1930" s="2">
        <v>38</v>
      </c>
      <c r="F1930" s="4">
        <v>5</v>
      </c>
      <c r="G1930" s="2">
        <v>190</v>
      </c>
      <c r="H1930" t="s">
        <v>15</v>
      </c>
      <c r="I1930" t="s">
        <v>16</v>
      </c>
      <c r="J1930" s="1">
        <v>45274</v>
      </c>
      <c r="K1930" t="b">
        <v>0</v>
      </c>
    </row>
    <row r="1931" spans="1:11" x14ac:dyDescent="0.25">
      <c r="A1931" t="s">
        <v>2615</v>
      </c>
      <c r="B1931" t="s">
        <v>12</v>
      </c>
      <c r="C1931" t="s">
        <v>13</v>
      </c>
      <c r="D1931" t="s">
        <v>567</v>
      </c>
      <c r="E1931" s="2">
        <v>38</v>
      </c>
      <c r="F1931" s="4">
        <v>5</v>
      </c>
      <c r="G1931" s="2">
        <v>190</v>
      </c>
      <c r="H1931" t="s">
        <v>15</v>
      </c>
      <c r="I1931" t="s">
        <v>16</v>
      </c>
      <c r="J1931" s="1">
        <v>45073</v>
      </c>
      <c r="K1931" t="b">
        <v>1</v>
      </c>
    </row>
    <row r="1932" spans="1:11" x14ac:dyDescent="0.25">
      <c r="A1932" t="s">
        <v>714</v>
      </c>
      <c r="B1932" t="s">
        <v>63</v>
      </c>
      <c r="C1932" t="s">
        <v>23</v>
      </c>
      <c r="D1932" t="s">
        <v>98</v>
      </c>
      <c r="E1932" s="2">
        <v>38</v>
      </c>
      <c r="F1932" s="4">
        <v>5</v>
      </c>
      <c r="G1932" s="2">
        <v>190</v>
      </c>
      <c r="H1932" t="s">
        <v>15</v>
      </c>
      <c r="I1932" t="s">
        <v>16</v>
      </c>
      <c r="J1932" s="1">
        <v>44654</v>
      </c>
      <c r="K1932" t="b">
        <v>1</v>
      </c>
    </row>
    <row r="1933" spans="1:11" x14ac:dyDescent="0.25">
      <c r="A1933" t="s">
        <v>3670</v>
      </c>
      <c r="B1933" t="s">
        <v>58</v>
      </c>
      <c r="C1933" t="s">
        <v>59</v>
      </c>
      <c r="D1933" t="s">
        <v>275</v>
      </c>
      <c r="E1933" s="2">
        <v>38</v>
      </c>
      <c r="F1933" s="4">
        <v>5</v>
      </c>
      <c r="G1933" s="2">
        <v>190</v>
      </c>
      <c r="H1933" t="s">
        <v>15</v>
      </c>
      <c r="I1933" t="s">
        <v>16</v>
      </c>
      <c r="J1933" s="1">
        <v>45463</v>
      </c>
      <c r="K1933" t="b">
        <v>1</v>
      </c>
    </row>
    <row r="1934" spans="1:11" x14ac:dyDescent="0.25">
      <c r="A1934" t="s">
        <v>7405</v>
      </c>
      <c r="B1934" t="s">
        <v>72</v>
      </c>
      <c r="C1934" t="s">
        <v>23</v>
      </c>
      <c r="D1934" t="s">
        <v>98</v>
      </c>
      <c r="E1934" s="2">
        <v>38</v>
      </c>
      <c r="F1934" s="4">
        <v>5</v>
      </c>
      <c r="G1934" s="2">
        <v>190</v>
      </c>
      <c r="H1934" t="s">
        <v>45</v>
      </c>
      <c r="I1934" t="s">
        <v>16</v>
      </c>
      <c r="J1934" s="1">
        <v>45046</v>
      </c>
      <c r="K1934" t="b">
        <v>1</v>
      </c>
    </row>
    <row r="1935" spans="1:11" x14ac:dyDescent="0.25">
      <c r="A1935" t="s">
        <v>2693</v>
      </c>
      <c r="B1935" t="s">
        <v>26</v>
      </c>
      <c r="C1935" t="s">
        <v>38</v>
      </c>
      <c r="D1935" t="s">
        <v>122</v>
      </c>
      <c r="E1935" s="2">
        <v>38</v>
      </c>
      <c r="F1935" s="4">
        <v>5</v>
      </c>
      <c r="G1935" s="2">
        <v>190</v>
      </c>
      <c r="H1935" t="s">
        <v>25</v>
      </c>
      <c r="I1935" t="s">
        <v>36</v>
      </c>
      <c r="J1935" s="1">
        <v>44763</v>
      </c>
      <c r="K1935" t="b">
        <v>0</v>
      </c>
    </row>
    <row r="1936" spans="1:11" x14ac:dyDescent="0.25">
      <c r="A1936" t="s">
        <v>5263</v>
      </c>
      <c r="B1936" t="s">
        <v>30</v>
      </c>
      <c r="C1936" t="s">
        <v>38</v>
      </c>
      <c r="D1936" t="s">
        <v>122</v>
      </c>
      <c r="E1936" s="2">
        <v>38</v>
      </c>
      <c r="F1936" s="4">
        <v>5</v>
      </c>
      <c r="G1936" s="2">
        <v>190</v>
      </c>
      <c r="H1936" t="s">
        <v>45</v>
      </c>
      <c r="I1936" t="s">
        <v>16</v>
      </c>
      <c r="J1936" s="1">
        <v>44864</v>
      </c>
      <c r="K1936" t="b">
        <v>0</v>
      </c>
    </row>
    <row r="1937" spans="1:11" x14ac:dyDescent="0.25">
      <c r="A1937" t="s">
        <v>5517</v>
      </c>
      <c r="B1937" t="s">
        <v>22</v>
      </c>
      <c r="C1937" t="s">
        <v>19</v>
      </c>
      <c r="D1937" t="s">
        <v>203</v>
      </c>
      <c r="E1937" s="2">
        <v>38</v>
      </c>
      <c r="F1937" s="4">
        <v>5</v>
      </c>
      <c r="G1937" s="2">
        <v>190</v>
      </c>
      <c r="H1937" t="s">
        <v>15</v>
      </c>
      <c r="I1937" t="s">
        <v>36</v>
      </c>
      <c r="J1937" s="1">
        <v>45154</v>
      </c>
      <c r="K1937" t="b">
        <v>0</v>
      </c>
    </row>
    <row r="1938" spans="1:11" x14ac:dyDescent="0.25">
      <c r="A1938" t="s">
        <v>6371</v>
      </c>
      <c r="B1938" t="s">
        <v>63</v>
      </c>
      <c r="C1938" t="s">
        <v>27</v>
      </c>
      <c r="D1938" t="s">
        <v>205</v>
      </c>
      <c r="E1938" s="2">
        <v>38</v>
      </c>
      <c r="F1938" s="4">
        <v>5</v>
      </c>
      <c r="G1938" s="2">
        <v>190</v>
      </c>
      <c r="H1938" t="s">
        <v>45</v>
      </c>
      <c r="I1938" t="s">
        <v>36</v>
      </c>
      <c r="J1938" s="1">
        <v>45424</v>
      </c>
      <c r="K1938" t="b">
        <v>0</v>
      </c>
    </row>
    <row r="1939" spans="1:11" x14ac:dyDescent="0.25">
      <c r="A1939" t="s">
        <v>5482</v>
      </c>
      <c r="B1939" t="s">
        <v>100</v>
      </c>
      <c r="C1939" t="s">
        <v>59</v>
      </c>
      <c r="D1939" t="s">
        <v>275</v>
      </c>
      <c r="E1939" s="2">
        <v>38</v>
      </c>
      <c r="F1939" s="4">
        <v>5</v>
      </c>
      <c r="G1939" s="2">
        <v>190</v>
      </c>
      <c r="H1939" t="s">
        <v>45</v>
      </c>
      <c r="I1939" t="s">
        <v>36</v>
      </c>
      <c r="J1939" s="1">
        <v>44771</v>
      </c>
      <c r="K1939" t="b">
        <v>1</v>
      </c>
    </row>
    <row r="1940" spans="1:11" x14ac:dyDescent="0.25">
      <c r="A1940" t="s">
        <v>6811</v>
      </c>
      <c r="B1940" t="s">
        <v>56</v>
      </c>
      <c r="C1940" t="s">
        <v>13</v>
      </c>
      <c r="D1940" t="s">
        <v>567</v>
      </c>
      <c r="E1940" s="2">
        <v>38</v>
      </c>
      <c r="F1940" s="4">
        <v>5</v>
      </c>
      <c r="G1940" s="2">
        <v>190</v>
      </c>
      <c r="H1940" t="s">
        <v>15</v>
      </c>
      <c r="I1940" t="s">
        <v>36</v>
      </c>
      <c r="J1940" s="1">
        <v>44912</v>
      </c>
      <c r="K1940" t="b">
        <v>1</v>
      </c>
    </row>
    <row r="1941" spans="1:11" x14ac:dyDescent="0.25">
      <c r="A1941" t="s">
        <v>7748</v>
      </c>
      <c r="B1941" t="s">
        <v>72</v>
      </c>
      <c r="C1941" t="s">
        <v>13</v>
      </c>
      <c r="D1941" t="s">
        <v>567</v>
      </c>
      <c r="E1941" s="2">
        <v>38</v>
      </c>
      <c r="F1941" s="4">
        <v>5</v>
      </c>
      <c r="G1941" s="2">
        <v>190</v>
      </c>
      <c r="H1941" t="s">
        <v>15</v>
      </c>
      <c r="I1941" t="s">
        <v>16</v>
      </c>
      <c r="J1941" s="1">
        <v>44684</v>
      </c>
      <c r="K1941" t="b">
        <v>0</v>
      </c>
    </row>
    <row r="1942" spans="1:11" x14ac:dyDescent="0.25">
      <c r="A1942" t="s">
        <v>3495</v>
      </c>
      <c r="B1942" t="s">
        <v>142</v>
      </c>
      <c r="C1942" t="s">
        <v>23</v>
      </c>
      <c r="D1942" t="s">
        <v>98</v>
      </c>
      <c r="E1942" s="2">
        <v>38</v>
      </c>
      <c r="F1942" s="4">
        <v>5</v>
      </c>
      <c r="G1942" s="2">
        <v>190</v>
      </c>
      <c r="H1942" t="s">
        <v>45</v>
      </c>
      <c r="I1942" t="s">
        <v>16</v>
      </c>
      <c r="J1942" s="1">
        <v>45386</v>
      </c>
      <c r="K1942" t="b">
        <v>0</v>
      </c>
    </row>
    <row r="1943" spans="1:11" x14ac:dyDescent="0.25">
      <c r="A1943" t="s">
        <v>96</v>
      </c>
      <c r="B1943" t="s">
        <v>97</v>
      </c>
      <c r="C1943" t="s">
        <v>23</v>
      </c>
      <c r="D1943" t="s">
        <v>98</v>
      </c>
      <c r="E1943" s="2">
        <v>38</v>
      </c>
      <c r="F1943" s="4">
        <v>5</v>
      </c>
      <c r="G1943" s="2">
        <v>190</v>
      </c>
      <c r="H1943" t="s">
        <v>25</v>
      </c>
      <c r="I1943" t="s">
        <v>36</v>
      </c>
      <c r="J1943" s="1">
        <v>45584</v>
      </c>
      <c r="K1943" t="b">
        <v>0</v>
      </c>
    </row>
    <row r="1944" spans="1:11" x14ac:dyDescent="0.25">
      <c r="A1944" t="s">
        <v>7120</v>
      </c>
      <c r="B1944" t="s">
        <v>69</v>
      </c>
      <c r="C1944" t="s">
        <v>59</v>
      </c>
      <c r="D1944" t="s">
        <v>275</v>
      </c>
      <c r="E1944" s="2">
        <v>38</v>
      </c>
      <c r="F1944" s="4">
        <v>5</v>
      </c>
      <c r="G1944" s="2">
        <v>190</v>
      </c>
      <c r="H1944" t="s">
        <v>25</v>
      </c>
      <c r="I1944" t="s">
        <v>36</v>
      </c>
      <c r="J1944" s="1">
        <v>45041</v>
      </c>
      <c r="K1944" t="b">
        <v>1</v>
      </c>
    </row>
    <row r="1945" spans="1:11" x14ac:dyDescent="0.25">
      <c r="A1945" t="s">
        <v>7107</v>
      </c>
      <c r="B1945" t="s">
        <v>63</v>
      </c>
      <c r="C1945" t="s">
        <v>38</v>
      </c>
      <c r="D1945" t="s">
        <v>122</v>
      </c>
      <c r="E1945" s="2">
        <v>38</v>
      </c>
      <c r="F1945" s="4">
        <v>5</v>
      </c>
      <c r="G1945" s="2">
        <v>190</v>
      </c>
      <c r="H1945" t="s">
        <v>15</v>
      </c>
      <c r="I1945" t="s">
        <v>36</v>
      </c>
      <c r="J1945" s="1">
        <v>44647</v>
      </c>
      <c r="K1945" t="b">
        <v>1</v>
      </c>
    </row>
    <row r="1946" spans="1:11" x14ac:dyDescent="0.25">
      <c r="A1946" t="s">
        <v>6148</v>
      </c>
      <c r="B1946" t="s">
        <v>66</v>
      </c>
      <c r="C1946" t="s">
        <v>13</v>
      </c>
      <c r="D1946" t="s">
        <v>567</v>
      </c>
      <c r="E1946" s="2">
        <v>38</v>
      </c>
      <c r="F1946" s="4">
        <v>5</v>
      </c>
      <c r="G1946" s="2">
        <v>190</v>
      </c>
      <c r="H1946" t="s">
        <v>15</v>
      </c>
      <c r="I1946" t="s">
        <v>16</v>
      </c>
      <c r="J1946" s="1">
        <v>45040</v>
      </c>
      <c r="K1946" t="b">
        <v>1</v>
      </c>
    </row>
    <row r="1947" spans="1:11" x14ac:dyDescent="0.25">
      <c r="A1947" t="s">
        <v>438</v>
      </c>
      <c r="B1947" t="s">
        <v>61</v>
      </c>
      <c r="C1947" t="s">
        <v>23</v>
      </c>
      <c r="D1947" t="s">
        <v>98</v>
      </c>
      <c r="E1947" s="2">
        <v>38</v>
      </c>
      <c r="F1947" s="4">
        <v>5</v>
      </c>
      <c r="G1947" s="2">
        <v>190</v>
      </c>
      <c r="H1947" t="s">
        <v>25</v>
      </c>
      <c r="I1947" t="s">
        <v>16</v>
      </c>
      <c r="J1947" s="1">
        <v>45188</v>
      </c>
      <c r="K1947" t="b">
        <v>0</v>
      </c>
    </row>
    <row r="1948" spans="1:11" x14ac:dyDescent="0.25">
      <c r="A1948" t="s">
        <v>988</v>
      </c>
      <c r="B1948" t="s">
        <v>85</v>
      </c>
      <c r="C1948" t="s">
        <v>13</v>
      </c>
      <c r="D1948" t="s">
        <v>567</v>
      </c>
      <c r="E1948" s="2">
        <v>38</v>
      </c>
      <c r="F1948" s="4">
        <v>5</v>
      </c>
      <c r="G1948" s="2">
        <v>190</v>
      </c>
      <c r="H1948" t="s">
        <v>15</v>
      </c>
      <c r="I1948" t="s">
        <v>16</v>
      </c>
      <c r="J1948" s="1">
        <v>44576</v>
      </c>
      <c r="K1948" t="b">
        <v>0</v>
      </c>
    </row>
    <row r="1949" spans="1:11" x14ac:dyDescent="0.25">
      <c r="A1949" t="s">
        <v>2490</v>
      </c>
      <c r="B1949" t="s">
        <v>18</v>
      </c>
      <c r="C1949" t="s">
        <v>13</v>
      </c>
      <c r="D1949" t="s">
        <v>567</v>
      </c>
      <c r="E1949" s="2">
        <v>38</v>
      </c>
      <c r="F1949" s="4">
        <v>5</v>
      </c>
      <c r="G1949" s="2">
        <v>190</v>
      </c>
      <c r="H1949" t="s">
        <v>25</v>
      </c>
      <c r="I1949" t="s">
        <v>36</v>
      </c>
      <c r="J1949" s="1">
        <v>44638</v>
      </c>
      <c r="K1949" t="b">
        <v>0</v>
      </c>
    </row>
    <row r="1950" spans="1:11" x14ac:dyDescent="0.25">
      <c r="A1950" t="s">
        <v>2496</v>
      </c>
      <c r="B1950" t="s">
        <v>93</v>
      </c>
      <c r="C1950" t="s">
        <v>19</v>
      </c>
      <c r="D1950" t="s">
        <v>203</v>
      </c>
      <c r="E1950" s="2">
        <v>38</v>
      </c>
      <c r="F1950" s="4">
        <v>5</v>
      </c>
      <c r="G1950" s="2">
        <v>190</v>
      </c>
      <c r="H1950" t="s">
        <v>15</v>
      </c>
      <c r="I1950" t="s">
        <v>36</v>
      </c>
      <c r="J1950" s="1">
        <v>44806</v>
      </c>
      <c r="K1950" t="b">
        <v>1</v>
      </c>
    </row>
    <row r="1951" spans="1:11" x14ac:dyDescent="0.25">
      <c r="A1951" t="s">
        <v>526</v>
      </c>
      <c r="B1951" t="s">
        <v>30</v>
      </c>
      <c r="C1951" t="s">
        <v>38</v>
      </c>
      <c r="D1951" t="s">
        <v>122</v>
      </c>
      <c r="E1951" s="2">
        <v>38</v>
      </c>
      <c r="F1951" s="4">
        <v>5</v>
      </c>
      <c r="G1951" s="2">
        <v>190</v>
      </c>
      <c r="H1951" t="s">
        <v>15</v>
      </c>
      <c r="I1951" t="s">
        <v>36</v>
      </c>
      <c r="J1951" s="1">
        <v>44979</v>
      </c>
      <c r="K1951" t="b">
        <v>0</v>
      </c>
    </row>
    <row r="1952" spans="1:11" x14ac:dyDescent="0.25">
      <c r="A1952" t="s">
        <v>121</v>
      </c>
      <c r="B1952" t="s">
        <v>61</v>
      </c>
      <c r="C1952" t="s">
        <v>38</v>
      </c>
      <c r="D1952" t="s">
        <v>122</v>
      </c>
      <c r="E1952" s="2">
        <v>38</v>
      </c>
      <c r="F1952" s="4">
        <v>5</v>
      </c>
      <c r="G1952" s="2">
        <v>190</v>
      </c>
      <c r="H1952" t="s">
        <v>15</v>
      </c>
      <c r="I1952" t="s">
        <v>16</v>
      </c>
      <c r="J1952" s="1">
        <v>45045</v>
      </c>
      <c r="K1952" t="b">
        <v>0</v>
      </c>
    </row>
    <row r="1953" spans="1:11" x14ac:dyDescent="0.25">
      <c r="A1953" t="s">
        <v>3414</v>
      </c>
      <c r="B1953" t="s">
        <v>12</v>
      </c>
      <c r="C1953" t="s">
        <v>13</v>
      </c>
      <c r="D1953" t="s">
        <v>567</v>
      </c>
      <c r="E1953" s="2">
        <v>38</v>
      </c>
      <c r="F1953" s="4">
        <v>5</v>
      </c>
      <c r="G1953" s="2">
        <v>190</v>
      </c>
      <c r="H1953" t="s">
        <v>15</v>
      </c>
      <c r="I1953" t="s">
        <v>36</v>
      </c>
      <c r="J1953" s="1">
        <v>44621</v>
      </c>
      <c r="K1953" t="b">
        <v>0</v>
      </c>
    </row>
    <row r="1954" spans="1:11" x14ac:dyDescent="0.25">
      <c r="A1954" t="s">
        <v>2944</v>
      </c>
      <c r="B1954" t="s">
        <v>93</v>
      </c>
      <c r="C1954" t="s">
        <v>38</v>
      </c>
      <c r="D1954" t="s">
        <v>122</v>
      </c>
      <c r="E1954" s="2">
        <v>38</v>
      </c>
      <c r="F1954" s="4">
        <v>5</v>
      </c>
      <c r="G1954" s="2">
        <v>190</v>
      </c>
      <c r="H1954" t="s">
        <v>45</v>
      </c>
      <c r="I1954" t="s">
        <v>36</v>
      </c>
      <c r="J1954" s="1">
        <v>45353</v>
      </c>
      <c r="K1954" t="b">
        <v>1</v>
      </c>
    </row>
    <row r="1955" spans="1:11" x14ac:dyDescent="0.25">
      <c r="A1955" t="s">
        <v>7263</v>
      </c>
      <c r="B1955" t="s">
        <v>100</v>
      </c>
      <c r="C1955" t="s">
        <v>110</v>
      </c>
      <c r="D1955" t="s">
        <v>534</v>
      </c>
      <c r="E1955" s="2">
        <v>38</v>
      </c>
      <c r="F1955" s="4">
        <v>5</v>
      </c>
      <c r="G1955" s="2">
        <v>190</v>
      </c>
      <c r="H1955" t="s">
        <v>25</v>
      </c>
      <c r="I1955" t="s">
        <v>16</v>
      </c>
      <c r="J1955" s="1">
        <v>45502</v>
      </c>
      <c r="K1955" t="b">
        <v>1</v>
      </c>
    </row>
    <row r="1956" spans="1:11" x14ac:dyDescent="0.25">
      <c r="A1956" t="s">
        <v>2773</v>
      </c>
      <c r="B1956" t="s">
        <v>85</v>
      </c>
      <c r="C1956" t="s">
        <v>19</v>
      </c>
      <c r="D1956" t="s">
        <v>203</v>
      </c>
      <c r="E1956" s="2">
        <v>38</v>
      </c>
      <c r="F1956" s="4">
        <v>5</v>
      </c>
      <c r="G1956" s="2">
        <v>190</v>
      </c>
      <c r="H1956" t="s">
        <v>15</v>
      </c>
      <c r="I1956" t="s">
        <v>16</v>
      </c>
      <c r="J1956" s="1">
        <v>45593</v>
      </c>
      <c r="K1956" t="b">
        <v>0</v>
      </c>
    </row>
    <row r="1957" spans="1:11" x14ac:dyDescent="0.25">
      <c r="A1957" t="s">
        <v>5092</v>
      </c>
      <c r="B1957" t="s">
        <v>69</v>
      </c>
      <c r="C1957" t="s">
        <v>31</v>
      </c>
      <c r="D1957" t="s">
        <v>91</v>
      </c>
      <c r="E1957" s="2">
        <v>38</v>
      </c>
      <c r="F1957" s="4">
        <v>5</v>
      </c>
      <c r="G1957" s="2">
        <v>190</v>
      </c>
      <c r="H1957" t="s">
        <v>15</v>
      </c>
      <c r="I1957" t="s">
        <v>16</v>
      </c>
      <c r="J1957" s="1">
        <v>45236</v>
      </c>
      <c r="K1957" t="b">
        <v>0</v>
      </c>
    </row>
    <row r="1958" spans="1:11" x14ac:dyDescent="0.25">
      <c r="A1958" t="s">
        <v>4036</v>
      </c>
      <c r="B1958" t="s">
        <v>51</v>
      </c>
      <c r="C1958" t="s">
        <v>23</v>
      </c>
      <c r="D1958" t="s">
        <v>98</v>
      </c>
      <c r="E1958" s="2">
        <v>38</v>
      </c>
      <c r="F1958" s="4">
        <v>5</v>
      </c>
      <c r="G1958" s="2">
        <v>190</v>
      </c>
      <c r="H1958" t="s">
        <v>15</v>
      </c>
      <c r="I1958" t="s">
        <v>36</v>
      </c>
      <c r="J1958" s="1">
        <v>45243</v>
      </c>
      <c r="K1958" t="b">
        <v>1</v>
      </c>
    </row>
    <row r="1959" spans="1:11" x14ac:dyDescent="0.25">
      <c r="A1959" t="s">
        <v>1212</v>
      </c>
      <c r="B1959" t="s">
        <v>86</v>
      </c>
      <c r="C1959" t="s">
        <v>13</v>
      </c>
      <c r="D1959" t="s">
        <v>567</v>
      </c>
      <c r="E1959" s="2">
        <v>38</v>
      </c>
      <c r="F1959" s="4">
        <v>5</v>
      </c>
      <c r="G1959" s="2">
        <v>190</v>
      </c>
      <c r="H1959" t="s">
        <v>15</v>
      </c>
      <c r="I1959" t="s">
        <v>36</v>
      </c>
      <c r="J1959" s="1">
        <v>45355</v>
      </c>
      <c r="K1959" t="b">
        <v>1</v>
      </c>
    </row>
    <row r="1960" spans="1:11" x14ac:dyDescent="0.25">
      <c r="A1960" t="s">
        <v>6325</v>
      </c>
      <c r="B1960" t="s">
        <v>86</v>
      </c>
      <c r="C1960" t="s">
        <v>38</v>
      </c>
      <c r="D1960" t="s">
        <v>94</v>
      </c>
      <c r="E1960" s="2">
        <v>18.5</v>
      </c>
      <c r="F1960" s="4">
        <v>10</v>
      </c>
      <c r="G1960" s="2">
        <v>185</v>
      </c>
      <c r="H1960" t="s">
        <v>15</v>
      </c>
      <c r="I1960" t="s">
        <v>16</v>
      </c>
      <c r="J1960" s="1">
        <v>45567</v>
      </c>
      <c r="K1960" t="b">
        <v>0</v>
      </c>
    </row>
    <row r="1961" spans="1:11" x14ac:dyDescent="0.25">
      <c r="A1961" t="s">
        <v>7814</v>
      </c>
      <c r="B1961" t="s">
        <v>72</v>
      </c>
      <c r="C1961" t="s">
        <v>31</v>
      </c>
      <c r="D1961" t="s">
        <v>67</v>
      </c>
      <c r="E1961" s="2">
        <v>18.5</v>
      </c>
      <c r="F1961" s="4">
        <v>10</v>
      </c>
      <c r="G1961" s="2">
        <v>185</v>
      </c>
      <c r="H1961" t="s">
        <v>15</v>
      </c>
      <c r="I1961" t="s">
        <v>16</v>
      </c>
      <c r="J1961" s="1">
        <v>45282</v>
      </c>
      <c r="K1961" t="b">
        <v>1</v>
      </c>
    </row>
    <row r="1962" spans="1:11" x14ac:dyDescent="0.25">
      <c r="A1962" t="s">
        <v>7551</v>
      </c>
      <c r="B1962" t="s">
        <v>26</v>
      </c>
      <c r="C1962" t="s">
        <v>13</v>
      </c>
      <c r="D1962" t="s">
        <v>14</v>
      </c>
      <c r="E1962" s="2">
        <v>18.5</v>
      </c>
      <c r="F1962" s="4">
        <v>10</v>
      </c>
      <c r="G1962" s="2">
        <v>185</v>
      </c>
      <c r="H1962" t="s">
        <v>15</v>
      </c>
      <c r="I1962" t="s">
        <v>36</v>
      </c>
      <c r="J1962" s="1">
        <v>44718</v>
      </c>
      <c r="K1962" t="b">
        <v>1</v>
      </c>
    </row>
    <row r="1963" spans="1:11" x14ac:dyDescent="0.25">
      <c r="A1963" t="s">
        <v>4352</v>
      </c>
      <c r="B1963" t="s">
        <v>86</v>
      </c>
      <c r="C1963" t="s">
        <v>110</v>
      </c>
      <c r="D1963" t="s">
        <v>189</v>
      </c>
      <c r="E1963" s="2">
        <v>18.5</v>
      </c>
      <c r="F1963" s="4">
        <v>10</v>
      </c>
      <c r="G1963" s="2">
        <v>185</v>
      </c>
      <c r="H1963" t="s">
        <v>25</v>
      </c>
      <c r="I1963" t="s">
        <v>16</v>
      </c>
      <c r="J1963" s="1">
        <v>44631</v>
      </c>
      <c r="K1963" t="b">
        <v>1</v>
      </c>
    </row>
    <row r="1964" spans="1:11" x14ac:dyDescent="0.25">
      <c r="A1964" t="s">
        <v>5089</v>
      </c>
      <c r="B1964" t="s">
        <v>56</v>
      </c>
      <c r="C1964" t="s">
        <v>110</v>
      </c>
      <c r="D1964" t="s">
        <v>189</v>
      </c>
      <c r="E1964" s="2">
        <v>18.5</v>
      </c>
      <c r="F1964" s="4">
        <v>10</v>
      </c>
      <c r="G1964" s="2">
        <v>185</v>
      </c>
      <c r="H1964" t="s">
        <v>45</v>
      </c>
      <c r="I1964" t="s">
        <v>16</v>
      </c>
      <c r="J1964" s="1">
        <v>44633</v>
      </c>
      <c r="K1964" t="b">
        <v>0</v>
      </c>
    </row>
    <row r="1965" spans="1:11" x14ac:dyDescent="0.25">
      <c r="A1965" t="s">
        <v>383</v>
      </c>
      <c r="B1965" t="s">
        <v>22</v>
      </c>
      <c r="C1965" t="s">
        <v>27</v>
      </c>
      <c r="D1965" t="s">
        <v>384</v>
      </c>
      <c r="E1965" s="2">
        <v>18.5</v>
      </c>
      <c r="F1965" s="4">
        <v>10</v>
      </c>
      <c r="G1965" s="2">
        <v>185</v>
      </c>
      <c r="H1965" t="s">
        <v>15</v>
      </c>
      <c r="I1965" t="s">
        <v>36</v>
      </c>
      <c r="J1965" s="1">
        <v>44990</v>
      </c>
      <c r="K1965" t="b">
        <v>0</v>
      </c>
    </row>
    <row r="1966" spans="1:11" x14ac:dyDescent="0.25">
      <c r="A1966" t="s">
        <v>3636</v>
      </c>
      <c r="B1966" t="s">
        <v>86</v>
      </c>
      <c r="C1966" t="s">
        <v>59</v>
      </c>
      <c r="D1966" t="s">
        <v>102</v>
      </c>
      <c r="E1966" s="2">
        <v>18.5</v>
      </c>
      <c r="F1966" s="4">
        <v>10</v>
      </c>
      <c r="G1966" s="2">
        <v>185</v>
      </c>
      <c r="H1966" t="s">
        <v>15</v>
      </c>
      <c r="I1966" t="s">
        <v>16</v>
      </c>
      <c r="J1966" s="1">
        <v>45589</v>
      </c>
      <c r="K1966" t="b">
        <v>1</v>
      </c>
    </row>
    <row r="1967" spans="1:11" x14ac:dyDescent="0.25">
      <c r="A1967" t="s">
        <v>4756</v>
      </c>
      <c r="B1967" t="s">
        <v>93</v>
      </c>
      <c r="C1967" t="s">
        <v>19</v>
      </c>
      <c r="D1967" t="s">
        <v>1452</v>
      </c>
      <c r="E1967" s="2">
        <v>18.5</v>
      </c>
      <c r="F1967" s="4">
        <v>10</v>
      </c>
      <c r="G1967" s="2">
        <v>185</v>
      </c>
      <c r="H1967" t="s">
        <v>15</v>
      </c>
      <c r="I1967" t="s">
        <v>16</v>
      </c>
      <c r="J1967" s="1">
        <v>45072</v>
      </c>
      <c r="K1967" t="b">
        <v>0</v>
      </c>
    </row>
    <row r="1968" spans="1:11" x14ac:dyDescent="0.25">
      <c r="A1968" t="s">
        <v>3689</v>
      </c>
      <c r="B1968" t="s">
        <v>61</v>
      </c>
      <c r="C1968" t="s">
        <v>59</v>
      </c>
      <c r="D1968" t="s">
        <v>102</v>
      </c>
      <c r="E1968" s="2">
        <v>18.5</v>
      </c>
      <c r="F1968" s="4">
        <v>10</v>
      </c>
      <c r="G1968" s="2">
        <v>185</v>
      </c>
      <c r="H1968" t="s">
        <v>45</v>
      </c>
      <c r="I1968" t="s">
        <v>16</v>
      </c>
      <c r="J1968" s="1">
        <v>45642</v>
      </c>
      <c r="K1968" t="b">
        <v>0</v>
      </c>
    </row>
    <row r="1969" spans="1:11" x14ac:dyDescent="0.25">
      <c r="A1969" t="s">
        <v>6556</v>
      </c>
      <c r="B1969" t="s">
        <v>43</v>
      </c>
      <c r="C1969" t="s">
        <v>110</v>
      </c>
      <c r="D1969" t="s">
        <v>189</v>
      </c>
      <c r="E1969" s="2">
        <v>18.5</v>
      </c>
      <c r="F1969" s="4">
        <v>10</v>
      </c>
      <c r="G1969" s="2">
        <v>185</v>
      </c>
      <c r="H1969" t="s">
        <v>45</v>
      </c>
      <c r="I1969" t="s">
        <v>16</v>
      </c>
      <c r="J1969" s="1">
        <v>45310</v>
      </c>
      <c r="K1969" t="b">
        <v>1</v>
      </c>
    </row>
    <row r="1970" spans="1:11" x14ac:dyDescent="0.25">
      <c r="A1970" t="s">
        <v>2016</v>
      </c>
      <c r="B1970" t="s">
        <v>100</v>
      </c>
      <c r="C1970" t="s">
        <v>31</v>
      </c>
      <c r="D1970" t="s">
        <v>67</v>
      </c>
      <c r="E1970" s="2">
        <v>18.5</v>
      </c>
      <c r="F1970" s="4">
        <v>10</v>
      </c>
      <c r="G1970" s="2">
        <v>185</v>
      </c>
      <c r="H1970" t="s">
        <v>15</v>
      </c>
      <c r="I1970" t="s">
        <v>36</v>
      </c>
      <c r="J1970" s="1">
        <v>45327</v>
      </c>
      <c r="K1970" t="b">
        <v>0</v>
      </c>
    </row>
    <row r="1971" spans="1:11" x14ac:dyDescent="0.25">
      <c r="A1971" t="s">
        <v>3390</v>
      </c>
      <c r="B1971" t="s">
        <v>66</v>
      </c>
      <c r="C1971" t="s">
        <v>31</v>
      </c>
      <c r="D1971" t="s">
        <v>67</v>
      </c>
      <c r="E1971" s="2">
        <v>18.5</v>
      </c>
      <c r="F1971" s="4">
        <v>10</v>
      </c>
      <c r="G1971" s="2">
        <v>185</v>
      </c>
      <c r="H1971" t="s">
        <v>15</v>
      </c>
      <c r="I1971" t="s">
        <v>36</v>
      </c>
      <c r="J1971" s="1">
        <v>45118</v>
      </c>
      <c r="K1971" t="b">
        <v>1</v>
      </c>
    </row>
    <row r="1972" spans="1:11" x14ac:dyDescent="0.25">
      <c r="A1972" t="s">
        <v>1107</v>
      </c>
      <c r="B1972" t="s">
        <v>40</v>
      </c>
      <c r="C1972" t="s">
        <v>110</v>
      </c>
      <c r="D1972" t="s">
        <v>189</v>
      </c>
      <c r="E1972" s="2">
        <v>18.5</v>
      </c>
      <c r="F1972" s="4">
        <v>10</v>
      </c>
      <c r="G1972" s="2">
        <v>185</v>
      </c>
      <c r="H1972" t="s">
        <v>15</v>
      </c>
      <c r="I1972" t="s">
        <v>16</v>
      </c>
      <c r="J1972" s="1">
        <v>45197</v>
      </c>
      <c r="K1972" t="b">
        <v>1</v>
      </c>
    </row>
    <row r="1973" spans="1:11" x14ac:dyDescent="0.25">
      <c r="A1973" t="s">
        <v>6450</v>
      </c>
      <c r="B1973" t="s">
        <v>37</v>
      </c>
      <c r="C1973" t="s">
        <v>27</v>
      </c>
      <c r="D1973" t="s">
        <v>384</v>
      </c>
      <c r="E1973" s="2">
        <v>18.5</v>
      </c>
      <c r="F1973" s="4">
        <v>10</v>
      </c>
      <c r="G1973" s="2">
        <v>185</v>
      </c>
      <c r="H1973" t="s">
        <v>15</v>
      </c>
      <c r="I1973" t="s">
        <v>36</v>
      </c>
      <c r="J1973" s="1">
        <v>44612</v>
      </c>
      <c r="K1973" t="b">
        <v>0</v>
      </c>
    </row>
    <row r="1974" spans="1:11" x14ac:dyDescent="0.25">
      <c r="A1974" t="s">
        <v>1825</v>
      </c>
      <c r="B1974" t="s">
        <v>22</v>
      </c>
      <c r="C1974" t="s">
        <v>59</v>
      </c>
      <c r="D1974" t="s">
        <v>102</v>
      </c>
      <c r="E1974" s="2">
        <v>18.5</v>
      </c>
      <c r="F1974" s="4">
        <v>10</v>
      </c>
      <c r="G1974" s="2">
        <v>185</v>
      </c>
      <c r="H1974" t="s">
        <v>45</v>
      </c>
      <c r="I1974" t="s">
        <v>36</v>
      </c>
      <c r="J1974" s="1">
        <v>45060</v>
      </c>
      <c r="K1974" t="b">
        <v>0</v>
      </c>
    </row>
    <row r="1975" spans="1:11" x14ac:dyDescent="0.25">
      <c r="A1975" t="s">
        <v>7599</v>
      </c>
      <c r="B1975" t="s">
        <v>66</v>
      </c>
      <c r="C1975" t="s">
        <v>110</v>
      </c>
      <c r="D1975" t="s">
        <v>189</v>
      </c>
      <c r="E1975" s="2">
        <v>18.5</v>
      </c>
      <c r="F1975" s="4">
        <v>10</v>
      </c>
      <c r="G1975" s="2">
        <v>185</v>
      </c>
      <c r="H1975" t="s">
        <v>15</v>
      </c>
      <c r="I1975" t="s">
        <v>16</v>
      </c>
      <c r="J1975" s="1">
        <v>45312</v>
      </c>
      <c r="K1975" t="b">
        <v>0</v>
      </c>
    </row>
    <row r="1976" spans="1:11" x14ac:dyDescent="0.25">
      <c r="A1976" t="s">
        <v>5343</v>
      </c>
      <c r="B1976" t="s">
        <v>93</v>
      </c>
      <c r="C1976" t="s">
        <v>27</v>
      </c>
      <c r="D1976" t="s">
        <v>384</v>
      </c>
      <c r="E1976" s="2">
        <v>18.5</v>
      </c>
      <c r="F1976" s="4">
        <v>10</v>
      </c>
      <c r="G1976" s="2">
        <v>185</v>
      </c>
      <c r="H1976" t="s">
        <v>25</v>
      </c>
      <c r="I1976" t="s">
        <v>36</v>
      </c>
      <c r="J1976" s="1">
        <v>44980</v>
      </c>
      <c r="K1976" t="b">
        <v>0</v>
      </c>
    </row>
    <row r="1977" spans="1:11" x14ac:dyDescent="0.25">
      <c r="A1977" t="s">
        <v>1464</v>
      </c>
      <c r="B1977" t="s">
        <v>63</v>
      </c>
      <c r="C1977" t="s">
        <v>13</v>
      </c>
      <c r="D1977" t="s">
        <v>14</v>
      </c>
      <c r="E1977" s="2">
        <v>18.5</v>
      </c>
      <c r="F1977" s="4">
        <v>10</v>
      </c>
      <c r="G1977" s="2">
        <v>185</v>
      </c>
      <c r="H1977" t="s">
        <v>45</v>
      </c>
      <c r="I1977" t="s">
        <v>36</v>
      </c>
      <c r="J1977" s="1">
        <v>45476</v>
      </c>
      <c r="K1977" t="b">
        <v>1</v>
      </c>
    </row>
    <row r="1978" spans="1:11" x14ac:dyDescent="0.25">
      <c r="A1978" t="s">
        <v>11</v>
      </c>
      <c r="B1978" t="s">
        <v>12</v>
      </c>
      <c r="C1978" t="s">
        <v>13</v>
      </c>
      <c r="D1978" t="s">
        <v>14</v>
      </c>
      <c r="E1978" s="2">
        <v>18.5</v>
      </c>
      <c r="F1978" s="4">
        <v>10</v>
      </c>
      <c r="G1978" s="2">
        <v>185</v>
      </c>
      <c r="H1978" t="s">
        <v>15</v>
      </c>
      <c r="I1978" t="s">
        <v>16</v>
      </c>
      <c r="J1978" s="1">
        <v>45390</v>
      </c>
      <c r="K1978" t="b">
        <v>1</v>
      </c>
    </row>
    <row r="1979" spans="1:11" x14ac:dyDescent="0.25">
      <c r="A1979" t="s">
        <v>5138</v>
      </c>
      <c r="B1979" t="s">
        <v>22</v>
      </c>
      <c r="C1979" t="s">
        <v>23</v>
      </c>
      <c r="D1979" t="s">
        <v>771</v>
      </c>
      <c r="E1979" s="2">
        <v>18.5</v>
      </c>
      <c r="F1979" s="4">
        <v>10</v>
      </c>
      <c r="G1979" s="2">
        <v>185</v>
      </c>
      <c r="H1979" t="s">
        <v>45</v>
      </c>
      <c r="I1979" t="s">
        <v>16</v>
      </c>
      <c r="J1979" s="1">
        <v>45550</v>
      </c>
      <c r="K1979" t="b">
        <v>1</v>
      </c>
    </row>
    <row r="1980" spans="1:11" x14ac:dyDescent="0.25">
      <c r="A1980" t="s">
        <v>7053</v>
      </c>
      <c r="B1980" t="s">
        <v>58</v>
      </c>
      <c r="C1980" t="s">
        <v>27</v>
      </c>
      <c r="D1980" t="s">
        <v>384</v>
      </c>
      <c r="E1980" s="2">
        <v>18.5</v>
      </c>
      <c r="F1980" s="4">
        <v>10</v>
      </c>
      <c r="G1980" s="2">
        <v>185</v>
      </c>
      <c r="H1980" t="s">
        <v>45</v>
      </c>
      <c r="I1980" t="s">
        <v>16</v>
      </c>
      <c r="J1980" s="1">
        <v>44883</v>
      </c>
      <c r="K1980" t="b">
        <v>1</v>
      </c>
    </row>
    <row r="1981" spans="1:11" x14ac:dyDescent="0.25">
      <c r="A1981" t="s">
        <v>5341</v>
      </c>
      <c r="B1981" t="s">
        <v>97</v>
      </c>
      <c r="C1981" t="s">
        <v>38</v>
      </c>
      <c r="D1981" t="s">
        <v>94</v>
      </c>
      <c r="E1981" s="2">
        <v>18.5</v>
      </c>
      <c r="F1981" s="4">
        <v>10</v>
      </c>
      <c r="G1981" s="2">
        <v>185</v>
      </c>
      <c r="H1981" t="s">
        <v>45</v>
      </c>
      <c r="I1981" t="s">
        <v>16</v>
      </c>
      <c r="J1981" s="1">
        <v>44662</v>
      </c>
      <c r="K1981" t="b">
        <v>0</v>
      </c>
    </row>
    <row r="1982" spans="1:11" x14ac:dyDescent="0.25">
      <c r="A1982" t="s">
        <v>5417</v>
      </c>
      <c r="B1982" t="s">
        <v>40</v>
      </c>
      <c r="C1982" t="s">
        <v>110</v>
      </c>
      <c r="D1982" t="s">
        <v>189</v>
      </c>
      <c r="E1982" s="2">
        <v>18.5</v>
      </c>
      <c r="F1982" s="4">
        <v>10</v>
      </c>
      <c r="G1982" s="2">
        <v>185</v>
      </c>
      <c r="H1982" t="s">
        <v>15</v>
      </c>
      <c r="I1982" t="s">
        <v>16</v>
      </c>
      <c r="J1982" s="1">
        <v>45022</v>
      </c>
      <c r="K1982" t="b">
        <v>0</v>
      </c>
    </row>
    <row r="1983" spans="1:11" x14ac:dyDescent="0.25">
      <c r="A1983" t="s">
        <v>5836</v>
      </c>
      <c r="B1983" t="s">
        <v>93</v>
      </c>
      <c r="C1983" t="s">
        <v>59</v>
      </c>
      <c r="D1983" t="s">
        <v>102</v>
      </c>
      <c r="E1983" s="2">
        <v>18.5</v>
      </c>
      <c r="F1983" s="4">
        <v>10</v>
      </c>
      <c r="G1983" s="2">
        <v>185</v>
      </c>
      <c r="H1983" t="s">
        <v>15</v>
      </c>
      <c r="I1983" t="s">
        <v>16</v>
      </c>
      <c r="J1983" s="1">
        <v>44673</v>
      </c>
      <c r="K1983" t="b">
        <v>0</v>
      </c>
    </row>
    <row r="1984" spans="1:11" x14ac:dyDescent="0.25">
      <c r="A1984" t="s">
        <v>3176</v>
      </c>
      <c r="B1984" t="s">
        <v>72</v>
      </c>
      <c r="C1984" t="s">
        <v>31</v>
      </c>
      <c r="D1984" t="s">
        <v>67</v>
      </c>
      <c r="E1984" s="2">
        <v>18.5</v>
      </c>
      <c r="F1984" s="4">
        <v>10</v>
      </c>
      <c r="G1984" s="2">
        <v>185</v>
      </c>
      <c r="H1984" t="s">
        <v>45</v>
      </c>
      <c r="I1984" t="s">
        <v>16</v>
      </c>
      <c r="J1984" s="1">
        <v>45674</v>
      </c>
      <c r="K1984" t="b">
        <v>1</v>
      </c>
    </row>
    <row r="1985" spans="1:11" x14ac:dyDescent="0.25">
      <c r="A1985" t="s">
        <v>7320</v>
      </c>
      <c r="B1985" t="s">
        <v>30</v>
      </c>
      <c r="C1985" t="s">
        <v>27</v>
      </c>
      <c r="D1985" t="s">
        <v>384</v>
      </c>
      <c r="E1985" s="2">
        <v>18.5</v>
      </c>
      <c r="F1985" s="4">
        <v>10</v>
      </c>
      <c r="G1985" s="2">
        <v>185</v>
      </c>
      <c r="H1985" t="s">
        <v>15</v>
      </c>
      <c r="I1985" t="s">
        <v>16</v>
      </c>
      <c r="J1985" s="1">
        <v>44651</v>
      </c>
      <c r="K1985" t="b">
        <v>1</v>
      </c>
    </row>
    <row r="1986" spans="1:11" x14ac:dyDescent="0.25">
      <c r="A1986" t="s">
        <v>4681</v>
      </c>
      <c r="B1986" t="s">
        <v>69</v>
      </c>
      <c r="C1986" t="s">
        <v>31</v>
      </c>
      <c r="D1986" t="s">
        <v>67</v>
      </c>
      <c r="E1986" s="2">
        <v>18.5</v>
      </c>
      <c r="F1986" s="4">
        <v>10</v>
      </c>
      <c r="G1986" s="2">
        <v>185</v>
      </c>
      <c r="H1986" t="s">
        <v>45</v>
      </c>
      <c r="I1986" t="s">
        <v>16</v>
      </c>
      <c r="J1986" s="1">
        <v>45594</v>
      </c>
      <c r="K1986" t="b">
        <v>0</v>
      </c>
    </row>
    <row r="1987" spans="1:11" x14ac:dyDescent="0.25">
      <c r="A1987" t="s">
        <v>3980</v>
      </c>
      <c r="B1987" t="s">
        <v>63</v>
      </c>
      <c r="C1987" t="s">
        <v>19</v>
      </c>
      <c r="D1987" t="s">
        <v>400</v>
      </c>
      <c r="E1987" s="2">
        <v>23</v>
      </c>
      <c r="F1987" s="4">
        <v>8</v>
      </c>
      <c r="G1987" s="2">
        <v>184</v>
      </c>
      <c r="H1987" t="s">
        <v>45</v>
      </c>
      <c r="I1987" t="s">
        <v>16</v>
      </c>
      <c r="J1987" s="1">
        <v>45428</v>
      </c>
      <c r="K1987" t="b">
        <v>1</v>
      </c>
    </row>
    <row r="1988" spans="1:11" x14ac:dyDescent="0.25">
      <c r="A1988" t="s">
        <v>1098</v>
      </c>
      <c r="B1988" t="s">
        <v>93</v>
      </c>
      <c r="C1988" t="s">
        <v>19</v>
      </c>
      <c r="D1988" t="s">
        <v>400</v>
      </c>
      <c r="E1988" s="2">
        <v>23</v>
      </c>
      <c r="F1988" s="4">
        <v>8</v>
      </c>
      <c r="G1988" s="2">
        <v>184</v>
      </c>
      <c r="H1988" t="s">
        <v>15</v>
      </c>
      <c r="I1988" t="s">
        <v>36</v>
      </c>
      <c r="J1988" s="1">
        <v>44995</v>
      </c>
      <c r="K1988" t="b">
        <v>0</v>
      </c>
    </row>
    <row r="1989" spans="1:11" x14ac:dyDescent="0.25">
      <c r="A1989" t="s">
        <v>3130</v>
      </c>
      <c r="B1989" t="s">
        <v>26</v>
      </c>
      <c r="C1989" t="s">
        <v>31</v>
      </c>
      <c r="D1989" t="s">
        <v>361</v>
      </c>
      <c r="E1989" s="2">
        <v>23</v>
      </c>
      <c r="F1989" s="4">
        <v>8</v>
      </c>
      <c r="G1989" s="2">
        <v>184</v>
      </c>
      <c r="H1989" t="s">
        <v>15</v>
      </c>
      <c r="I1989" t="s">
        <v>36</v>
      </c>
      <c r="J1989" s="1">
        <v>44782</v>
      </c>
      <c r="K1989" t="b">
        <v>1</v>
      </c>
    </row>
    <row r="1990" spans="1:11" x14ac:dyDescent="0.25">
      <c r="A1990" t="s">
        <v>5492</v>
      </c>
      <c r="B1990" t="s">
        <v>72</v>
      </c>
      <c r="C1990" t="s">
        <v>110</v>
      </c>
      <c r="D1990" t="s">
        <v>232</v>
      </c>
      <c r="E1990" s="2">
        <v>23</v>
      </c>
      <c r="F1990" s="4">
        <v>8</v>
      </c>
      <c r="G1990" s="2">
        <v>184</v>
      </c>
      <c r="H1990" t="s">
        <v>45</v>
      </c>
      <c r="I1990" t="s">
        <v>36</v>
      </c>
      <c r="J1990" s="1">
        <v>45452</v>
      </c>
      <c r="K1990" t="b">
        <v>1</v>
      </c>
    </row>
    <row r="1991" spans="1:11" x14ac:dyDescent="0.25">
      <c r="A1991" t="s">
        <v>2127</v>
      </c>
      <c r="B1991" t="s">
        <v>30</v>
      </c>
      <c r="C1991" t="s">
        <v>13</v>
      </c>
      <c r="D1991" t="s">
        <v>292</v>
      </c>
      <c r="E1991" s="2">
        <v>23</v>
      </c>
      <c r="F1991" s="4">
        <v>8</v>
      </c>
      <c r="G1991" s="2">
        <v>184</v>
      </c>
      <c r="H1991" t="s">
        <v>25</v>
      </c>
      <c r="I1991" t="s">
        <v>16</v>
      </c>
      <c r="J1991" s="1">
        <v>44847</v>
      </c>
      <c r="K1991" t="b">
        <v>0</v>
      </c>
    </row>
    <row r="1992" spans="1:11" x14ac:dyDescent="0.25">
      <c r="A1992" t="s">
        <v>2174</v>
      </c>
      <c r="B1992" t="s">
        <v>86</v>
      </c>
      <c r="C1992" t="s">
        <v>31</v>
      </c>
      <c r="D1992" t="s">
        <v>361</v>
      </c>
      <c r="E1992" s="2">
        <v>23</v>
      </c>
      <c r="F1992" s="4">
        <v>8</v>
      </c>
      <c r="G1992" s="2">
        <v>184</v>
      </c>
      <c r="H1992" t="s">
        <v>15</v>
      </c>
      <c r="I1992" t="s">
        <v>36</v>
      </c>
      <c r="J1992" s="1">
        <v>45617</v>
      </c>
      <c r="K1992" t="b">
        <v>1</v>
      </c>
    </row>
    <row r="1993" spans="1:11" x14ac:dyDescent="0.25">
      <c r="A1993" t="s">
        <v>5758</v>
      </c>
      <c r="B1993" t="s">
        <v>85</v>
      </c>
      <c r="C1993" t="s">
        <v>13</v>
      </c>
      <c r="D1993" t="s">
        <v>292</v>
      </c>
      <c r="E1993" s="2">
        <v>23</v>
      </c>
      <c r="F1993" s="4">
        <v>8</v>
      </c>
      <c r="G1993" s="2">
        <v>184</v>
      </c>
      <c r="H1993" t="s">
        <v>45</v>
      </c>
      <c r="I1993" t="s">
        <v>36</v>
      </c>
      <c r="J1993" s="1">
        <v>45315</v>
      </c>
      <c r="K1993" t="b">
        <v>1</v>
      </c>
    </row>
    <row r="1994" spans="1:11" x14ac:dyDescent="0.25">
      <c r="A1994" t="s">
        <v>5488</v>
      </c>
      <c r="B1994" t="s">
        <v>56</v>
      </c>
      <c r="C1994" t="s">
        <v>13</v>
      </c>
      <c r="D1994" t="s">
        <v>292</v>
      </c>
      <c r="E1994" s="2">
        <v>23</v>
      </c>
      <c r="F1994" s="4">
        <v>8</v>
      </c>
      <c r="G1994" s="2">
        <v>184</v>
      </c>
      <c r="H1994" t="s">
        <v>45</v>
      </c>
      <c r="I1994" t="s">
        <v>36</v>
      </c>
      <c r="J1994" s="1">
        <v>45439</v>
      </c>
      <c r="K1994" t="b">
        <v>1</v>
      </c>
    </row>
    <row r="1995" spans="1:11" x14ac:dyDescent="0.25">
      <c r="A1995" t="s">
        <v>7252</v>
      </c>
      <c r="B1995" t="s">
        <v>22</v>
      </c>
      <c r="C1995" t="s">
        <v>19</v>
      </c>
      <c r="D1995" t="s">
        <v>400</v>
      </c>
      <c r="E1995" s="2">
        <v>23</v>
      </c>
      <c r="F1995" s="4">
        <v>8</v>
      </c>
      <c r="G1995" s="2">
        <v>184</v>
      </c>
      <c r="H1995" t="s">
        <v>25</v>
      </c>
      <c r="I1995" t="s">
        <v>36</v>
      </c>
      <c r="J1995" s="1">
        <v>45578</v>
      </c>
      <c r="K1995" t="b">
        <v>1</v>
      </c>
    </row>
    <row r="1996" spans="1:11" x14ac:dyDescent="0.25">
      <c r="A1996" t="s">
        <v>3235</v>
      </c>
      <c r="B1996" t="s">
        <v>12</v>
      </c>
      <c r="C1996" t="s">
        <v>59</v>
      </c>
      <c r="D1996" t="s">
        <v>60</v>
      </c>
      <c r="E1996" s="2">
        <v>23</v>
      </c>
      <c r="F1996" s="4">
        <v>8</v>
      </c>
      <c r="G1996" s="2">
        <v>184</v>
      </c>
      <c r="H1996" t="s">
        <v>45</v>
      </c>
      <c r="I1996" t="s">
        <v>16</v>
      </c>
      <c r="J1996" s="1">
        <v>44581</v>
      </c>
      <c r="K1996" t="b">
        <v>1</v>
      </c>
    </row>
    <row r="1997" spans="1:11" x14ac:dyDescent="0.25">
      <c r="A1997" t="s">
        <v>4151</v>
      </c>
      <c r="B1997" t="s">
        <v>18</v>
      </c>
      <c r="C1997" t="s">
        <v>59</v>
      </c>
      <c r="D1997" t="s">
        <v>60</v>
      </c>
      <c r="E1997" s="2">
        <v>23</v>
      </c>
      <c r="F1997" s="4">
        <v>8</v>
      </c>
      <c r="G1997" s="2">
        <v>184</v>
      </c>
      <c r="H1997" t="s">
        <v>15</v>
      </c>
      <c r="I1997" t="s">
        <v>16</v>
      </c>
      <c r="J1997" s="1">
        <v>45554</v>
      </c>
      <c r="K1997" t="b">
        <v>0</v>
      </c>
    </row>
    <row r="1998" spans="1:11" x14ac:dyDescent="0.25">
      <c r="A1998" t="s">
        <v>6476</v>
      </c>
      <c r="B1998" t="s">
        <v>37</v>
      </c>
      <c r="C1998" t="s">
        <v>23</v>
      </c>
      <c r="D1998" t="s">
        <v>244</v>
      </c>
      <c r="E1998" s="2">
        <v>23</v>
      </c>
      <c r="F1998" s="4">
        <v>8</v>
      </c>
      <c r="G1998" s="2">
        <v>184</v>
      </c>
      <c r="H1998" t="s">
        <v>45</v>
      </c>
      <c r="I1998" t="s">
        <v>36</v>
      </c>
      <c r="J1998" s="1">
        <v>45372</v>
      </c>
      <c r="K1998" t="b">
        <v>1</v>
      </c>
    </row>
    <row r="1999" spans="1:11" x14ac:dyDescent="0.25">
      <c r="A1999" t="s">
        <v>5729</v>
      </c>
      <c r="B1999" t="s">
        <v>104</v>
      </c>
      <c r="C1999" t="s">
        <v>23</v>
      </c>
      <c r="D1999" t="s">
        <v>244</v>
      </c>
      <c r="E1999" s="2">
        <v>23</v>
      </c>
      <c r="F1999" s="4">
        <v>8</v>
      </c>
      <c r="G1999" s="2">
        <v>184</v>
      </c>
      <c r="H1999" t="s">
        <v>25</v>
      </c>
      <c r="I1999" t="s">
        <v>16</v>
      </c>
      <c r="J1999" s="1">
        <v>44845</v>
      </c>
      <c r="K1999" t="b">
        <v>1</v>
      </c>
    </row>
    <row r="2000" spans="1:11" x14ac:dyDescent="0.25">
      <c r="A2000" t="s">
        <v>3770</v>
      </c>
      <c r="B2000" t="s">
        <v>93</v>
      </c>
      <c r="C2000" t="s">
        <v>110</v>
      </c>
      <c r="D2000" t="s">
        <v>232</v>
      </c>
      <c r="E2000" s="2">
        <v>23</v>
      </c>
      <c r="F2000" s="4">
        <v>8</v>
      </c>
      <c r="G2000" s="2">
        <v>184</v>
      </c>
      <c r="H2000" t="s">
        <v>45</v>
      </c>
      <c r="I2000" t="s">
        <v>16</v>
      </c>
      <c r="J2000" s="1">
        <v>44714</v>
      </c>
      <c r="K2000" t="b">
        <v>0</v>
      </c>
    </row>
    <row r="2001" spans="1:11" x14ac:dyDescent="0.25">
      <c r="A2001" t="s">
        <v>5206</v>
      </c>
      <c r="B2001" t="s">
        <v>63</v>
      </c>
      <c r="C2001" t="s">
        <v>38</v>
      </c>
      <c r="D2001" t="s">
        <v>989</v>
      </c>
      <c r="E2001" s="2">
        <v>23</v>
      </c>
      <c r="F2001" s="4">
        <v>8</v>
      </c>
      <c r="G2001" s="2">
        <v>184</v>
      </c>
      <c r="H2001" t="s">
        <v>45</v>
      </c>
      <c r="I2001" t="s">
        <v>16</v>
      </c>
      <c r="J2001" s="1">
        <v>45017</v>
      </c>
      <c r="K2001" t="b">
        <v>1</v>
      </c>
    </row>
    <row r="2002" spans="1:11" x14ac:dyDescent="0.25">
      <c r="A2002" t="s">
        <v>2307</v>
      </c>
      <c r="B2002" t="s">
        <v>85</v>
      </c>
      <c r="C2002" t="s">
        <v>59</v>
      </c>
      <c r="D2002" t="s">
        <v>60</v>
      </c>
      <c r="E2002" s="2">
        <v>23</v>
      </c>
      <c r="F2002" s="4">
        <v>8</v>
      </c>
      <c r="G2002" s="2">
        <v>184</v>
      </c>
      <c r="H2002" t="s">
        <v>15</v>
      </c>
      <c r="I2002" t="s">
        <v>36</v>
      </c>
      <c r="J2002" s="1">
        <v>44988</v>
      </c>
      <c r="K2002" t="b">
        <v>0</v>
      </c>
    </row>
    <row r="2003" spans="1:11" x14ac:dyDescent="0.25">
      <c r="A2003" t="s">
        <v>2948</v>
      </c>
      <c r="B2003" t="s">
        <v>93</v>
      </c>
      <c r="C2003" t="s">
        <v>13</v>
      </c>
      <c r="D2003" t="s">
        <v>292</v>
      </c>
      <c r="E2003" s="2">
        <v>23</v>
      </c>
      <c r="F2003" s="4">
        <v>8</v>
      </c>
      <c r="G2003" s="2">
        <v>184</v>
      </c>
      <c r="H2003" t="s">
        <v>25</v>
      </c>
      <c r="I2003" t="s">
        <v>16</v>
      </c>
      <c r="J2003" s="1">
        <v>44966</v>
      </c>
      <c r="K2003" t="b">
        <v>1</v>
      </c>
    </row>
    <row r="2004" spans="1:11" x14ac:dyDescent="0.25">
      <c r="A2004" t="s">
        <v>888</v>
      </c>
      <c r="B2004" t="s">
        <v>43</v>
      </c>
      <c r="C2004" t="s">
        <v>31</v>
      </c>
      <c r="D2004" t="s">
        <v>361</v>
      </c>
      <c r="E2004" s="2">
        <v>23</v>
      </c>
      <c r="F2004" s="4">
        <v>8</v>
      </c>
      <c r="G2004" s="2">
        <v>184</v>
      </c>
      <c r="H2004" t="s">
        <v>25</v>
      </c>
      <c r="I2004" t="s">
        <v>16</v>
      </c>
      <c r="J2004" s="1">
        <v>45308</v>
      </c>
      <c r="K2004" t="b">
        <v>1</v>
      </c>
    </row>
    <row r="2005" spans="1:11" x14ac:dyDescent="0.25">
      <c r="A2005" t="s">
        <v>1914</v>
      </c>
      <c r="B2005" t="s">
        <v>61</v>
      </c>
      <c r="C2005" t="s">
        <v>13</v>
      </c>
      <c r="D2005" t="s">
        <v>292</v>
      </c>
      <c r="E2005" s="2">
        <v>23</v>
      </c>
      <c r="F2005" s="4">
        <v>8</v>
      </c>
      <c r="G2005" s="2">
        <v>184</v>
      </c>
      <c r="H2005" t="s">
        <v>25</v>
      </c>
      <c r="I2005" t="s">
        <v>16</v>
      </c>
      <c r="J2005" s="1">
        <v>45163</v>
      </c>
      <c r="K2005" t="b">
        <v>1</v>
      </c>
    </row>
    <row r="2006" spans="1:11" x14ac:dyDescent="0.25">
      <c r="A2006" t="s">
        <v>3984</v>
      </c>
      <c r="B2006" t="s">
        <v>43</v>
      </c>
      <c r="C2006" t="s">
        <v>19</v>
      </c>
      <c r="D2006" t="s">
        <v>400</v>
      </c>
      <c r="E2006" s="2">
        <v>23</v>
      </c>
      <c r="F2006" s="4">
        <v>8</v>
      </c>
      <c r="G2006" s="2">
        <v>184</v>
      </c>
      <c r="H2006" t="s">
        <v>15</v>
      </c>
      <c r="I2006" t="s">
        <v>36</v>
      </c>
      <c r="J2006" s="1">
        <v>45097</v>
      </c>
      <c r="K2006" t="b">
        <v>1</v>
      </c>
    </row>
    <row r="2007" spans="1:11" x14ac:dyDescent="0.25">
      <c r="A2007" t="s">
        <v>3880</v>
      </c>
      <c r="B2007" t="s">
        <v>69</v>
      </c>
      <c r="C2007" t="s">
        <v>59</v>
      </c>
      <c r="D2007" t="s">
        <v>60</v>
      </c>
      <c r="E2007" s="2">
        <v>23</v>
      </c>
      <c r="F2007" s="4">
        <v>8</v>
      </c>
      <c r="G2007" s="2">
        <v>184</v>
      </c>
      <c r="H2007" t="s">
        <v>15</v>
      </c>
      <c r="I2007" t="s">
        <v>36</v>
      </c>
      <c r="J2007" s="1">
        <v>45272</v>
      </c>
      <c r="K2007" t="b">
        <v>0</v>
      </c>
    </row>
    <row r="2008" spans="1:11" x14ac:dyDescent="0.25">
      <c r="A2008" t="s">
        <v>1086</v>
      </c>
      <c r="B2008" t="s">
        <v>72</v>
      </c>
      <c r="C2008" t="s">
        <v>31</v>
      </c>
      <c r="D2008" t="s">
        <v>361</v>
      </c>
      <c r="E2008" s="2">
        <v>23</v>
      </c>
      <c r="F2008" s="4">
        <v>8</v>
      </c>
      <c r="G2008" s="2">
        <v>184</v>
      </c>
      <c r="H2008" t="s">
        <v>15</v>
      </c>
      <c r="I2008" t="s">
        <v>36</v>
      </c>
      <c r="J2008" s="1">
        <v>45577</v>
      </c>
      <c r="K2008" t="b">
        <v>0</v>
      </c>
    </row>
    <row r="2009" spans="1:11" x14ac:dyDescent="0.25">
      <c r="A2009" t="s">
        <v>3181</v>
      </c>
      <c r="B2009" t="s">
        <v>100</v>
      </c>
      <c r="C2009" t="s">
        <v>110</v>
      </c>
      <c r="D2009" t="s">
        <v>232</v>
      </c>
      <c r="E2009" s="2">
        <v>23</v>
      </c>
      <c r="F2009" s="4">
        <v>8</v>
      </c>
      <c r="G2009" s="2">
        <v>184</v>
      </c>
      <c r="H2009" t="s">
        <v>45</v>
      </c>
      <c r="I2009" t="s">
        <v>16</v>
      </c>
      <c r="J2009" s="1">
        <v>45542</v>
      </c>
      <c r="K2009" t="b">
        <v>0</v>
      </c>
    </row>
    <row r="2010" spans="1:11" x14ac:dyDescent="0.25">
      <c r="A2010" t="s">
        <v>7693</v>
      </c>
      <c r="B2010" t="s">
        <v>61</v>
      </c>
      <c r="C2010" t="s">
        <v>38</v>
      </c>
      <c r="D2010" t="s">
        <v>989</v>
      </c>
      <c r="E2010" s="2">
        <v>23</v>
      </c>
      <c r="F2010" s="4">
        <v>8</v>
      </c>
      <c r="G2010" s="2">
        <v>184</v>
      </c>
      <c r="H2010" t="s">
        <v>45</v>
      </c>
      <c r="I2010" t="s">
        <v>16</v>
      </c>
      <c r="J2010" s="1">
        <v>45516</v>
      </c>
      <c r="K2010" t="b">
        <v>0</v>
      </c>
    </row>
    <row r="2011" spans="1:11" x14ac:dyDescent="0.25">
      <c r="A2011" t="s">
        <v>1925</v>
      </c>
      <c r="B2011" t="s">
        <v>100</v>
      </c>
      <c r="C2011" t="s">
        <v>27</v>
      </c>
      <c r="D2011" t="s">
        <v>947</v>
      </c>
      <c r="E2011" s="2">
        <v>23</v>
      </c>
      <c r="F2011" s="4">
        <v>8</v>
      </c>
      <c r="G2011" s="2">
        <v>184</v>
      </c>
      <c r="H2011" t="s">
        <v>25</v>
      </c>
      <c r="I2011" t="s">
        <v>36</v>
      </c>
      <c r="J2011" s="1">
        <v>45546</v>
      </c>
      <c r="K2011" t="b">
        <v>0</v>
      </c>
    </row>
    <row r="2012" spans="1:11" x14ac:dyDescent="0.25">
      <c r="A2012" t="s">
        <v>7626</v>
      </c>
      <c r="B2012" t="s">
        <v>63</v>
      </c>
      <c r="C2012" t="s">
        <v>59</v>
      </c>
      <c r="D2012" t="s">
        <v>60</v>
      </c>
      <c r="E2012" s="2">
        <v>23</v>
      </c>
      <c r="F2012" s="4">
        <v>8</v>
      </c>
      <c r="G2012" s="2">
        <v>184</v>
      </c>
      <c r="H2012" t="s">
        <v>15</v>
      </c>
      <c r="I2012" t="s">
        <v>16</v>
      </c>
      <c r="J2012" s="1">
        <v>45577</v>
      </c>
      <c r="K2012" t="b">
        <v>1</v>
      </c>
    </row>
    <row r="2013" spans="1:11" x14ac:dyDescent="0.25">
      <c r="A2013" t="s">
        <v>1339</v>
      </c>
      <c r="B2013" t="s">
        <v>30</v>
      </c>
      <c r="C2013" t="s">
        <v>19</v>
      </c>
      <c r="D2013" t="s">
        <v>400</v>
      </c>
      <c r="E2013" s="2">
        <v>23</v>
      </c>
      <c r="F2013" s="4">
        <v>8</v>
      </c>
      <c r="G2013" s="2">
        <v>184</v>
      </c>
      <c r="H2013" t="s">
        <v>25</v>
      </c>
      <c r="I2013" t="s">
        <v>16</v>
      </c>
      <c r="J2013" s="1">
        <v>45269</v>
      </c>
      <c r="K2013" t="b">
        <v>0</v>
      </c>
    </row>
    <row r="2014" spans="1:11" x14ac:dyDescent="0.25">
      <c r="A2014" t="s">
        <v>5997</v>
      </c>
      <c r="B2014" t="s">
        <v>22</v>
      </c>
      <c r="C2014" t="s">
        <v>23</v>
      </c>
      <c r="D2014" t="s">
        <v>244</v>
      </c>
      <c r="E2014" s="2">
        <v>23</v>
      </c>
      <c r="F2014" s="4">
        <v>8</v>
      </c>
      <c r="G2014" s="2">
        <v>184</v>
      </c>
      <c r="H2014" t="s">
        <v>25</v>
      </c>
      <c r="I2014" t="s">
        <v>16</v>
      </c>
      <c r="J2014" s="1">
        <v>44751</v>
      </c>
      <c r="K2014" t="b">
        <v>0</v>
      </c>
    </row>
    <row r="2015" spans="1:11" x14ac:dyDescent="0.25">
      <c r="A2015" t="s">
        <v>2453</v>
      </c>
      <c r="B2015" t="s">
        <v>69</v>
      </c>
      <c r="C2015" t="s">
        <v>59</v>
      </c>
      <c r="D2015" t="s">
        <v>60</v>
      </c>
      <c r="E2015" s="2">
        <v>23</v>
      </c>
      <c r="F2015" s="4">
        <v>8</v>
      </c>
      <c r="G2015" s="2">
        <v>184</v>
      </c>
      <c r="H2015" t="s">
        <v>15</v>
      </c>
      <c r="I2015" t="s">
        <v>16</v>
      </c>
      <c r="J2015" s="1">
        <v>44707</v>
      </c>
      <c r="K2015" t="b">
        <v>0</v>
      </c>
    </row>
    <row r="2016" spans="1:11" x14ac:dyDescent="0.25">
      <c r="A2016" t="s">
        <v>7690</v>
      </c>
      <c r="B2016" t="s">
        <v>104</v>
      </c>
      <c r="C2016" t="s">
        <v>19</v>
      </c>
      <c r="D2016" t="s">
        <v>400</v>
      </c>
      <c r="E2016" s="2">
        <v>23</v>
      </c>
      <c r="F2016" s="4">
        <v>8</v>
      </c>
      <c r="G2016" s="2">
        <v>184</v>
      </c>
      <c r="H2016" t="s">
        <v>15</v>
      </c>
      <c r="I2016" t="s">
        <v>36</v>
      </c>
      <c r="J2016" s="1">
        <v>45489</v>
      </c>
      <c r="K2016" t="b">
        <v>0</v>
      </c>
    </row>
    <row r="2017" spans="1:11" x14ac:dyDescent="0.25">
      <c r="A2017" t="s">
        <v>5843</v>
      </c>
      <c r="B2017" t="s">
        <v>86</v>
      </c>
      <c r="C2017" t="s">
        <v>19</v>
      </c>
      <c r="D2017" t="s">
        <v>400</v>
      </c>
      <c r="E2017" s="2">
        <v>23</v>
      </c>
      <c r="F2017" s="4">
        <v>8</v>
      </c>
      <c r="G2017" s="2">
        <v>184</v>
      </c>
      <c r="H2017" t="s">
        <v>45</v>
      </c>
      <c r="I2017" t="s">
        <v>36</v>
      </c>
      <c r="J2017" s="1">
        <v>45572</v>
      </c>
      <c r="K2017" t="b">
        <v>1</v>
      </c>
    </row>
    <row r="2018" spans="1:11" x14ac:dyDescent="0.25">
      <c r="A2018" t="s">
        <v>7133</v>
      </c>
      <c r="B2018" t="s">
        <v>69</v>
      </c>
      <c r="C2018" t="s">
        <v>13</v>
      </c>
      <c r="D2018" t="s">
        <v>292</v>
      </c>
      <c r="E2018" s="2">
        <v>23</v>
      </c>
      <c r="F2018" s="4">
        <v>8</v>
      </c>
      <c r="G2018" s="2">
        <v>184</v>
      </c>
      <c r="H2018" t="s">
        <v>15</v>
      </c>
      <c r="I2018" t="s">
        <v>16</v>
      </c>
      <c r="J2018" s="1">
        <v>44586</v>
      </c>
      <c r="K2018" t="b">
        <v>1</v>
      </c>
    </row>
    <row r="2019" spans="1:11" x14ac:dyDescent="0.25">
      <c r="A2019" t="s">
        <v>6441</v>
      </c>
      <c r="B2019" t="s">
        <v>77</v>
      </c>
      <c r="C2019" t="s">
        <v>110</v>
      </c>
      <c r="D2019" t="s">
        <v>232</v>
      </c>
      <c r="E2019" s="2">
        <v>23</v>
      </c>
      <c r="F2019" s="4">
        <v>8</v>
      </c>
      <c r="G2019" s="2">
        <v>184</v>
      </c>
      <c r="H2019" t="s">
        <v>45</v>
      </c>
      <c r="I2019" t="s">
        <v>16</v>
      </c>
      <c r="J2019" s="1">
        <v>45248</v>
      </c>
      <c r="K2019" t="b">
        <v>0</v>
      </c>
    </row>
    <row r="2020" spans="1:11" x14ac:dyDescent="0.25">
      <c r="A2020" t="s">
        <v>5141</v>
      </c>
      <c r="B2020" t="s">
        <v>30</v>
      </c>
      <c r="C2020" t="s">
        <v>19</v>
      </c>
      <c r="D2020" t="s">
        <v>400</v>
      </c>
      <c r="E2020" s="2">
        <v>23</v>
      </c>
      <c r="F2020" s="4">
        <v>8</v>
      </c>
      <c r="G2020" s="2">
        <v>184</v>
      </c>
      <c r="H2020" t="s">
        <v>45</v>
      </c>
      <c r="I2020" t="s">
        <v>16</v>
      </c>
      <c r="J2020" s="1">
        <v>45182</v>
      </c>
      <c r="K2020" t="b">
        <v>1</v>
      </c>
    </row>
    <row r="2021" spans="1:11" x14ac:dyDescent="0.25">
      <c r="A2021" t="s">
        <v>3763</v>
      </c>
      <c r="B2021" t="s">
        <v>40</v>
      </c>
      <c r="C2021" t="s">
        <v>31</v>
      </c>
      <c r="D2021" t="s">
        <v>361</v>
      </c>
      <c r="E2021" s="2">
        <v>23</v>
      </c>
      <c r="F2021" s="4">
        <v>8</v>
      </c>
      <c r="G2021" s="2">
        <v>184</v>
      </c>
      <c r="H2021" t="s">
        <v>15</v>
      </c>
      <c r="I2021" t="s">
        <v>16</v>
      </c>
      <c r="J2021" s="1">
        <v>45133</v>
      </c>
      <c r="K2021" t="b">
        <v>1</v>
      </c>
    </row>
    <row r="2022" spans="1:11" x14ac:dyDescent="0.25">
      <c r="A2022" t="s">
        <v>962</v>
      </c>
      <c r="B2022" t="s">
        <v>40</v>
      </c>
      <c r="C2022" t="s">
        <v>19</v>
      </c>
      <c r="D2022" t="s">
        <v>400</v>
      </c>
      <c r="E2022" s="2">
        <v>23</v>
      </c>
      <c r="F2022" s="4">
        <v>8</v>
      </c>
      <c r="G2022" s="2">
        <v>184</v>
      </c>
      <c r="H2022" t="s">
        <v>25</v>
      </c>
      <c r="I2022" t="s">
        <v>16</v>
      </c>
      <c r="J2022" s="1">
        <v>45122</v>
      </c>
      <c r="K2022" t="b">
        <v>1</v>
      </c>
    </row>
    <row r="2023" spans="1:11" x14ac:dyDescent="0.25">
      <c r="A2023" t="s">
        <v>2439</v>
      </c>
      <c r="B2023" t="s">
        <v>37</v>
      </c>
      <c r="C2023" t="s">
        <v>110</v>
      </c>
      <c r="D2023" t="s">
        <v>232</v>
      </c>
      <c r="E2023" s="2">
        <v>23</v>
      </c>
      <c r="F2023" s="4">
        <v>8</v>
      </c>
      <c r="G2023" s="2">
        <v>184</v>
      </c>
      <c r="H2023" t="s">
        <v>15</v>
      </c>
      <c r="I2023" t="s">
        <v>16</v>
      </c>
      <c r="J2023" s="1">
        <v>44953</v>
      </c>
      <c r="K2023" t="b">
        <v>1</v>
      </c>
    </row>
    <row r="2024" spans="1:11" x14ac:dyDescent="0.25">
      <c r="A2024" t="s">
        <v>7575</v>
      </c>
      <c r="B2024" t="s">
        <v>12</v>
      </c>
      <c r="C2024" t="s">
        <v>27</v>
      </c>
      <c r="D2024" t="s">
        <v>524</v>
      </c>
      <c r="E2024" s="2">
        <v>30.5</v>
      </c>
      <c r="F2024" s="4">
        <v>6</v>
      </c>
      <c r="G2024" s="2">
        <v>183</v>
      </c>
      <c r="H2024" t="s">
        <v>25</v>
      </c>
      <c r="I2024" t="s">
        <v>16</v>
      </c>
      <c r="J2024" s="1">
        <v>45174</v>
      </c>
      <c r="K2024" t="b">
        <v>1</v>
      </c>
    </row>
    <row r="2025" spans="1:11" x14ac:dyDescent="0.25">
      <c r="A2025" t="s">
        <v>3498</v>
      </c>
      <c r="B2025" t="s">
        <v>58</v>
      </c>
      <c r="C2025" t="s">
        <v>13</v>
      </c>
      <c r="D2025" t="s">
        <v>1016</v>
      </c>
      <c r="E2025" s="2">
        <v>30.5</v>
      </c>
      <c r="F2025" s="4">
        <v>6</v>
      </c>
      <c r="G2025" s="2">
        <v>183</v>
      </c>
      <c r="H2025" t="s">
        <v>25</v>
      </c>
      <c r="I2025" t="s">
        <v>16</v>
      </c>
      <c r="J2025" s="1">
        <v>44571</v>
      </c>
      <c r="K2025" t="b">
        <v>0</v>
      </c>
    </row>
    <row r="2026" spans="1:11" x14ac:dyDescent="0.25">
      <c r="A2026" t="s">
        <v>4559</v>
      </c>
      <c r="B2026" t="s">
        <v>40</v>
      </c>
      <c r="C2026" t="s">
        <v>31</v>
      </c>
      <c r="D2026" t="s">
        <v>144</v>
      </c>
      <c r="E2026" s="2">
        <v>30.5</v>
      </c>
      <c r="F2026" s="4">
        <v>6</v>
      </c>
      <c r="G2026" s="2">
        <v>183</v>
      </c>
      <c r="H2026" t="s">
        <v>45</v>
      </c>
      <c r="I2026" t="s">
        <v>16</v>
      </c>
      <c r="J2026" s="1">
        <v>45197</v>
      </c>
      <c r="K2026" t="b">
        <v>0</v>
      </c>
    </row>
    <row r="2027" spans="1:11" x14ac:dyDescent="0.25">
      <c r="A2027" t="s">
        <v>2283</v>
      </c>
      <c r="B2027" t="s">
        <v>63</v>
      </c>
      <c r="C2027" t="s">
        <v>23</v>
      </c>
      <c r="D2027" t="s">
        <v>223</v>
      </c>
      <c r="E2027" s="2">
        <v>30.5</v>
      </c>
      <c r="F2027" s="4">
        <v>6</v>
      </c>
      <c r="G2027" s="2">
        <v>183</v>
      </c>
      <c r="H2027" t="s">
        <v>15</v>
      </c>
      <c r="I2027" t="s">
        <v>16</v>
      </c>
      <c r="J2027" s="1">
        <v>45547</v>
      </c>
      <c r="K2027" t="b">
        <v>0</v>
      </c>
    </row>
    <row r="2028" spans="1:11" x14ac:dyDescent="0.25">
      <c r="A2028" t="s">
        <v>7101</v>
      </c>
      <c r="B2028" t="s">
        <v>40</v>
      </c>
      <c r="C2028" t="s">
        <v>110</v>
      </c>
      <c r="D2028" t="s">
        <v>256</v>
      </c>
      <c r="E2028" s="2">
        <v>30.5</v>
      </c>
      <c r="F2028" s="4">
        <v>6</v>
      </c>
      <c r="G2028" s="2">
        <v>183</v>
      </c>
      <c r="H2028" t="s">
        <v>15</v>
      </c>
      <c r="I2028" t="s">
        <v>16</v>
      </c>
      <c r="J2028" s="1">
        <v>44982</v>
      </c>
      <c r="K2028" t="b">
        <v>1</v>
      </c>
    </row>
    <row r="2029" spans="1:11" x14ac:dyDescent="0.25">
      <c r="A2029" t="s">
        <v>1126</v>
      </c>
      <c r="B2029" t="s">
        <v>43</v>
      </c>
      <c r="C2029" t="s">
        <v>27</v>
      </c>
      <c r="D2029" t="s">
        <v>524</v>
      </c>
      <c r="E2029" s="2">
        <v>30.5</v>
      </c>
      <c r="F2029" s="4">
        <v>6</v>
      </c>
      <c r="G2029" s="2">
        <v>183</v>
      </c>
      <c r="H2029" t="s">
        <v>15</v>
      </c>
      <c r="I2029" t="s">
        <v>36</v>
      </c>
      <c r="J2029" s="1">
        <v>45166</v>
      </c>
      <c r="K2029" t="b">
        <v>0</v>
      </c>
    </row>
    <row r="2030" spans="1:11" x14ac:dyDescent="0.25">
      <c r="A2030" t="s">
        <v>2598</v>
      </c>
      <c r="B2030" t="s">
        <v>85</v>
      </c>
      <c r="C2030" t="s">
        <v>59</v>
      </c>
      <c r="D2030" t="s">
        <v>676</v>
      </c>
      <c r="E2030" s="2">
        <v>30.5</v>
      </c>
      <c r="F2030" s="4">
        <v>6</v>
      </c>
      <c r="G2030" s="2">
        <v>183</v>
      </c>
      <c r="H2030" t="s">
        <v>25</v>
      </c>
      <c r="I2030" t="s">
        <v>16</v>
      </c>
      <c r="J2030" s="1">
        <v>45091</v>
      </c>
      <c r="K2030" t="b">
        <v>1</v>
      </c>
    </row>
    <row r="2031" spans="1:11" x14ac:dyDescent="0.25">
      <c r="A2031" t="s">
        <v>4360</v>
      </c>
      <c r="B2031" t="s">
        <v>30</v>
      </c>
      <c r="C2031" t="s">
        <v>110</v>
      </c>
      <c r="D2031" t="s">
        <v>256</v>
      </c>
      <c r="E2031" s="2">
        <v>30.5</v>
      </c>
      <c r="F2031" s="4">
        <v>6</v>
      </c>
      <c r="G2031" s="2">
        <v>183</v>
      </c>
      <c r="H2031" t="s">
        <v>45</v>
      </c>
      <c r="I2031" t="s">
        <v>16</v>
      </c>
      <c r="J2031" s="1">
        <v>45448</v>
      </c>
      <c r="K2031" t="b">
        <v>0</v>
      </c>
    </row>
    <row r="2032" spans="1:11" x14ac:dyDescent="0.25">
      <c r="A2032" t="s">
        <v>1706</v>
      </c>
      <c r="B2032" t="s">
        <v>77</v>
      </c>
      <c r="C2032" t="s">
        <v>23</v>
      </c>
      <c r="D2032" t="s">
        <v>223</v>
      </c>
      <c r="E2032" s="2">
        <v>30.5</v>
      </c>
      <c r="F2032" s="4">
        <v>6</v>
      </c>
      <c r="G2032" s="2">
        <v>183</v>
      </c>
      <c r="H2032" t="s">
        <v>15</v>
      </c>
      <c r="I2032" t="s">
        <v>36</v>
      </c>
      <c r="J2032" s="1">
        <v>44587</v>
      </c>
      <c r="K2032" t="b">
        <v>0</v>
      </c>
    </row>
    <row r="2033" spans="1:11" x14ac:dyDescent="0.25">
      <c r="A2033" t="s">
        <v>1767</v>
      </c>
      <c r="B2033" t="s">
        <v>69</v>
      </c>
      <c r="C2033" t="s">
        <v>31</v>
      </c>
      <c r="D2033" t="s">
        <v>144</v>
      </c>
      <c r="E2033" s="2">
        <v>30.5</v>
      </c>
      <c r="F2033" s="4">
        <v>6</v>
      </c>
      <c r="G2033" s="2">
        <v>183</v>
      </c>
      <c r="H2033" t="s">
        <v>45</v>
      </c>
      <c r="I2033" t="s">
        <v>16</v>
      </c>
      <c r="J2033" s="1">
        <v>45111</v>
      </c>
      <c r="K2033" t="b">
        <v>0</v>
      </c>
    </row>
    <row r="2034" spans="1:11" x14ac:dyDescent="0.25">
      <c r="A2034" t="s">
        <v>7723</v>
      </c>
      <c r="B2034" t="s">
        <v>63</v>
      </c>
      <c r="C2034" t="s">
        <v>110</v>
      </c>
      <c r="D2034" t="s">
        <v>256</v>
      </c>
      <c r="E2034" s="2">
        <v>30.5</v>
      </c>
      <c r="F2034" s="4">
        <v>6</v>
      </c>
      <c r="G2034" s="2">
        <v>183</v>
      </c>
      <c r="H2034" t="s">
        <v>25</v>
      </c>
      <c r="I2034" t="s">
        <v>36</v>
      </c>
      <c r="J2034" s="1">
        <v>45561</v>
      </c>
      <c r="K2034" t="b">
        <v>1</v>
      </c>
    </row>
    <row r="2035" spans="1:11" x14ac:dyDescent="0.25">
      <c r="A2035" t="s">
        <v>2868</v>
      </c>
      <c r="B2035" t="s">
        <v>66</v>
      </c>
      <c r="C2035" t="s">
        <v>27</v>
      </c>
      <c r="D2035" t="s">
        <v>524</v>
      </c>
      <c r="E2035" s="2">
        <v>30.5</v>
      </c>
      <c r="F2035" s="4">
        <v>6</v>
      </c>
      <c r="G2035" s="2">
        <v>183</v>
      </c>
      <c r="H2035" t="s">
        <v>45</v>
      </c>
      <c r="I2035" t="s">
        <v>16</v>
      </c>
      <c r="J2035" s="1">
        <v>44740</v>
      </c>
      <c r="K2035" t="b">
        <v>0</v>
      </c>
    </row>
    <row r="2036" spans="1:11" x14ac:dyDescent="0.25">
      <c r="A2036" t="s">
        <v>4437</v>
      </c>
      <c r="B2036" t="s">
        <v>77</v>
      </c>
      <c r="C2036" t="s">
        <v>31</v>
      </c>
      <c r="D2036" t="s">
        <v>144</v>
      </c>
      <c r="E2036" s="2">
        <v>30.5</v>
      </c>
      <c r="F2036" s="4">
        <v>6</v>
      </c>
      <c r="G2036" s="2">
        <v>183</v>
      </c>
      <c r="H2036" t="s">
        <v>45</v>
      </c>
      <c r="I2036" t="s">
        <v>36</v>
      </c>
      <c r="J2036" s="1">
        <v>45591</v>
      </c>
      <c r="K2036" t="b">
        <v>0</v>
      </c>
    </row>
    <row r="2037" spans="1:11" x14ac:dyDescent="0.25">
      <c r="A2037" t="s">
        <v>6620</v>
      </c>
      <c r="B2037" t="s">
        <v>22</v>
      </c>
      <c r="C2037" t="s">
        <v>59</v>
      </c>
      <c r="D2037" t="s">
        <v>676</v>
      </c>
      <c r="E2037" s="2">
        <v>30.5</v>
      </c>
      <c r="F2037" s="4">
        <v>6</v>
      </c>
      <c r="G2037" s="2">
        <v>183</v>
      </c>
      <c r="H2037" t="s">
        <v>45</v>
      </c>
      <c r="I2037" t="s">
        <v>16</v>
      </c>
      <c r="J2037" s="1">
        <v>45320</v>
      </c>
      <c r="K2037" t="b">
        <v>0</v>
      </c>
    </row>
    <row r="2038" spans="1:11" x14ac:dyDescent="0.25">
      <c r="A2038" t="s">
        <v>7048</v>
      </c>
      <c r="B2038" t="s">
        <v>26</v>
      </c>
      <c r="C2038" t="s">
        <v>110</v>
      </c>
      <c r="D2038" t="s">
        <v>256</v>
      </c>
      <c r="E2038" s="2">
        <v>30.5</v>
      </c>
      <c r="F2038" s="4">
        <v>6</v>
      </c>
      <c r="G2038" s="2">
        <v>183</v>
      </c>
      <c r="H2038" t="s">
        <v>45</v>
      </c>
      <c r="I2038" t="s">
        <v>36</v>
      </c>
      <c r="J2038" s="1">
        <v>44817</v>
      </c>
      <c r="K2038" t="b">
        <v>0</v>
      </c>
    </row>
    <row r="2039" spans="1:11" x14ac:dyDescent="0.25">
      <c r="A2039" t="s">
        <v>2315</v>
      </c>
      <c r="B2039" t="s">
        <v>86</v>
      </c>
      <c r="C2039" t="s">
        <v>19</v>
      </c>
      <c r="D2039" t="s">
        <v>474</v>
      </c>
      <c r="E2039" s="2">
        <v>30.5</v>
      </c>
      <c r="F2039" s="4">
        <v>6</v>
      </c>
      <c r="G2039" s="2">
        <v>183</v>
      </c>
      <c r="H2039" t="s">
        <v>45</v>
      </c>
      <c r="I2039" t="s">
        <v>36</v>
      </c>
      <c r="J2039" s="1">
        <v>45637</v>
      </c>
      <c r="K2039" t="b">
        <v>1</v>
      </c>
    </row>
    <row r="2040" spans="1:11" x14ac:dyDescent="0.25">
      <c r="A2040" t="s">
        <v>2675</v>
      </c>
      <c r="B2040" t="s">
        <v>37</v>
      </c>
      <c r="C2040" t="s">
        <v>19</v>
      </c>
      <c r="D2040" t="s">
        <v>474</v>
      </c>
      <c r="E2040" s="2">
        <v>30.5</v>
      </c>
      <c r="F2040" s="4">
        <v>6</v>
      </c>
      <c r="G2040" s="2">
        <v>183</v>
      </c>
      <c r="H2040" t="s">
        <v>15</v>
      </c>
      <c r="I2040" t="s">
        <v>16</v>
      </c>
      <c r="J2040" s="1">
        <v>45159</v>
      </c>
      <c r="K2040" t="b">
        <v>0</v>
      </c>
    </row>
    <row r="2041" spans="1:11" x14ac:dyDescent="0.25">
      <c r="A2041" t="s">
        <v>6284</v>
      </c>
      <c r="B2041" t="s">
        <v>26</v>
      </c>
      <c r="C2041" t="s">
        <v>27</v>
      </c>
      <c r="D2041" t="s">
        <v>524</v>
      </c>
      <c r="E2041" s="2">
        <v>30.5</v>
      </c>
      <c r="F2041" s="4">
        <v>6</v>
      </c>
      <c r="G2041" s="2">
        <v>183</v>
      </c>
      <c r="H2041" t="s">
        <v>15</v>
      </c>
      <c r="I2041" t="s">
        <v>16</v>
      </c>
      <c r="J2041" s="1">
        <v>44727</v>
      </c>
      <c r="K2041" t="b">
        <v>0</v>
      </c>
    </row>
    <row r="2042" spans="1:11" x14ac:dyDescent="0.25">
      <c r="A2042" t="s">
        <v>2103</v>
      </c>
      <c r="B2042" t="s">
        <v>85</v>
      </c>
      <c r="C2042" t="s">
        <v>27</v>
      </c>
      <c r="D2042" t="s">
        <v>524</v>
      </c>
      <c r="E2042" s="2">
        <v>30.5</v>
      </c>
      <c r="F2042" s="4">
        <v>6</v>
      </c>
      <c r="G2042" s="2">
        <v>183</v>
      </c>
      <c r="H2042" t="s">
        <v>25</v>
      </c>
      <c r="I2042" t="s">
        <v>36</v>
      </c>
      <c r="J2042" s="1">
        <v>45511</v>
      </c>
      <c r="K2042" t="b">
        <v>1</v>
      </c>
    </row>
    <row r="2043" spans="1:11" x14ac:dyDescent="0.25">
      <c r="A2043" t="s">
        <v>2977</v>
      </c>
      <c r="B2043" t="s">
        <v>37</v>
      </c>
      <c r="C2043" t="s">
        <v>23</v>
      </c>
      <c r="D2043" t="s">
        <v>223</v>
      </c>
      <c r="E2043" s="2">
        <v>30.5</v>
      </c>
      <c r="F2043" s="4">
        <v>6</v>
      </c>
      <c r="G2043" s="2">
        <v>183</v>
      </c>
      <c r="H2043" t="s">
        <v>45</v>
      </c>
      <c r="I2043" t="s">
        <v>36</v>
      </c>
      <c r="J2043" s="1">
        <v>44949</v>
      </c>
      <c r="K2043" t="b">
        <v>0</v>
      </c>
    </row>
    <row r="2044" spans="1:11" x14ac:dyDescent="0.25">
      <c r="A2044" t="s">
        <v>2978</v>
      </c>
      <c r="B2044" t="s">
        <v>30</v>
      </c>
      <c r="C2044" t="s">
        <v>23</v>
      </c>
      <c r="D2044" t="s">
        <v>223</v>
      </c>
      <c r="E2044" s="2">
        <v>30.5</v>
      </c>
      <c r="F2044" s="4">
        <v>6</v>
      </c>
      <c r="G2044" s="2">
        <v>183</v>
      </c>
      <c r="H2044" t="s">
        <v>25</v>
      </c>
      <c r="I2044" t="s">
        <v>16</v>
      </c>
      <c r="J2044" s="1">
        <v>45127</v>
      </c>
      <c r="K2044" t="b">
        <v>1</v>
      </c>
    </row>
    <row r="2045" spans="1:11" x14ac:dyDescent="0.25">
      <c r="A2045" t="s">
        <v>3092</v>
      </c>
      <c r="B2045" t="s">
        <v>63</v>
      </c>
      <c r="C2045" t="s">
        <v>110</v>
      </c>
      <c r="D2045" t="s">
        <v>256</v>
      </c>
      <c r="E2045" s="2">
        <v>30.5</v>
      </c>
      <c r="F2045" s="4">
        <v>6</v>
      </c>
      <c r="G2045" s="2">
        <v>183</v>
      </c>
      <c r="H2045" t="s">
        <v>45</v>
      </c>
      <c r="I2045" t="s">
        <v>16</v>
      </c>
      <c r="J2045" s="1">
        <v>45148</v>
      </c>
      <c r="K2045" t="b">
        <v>1</v>
      </c>
    </row>
    <row r="2046" spans="1:11" x14ac:dyDescent="0.25">
      <c r="A2046" t="s">
        <v>2281</v>
      </c>
      <c r="B2046" t="s">
        <v>69</v>
      </c>
      <c r="C2046" t="s">
        <v>27</v>
      </c>
      <c r="D2046" t="s">
        <v>524</v>
      </c>
      <c r="E2046" s="2">
        <v>30.5</v>
      </c>
      <c r="F2046" s="4">
        <v>6</v>
      </c>
      <c r="G2046" s="2">
        <v>183</v>
      </c>
      <c r="H2046" t="s">
        <v>15</v>
      </c>
      <c r="I2046" t="s">
        <v>36</v>
      </c>
      <c r="J2046" s="1">
        <v>45350</v>
      </c>
      <c r="K2046" t="b">
        <v>1</v>
      </c>
    </row>
    <row r="2047" spans="1:11" x14ac:dyDescent="0.25">
      <c r="A2047" t="s">
        <v>3677</v>
      </c>
      <c r="B2047" t="s">
        <v>56</v>
      </c>
      <c r="C2047" t="s">
        <v>110</v>
      </c>
      <c r="D2047" t="s">
        <v>134</v>
      </c>
      <c r="E2047" s="2">
        <v>36.5</v>
      </c>
      <c r="F2047" s="4">
        <v>5</v>
      </c>
      <c r="G2047" s="2">
        <v>182.5</v>
      </c>
      <c r="H2047" t="s">
        <v>15</v>
      </c>
      <c r="I2047" t="s">
        <v>16</v>
      </c>
      <c r="J2047" s="1">
        <v>45564</v>
      </c>
      <c r="K2047" t="b">
        <v>1</v>
      </c>
    </row>
    <row r="2048" spans="1:11" x14ac:dyDescent="0.25">
      <c r="A2048" t="s">
        <v>1829</v>
      </c>
      <c r="B2048" t="s">
        <v>37</v>
      </c>
      <c r="C2048" t="s">
        <v>19</v>
      </c>
      <c r="D2048" t="s">
        <v>412</v>
      </c>
      <c r="E2048" s="2">
        <v>36.5</v>
      </c>
      <c r="F2048" s="4">
        <v>5</v>
      </c>
      <c r="G2048" s="2">
        <v>182.5</v>
      </c>
      <c r="H2048" t="s">
        <v>15</v>
      </c>
      <c r="I2048" t="s">
        <v>36</v>
      </c>
      <c r="J2048" s="1">
        <v>45376</v>
      </c>
      <c r="K2048" t="b">
        <v>1</v>
      </c>
    </row>
    <row r="2049" spans="1:11" x14ac:dyDescent="0.25">
      <c r="A2049" t="s">
        <v>2694</v>
      </c>
      <c r="B2049" t="s">
        <v>34</v>
      </c>
      <c r="C2049" t="s">
        <v>38</v>
      </c>
      <c r="D2049" t="s">
        <v>149</v>
      </c>
      <c r="E2049" s="2">
        <v>36.5</v>
      </c>
      <c r="F2049" s="4">
        <v>5</v>
      </c>
      <c r="G2049" s="2">
        <v>182.5</v>
      </c>
      <c r="H2049" t="s">
        <v>15</v>
      </c>
      <c r="I2049" t="s">
        <v>36</v>
      </c>
      <c r="J2049" s="1">
        <v>45143</v>
      </c>
      <c r="K2049" t="b">
        <v>0</v>
      </c>
    </row>
    <row r="2050" spans="1:11" x14ac:dyDescent="0.25">
      <c r="A2050" t="s">
        <v>840</v>
      </c>
      <c r="B2050" t="s">
        <v>40</v>
      </c>
      <c r="C2050" t="s">
        <v>59</v>
      </c>
      <c r="D2050" t="s">
        <v>290</v>
      </c>
      <c r="E2050" s="2">
        <v>36.5</v>
      </c>
      <c r="F2050" s="4">
        <v>5</v>
      </c>
      <c r="G2050" s="2">
        <v>182.5</v>
      </c>
      <c r="H2050" t="s">
        <v>15</v>
      </c>
      <c r="I2050" t="s">
        <v>16</v>
      </c>
      <c r="J2050" s="1">
        <v>45671</v>
      </c>
      <c r="K2050" t="b">
        <v>1</v>
      </c>
    </row>
    <row r="2051" spans="1:11" x14ac:dyDescent="0.25">
      <c r="A2051" t="s">
        <v>2069</v>
      </c>
      <c r="B2051" t="s">
        <v>30</v>
      </c>
      <c r="C2051" t="s">
        <v>19</v>
      </c>
      <c r="D2051" t="s">
        <v>412</v>
      </c>
      <c r="E2051" s="2">
        <v>36.5</v>
      </c>
      <c r="F2051" s="4">
        <v>5</v>
      </c>
      <c r="G2051" s="2">
        <v>182.5</v>
      </c>
      <c r="H2051" t="s">
        <v>15</v>
      </c>
      <c r="I2051" t="s">
        <v>36</v>
      </c>
      <c r="J2051" s="1">
        <v>45617</v>
      </c>
      <c r="K2051" t="b">
        <v>1</v>
      </c>
    </row>
    <row r="2052" spans="1:11" x14ac:dyDescent="0.25">
      <c r="A2052" t="s">
        <v>4194</v>
      </c>
      <c r="B2052" t="s">
        <v>37</v>
      </c>
      <c r="C2052" t="s">
        <v>27</v>
      </c>
      <c r="D2052" t="s">
        <v>101</v>
      </c>
      <c r="E2052" s="2">
        <v>36.5</v>
      </c>
      <c r="F2052" s="4">
        <v>5</v>
      </c>
      <c r="G2052" s="2">
        <v>182.5</v>
      </c>
      <c r="H2052" t="s">
        <v>45</v>
      </c>
      <c r="I2052" t="s">
        <v>36</v>
      </c>
      <c r="J2052" s="1">
        <v>44764</v>
      </c>
      <c r="K2052" t="b">
        <v>1</v>
      </c>
    </row>
    <row r="2053" spans="1:11" x14ac:dyDescent="0.25">
      <c r="A2053" t="s">
        <v>1631</v>
      </c>
      <c r="B2053" t="s">
        <v>26</v>
      </c>
      <c r="C2053" t="s">
        <v>59</v>
      </c>
      <c r="D2053" t="s">
        <v>290</v>
      </c>
      <c r="E2053" s="2">
        <v>36.5</v>
      </c>
      <c r="F2053" s="4">
        <v>5</v>
      </c>
      <c r="G2053" s="2">
        <v>182.5</v>
      </c>
      <c r="H2053" t="s">
        <v>45</v>
      </c>
      <c r="I2053" t="s">
        <v>36</v>
      </c>
      <c r="J2053" s="1">
        <v>44655</v>
      </c>
      <c r="K2053" t="b">
        <v>0</v>
      </c>
    </row>
    <row r="2054" spans="1:11" x14ac:dyDescent="0.25">
      <c r="A2054" t="s">
        <v>3303</v>
      </c>
      <c r="B2054" t="s">
        <v>97</v>
      </c>
      <c r="C2054" t="s">
        <v>27</v>
      </c>
      <c r="D2054" t="s">
        <v>101</v>
      </c>
      <c r="E2054" s="2">
        <v>36.5</v>
      </c>
      <c r="F2054" s="4">
        <v>5</v>
      </c>
      <c r="G2054" s="2">
        <v>182.5</v>
      </c>
      <c r="H2054" t="s">
        <v>15</v>
      </c>
      <c r="I2054" t="s">
        <v>16</v>
      </c>
      <c r="J2054" s="1">
        <v>45525</v>
      </c>
      <c r="K2054" t="b">
        <v>1</v>
      </c>
    </row>
    <row r="2055" spans="1:11" x14ac:dyDescent="0.25">
      <c r="A2055" t="s">
        <v>439</v>
      </c>
      <c r="B2055" t="s">
        <v>26</v>
      </c>
      <c r="C2055" t="s">
        <v>13</v>
      </c>
      <c r="D2055" t="s">
        <v>80</v>
      </c>
      <c r="E2055" s="2">
        <v>36.5</v>
      </c>
      <c r="F2055" s="4">
        <v>5</v>
      </c>
      <c r="G2055" s="2">
        <v>182.5</v>
      </c>
      <c r="H2055" t="s">
        <v>15</v>
      </c>
      <c r="I2055" t="s">
        <v>36</v>
      </c>
      <c r="J2055" s="1">
        <v>44852</v>
      </c>
      <c r="K2055" t="b">
        <v>1</v>
      </c>
    </row>
    <row r="2056" spans="1:11" x14ac:dyDescent="0.25">
      <c r="A2056" t="s">
        <v>6704</v>
      </c>
      <c r="B2056" t="s">
        <v>26</v>
      </c>
      <c r="C2056" t="s">
        <v>59</v>
      </c>
      <c r="D2056" t="s">
        <v>290</v>
      </c>
      <c r="E2056" s="2">
        <v>36.5</v>
      </c>
      <c r="F2056" s="4">
        <v>5</v>
      </c>
      <c r="G2056" s="2">
        <v>182.5</v>
      </c>
      <c r="H2056" t="s">
        <v>45</v>
      </c>
      <c r="I2056" t="s">
        <v>36</v>
      </c>
      <c r="J2056" s="1">
        <v>44922</v>
      </c>
      <c r="K2056" t="b">
        <v>0</v>
      </c>
    </row>
    <row r="2057" spans="1:11" x14ac:dyDescent="0.25">
      <c r="A2057" t="s">
        <v>4690</v>
      </c>
      <c r="B2057" t="s">
        <v>18</v>
      </c>
      <c r="C2057" t="s">
        <v>23</v>
      </c>
      <c r="D2057" t="s">
        <v>44</v>
      </c>
      <c r="E2057" s="2">
        <v>36.5</v>
      </c>
      <c r="F2057" s="4">
        <v>5</v>
      </c>
      <c r="G2057" s="2">
        <v>182.5</v>
      </c>
      <c r="H2057" t="s">
        <v>25</v>
      </c>
      <c r="I2057" t="s">
        <v>16</v>
      </c>
      <c r="J2057" s="1">
        <v>44656</v>
      </c>
      <c r="K2057" t="b">
        <v>0</v>
      </c>
    </row>
    <row r="2058" spans="1:11" x14ac:dyDescent="0.25">
      <c r="A2058" t="s">
        <v>6842</v>
      </c>
      <c r="B2058" t="s">
        <v>85</v>
      </c>
      <c r="C2058" t="s">
        <v>110</v>
      </c>
      <c r="D2058" t="s">
        <v>134</v>
      </c>
      <c r="E2058" s="2">
        <v>36.5</v>
      </c>
      <c r="F2058" s="4">
        <v>5</v>
      </c>
      <c r="G2058" s="2">
        <v>182.5</v>
      </c>
      <c r="H2058" t="s">
        <v>45</v>
      </c>
      <c r="I2058" t="s">
        <v>36</v>
      </c>
      <c r="J2058" s="1">
        <v>45201</v>
      </c>
      <c r="K2058" t="b">
        <v>1</v>
      </c>
    </row>
    <row r="2059" spans="1:11" x14ac:dyDescent="0.25">
      <c r="A2059" t="s">
        <v>2939</v>
      </c>
      <c r="B2059" t="s">
        <v>104</v>
      </c>
      <c r="C2059" t="s">
        <v>23</v>
      </c>
      <c r="D2059" t="s">
        <v>44</v>
      </c>
      <c r="E2059" s="2">
        <v>36.5</v>
      </c>
      <c r="F2059" s="4">
        <v>5</v>
      </c>
      <c r="G2059" s="2">
        <v>182.5</v>
      </c>
      <c r="H2059" t="s">
        <v>15</v>
      </c>
      <c r="I2059" t="s">
        <v>16</v>
      </c>
      <c r="J2059" s="1">
        <v>45305</v>
      </c>
      <c r="K2059" t="b">
        <v>1</v>
      </c>
    </row>
    <row r="2060" spans="1:11" x14ac:dyDescent="0.25">
      <c r="A2060" t="s">
        <v>2828</v>
      </c>
      <c r="B2060" t="s">
        <v>85</v>
      </c>
      <c r="C2060" t="s">
        <v>13</v>
      </c>
      <c r="D2060" t="s">
        <v>80</v>
      </c>
      <c r="E2060" s="2">
        <v>36.5</v>
      </c>
      <c r="F2060" s="4">
        <v>5</v>
      </c>
      <c r="G2060" s="2">
        <v>182.5</v>
      </c>
      <c r="H2060" t="s">
        <v>25</v>
      </c>
      <c r="I2060" t="s">
        <v>16</v>
      </c>
      <c r="J2060" s="1">
        <v>45648</v>
      </c>
      <c r="K2060" t="b">
        <v>1</v>
      </c>
    </row>
    <row r="2061" spans="1:11" x14ac:dyDescent="0.25">
      <c r="A2061" t="s">
        <v>922</v>
      </c>
      <c r="B2061" t="s">
        <v>97</v>
      </c>
      <c r="C2061" t="s">
        <v>27</v>
      </c>
      <c r="D2061" t="s">
        <v>101</v>
      </c>
      <c r="E2061" s="2">
        <v>36.5</v>
      </c>
      <c r="F2061" s="4">
        <v>5</v>
      </c>
      <c r="G2061" s="2">
        <v>182.5</v>
      </c>
      <c r="H2061" t="s">
        <v>45</v>
      </c>
      <c r="I2061" t="s">
        <v>36</v>
      </c>
      <c r="J2061" s="1">
        <v>45281</v>
      </c>
      <c r="K2061" t="b">
        <v>0</v>
      </c>
    </row>
    <row r="2062" spans="1:11" x14ac:dyDescent="0.25">
      <c r="A2062" t="s">
        <v>79</v>
      </c>
      <c r="B2062" t="s">
        <v>72</v>
      </c>
      <c r="C2062" t="s">
        <v>13</v>
      </c>
      <c r="D2062" t="s">
        <v>80</v>
      </c>
      <c r="E2062" s="2">
        <v>36.5</v>
      </c>
      <c r="F2062" s="4">
        <v>5</v>
      </c>
      <c r="G2062" s="2">
        <v>182.5</v>
      </c>
      <c r="H2062" t="s">
        <v>25</v>
      </c>
      <c r="I2062" t="s">
        <v>36</v>
      </c>
      <c r="J2062" s="1">
        <v>44630</v>
      </c>
      <c r="K2062" t="b">
        <v>0</v>
      </c>
    </row>
    <row r="2063" spans="1:11" x14ac:dyDescent="0.25">
      <c r="A2063" t="s">
        <v>6924</v>
      </c>
      <c r="B2063" t="s">
        <v>77</v>
      </c>
      <c r="C2063" t="s">
        <v>31</v>
      </c>
      <c r="D2063" t="s">
        <v>136</v>
      </c>
      <c r="E2063" s="2">
        <v>36.5</v>
      </c>
      <c r="F2063" s="4">
        <v>5</v>
      </c>
      <c r="G2063" s="2">
        <v>182.5</v>
      </c>
      <c r="H2063" t="s">
        <v>15</v>
      </c>
      <c r="I2063" t="s">
        <v>36</v>
      </c>
      <c r="J2063" s="1">
        <v>45133</v>
      </c>
      <c r="K2063" t="b">
        <v>1</v>
      </c>
    </row>
    <row r="2064" spans="1:11" x14ac:dyDescent="0.25">
      <c r="A2064" t="s">
        <v>6213</v>
      </c>
      <c r="B2064" t="s">
        <v>86</v>
      </c>
      <c r="C2064" t="s">
        <v>19</v>
      </c>
      <c r="D2064" t="s">
        <v>412</v>
      </c>
      <c r="E2064" s="2">
        <v>36.5</v>
      </c>
      <c r="F2064" s="4">
        <v>5</v>
      </c>
      <c r="G2064" s="2">
        <v>182.5</v>
      </c>
      <c r="H2064" t="s">
        <v>45</v>
      </c>
      <c r="I2064" t="s">
        <v>16</v>
      </c>
      <c r="J2064" s="1">
        <v>45591</v>
      </c>
      <c r="K2064" t="b">
        <v>0</v>
      </c>
    </row>
    <row r="2065" spans="1:11" x14ac:dyDescent="0.25">
      <c r="A2065" t="s">
        <v>2336</v>
      </c>
      <c r="B2065" t="s">
        <v>69</v>
      </c>
      <c r="C2065" t="s">
        <v>110</v>
      </c>
      <c r="D2065" t="s">
        <v>134</v>
      </c>
      <c r="E2065" s="2">
        <v>36.5</v>
      </c>
      <c r="F2065" s="4">
        <v>5</v>
      </c>
      <c r="G2065" s="2">
        <v>182.5</v>
      </c>
      <c r="H2065" t="s">
        <v>15</v>
      </c>
      <c r="I2065" t="s">
        <v>16</v>
      </c>
      <c r="J2065" s="1">
        <v>44905</v>
      </c>
      <c r="K2065" t="b">
        <v>0</v>
      </c>
    </row>
    <row r="2066" spans="1:11" x14ac:dyDescent="0.25">
      <c r="A2066" t="s">
        <v>3012</v>
      </c>
      <c r="B2066" t="s">
        <v>56</v>
      </c>
      <c r="C2066" t="s">
        <v>23</v>
      </c>
      <c r="D2066" t="s">
        <v>44</v>
      </c>
      <c r="E2066" s="2">
        <v>36.5</v>
      </c>
      <c r="F2066" s="4">
        <v>5</v>
      </c>
      <c r="G2066" s="2">
        <v>182.5</v>
      </c>
      <c r="H2066" t="s">
        <v>45</v>
      </c>
      <c r="I2066" t="s">
        <v>16</v>
      </c>
      <c r="J2066" s="1">
        <v>44733</v>
      </c>
      <c r="K2066" t="b">
        <v>1</v>
      </c>
    </row>
    <row r="2067" spans="1:11" x14ac:dyDescent="0.25">
      <c r="A2067" t="s">
        <v>5164</v>
      </c>
      <c r="B2067" t="s">
        <v>18</v>
      </c>
      <c r="C2067" t="s">
        <v>31</v>
      </c>
      <c r="D2067" t="s">
        <v>136</v>
      </c>
      <c r="E2067" s="2">
        <v>36.5</v>
      </c>
      <c r="F2067" s="4">
        <v>5</v>
      </c>
      <c r="G2067" s="2">
        <v>182.5</v>
      </c>
      <c r="H2067" t="s">
        <v>25</v>
      </c>
      <c r="I2067" t="s">
        <v>16</v>
      </c>
      <c r="J2067" s="1">
        <v>44957</v>
      </c>
      <c r="K2067" t="b">
        <v>1</v>
      </c>
    </row>
    <row r="2068" spans="1:11" x14ac:dyDescent="0.25">
      <c r="A2068" t="s">
        <v>7559</v>
      </c>
      <c r="B2068" t="s">
        <v>63</v>
      </c>
      <c r="C2068" t="s">
        <v>23</v>
      </c>
      <c r="D2068" t="s">
        <v>44</v>
      </c>
      <c r="E2068" s="2">
        <v>36.5</v>
      </c>
      <c r="F2068" s="4">
        <v>5</v>
      </c>
      <c r="G2068" s="2">
        <v>182.5</v>
      </c>
      <c r="H2068" t="s">
        <v>15</v>
      </c>
      <c r="I2068" t="s">
        <v>36</v>
      </c>
      <c r="J2068" s="1">
        <v>45621</v>
      </c>
      <c r="K2068" t="b">
        <v>1</v>
      </c>
    </row>
    <row r="2069" spans="1:11" x14ac:dyDescent="0.25">
      <c r="A2069" t="s">
        <v>5749</v>
      </c>
      <c r="B2069" t="s">
        <v>77</v>
      </c>
      <c r="C2069" t="s">
        <v>23</v>
      </c>
      <c r="D2069" t="s">
        <v>853</v>
      </c>
      <c r="E2069" s="2">
        <v>26</v>
      </c>
      <c r="F2069" s="4">
        <v>7</v>
      </c>
      <c r="G2069" s="2">
        <v>182</v>
      </c>
      <c r="H2069" t="s">
        <v>25</v>
      </c>
      <c r="I2069" t="s">
        <v>16</v>
      </c>
      <c r="J2069" s="1">
        <v>45040</v>
      </c>
      <c r="K2069" t="b">
        <v>1</v>
      </c>
    </row>
    <row r="2070" spans="1:11" x14ac:dyDescent="0.25">
      <c r="A2070" t="s">
        <v>4511</v>
      </c>
      <c r="B2070" t="s">
        <v>66</v>
      </c>
      <c r="C2070" t="s">
        <v>38</v>
      </c>
      <c r="D2070" t="s">
        <v>341</v>
      </c>
      <c r="E2070" s="2">
        <v>26</v>
      </c>
      <c r="F2070" s="4">
        <v>7</v>
      </c>
      <c r="G2070" s="2">
        <v>182</v>
      </c>
      <c r="H2070" t="s">
        <v>45</v>
      </c>
      <c r="I2070" t="s">
        <v>16</v>
      </c>
      <c r="J2070" s="1">
        <v>44836</v>
      </c>
      <c r="K2070" t="b">
        <v>0</v>
      </c>
    </row>
    <row r="2071" spans="1:11" x14ac:dyDescent="0.25">
      <c r="A2071" t="s">
        <v>4113</v>
      </c>
      <c r="B2071" t="s">
        <v>85</v>
      </c>
      <c r="C2071" t="s">
        <v>110</v>
      </c>
      <c r="D2071" t="s">
        <v>126</v>
      </c>
      <c r="E2071" s="2">
        <v>26</v>
      </c>
      <c r="F2071" s="4">
        <v>7</v>
      </c>
      <c r="G2071" s="2">
        <v>182</v>
      </c>
      <c r="H2071" t="s">
        <v>25</v>
      </c>
      <c r="I2071" t="s">
        <v>36</v>
      </c>
      <c r="J2071" s="1">
        <v>45035</v>
      </c>
      <c r="K2071" t="b">
        <v>1</v>
      </c>
    </row>
    <row r="2072" spans="1:11" x14ac:dyDescent="0.25">
      <c r="A2072" t="s">
        <v>6000</v>
      </c>
      <c r="B2072" t="s">
        <v>43</v>
      </c>
      <c r="C2072" t="s">
        <v>59</v>
      </c>
      <c r="D2072" t="s">
        <v>463</v>
      </c>
      <c r="E2072" s="2">
        <v>26</v>
      </c>
      <c r="F2072" s="4">
        <v>7</v>
      </c>
      <c r="G2072" s="2">
        <v>182</v>
      </c>
      <c r="H2072" t="s">
        <v>25</v>
      </c>
      <c r="I2072" t="s">
        <v>36</v>
      </c>
      <c r="J2072" s="1">
        <v>45427</v>
      </c>
      <c r="K2072" t="b">
        <v>1</v>
      </c>
    </row>
    <row r="2073" spans="1:11" x14ac:dyDescent="0.25">
      <c r="A2073" t="s">
        <v>4487</v>
      </c>
      <c r="B2073" t="s">
        <v>26</v>
      </c>
      <c r="C2073" t="s">
        <v>23</v>
      </c>
      <c r="D2073" t="s">
        <v>853</v>
      </c>
      <c r="E2073" s="2">
        <v>26</v>
      </c>
      <c r="F2073" s="4">
        <v>7</v>
      </c>
      <c r="G2073" s="2">
        <v>182</v>
      </c>
      <c r="H2073" t="s">
        <v>15</v>
      </c>
      <c r="I2073" t="s">
        <v>36</v>
      </c>
      <c r="J2073" s="1">
        <v>44788</v>
      </c>
      <c r="K2073" t="b">
        <v>1</v>
      </c>
    </row>
    <row r="2074" spans="1:11" x14ac:dyDescent="0.25">
      <c r="A2074" t="s">
        <v>2189</v>
      </c>
      <c r="B2074" t="s">
        <v>30</v>
      </c>
      <c r="C2074" t="s">
        <v>59</v>
      </c>
      <c r="D2074" t="s">
        <v>463</v>
      </c>
      <c r="E2074" s="2">
        <v>26</v>
      </c>
      <c r="F2074" s="4">
        <v>7</v>
      </c>
      <c r="G2074" s="2">
        <v>182</v>
      </c>
      <c r="H2074" t="s">
        <v>45</v>
      </c>
      <c r="I2074" t="s">
        <v>16</v>
      </c>
      <c r="J2074" s="1">
        <v>45551</v>
      </c>
      <c r="K2074" t="b">
        <v>1</v>
      </c>
    </row>
    <row r="2075" spans="1:11" x14ac:dyDescent="0.25">
      <c r="A2075" t="s">
        <v>3873</v>
      </c>
      <c r="B2075" t="s">
        <v>61</v>
      </c>
      <c r="C2075" t="s">
        <v>27</v>
      </c>
      <c r="D2075" t="s">
        <v>620</v>
      </c>
      <c r="E2075" s="2">
        <v>26</v>
      </c>
      <c r="F2075" s="4">
        <v>7</v>
      </c>
      <c r="G2075" s="2">
        <v>182</v>
      </c>
      <c r="H2075" t="s">
        <v>15</v>
      </c>
      <c r="I2075" t="s">
        <v>16</v>
      </c>
      <c r="J2075" s="1">
        <v>45130</v>
      </c>
      <c r="K2075" t="b">
        <v>1</v>
      </c>
    </row>
    <row r="2076" spans="1:11" x14ac:dyDescent="0.25">
      <c r="A2076" t="s">
        <v>4780</v>
      </c>
      <c r="B2076" t="s">
        <v>97</v>
      </c>
      <c r="C2076" t="s">
        <v>23</v>
      </c>
      <c r="D2076" t="s">
        <v>853</v>
      </c>
      <c r="E2076" s="2">
        <v>26</v>
      </c>
      <c r="F2076" s="4">
        <v>7</v>
      </c>
      <c r="G2076" s="2">
        <v>182</v>
      </c>
      <c r="H2076" t="s">
        <v>25</v>
      </c>
      <c r="I2076" t="s">
        <v>16</v>
      </c>
      <c r="J2076" s="1">
        <v>44832</v>
      </c>
      <c r="K2076" t="b">
        <v>0</v>
      </c>
    </row>
    <row r="2077" spans="1:11" x14ac:dyDescent="0.25">
      <c r="A2077" t="s">
        <v>2919</v>
      </c>
      <c r="B2077" t="s">
        <v>93</v>
      </c>
      <c r="C2077" t="s">
        <v>38</v>
      </c>
      <c r="D2077" t="s">
        <v>341</v>
      </c>
      <c r="E2077" s="2">
        <v>26</v>
      </c>
      <c r="F2077" s="4">
        <v>7</v>
      </c>
      <c r="G2077" s="2">
        <v>182</v>
      </c>
      <c r="H2077" t="s">
        <v>25</v>
      </c>
      <c r="I2077" t="s">
        <v>36</v>
      </c>
      <c r="J2077" s="1">
        <v>44906</v>
      </c>
      <c r="K2077" t="b">
        <v>0</v>
      </c>
    </row>
    <row r="2078" spans="1:11" x14ac:dyDescent="0.25">
      <c r="A2078" t="s">
        <v>6897</v>
      </c>
      <c r="B2078" t="s">
        <v>97</v>
      </c>
      <c r="C2078" t="s">
        <v>13</v>
      </c>
      <c r="D2078" t="s">
        <v>343</v>
      </c>
      <c r="E2078" s="2">
        <v>26</v>
      </c>
      <c r="F2078" s="4">
        <v>7</v>
      </c>
      <c r="G2078" s="2">
        <v>182</v>
      </c>
      <c r="H2078" t="s">
        <v>25</v>
      </c>
      <c r="I2078" t="s">
        <v>36</v>
      </c>
      <c r="J2078" s="1">
        <v>45221</v>
      </c>
      <c r="K2078" t="b">
        <v>0</v>
      </c>
    </row>
    <row r="2079" spans="1:11" x14ac:dyDescent="0.25">
      <c r="A2079" t="s">
        <v>5541</v>
      </c>
      <c r="B2079" t="s">
        <v>43</v>
      </c>
      <c r="C2079" t="s">
        <v>13</v>
      </c>
      <c r="D2079" t="s">
        <v>343</v>
      </c>
      <c r="E2079" s="2">
        <v>26</v>
      </c>
      <c r="F2079" s="4">
        <v>7</v>
      </c>
      <c r="G2079" s="2">
        <v>182</v>
      </c>
      <c r="H2079" t="s">
        <v>15</v>
      </c>
      <c r="I2079" t="s">
        <v>16</v>
      </c>
      <c r="J2079" s="1">
        <v>45323</v>
      </c>
      <c r="K2079" t="b">
        <v>1</v>
      </c>
    </row>
    <row r="2080" spans="1:11" x14ac:dyDescent="0.25">
      <c r="A2080" t="s">
        <v>3179</v>
      </c>
      <c r="B2080" t="s">
        <v>97</v>
      </c>
      <c r="C2080" t="s">
        <v>23</v>
      </c>
      <c r="D2080" t="s">
        <v>853</v>
      </c>
      <c r="E2080" s="2">
        <v>26</v>
      </c>
      <c r="F2080" s="4">
        <v>7</v>
      </c>
      <c r="G2080" s="2">
        <v>182</v>
      </c>
      <c r="H2080" t="s">
        <v>15</v>
      </c>
      <c r="I2080" t="s">
        <v>16</v>
      </c>
      <c r="J2080" s="1">
        <v>44754</v>
      </c>
      <c r="K2080" t="b">
        <v>1</v>
      </c>
    </row>
    <row r="2081" spans="1:11" x14ac:dyDescent="0.25">
      <c r="A2081" t="s">
        <v>1429</v>
      </c>
      <c r="B2081" t="s">
        <v>104</v>
      </c>
      <c r="C2081" t="s">
        <v>38</v>
      </c>
      <c r="D2081" t="s">
        <v>341</v>
      </c>
      <c r="E2081" s="2">
        <v>26</v>
      </c>
      <c r="F2081" s="4">
        <v>7</v>
      </c>
      <c r="G2081" s="2">
        <v>182</v>
      </c>
      <c r="H2081" t="s">
        <v>25</v>
      </c>
      <c r="I2081" t="s">
        <v>36</v>
      </c>
      <c r="J2081" s="1">
        <v>45566</v>
      </c>
      <c r="K2081" t="b">
        <v>1</v>
      </c>
    </row>
    <row r="2082" spans="1:11" x14ac:dyDescent="0.25">
      <c r="A2082" t="s">
        <v>7432</v>
      </c>
      <c r="B2082" t="s">
        <v>12</v>
      </c>
      <c r="C2082" t="s">
        <v>59</v>
      </c>
      <c r="D2082" t="s">
        <v>463</v>
      </c>
      <c r="E2082" s="2">
        <v>26</v>
      </c>
      <c r="F2082" s="4">
        <v>7</v>
      </c>
      <c r="G2082" s="2">
        <v>182</v>
      </c>
      <c r="H2082" t="s">
        <v>25</v>
      </c>
      <c r="I2082" t="s">
        <v>36</v>
      </c>
      <c r="J2082" s="1">
        <v>44899</v>
      </c>
      <c r="K2082" t="b">
        <v>1</v>
      </c>
    </row>
    <row r="2083" spans="1:11" x14ac:dyDescent="0.25">
      <c r="A2083" t="s">
        <v>4820</v>
      </c>
      <c r="B2083" t="s">
        <v>66</v>
      </c>
      <c r="C2083" t="s">
        <v>59</v>
      </c>
      <c r="D2083" t="s">
        <v>463</v>
      </c>
      <c r="E2083" s="2">
        <v>26</v>
      </c>
      <c r="F2083" s="4">
        <v>7</v>
      </c>
      <c r="G2083" s="2">
        <v>182</v>
      </c>
      <c r="H2083" t="s">
        <v>45</v>
      </c>
      <c r="I2083" t="s">
        <v>36</v>
      </c>
      <c r="J2083" s="1">
        <v>44584</v>
      </c>
      <c r="K2083" t="b">
        <v>1</v>
      </c>
    </row>
    <row r="2084" spans="1:11" x14ac:dyDescent="0.25">
      <c r="A2084" t="s">
        <v>5357</v>
      </c>
      <c r="B2084" t="s">
        <v>56</v>
      </c>
      <c r="C2084" t="s">
        <v>110</v>
      </c>
      <c r="D2084" t="s">
        <v>126</v>
      </c>
      <c r="E2084" s="2">
        <v>26</v>
      </c>
      <c r="F2084" s="4">
        <v>7</v>
      </c>
      <c r="G2084" s="2">
        <v>182</v>
      </c>
      <c r="H2084" t="s">
        <v>45</v>
      </c>
      <c r="I2084" t="s">
        <v>16</v>
      </c>
      <c r="J2084" s="1">
        <v>45354</v>
      </c>
      <c r="K2084" t="b">
        <v>1</v>
      </c>
    </row>
    <row r="2085" spans="1:11" x14ac:dyDescent="0.25">
      <c r="A2085" t="s">
        <v>4881</v>
      </c>
      <c r="B2085" t="s">
        <v>77</v>
      </c>
      <c r="C2085" t="s">
        <v>31</v>
      </c>
      <c r="D2085" t="s">
        <v>579</v>
      </c>
      <c r="E2085" s="2">
        <v>26</v>
      </c>
      <c r="F2085" s="4">
        <v>7</v>
      </c>
      <c r="G2085" s="2">
        <v>182</v>
      </c>
      <c r="H2085" t="s">
        <v>25</v>
      </c>
      <c r="I2085" t="s">
        <v>36</v>
      </c>
      <c r="J2085" s="1">
        <v>45446</v>
      </c>
      <c r="K2085" t="b">
        <v>0</v>
      </c>
    </row>
    <row r="2086" spans="1:11" x14ac:dyDescent="0.25">
      <c r="A2086" t="s">
        <v>4934</v>
      </c>
      <c r="B2086" t="s">
        <v>51</v>
      </c>
      <c r="C2086" t="s">
        <v>38</v>
      </c>
      <c r="D2086" t="s">
        <v>341</v>
      </c>
      <c r="E2086" s="2">
        <v>26</v>
      </c>
      <c r="F2086" s="4">
        <v>7</v>
      </c>
      <c r="G2086" s="2">
        <v>182</v>
      </c>
      <c r="H2086" t="s">
        <v>25</v>
      </c>
      <c r="I2086" t="s">
        <v>36</v>
      </c>
      <c r="J2086" s="1">
        <v>44797</v>
      </c>
      <c r="K2086" t="b">
        <v>0</v>
      </c>
    </row>
    <row r="2087" spans="1:11" x14ac:dyDescent="0.25">
      <c r="A2087" t="s">
        <v>4102</v>
      </c>
      <c r="B2087" t="s">
        <v>85</v>
      </c>
      <c r="C2087" t="s">
        <v>110</v>
      </c>
      <c r="D2087" t="s">
        <v>126</v>
      </c>
      <c r="E2087" s="2">
        <v>26</v>
      </c>
      <c r="F2087" s="4">
        <v>7</v>
      </c>
      <c r="G2087" s="2">
        <v>182</v>
      </c>
      <c r="H2087" t="s">
        <v>45</v>
      </c>
      <c r="I2087" t="s">
        <v>36</v>
      </c>
      <c r="J2087" s="1">
        <v>45665</v>
      </c>
      <c r="K2087" t="b">
        <v>1</v>
      </c>
    </row>
    <row r="2088" spans="1:11" x14ac:dyDescent="0.25">
      <c r="A2088" t="s">
        <v>3583</v>
      </c>
      <c r="B2088" t="s">
        <v>93</v>
      </c>
      <c r="C2088" t="s">
        <v>23</v>
      </c>
      <c r="D2088" t="s">
        <v>853</v>
      </c>
      <c r="E2088" s="2">
        <v>26</v>
      </c>
      <c r="F2088" s="4">
        <v>7</v>
      </c>
      <c r="G2088" s="2">
        <v>182</v>
      </c>
      <c r="H2088" t="s">
        <v>25</v>
      </c>
      <c r="I2088" t="s">
        <v>16</v>
      </c>
      <c r="J2088" s="1">
        <v>44889</v>
      </c>
      <c r="K2088" t="b">
        <v>0</v>
      </c>
    </row>
    <row r="2089" spans="1:11" x14ac:dyDescent="0.25">
      <c r="A2089" t="s">
        <v>5200</v>
      </c>
      <c r="B2089" t="s">
        <v>12</v>
      </c>
      <c r="C2089" t="s">
        <v>13</v>
      </c>
      <c r="D2089" t="s">
        <v>343</v>
      </c>
      <c r="E2089" s="2">
        <v>26</v>
      </c>
      <c r="F2089" s="4">
        <v>7</v>
      </c>
      <c r="G2089" s="2">
        <v>182</v>
      </c>
      <c r="H2089" t="s">
        <v>25</v>
      </c>
      <c r="I2089" t="s">
        <v>36</v>
      </c>
      <c r="J2089" s="1">
        <v>44714</v>
      </c>
      <c r="K2089" t="b">
        <v>1</v>
      </c>
    </row>
    <row r="2090" spans="1:11" x14ac:dyDescent="0.25">
      <c r="A2090" t="s">
        <v>1609</v>
      </c>
      <c r="B2090" t="s">
        <v>56</v>
      </c>
      <c r="C2090" t="s">
        <v>19</v>
      </c>
      <c r="D2090" t="s">
        <v>268</v>
      </c>
      <c r="E2090" s="2">
        <v>26</v>
      </c>
      <c r="F2090" s="4">
        <v>7</v>
      </c>
      <c r="G2090" s="2">
        <v>182</v>
      </c>
      <c r="H2090" t="s">
        <v>15</v>
      </c>
      <c r="I2090" t="s">
        <v>16</v>
      </c>
      <c r="J2090" s="1">
        <v>44757</v>
      </c>
      <c r="K2090" t="b">
        <v>1</v>
      </c>
    </row>
    <row r="2091" spans="1:11" x14ac:dyDescent="0.25">
      <c r="A2091" t="s">
        <v>7521</v>
      </c>
      <c r="B2091" t="s">
        <v>69</v>
      </c>
      <c r="C2091" t="s">
        <v>59</v>
      </c>
      <c r="D2091" t="s">
        <v>463</v>
      </c>
      <c r="E2091" s="2">
        <v>26</v>
      </c>
      <c r="F2091" s="4">
        <v>7</v>
      </c>
      <c r="G2091" s="2">
        <v>182</v>
      </c>
      <c r="H2091" t="s">
        <v>25</v>
      </c>
      <c r="I2091" t="s">
        <v>36</v>
      </c>
      <c r="J2091" s="1">
        <v>45259</v>
      </c>
      <c r="K2091" t="b">
        <v>0</v>
      </c>
    </row>
    <row r="2092" spans="1:11" x14ac:dyDescent="0.25">
      <c r="A2092" t="s">
        <v>5872</v>
      </c>
      <c r="B2092" t="s">
        <v>77</v>
      </c>
      <c r="C2092" t="s">
        <v>31</v>
      </c>
      <c r="D2092" t="s">
        <v>579</v>
      </c>
      <c r="E2092" s="2">
        <v>26</v>
      </c>
      <c r="F2092" s="4">
        <v>7</v>
      </c>
      <c r="G2092" s="2">
        <v>182</v>
      </c>
      <c r="H2092" t="s">
        <v>45</v>
      </c>
      <c r="I2092" t="s">
        <v>16</v>
      </c>
      <c r="J2092" s="1">
        <v>45550</v>
      </c>
      <c r="K2092" t="b">
        <v>0</v>
      </c>
    </row>
    <row r="2093" spans="1:11" x14ac:dyDescent="0.25">
      <c r="A2093" t="s">
        <v>5818</v>
      </c>
      <c r="B2093" t="s">
        <v>18</v>
      </c>
      <c r="C2093" t="s">
        <v>23</v>
      </c>
      <c r="D2093" t="s">
        <v>853</v>
      </c>
      <c r="E2093" s="2">
        <v>26</v>
      </c>
      <c r="F2093" s="4">
        <v>7</v>
      </c>
      <c r="G2093" s="2">
        <v>182</v>
      </c>
      <c r="H2093" t="s">
        <v>45</v>
      </c>
      <c r="I2093" t="s">
        <v>36</v>
      </c>
      <c r="J2093" s="1">
        <v>44862</v>
      </c>
      <c r="K2093" t="b">
        <v>0</v>
      </c>
    </row>
    <row r="2094" spans="1:11" x14ac:dyDescent="0.25">
      <c r="A2094" t="s">
        <v>3855</v>
      </c>
      <c r="B2094" t="s">
        <v>12</v>
      </c>
      <c r="C2094" t="s">
        <v>27</v>
      </c>
      <c r="D2094" t="s">
        <v>620</v>
      </c>
      <c r="E2094" s="2">
        <v>26</v>
      </c>
      <c r="F2094" s="4">
        <v>7</v>
      </c>
      <c r="G2094" s="2">
        <v>182</v>
      </c>
      <c r="H2094" t="s">
        <v>25</v>
      </c>
      <c r="I2094" t="s">
        <v>36</v>
      </c>
      <c r="J2094" s="1">
        <v>44942</v>
      </c>
      <c r="K2094" t="b">
        <v>1</v>
      </c>
    </row>
    <row r="2095" spans="1:11" x14ac:dyDescent="0.25">
      <c r="A2095" t="s">
        <v>924</v>
      </c>
      <c r="B2095" t="s">
        <v>26</v>
      </c>
      <c r="C2095" t="s">
        <v>23</v>
      </c>
      <c r="D2095" t="s">
        <v>853</v>
      </c>
      <c r="E2095" s="2">
        <v>26</v>
      </c>
      <c r="F2095" s="4">
        <v>7</v>
      </c>
      <c r="G2095" s="2">
        <v>182</v>
      </c>
      <c r="H2095" t="s">
        <v>15</v>
      </c>
      <c r="I2095" t="s">
        <v>16</v>
      </c>
      <c r="J2095" s="1">
        <v>45327</v>
      </c>
      <c r="K2095" t="b">
        <v>0</v>
      </c>
    </row>
    <row r="2096" spans="1:11" x14ac:dyDescent="0.25">
      <c r="A2096" t="s">
        <v>6907</v>
      </c>
      <c r="B2096" t="s">
        <v>104</v>
      </c>
      <c r="C2096" t="s">
        <v>59</v>
      </c>
      <c r="D2096" t="s">
        <v>463</v>
      </c>
      <c r="E2096" s="2">
        <v>26</v>
      </c>
      <c r="F2096" s="4">
        <v>7</v>
      </c>
      <c r="G2096" s="2">
        <v>182</v>
      </c>
      <c r="H2096" t="s">
        <v>15</v>
      </c>
      <c r="I2096" t="s">
        <v>36</v>
      </c>
      <c r="J2096" s="1">
        <v>45410</v>
      </c>
      <c r="K2096" t="b">
        <v>1</v>
      </c>
    </row>
    <row r="2097" spans="1:11" x14ac:dyDescent="0.25">
      <c r="A2097" t="s">
        <v>981</v>
      </c>
      <c r="B2097" t="s">
        <v>61</v>
      </c>
      <c r="C2097" t="s">
        <v>38</v>
      </c>
      <c r="D2097" t="s">
        <v>341</v>
      </c>
      <c r="E2097" s="2">
        <v>26</v>
      </c>
      <c r="F2097" s="4">
        <v>7</v>
      </c>
      <c r="G2097" s="2">
        <v>182</v>
      </c>
      <c r="H2097" t="s">
        <v>15</v>
      </c>
      <c r="I2097" t="s">
        <v>36</v>
      </c>
      <c r="J2097" s="1">
        <v>44986</v>
      </c>
      <c r="K2097" t="b">
        <v>0</v>
      </c>
    </row>
    <row r="2098" spans="1:11" x14ac:dyDescent="0.25">
      <c r="A2098" t="s">
        <v>4307</v>
      </c>
      <c r="B2098" t="s">
        <v>51</v>
      </c>
      <c r="C2098" t="s">
        <v>38</v>
      </c>
      <c r="D2098" t="s">
        <v>341</v>
      </c>
      <c r="E2098" s="2">
        <v>26</v>
      </c>
      <c r="F2098" s="4">
        <v>7</v>
      </c>
      <c r="G2098" s="2">
        <v>182</v>
      </c>
      <c r="H2098" t="s">
        <v>15</v>
      </c>
      <c r="I2098" t="s">
        <v>36</v>
      </c>
      <c r="J2098" s="1">
        <v>45014</v>
      </c>
      <c r="K2098" t="b">
        <v>0</v>
      </c>
    </row>
    <row r="2099" spans="1:11" x14ac:dyDescent="0.25">
      <c r="A2099" t="s">
        <v>3592</v>
      </c>
      <c r="B2099" t="s">
        <v>72</v>
      </c>
      <c r="C2099" t="s">
        <v>13</v>
      </c>
      <c r="D2099" t="s">
        <v>343</v>
      </c>
      <c r="E2099" s="2">
        <v>26</v>
      </c>
      <c r="F2099" s="4">
        <v>7</v>
      </c>
      <c r="G2099" s="2">
        <v>182</v>
      </c>
      <c r="H2099" t="s">
        <v>15</v>
      </c>
      <c r="I2099" t="s">
        <v>16</v>
      </c>
      <c r="J2099" s="1">
        <v>44968</v>
      </c>
      <c r="K2099" t="b">
        <v>1</v>
      </c>
    </row>
    <row r="2100" spans="1:11" x14ac:dyDescent="0.25">
      <c r="A2100" t="s">
        <v>3814</v>
      </c>
      <c r="B2100" t="s">
        <v>72</v>
      </c>
      <c r="C2100" t="s">
        <v>23</v>
      </c>
      <c r="D2100" t="s">
        <v>853</v>
      </c>
      <c r="E2100" s="2">
        <v>26</v>
      </c>
      <c r="F2100" s="4">
        <v>7</v>
      </c>
      <c r="G2100" s="2">
        <v>182</v>
      </c>
      <c r="H2100" t="s">
        <v>15</v>
      </c>
      <c r="I2100" t="s">
        <v>16</v>
      </c>
      <c r="J2100" s="1">
        <v>44782</v>
      </c>
      <c r="K2100" t="b">
        <v>0</v>
      </c>
    </row>
    <row r="2101" spans="1:11" x14ac:dyDescent="0.25">
      <c r="A2101" t="s">
        <v>7376</v>
      </c>
      <c r="B2101" t="s">
        <v>66</v>
      </c>
      <c r="C2101" t="s">
        <v>23</v>
      </c>
      <c r="D2101" t="s">
        <v>853</v>
      </c>
      <c r="E2101" s="2">
        <v>26</v>
      </c>
      <c r="F2101" s="4">
        <v>7</v>
      </c>
      <c r="G2101" s="2">
        <v>182</v>
      </c>
      <c r="H2101" t="s">
        <v>25</v>
      </c>
      <c r="I2101" t="s">
        <v>36</v>
      </c>
      <c r="J2101" s="1">
        <v>44970</v>
      </c>
      <c r="K2101" t="b">
        <v>1</v>
      </c>
    </row>
    <row r="2102" spans="1:11" x14ac:dyDescent="0.25">
      <c r="A2102" t="s">
        <v>7375</v>
      </c>
      <c r="B2102" t="s">
        <v>30</v>
      </c>
      <c r="C2102" t="s">
        <v>31</v>
      </c>
      <c r="D2102" t="s">
        <v>82</v>
      </c>
      <c r="E2102" s="2">
        <v>20</v>
      </c>
      <c r="F2102" s="4">
        <v>9</v>
      </c>
      <c r="G2102" s="2">
        <v>180</v>
      </c>
      <c r="H2102" t="s">
        <v>25</v>
      </c>
      <c r="I2102" t="s">
        <v>36</v>
      </c>
      <c r="J2102" s="1">
        <v>45522</v>
      </c>
      <c r="K2102" t="b">
        <v>0</v>
      </c>
    </row>
    <row r="2103" spans="1:11" x14ac:dyDescent="0.25">
      <c r="A2103" t="s">
        <v>132</v>
      </c>
      <c r="B2103" t="s">
        <v>104</v>
      </c>
      <c r="C2103" t="s">
        <v>13</v>
      </c>
      <c r="D2103" t="s">
        <v>113</v>
      </c>
      <c r="E2103" s="2">
        <v>20</v>
      </c>
      <c r="F2103" s="4">
        <v>9</v>
      </c>
      <c r="G2103" s="2">
        <v>180</v>
      </c>
      <c r="H2103" t="s">
        <v>25</v>
      </c>
      <c r="I2103" t="s">
        <v>36</v>
      </c>
      <c r="J2103" s="1">
        <v>45064</v>
      </c>
      <c r="K2103" t="b">
        <v>1</v>
      </c>
    </row>
    <row r="2104" spans="1:11" x14ac:dyDescent="0.25">
      <c r="A2104" t="s">
        <v>4475</v>
      </c>
      <c r="B2104" t="s">
        <v>30</v>
      </c>
      <c r="C2104" t="s">
        <v>19</v>
      </c>
      <c r="D2104" t="s">
        <v>228</v>
      </c>
      <c r="E2104" s="2">
        <v>20</v>
      </c>
      <c r="F2104" s="4">
        <v>9</v>
      </c>
      <c r="G2104" s="2">
        <v>180</v>
      </c>
      <c r="H2104" t="s">
        <v>15</v>
      </c>
      <c r="I2104" t="s">
        <v>16</v>
      </c>
      <c r="J2104" s="1">
        <v>44825</v>
      </c>
      <c r="K2104" t="b">
        <v>1</v>
      </c>
    </row>
    <row r="2105" spans="1:11" x14ac:dyDescent="0.25">
      <c r="A2105" t="s">
        <v>3733</v>
      </c>
      <c r="B2105" t="s">
        <v>85</v>
      </c>
      <c r="C2105" t="s">
        <v>38</v>
      </c>
      <c r="D2105" t="s">
        <v>159</v>
      </c>
      <c r="E2105" s="2">
        <v>20</v>
      </c>
      <c r="F2105" s="4">
        <v>9</v>
      </c>
      <c r="G2105" s="2">
        <v>180</v>
      </c>
      <c r="H2105" t="s">
        <v>15</v>
      </c>
      <c r="I2105" t="s">
        <v>36</v>
      </c>
      <c r="J2105" s="1">
        <v>45035</v>
      </c>
      <c r="K2105" t="b">
        <v>1</v>
      </c>
    </row>
    <row r="2106" spans="1:11" x14ac:dyDescent="0.25">
      <c r="A2106" t="s">
        <v>823</v>
      </c>
      <c r="B2106" t="s">
        <v>56</v>
      </c>
      <c r="C2106" t="s">
        <v>23</v>
      </c>
      <c r="D2106" t="s">
        <v>666</v>
      </c>
      <c r="E2106" s="2">
        <v>20</v>
      </c>
      <c r="F2106" s="4">
        <v>9</v>
      </c>
      <c r="G2106" s="2">
        <v>180</v>
      </c>
      <c r="H2106" t="s">
        <v>15</v>
      </c>
      <c r="I2106" t="s">
        <v>36</v>
      </c>
      <c r="J2106" s="1">
        <v>45278</v>
      </c>
      <c r="K2106" t="b">
        <v>1</v>
      </c>
    </row>
    <row r="2107" spans="1:11" x14ac:dyDescent="0.25">
      <c r="A2107" t="s">
        <v>1432</v>
      </c>
      <c r="B2107" t="s">
        <v>37</v>
      </c>
      <c r="C2107" t="s">
        <v>31</v>
      </c>
      <c r="D2107" t="s">
        <v>82</v>
      </c>
      <c r="E2107" s="2">
        <v>20</v>
      </c>
      <c r="F2107" s="4">
        <v>9</v>
      </c>
      <c r="G2107" s="2">
        <v>180</v>
      </c>
      <c r="H2107" t="s">
        <v>25</v>
      </c>
      <c r="I2107" t="s">
        <v>16</v>
      </c>
      <c r="J2107" s="1">
        <v>45527</v>
      </c>
      <c r="K2107" t="b">
        <v>0</v>
      </c>
    </row>
    <row r="2108" spans="1:11" x14ac:dyDescent="0.25">
      <c r="A2108" t="s">
        <v>6917</v>
      </c>
      <c r="B2108" t="s">
        <v>34</v>
      </c>
      <c r="C2108" t="s">
        <v>27</v>
      </c>
      <c r="D2108" t="s">
        <v>95</v>
      </c>
      <c r="E2108" s="2">
        <v>20</v>
      </c>
      <c r="F2108" s="4">
        <v>9</v>
      </c>
      <c r="G2108" s="2">
        <v>180</v>
      </c>
      <c r="H2108" t="s">
        <v>25</v>
      </c>
      <c r="I2108" t="s">
        <v>16</v>
      </c>
      <c r="J2108" s="1">
        <v>45102</v>
      </c>
      <c r="K2108" t="b">
        <v>0</v>
      </c>
    </row>
    <row r="2109" spans="1:11" x14ac:dyDescent="0.25">
      <c r="A2109" t="s">
        <v>5411</v>
      </c>
      <c r="B2109" t="s">
        <v>72</v>
      </c>
      <c r="C2109" t="s">
        <v>59</v>
      </c>
      <c r="D2109" t="s">
        <v>365</v>
      </c>
      <c r="E2109" s="2">
        <v>20</v>
      </c>
      <c r="F2109" s="4">
        <v>9</v>
      </c>
      <c r="G2109" s="2">
        <v>180</v>
      </c>
      <c r="H2109" t="s">
        <v>15</v>
      </c>
      <c r="I2109" t="s">
        <v>16</v>
      </c>
      <c r="J2109" s="1">
        <v>44606</v>
      </c>
      <c r="K2109" t="b">
        <v>1</v>
      </c>
    </row>
    <row r="2110" spans="1:11" x14ac:dyDescent="0.25">
      <c r="A2110" t="s">
        <v>5854</v>
      </c>
      <c r="B2110" t="s">
        <v>100</v>
      </c>
      <c r="C2110" t="s">
        <v>19</v>
      </c>
      <c r="D2110" t="s">
        <v>228</v>
      </c>
      <c r="E2110" s="2">
        <v>20</v>
      </c>
      <c r="F2110" s="4">
        <v>9</v>
      </c>
      <c r="G2110" s="2">
        <v>180</v>
      </c>
      <c r="H2110" t="s">
        <v>45</v>
      </c>
      <c r="I2110" t="s">
        <v>36</v>
      </c>
      <c r="J2110" s="1">
        <v>44903</v>
      </c>
      <c r="K2110" t="b">
        <v>0</v>
      </c>
    </row>
    <row r="2111" spans="1:11" x14ac:dyDescent="0.25">
      <c r="A2111" t="s">
        <v>7810</v>
      </c>
      <c r="B2111" t="s">
        <v>26</v>
      </c>
      <c r="C2111" t="s">
        <v>38</v>
      </c>
      <c r="D2111" t="s">
        <v>159</v>
      </c>
      <c r="E2111" s="2">
        <v>20</v>
      </c>
      <c r="F2111" s="4">
        <v>9</v>
      </c>
      <c r="G2111" s="2">
        <v>180</v>
      </c>
      <c r="H2111" t="s">
        <v>25</v>
      </c>
      <c r="I2111" t="s">
        <v>36</v>
      </c>
      <c r="J2111" s="1">
        <v>44582</v>
      </c>
      <c r="K2111" t="b">
        <v>0</v>
      </c>
    </row>
    <row r="2112" spans="1:11" x14ac:dyDescent="0.25">
      <c r="A2112" t="s">
        <v>3974</v>
      </c>
      <c r="B2112" t="s">
        <v>72</v>
      </c>
      <c r="C2112" t="s">
        <v>38</v>
      </c>
      <c r="D2112" t="s">
        <v>159</v>
      </c>
      <c r="E2112" s="2">
        <v>20</v>
      </c>
      <c r="F2112" s="4">
        <v>9</v>
      </c>
      <c r="G2112" s="2">
        <v>180</v>
      </c>
      <c r="H2112" t="s">
        <v>15</v>
      </c>
      <c r="I2112" t="s">
        <v>36</v>
      </c>
      <c r="J2112" s="1">
        <v>45120</v>
      </c>
      <c r="K2112" t="b">
        <v>0</v>
      </c>
    </row>
    <row r="2113" spans="1:11" x14ac:dyDescent="0.25">
      <c r="A2113" t="s">
        <v>6506</v>
      </c>
      <c r="B2113" t="s">
        <v>58</v>
      </c>
      <c r="C2113" t="s">
        <v>110</v>
      </c>
      <c r="D2113" t="s">
        <v>263</v>
      </c>
      <c r="E2113" s="2">
        <v>20</v>
      </c>
      <c r="F2113" s="4">
        <v>9</v>
      </c>
      <c r="G2113" s="2">
        <v>180</v>
      </c>
      <c r="H2113" t="s">
        <v>25</v>
      </c>
      <c r="I2113" t="s">
        <v>36</v>
      </c>
      <c r="J2113" s="1">
        <v>44733</v>
      </c>
      <c r="K2113" t="b">
        <v>1</v>
      </c>
    </row>
    <row r="2114" spans="1:11" x14ac:dyDescent="0.25">
      <c r="A2114" t="s">
        <v>5273</v>
      </c>
      <c r="B2114" t="s">
        <v>85</v>
      </c>
      <c r="C2114" t="s">
        <v>27</v>
      </c>
      <c r="D2114" t="s">
        <v>95</v>
      </c>
      <c r="E2114" s="2">
        <v>20</v>
      </c>
      <c r="F2114" s="4">
        <v>9</v>
      </c>
      <c r="G2114" s="2">
        <v>180</v>
      </c>
      <c r="H2114" t="s">
        <v>15</v>
      </c>
      <c r="I2114" t="s">
        <v>36</v>
      </c>
      <c r="J2114" s="1">
        <v>45431</v>
      </c>
      <c r="K2114" t="b">
        <v>0</v>
      </c>
    </row>
    <row r="2115" spans="1:11" x14ac:dyDescent="0.25">
      <c r="A2115" t="s">
        <v>663</v>
      </c>
      <c r="B2115" t="s">
        <v>85</v>
      </c>
      <c r="C2115" t="s">
        <v>38</v>
      </c>
      <c r="D2115" t="s">
        <v>159</v>
      </c>
      <c r="E2115" s="2">
        <v>20</v>
      </c>
      <c r="F2115" s="4">
        <v>9</v>
      </c>
      <c r="G2115" s="2">
        <v>180</v>
      </c>
      <c r="H2115" t="s">
        <v>45</v>
      </c>
      <c r="I2115" t="s">
        <v>36</v>
      </c>
      <c r="J2115" s="1">
        <v>45139</v>
      </c>
      <c r="K2115" t="b">
        <v>0</v>
      </c>
    </row>
    <row r="2116" spans="1:11" x14ac:dyDescent="0.25">
      <c r="A2116" t="s">
        <v>4117</v>
      </c>
      <c r="B2116" t="s">
        <v>77</v>
      </c>
      <c r="C2116" t="s">
        <v>23</v>
      </c>
      <c r="D2116" t="s">
        <v>666</v>
      </c>
      <c r="E2116" s="2">
        <v>20</v>
      </c>
      <c r="F2116" s="4">
        <v>9</v>
      </c>
      <c r="G2116" s="2">
        <v>180</v>
      </c>
      <c r="H2116" t="s">
        <v>25</v>
      </c>
      <c r="I2116" t="s">
        <v>36</v>
      </c>
      <c r="J2116" s="1">
        <v>45304</v>
      </c>
      <c r="K2116" t="b">
        <v>0</v>
      </c>
    </row>
    <row r="2117" spans="1:11" x14ac:dyDescent="0.25">
      <c r="A2117" t="s">
        <v>6339</v>
      </c>
      <c r="B2117" t="s">
        <v>100</v>
      </c>
      <c r="C2117" t="s">
        <v>13</v>
      </c>
      <c r="D2117" t="s">
        <v>113</v>
      </c>
      <c r="E2117" s="2">
        <v>20</v>
      </c>
      <c r="F2117" s="4">
        <v>9</v>
      </c>
      <c r="G2117" s="2">
        <v>180</v>
      </c>
      <c r="H2117" t="s">
        <v>25</v>
      </c>
      <c r="I2117" t="s">
        <v>36</v>
      </c>
      <c r="J2117" s="1">
        <v>44824</v>
      </c>
      <c r="K2117" t="b">
        <v>1</v>
      </c>
    </row>
    <row r="2118" spans="1:11" x14ac:dyDescent="0.25">
      <c r="A2118" t="s">
        <v>5098</v>
      </c>
      <c r="B2118" t="s">
        <v>97</v>
      </c>
      <c r="C2118" t="s">
        <v>38</v>
      </c>
      <c r="D2118" t="s">
        <v>159</v>
      </c>
      <c r="E2118" s="2">
        <v>20</v>
      </c>
      <c r="F2118" s="4">
        <v>9</v>
      </c>
      <c r="G2118" s="2">
        <v>180</v>
      </c>
      <c r="H2118" t="s">
        <v>45</v>
      </c>
      <c r="I2118" t="s">
        <v>16</v>
      </c>
      <c r="J2118" s="1">
        <v>45198</v>
      </c>
      <c r="K2118" t="b">
        <v>1</v>
      </c>
    </row>
    <row r="2119" spans="1:11" x14ac:dyDescent="0.25">
      <c r="A2119" t="s">
        <v>798</v>
      </c>
      <c r="B2119" t="s">
        <v>37</v>
      </c>
      <c r="C2119" t="s">
        <v>59</v>
      </c>
      <c r="D2119" t="s">
        <v>365</v>
      </c>
      <c r="E2119" s="2">
        <v>20</v>
      </c>
      <c r="F2119" s="4">
        <v>9</v>
      </c>
      <c r="G2119" s="2">
        <v>180</v>
      </c>
      <c r="H2119" t="s">
        <v>45</v>
      </c>
      <c r="I2119" t="s">
        <v>36</v>
      </c>
      <c r="J2119" s="1">
        <v>44949</v>
      </c>
      <c r="K2119" t="b">
        <v>0</v>
      </c>
    </row>
    <row r="2120" spans="1:11" x14ac:dyDescent="0.25">
      <c r="A2120" t="s">
        <v>1028</v>
      </c>
      <c r="B2120" t="s">
        <v>18</v>
      </c>
      <c r="C2120" t="s">
        <v>110</v>
      </c>
      <c r="D2120" t="s">
        <v>263</v>
      </c>
      <c r="E2120" s="2">
        <v>20</v>
      </c>
      <c r="F2120" s="4">
        <v>9</v>
      </c>
      <c r="G2120" s="2">
        <v>180</v>
      </c>
      <c r="H2120" t="s">
        <v>45</v>
      </c>
      <c r="I2120" t="s">
        <v>36</v>
      </c>
      <c r="J2120" s="1">
        <v>45503</v>
      </c>
      <c r="K2120" t="b">
        <v>1</v>
      </c>
    </row>
    <row r="2121" spans="1:11" x14ac:dyDescent="0.25">
      <c r="A2121" t="s">
        <v>6786</v>
      </c>
      <c r="B2121" t="s">
        <v>56</v>
      </c>
      <c r="C2121" t="s">
        <v>19</v>
      </c>
      <c r="D2121" t="s">
        <v>228</v>
      </c>
      <c r="E2121" s="2">
        <v>20</v>
      </c>
      <c r="F2121" s="4">
        <v>9</v>
      </c>
      <c r="G2121" s="2">
        <v>180</v>
      </c>
      <c r="H2121" t="s">
        <v>25</v>
      </c>
      <c r="I2121" t="s">
        <v>36</v>
      </c>
      <c r="J2121" s="1">
        <v>45564</v>
      </c>
      <c r="K2121" t="b">
        <v>0</v>
      </c>
    </row>
    <row r="2122" spans="1:11" x14ac:dyDescent="0.25">
      <c r="A2122" t="s">
        <v>7717</v>
      </c>
      <c r="B2122" t="s">
        <v>56</v>
      </c>
      <c r="C2122" t="s">
        <v>27</v>
      </c>
      <c r="D2122" t="s">
        <v>95</v>
      </c>
      <c r="E2122" s="2">
        <v>20</v>
      </c>
      <c r="F2122" s="4">
        <v>9</v>
      </c>
      <c r="G2122" s="2">
        <v>180</v>
      </c>
      <c r="H2122" t="s">
        <v>25</v>
      </c>
      <c r="I2122" t="s">
        <v>16</v>
      </c>
      <c r="J2122" s="1">
        <v>44877</v>
      </c>
      <c r="K2122" t="b">
        <v>1</v>
      </c>
    </row>
    <row r="2123" spans="1:11" x14ac:dyDescent="0.25">
      <c r="A2123" t="s">
        <v>3870</v>
      </c>
      <c r="B2123" t="s">
        <v>58</v>
      </c>
      <c r="C2123" t="s">
        <v>19</v>
      </c>
      <c r="D2123" t="s">
        <v>228</v>
      </c>
      <c r="E2123" s="2">
        <v>20</v>
      </c>
      <c r="F2123" s="4">
        <v>9</v>
      </c>
      <c r="G2123" s="2">
        <v>180</v>
      </c>
      <c r="H2123" t="s">
        <v>25</v>
      </c>
      <c r="I2123" t="s">
        <v>36</v>
      </c>
      <c r="J2123" s="1">
        <v>44858</v>
      </c>
      <c r="K2123" t="b">
        <v>0</v>
      </c>
    </row>
    <row r="2124" spans="1:11" x14ac:dyDescent="0.25">
      <c r="A2124" t="s">
        <v>7545</v>
      </c>
      <c r="B2124" t="s">
        <v>34</v>
      </c>
      <c r="C2124" t="s">
        <v>23</v>
      </c>
      <c r="D2124" t="s">
        <v>666</v>
      </c>
      <c r="E2124" s="2">
        <v>20</v>
      </c>
      <c r="F2124" s="4">
        <v>9</v>
      </c>
      <c r="G2124" s="2">
        <v>180</v>
      </c>
      <c r="H2124" t="s">
        <v>15</v>
      </c>
      <c r="I2124" t="s">
        <v>36</v>
      </c>
      <c r="J2124" s="1">
        <v>44758</v>
      </c>
      <c r="K2124" t="b">
        <v>0</v>
      </c>
    </row>
    <row r="2125" spans="1:11" x14ac:dyDescent="0.25">
      <c r="A2125" t="s">
        <v>4929</v>
      </c>
      <c r="B2125" t="s">
        <v>104</v>
      </c>
      <c r="C2125" t="s">
        <v>19</v>
      </c>
      <c r="D2125" t="s">
        <v>228</v>
      </c>
      <c r="E2125" s="2">
        <v>20</v>
      </c>
      <c r="F2125" s="4">
        <v>9</v>
      </c>
      <c r="G2125" s="2">
        <v>180</v>
      </c>
      <c r="H2125" t="s">
        <v>45</v>
      </c>
      <c r="I2125" t="s">
        <v>16</v>
      </c>
      <c r="J2125" s="1">
        <v>45623</v>
      </c>
      <c r="K2125" t="b">
        <v>0</v>
      </c>
    </row>
    <row r="2126" spans="1:11" x14ac:dyDescent="0.25">
      <c r="A2126" t="s">
        <v>4069</v>
      </c>
      <c r="B2126" t="s">
        <v>142</v>
      </c>
      <c r="C2126" t="s">
        <v>59</v>
      </c>
      <c r="D2126" t="s">
        <v>365</v>
      </c>
      <c r="E2126" s="2">
        <v>20</v>
      </c>
      <c r="F2126" s="4">
        <v>9</v>
      </c>
      <c r="G2126" s="2">
        <v>180</v>
      </c>
      <c r="H2126" t="s">
        <v>15</v>
      </c>
      <c r="I2126" t="s">
        <v>16</v>
      </c>
      <c r="J2126" s="1">
        <v>44822</v>
      </c>
      <c r="K2126" t="b">
        <v>0</v>
      </c>
    </row>
    <row r="2127" spans="1:11" x14ac:dyDescent="0.25">
      <c r="A2127" t="s">
        <v>6838</v>
      </c>
      <c r="B2127" t="s">
        <v>93</v>
      </c>
      <c r="C2127" t="s">
        <v>13</v>
      </c>
      <c r="D2127" t="s">
        <v>113</v>
      </c>
      <c r="E2127" s="2">
        <v>20</v>
      </c>
      <c r="F2127" s="4">
        <v>9</v>
      </c>
      <c r="G2127" s="2">
        <v>180</v>
      </c>
      <c r="H2127" t="s">
        <v>15</v>
      </c>
      <c r="I2127" t="s">
        <v>36</v>
      </c>
      <c r="J2127" s="1">
        <v>44951</v>
      </c>
      <c r="K2127" t="b">
        <v>0</v>
      </c>
    </row>
    <row r="2128" spans="1:11" x14ac:dyDescent="0.25">
      <c r="A2128" t="s">
        <v>7111</v>
      </c>
      <c r="B2128" t="s">
        <v>104</v>
      </c>
      <c r="C2128" t="s">
        <v>110</v>
      </c>
      <c r="D2128" t="s">
        <v>263</v>
      </c>
      <c r="E2128" s="2">
        <v>20</v>
      </c>
      <c r="F2128" s="4">
        <v>9</v>
      </c>
      <c r="G2128" s="2">
        <v>180</v>
      </c>
      <c r="H2128" t="s">
        <v>25</v>
      </c>
      <c r="I2128" t="s">
        <v>16</v>
      </c>
      <c r="J2128" s="1">
        <v>44780</v>
      </c>
      <c r="K2128" t="b">
        <v>1</v>
      </c>
    </row>
    <row r="2129" spans="1:11" x14ac:dyDescent="0.25">
      <c r="A2129" t="s">
        <v>2034</v>
      </c>
      <c r="B2129" t="s">
        <v>43</v>
      </c>
      <c r="C2129" t="s">
        <v>13</v>
      </c>
      <c r="D2129" t="s">
        <v>113</v>
      </c>
      <c r="E2129" s="2">
        <v>20</v>
      </c>
      <c r="F2129" s="4">
        <v>9</v>
      </c>
      <c r="G2129" s="2">
        <v>180</v>
      </c>
      <c r="H2129" t="s">
        <v>25</v>
      </c>
      <c r="I2129" t="s">
        <v>16</v>
      </c>
      <c r="J2129" s="1">
        <v>45318</v>
      </c>
      <c r="K2129" t="b">
        <v>1</v>
      </c>
    </row>
    <row r="2130" spans="1:11" x14ac:dyDescent="0.25">
      <c r="A2130" t="s">
        <v>1753</v>
      </c>
      <c r="B2130" t="s">
        <v>142</v>
      </c>
      <c r="C2130" t="s">
        <v>13</v>
      </c>
      <c r="D2130" t="s">
        <v>113</v>
      </c>
      <c r="E2130" s="2">
        <v>20</v>
      </c>
      <c r="F2130" s="4">
        <v>9</v>
      </c>
      <c r="G2130" s="2">
        <v>180</v>
      </c>
      <c r="H2130" t="s">
        <v>15</v>
      </c>
      <c r="I2130" t="s">
        <v>16</v>
      </c>
      <c r="J2130" s="1">
        <v>45562</v>
      </c>
      <c r="K2130" t="b">
        <v>1</v>
      </c>
    </row>
    <row r="2131" spans="1:11" x14ac:dyDescent="0.25">
      <c r="A2131" t="s">
        <v>5744</v>
      </c>
      <c r="B2131" t="s">
        <v>40</v>
      </c>
      <c r="C2131" t="s">
        <v>59</v>
      </c>
      <c r="D2131" t="s">
        <v>365</v>
      </c>
      <c r="E2131" s="2">
        <v>20</v>
      </c>
      <c r="F2131" s="4">
        <v>9</v>
      </c>
      <c r="G2131" s="2">
        <v>180</v>
      </c>
      <c r="H2131" t="s">
        <v>15</v>
      </c>
      <c r="I2131" t="s">
        <v>36</v>
      </c>
      <c r="J2131" s="1">
        <v>44786</v>
      </c>
      <c r="K2131" t="b">
        <v>1</v>
      </c>
    </row>
    <row r="2132" spans="1:11" x14ac:dyDescent="0.25">
      <c r="A2132" t="s">
        <v>6967</v>
      </c>
      <c r="B2132" t="s">
        <v>66</v>
      </c>
      <c r="C2132" t="s">
        <v>38</v>
      </c>
      <c r="D2132" t="s">
        <v>159</v>
      </c>
      <c r="E2132" s="2">
        <v>20</v>
      </c>
      <c r="F2132" s="4">
        <v>9</v>
      </c>
      <c r="G2132" s="2">
        <v>180</v>
      </c>
      <c r="H2132" t="s">
        <v>45</v>
      </c>
      <c r="I2132" t="s">
        <v>36</v>
      </c>
      <c r="J2132" s="1">
        <v>44653</v>
      </c>
      <c r="K2132" t="b">
        <v>0</v>
      </c>
    </row>
    <row r="2133" spans="1:11" x14ac:dyDescent="0.25">
      <c r="A2133" t="s">
        <v>6733</v>
      </c>
      <c r="B2133" t="s">
        <v>58</v>
      </c>
      <c r="C2133" t="s">
        <v>19</v>
      </c>
      <c r="D2133" t="s">
        <v>228</v>
      </c>
      <c r="E2133" s="2">
        <v>20</v>
      </c>
      <c r="F2133" s="4">
        <v>9</v>
      </c>
      <c r="G2133" s="2">
        <v>180</v>
      </c>
      <c r="H2133" t="s">
        <v>45</v>
      </c>
      <c r="I2133" t="s">
        <v>36</v>
      </c>
      <c r="J2133" s="1">
        <v>45200</v>
      </c>
      <c r="K2133" t="b">
        <v>0</v>
      </c>
    </row>
    <row r="2134" spans="1:11" x14ac:dyDescent="0.25">
      <c r="A2134" t="s">
        <v>5846</v>
      </c>
      <c r="B2134" t="s">
        <v>85</v>
      </c>
      <c r="C2134" t="s">
        <v>38</v>
      </c>
      <c r="D2134" t="s">
        <v>159</v>
      </c>
      <c r="E2134" s="2">
        <v>20</v>
      </c>
      <c r="F2134" s="4">
        <v>9</v>
      </c>
      <c r="G2134" s="2">
        <v>180</v>
      </c>
      <c r="H2134" t="s">
        <v>25</v>
      </c>
      <c r="I2134" t="s">
        <v>16</v>
      </c>
      <c r="J2134" s="1">
        <v>45181</v>
      </c>
      <c r="K2134" t="b">
        <v>1</v>
      </c>
    </row>
    <row r="2135" spans="1:11" x14ac:dyDescent="0.25">
      <c r="A2135" t="s">
        <v>1000</v>
      </c>
      <c r="B2135" t="s">
        <v>104</v>
      </c>
      <c r="C2135" t="s">
        <v>27</v>
      </c>
      <c r="D2135" t="s">
        <v>95</v>
      </c>
      <c r="E2135" s="2">
        <v>20</v>
      </c>
      <c r="F2135" s="4">
        <v>9</v>
      </c>
      <c r="G2135" s="2">
        <v>180</v>
      </c>
      <c r="H2135" t="s">
        <v>45</v>
      </c>
      <c r="I2135" t="s">
        <v>36</v>
      </c>
      <c r="J2135" s="1">
        <v>45304</v>
      </c>
      <c r="K2135" t="b">
        <v>0</v>
      </c>
    </row>
    <row r="2136" spans="1:11" x14ac:dyDescent="0.25">
      <c r="A2136" t="s">
        <v>262</v>
      </c>
      <c r="B2136" t="s">
        <v>34</v>
      </c>
      <c r="C2136" t="s">
        <v>110</v>
      </c>
      <c r="D2136" t="s">
        <v>263</v>
      </c>
      <c r="E2136" s="2">
        <v>20</v>
      </c>
      <c r="F2136" s="4">
        <v>9</v>
      </c>
      <c r="G2136" s="2">
        <v>180</v>
      </c>
      <c r="H2136" t="s">
        <v>15</v>
      </c>
      <c r="I2136" t="s">
        <v>36</v>
      </c>
      <c r="J2136" s="1">
        <v>44932</v>
      </c>
      <c r="K2136" t="b">
        <v>1</v>
      </c>
    </row>
    <row r="2137" spans="1:11" x14ac:dyDescent="0.25">
      <c r="A2137" t="s">
        <v>6291</v>
      </c>
      <c r="B2137" t="s">
        <v>37</v>
      </c>
      <c r="C2137" t="s">
        <v>31</v>
      </c>
      <c r="D2137" t="s">
        <v>82</v>
      </c>
      <c r="E2137" s="2">
        <v>20</v>
      </c>
      <c r="F2137" s="4">
        <v>9</v>
      </c>
      <c r="G2137" s="2">
        <v>180</v>
      </c>
      <c r="H2137" t="s">
        <v>15</v>
      </c>
      <c r="I2137" t="s">
        <v>16</v>
      </c>
      <c r="J2137" s="1">
        <v>45434</v>
      </c>
      <c r="K2137" t="b">
        <v>0</v>
      </c>
    </row>
    <row r="2138" spans="1:11" x14ac:dyDescent="0.25">
      <c r="A2138" t="s">
        <v>5513</v>
      </c>
      <c r="B2138" t="s">
        <v>51</v>
      </c>
      <c r="C2138" t="s">
        <v>27</v>
      </c>
      <c r="D2138" t="s">
        <v>240</v>
      </c>
      <c r="E2138" s="2">
        <v>35</v>
      </c>
      <c r="F2138" s="4">
        <v>5</v>
      </c>
      <c r="G2138" s="2">
        <v>175</v>
      </c>
      <c r="H2138" t="s">
        <v>45</v>
      </c>
      <c r="I2138" t="s">
        <v>36</v>
      </c>
      <c r="J2138" s="1">
        <v>44837</v>
      </c>
      <c r="K2138" t="b">
        <v>0</v>
      </c>
    </row>
    <row r="2139" spans="1:11" x14ac:dyDescent="0.25">
      <c r="A2139" t="s">
        <v>1063</v>
      </c>
      <c r="B2139" t="s">
        <v>18</v>
      </c>
      <c r="C2139" t="s">
        <v>27</v>
      </c>
      <c r="D2139" t="s">
        <v>240</v>
      </c>
      <c r="E2139" s="2">
        <v>35</v>
      </c>
      <c r="F2139" s="4">
        <v>5</v>
      </c>
      <c r="G2139" s="2">
        <v>175</v>
      </c>
      <c r="H2139" t="s">
        <v>45</v>
      </c>
      <c r="I2139" t="s">
        <v>16</v>
      </c>
      <c r="J2139" s="1">
        <v>45065</v>
      </c>
      <c r="K2139" t="b">
        <v>0</v>
      </c>
    </row>
    <row r="2140" spans="1:11" x14ac:dyDescent="0.25">
      <c r="A2140" t="s">
        <v>4029</v>
      </c>
      <c r="B2140" t="s">
        <v>97</v>
      </c>
      <c r="C2140" t="s">
        <v>31</v>
      </c>
      <c r="D2140" t="s">
        <v>905</v>
      </c>
      <c r="E2140" s="2">
        <v>35</v>
      </c>
      <c r="F2140" s="4">
        <v>5</v>
      </c>
      <c r="G2140" s="2">
        <v>175</v>
      </c>
      <c r="H2140" t="s">
        <v>25</v>
      </c>
      <c r="I2140" t="s">
        <v>16</v>
      </c>
      <c r="J2140" s="1">
        <v>45117</v>
      </c>
      <c r="K2140" t="b">
        <v>0</v>
      </c>
    </row>
    <row r="2141" spans="1:11" x14ac:dyDescent="0.25">
      <c r="A2141" t="s">
        <v>4583</v>
      </c>
      <c r="B2141" t="s">
        <v>56</v>
      </c>
      <c r="C2141" t="s">
        <v>110</v>
      </c>
      <c r="D2141" t="s">
        <v>197</v>
      </c>
      <c r="E2141" s="2">
        <v>35</v>
      </c>
      <c r="F2141" s="4">
        <v>5</v>
      </c>
      <c r="G2141" s="2">
        <v>175</v>
      </c>
      <c r="H2141" t="s">
        <v>25</v>
      </c>
      <c r="I2141" t="s">
        <v>16</v>
      </c>
      <c r="J2141" s="1">
        <v>45579</v>
      </c>
      <c r="K2141" t="b">
        <v>0</v>
      </c>
    </row>
    <row r="2142" spans="1:11" x14ac:dyDescent="0.25">
      <c r="A2142" t="s">
        <v>2795</v>
      </c>
      <c r="B2142" t="s">
        <v>34</v>
      </c>
      <c r="C2142" t="s">
        <v>23</v>
      </c>
      <c r="D2142" t="s">
        <v>179</v>
      </c>
      <c r="E2142" s="2">
        <v>35</v>
      </c>
      <c r="F2142" s="4">
        <v>5</v>
      </c>
      <c r="G2142" s="2">
        <v>175</v>
      </c>
      <c r="H2142" t="s">
        <v>15</v>
      </c>
      <c r="I2142" t="s">
        <v>36</v>
      </c>
      <c r="J2142" s="1">
        <v>45224</v>
      </c>
      <c r="K2142" t="b">
        <v>1</v>
      </c>
    </row>
    <row r="2143" spans="1:11" x14ac:dyDescent="0.25">
      <c r="A2143" t="s">
        <v>4014</v>
      </c>
      <c r="B2143" t="s">
        <v>77</v>
      </c>
      <c r="C2143" t="s">
        <v>38</v>
      </c>
      <c r="D2143" t="s">
        <v>163</v>
      </c>
      <c r="E2143" s="2">
        <v>35</v>
      </c>
      <c r="F2143" s="4">
        <v>5</v>
      </c>
      <c r="G2143" s="2">
        <v>175</v>
      </c>
      <c r="H2143" t="s">
        <v>15</v>
      </c>
      <c r="I2143" t="s">
        <v>16</v>
      </c>
      <c r="J2143" s="1">
        <v>45200</v>
      </c>
      <c r="K2143" t="b">
        <v>0</v>
      </c>
    </row>
    <row r="2144" spans="1:11" x14ac:dyDescent="0.25">
      <c r="A2144" t="s">
        <v>7603</v>
      </c>
      <c r="B2144" t="s">
        <v>85</v>
      </c>
      <c r="C2144" t="s">
        <v>13</v>
      </c>
      <c r="D2144" t="s">
        <v>893</v>
      </c>
      <c r="E2144" s="2">
        <v>35</v>
      </c>
      <c r="F2144" s="4">
        <v>5</v>
      </c>
      <c r="G2144" s="2">
        <v>175</v>
      </c>
      <c r="H2144" t="s">
        <v>45</v>
      </c>
      <c r="I2144" t="s">
        <v>36</v>
      </c>
      <c r="J2144" s="1">
        <v>45647</v>
      </c>
      <c r="K2144" t="b">
        <v>1</v>
      </c>
    </row>
    <row r="2145" spans="1:11" x14ac:dyDescent="0.25">
      <c r="A2145" t="s">
        <v>7038</v>
      </c>
      <c r="B2145" t="s">
        <v>66</v>
      </c>
      <c r="C2145" t="s">
        <v>38</v>
      </c>
      <c r="D2145" t="s">
        <v>163</v>
      </c>
      <c r="E2145" s="2">
        <v>35</v>
      </c>
      <c r="F2145" s="4">
        <v>5</v>
      </c>
      <c r="G2145" s="2">
        <v>175</v>
      </c>
      <c r="H2145" t="s">
        <v>15</v>
      </c>
      <c r="I2145" t="s">
        <v>36</v>
      </c>
      <c r="J2145" s="1">
        <v>45465</v>
      </c>
      <c r="K2145" t="b">
        <v>1</v>
      </c>
    </row>
    <row r="2146" spans="1:11" x14ac:dyDescent="0.25">
      <c r="A2146" t="s">
        <v>615</v>
      </c>
      <c r="B2146" t="s">
        <v>142</v>
      </c>
      <c r="C2146" t="s">
        <v>23</v>
      </c>
      <c r="D2146" t="s">
        <v>179</v>
      </c>
      <c r="E2146" s="2">
        <v>35</v>
      </c>
      <c r="F2146" s="4">
        <v>5</v>
      </c>
      <c r="G2146" s="2">
        <v>175</v>
      </c>
      <c r="H2146" t="s">
        <v>25</v>
      </c>
      <c r="I2146" t="s">
        <v>36</v>
      </c>
      <c r="J2146" s="1">
        <v>44980</v>
      </c>
      <c r="K2146" t="b">
        <v>0</v>
      </c>
    </row>
    <row r="2147" spans="1:11" x14ac:dyDescent="0.25">
      <c r="A2147" t="s">
        <v>1836</v>
      </c>
      <c r="B2147" t="s">
        <v>56</v>
      </c>
      <c r="C2147" t="s">
        <v>13</v>
      </c>
      <c r="D2147" t="s">
        <v>893</v>
      </c>
      <c r="E2147" s="2">
        <v>35</v>
      </c>
      <c r="F2147" s="4">
        <v>5</v>
      </c>
      <c r="G2147" s="2">
        <v>175</v>
      </c>
      <c r="H2147" t="s">
        <v>25</v>
      </c>
      <c r="I2147" t="s">
        <v>16</v>
      </c>
      <c r="J2147" s="1">
        <v>44892</v>
      </c>
      <c r="K2147" t="b">
        <v>0</v>
      </c>
    </row>
    <row r="2148" spans="1:11" x14ac:dyDescent="0.25">
      <c r="A2148" t="s">
        <v>4368</v>
      </c>
      <c r="B2148" t="s">
        <v>12</v>
      </c>
      <c r="C2148" t="s">
        <v>110</v>
      </c>
      <c r="D2148" t="s">
        <v>197</v>
      </c>
      <c r="E2148" s="2">
        <v>35</v>
      </c>
      <c r="F2148" s="4">
        <v>5</v>
      </c>
      <c r="G2148" s="2">
        <v>175</v>
      </c>
      <c r="H2148" t="s">
        <v>45</v>
      </c>
      <c r="I2148" t="s">
        <v>16</v>
      </c>
      <c r="J2148" s="1">
        <v>45116</v>
      </c>
      <c r="K2148" t="b">
        <v>0</v>
      </c>
    </row>
    <row r="2149" spans="1:11" x14ac:dyDescent="0.25">
      <c r="A2149" t="s">
        <v>1486</v>
      </c>
      <c r="B2149" t="s">
        <v>61</v>
      </c>
      <c r="C2149" t="s">
        <v>23</v>
      </c>
      <c r="D2149" t="s">
        <v>179</v>
      </c>
      <c r="E2149" s="2">
        <v>35</v>
      </c>
      <c r="F2149" s="4">
        <v>5</v>
      </c>
      <c r="G2149" s="2">
        <v>175</v>
      </c>
      <c r="H2149" t="s">
        <v>25</v>
      </c>
      <c r="I2149" t="s">
        <v>16</v>
      </c>
      <c r="J2149" s="1">
        <v>44909</v>
      </c>
      <c r="K2149" t="b">
        <v>0</v>
      </c>
    </row>
    <row r="2150" spans="1:11" x14ac:dyDescent="0.25">
      <c r="A2150" t="s">
        <v>1726</v>
      </c>
      <c r="B2150" t="s">
        <v>26</v>
      </c>
      <c r="C2150" t="s">
        <v>23</v>
      </c>
      <c r="D2150" t="s">
        <v>179</v>
      </c>
      <c r="E2150" s="2">
        <v>35</v>
      </c>
      <c r="F2150" s="4">
        <v>5</v>
      </c>
      <c r="G2150" s="2">
        <v>175</v>
      </c>
      <c r="H2150" t="s">
        <v>25</v>
      </c>
      <c r="I2150" t="s">
        <v>36</v>
      </c>
      <c r="J2150" s="1">
        <v>44923</v>
      </c>
      <c r="K2150" t="b">
        <v>0</v>
      </c>
    </row>
    <row r="2151" spans="1:11" x14ac:dyDescent="0.25">
      <c r="A2151" t="s">
        <v>4885</v>
      </c>
      <c r="B2151" t="s">
        <v>100</v>
      </c>
      <c r="C2151" t="s">
        <v>31</v>
      </c>
      <c r="D2151" t="s">
        <v>905</v>
      </c>
      <c r="E2151" s="2">
        <v>35</v>
      </c>
      <c r="F2151" s="4">
        <v>5</v>
      </c>
      <c r="G2151" s="2">
        <v>175</v>
      </c>
      <c r="H2151" t="s">
        <v>15</v>
      </c>
      <c r="I2151" t="s">
        <v>36</v>
      </c>
      <c r="J2151" s="1">
        <v>45369</v>
      </c>
      <c r="K2151" t="b">
        <v>1</v>
      </c>
    </row>
    <row r="2152" spans="1:11" x14ac:dyDescent="0.25">
      <c r="A2152" t="s">
        <v>2154</v>
      </c>
      <c r="B2152" t="s">
        <v>18</v>
      </c>
      <c r="C2152" t="s">
        <v>38</v>
      </c>
      <c r="D2152" t="s">
        <v>163</v>
      </c>
      <c r="E2152" s="2">
        <v>35</v>
      </c>
      <c r="F2152" s="4">
        <v>5</v>
      </c>
      <c r="G2152" s="2">
        <v>175</v>
      </c>
      <c r="H2152" t="s">
        <v>25</v>
      </c>
      <c r="I2152" t="s">
        <v>36</v>
      </c>
      <c r="J2152" s="1">
        <v>45342</v>
      </c>
      <c r="K2152" t="b">
        <v>1</v>
      </c>
    </row>
    <row r="2153" spans="1:11" x14ac:dyDescent="0.25">
      <c r="A2153" t="s">
        <v>3347</v>
      </c>
      <c r="B2153" t="s">
        <v>43</v>
      </c>
      <c r="C2153" t="s">
        <v>38</v>
      </c>
      <c r="D2153" t="s">
        <v>163</v>
      </c>
      <c r="E2153" s="2">
        <v>35</v>
      </c>
      <c r="F2153" s="4">
        <v>5</v>
      </c>
      <c r="G2153" s="2">
        <v>175</v>
      </c>
      <c r="H2153" t="s">
        <v>25</v>
      </c>
      <c r="I2153" t="s">
        <v>36</v>
      </c>
      <c r="J2153" s="1">
        <v>45412</v>
      </c>
      <c r="K2153" t="b">
        <v>1</v>
      </c>
    </row>
    <row r="2154" spans="1:11" x14ac:dyDescent="0.25">
      <c r="A2154" t="s">
        <v>4557</v>
      </c>
      <c r="B2154" t="s">
        <v>97</v>
      </c>
      <c r="C2154" t="s">
        <v>110</v>
      </c>
      <c r="D2154" t="s">
        <v>197</v>
      </c>
      <c r="E2154" s="2">
        <v>35</v>
      </c>
      <c r="F2154" s="4">
        <v>5</v>
      </c>
      <c r="G2154" s="2">
        <v>175</v>
      </c>
      <c r="H2154" t="s">
        <v>45</v>
      </c>
      <c r="I2154" t="s">
        <v>36</v>
      </c>
      <c r="J2154" s="1">
        <v>44681</v>
      </c>
      <c r="K2154" t="b">
        <v>0</v>
      </c>
    </row>
    <row r="2155" spans="1:11" x14ac:dyDescent="0.25">
      <c r="A2155" t="s">
        <v>5913</v>
      </c>
      <c r="B2155" t="s">
        <v>26</v>
      </c>
      <c r="C2155" t="s">
        <v>110</v>
      </c>
      <c r="D2155" t="s">
        <v>197</v>
      </c>
      <c r="E2155" s="2">
        <v>35</v>
      </c>
      <c r="F2155" s="4">
        <v>5</v>
      </c>
      <c r="G2155" s="2">
        <v>175</v>
      </c>
      <c r="H2155" t="s">
        <v>15</v>
      </c>
      <c r="I2155" t="s">
        <v>36</v>
      </c>
      <c r="J2155" s="1">
        <v>45530</v>
      </c>
      <c r="K2155" t="b">
        <v>1</v>
      </c>
    </row>
    <row r="2156" spans="1:11" x14ac:dyDescent="0.25">
      <c r="A2156" t="s">
        <v>3305</v>
      </c>
      <c r="B2156" t="s">
        <v>22</v>
      </c>
      <c r="C2156" t="s">
        <v>27</v>
      </c>
      <c r="D2156" t="s">
        <v>240</v>
      </c>
      <c r="E2156" s="2">
        <v>35</v>
      </c>
      <c r="F2156" s="4">
        <v>5</v>
      </c>
      <c r="G2156" s="2">
        <v>175</v>
      </c>
      <c r="H2156" t="s">
        <v>15</v>
      </c>
      <c r="I2156" t="s">
        <v>36</v>
      </c>
      <c r="J2156" s="1">
        <v>44904</v>
      </c>
      <c r="K2156" t="b">
        <v>0</v>
      </c>
    </row>
    <row r="2157" spans="1:11" x14ac:dyDescent="0.25">
      <c r="A2157" t="s">
        <v>2430</v>
      </c>
      <c r="B2157" t="s">
        <v>93</v>
      </c>
      <c r="C2157" t="s">
        <v>110</v>
      </c>
      <c r="D2157" t="s">
        <v>197</v>
      </c>
      <c r="E2157" s="2">
        <v>35</v>
      </c>
      <c r="F2157" s="4">
        <v>5</v>
      </c>
      <c r="G2157" s="2">
        <v>175</v>
      </c>
      <c r="H2157" t="s">
        <v>25</v>
      </c>
      <c r="I2157" t="s">
        <v>36</v>
      </c>
      <c r="J2157" s="1">
        <v>45309</v>
      </c>
      <c r="K2157" t="b">
        <v>1</v>
      </c>
    </row>
    <row r="2158" spans="1:11" x14ac:dyDescent="0.25">
      <c r="A2158" t="s">
        <v>904</v>
      </c>
      <c r="B2158" t="s">
        <v>51</v>
      </c>
      <c r="C2158" t="s">
        <v>31</v>
      </c>
      <c r="D2158" t="s">
        <v>905</v>
      </c>
      <c r="E2158" s="2">
        <v>35</v>
      </c>
      <c r="F2158" s="4">
        <v>5</v>
      </c>
      <c r="G2158" s="2">
        <v>175</v>
      </c>
      <c r="H2158" t="s">
        <v>25</v>
      </c>
      <c r="I2158" t="s">
        <v>16</v>
      </c>
      <c r="J2158" s="1">
        <v>45016</v>
      </c>
      <c r="K2158" t="b">
        <v>1</v>
      </c>
    </row>
    <row r="2159" spans="1:11" x14ac:dyDescent="0.25">
      <c r="A2159" t="s">
        <v>3002</v>
      </c>
      <c r="B2159" t="s">
        <v>97</v>
      </c>
      <c r="C2159" t="s">
        <v>13</v>
      </c>
      <c r="D2159" t="s">
        <v>893</v>
      </c>
      <c r="E2159" s="2">
        <v>35</v>
      </c>
      <c r="F2159" s="4">
        <v>5</v>
      </c>
      <c r="G2159" s="2">
        <v>175</v>
      </c>
      <c r="H2159" t="s">
        <v>15</v>
      </c>
      <c r="I2159" t="s">
        <v>16</v>
      </c>
      <c r="J2159" s="1">
        <v>44599</v>
      </c>
      <c r="K2159" t="b">
        <v>1</v>
      </c>
    </row>
    <row r="2160" spans="1:11" x14ac:dyDescent="0.25">
      <c r="A2160" t="s">
        <v>2740</v>
      </c>
      <c r="B2160" t="s">
        <v>63</v>
      </c>
      <c r="C2160" t="s">
        <v>23</v>
      </c>
      <c r="D2160" t="s">
        <v>179</v>
      </c>
      <c r="E2160" s="2">
        <v>35</v>
      </c>
      <c r="F2160" s="4">
        <v>5</v>
      </c>
      <c r="G2160" s="2">
        <v>175</v>
      </c>
      <c r="H2160" t="s">
        <v>15</v>
      </c>
      <c r="I2160" t="s">
        <v>16</v>
      </c>
      <c r="J2160" s="1">
        <v>44670</v>
      </c>
      <c r="K2160" t="b">
        <v>1</v>
      </c>
    </row>
    <row r="2161" spans="1:11" x14ac:dyDescent="0.25">
      <c r="A2161" t="s">
        <v>5252</v>
      </c>
      <c r="B2161" t="s">
        <v>30</v>
      </c>
      <c r="C2161" t="s">
        <v>23</v>
      </c>
      <c r="D2161" t="s">
        <v>179</v>
      </c>
      <c r="E2161" s="2">
        <v>35</v>
      </c>
      <c r="F2161" s="4">
        <v>5</v>
      </c>
      <c r="G2161" s="2">
        <v>175</v>
      </c>
      <c r="H2161" t="s">
        <v>15</v>
      </c>
      <c r="I2161" t="s">
        <v>36</v>
      </c>
      <c r="J2161" s="1">
        <v>45336</v>
      </c>
      <c r="K2161" t="b">
        <v>0</v>
      </c>
    </row>
    <row r="2162" spans="1:11" x14ac:dyDescent="0.25">
      <c r="A2162" t="s">
        <v>6431</v>
      </c>
      <c r="B2162" t="s">
        <v>40</v>
      </c>
      <c r="C2162" t="s">
        <v>27</v>
      </c>
      <c r="D2162" t="s">
        <v>240</v>
      </c>
      <c r="E2162" s="2">
        <v>35</v>
      </c>
      <c r="F2162" s="4">
        <v>5</v>
      </c>
      <c r="G2162" s="2">
        <v>175</v>
      </c>
      <c r="H2162" t="s">
        <v>45</v>
      </c>
      <c r="I2162" t="s">
        <v>36</v>
      </c>
      <c r="J2162" s="1">
        <v>45471</v>
      </c>
      <c r="K2162" t="b">
        <v>0</v>
      </c>
    </row>
    <row r="2163" spans="1:11" x14ac:dyDescent="0.25">
      <c r="A2163" t="s">
        <v>4544</v>
      </c>
      <c r="B2163" t="s">
        <v>12</v>
      </c>
      <c r="C2163" t="s">
        <v>31</v>
      </c>
      <c r="D2163" t="s">
        <v>905</v>
      </c>
      <c r="E2163" s="2">
        <v>35</v>
      </c>
      <c r="F2163" s="4">
        <v>5</v>
      </c>
      <c r="G2163" s="2">
        <v>175</v>
      </c>
      <c r="H2163" t="s">
        <v>25</v>
      </c>
      <c r="I2163" t="s">
        <v>16</v>
      </c>
      <c r="J2163" s="1">
        <v>44680</v>
      </c>
      <c r="K2163" t="b">
        <v>1</v>
      </c>
    </row>
    <row r="2164" spans="1:11" x14ac:dyDescent="0.25">
      <c r="A2164" t="s">
        <v>6203</v>
      </c>
      <c r="B2164" t="s">
        <v>56</v>
      </c>
      <c r="C2164" t="s">
        <v>31</v>
      </c>
      <c r="D2164" t="s">
        <v>905</v>
      </c>
      <c r="E2164" s="2">
        <v>35</v>
      </c>
      <c r="F2164" s="4">
        <v>5</v>
      </c>
      <c r="G2164" s="2">
        <v>175</v>
      </c>
      <c r="H2164" t="s">
        <v>25</v>
      </c>
      <c r="I2164" t="s">
        <v>16</v>
      </c>
      <c r="J2164" s="1">
        <v>44660</v>
      </c>
      <c r="K2164" t="b">
        <v>0</v>
      </c>
    </row>
    <row r="2165" spans="1:11" x14ac:dyDescent="0.25">
      <c r="A2165" t="s">
        <v>1185</v>
      </c>
      <c r="B2165" t="s">
        <v>12</v>
      </c>
      <c r="C2165" t="s">
        <v>31</v>
      </c>
      <c r="D2165" t="s">
        <v>905</v>
      </c>
      <c r="E2165" s="2">
        <v>35</v>
      </c>
      <c r="F2165" s="4">
        <v>5</v>
      </c>
      <c r="G2165" s="2">
        <v>175</v>
      </c>
      <c r="H2165" t="s">
        <v>45</v>
      </c>
      <c r="I2165" t="s">
        <v>16</v>
      </c>
      <c r="J2165" s="1">
        <v>44564</v>
      </c>
      <c r="K2165" t="b">
        <v>1</v>
      </c>
    </row>
    <row r="2166" spans="1:11" x14ac:dyDescent="0.25">
      <c r="A2166" t="s">
        <v>5071</v>
      </c>
      <c r="B2166" t="s">
        <v>72</v>
      </c>
      <c r="C2166" t="s">
        <v>38</v>
      </c>
      <c r="D2166" t="s">
        <v>163</v>
      </c>
      <c r="E2166" s="2">
        <v>35</v>
      </c>
      <c r="F2166" s="4">
        <v>5</v>
      </c>
      <c r="G2166" s="2">
        <v>175</v>
      </c>
      <c r="H2166" t="s">
        <v>45</v>
      </c>
      <c r="I2166" t="s">
        <v>16</v>
      </c>
      <c r="J2166" s="1">
        <v>45609</v>
      </c>
      <c r="K2166" t="b">
        <v>0</v>
      </c>
    </row>
    <row r="2167" spans="1:11" x14ac:dyDescent="0.25">
      <c r="A2167" t="s">
        <v>603</v>
      </c>
      <c r="B2167" t="s">
        <v>97</v>
      </c>
      <c r="C2167" t="s">
        <v>59</v>
      </c>
      <c r="D2167" t="s">
        <v>87</v>
      </c>
      <c r="E2167" s="2">
        <v>35</v>
      </c>
      <c r="F2167" s="4">
        <v>5</v>
      </c>
      <c r="G2167" s="2">
        <v>175</v>
      </c>
      <c r="H2167" t="s">
        <v>25</v>
      </c>
      <c r="I2167" t="s">
        <v>16</v>
      </c>
      <c r="J2167" s="1">
        <v>44783</v>
      </c>
      <c r="K2167" t="b">
        <v>1</v>
      </c>
    </row>
    <row r="2168" spans="1:11" x14ac:dyDescent="0.25">
      <c r="A2168" t="s">
        <v>2590</v>
      </c>
      <c r="B2168" t="s">
        <v>51</v>
      </c>
      <c r="C2168" t="s">
        <v>27</v>
      </c>
      <c r="D2168" t="s">
        <v>240</v>
      </c>
      <c r="E2168" s="2">
        <v>35</v>
      </c>
      <c r="F2168" s="4">
        <v>5</v>
      </c>
      <c r="G2168" s="2">
        <v>175</v>
      </c>
      <c r="H2168" t="s">
        <v>25</v>
      </c>
      <c r="I2168" t="s">
        <v>36</v>
      </c>
      <c r="J2168" s="1">
        <v>44929</v>
      </c>
      <c r="K2168" t="b">
        <v>1</v>
      </c>
    </row>
    <row r="2169" spans="1:11" x14ac:dyDescent="0.25">
      <c r="A2169" t="s">
        <v>847</v>
      </c>
      <c r="B2169" t="s">
        <v>100</v>
      </c>
      <c r="C2169" t="s">
        <v>59</v>
      </c>
      <c r="D2169" t="s">
        <v>87</v>
      </c>
      <c r="E2169" s="2">
        <v>35</v>
      </c>
      <c r="F2169" s="4">
        <v>5</v>
      </c>
      <c r="G2169" s="2">
        <v>175</v>
      </c>
      <c r="H2169" t="s">
        <v>45</v>
      </c>
      <c r="I2169" t="s">
        <v>36</v>
      </c>
      <c r="J2169" s="1">
        <v>45126</v>
      </c>
      <c r="K2169" t="b">
        <v>1</v>
      </c>
    </row>
    <row r="2170" spans="1:11" x14ac:dyDescent="0.25">
      <c r="A2170" t="s">
        <v>6305</v>
      </c>
      <c r="B2170" t="s">
        <v>22</v>
      </c>
      <c r="C2170" t="s">
        <v>31</v>
      </c>
      <c r="D2170" t="s">
        <v>905</v>
      </c>
      <c r="E2170" s="2">
        <v>35</v>
      </c>
      <c r="F2170" s="4">
        <v>5</v>
      </c>
      <c r="G2170" s="2">
        <v>175</v>
      </c>
      <c r="H2170" t="s">
        <v>45</v>
      </c>
      <c r="I2170" t="s">
        <v>36</v>
      </c>
      <c r="J2170" s="1">
        <v>44856</v>
      </c>
      <c r="K2170" t="b">
        <v>0</v>
      </c>
    </row>
    <row r="2171" spans="1:11" x14ac:dyDescent="0.25">
      <c r="A2171" t="s">
        <v>3170</v>
      </c>
      <c r="B2171" t="s">
        <v>40</v>
      </c>
      <c r="C2171" t="s">
        <v>13</v>
      </c>
      <c r="D2171" t="s">
        <v>893</v>
      </c>
      <c r="E2171" s="2">
        <v>35</v>
      </c>
      <c r="F2171" s="4">
        <v>5</v>
      </c>
      <c r="G2171" s="2">
        <v>175</v>
      </c>
      <c r="H2171" t="s">
        <v>45</v>
      </c>
      <c r="I2171" t="s">
        <v>36</v>
      </c>
      <c r="J2171" s="1">
        <v>45311</v>
      </c>
      <c r="K2171" t="b">
        <v>0</v>
      </c>
    </row>
    <row r="2172" spans="1:11" x14ac:dyDescent="0.25">
      <c r="A2172" t="s">
        <v>5503</v>
      </c>
      <c r="B2172" t="s">
        <v>104</v>
      </c>
      <c r="C2172" t="s">
        <v>38</v>
      </c>
      <c r="D2172" t="s">
        <v>163</v>
      </c>
      <c r="E2172" s="2">
        <v>35</v>
      </c>
      <c r="F2172" s="4">
        <v>5</v>
      </c>
      <c r="G2172" s="2">
        <v>175</v>
      </c>
      <c r="H2172" t="s">
        <v>25</v>
      </c>
      <c r="I2172" t="s">
        <v>36</v>
      </c>
      <c r="J2172" s="1">
        <v>45018</v>
      </c>
      <c r="K2172" t="b">
        <v>0</v>
      </c>
    </row>
    <row r="2173" spans="1:11" x14ac:dyDescent="0.25">
      <c r="A2173" t="s">
        <v>324</v>
      </c>
      <c r="B2173" t="s">
        <v>22</v>
      </c>
      <c r="C2173" t="s">
        <v>59</v>
      </c>
      <c r="D2173" t="s">
        <v>87</v>
      </c>
      <c r="E2173" s="2">
        <v>35</v>
      </c>
      <c r="F2173" s="4">
        <v>5</v>
      </c>
      <c r="G2173" s="2">
        <v>175</v>
      </c>
      <c r="H2173" t="s">
        <v>15</v>
      </c>
      <c r="I2173" t="s">
        <v>16</v>
      </c>
      <c r="J2173" s="1">
        <v>44663</v>
      </c>
      <c r="K2173" t="b">
        <v>0</v>
      </c>
    </row>
    <row r="2174" spans="1:11" x14ac:dyDescent="0.25">
      <c r="A2174" t="s">
        <v>5451</v>
      </c>
      <c r="B2174" t="s">
        <v>69</v>
      </c>
      <c r="C2174" t="s">
        <v>38</v>
      </c>
      <c r="D2174" t="s">
        <v>163</v>
      </c>
      <c r="E2174" s="2">
        <v>35</v>
      </c>
      <c r="F2174" s="4">
        <v>5</v>
      </c>
      <c r="G2174" s="2">
        <v>175</v>
      </c>
      <c r="H2174" t="s">
        <v>25</v>
      </c>
      <c r="I2174" t="s">
        <v>36</v>
      </c>
      <c r="J2174" s="1">
        <v>45350</v>
      </c>
      <c r="K2174" t="b">
        <v>1</v>
      </c>
    </row>
    <row r="2175" spans="1:11" x14ac:dyDescent="0.25">
      <c r="A2175" t="s">
        <v>564</v>
      </c>
      <c r="B2175" t="s">
        <v>18</v>
      </c>
      <c r="C2175" t="s">
        <v>59</v>
      </c>
      <c r="D2175" t="s">
        <v>87</v>
      </c>
      <c r="E2175" s="2">
        <v>35</v>
      </c>
      <c r="F2175" s="4">
        <v>5</v>
      </c>
      <c r="G2175" s="2">
        <v>175</v>
      </c>
      <c r="H2175" t="s">
        <v>45</v>
      </c>
      <c r="I2175" t="s">
        <v>36</v>
      </c>
      <c r="J2175" s="1">
        <v>45654</v>
      </c>
      <c r="K2175" t="b">
        <v>0</v>
      </c>
    </row>
    <row r="2176" spans="1:11" x14ac:dyDescent="0.25">
      <c r="A2176" t="s">
        <v>3977</v>
      </c>
      <c r="B2176" t="s">
        <v>34</v>
      </c>
      <c r="C2176" t="s">
        <v>27</v>
      </c>
      <c r="D2176" t="s">
        <v>421</v>
      </c>
      <c r="E2176" s="2">
        <v>29</v>
      </c>
      <c r="F2176" s="4">
        <v>6</v>
      </c>
      <c r="G2176" s="2">
        <v>174</v>
      </c>
      <c r="H2176" t="s">
        <v>15</v>
      </c>
      <c r="I2176" t="s">
        <v>36</v>
      </c>
      <c r="J2176" s="1">
        <v>45355</v>
      </c>
      <c r="K2176" t="b">
        <v>0</v>
      </c>
    </row>
    <row r="2177" spans="1:11" x14ac:dyDescent="0.25">
      <c r="A2177" t="s">
        <v>5822</v>
      </c>
      <c r="B2177" t="s">
        <v>104</v>
      </c>
      <c r="C2177" t="s">
        <v>31</v>
      </c>
      <c r="D2177" t="s">
        <v>372</v>
      </c>
      <c r="E2177" s="2">
        <v>29</v>
      </c>
      <c r="F2177" s="4">
        <v>6</v>
      </c>
      <c r="G2177" s="2">
        <v>174</v>
      </c>
      <c r="H2177" t="s">
        <v>15</v>
      </c>
      <c r="I2177" t="s">
        <v>36</v>
      </c>
      <c r="J2177" s="1">
        <v>45149</v>
      </c>
      <c r="K2177" t="b">
        <v>0</v>
      </c>
    </row>
    <row r="2178" spans="1:11" x14ac:dyDescent="0.25">
      <c r="A2178" t="s">
        <v>6118</v>
      </c>
      <c r="B2178" t="s">
        <v>34</v>
      </c>
      <c r="C2178" t="s">
        <v>110</v>
      </c>
      <c r="D2178" t="s">
        <v>386</v>
      </c>
      <c r="E2178" s="2">
        <v>29</v>
      </c>
      <c r="F2178" s="4">
        <v>6</v>
      </c>
      <c r="G2178" s="2">
        <v>174</v>
      </c>
      <c r="H2178" t="s">
        <v>15</v>
      </c>
      <c r="I2178" t="s">
        <v>36</v>
      </c>
      <c r="J2178" s="1">
        <v>44690</v>
      </c>
      <c r="K2178" t="b">
        <v>1</v>
      </c>
    </row>
    <row r="2179" spans="1:11" x14ac:dyDescent="0.25">
      <c r="A2179" t="s">
        <v>1033</v>
      </c>
      <c r="B2179" t="s">
        <v>69</v>
      </c>
      <c r="C2179" t="s">
        <v>59</v>
      </c>
      <c r="D2179" t="s">
        <v>297</v>
      </c>
      <c r="E2179" s="2">
        <v>29</v>
      </c>
      <c r="F2179" s="4">
        <v>6</v>
      </c>
      <c r="G2179" s="2">
        <v>174</v>
      </c>
      <c r="H2179" t="s">
        <v>15</v>
      </c>
      <c r="I2179" t="s">
        <v>36</v>
      </c>
      <c r="J2179" s="1">
        <v>45129</v>
      </c>
      <c r="K2179" t="b">
        <v>0</v>
      </c>
    </row>
    <row r="2180" spans="1:11" x14ac:dyDescent="0.25">
      <c r="A2180" t="s">
        <v>3022</v>
      </c>
      <c r="B2180" t="s">
        <v>37</v>
      </c>
      <c r="C2180" t="s">
        <v>13</v>
      </c>
      <c r="D2180" t="s">
        <v>55</v>
      </c>
      <c r="E2180" s="2">
        <v>29</v>
      </c>
      <c r="F2180" s="4">
        <v>6</v>
      </c>
      <c r="G2180" s="2">
        <v>174</v>
      </c>
      <c r="H2180" t="s">
        <v>45</v>
      </c>
      <c r="I2180" t="s">
        <v>36</v>
      </c>
      <c r="J2180" s="1">
        <v>45272</v>
      </c>
      <c r="K2180" t="b">
        <v>0</v>
      </c>
    </row>
    <row r="2181" spans="1:11" x14ac:dyDescent="0.25">
      <c r="A2181" t="s">
        <v>6706</v>
      </c>
      <c r="B2181" t="s">
        <v>69</v>
      </c>
      <c r="C2181" t="s">
        <v>27</v>
      </c>
      <c r="D2181" t="s">
        <v>421</v>
      </c>
      <c r="E2181" s="2">
        <v>29</v>
      </c>
      <c r="F2181" s="4">
        <v>6</v>
      </c>
      <c r="G2181" s="2">
        <v>174</v>
      </c>
      <c r="H2181" t="s">
        <v>45</v>
      </c>
      <c r="I2181" t="s">
        <v>36</v>
      </c>
      <c r="J2181" s="1">
        <v>45293</v>
      </c>
      <c r="K2181" t="b">
        <v>1</v>
      </c>
    </row>
    <row r="2182" spans="1:11" x14ac:dyDescent="0.25">
      <c r="A2182" t="s">
        <v>6717</v>
      </c>
      <c r="B2182" t="s">
        <v>12</v>
      </c>
      <c r="C2182" t="s">
        <v>31</v>
      </c>
      <c r="D2182" t="s">
        <v>372</v>
      </c>
      <c r="E2182" s="2">
        <v>29</v>
      </c>
      <c r="F2182" s="4">
        <v>6</v>
      </c>
      <c r="G2182" s="2">
        <v>174</v>
      </c>
      <c r="H2182" t="s">
        <v>15</v>
      </c>
      <c r="I2182" t="s">
        <v>36</v>
      </c>
      <c r="J2182" s="1">
        <v>45272</v>
      </c>
      <c r="K2182" t="b">
        <v>0</v>
      </c>
    </row>
    <row r="2183" spans="1:11" x14ac:dyDescent="0.25">
      <c r="A2183" t="s">
        <v>822</v>
      </c>
      <c r="B2183" t="s">
        <v>93</v>
      </c>
      <c r="C2183" t="s">
        <v>31</v>
      </c>
      <c r="D2183" t="s">
        <v>372</v>
      </c>
      <c r="E2183" s="2">
        <v>29</v>
      </c>
      <c r="F2183" s="4">
        <v>6</v>
      </c>
      <c r="G2183" s="2">
        <v>174</v>
      </c>
      <c r="H2183" t="s">
        <v>45</v>
      </c>
      <c r="I2183" t="s">
        <v>36</v>
      </c>
      <c r="J2183" s="1">
        <v>45258</v>
      </c>
      <c r="K2183" t="b">
        <v>0</v>
      </c>
    </row>
    <row r="2184" spans="1:11" x14ac:dyDescent="0.25">
      <c r="A2184" t="s">
        <v>5456</v>
      </c>
      <c r="B2184" t="s">
        <v>142</v>
      </c>
      <c r="C2184" t="s">
        <v>31</v>
      </c>
      <c r="D2184" t="s">
        <v>372</v>
      </c>
      <c r="E2184" s="2">
        <v>29</v>
      </c>
      <c r="F2184" s="4">
        <v>6</v>
      </c>
      <c r="G2184" s="2">
        <v>174</v>
      </c>
      <c r="H2184" t="s">
        <v>15</v>
      </c>
      <c r="I2184" t="s">
        <v>16</v>
      </c>
      <c r="J2184" s="1">
        <v>45406</v>
      </c>
      <c r="K2184" t="b">
        <v>1</v>
      </c>
    </row>
    <row r="2185" spans="1:11" x14ac:dyDescent="0.25">
      <c r="A2185" t="s">
        <v>2282</v>
      </c>
      <c r="B2185" t="s">
        <v>85</v>
      </c>
      <c r="C2185" t="s">
        <v>59</v>
      </c>
      <c r="D2185" t="s">
        <v>297</v>
      </c>
      <c r="E2185" s="2">
        <v>29</v>
      </c>
      <c r="F2185" s="4">
        <v>6</v>
      </c>
      <c r="G2185" s="2">
        <v>174</v>
      </c>
      <c r="H2185" t="s">
        <v>25</v>
      </c>
      <c r="I2185" t="s">
        <v>16</v>
      </c>
      <c r="J2185" s="1">
        <v>45056</v>
      </c>
      <c r="K2185" t="b">
        <v>1</v>
      </c>
    </row>
    <row r="2186" spans="1:11" x14ac:dyDescent="0.25">
      <c r="A2186" t="s">
        <v>1458</v>
      </c>
      <c r="B2186" t="s">
        <v>51</v>
      </c>
      <c r="C2186" t="s">
        <v>31</v>
      </c>
      <c r="D2186" t="s">
        <v>372</v>
      </c>
      <c r="E2186" s="2">
        <v>29</v>
      </c>
      <c r="F2186" s="4">
        <v>6</v>
      </c>
      <c r="G2186" s="2">
        <v>174</v>
      </c>
      <c r="H2186" t="s">
        <v>15</v>
      </c>
      <c r="I2186" t="s">
        <v>16</v>
      </c>
      <c r="J2186" s="1">
        <v>45384</v>
      </c>
      <c r="K2186" t="b">
        <v>1</v>
      </c>
    </row>
    <row r="2187" spans="1:11" x14ac:dyDescent="0.25">
      <c r="A2187" t="s">
        <v>7774</v>
      </c>
      <c r="B2187" t="s">
        <v>85</v>
      </c>
      <c r="C2187" t="s">
        <v>31</v>
      </c>
      <c r="D2187" t="s">
        <v>372</v>
      </c>
      <c r="E2187" s="2">
        <v>29</v>
      </c>
      <c r="F2187" s="4">
        <v>6</v>
      </c>
      <c r="G2187" s="2">
        <v>174</v>
      </c>
      <c r="H2187" t="s">
        <v>45</v>
      </c>
      <c r="I2187" t="s">
        <v>36</v>
      </c>
      <c r="J2187" s="1">
        <v>44961</v>
      </c>
      <c r="K2187" t="b">
        <v>1</v>
      </c>
    </row>
    <row r="2188" spans="1:11" x14ac:dyDescent="0.25">
      <c r="A2188" t="s">
        <v>3988</v>
      </c>
      <c r="B2188" t="s">
        <v>85</v>
      </c>
      <c r="C2188" t="s">
        <v>110</v>
      </c>
      <c r="D2188" t="s">
        <v>386</v>
      </c>
      <c r="E2188" s="2">
        <v>29</v>
      </c>
      <c r="F2188" s="4">
        <v>6</v>
      </c>
      <c r="G2188" s="2">
        <v>174</v>
      </c>
      <c r="H2188" t="s">
        <v>45</v>
      </c>
      <c r="I2188" t="s">
        <v>36</v>
      </c>
      <c r="J2188" s="1">
        <v>44937</v>
      </c>
      <c r="K2188" t="b">
        <v>1</v>
      </c>
    </row>
    <row r="2189" spans="1:11" x14ac:dyDescent="0.25">
      <c r="A2189" t="s">
        <v>5224</v>
      </c>
      <c r="B2189" t="s">
        <v>85</v>
      </c>
      <c r="C2189" t="s">
        <v>110</v>
      </c>
      <c r="D2189" t="s">
        <v>386</v>
      </c>
      <c r="E2189" s="2">
        <v>29</v>
      </c>
      <c r="F2189" s="4">
        <v>6</v>
      </c>
      <c r="G2189" s="2">
        <v>174</v>
      </c>
      <c r="H2189" t="s">
        <v>15</v>
      </c>
      <c r="I2189" t="s">
        <v>36</v>
      </c>
      <c r="J2189" s="1">
        <v>44692</v>
      </c>
      <c r="K2189" t="b">
        <v>1</v>
      </c>
    </row>
    <row r="2190" spans="1:11" x14ac:dyDescent="0.25">
      <c r="A2190" t="s">
        <v>1502</v>
      </c>
      <c r="B2190" t="s">
        <v>63</v>
      </c>
      <c r="C2190" t="s">
        <v>13</v>
      </c>
      <c r="D2190" t="s">
        <v>55</v>
      </c>
      <c r="E2190" s="2">
        <v>29</v>
      </c>
      <c r="F2190" s="4">
        <v>6</v>
      </c>
      <c r="G2190" s="2">
        <v>174</v>
      </c>
      <c r="H2190" t="s">
        <v>45</v>
      </c>
      <c r="I2190" t="s">
        <v>16</v>
      </c>
      <c r="J2190" s="1">
        <v>44613</v>
      </c>
      <c r="K2190" t="b">
        <v>0</v>
      </c>
    </row>
    <row r="2191" spans="1:11" x14ac:dyDescent="0.25">
      <c r="A2191" t="s">
        <v>7240</v>
      </c>
      <c r="B2191" t="s">
        <v>40</v>
      </c>
      <c r="C2191" t="s">
        <v>59</v>
      </c>
      <c r="D2191" t="s">
        <v>297</v>
      </c>
      <c r="E2191" s="2">
        <v>29</v>
      </c>
      <c r="F2191" s="4">
        <v>6</v>
      </c>
      <c r="G2191" s="2">
        <v>174</v>
      </c>
      <c r="H2191" t="s">
        <v>45</v>
      </c>
      <c r="I2191" t="s">
        <v>16</v>
      </c>
      <c r="J2191" s="1">
        <v>45419</v>
      </c>
      <c r="K2191" t="b">
        <v>1</v>
      </c>
    </row>
    <row r="2192" spans="1:11" x14ac:dyDescent="0.25">
      <c r="A2192" t="s">
        <v>952</v>
      </c>
      <c r="B2192" t="s">
        <v>37</v>
      </c>
      <c r="C2192" t="s">
        <v>31</v>
      </c>
      <c r="D2192" t="s">
        <v>372</v>
      </c>
      <c r="E2192" s="2">
        <v>29</v>
      </c>
      <c r="F2192" s="4">
        <v>6</v>
      </c>
      <c r="G2192" s="2">
        <v>174</v>
      </c>
      <c r="H2192" t="s">
        <v>15</v>
      </c>
      <c r="I2192" t="s">
        <v>16</v>
      </c>
      <c r="J2192" s="1">
        <v>45517</v>
      </c>
      <c r="K2192" t="b">
        <v>0</v>
      </c>
    </row>
    <row r="2193" spans="1:11" x14ac:dyDescent="0.25">
      <c r="A2193" t="s">
        <v>3078</v>
      </c>
      <c r="B2193" t="s">
        <v>58</v>
      </c>
      <c r="C2193" t="s">
        <v>59</v>
      </c>
      <c r="D2193" t="s">
        <v>297</v>
      </c>
      <c r="E2193" s="2">
        <v>29</v>
      </c>
      <c r="F2193" s="4">
        <v>6</v>
      </c>
      <c r="G2193" s="2">
        <v>174</v>
      </c>
      <c r="H2193" t="s">
        <v>25</v>
      </c>
      <c r="I2193" t="s">
        <v>16</v>
      </c>
      <c r="J2193" s="1">
        <v>44576</v>
      </c>
      <c r="K2193" t="b">
        <v>1</v>
      </c>
    </row>
    <row r="2194" spans="1:11" x14ac:dyDescent="0.25">
      <c r="A2194" t="s">
        <v>5276</v>
      </c>
      <c r="B2194" t="s">
        <v>22</v>
      </c>
      <c r="C2194" t="s">
        <v>110</v>
      </c>
      <c r="D2194" t="s">
        <v>386</v>
      </c>
      <c r="E2194" s="2">
        <v>29</v>
      </c>
      <c r="F2194" s="4">
        <v>6</v>
      </c>
      <c r="G2194" s="2">
        <v>174</v>
      </c>
      <c r="H2194" t="s">
        <v>45</v>
      </c>
      <c r="I2194" t="s">
        <v>16</v>
      </c>
      <c r="J2194" s="1">
        <v>44823</v>
      </c>
      <c r="K2194" t="b">
        <v>1</v>
      </c>
    </row>
    <row r="2195" spans="1:11" x14ac:dyDescent="0.25">
      <c r="A2195" t="s">
        <v>6194</v>
      </c>
      <c r="B2195" t="s">
        <v>61</v>
      </c>
      <c r="C2195" t="s">
        <v>23</v>
      </c>
      <c r="D2195" t="s">
        <v>352</v>
      </c>
      <c r="E2195" s="2">
        <v>29</v>
      </c>
      <c r="F2195" s="4">
        <v>6</v>
      </c>
      <c r="G2195" s="2">
        <v>174</v>
      </c>
      <c r="H2195" t="s">
        <v>15</v>
      </c>
      <c r="I2195" t="s">
        <v>16</v>
      </c>
      <c r="J2195" s="1">
        <v>45246</v>
      </c>
      <c r="K2195" t="b">
        <v>1</v>
      </c>
    </row>
    <row r="2196" spans="1:11" x14ac:dyDescent="0.25">
      <c r="A2196" t="s">
        <v>4610</v>
      </c>
      <c r="B2196" t="s">
        <v>30</v>
      </c>
      <c r="C2196" t="s">
        <v>23</v>
      </c>
      <c r="D2196" t="s">
        <v>352</v>
      </c>
      <c r="E2196" s="2">
        <v>29</v>
      </c>
      <c r="F2196" s="4">
        <v>6</v>
      </c>
      <c r="G2196" s="2">
        <v>174</v>
      </c>
      <c r="H2196" t="s">
        <v>25</v>
      </c>
      <c r="I2196" t="s">
        <v>36</v>
      </c>
      <c r="J2196" s="1">
        <v>45185</v>
      </c>
      <c r="K2196" t="b">
        <v>0</v>
      </c>
    </row>
    <row r="2197" spans="1:11" x14ac:dyDescent="0.25">
      <c r="A2197" t="s">
        <v>1871</v>
      </c>
      <c r="B2197" t="s">
        <v>66</v>
      </c>
      <c r="C2197" t="s">
        <v>59</v>
      </c>
      <c r="D2197" t="s">
        <v>297</v>
      </c>
      <c r="E2197" s="2">
        <v>29</v>
      </c>
      <c r="F2197" s="4">
        <v>6</v>
      </c>
      <c r="G2197" s="2">
        <v>174</v>
      </c>
      <c r="H2197" t="s">
        <v>25</v>
      </c>
      <c r="I2197" t="s">
        <v>36</v>
      </c>
      <c r="J2197" s="1">
        <v>44863</v>
      </c>
      <c r="K2197" t="b">
        <v>1</v>
      </c>
    </row>
    <row r="2198" spans="1:11" x14ac:dyDescent="0.25">
      <c r="A2198" t="s">
        <v>898</v>
      </c>
      <c r="B2198" t="s">
        <v>69</v>
      </c>
      <c r="C2198" t="s">
        <v>38</v>
      </c>
      <c r="D2198" t="s">
        <v>267</v>
      </c>
      <c r="E2198" s="2">
        <v>29</v>
      </c>
      <c r="F2198" s="4">
        <v>6</v>
      </c>
      <c r="G2198" s="2">
        <v>174</v>
      </c>
      <c r="H2198" t="s">
        <v>45</v>
      </c>
      <c r="I2198" t="s">
        <v>36</v>
      </c>
      <c r="J2198" s="1">
        <v>45305</v>
      </c>
      <c r="K2198" t="b">
        <v>1</v>
      </c>
    </row>
    <row r="2199" spans="1:11" x14ac:dyDescent="0.25">
      <c r="A2199" t="s">
        <v>7474</v>
      </c>
      <c r="B2199" t="s">
        <v>43</v>
      </c>
      <c r="C2199" t="s">
        <v>13</v>
      </c>
      <c r="D2199" t="s">
        <v>55</v>
      </c>
      <c r="E2199" s="2">
        <v>29</v>
      </c>
      <c r="F2199" s="4">
        <v>6</v>
      </c>
      <c r="G2199" s="2">
        <v>174</v>
      </c>
      <c r="H2199" t="s">
        <v>45</v>
      </c>
      <c r="I2199" t="s">
        <v>36</v>
      </c>
      <c r="J2199" s="1">
        <v>45401</v>
      </c>
      <c r="K2199" t="b">
        <v>0</v>
      </c>
    </row>
    <row r="2200" spans="1:11" x14ac:dyDescent="0.25">
      <c r="A2200" t="s">
        <v>5243</v>
      </c>
      <c r="B2200" t="s">
        <v>100</v>
      </c>
      <c r="C2200" t="s">
        <v>13</v>
      </c>
      <c r="D2200" t="s">
        <v>55</v>
      </c>
      <c r="E2200" s="2">
        <v>29</v>
      </c>
      <c r="F2200" s="4">
        <v>6</v>
      </c>
      <c r="G2200" s="2">
        <v>174</v>
      </c>
      <c r="H2200" t="s">
        <v>25</v>
      </c>
      <c r="I2200" t="s">
        <v>16</v>
      </c>
      <c r="J2200" s="1">
        <v>44577</v>
      </c>
      <c r="K2200" t="b">
        <v>1</v>
      </c>
    </row>
    <row r="2201" spans="1:11" x14ac:dyDescent="0.25">
      <c r="A2201" t="s">
        <v>3187</v>
      </c>
      <c r="B2201" t="s">
        <v>51</v>
      </c>
      <c r="C2201" t="s">
        <v>27</v>
      </c>
      <c r="D2201" t="s">
        <v>421</v>
      </c>
      <c r="E2201" s="2">
        <v>29</v>
      </c>
      <c r="F2201" s="4">
        <v>6</v>
      </c>
      <c r="G2201" s="2">
        <v>174</v>
      </c>
      <c r="H2201" t="s">
        <v>45</v>
      </c>
      <c r="I2201" t="s">
        <v>36</v>
      </c>
      <c r="J2201" s="1">
        <v>45637</v>
      </c>
      <c r="K2201" t="b">
        <v>1</v>
      </c>
    </row>
    <row r="2202" spans="1:11" x14ac:dyDescent="0.25">
      <c r="A2202" t="s">
        <v>1875</v>
      </c>
      <c r="B2202" t="s">
        <v>37</v>
      </c>
      <c r="C2202" t="s">
        <v>13</v>
      </c>
      <c r="D2202" t="s">
        <v>55</v>
      </c>
      <c r="E2202" s="2">
        <v>29</v>
      </c>
      <c r="F2202" s="4">
        <v>6</v>
      </c>
      <c r="G2202" s="2">
        <v>174</v>
      </c>
      <c r="H2202" t="s">
        <v>15</v>
      </c>
      <c r="I2202" t="s">
        <v>16</v>
      </c>
      <c r="J2202" s="1">
        <v>44687</v>
      </c>
      <c r="K2202" t="b">
        <v>0</v>
      </c>
    </row>
    <row r="2203" spans="1:11" x14ac:dyDescent="0.25">
      <c r="A2203" t="s">
        <v>3787</v>
      </c>
      <c r="B2203" t="s">
        <v>93</v>
      </c>
      <c r="C2203" t="s">
        <v>19</v>
      </c>
      <c r="D2203" t="s">
        <v>20</v>
      </c>
      <c r="E2203" s="2">
        <v>29</v>
      </c>
      <c r="F2203" s="4">
        <v>6</v>
      </c>
      <c r="G2203" s="2">
        <v>174</v>
      </c>
      <c r="H2203" t="s">
        <v>25</v>
      </c>
      <c r="I2203" t="s">
        <v>36</v>
      </c>
      <c r="J2203" s="1">
        <v>45646</v>
      </c>
      <c r="K2203" t="b">
        <v>0</v>
      </c>
    </row>
    <row r="2204" spans="1:11" x14ac:dyDescent="0.25">
      <c r="A2204" t="s">
        <v>4019</v>
      </c>
      <c r="B2204" t="s">
        <v>104</v>
      </c>
      <c r="C2204" t="s">
        <v>27</v>
      </c>
      <c r="D2204" t="s">
        <v>421</v>
      </c>
      <c r="E2204" s="2">
        <v>29</v>
      </c>
      <c r="F2204" s="4">
        <v>6</v>
      </c>
      <c r="G2204" s="2">
        <v>174</v>
      </c>
      <c r="H2204" t="s">
        <v>25</v>
      </c>
      <c r="I2204" t="s">
        <v>36</v>
      </c>
      <c r="J2204" s="1">
        <v>44890</v>
      </c>
      <c r="K2204" t="b">
        <v>1</v>
      </c>
    </row>
    <row r="2205" spans="1:11" x14ac:dyDescent="0.25">
      <c r="A2205" t="s">
        <v>3325</v>
      </c>
      <c r="B2205" t="s">
        <v>22</v>
      </c>
      <c r="C2205" t="s">
        <v>31</v>
      </c>
      <c r="D2205" t="s">
        <v>372</v>
      </c>
      <c r="E2205" s="2">
        <v>29</v>
      </c>
      <c r="F2205" s="4">
        <v>6</v>
      </c>
      <c r="G2205" s="2">
        <v>174</v>
      </c>
      <c r="H2205" t="s">
        <v>25</v>
      </c>
      <c r="I2205" t="s">
        <v>36</v>
      </c>
      <c r="J2205" s="1">
        <v>44701</v>
      </c>
      <c r="K2205" t="b">
        <v>1</v>
      </c>
    </row>
    <row r="2206" spans="1:11" x14ac:dyDescent="0.25">
      <c r="A2206" t="s">
        <v>6480</v>
      </c>
      <c r="B2206" t="s">
        <v>69</v>
      </c>
      <c r="C2206" t="s">
        <v>19</v>
      </c>
      <c r="D2206" t="s">
        <v>20</v>
      </c>
      <c r="E2206" s="2">
        <v>29</v>
      </c>
      <c r="F2206" s="4">
        <v>6</v>
      </c>
      <c r="G2206" s="2">
        <v>174</v>
      </c>
      <c r="H2206" t="s">
        <v>45</v>
      </c>
      <c r="I2206" t="s">
        <v>16</v>
      </c>
      <c r="J2206" s="1">
        <v>44565</v>
      </c>
      <c r="K2206" t="b">
        <v>1</v>
      </c>
    </row>
    <row r="2207" spans="1:11" x14ac:dyDescent="0.25">
      <c r="A2207" t="s">
        <v>2131</v>
      </c>
      <c r="B2207" t="s">
        <v>142</v>
      </c>
      <c r="C2207" t="s">
        <v>27</v>
      </c>
      <c r="D2207" t="s">
        <v>421</v>
      </c>
      <c r="E2207" s="2">
        <v>29</v>
      </c>
      <c r="F2207" s="4">
        <v>6</v>
      </c>
      <c r="G2207" s="2">
        <v>174</v>
      </c>
      <c r="H2207" t="s">
        <v>45</v>
      </c>
      <c r="I2207" t="s">
        <v>36</v>
      </c>
      <c r="J2207" s="1">
        <v>45640</v>
      </c>
      <c r="K2207" t="b">
        <v>1</v>
      </c>
    </row>
    <row r="2208" spans="1:11" x14ac:dyDescent="0.25">
      <c r="A2208" t="s">
        <v>5062</v>
      </c>
      <c r="B2208" t="s">
        <v>104</v>
      </c>
      <c r="C2208" t="s">
        <v>31</v>
      </c>
      <c r="D2208" t="s">
        <v>372</v>
      </c>
      <c r="E2208" s="2">
        <v>29</v>
      </c>
      <c r="F2208" s="4">
        <v>6</v>
      </c>
      <c r="G2208" s="2">
        <v>174</v>
      </c>
      <c r="H2208" t="s">
        <v>15</v>
      </c>
      <c r="I2208" t="s">
        <v>36</v>
      </c>
      <c r="J2208" s="1">
        <v>45510</v>
      </c>
      <c r="K2208" t="b">
        <v>1</v>
      </c>
    </row>
    <row r="2209" spans="1:11" x14ac:dyDescent="0.25">
      <c r="A2209" t="s">
        <v>7127</v>
      </c>
      <c r="B2209" t="s">
        <v>40</v>
      </c>
      <c r="C2209" t="s">
        <v>19</v>
      </c>
      <c r="D2209" t="s">
        <v>20</v>
      </c>
      <c r="E2209" s="2">
        <v>29</v>
      </c>
      <c r="F2209" s="4">
        <v>6</v>
      </c>
      <c r="G2209" s="2">
        <v>174</v>
      </c>
      <c r="H2209" t="s">
        <v>45</v>
      </c>
      <c r="I2209" t="s">
        <v>16</v>
      </c>
      <c r="J2209" s="1">
        <v>45217</v>
      </c>
      <c r="K2209" t="b">
        <v>1</v>
      </c>
    </row>
    <row r="2210" spans="1:11" x14ac:dyDescent="0.25">
      <c r="A2210" t="s">
        <v>3206</v>
      </c>
      <c r="B2210" t="s">
        <v>86</v>
      </c>
      <c r="C2210" t="s">
        <v>19</v>
      </c>
      <c r="D2210" t="s">
        <v>20</v>
      </c>
      <c r="E2210" s="2">
        <v>29</v>
      </c>
      <c r="F2210" s="4">
        <v>6</v>
      </c>
      <c r="G2210" s="2">
        <v>174</v>
      </c>
      <c r="H2210" t="s">
        <v>15</v>
      </c>
      <c r="I2210" t="s">
        <v>36</v>
      </c>
      <c r="J2210" s="1">
        <v>45605</v>
      </c>
      <c r="K2210" t="b">
        <v>1</v>
      </c>
    </row>
    <row r="2211" spans="1:11" x14ac:dyDescent="0.25">
      <c r="A2211" t="s">
        <v>2697</v>
      </c>
      <c r="B2211" t="s">
        <v>51</v>
      </c>
      <c r="C2211" t="s">
        <v>19</v>
      </c>
      <c r="D2211" t="s">
        <v>20</v>
      </c>
      <c r="E2211" s="2">
        <v>29</v>
      </c>
      <c r="F2211" s="4">
        <v>6</v>
      </c>
      <c r="G2211" s="2">
        <v>174</v>
      </c>
      <c r="H2211" t="s">
        <v>45</v>
      </c>
      <c r="I2211" t="s">
        <v>16</v>
      </c>
      <c r="J2211" s="1">
        <v>44726</v>
      </c>
      <c r="K2211" t="b">
        <v>1</v>
      </c>
    </row>
    <row r="2212" spans="1:11" x14ac:dyDescent="0.25">
      <c r="A2212" t="s">
        <v>5652</v>
      </c>
      <c r="B2212" t="s">
        <v>69</v>
      </c>
      <c r="C2212" t="s">
        <v>110</v>
      </c>
      <c r="D2212" t="s">
        <v>386</v>
      </c>
      <c r="E2212" s="2">
        <v>29</v>
      </c>
      <c r="F2212" s="4">
        <v>6</v>
      </c>
      <c r="G2212" s="2">
        <v>174</v>
      </c>
      <c r="H2212" t="s">
        <v>45</v>
      </c>
      <c r="I2212" t="s">
        <v>16</v>
      </c>
      <c r="J2212" s="1">
        <v>45635</v>
      </c>
      <c r="K2212" t="b">
        <v>0</v>
      </c>
    </row>
    <row r="2213" spans="1:11" x14ac:dyDescent="0.25">
      <c r="A2213" t="s">
        <v>5790</v>
      </c>
      <c r="B2213" t="s">
        <v>100</v>
      </c>
      <c r="C2213" t="s">
        <v>31</v>
      </c>
      <c r="D2213" t="s">
        <v>372</v>
      </c>
      <c r="E2213" s="2">
        <v>29</v>
      </c>
      <c r="F2213" s="4">
        <v>6</v>
      </c>
      <c r="G2213" s="2">
        <v>174</v>
      </c>
      <c r="H2213" t="s">
        <v>25</v>
      </c>
      <c r="I2213" t="s">
        <v>16</v>
      </c>
      <c r="J2213" s="1">
        <v>45485</v>
      </c>
      <c r="K2213" t="b">
        <v>1</v>
      </c>
    </row>
    <row r="2214" spans="1:11" x14ac:dyDescent="0.25">
      <c r="A2214" t="s">
        <v>5338</v>
      </c>
      <c r="B2214" t="s">
        <v>97</v>
      </c>
      <c r="C2214" t="s">
        <v>19</v>
      </c>
      <c r="D2214" t="s">
        <v>20</v>
      </c>
      <c r="E2214" s="2">
        <v>29</v>
      </c>
      <c r="F2214" s="4">
        <v>6</v>
      </c>
      <c r="G2214" s="2">
        <v>174</v>
      </c>
      <c r="H2214" t="s">
        <v>45</v>
      </c>
      <c r="I2214" t="s">
        <v>16</v>
      </c>
      <c r="J2214" s="1">
        <v>44827</v>
      </c>
      <c r="K2214" t="b">
        <v>1</v>
      </c>
    </row>
    <row r="2215" spans="1:11" x14ac:dyDescent="0.25">
      <c r="A2215" t="s">
        <v>5828</v>
      </c>
      <c r="B2215" t="s">
        <v>61</v>
      </c>
      <c r="C2215" t="s">
        <v>23</v>
      </c>
      <c r="D2215" t="s">
        <v>352</v>
      </c>
      <c r="E2215" s="2">
        <v>29</v>
      </c>
      <c r="F2215" s="4">
        <v>6</v>
      </c>
      <c r="G2215" s="2">
        <v>174</v>
      </c>
      <c r="H2215" t="s">
        <v>15</v>
      </c>
      <c r="I2215" t="s">
        <v>36</v>
      </c>
      <c r="J2215" s="1">
        <v>44895</v>
      </c>
      <c r="K2215" t="b">
        <v>0</v>
      </c>
    </row>
    <row r="2216" spans="1:11" x14ac:dyDescent="0.25">
      <c r="A2216" t="s">
        <v>607</v>
      </c>
      <c r="B2216" t="s">
        <v>43</v>
      </c>
      <c r="C2216" t="s">
        <v>110</v>
      </c>
      <c r="D2216" t="s">
        <v>386</v>
      </c>
      <c r="E2216" s="2">
        <v>29</v>
      </c>
      <c r="F2216" s="4">
        <v>6</v>
      </c>
      <c r="G2216" s="2">
        <v>174</v>
      </c>
      <c r="H2216" t="s">
        <v>25</v>
      </c>
      <c r="I2216" t="s">
        <v>16</v>
      </c>
      <c r="J2216" s="1">
        <v>44575</v>
      </c>
      <c r="K2216" t="b">
        <v>1</v>
      </c>
    </row>
    <row r="2217" spans="1:11" x14ac:dyDescent="0.25">
      <c r="A2217" t="s">
        <v>2134</v>
      </c>
      <c r="B2217" t="s">
        <v>66</v>
      </c>
      <c r="C2217" t="s">
        <v>31</v>
      </c>
      <c r="D2217" t="s">
        <v>372</v>
      </c>
      <c r="E2217" s="2">
        <v>29</v>
      </c>
      <c r="F2217" s="4">
        <v>6</v>
      </c>
      <c r="G2217" s="2">
        <v>174</v>
      </c>
      <c r="H2217" t="s">
        <v>45</v>
      </c>
      <c r="I2217" t="s">
        <v>16</v>
      </c>
      <c r="J2217" s="1">
        <v>45473</v>
      </c>
      <c r="K2217" t="b">
        <v>0</v>
      </c>
    </row>
    <row r="2218" spans="1:11" x14ac:dyDescent="0.25">
      <c r="A2218" t="s">
        <v>1784</v>
      </c>
      <c r="B2218" t="s">
        <v>72</v>
      </c>
      <c r="C2218" t="s">
        <v>59</v>
      </c>
      <c r="D2218" t="s">
        <v>297</v>
      </c>
      <c r="E2218" s="2">
        <v>29</v>
      </c>
      <c r="F2218" s="4">
        <v>6</v>
      </c>
      <c r="G2218" s="2">
        <v>174</v>
      </c>
      <c r="H2218" t="s">
        <v>25</v>
      </c>
      <c r="I2218" t="s">
        <v>36</v>
      </c>
      <c r="J2218" s="1">
        <v>44964</v>
      </c>
      <c r="K2218" t="b">
        <v>1</v>
      </c>
    </row>
    <row r="2219" spans="1:11" x14ac:dyDescent="0.25">
      <c r="A2219" t="s">
        <v>6890</v>
      </c>
      <c r="B2219" t="s">
        <v>100</v>
      </c>
      <c r="C2219" t="s">
        <v>38</v>
      </c>
      <c r="D2219" t="s">
        <v>267</v>
      </c>
      <c r="E2219" s="2">
        <v>29</v>
      </c>
      <c r="F2219" s="4">
        <v>6</v>
      </c>
      <c r="G2219" s="2">
        <v>174</v>
      </c>
      <c r="H2219" t="s">
        <v>15</v>
      </c>
      <c r="I2219" t="s">
        <v>16</v>
      </c>
      <c r="J2219" s="1">
        <v>45279</v>
      </c>
      <c r="K2219" t="b">
        <v>0</v>
      </c>
    </row>
    <row r="2220" spans="1:11" x14ac:dyDescent="0.25">
      <c r="A2220" t="s">
        <v>4955</v>
      </c>
      <c r="B2220" t="s">
        <v>86</v>
      </c>
      <c r="C2220" t="s">
        <v>27</v>
      </c>
      <c r="D2220" t="s">
        <v>421</v>
      </c>
      <c r="E2220" s="2">
        <v>29</v>
      </c>
      <c r="F2220" s="4">
        <v>6</v>
      </c>
      <c r="G2220" s="2">
        <v>174</v>
      </c>
      <c r="H2220" t="s">
        <v>15</v>
      </c>
      <c r="I2220" t="s">
        <v>16</v>
      </c>
      <c r="J2220" s="1">
        <v>45451</v>
      </c>
      <c r="K2220" t="b">
        <v>1</v>
      </c>
    </row>
    <row r="2221" spans="1:11" x14ac:dyDescent="0.25">
      <c r="A2221" t="s">
        <v>3403</v>
      </c>
      <c r="B2221" t="s">
        <v>86</v>
      </c>
      <c r="C2221" t="s">
        <v>110</v>
      </c>
      <c r="D2221" t="s">
        <v>451</v>
      </c>
      <c r="E2221" s="2">
        <v>21.5</v>
      </c>
      <c r="F2221" s="4">
        <v>8</v>
      </c>
      <c r="G2221" s="2">
        <v>172</v>
      </c>
      <c r="H2221" t="s">
        <v>25</v>
      </c>
      <c r="I2221" t="s">
        <v>16</v>
      </c>
      <c r="J2221" s="1">
        <v>45181</v>
      </c>
      <c r="K2221" t="b">
        <v>1</v>
      </c>
    </row>
    <row r="2222" spans="1:11" x14ac:dyDescent="0.25">
      <c r="A2222" t="s">
        <v>4982</v>
      </c>
      <c r="B2222" t="s">
        <v>77</v>
      </c>
      <c r="C2222" t="s">
        <v>19</v>
      </c>
      <c r="D2222" t="s">
        <v>1410</v>
      </c>
      <c r="E2222" s="2">
        <v>21.5</v>
      </c>
      <c r="F2222" s="4">
        <v>8</v>
      </c>
      <c r="G2222" s="2">
        <v>172</v>
      </c>
      <c r="H2222" t="s">
        <v>25</v>
      </c>
      <c r="I2222" t="s">
        <v>16</v>
      </c>
      <c r="J2222" s="1">
        <v>44709</v>
      </c>
      <c r="K2222" t="b">
        <v>0</v>
      </c>
    </row>
    <row r="2223" spans="1:11" x14ac:dyDescent="0.25">
      <c r="A2223" t="s">
        <v>6645</v>
      </c>
      <c r="B2223" t="s">
        <v>104</v>
      </c>
      <c r="C2223" t="s">
        <v>31</v>
      </c>
      <c r="D2223" t="s">
        <v>108</v>
      </c>
      <c r="E2223" s="2">
        <v>21.5</v>
      </c>
      <c r="F2223" s="4">
        <v>8</v>
      </c>
      <c r="G2223" s="2">
        <v>172</v>
      </c>
      <c r="H2223" t="s">
        <v>45</v>
      </c>
      <c r="I2223" t="s">
        <v>16</v>
      </c>
      <c r="J2223" s="1">
        <v>45569</v>
      </c>
      <c r="K2223" t="b">
        <v>1</v>
      </c>
    </row>
    <row r="2224" spans="1:11" x14ac:dyDescent="0.25">
      <c r="A2224" t="s">
        <v>1543</v>
      </c>
      <c r="B2224" t="s">
        <v>12</v>
      </c>
      <c r="C2224" t="s">
        <v>38</v>
      </c>
      <c r="D2224" t="s">
        <v>509</v>
      </c>
      <c r="E2224" s="2">
        <v>21.5</v>
      </c>
      <c r="F2224" s="4">
        <v>8</v>
      </c>
      <c r="G2224" s="2">
        <v>172</v>
      </c>
      <c r="H2224" t="s">
        <v>45</v>
      </c>
      <c r="I2224" t="s">
        <v>36</v>
      </c>
      <c r="J2224" s="1">
        <v>45416</v>
      </c>
      <c r="K2224" t="b">
        <v>1</v>
      </c>
    </row>
    <row r="2225" spans="1:11" x14ac:dyDescent="0.25">
      <c r="A2225" t="s">
        <v>508</v>
      </c>
      <c r="B2225" t="s">
        <v>58</v>
      </c>
      <c r="C2225" t="s">
        <v>38</v>
      </c>
      <c r="D2225" t="s">
        <v>509</v>
      </c>
      <c r="E2225" s="2">
        <v>21.5</v>
      </c>
      <c r="F2225" s="4">
        <v>8</v>
      </c>
      <c r="G2225" s="2">
        <v>172</v>
      </c>
      <c r="H2225" t="s">
        <v>45</v>
      </c>
      <c r="I2225" t="s">
        <v>16</v>
      </c>
      <c r="J2225" s="1">
        <v>45575</v>
      </c>
      <c r="K2225" t="b">
        <v>1</v>
      </c>
    </row>
    <row r="2226" spans="1:11" x14ac:dyDescent="0.25">
      <c r="A2226" t="s">
        <v>6269</v>
      </c>
      <c r="B2226" t="s">
        <v>22</v>
      </c>
      <c r="C2226" t="s">
        <v>23</v>
      </c>
      <c r="D2226" t="s">
        <v>24</v>
      </c>
      <c r="E2226" s="2">
        <v>21.5</v>
      </c>
      <c r="F2226" s="4">
        <v>8</v>
      </c>
      <c r="G2226" s="2">
        <v>172</v>
      </c>
      <c r="H2226" t="s">
        <v>25</v>
      </c>
      <c r="I2226" t="s">
        <v>36</v>
      </c>
      <c r="J2226" s="1">
        <v>45295</v>
      </c>
      <c r="K2226" t="b">
        <v>0</v>
      </c>
    </row>
    <row r="2227" spans="1:11" x14ac:dyDescent="0.25">
      <c r="A2227" t="s">
        <v>5210</v>
      </c>
      <c r="B2227" t="s">
        <v>34</v>
      </c>
      <c r="C2227" t="s">
        <v>19</v>
      </c>
      <c r="D2227" t="s">
        <v>1410</v>
      </c>
      <c r="E2227" s="2">
        <v>21.5</v>
      </c>
      <c r="F2227" s="4">
        <v>8</v>
      </c>
      <c r="G2227" s="2">
        <v>172</v>
      </c>
      <c r="H2227" t="s">
        <v>25</v>
      </c>
      <c r="I2227" t="s">
        <v>16</v>
      </c>
      <c r="J2227" s="1">
        <v>45172</v>
      </c>
      <c r="K2227" t="b">
        <v>1</v>
      </c>
    </row>
    <row r="2228" spans="1:11" x14ac:dyDescent="0.25">
      <c r="A2228" t="s">
        <v>6116</v>
      </c>
      <c r="B2228" t="s">
        <v>97</v>
      </c>
      <c r="C2228" t="s">
        <v>27</v>
      </c>
      <c r="D2228" t="s">
        <v>315</v>
      </c>
      <c r="E2228" s="2">
        <v>21.5</v>
      </c>
      <c r="F2228" s="4">
        <v>8</v>
      </c>
      <c r="G2228" s="2">
        <v>172</v>
      </c>
      <c r="H2228" t="s">
        <v>45</v>
      </c>
      <c r="I2228" t="s">
        <v>16</v>
      </c>
      <c r="J2228" s="1">
        <v>44582</v>
      </c>
      <c r="K2228" t="b">
        <v>0</v>
      </c>
    </row>
    <row r="2229" spans="1:11" x14ac:dyDescent="0.25">
      <c r="A2229" t="s">
        <v>1689</v>
      </c>
      <c r="B2229" t="s">
        <v>22</v>
      </c>
      <c r="C2229" t="s">
        <v>13</v>
      </c>
      <c r="D2229" t="s">
        <v>141</v>
      </c>
      <c r="E2229" s="2">
        <v>21.5</v>
      </c>
      <c r="F2229" s="4">
        <v>8</v>
      </c>
      <c r="G2229" s="2">
        <v>172</v>
      </c>
      <c r="H2229" t="s">
        <v>25</v>
      </c>
      <c r="I2229" t="s">
        <v>16</v>
      </c>
      <c r="J2229" s="1">
        <v>44578</v>
      </c>
      <c r="K2229" t="b">
        <v>0</v>
      </c>
    </row>
    <row r="2230" spans="1:11" x14ac:dyDescent="0.25">
      <c r="A2230" t="s">
        <v>5527</v>
      </c>
      <c r="B2230" t="s">
        <v>142</v>
      </c>
      <c r="C2230" t="s">
        <v>31</v>
      </c>
      <c r="D2230" t="s">
        <v>108</v>
      </c>
      <c r="E2230" s="2">
        <v>21.5</v>
      </c>
      <c r="F2230" s="4">
        <v>8</v>
      </c>
      <c r="G2230" s="2">
        <v>172</v>
      </c>
      <c r="H2230" t="s">
        <v>45</v>
      </c>
      <c r="I2230" t="s">
        <v>36</v>
      </c>
      <c r="J2230" s="1">
        <v>44774</v>
      </c>
      <c r="K2230" t="b">
        <v>1</v>
      </c>
    </row>
    <row r="2231" spans="1:11" x14ac:dyDescent="0.25">
      <c r="A2231" t="s">
        <v>1636</v>
      </c>
      <c r="B2231" t="s">
        <v>100</v>
      </c>
      <c r="C2231" t="s">
        <v>31</v>
      </c>
      <c r="D2231" t="s">
        <v>108</v>
      </c>
      <c r="E2231" s="2">
        <v>21.5</v>
      </c>
      <c r="F2231" s="4">
        <v>8</v>
      </c>
      <c r="G2231" s="2">
        <v>172</v>
      </c>
      <c r="H2231" t="s">
        <v>25</v>
      </c>
      <c r="I2231" t="s">
        <v>16</v>
      </c>
      <c r="J2231" s="1">
        <v>44687</v>
      </c>
      <c r="K2231" t="b">
        <v>1</v>
      </c>
    </row>
    <row r="2232" spans="1:11" x14ac:dyDescent="0.25">
      <c r="A2232" t="s">
        <v>614</v>
      </c>
      <c r="B2232" t="s">
        <v>58</v>
      </c>
      <c r="C2232" t="s">
        <v>31</v>
      </c>
      <c r="D2232" t="s">
        <v>108</v>
      </c>
      <c r="E2232" s="2">
        <v>21.5</v>
      </c>
      <c r="F2232" s="4">
        <v>8</v>
      </c>
      <c r="G2232" s="2">
        <v>172</v>
      </c>
      <c r="H2232" t="s">
        <v>45</v>
      </c>
      <c r="I2232" t="s">
        <v>16</v>
      </c>
      <c r="J2232" s="1">
        <v>44810</v>
      </c>
      <c r="K2232" t="b">
        <v>1</v>
      </c>
    </row>
    <row r="2233" spans="1:11" x14ac:dyDescent="0.25">
      <c r="A2233" t="s">
        <v>140</v>
      </c>
      <c r="B2233" t="s">
        <v>72</v>
      </c>
      <c r="C2233" t="s">
        <v>13</v>
      </c>
      <c r="D2233" t="s">
        <v>141</v>
      </c>
      <c r="E2233" s="2">
        <v>21.5</v>
      </c>
      <c r="F2233" s="4">
        <v>8</v>
      </c>
      <c r="G2233" s="2">
        <v>172</v>
      </c>
      <c r="H2233" t="s">
        <v>45</v>
      </c>
      <c r="I2233" t="s">
        <v>36</v>
      </c>
      <c r="J2233" s="1">
        <v>45257</v>
      </c>
      <c r="K2233" t="b">
        <v>0</v>
      </c>
    </row>
    <row r="2234" spans="1:11" x14ac:dyDescent="0.25">
      <c r="A2234" t="s">
        <v>3418</v>
      </c>
      <c r="B2234" t="s">
        <v>100</v>
      </c>
      <c r="C2234" t="s">
        <v>31</v>
      </c>
      <c r="D2234" t="s">
        <v>108</v>
      </c>
      <c r="E2234" s="2">
        <v>21.5</v>
      </c>
      <c r="F2234" s="4">
        <v>8</v>
      </c>
      <c r="G2234" s="2">
        <v>172</v>
      </c>
      <c r="H2234" t="s">
        <v>15</v>
      </c>
      <c r="I2234" t="s">
        <v>36</v>
      </c>
      <c r="J2234" s="1">
        <v>44923</v>
      </c>
      <c r="K2234" t="b">
        <v>1</v>
      </c>
    </row>
    <row r="2235" spans="1:11" x14ac:dyDescent="0.25">
      <c r="A2235" t="s">
        <v>1468</v>
      </c>
      <c r="B2235" t="s">
        <v>66</v>
      </c>
      <c r="C2235" t="s">
        <v>110</v>
      </c>
      <c r="D2235" t="s">
        <v>451</v>
      </c>
      <c r="E2235" s="2">
        <v>21.5</v>
      </c>
      <c r="F2235" s="4">
        <v>8</v>
      </c>
      <c r="G2235" s="2">
        <v>172</v>
      </c>
      <c r="H2235" t="s">
        <v>15</v>
      </c>
      <c r="I2235" t="s">
        <v>16</v>
      </c>
      <c r="J2235" s="1">
        <v>45665</v>
      </c>
      <c r="K2235" t="b">
        <v>0</v>
      </c>
    </row>
    <row r="2236" spans="1:11" x14ac:dyDescent="0.25">
      <c r="A2236" t="s">
        <v>1401</v>
      </c>
      <c r="B2236" t="s">
        <v>43</v>
      </c>
      <c r="C2236" t="s">
        <v>13</v>
      </c>
      <c r="D2236" t="s">
        <v>141</v>
      </c>
      <c r="E2236" s="2">
        <v>21.5</v>
      </c>
      <c r="F2236" s="4">
        <v>8</v>
      </c>
      <c r="G2236" s="2">
        <v>172</v>
      </c>
      <c r="H2236" t="s">
        <v>15</v>
      </c>
      <c r="I2236" t="s">
        <v>16</v>
      </c>
      <c r="J2236" s="1">
        <v>45393</v>
      </c>
      <c r="K2236" t="b">
        <v>1</v>
      </c>
    </row>
    <row r="2237" spans="1:11" x14ac:dyDescent="0.25">
      <c r="A2237" t="s">
        <v>3180</v>
      </c>
      <c r="B2237" t="s">
        <v>142</v>
      </c>
      <c r="C2237" t="s">
        <v>13</v>
      </c>
      <c r="D2237" t="s">
        <v>141</v>
      </c>
      <c r="E2237" s="2">
        <v>21.5</v>
      </c>
      <c r="F2237" s="4">
        <v>8</v>
      </c>
      <c r="G2237" s="2">
        <v>172</v>
      </c>
      <c r="H2237" t="s">
        <v>15</v>
      </c>
      <c r="I2237" t="s">
        <v>36</v>
      </c>
      <c r="J2237" s="1">
        <v>45562</v>
      </c>
      <c r="K2237" t="b">
        <v>1</v>
      </c>
    </row>
    <row r="2238" spans="1:11" x14ac:dyDescent="0.25">
      <c r="A2238" t="s">
        <v>7096</v>
      </c>
      <c r="B2238" t="s">
        <v>85</v>
      </c>
      <c r="C2238" t="s">
        <v>13</v>
      </c>
      <c r="D2238" t="s">
        <v>141</v>
      </c>
      <c r="E2238" s="2">
        <v>21.5</v>
      </c>
      <c r="F2238" s="4">
        <v>8</v>
      </c>
      <c r="G2238" s="2">
        <v>172</v>
      </c>
      <c r="H2238" t="s">
        <v>25</v>
      </c>
      <c r="I2238" t="s">
        <v>36</v>
      </c>
      <c r="J2238" s="1">
        <v>45425</v>
      </c>
      <c r="K2238" t="b">
        <v>1</v>
      </c>
    </row>
    <row r="2239" spans="1:11" x14ac:dyDescent="0.25">
      <c r="A2239" t="s">
        <v>3100</v>
      </c>
      <c r="B2239" t="s">
        <v>18</v>
      </c>
      <c r="C2239" t="s">
        <v>27</v>
      </c>
      <c r="D2239" t="s">
        <v>315</v>
      </c>
      <c r="E2239" s="2">
        <v>21.5</v>
      </c>
      <c r="F2239" s="4">
        <v>8</v>
      </c>
      <c r="G2239" s="2">
        <v>172</v>
      </c>
      <c r="H2239" t="s">
        <v>25</v>
      </c>
      <c r="I2239" t="s">
        <v>36</v>
      </c>
      <c r="J2239" s="1">
        <v>45577</v>
      </c>
      <c r="K2239" t="b">
        <v>0</v>
      </c>
    </row>
    <row r="2240" spans="1:11" x14ac:dyDescent="0.25">
      <c r="A2240" t="s">
        <v>2660</v>
      </c>
      <c r="B2240" t="s">
        <v>40</v>
      </c>
      <c r="C2240" t="s">
        <v>110</v>
      </c>
      <c r="D2240" t="s">
        <v>451</v>
      </c>
      <c r="E2240" s="2">
        <v>21.5</v>
      </c>
      <c r="F2240" s="4">
        <v>8</v>
      </c>
      <c r="G2240" s="2">
        <v>172</v>
      </c>
      <c r="H2240" t="s">
        <v>25</v>
      </c>
      <c r="I2240" t="s">
        <v>36</v>
      </c>
      <c r="J2240" s="1">
        <v>44847</v>
      </c>
      <c r="K2240" t="b">
        <v>1</v>
      </c>
    </row>
    <row r="2241" spans="1:11" x14ac:dyDescent="0.25">
      <c r="A2241" t="s">
        <v>6061</v>
      </c>
      <c r="B2241" t="s">
        <v>72</v>
      </c>
      <c r="C2241" t="s">
        <v>31</v>
      </c>
      <c r="D2241" t="s">
        <v>108</v>
      </c>
      <c r="E2241" s="2">
        <v>21.5</v>
      </c>
      <c r="F2241" s="4">
        <v>8</v>
      </c>
      <c r="G2241" s="2">
        <v>172</v>
      </c>
      <c r="H2241" t="s">
        <v>45</v>
      </c>
      <c r="I2241" t="s">
        <v>36</v>
      </c>
      <c r="J2241" s="1">
        <v>45445</v>
      </c>
      <c r="K2241" t="b">
        <v>0</v>
      </c>
    </row>
    <row r="2242" spans="1:11" x14ac:dyDescent="0.25">
      <c r="A2242" t="s">
        <v>2706</v>
      </c>
      <c r="B2242" t="s">
        <v>61</v>
      </c>
      <c r="C2242" t="s">
        <v>59</v>
      </c>
      <c r="D2242" t="s">
        <v>288</v>
      </c>
      <c r="E2242" s="2">
        <v>21.5</v>
      </c>
      <c r="F2242" s="4">
        <v>8</v>
      </c>
      <c r="G2242" s="2">
        <v>172</v>
      </c>
      <c r="H2242" t="s">
        <v>25</v>
      </c>
      <c r="I2242" t="s">
        <v>36</v>
      </c>
      <c r="J2242" s="1">
        <v>45523</v>
      </c>
      <c r="K2242" t="b">
        <v>1</v>
      </c>
    </row>
    <row r="2243" spans="1:11" x14ac:dyDescent="0.25">
      <c r="A2243" t="s">
        <v>2801</v>
      </c>
      <c r="B2243" t="s">
        <v>58</v>
      </c>
      <c r="C2243" t="s">
        <v>27</v>
      </c>
      <c r="D2243" t="s">
        <v>315</v>
      </c>
      <c r="E2243" s="2">
        <v>21.5</v>
      </c>
      <c r="F2243" s="4">
        <v>8</v>
      </c>
      <c r="G2243" s="2">
        <v>172</v>
      </c>
      <c r="H2243" t="s">
        <v>25</v>
      </c>
      <c r="I2243" t="s">
        <v>36</v>
      </c>
      <c r="J2243" s="1">
        <v>44618</v>
      </c>
      <c r="K2243" t="b">
        <v>1</v>
      </c>
    </row>
    <row r="2244" spans="1:11" x14ac:dyDescent="0.25">
      <c r="A2244" t="s">
        <v>7819</v>
      </c>
      <c r="B2244" t="s">
        <v>85</v>
      </c>
      <c r="C2244" t="s">
        <v>59</v>
      </c>
      <c r="D2244" t="s">
        <v>288</v>
      </c>
      <c r="E2244" s="2">
        <v>21.5</v>
      </c>
      <c r="F2244" s="4">
        <v>8</v>
      </c>
      <c r="G2244" s="2">
        <v>172</v>
      </c>
      <c r="H2244" t="s">
        <v>15</v>
      </c>
      <c r="I2244" t="s">
        <v>16</v>
      </c>
      <c r="J2244" s="1">
        <v>45579</v>
      </c>
      <c r="K2244" t="b">
        <v>1</v>
      </c>
    </row>
    <row r="2245" spans="1:11" x14ac:dyDescent="0.25">
      <c r="A2245" t="s">
        <v>6105</v>
      </c>
      <c r="B2245" t="s">
        <v>93</v>
      </c>
      <c r="C2245" t="s">
        <v>110</v>
      </c>
      <c r="D2245" t="s">
        <v>451</v>
      </c>
      <c r="E2245" s="2">
        <v>21.5</v>
      </c>
      <c r="F2245" s="4">
        <v>8</v>
      </c>
      <c r="G2245" s="2">
        <v>172</v>
      </c>
      <c r="H2245" t="s">
        <v>15</v>
      </c>
      <c r="I2245" t="s">
        <v>36</v>
      </c>
      <c r="J2245" s="1">
        <v>45673</v>
      </c>
      <c r="K2245" t="b">
        <v>1</v>
      </c>
    </row>
    <row r="2246" spans="1:11" x14ac:dyDescent="0.25">
      <c r="A2246" t="s">
        <v>6179</v>
      </c>
      <c r="B2246" t="s">
        <v>63</v>
      </c>
      <c r="C2246" t="s">
        <v>13</v>
      </c>
      <c r="D2246" t="s">
        <v>141</v>
      </c>
      <c r="E2246" s="2">
        <v>21.5</v>
      </c>
      <c r="F2246" s="4">
        <v>8</v>
      </c>
      <c r="G2246" s="2">
        <v>172</v>
      </c>
      <c r="H2246" t="s">
        <v>45</v>
      </c>
      <c r="I2246" t="s">
        <v>36</v>
      </c>
      <c r="J2246" s="1">
        <v>44920</v>
      </c>
      <c r="K2246" t="b">
        <v>1</v>
      </c>
    </row>
    <row r="2247" spans="1:11" x14ac:dyDescent="0.25">
      <c r="A2247" t="s">
        <v>4225</v>
      </c>
      <c r="B2247" t="s">
        <v>12</v>
      </c>
      <c r="C2247" t="s">
        <v>59</v>
      </c>
      <c r="D2247" t="s">
        <v>288</v>
      </c>
      <c r="E2247" s="2">
        <v>21.5</v>
      </c>
      <c r="F2247" s="4">
        <v>8</v>
      </c>
      <c r="G2247" s="2">
        <v>172</v>
      </c>
      <c r="H2247" t="s">
        <v>15</v>
      </c>
      <c r="I2247" t="s">
        <v>36</v>
      </c>
      <c r="J2247" s="1">
        <v>45177</v>
      </c>
      <c r="K2247" t="b">
        <v>0</v>
      </c>
    </row>
    <row r="2248" spans="1:11" x14ac:dyDescent="0.25">
      <c r="A2248" t="s">
        <v>4411</v>
      </c>
      <c r="B2248" t="s">
        <v>34</v>
      </c>
      <c r="C2248" t="s">
        <v>31</v>
      </c>
      <c r="D2248" t="s">
        <v>108</v>
      </c>
      <c r="E2248" s="2">
        <v>21.5</v>
      </c>
      <c r="F2248" s="4">
        <v>8</v>
      </c>
      <c r="G2248" s="2">
        <v>172</v>
      </c>
      <c r="H2248" t="s">
        <v>45</v>
      </c>
      <c r="I2248" t="s">
        <v>16</v>
      </c>
      <c r="J2248" s="1">
        <v>44899</v>
      </c>
      <c r="K2248" t="b">
        <v>0</v>
      </c>
    </row>
    <row r="2249" spans="1:11" x14ac:dyDescent="0.25">
      <c r="A2249" t="s">
        <v>2175</v>
      </c>
      <c r="B2249" t="s">
        <v>22</v>
      </c>
      <c r="C2249" t="s">
        <v>38</v>
      </c>
      <c r="D2249" t="s">
        <v>509</v>
      </c>
      <c r="E2249" s="2">
        <v>21.5</v>
      </c>
      <c r="F2249" s="4">
        <v>8</v>
      </c>
      <c r="G2249" s="2">
        <v>172</v>
      </c>
      <c r="H2249" t="s">
        <v>45</v>
      </c>
      <c r="I2249" t="s">
        <v>16</v>
      </c>
      <c r="J2249" s="1">
        <v>45025</v>
      </c>
      <c r="K2249" t="b">
        <v>0</v>
      </c>
    </row>
    <row r="2250" spans="1:11" x14ac:dyDescent="0.25">
      <c r="A2250" t="s">
        <v>4481</v>
      </c>
      <c r="B2250" t="s">
        <v>97</v>
      </c>
      <c r="C2250" t="s">
        <v>59</v>
      </c>
      <c r="D2250" t="s">
        <v>288</v>
      </c>
      <c r="E2250" s="2">
        <v>21.5</v>
      </c>
      <c r="F2250" s="4">
        <v>8</v>
      </c>
      <c r="G2250" s="2">
        <v>172</v>
      </c>
      <c r="H2250" t="s">
        <v>45</v>
      </c>
      <c r="I2250" t="s">
        <v>36</v>
      </c>
      <c r="J2250" s="1">
        <v>45192</v>
      </c>
      <c r="K2250" t="b">
        <v>1</v>
      </c>
    </row>
    <row r="2251" spans="1:11" x14ac:dyDescent="0.25">
      <c r="A2251" t="s">
        <v>3237</v>
      </c>
      <c r="B2251" t="s">
        <v>72</v>
      </c>
      <c r="C2251" t="s">
        <v>13</v>
      </c>
      <c r="D2251" t="s">
        <v>141</v>
      </c>
      <c r="E2251" s="2">
        <v>21.5</v>
      </c>
      <c r="F2251" s="4">
        <v>8</v>
      </c>
      <c r="G2251" s="2">
        <v>172</v>
      </c>
      <c r="H2251" t="s">
        <v>25</v>
      </c>
      <c r="I2251" t="s">
        <v>16</v>
      </c>
      <c r="J2251" s="1">
        <v>44681</v>
      </c>
      <c r="K2251" t="b">
        <v>1</v>
      </c>
    </row>
    <row r="2252" spans="1:11" x14ac:dyDescent="0.25">
      <c r="A2252" t="s">
        <v>4379</v>
      </c>
      <c r="B2252" t="s">
        <v>86</v>
      </c>
      <c r="C2252" t="s">
        <v>59</v>
      </c>
      <c r="D2252" t="s">
        <v>288</v>
      </c>
      <c r="E2252" s="2">
        <v>21.5</v>
      </c>
      <c r="F2252" s="4">
        <v>8</v>
      </c>
      <c r="G2252" s="2">
        <v>172</v>
      </c>
      <c r="H2252" t="s">
        <v>25</v>
      </c>
      <c r="I2252" t="s">
        <v>36</v>
      </c>
      <c r="J2252" s="1">
        <v>45529</v>
      </c>
      <c r="K2252" t="b">
        <v>1</v>
      </c>
    </row>
    <row r="2253" spans="1:11" x14ac:dyDescent="0.25">
      <c r="A2253" t="s">
        <v>2869</v>
      </c>
      <c r="B2253" t="s">
        <v>86</v>
      </c>
      <c r="C2253" t="s">
        <v>31</v>
      </c>
      <c r="D2253" t="s">
        <v>108</v>
      </c>
      <c r="E2253" s="2">
        <v>21.5</v>
      </c>
      <c r="F2253" s="4">
        <v>8</v>
      </c>
      <c r="G2253" s="2">
        <v>172</v>
      </c>
      <c r="H2253" t="s">
        <v>15</v>
      </c>
      <c r="I2253" t="s">
        <v>36</v>
      </c>
      <c r="J2253" s="1">
        <v>44940</v>
      </c>
      <c r="K2253" t="b">
        <v>1</v>
      </c>
    </row>
    <row r="2254" spans="1:11" x14ac:dyDescent="0.25">
      <c r="A2254" t="s">
        <v>5175</v>
      </c>
      <c r="B2254" t="s">
        <v>26</v>
      </c>
      <c r="C2254" t="s">
        <v>27</v>
      </c>
      <c r="D2254" t="s">
        <v>315</v>
      </c>
      <c r="E2254" s="2">
        <v>21.5</v>
      </c>
      <c r="F2254" s="4">
        <v>8</v>
      </c>
      <c r="G2254" s="2">
        <v>172</v>
      </c>
      <c r="H2254" t="s">
        <v>15</v>
      </c>
      <c r="I2254" t="s">
        <v>16</v>
      </c>
      <c r="J2254" s="1">
        <v>45393</v>
      </c>
      <c r="K2254" t="b">
        <v>0</v>
      </c>
    </row>
    <row r="2255" spans="1:11" x14ac:dyDescent="0.25">
      <c r="A2255" t="s">
        <v>717</v>
      </c>
      <c r="B2255" t="s">
        <v>26</v>
      </c>
      <c r="C2255" t="s">
        <v>110</v>
      </c>
      <c r="D2255" t="s">
        <v>451</v>
      </c>
      <c r="E2255" s="2">
        <v>21.5</v>
      </c>
      <c r="F2255" s="4">
        <v>8</v>
      </c>
      <c r="G2255" s="2">
        <v>172</v>
      </c>
      <c r="H2255" t="s">
        <v>15</v>
      </c>
      <c r="I2255" t="s">
        <v>36</v>
      </c>
      <c r="J2255" s="1">
        <v>45397</v>
      </c>
      <c r="K2255" t="b">
        <v>0</v>
      </c>
    </row>
    <row r="2256" spans="1:11" x14ac:dyDescent="0.25">
      <c r="A2256" t="s">
        <v>314</v>
      </c>
      <c r="B2256" t="s">
        <v>18</v>
      </c>
      <c r="C2256" t="s">
        <v>27</v>
      </c>
      <c r="D2256" t="s">
        <v>315</v>
      </c>
      <c r="E2256" s="2">
        <v>21.5</v>
      </c>
      <c r="F2256" s="4">
        <v>8</v>
      </c>
      <c r="G2256" s="2">
        <v>172</v>
      </c>
      <c r="H2256" t="s">
        <v>15</v>
      </c>
      <c r="I2256" t="s">
        <v>36</v>
      </c>
      <c r="J2256" s="1">
        <v>45060</v>
      </c>
      <c r="K2256" t="b">
        <v>0</v>
      </c>
    </row>
    <row r="2257" spans="1:11" x14ac:dyDescent="0.25">
      <c r="A2257" t="s">
        <v>1168</v>
      </c>
      <c r="B2257" t="s">
        <v>61</v>
      </c>
      <c r="C2257" t="s">
        <v>110</v>
      </c>
      <c r="D2257" t="s">
        <v>451</v>
      </c>
      <c r="E2257" s="2">
        <v>21.5</v>
      </c>
      <c r="F2257" s="4">
        <v>8</v>
      </c>
      <c r="G2257" s="2">
        <v>172</v>
      </c>
      <c r="H2257" t="s">
        <v>25</v>
      </c>
      <c r="I2257" t="s">
        <v>16</v>
      </c>
      <c r="J2257" s="1">
        <v>44594</v>
      </c>
      <c r="K2257" t="b">
        <v>0</v>
      </c>
    </row>
    <row r="2258" spans="1:11" x14ac:dyDescent="0.25">
      <c r="A2258" t="s">
        <v>7306</v>
      </c>
      <c r="B2258" t="s">
        <v>63</v>
      </c>
      <c r="C2258" t="s">
        <v>19</v>
      </c>
      <c r="D2258" t="s">
        <v>1410</v>
      </c>
      <c r="E2258" s="2">
        <v>21.5</v>
      </c>
      <c r="F2258" s="4">
        <v>8</v>
      </c>
      <c r="G2258" s="2">
        <v>172</v>
      </c>
      <c r="H2258" t="s">
        <v>45</v>
      </c>
      <c r="I2258" t="s">
        <v>36</v>
      </c>
      <c r="J2258" s="1">
        <v>45440</v>
      </c>
      <c r="K2258" t="b">
        <v>0</v>
      </c>
    </row>
    <row r="2259" spans="1:11" x14ac:dyDescent="0.25">
      <c r="A2259" t="s">
        <v>2273</v>
      </c>
      <c r="B2259" t="s">
        <v>104</v>
      </c>
      <c r="C2259" t="s">
        <v>38</v>
      </c>
      <c r="D2259" t="s">
        <v>70</v>
      </c>
      <c r="E2259" s="2">
        <v>24.5</v>
      </c>
      <c r="F2259" s="4">
        <v>7</v>
      </c>
      <c r="G2259" s="2">
        <v>171.5</v>
      </c>
      <c r="H2259" t="s">
        <v>25</v>
      </c>
      <c r="I2259" t="s">
        <v>16</v>
      </c>
      <c r="J2259" s="1">
        <v>45504</v>
      </c>
      <c r="K2259" t="b">
        <v>0</v>
      </c>
    </row>
    <row r="2260" spans="1:11" x14ac:dyDescent="0.25">
      <c r="A2260" t="s">
        <v>1939</v>
      </c>
      <c r="B2260" t="s">
        <v>97</v>
      </c>
      <c r="C2260" t="s">
        <v>110</v>
      </c>
      <c r="D2260" t="s">
        <v>253</v>
      </c>
      <c r="E2260" s="2">
        <v>24.5</v>
      </c>
      <c r="F2260" s="4">
        <v>7</v>
      </c>
      <c r="G2260" s="2">
        <v>171.5</v>
      </c>
      <c r="H2260" t="s">
        <v>25</v>
      </c>
      <c r="I2260" t="s">
        <v>16</v>
      </c>
      <c r="J2260" s="1">
        <v>44629</v>
      </c>
      <c r="K2260" t="b">
        <v>0</v>
      </c>
    </row>
    <row r="2261" spans="1:11" x14ac:dyDescent="0.25">
      <c r="A2261" t="s">
        <v>951</v>
      </c>
      <c r="B2261" t="s">
        <v>30</v>
      </c>
      <c r="C2261" t="s">
        <v>27</v>
      </c>
      <c r="D2261" t="s">
        <v>170</v>
      </c>
      <c r="E2261" s="2">
        <v>24.5</v>
      </c>
      <c r="F2261" s="4">
        <v>7</v>
      </c>
      <c r="G2261" s="2">
        <v>171.5</v>
      </c>
      <c r="H2261" t="s">
        <v>45</v>
      </c>
      <c r="I2261" t="s">
        <v>16</v>
      </c>
      <c r="J2261" s="1">
        <v>45298</v>
      </c>
      <c r="K2261" t="b">
        <v>1</v>
      </c>
    </row>
    <row r="2262" spans="1:11" x14ac:dyDescent="0.25">
      <c r="A2262" t="s">
        <v>4340</v>
      </c>
      <c r="B2262" t="s">
        <v>66</v>
      </c>
      <c r="C2262" t="s">
        <v>31</v>
      </c>
      <c r="D2262" t="s">
        <v>78</v>
      </c>
      <c r="E2262" s="2">
        <v>24.5</v>
      </c>
      <c r="F2262" s="4">
        <v>7</v>
      </c>
      <c r="G2262" s="2">
        <v>171.5</v>
      </c>
      <c r="H2262" t="s">
        <v>25</v>
      </c>
      <c r="I2262" t="s">
        <v>16</v>
      </c>
      <c r="J2262" s="1">
        <v>45613</v>
      </c>
      <c r="K2262" t="b">
        <v>1</v>
      </c>
    </row>
    <row r="2263" spans="1:11" x14ac:dyDescent="0.25">
      <c r="A2263" t="s">
        <v>4841</v>
      </c>
      <c r="B2263" t="s">
        <v>30</v>
      </c>
      <c r="C2263" t="s">
        <v>31</v>
      </c>
      <c r="D2263" t="s">
        <v>78</v>
      </c>
      <c r="E2263" s="2">
        <v>24.5</v>
      </c>
      <c r="F2263" s="4">
        <v>7</v>
      </c>
      <c r="G2263" s="2">
        <v>171.5</v>
      </c>
      <c r="H2263" t="s">
        <v>25</v>
      </c>
      <c r="I2263" t="s">
        <v>16</v>
      </c>
      <c r="J2263" s="1">
        <v>45373</v>
      </c>
      <c r="K2263" t="b">
        <v>0</v>
      </c>
    </row>
    <row r="2264" spans="1:11" x14ac:dyDescent="0.25">
      <c r="A2264" t="s">
        <v>2474</v>
      </c>
      <c r="B2264" t="s">
        <v>97</v>
      </c>
      <c r="C2264" t="s">
        <v>59</v>
      </c>
      <c r="D2264" t="s">
        <v>1513</v>
      </c>
      <c r="E2264" s="2">
        <v>24.5</v>
      </c>
      <c r="F2264" s="4">
        <v>7</v>
      </c>
      <c r="G2264" s="2">
        <v>171.5</v>
      </c>
      <c r="H2264" t="s">
        <v>45</v>
      </c>
      <c r="I2264" t="s">
        <v>36</v>
      </c>
      <c r="J2264" s="1">
        <v>44790</v>
      </c>
      <c r="K2264" t="b">
        <v>1</v>
      </c>
    </row>
    <row r="2265" spans="1:11" x14ac:dyDescent="0.25">
      <c r="A2265" t="s">
        <v>5133</v>
      </c>
      <c r="B2265" t="s">
        <v>85</v>
      </c>
      <c r="C2265" t="s">
        <v>27</v>
      </c>
      <c r="D2265" t="s">
        <v>170</v>
      </c>
      <c r="E2265" s="2">
        <v>24.5</v>
      </c>
      <c r="F2265" s="4">
        <v>7</v>
      </c>
      <c r="G2265" s="2">
        <v>171.5</v>
      </c>
      <c r="H2265" t="s">
        <v>45</v>
      </c>
      <c r="I2265" t="s">
        <v>36</v>
      </c>
      <c r="J2265" s="1">
        <v>45298</v>
      </c>
      <c r="K2265" t="b">
        <v>0</v>
      </c>
    </row>
    <row r="2266" spans="1:11" x14ac:dyDescent="0.25">
      <c r="A2266" t="s">
        <v>7397</v>
      </c>
      <c r="B2266" t="s">
        <v>40</v>
      </c>
      <c r="C2266" t="s">
        <v>110</v>
      </c>
      <c r="D2266" t="s">
        <v>253</v>
      </c>
      <c r="E2266" s="2">
        <v>24.5</v>
      </c>
      <c r="F2266" s="4">
        <v>7</v>
      </c>
      <c r="G2266" s="2">
        <v>171.5</v>
      </c>
      <c r="H2266" t="s">
        <v>25</v>
      </c>
      <c r="I2266" t="s">
        <v>36</v>
      </c>
      <c r="J2266" s="1">
        <v>45298</v>
      </c>
      <c r="K2266" t="b">
        <v>1</v>
      </c>
    </row>
    <row r="2267" spans="1:11" x14ac:dyDescent="0.25">
      <c r="A2267" t="s">
        <v>554</v>
      </c>
      <c r="B2267" t="s">
        <v>142</v>
      </c>
      <c r="C2267" t="s">
        <v>38</v>
      </c>
      <c r="D2267" t="s">
        <v>70</v>
      </c>
      <c r="E2267" s="2">
        <v>24.5</v>
      </c>
      <c r="F2267" s="4">
        <v>7</v>
      </c>
      <c r="G2267" s="2">
        <v>171.5</v>
      </c>
      <c r="H2267" t="s">
        <v>45</v>
      </c>
      <c r="I2267" t="s">
        <v>16</v>
      </c>
      <c r="J2267" s="1">
        <v>44921</v>
      </c>
      <c r="K2267" t="b">
        <v>1</v>
      </c>
    </row>
    <row r="2268" spans="1:11" x14ac:dyDescent="0.25">
      <c r="A2268" t="s">
        <v>7339</v>
      </c>
      <c r="B2268" t="s">
        <v>63</v>
      </c>
      <c r="C2268" t="s">
        <v>27</v>
      </c>
      <c r="D2268" t="s">
        <v>170</v>
      </c>
      <c r="E2268" s="2">
        <v>24.5</v>
      </c>
      <c r="F2268" s="4">
        <v>7</v>
      </c>
      <c r="G2268" s="2">
        <v>171.5</v>
      </c>
      <c r="H2268" t="s">
        <v>25</v>
      </c>
      <c r="I2268" t="s">
        <v>16</v>
      </c>
      <c r="J2268" s="1">
        <v>45099</v>
      </c>
      <c r="K2268" t="b">
        <v>0</v>
      </c>
    </row>
    <row r="2269" spans="1:11" x14ac:dyDescent="0.25">
      <c r="A2269" t="s">
        <v>4648</v>
      </c>
      <c r="B2269" t="s">
        <v>51</v>
      </c>
      <c r="C2269" t="s">
        <v>110</v>
      </c>
      <c r="D2269" t="s">
        <v>253</v>
      </c>
      <c r="E2269" s="2">
        <v>24.5</v>
      </c>
      <c r="F2269" s="4">
        <v>7</v>
      </c>
      <c r="G2269" s="2">
        <v>171.5</v>
      </c>
      <c r="H2269" t="s">
        <v>45</v>
      </c>
      <c r="I2269" t="s">
        <v>36</v>
      </c>
      <c r="J2269" s="1">
        <v>45468</v>
      </c>
      <c r="K2269" t="b">
        <v>1</v>
      </c>
    </row>
    <row r="2270" spans="1:11" x14ac:dyDescent="0.25">
      <c r="A2270" t="s">
        <v>2086</v>
      </c>
      <c r="B2270" t="s">
        <v>22</v>
      </c>
      <c r="C2270" t="s">
        <v>13</v>
      </c>
      <c r="D2270" t="s">
        <v>139</v>
      </c>
      <c r="E2270" s="2">
        <v>24.5</v>
      </c>
      <c r="F2270" s="4">
        <v>7</v>
      </c>
      <c r="G2270" s="2">
        <v>171.5</v>
      </c>
      <c r="H2270" t="s">
        <v>15</v>
      </c>
      <c r="I2270" t="s">
        <v>36</v>
      </c>
      <c r="J2270" s="1">
        <v>45541</v>
      </c>
      <c r="K2270" t="b">
        <v>1</v>
      </c>
    </row>
    <row r="2271" spans="1:11" x14ac:dyDescent="0.25">
      <c r="A2271" t="s">
        <v>6466</v>
      </c>
      <c r="B2271" t="s">
        <v>37</v>
      </c>
      <c r="C2271" t="s">
        <v>31</v>
      </c>
      <c r="D2271" t="s">
        <v>78</v>
      </c>
      <c r="E2271" s="2">
        <v>24.5</v>
      </c>
      <c r="F2271" s="4">
        <v>7</v>
      </c>
      <c r="G2271" s="2">
        <v>171.5</v>
      </c>
      <c r="H2271" t="s">
        <v>45</v>
      </c>
      <c r="I2271" t="s">
        <v>16</v>
      </c>
      <c r="J2271" s="1">
        <v>45647</v>
      </c>
      <c r="K2271" t="b">
        <v>0</v>
      </c>
    </row>
    <row r="2272" spans="1:11" x14ac:dyDescent="0.25">
      <c r="A2272" t="s">
        <v>995</v>
      </c>
      <c r="B2272" t="s">
        <v>61</v>
      </c>
      <c r="C2272" t="s">
        <v>38</v>
      </c>
      <c r="D2272" t="s">
        <v>70</v>
      </c>
      <c r="E2272" s="2">
        <v>24.5</v>
      </c>
      <c r="F2272" s="4">
        <v>7</v>
      </c>
      <c r="G2272" s="2">
        <v>171.5</v>
      </c>
      <c r="H2272" t="s">
        <v>25</v>
      </c>
      <c r="I2272" t="s">
        <v>36</v>
      </c>
      <c r="J2272" s="1">
        <v>45353</v>
      </c>
      <c r="K2272" t="b">
        <v>1</v>
      </c>
    </row>
    <row r="2273" spans="1:11" x14ac:dyDescent="0.25">
      <c r="A2273" t="s">
        <v>5774</v>
      </c>
      <c r="B2273" t="s">
        <v>77</v>
      </c>
      <c r="C2273" t="s">
        <v>27</v>
      </c>
      <c r="D2273" t="s">
        <v>170</v>
      </c>
      <c r="E2273" s="2">
        <v>24.5</v>
      </c>
      <c r="F2273" s="4">
        <v>7</v>
      </c>
      <c r="G2273" s="2">
        <v>171.5</v>
      </c>
      <c r="H2273" t="s">
        <v>45</v>
      </c>
      <c r="I2273" t="s">
        <v>36</v>
      </c>
      <c r="J2273" s="1">
        <v>45642</v>
      </c>
      <c r="K2273" t="b">
        <v>1</v>
      </c>
    </row>
    <row r="2274" spans="1:11" x14ac:dyDescent="0.25">
      <c r="A2274" t="s">
        <v>1973</v>
      </c>
      <c r="B2274" t="s">
        <v>18</v>
      </c>
      <c r="C2274" t="s">
        <v>27</v>
      </c>
      <c r="D2274" t="s">
        <v>170</v>
      </c>
      <c r="E2274" s="2">
        <v>24.5</v>
      </c>
      <c r="F2274" s="4">
        <v>7</v>
      </c>
      <c r="G2274" s="2">
        <v>171.5</v>
      </c>
      <c r="H2274" t="s">
        <v>15</v>
      </c>
      <c r="I2274" t="s">
        <v>36</v>
      </c>
      <c r="J2274" s="1">
        <v>45201</v>
      </c>
      <c r="K2274" t="b">
        <v>1</v>
      </c>
    </row>
    <row r="2275" spans="1:11" x14ac:dyDescent="0.25">
      <c r="A2275" t="s">
        <v>5381</v>
      </c>
      <c r="B2275" t="s">
        <v>43</v>
      </c>
      <c r="C2275" t="s">
        <v>13</v>
      </c>
      <c r="D2275" t="s">
        <v>139</v>
      </c>
      <c r="E2275" s="2">
        <v>24.5</v>
      </c>
      <c r="F2275" s="4">
        <v>7</v>
      </c>
      <c r="G2275" s="2">
        <v>171.5</v>
      </c>
      <c r="H2275" t="s">
        <v>45</v>
      </c>
      <c r="I2275" t="s">
        <v>16</v>
      </c>
      <c r="J2275" s="1">
        <v>45463</v>
      </c>
      <c r="K2275" t="b">
        <v>1</v>
      </c>
    </row>
    <row r="2276" spans="1:11" x14ac:dyDescent="0.25">
      <c r="A2276" t="s">
        <v>6799</v>
      </c>
      <c r="B2276" t="s">
        <v>104</v>
      </c>
      <c r="C2276" t="s">
        <v>27</v>
      </c>
      <c r="D2276" t="s">
        <v>170</v>
      </c>
      <c r="E2276" s="2">
        <v>24.5</v>
      </c>
      <c r="F2276" s="4">
        <v>7</v>
      </c>
      <c r="G2276" s="2">
        <v>171.5</v>
      </c>
      <c r="H2276" t="s">
        <v>45</v>
      </c>
      <c r="I2276" t="s">
        <v>16</v>
      </c>
      <c r="J2276" s="1">
        <v>45621</v>
      </c>
      <c r="K2276" t="b">
        <v>0</v>
      </c>
    </row>
    <row r="2277" spans="1:11" x14ac:dyDescent="0.25">
      <c r="A2277" t="s">
        <v>4275</v>
      </c>
      <c r="B2277" t="s">
        <v>18</v>
      </c>
      <c r="C2277" t="s">
        <v>23</v>
      </c>
      <c r="D2277" t="s">
        <v>430</v>
      </c>
      <c r="E2277" s="2">
        <v>24.5</v>
      </c>
      <c r="F2277" s="4">
        <v>7</v>
      </c>
      <c r="G2277" s="2">
        <v>171.5</v>
      </c>
      <c r="H2277" t="s">
        <v>25</v>
      </c>
      <c r="I2277" t="s">
        <v>16</v>
      </c>
      <c r="J2277" s="1">
        <v>45424</v>
      </c>
      <c r="K2277" t="b">
        <v>1</v>
      </c>
    </row>
    <row r="2278" spans="1:11" x14ac:dyDescent="0.25">
      <c r="A2278" t="s">
        <v>3620</v>
      </c>
      <c r="B2278" t="s">
        <v>77</v>
      </c>
      <c r="C2278" t="s">
        <v>13</v>
      </c>
      <c r="D2278" t="s">
        <v>139</v>
      </c>
      <c r="E2278" s="2">
        <v>24.5</v>
      </c>
      <c r="F2278" s="4">
        <v>7</v>
      </c>
      <c r="G2278" s="2">
        <v>171.5</v>
      </c>
      <c r="H2278" t="s">
        <v>15</v>
      </c>
      <c r="I2278" t="s">
        <v>16</v>
      </c>
      <c r="J2278" s="1">
        <v>45104</v>
      </c>
      <c r="K2278" t="b">
        <v>1</v>
      </c>
    </row>
    <row r="2279" spans="1:11" x14ac:dyDescent="0.25">
      <c r="A2279" t="s">
        <v>5664</v>
      </c>
      <c r="B2279" t="s">
        <v>40</v>
      </c>
      <c r="C2279" t="s">
        <v>27</v>
      </c>
      <c r="D2279" t="s">
        <v>170</v>
      </c>
      <c r="E2279" s="2">
        <v>24.5</v>
      </c>
      <c r="F2279" s="4">
        <v>7</v>
      </c>
      <c r="G2279" s="2">
        <v>171.5</v>
      </c>
      <c r="H2279" t="s">
        <v>15</v>
      </c>
      <c r="I2279" t="s">
        <v>16</v>
      </c>
      <c r="J2279" s="1">
        <v>44711</v>
      </c>
      <c r="K2279" t="b">
        <v>0</v>
      </c>
    </row>
    <row r="2280" spans="1:11" x14ac:dyDescent="0.25">
      <c r="A2280" t="s">
        <v>7641</v>
      </c>
      <c r="B2280" t="s">
        <v>142</v>
      </c>
      <c r="C2280" t="s">
        <v>27</v>
      </c>
      <c r="D2280" t="s">
        <v>170</v>
      </c>
      <c r="E2280" s="2">
        <v>24.5</v>
      </c>
      <c r="F2280" s="4">
        <v>7</v>
      </c>
      <c r="G2280" s="2">
        <v>171.5</v>
      </c>
      <c r="H2280" t="s">
        <v>15</v>
      </c>
      <c r="I2280" t="s">
        <v>16</v>
      </c>
      <c r="J2280" s="1">
        <v>44927</v>
      </c>
      <c r="K2280" t="b">
        <v>1</v>
      </c>
    </row>
    <row r="2281" spans="1:11" x14ac:dyDescent="0.25">
      <c r="A2281" t="s">
        <v>3500</v>
      </c>
      <c r="B2281" t="s">
        <v>40</v>
      </c>
      <c r="C2281" t="s">
        <v>31</v>
      </c>
      <c r="D2281" t="s">
        <v>78</v>
      </c>
      <c r="E2281" s="2">
        <v>24.5</v>
      </c>
      <c r="F2281" s="4">
        <v>7</v>
      </c>
      <c r="G2281" s="2">
        <v>171.5</v>
      </c>
      <c r="H2281" t="s">
        <v>25</v>
      </c>
      <c r="I2281" t="s">
        <v>36</v>
      </c>
      <c r="J2281" s="1">
        <v>44606</v>
      </c>
      <c r="K2281" t="b">
        <v>1</v>
      </c>
    </row>
    <row r="2282" spans="1:11" x14ac:dyDescent="0.25">
      <c r="A2282" t="s">
        <v>7757</v>
      </c>
      <c r="B2282" t="s">
        <v>66</v>
      </c>
      <c r="C2282" t="s">
        <v>110</v>
      </c>
      <c r="D2282" t="s">
        <v>253</v>
      </c>
      <c r="E2282" s="2">
        <v>24.5</v>
      </c>
      <c r="F2282" s="4">
        <v>7</v>
      </c>
      <c r="G2282" s="2">
        <v>171.5</v>
      </c>
      <c r="H2282" t="s">
        <v>15</v>
      </c>
      <c r="I2282" t="s">
        <v>16</v>
      </c>
      <c r="J2282" s="1">
        <v>45059</v>
      </c>
      <c r="K2282" t="b">
        <v>0</v>
      </c>
    </row>
    <row r="2283" spans="1:11" x14ac:dyDescent="0.25">
      <c r="A2283" t="s">
        <v>3715</v>
      </c>
      <c r="B2283" t="s">
        <v>40</v>
      </c>
      <c r="C2283" t="s">
        <v>13</v>
      </c>
      <c r="D2283" t="s">
        <v>139</v>
      </c>
      <c r="E2283" s="2">
        <v>24.5</v>
      </c>
      <c r="F2283" s="4">
        <v>7</v>
      </c>
      <c r="G2283" s="2">
        <v>171.5</v>
      </c>
      <c r="H2283" t="s">
        <v>45</v>
      </c>
      <c r="I2283" t="s">
        <v>16</v>
      </c>
      <c r="J2283" s="1">
        <v>44661</v>
      </c>
      <c r="K2283" t="b">
        <v>1</v>
      </c>
    </row>
    <row r="2284" spans="1:11" x14ac:dyDescent="0.25">
      <c r="A2284" t="s">
        <v>5824</v>
      </c>
      <c r="B2284" t="s">
        <v>22</v>
      </c>
      <c r="C2284" t="s">
        <v>110</v>
      </c>
      <c r="D2284" t="s">
        <v>253</v>
      </c>
      <c r="E2284" s="2">
        <v>24.5</v>
      </c>
      <c r="F2284" s="4">
        <v>7</v>
      </c>
      <c r="G2284" s="2">
        <v>171.5</v>
      </c>
      <c r="H2284" t="s">
        <v>15</v>
      </c>
      <c r="I2284" t="s">
        <v>16</v>
      </c>
      <c r="J2284" s="1">
        <v>45009</v>
      </c>
      <c r="K2284" t="b">
        <v>1</v>
      </c>
    </row>
    <row r="2285" spans="1:11" x14ac:dyDescent="0.25">
      <c r="A2285" t="s">
        <v>3892</v>
      </c>
      <c r="B2285" t="s">
        <v>61</v>
      </c>
      <c r="C2285" t="s">
        <v>59</v>
      </c>
      <c r="D2285" t="s">
        <v>1513</v>
      </c>
      <c r="E2285" s="2">
        <v>24.5</v>
      </c>
      <c r="F2285" s="4">
        <v>7</v>
      </c>
      <c r="G2285" s="2">
        <v>171.5</v>
      </c>
      <c r="H2285" t="s">
        <v>15</v>
      </c>
      <c r="I2285" t="s">
        <v>36</v>
      </c>
      <c r="J2285" s="1">
        <v>44777</v>
      </c>
      <c r="K2285" t="b">
        <v>1</v>
      </c>
    </row>
    <row r="2286" spans="1:11" x14ac:dyDescent="0.25">
      <c r="A2286" t="s">
        <v>4529</v>
      </c>
      <c r="B2286" t="s">
        <v>43</v>
      </c>
      <c r="C2286" t="s">
        <v>31</v>
      </c>
      <c r="D2286" t="s">
        <v>78</v>
      </c>
      <c r="E2286" s="2">
        <v>24.5</v>
      </c>
      <c r="F2286" s="4">
        <v>7</v>
      </c>
      <c r="G2286" s="2">
        <v>171.5</v>
      </c>
      <c r="H2286" t="s">
        <v>15</v>
      </c>
      <c r="I2286" t="s">
        <v>16</v>
      </c>
      <c r="J2286" s="1">
        <v>44810</v>
      </c>
      <c r="K2286" t="b">
        <v>0</v>
      </c>
    </row>
    <row r="2287" spans="1:11" x14ac:dyDescent="0.25">
      <c r="A2287" t="s">
        <v>5010</v>
      </c>
      <c r="B2287" t="s">
        <v>142</v>
      </c>
      <c r="C2287" t="s">
        <v>27</v>
      </c>
      <c r="D2287" t="s">
        <v>170</v>
      </c>
      <c r="E2287" s="2">
        <v>24.5</v>
      </c>
      <c r="F2287" s="4">
        <v>7</v>
      </c>
      <c r="G2287" s="2">
        <v>171.5</v>
      </c>
      <c r="H2287" t="s">
        <v>45</v>
      </c>
      <c r="I2287" t="s">
        <v>36</v>
      </c>
      <c r="J2287" s="1">
        <v>45396</v>
      </c>
      <c r="K2287" t="b">
        <v>1</v>
      </c>
    </row>
    <row r="2288" spans="1:11" x14ac:dyDescent="0.25">
      <c r="A2288" t="s">
        <v>1841</v>
      </c>
      <c r="B2288" t="s">
        <v>61</v>
      </c>
      <c r="C2288" t="s">
        <v>59</v>
      </c>
      <c r="D2288" t="s">
        <v>655</v>
      </c>
      <c r="E2288" s="2">
        <v>17</v>
      </c>
      <c r="F2288" s="4">
        <v>10</v>
      </c>
      <c r="G2288" s="2">
        <v>170</v>
      </c>
      <c r="H2288" t="s">
        <v>15</v>
      </c>
      <c r="I2288" t="s">
        <v>36</v>
      </c>
      <c r="J2288" s="1">
        <v>45415</v>
      </c>
      <c r="K2288" t="b">
        <v>0</v>
      </c>
    </row>
    <row r="2289" spans="1:11" x14ac:dyDescent="0.25">
      <c r="A2289" t="s">
        <v>3372</v>
      </c>
      <c r="B2289" t="s">
        <v>26</v>
      </c>
      <c r="C2289" t="s">
        <v>27</v>
      </c>
      <c r="D2289" t="s">
        <v>763</v>
      </c>
      <c r="E2289" s="2">
        <v>17</v>
      </c>
      <c r="F2289" s="4">
        <v>10</v>
      </c>
      <c r="G2289" s="2">
        <v>170</v>
      </c>
      <c r="H2289" t="s">
        <v>15</v>
      </c>
      <c r="I2289" t="s">
        <v>16</v>
      </c>
      <c r="J2289" s="1">
        <v>45144</v>
      </c>
      <c r="K2289" t="b">
        <v>1</v>
      </c>
    </row>
    <row r="2290" spans="1:11" x14ac:dyDescent="0.25">
      <c r="A2290" t="s">
        <v>3467</v>
      </c>
      <c r="B2290" t="s">
        <v>18</v>
      </c>
      <c r="C2290" t="s">
        <v>31</v>
      </c>
      <c r="D2290" t="s">
        <v>195</v>
      </c>
      <c r="E2290" s="2">
        <v>17</v>
      </c>
      <c r="F2290" s="4">
        <v>10</v>
      </c>
      <c r="G2290" s="2">
        <v>170</v>
      </c>
      <c r="H2290" t="s">
        <v>25</v>
      </c>
      <c r="I2290" t="s">
        <v>16</v>
      </c>
      <c r="J2290" s="1">
        <v>44715</v>
      </c>
      <c r="K2290" t="b">
        <v>1</v>
      </c>
    </row>
    <row r="2291" spans="1:11" x14ac:dyDescent="0.25">
      <c r="A2291" t="s">
        <v>4886</v>
      </c>
      <c r="B2291" t="s">
        <v>37</v>
      </c>
      <c r="C2291" t="s">
        <v>31</v>
      </c>
      <c r="D2291" t="s">
        <v>195</v>
      </c>
      <c r="E2291" s="2">
        <v>17</v>
      </c>
      <c r="F2291" s="4">
        <v>10</v>
      </c>
      <c r="G2291" s="2">
        <v>170</v>
      </c>
      <c r="H2291" t="s">
        <v>45</v>
      </c>
      <c r="I2291" t="s">
        <v>36</v>
      </c>
      <c r="J2291" s="1">
        <v>45436</v>
      </c>
      <c r="K2291" t="b">
        <v>0</v>
      </c>
    </row>
    <row r="2292" spans="1:11" x14ac:dyDescent="0.25">
      <c r="A2292" t="s">
        <v>3266</v>
      </c>
      <c r="B2292" t="s">
        <v>26</v>
      </c>
      <c r="C2292" t="s">
        <v>38</v>
      </c>
      <c r="D2292" t="s">
        <v>444</v>
      </c>
      <c r="E2292" s="2">
        <v>17</v>
      </c>
      <c r="F2292" s="4">
        <v>10</v>
      </c>
      <c r="G2292" s="2">
        <v>170</v>
      </c>
      <c r="H2292" t="s">
        <v>25</v>
      </c>
      <c r="I2292" t="s">
        <v>36</v>
      </c>
      <c r="J2292" s="1">
        <v>45221</v>
      </c>
      <c r="K2292" t="b">
        <v>0</v>
      </c>
    </row>
    <row r="2293" spans="1:11" x14ac:dyDescent="0.25">
      <c r="A2293" t="s">
        <v>4404</v>
      </c>
      <c r="B2293" t="s">
        <v>51</v>
      </c>
      <c r="C2293" t="s">
        <v>59</v>
      </c>
      <c r="D2293" t="s">
        <v>655</v>
      </c>
      <c r="E2293" s="2">
        <v>17</v>
      </c>
      <c r="F2293" s="4">
        <v>10</v>
      </c>
      <c r="G2293" s="2">
        <v>170</v>
      </c>
      <c r="H2293" t="s">
        <v>25</v>
      </c>
      <c r="I2293" t="s">
        <v>16</v>
      </c>
      <c r="J2293" s="1">
        <v>44742</v>
      </c>
      <c r="K2293" t="b">
        <v>0</v>
      </c>
    </row>
    <row r="2294" spans="1:11" x14ac:dyDescent="0.25">
      <c r="A2294" t="s">
        <v>2196</v>
      </c>
      <c r="B2294" t="s">
        <v>51</v>
      </c>
      <c r="C2294" t="s">
        <v>110</v>
      </c>
      <c r="D2294" t="s">
        <v>327</v>
      </c>
      <c r="E2294" s="2">
        <v>17</v>
      </c>
      <c r="F2294" s="4">
        <v>10</v>
      </c>
      <c r="G2294" s="2">
        <v>170</v>
      </c>
      <c r="H2294" t="s">
        <v>25</v>
      </c>
      <c r="I2294" t="s">
        <v>36</v>
      </c>
      <c r="J2294" s="1">
        <v>44637</v>
      </c>
      <c r="K2294" t="b">
        <v>0</v>
      </c>
    </row>
    <row r="2295" spans="1:11" x14ac:dyDescent="0.25">
      <c r="A2295" t="s">
        <v>7724</v>
      </c>
      <c r="B2295" t="s">
        <v>51</v>
      </c>
      <c r="C2295" t="s">
        <v>59</v>
      </c>
      <c r="D2295" t="s">
        <v>655</v>
      </c>
      <c r="E2295" s="2">
        <v>17</v>
      </c>
      <c r="F2295" s="4">
        <v>10</v>
      </c>
      <c r="G2295" s="2">
        <v>170</v>
      </c>
      <c r="H2295" t="s">
        <v>15</v>
      </c>
      <c r="I2295" t="s">
        <v>16</v>
      </c>
      <c r="J2295" s="1">
        <v>44717</v>
      </c>
      <c r="K2295" t="b">
        <v>1</v>
      </c>
    </row>
    <row r="2296" spans="1:11" x14ac:dyDescent="0.25">
      <c r="A2296" t="s">
        <v>2169</v>
      </c>
      <c r="B2296" t="s">
        <v>77</v>
      </c>
      <c r="C2296" t="s">
        <v>59</v>
      </c>
      <c r="D2296" t="s">
        <v>655</v>
      </c>
      <c r="E2296" s="2">
        <v>17</v>
      </c>
      <c r="F2296" s="4">
        <v>10</v>
      </c>
      <c r="G2296" s="2">
        <v>170</v>
      </c>
      <c r="H2296" t="s">
        <v>25</v>
      </c>
      <c r="I2296" t="s">
        <v>36</v>
      </c>
      <c r="J2296" s="1">
        <v>45568</v>
      </c>
      <c r="K2296" t="b">
        <v>1</v>
      </c>
    </row>
    <row r="2297" spans="1:11" x14ac:dyDescent="0.25">
      <c r="A2297" t="s">
        <v>379</v>
      </c>
      <c r="B2297" t="s">
        <v>97</v>
      </c>
      <c r="C2297" t="s">
        <v>13</v>
      </c>
      <c r="D2297" t="s">
        <v>380</v>
      </c>
      <c r="E2297" s="2">
        <v>17</v>
      </c>
      <c r="F2297" s="4">
        <v>10</v>
      </c>
      <c r="G2297" s="2">
        <v>170</v>
      </c>
      <c r="H2297" t="s">
        <v>25</v>
      </c>
      <c r="I2297" t="s">
        <v>36</v>
      </c>
      <c r="J2297" s="1">
        <v>44637</v>
      </c>
      <c r="K2297" t="b">
        <v>1</v>
      </c>
    </row>
    <row r="2298" spans="1:11" x14ac:dyDescent="0.25">
      <c r="A2298" t="s">
        <v>4271</v>
      </c>
      <c r="B2298" t="s">
        <v>97</v>
      </c>
      <c r="C2298" t="s">
        <v>59</v>
      </c>
      <c r="D2298" t="s">
        <v>655</v>
      </c>
      <c r="E2298" s="2">
        <v>17</v>
      </c>
      <c r="F2298" s="4">
        <v>10</v>
      </c>
      <c r="G2298" s="2">
        <v>170</v>
      </c>
      <c r="H2298" t="s">
        <v>25</v>
      </c>
      <c r="I2298" t="s">
        <v>36</v>
      </c>
      <c r="J2298" s="1">
        <v>44806</v>
      </c>
      <c r="K2298" t="b">
        <v>1</v>
      </c>
    </row>
    <row r="2299" spans="1:11" x14ac:dyDescent="0.25">
      <c r="A2299" t="s">
        <v>4186</v>
      </c>
      <c r="B2299" t="s">
        <v>56</v>
      </c>
      <c r="C2299" t="s">
        <v>31</v>
      </c>
      <c r="D2299" t="s">
        <v>195</v>
      </c>
      <c r="E2299" s="2">
        <v>17</v>
      </c>
      <c r="F2299" s="4">
        <v>10</v>
      </c>
      <c r="G2299" s="2">
        <v>170</v>
      </c>
      <c r="H2299" t="s">
        <v>45</v>
      </c>
      <c r="I2299" t="s">
        <v>16</v>
      </c>
      <c r="J2299" s="1">
        <v>44575</v>
      </c>
      <c r="K2299" t="b">
        <v>1</v>
      </c>
    </row>
    <row r="2300" spans="1:11" x14ac:dyDescent="0.25">
      <c r="A2300" t="s">
        <v>6459</v>
      </c>
      <c r="B2300" t="s">
        <v>22</v>
      </c>
      <c r="C2300" t="s">
        <v>31</v>
      </c>
      <c r="D2300" t="s">
        <v>195</v>
      </c>
      <c r="E2300" s="2">
        <v>17</v>
      </c>
      <c r="F2300" s="4">
        <v>10</v>
      </c>
      <c r="G2300" s="2">
        <v>170</v>
      </c>
      <c r="H2300" t="s">
        <v>25</v>
      </c>
      <c r="I2300" t="s">
        <v>36</v>
      </c>
      <c r="J2300" s="1">
        <v>45553</v>
      </c>
      <c r="K2300" t="b">
        <v>0</v>
      </c>
    </row>
    <row r="2301" spans="1:11" x14ac:dyDescent="0.25">
      <c r="A2301" t="s">
        <v>6983</v>
      </c>
      <c r="B2301" t="s">
        <v>22</v>
      </c>
      <c r="C2301" t="s">
        <v>59</v>
      </c>
      <c r="D2301" t="s">
        <v>655</v>
      </c>
      <c r="E2301" s="2">
        <v>17</v>
      </c>
      <c r="F2301" s="4">
        <v>10</v>
      </c>
      <c r="G2301" s="2">
        <v>170</v>
      </c>
      <c r="H2301" t="s">
        <v>25</v>
      </c>
      <c r="I2301" t="s">
        <v>16</v>
      </c>
      <c r="J2301" s="1">
        <v>44712</v>
      </c>
      <c r="K2301" t="b">
        <v>0</v>
      </c>
    </row>
    <row r="2302" spans="1:11" x14ac:dyDescent="0.25">
      <c r="A2302" t="s">
        <v>4201</v>
      </c>
      <c r="B2302" t="s">
        <v>142</v>
      </c>
      <c r="C2302" t="s">
        <v>110</v>
      </c>
      <c r="D2302" t="s">
        <v>327</v>
      </c>
      <c r="E2302" s="2">
        <v>17</v>
      </c>
      <c r="F2302" s="4">
        <v>10</v>
      </c>
      <c r="G2302" s="2">
        <v>170</v>
      </c>
      <c r="H2302" t="s">
        <v>25</v>
      </c>
      <c r="I2302" t="s">
        <v>16</v>
      </c>
      <c r="J2302" s="1">
        <v>44975</v>
      </c>
      <c r="K2302" t="b">
        <v>1</v>
      </c>
    </row>
    <row r="2303" spans="1:11" x14ac:dyDescent="0.25">
      <c r="A2303" t="s">
        <v>4132</v>
      </c>
      <c r="B2303" t="s">
        <v>66</v>
      </c>
      <c r="C2303" t="s">
        <v>110</v>
      </c>
      <c r="D2303" t="s">
        <v>327</v>
      </c>
      <c r="E2303" s="2">
        <v>17</v>
      </c>
      <c r="F2303" s="4">
        <v>10</v>
      </c>
      <c r="G2303" s="2">
        <v>170</v>
      </c>
      <c r="H2303" t="s">
        <v>45</v>
      </c>
      <c r="I2303" t="s">
        <v>16</v>
      </c>
      <c r="J2303" s="1">
        <v>45428</v>
      </c>
      <c r="K2303" t="b">
        <v>0</v>
      </c>
    </row>
    <row r="2304" spans="1:11" x14ac:dyDescent="0.25">
      <c r="A2304" t="s">
        <v>3249</v>
      </c>
      <c r="B2304" t="s">
        <v>85</v>
      </c>
      <c r="C2304" t="s">
        <v>31</v>
      </c>
      <c r="D2304" t="s">
        <v>195</v>
      </c>
      <c r="E2304" s="2">
        <v>17</v>
      </c>
      <c r="F2304" s="4">
        <v>10</v>
      </c>
      <c r="G2304" s="2">
        <v>170</v>
      </c>
      <c r="H2304" t="s">
        <v>45</v>
      </c>
      <c r="I2304" t="s">
        <v>16</v>
      </c>
      <c r="J2304" s="1">
        <v>45572</v>
      </c>
      <c r="K2304" t="b">
        <v>1</v>
      </c>
    </row>
    <row r="2305" spans="1:11" x14ac:dyDescent="0.25">
      <c r="A2305" t="s">
        <v>7281</v>
      </c>
      <c r="B2305" t="s">
        <v>18</v>
      </c>
      <c r="C2305" t="s">
        <v>38</v>
      </c>
      <c r="D2305" t="s">
        <v>434</v>
      </c>
      <c r="E2305" s="2">
        <v>33.5</v>
      </c>
      <c r="F2305" s="4">
        <v>5</v>
      </c>
      <c r="G2305" s="2">
        <v>167.5</v>
      </c>
      <c r="H2305" t="s">
        <v>25</v>
      </c>
      <c r="I2305" t="s">
        <v>36</v>
      </c>
      <c r="J2305" s="1">
        <v>44615</v>
      </c>
      <c r="K2305" t="b">
        <v>1</v>
      </c>
    </row>
    <row r="2306" spans="1:11" x14ac:dyDescent="0.25">
      <c r="A2306" t="s">
        <v>1719</v>
      </c>
      <c r="B2306" t="s">
        <v>34</v>
      </c>
      <c r="C2306" t="s">
        <v>13</v>
      </c>
      <c r="D2306" t="s">
        <v>375</v>
      </c>
      <c r="E2306" s="2">
        <v>33.5</v>
      </c>
      <c r="F2306" s="4">
        <v>5</v>
      </c>
      <c r="G2306" s="2">
        <v>167.5</v>
      </c>
      <c r="H2306" t="s">
        <v>25</v>
      </c>
      <c r="I2306" t="s">
        <v>16</v>
      </c>
      <c r="J2306" s="1">
        <v>45292</v>
      </c>
      <c r="K2306" t="b">
        <v>1</v>
      </c>
    </row>
    <row r="2307" spans="1:11" x14ac:dyDescent="0.25">
      <c r="A2307" t="s">
        <v>1035</v>
      </c>
      <c r="B2307" t="s">
        <v>142</v>
      </c>
      <c r="C2307" t="s">
        <v>13</v>
      </c>
      <c r="D2307" t="s">
        <v>375</v>
      </c>
      <c r="E2307" s="2">
        <v>33.5</v>
      </c>
      <c r="F2307" s="4">
        <v>5</v>
      </c>
      <c r="G2307" s="2">
        <v>167.5</v>
      </c>
      <c r="H2307" t="s">
        <v>25</v>
      </c>
      <c r="I2307" t="s">
        <v>16</v>
      </c>
      <c r="J2307" s="1">
        <v>44768</v>
      </c>
      <c r="K2307" t="b">
        <v>1</v>
      </c>
    </row>
    <row r="2308" spans="1:11" x14ac:dyDescent="0.25">
      <c r="A2308" t="s">
        <v>4173</v>
      </c>
      <c r="B2308" t="s">
        <v>66</v>
      </c>
      <c r="C2308" t="s">
        <v>31</v>
      </c>
      <c r="D2308" t="s">
        <v>155</v>
      </c>
      <c r="E2308" s="2">
        <v>33.5</v>
      </c>
      <c r="F2308" s="4">
        <v>5</v>
      </c>
      <c r="G2308" s="2">
        <v>167.5</v>
      </c>
      <c r="H2308" t="s">
        <v>25</v>
      </c>
      <c r="I2308" t="s">
        <v>16</v>
      </c>
      <c r="J2308" s="1">
        <v>45132</v>
      </c>
      <c r="K2308" t="b">
        <v>0</v>
      </c>
    </row>
    <row r="2309" spans="1:11" x14ac:dyDescent="0.25">
      <c r="A2309" t="s">
        <v>1070</v>
      </c>
      <c r="B2309" t="s">
        <v>104</v>
      </c>
      <c r="C2309" t="s">
        <v>23</v>
      </c>
      <c r="D2309" t="s">
        <v>73</v>
      </c>
      <c r="E2309" s="2">
        <v>33.5</v>
      </c>
      <c r="F2309" s="4">
        <v>5</v>
      </c>
      <c r="G2309" s="2">
        <v>167.5</v>
      </c>
      <c r="H2309" t="s">
        <v>15</v>
      </c>
      <c r="I2309" t="s">
        <v>36</v>
      </c>
      <c r="J2309" s="1">
        <v>45499</v>
      </c>
      <c r="K2309" t="b">
        <v>1</v>
      </c>
    </row>
    <row r="2310" spans="1:11" x14ac:dyDescent="0.25">
      <c r="A2310" t="s">
        <v>4636</v>
      </c>
      <c r="B2310" t="s">
        <v>34</v>
      </c>
      <c r="C2310" t="s">
        <v>27</v>
      </c>
      <c r="D2310" t="s">
        <v>209</v>
      </c>
      <c r="E2310" s="2">
        <v>33.5</v>
      </c>
      <c r="F2310" s="4">
        <v>5</v>
      </c>
      <c r="G2310" s="2">
        <v>167.5</v>
      </c>
      <c r="H2310" t="s">
        <v>45</v>
      </c>
      <c r="I2310" t="s">
        <v>16</v>
      </c>
      <c r="J2310" s="1">
        <v>45249</v>
      </c>
      <c r="K2310" t="b">
        <v>1</v>
      </c>
    </row>
    <row r="2311" spans="1:11" x14ac:dyDescent="0.25">
      <c r="A2311" t="s">
        <v>1547</v>
      </c>
      <c r="B2311" t="s">
        <v>51</v>
      </c>
      <c r="C2311" t="s">
        <v>13</v>
      </c>
      <c r="D2311" t="s">
        <v>375</v>
      </c>
      <c r="E2311" s="2">
        <v>33.5</v>
      </c>
      <c r="F2311" s="4">
        <v>5</v>
      </c>
      <c r="G2311" s="2">
        <v>167.5</v>
      </c>
      <c r="H2311" t="s">
        <v>25</v>
      </c>
      <c r="I2311" t="s">
        <v>36</v>
      </c>
      <c r="J2311" s="1">
        <v>45255</v>
      </c>
      <c r="K2311" t="b">
        <v>1</v>
      </c>
    </row>
    <row r="2312" spans="1:11" x14ac:dyDescent="0.25">
      <c r="A2312" t="s">
        <v>3958</v>
      </c>
      <c r="B2312" t="s">
        <v>22</v>
      </c>
      <c r="C2312" t="s">
        <v>110</v>
      </c>
      <c r="D2312" t="s">
        <v>154</v>
      </c>
      <c r="E2312" s="2">
        <v>33.5</v>
      </c>
      <c r="F2312" s="4">
        <v>5</v>
      </c>
      <c r="G2312" s="2">
        <v>167.5</v>
      </c>
      <c r="H2312" t="s">
        <v>45</v>
      </c>
      <c r="I2312" t="s">
        <v>16</v>
      </c>
      <c r="J2312" s="1">
        <v>45612</v>
      </c>
      <c r="K2312" t="b">
        <v>1</v>
      </c>
    </row>
    <row r="2313" spans="1:11" x14ac:dyDescent="0.25">
      <c r="A2313" t="s">
        <v>5981</v>
      </c>
      <c r="B2313" t="s">
        <v>37</v>
      </c>
      <c r="C2313" t="s">
        <v>19</v>
      </c>
      <c r="D2313" t="s">
        <v>626</v>
      </c>
      <c r="E2313" s="2">
        <v>33.5</v>
      </c>
      <c r="F2313" s="4">
        <v>5</v>
      </c>
      <c r="G2313" s="2">
        <v>167.5</v>
      </c>
      <c r="H2313" t="s">
        <v>25</v>
      </c>
      <c r="I2313" t="s">
        <v>16</v>
      </c>
      <c r="J2313" s="1">
        <v>45599</v>
      </c>
      <c r="K2313" t="b">
        <v>1</v>
      </c>
    </row>
    <row r="2314" spans="1:11" x14ac:dyDescent="0.25">
      <c r="A2314" t="s">
        <v>6223</v>
      </c>
      <c r="B2314" t="s">
        <v>30</v>
      </c>
      <c r="C2314" t="s">
        <v>23</v>
      </c>
      <c r="D2314" t="s">
        <v>73</v>
      </c>
      <c r="E2314" s="2">
        <v>33.5</v>
      </c>
      <c r="F2314" s="4">
        <v>5</v>
      </c>
      <c r="G2314" s="2">
        <v>167.5</v>
      </c>
      <c r="H2314" t="s">
        <v>45</v>
      </c>
      <c r="I2314" t="s">
        <v>36</v>
      </c>
      <c r="J2314" s="1">
        <v>44890</v>
      </c>
      <c r="K2314" t="b">
        <v>0</v>
      </c>
    </row>
    <row r="2315" spans="1:11" x14ac:dyDescent="0.25">
      <c r="A2315" t="s">
        <v>2233</v>
      </c>
      <c r="B2315" t="s">
        <v>51</v>
      </c>
      <c r="C2315" t="s">
        <v>23</v>
      </c>
      <c r="D2315" t="s">
        <v>73</v>
      </c>
      <c r="E2315" s="2">
        <v>33.5</v>
      </c>
      <c r="F2315" s="4">
        <v>5</v>
      </c>
      <c r="G2315" s="2">
        <v>167.5</v>
      </c>
      <c r="H2315" t="s">
        <v>45</v>
      </c>
      <c r="I2315" t="s">
        <v>16</v>
      </c>
      <c r="J2315" s="1">
        <v>44837</v>
      </c>
      <c r="K2315" t="b">
        <v>1</v>
      </c>
    </row>
    <row r="2316" spans="1:11" x14ac:dyDescent="0.25">
      <c r="A2316" t="s">
        <v>2399</v>
      </c>
      <c r="B2316" t="s">
        <v>61</v>
      </c>
      <c r="C2316" t="s">
        <v>27</v>
      </c>
      <c r="D2316" t="s">
        <v>209</v>
      </c>
      <c r="E2316" s="2">
        <v>33.5</v>
      </c>
      <c r="F2316" s="4">
        <v>5</v>
      </c>
      <c r="G2316" s="2">
        <v>167.5</v>
      </c>
      <c r="H2316" t="s">
        <v>45</v>
      </c>
      <c r="I2316" t="s">
        <v>36</v>
      </c>
      <c r="J2316" s="1">
        <v>45666</v>
      </c>
      <c r="K2316" t="b">
        <v>0</v>
      </c>
    </row>
    <row r="2317" spans="1:11" x14ac:dyDescent="0.25">
      <c r="A2317" t="s">
        <v>6428</v>
      </c>
      <c r="B2317" t="s">
        <v>93</v>
      </c>
      <c r="C2317" t="s">
        <v>59</v>
      </c>
      <c r="D2317" t="s">
        <v>270</v>
      </c>
      <c r="E2317" s="2">
        <v>33.5</v>
      </c>
      <c r="F2317" s="4">
        <v>5</v>
      </c>
      <c r="G2317" s="2">
        <v>167.5</v>
      </c>
      <c r="H2317" t="s">
        <v>25</v>
      </c>
      <c r="I2317" t="s">
        <v>16</v>
      </c>
      <c r="J2317" s="1">
        <v>45560</v>
      </c>
      <c r="K2317" t="b">
        <v>0</v>
      </c>
    </row>
    <row r="2318" spans="1:11" x14ac:dyDescent="0.25">
      <c r="A2318" t="s">
        <v>6132</v>
      </c>
      <c r="B2318" t="s">
        <v>61</v>
      </c>
      <c r="C2318" t="s">
        <v>110</v>
      </c>
      <c r="D2318" t="s">
        <v>154</v>
      </c>
      <c r="E2318" s="2">
        <v>33.5</v>
      </c>
      <c r="F2318" s="4">
        <v>5</v>
      </c>
      <c r="G2318" s="2">
        <v>167.5</v>
      </c>
      <c r="H2318" t="s">
        <v>15</v>
      </c>
      <c r="I2318" t="s">
        <v>16</v>
      </c>
      <c r="J2318" s="1">
        <v>44739</v>
      </c>
      <c r="K2318" t="b">
        <v>0</v>
      </c>
    </row>
    <row r="2319" spans="1:11" x14ac:dyDescent="0.25">
      <c r="A2319" t="s">
        <v>265</v>
      </c>
      <c r="B2319" t="s">
        <v>85</v>
      </c>
      <c r="C2319" t="s">
        <v>23</v>
      </c>
      <c r="D2319" t="s">
        <v>73</v>
      </c>
      <c r="E2319" s="2">
        <v>33.5</v>
      </c>
      <c r="F2319" s="4">
        <v>5</v>
      </c>
      <c r="G2319" s="2">
        <v>167.5</v>
      </c>
      <c r="H2319" t="s">
        <v>15</v>
      </c>
      <c r="I2319" t="s">
        <v>16</v>
      </c>
      <c r="J2319" s="1">
        <v>44765</v>
      </c>
      <c r="K2319" t="b">
        <v>0</v>
      </c>
    </row>
    <row r="2320" spans="1:11" x14ac:dyDescent="0.25">
      <c r="A2320" t="s">
        <v>4595</v>
      </c>
      <c r="B2320" t="s">
        <v>100</v>
      </c>
      <c r="C2320" t="s">
        <v>27</v>
      </c>
      <c r="D2320" t="s">
        <v>209</v>
      </c>
      <c r="E2320" s="2">
        <v>33.5</v>
      </c>
      <c r="F2320" s="4">
        <v>5</v>
      </c>
      <c r="G2320" s="2">
        <v>167.5</v>
      </c>
      <c r="H2320" t="s">
        <v>45</v>
      </c>
      <c r="I2320" t="s">
        <v>36</v>
      </c>
      <c r="J2320" s="1">
        <v>45531</v>
      </c>
      <c r="K2320" t="b">
        <v>0</v>
      </c>
    </row>
    <row r="2321" spans="1:11" x14ac:dyDescent="0.25">
      <c r="A2321" t="s">
        <v>1018</v>
      </c>
      <c r="B2321" t="s">
        <v>85</v>
      </c>
      <c r="C2321" t="s">
        <v>13</v>
      </c>
      <c r="D2321" t="s">
        <v>375</v>
      </c>
      <c r="E2321" s="2">
        <v>33.5</v>
      </c>
      <c r="F2321" s="4">
        <v>5</v>
      </c>
      <c r="G2321" s="2">
        <v>167.5</v>
      </c>
      <c r="H2321" t="s">
        <v>25</v>
      </c>
      <c r="I2321" t="s">
        <v>36</v>
      </c>
      <c r="J2321" s="1">
        <v>45293</v>
      </c>
      <c r="K2321" t="b">
        <v>1</v>
      </c>
    </row>
    <row r="2322" spans="1:11" x14ac:dyDescent="0.25">
      <c r="A2322" t="s">
        <v>1846</v>
      </c>
      <c r="B2322" t="s">
        <v>97</v>
      </c>
      <c r="C2322" t="s">
        <v>38</v>
      </c>
      <c r="D2322" t="s">
        <v>434</v>
      </c>
      <c r="E2322" s="2">
        <v>33.5</v>
      </c>
      <c r="F2322" s="4">
        <v>5</v>
      </c>
      <c r="G2322" s="2">
        <v>167.5</v>
      </c>
      <c r="H2322" t="s">
        <v>45</v>
      </c>
      <c r="I2322" t="s">
        <v>36</v>
      </c>
      <c r="J2322" s="1">
        <v>45019</v>
      </c>
      <c r="K2322" t="b">
        <v>0</v>
      </c>
    </row>
    <row r="2323" spans="1:11" x14ac:dyDescent="0.25">
      <c r="A2323" t="s">
        <v>597</v>
      </c>
      <c r="B2323" t="s">
        <v>93</v>
      </c>
      <c r="C2323" t="s">
        <v>27</v>
      </c>
      <c r="D2323" t="s">
        <v>209</v>
      </c>
      <c r="E2323" s="2">
        <v>33.5</v>
      </c>
      <c r="F2323" s="4">
        <v>5</v>
      </c>
      <c r="G2323" s="2">
        <v>167.5</v>
      </c>
      <c r="H2323" t="s">
        <v>15</v>
      </c>
      <c r="I2323" t="s">
        <v>16</v>
      </c>
      <c r="J2323" s="1">
        <v>45302</v>
      </c>
      <c r="K2323" t="b">
        <v>0</v>
      </c>
    </row>
    <row r="2324" spans="1:11" x14ac:dyDescent="0.25">
      <c r="A2324" t="s">
        <v>7215</v>
      </c>
      <c r="B2324" t="s">
        <v>69</v>
      </c>
      <c r="C2324" t="s">
        <v>23</v>
      </c>
      <c r="D2324" t="s">
        <v>73</v>
      </c>
      <c r="E2324" s="2">
        <v>33.5</v>
      </c>
      <c r="F2324" s="4">
        <v>5</v>
      </c>
      <c r="G2324" s="2">
        <v>167.5</v>
      </c>
      <c r="H2324" t="s">
        <v>45</v>
      </c>
      <c r="I2324" t="s">
        <v>36</v>
      </c>
      <c r="J2324" s="1">
        <v>44676</v>
      </c>
      <c r="K2324" t="b">
        <v>1</v>
      </c>
    </row>
    <row r="2325" spans="1:11" x14ac:dyDescent="0.25">
      <c r="A2325" t="s">
        <v>5052</v>
      </c>
      <c r="B2325" t="s">
        <v>104</v>
      </c>
      <c r="C2325" t="s">
        <v>38</v>
      </c>
      <c r="D2325" t="s">
        <v>434</v>
      </c>
      <c r="E2325" s="2">
        <v>33.5</v>
      </c>
      <c r="F2325" s="4">
        <v>5</v>
      </c>
      <c r="G2325" s="2">
        <v>167.5</v>
      </c>
      <c r="H2325" t="s">
        <v>15</v>
      </c>
      <c r="I2325" t="s">
        <v>36</v>
      </c>
      <c r="J2325" s="1">
        <v>44917</v>
      </c>
      <c r="K2325" t="b">
        <v>0</v>
      </c>
    </row>
    <row r="2326" spans="1:11" x14ac:dyDescent="0.25">
      <c r="A2326" t="s">
        <v>283</v>
      </c>
      <c r="B2326" t="s">
        <v>66</v>
      </c>
      <c r="C2326" t="s">
        <v>23</v>
      </c>
      <c r="D2326" t="s">
        <v>73</v>
      </c>
      <c r="E2326" s="2">
        <v>33.5</v>
      </c>
      <c r="F2326" s="4">
        <v>5</v>
      </c>
      <c r="G2326" s="2">
        <v>167.5</v>
      </c>
      <c r="H2326" t="s">
        <v>15</v>
      </c>
      <c r="I2326" t="s">
        <v>36</v>
      </c>
      <c r="J2326" s="1">
        <v>45515</v>
      </c>
      <c r="K2326" t="b">
        <v>0</v>
      </c>
    </row>
    <row r="2327" spans="1:11" x14ac:dyDescent="0.25">
      <c r="A2327" t="s">
        <v>2554</v>
      </c>
      <c r="B2327" t="s">
        <v>37</v>
      </c>
      <c r="C2327" t="s">
        <v>38</v>
      </c>
      <c r="D2327" t="s">
        <v>434</v>
      </c>
      <c r="E2327" s="2">
        <v>33.5</v>
      </c>
      <c r="F2327" s="4">
        <v>5</v>
      </c>
      <c r="G2327" s="2">
        <v>167.5</v>
      </c>
      <c r="H2327" t="s">
        <v>25</v>
      </c>
      <c r="I2327" t="s">
        <v>36</v>
      </c>
      <c r="J2327" s="1">
        <v>45301</v>
      </c>
      <c r="K2327" t="b">
        <v>0</v>
      </c>
    </row>
    <row r="2328" spans="1:11" x14ac:dyDescent="0.25">
      <c r="A2328" t="s">
        <v>208</v>
      </c>
      <c r="B2328" t="s">
        <v>69</v>
      </c>
      <c r="C2328" t="s">
        <v>27</v>
      </c>
      <c r="D2328" t="s">
        <v>209</v>
      </c>
      <c r="E2328" s="2">
        <v>33.5</v>
      </c>
      <c r="F2328" s="4">
        <v>5</v>
      </c>
      <c r="G2328" s="2">
        <v>167.5</v>
      </c>
      <c r="H2328" t="s">
        <v>45</v>
      </c>
      <c r="I2328" t="s">
        <v>16</v>
      </c>
      <c r="J2328" s="1">
        <v>45513</v>
      </c>
      <c r="K2328" t="b">
        <v>0</v>
      </c>
    </row>
    <row r="2329" spans="1:11" x14ac:dyDescent="0.25">
      <c r="A2329" t="s">
        <v>7586</v>
      </c>
      <c r="B2329" t="s">
        <v>77</v>
      </c>
      <c r="C2329" t="s">
        <v>19</v>
      </c>
      <c r="D2329" t="s">
        <v>626</v>
      </c>
      <c r="E2329" s="2">
        <v>33.5</v>
      </c>
      <c r="F2329" s="4">
        <v>5</v>
      </c>
      <c r="G2329" s="2">
        <v>167.5</v>
      </c>
      <c r="H2329" t="s">
        <v>15</v>
      </c>
      <c r="I2329" t="s">
        <v>16</v>
      </c>
      <c r="J2329" s="1">
        <v>44630</v>
      </c>
      <c r="K2329" t="b">
        <v>0</v>
      </c>
    </row>
    <row r="2330" spans="1:11" x14ac:dyDescent="0.25">
      <c r="A2330" t="s">
        <v>5972</v>
      </c>
      <c r="B2330" t="s">
        <v>30</v>
      </c>
      <c r="C2330" t="s">
        <v>110</v>
      </c>
      <c r="D2330" t="s">
        <v>154</v>
      </c>
      <c r="E2330" s="2">
        <v>33.5</v>
      </c>
      <c r="F2330" s="4">
        <v>5</v>
      </c>
      <c r="G2330" s="2">
        <v>167.5</v>
      </c>
      <c r="H2330" t="s">
        <v>45</v>
      </c>
      <c r="I2330" t="s">
        <v>36</v>
      </c>
      <c r="J2330" s="1">
        <v>45632</v>
      </c>
      <c r="K2330" t="b">
        <v>1</v>
      </c>
    </row>
    <row r="2331" spans="1:11" x14ac:dyDescent="0.25">
      <c r="A2331" t="s">
        <v>1491</v>
      </c>
      <c r="B2331" t="s">
        <v>72</v>
      </c>
      <c r="C2331" t="s">
        <v>38</v>
      </c>
      <c r="D2331" t="s">
        <v>434</v>
      </c>
      <c r="E2331" s="2">
        <v>33.5</v>
      </c>
      <c r="F2331" s="4">
        <v>5</v>
      </c>
      <c r="G2331" s="2">
        <v>167.5</v>
      </c>
      <c r="H2331" t="s">
        <v>25</v>
      </c>
      <c r="I2331" t="s">
        <v>16</v>
      </c>
      <c r="J2331" s="1">
        <v>45516</v>
      </c>
      <c r="K2331" t="b">
        <v>0</v>
      </c>
    </row>
    <row r="2332" spans="1:11" x14ac:dyDescent="0.25">
      <c r="A2332" t="s">
        <v>4237</v>
      </c>
      <c r="B2332" t="s">
        <v>85</v>
      </c>
      <c r="C2332" t="s">
        <v>23</v>
      </c>
      <c r="D2332" t="s">
        <v>73</v>
      </c>
      <c r="E2332" s="2">
        <v>33.5</v>
      </c>
      <c r="F2332" s="4">
        <v>5</v>
      </c>
      <c r="G2332" s="2">
        <v>167.5</v>
      </c>
      <c r="H2332" t="s">
        <v>25</v>
      </c>
      <c r="I2332" t="s">
        <v>36</v>
      </c>
      <c r="J2332" s="1">
        <v>45003</v>
      </c>
      <c r="K2332" t="b">
        <v>0</v>
      </c>
    </row>
    <row r="2333" spans="1:11" x14ac:dyDescent="0.25">
      <c r="A2333" t="s">
        <v>640</v>
      </c>
      <c r="B2333" t="s">
        <v>100</v>
      </c>
      <c r="C2333" t="s">
        <v>110</v>
      </c>
      <c r="D2333" t="s">
        <v>154</v>
      </c>
      <c r="E2333" s="2">
        <v>33.5</v>
      </c>
      <c r="F2333" s="4">
        <v>5</v>
      </c>
      <c r="G2333" s="2">
        <v>167.5</v>
      </c>
      <c r="H2333" t="s">
        <v>45</v>
      </c>
      <c r="I2333" t="s">
        <v>36</v>
      </c>
      <c r="J2333" s="1">
        <v>44870</v>
      </c>
      <c r="K2333" t="b">
        <v>1</v>
      </c>
    </row>
    <row r="2334" spans="1:11" x14ac:dyDescent="0.25">
      <c r="A2334" t="s">
        <v>7425</v>
      </c>
      <c r="B2334" t="s">
        <v>34</v>
      </c>
      <c r="C2334" t="s">
        <v>27</v>
      </c>
      <c r="D2334" t="s">
        <v>209</v>
      </c>
      <c r="E2334" s="2">
        <v>33.5</v>
      </c>
      <c r="F2334" s="4">
        <v>5</v>
      </c>
      <c r="G2334" s="2">
        <v>167.5</v>
      </c>
      <c r="H2334" t="s">
        <v>45</v>
      </c>
      <c r="I2334" t="s">
        <v>16</v>
      </c>
      <c r="J2334" s="1">
        <v>44687</v>
      </c>
      <c r="K2334" t="b">
        <v>1</v>
      </c>
    </row>
    <row r="2335" spans="1:11" x14ac:dyDescent="0.25">
      <c r="A2335" t="s">
        <v>4948</v>
      </c>
      <c r="B2335" t="s">
        <v>40</v>
      </c>
      <c r="C2335" t="s">
        <v>31</v>
      </c>
      <c r="D2335" t="s">
        <v>155</v>
      </c>
      <c r="E2335" s="2">
        <v>33.5</v>
      </c>
      <c r="F2335" s="4">
        <v>5</v>
      </c>
      <c r="G2335" s="2">
        <v>167.5</v>
      </c>
      <c r="H2335" t="s">
        <v>15</v>
      </c>
      <c r="I2335" t="s">
        <v>16</v>
      </c>
      <c r="J2335" s="1">
        <v>45227</v>
      </c>
      <c r="K2335" t="b">
        <v>1</v>
      </c>
    </row>
    <row r="2336" spans="1:11" x14ac:dyDescent="0.25">
      <c r="A2336" t="s">
        <v>1071</v>
      </c>
      <c r="B2336" t="s">
        <v>69</v>
      </c>
      <c r="C2336" t="s">
        <v>31</v>
      </c>
      <c r="D2336" t="s">
        <v>155</v>
      </c>
      <c r="E2336" s="2">
        <v>33.5</v>
      </c>
      <c r="F2336" s="4">
        <v>5</v>
      </c>
      <c r="G2336" s="2">
        <v>167.5</v>
      </c>
      <c r="H2336" t="s">
        <v>25</v>
      </c>
      <c r="I2336" t="s">
        <v>36</v>
      </c>
      <c r="J2336" s="1">
        <v>45106</v>
      </c>
      <c r="K2336" t="b">
        <v>0</v>
      </c>
    </row>
    <row r="2337" spans="1:11" x14ac:dyDescent="0.25">
      <c r="A2337" t="s">
        <v>5629</v>
      </c>
      <c r="B2337" t="s">
        <v>61</v>
      </c>
      <c r="C2337" t="s">
        <v>23</v>
      </c>
      <c r="D2337" t="s">
        <v>73</v>
      </c>
      <c r="E2337" s="2">
        <v>33.5</v>
      </c>
      <c r="F2337" s="4">
        <v>5</v>
      </c>
      <c r="G2337" s="2">
        <v>167.5</v>
      </c>
      <c r="H2337" t="s">
        <v>15</v>
      </c>
      <c r="I2337" t="s">
        <v>16</v>
      </c>
      <c r="J2337" s="1">
        <v>44736</v>
      </c>
      <c r="K2337" t="b">
        <v>0</v>
      </c>
    </row>
    <row r="2338" spans="1:11" x14ac:dyDescent="0.25">
      <c r="A2338" t="s">
        <v>4410</v>
      </c>
      <c r="B2338" t="s">
        <v>22</v>
      </c>
      <c r="C2338" t="s">
        <v>38</v>
      </c>
      <c r="D2338" t="s">
        <v>434</v>
      </c>
      <c r="E2338" s="2">
        <v>33.5</v>
      </c>
      <c r="F2338" s="4">
        <v>5</v>
      </c>
      <c r="G2338" s="2">
        <v>167.5</v>
      </c>
      <c r="H2338" t="s">
        <v>25</v>
      </c>
      <c r="I2338" t="s">
        <v>36</v>
      </c>
      <c r="J2338" s="1">
        <v>45051</v>
      </c>
      <c r="K2338" t="b">
        <v>1</v>
      </c>
    </row>
    <row r="2339" spans="1:11" x14ac:dyDescent="0.25">
      <c r="A2339" t="s">
        <v>6982</v>
      </c>
      <c r="B2339" t="s">
        <v>58</v>
      </c>
      <c r="C2339" t="s">
        <v>31</v>
      </c>
      <c r="D2339" t="s">
        <v>155</v>
      </c>
      <c r="E2339" s="2">
        <v>33.5</v>
      </c>
      <c r="F2339" s="4">
        <v>5</v>
      </c>
      <c r="G2339" s="2">
        <v>167.5</v>
      </c>
      <c r="H2339" t="s">
        <v>15</v>
      </c>
      <c r="I2339" t="s">
        <v>16</v>
      </c>
      <c r="J2339" s="1">
        <v>45267</v>
      </c>
      <c r="K2339" t="b">
        <v>1</v>
      </c>
    </row>
    <row r="2340" spans="1:11" x14ac:dyDescent="0.25">
      <c r="A2340" t="s">
        <v>5426</v>
      </c>
      <c r="B2340" t="s">
        <v>100</v>
      </c>
      <c r="C2340" t="s">
        <v>38</v>
      </c>
      <c r="D2340" t="s">
        <v>434</v>
      </c>
      <c r="E2340" s="2">
        <v>33.5</v>
      </c>
      <c r="F2340" s="4">
        <v>5</v>
      </c>
      <c r="G2340" s="2">
        <v>167.5</v>
      </c>
      <c r="H2340" t="s">
        <v>45</v>
      </c>
      <c r="I2340" t="s">
        <v>16</v>
      </c>
      <c r="J2340" s="1">
        <v>44950</v>
      </c>
      <c r="K2340" t="b">
        <v>1</v>
      </c>
    </row>
    <row r="2341" spans="1:11" x14ac:dyDescent="0.25">
      <c r="A2341" t="s">
        <v>7773</v>
      </c>
      <c r="B2341" t="s">
        <v>77</v>
      </c>
      <c r="C2341" t="s">
        <v>19</v>
      </c>
      <c r="D2341" t="s">
        <v>626</v>
      </c>
      <c r="E2341" s="2">
        <v>33.5</v>
      </c>
      <c r="F2341" s="4">
        <v>5</v>
      </c>
      <c r="G2341" s="2">
        <v>167.5</v>
      </c>
      <c r="H2341" t="s">
        <v>25</v>
      </c>
      <c r="I2341" t="s">
        <v>16</v>
      </c>
      <c r="J2341" s="1">
        <v>45123</v>
      </c>
      <c r="K2341" t="b">
        <v>0</v>
      </c>
    </row>
    <row r="2342" spans="1:11" x14ac:dyDescent="0.25">
      <c r="A2342" t="s">
        <v>353</v>
      </c>
      <c r="B2342" t="s">
        <v>18</v>
      </c>
      <c r="C2342" t="s">
        <v>23</v>
      </c>
      <c r="D2342" t="s">
        <v>73</v>
      </c>
      <c r="E2342" s="2">
        <v>33.5</v>
      </c>
      <c r="F2342" s="4">
        <v>5</v>
      </c>
      <c r="G2342" s="2">
        <v>167.5</v>
      </c>
      <c r="H2342" t="s">
        <v>25</v>
      </c>
      <c r="I2342" t="s">
        <v>16</v>
      </c>
      <c r="J2342" s="1">
        <v>45409</v>
      </c>
      <c r="K2342" t="b">
        <v>1</v>
      </c>
    </row>
    <row r="2343" spans="1:11" x14ac:dyDescent="0.25">
      <c r="A2343" t="s">
        <v>3776</v>
      </c>
      <c r="B2343" t="s">
        <v>58</v>
      </c>
      <c r="C2343" t="s">
        <v>19</v>
      </c>
      <c r="D2343" t="s">
        <v>626</v>
      </c>
      <c r="E2343" s="2">
        <v>33.5</v>
      </c>
      <c r="F2343" s="4">
        <v>5</v>
      </c>
      <c r="G2343" s="2">
        <v>167.5</v>
      </c>
      <c r="H2343" t="s">
        <v>45</v>
      </c>
      <c r="I2343" t="s">
        <v>16</v>
      </c>
      <c r="J2343" s="1">
        <v>44833</v>
      </c>
      <c r="K2343" t="b">
        <v>1</v>
      </c>
    </row>
    <row r="2344" spans="1:11" x14ac:dyDescent="0.25">
      <c r="A2344" t="s">
        <v>5498</v>
      </c>
      <c r="B2344" t="s">
        <v>86</v>
      </c>
      <c r="C2344" t="s">
        <v>27</v>
      </c>
      <c r="D2344" t="s">
        <v>209</v>
      </c>
      <c r="E2344" s="2">
        <v>33.5</v>
      </c>
      <c r="F2344" s="4">
        <v>5</v>
      </c>
      <c r="G2344" s="2">
        <v>167.5</v>
      </c>
      <c r="H2344" t="s">
        <v>25</v>
      </c>
      <c r="I2344" t="s">
        <v>36</v>
      </c>
      <c r="J2344" s="1">
        <v>44681</v>
      </c>
      <c r="K2344" t="b">
        <v>0</v>
      </c>
    </row>
    <row r="2345" spans="1:11" x14ac:dyDescent="0.25">
      <c r="A2345" t="s">
        <v>4815</v>
      </c>
      <c r="B2345" t="s">
        <v>93</v>
      </c>
      <c r="C2345" t="s">
        <v>38</v>
      </c>
      <c r="D2345" t="s">
        <v>434</v>
      </c>
      <c r="E2345" s="2">
        <v>33.5</v>
      </c>
      <c r="F2345" s="4">
        <v>5</v>
      </c>
      <c r="G2345" s="2">
        <v>167.5</v>
      </c>
      <c r="H2345" t="s">
        <v>15</v>
      </c>
      <c r="I2345" t="s">
        <v>36</v>
      </c>
      <c r="J2345" s="1">
        <v>44751</v>
      </c>
      <c r="K2345" t="b">
        <v>1</v>
      </c>
    </row>
    <row r="2346" spans="1:11" x14ac:dyDescent="0.25">
      <c r="A2346" t="s">
        <v>5582</v>
      </c>
      <c r="B2346" t="s">
        <v>104</v>
      </c>
      <c r="C2346" t="s">
        <v>59</v>
      </c>
      <c r="D2346" t="s">
        <v>270</v>
      </c>
      <c r="E2346" s="2">
        <v>33.5</v>
      </c>
      <c r="F2346" s="4">
        <v>5</v>
      </c>
      <c r="G2346" s="2">
        <v>167.5</v>
      </c>
      <c r="H2346" t="s">
        <v>25</v>
      </c>
      <c r="I2346" t="s">
        <v>16</v>
      </c>
      <c r="J2346" s="1">
        <v>45129</v>
      </c>
      <c r="K2346" t="b">
        <v>0</v>
      </c>
    </row>
    <row r="2347" spans="1:11" x14ac:dyDescent="0.25">
      <c r="A2347" t="s">
        <v>1685</v>
      </c>
      <c r="B2347" t="s">
        <v>37</v>
      </c>
      <c r="C2347" t="s">
        <v>23</v>
      </c>
      <c r="D2347" t="s">
        <v>771</v>
      </c>
      <c r="E2347" s="2">
        <v>18.5</v>
      </c>
      <c r="F2347" s="4">
        <v>9</v>
      </c>
      <c r="G2347" s="2">
        <v>166.5</v>
      </c>
      <c r="H2347" t="s">
        <v>25</v>
      </c>
      <c r="I2347" t="s">
        <v>36</v>
      </c>
      <c r="J2347" s="1">
        <v>44611</v>
      </c>
      <c r="K2347" t="b">
        <v>1</v>
      </c>
    </row>
    <row r="2348" spans="1:11" x14ac:dyDescent="0.25">
      <c r="A2348" t="s">
        <v>7442</v>
      </c>
      <c r="B2348" t="s">
        <v>66</v>
      </c>
      <c r="C2348" t="s">
        <v>38</v>
      </c>
      <c r="D2348" t="s">
        <v>94</v>
      </c>
      <c r="E2348" s="2">
        <v>18.5</v>
      </c>
      <c r="F2348" s="4">
        <v>9</v>
      </c>
      <c r="G2348" s="2">
        <v>166.5</v>
      </c>
      <c r="H2348" t="s">
        <v>45</v>
      </c>
      <c r="I2348" t="s">
        <v>16</v>
      </c>
      <c r="J2348" s="1">
        <v>45404</v>
      </c>
      <c r="K2348" t="b">
        <v>1</v>
      </c>
    </row>
    <row r="2349" spans="1:11" x14ac:dyDescent="0.25">
      <c r="A2349" t="s">
        <v>1372</v>
      </c>
      <c r="B2349" t="s">
        <v>93</v>
      </c>
      <c r="C2349" t="s">
        <v>110</v>
      </c>
      <c r="D2349" t="s">
        <v>189</v>
      </c>
      <c r="E2349" s="2">
        <v>18.5</v>
      </c>
      <c r="F2349" s="4">
        <v>9</v>
      </c>
      <c r="G2349" s="2">
        <v>166.5</v>
      </c>
      <c r="H2349" t="s">
        <v>25</v>
      </c>
      <c r="I2349" t="s">
        <v>16</v>
      </c>
      <c r="J2349" s="1">
        <v>44845</v>
      </c>
      <c r="K2349" t="b">
        <v>1</v>
      </c>
    </row>
    <row r="2350" spans="1:11" x14ac:dyDescent="0.25">
      <c r="A2350" t="s">
        <v>1037</v>
      </c>
      <c r="B2350" t="s">
        <v>12</v>
      </c>
      <c r="C2350" t="s">
        <v>27</v>
      </c>
      <c r="D2350" t="s">
        <v>384</v>
      </c>
      <c r="E2350" s="2">
        <v>18.5</v>
      </c>
      <c r="F2350" s="4">
        <v>9</v>
      </c>
      <c r="G2350" s="2">
        <v>166.5</v>
      </c>
      <c r="H2350" t="s">
        <v>25</v>
      </c>
      <c r="I2350" t="s">
        <v>36</v>
      </c>
      <c r="J2350" s="1">
        <v>45084</v>
      </c>
      <c r="K2350" t="b">
        <v>1</v>
      </c>
    </row>
    <row r="2351" spans="1:11" x14ac:dyDescent="0.25">
      <c r="A2351" t="s">
        <v>2483</v>
      </c>
      <c r="B2351" t="s">
        <v>26</v>
      </c>
      <c r="C2351" t="s">
        <v>110</v>
      </c>
      <c r="D2351" t="s">
        <v>189</v>
      </c>
      <c r="E2351" s="2">
        <v>18.5</v>
      </c>
      <c r="F2351" s="4">
        <v>9</v>
      </c>
      <c r="G2351" s="2">
        <v>166.5</v>
      </c>
      <c r="H2351" t="s">
        <v>45</v>
      </c>
      <c r="I2351" t="s">
        <v>36</v>
      </c>
      <c r="J2351" s="1">
        <v>45212</v>
      </c>
      <c r="K2351" t="b">
        <v>1</v>
      </c>
    </row>
    <row r="2352" spans="1:11" x14ac:dyDescent="0.25">
      <c r="A2352" t="s">
        <v>776</v>
      </c>
      <c r="B2352" t="s">
        <v>61</v>
      </c>
      <c r="C2352" t="s">
        <v>27</v>
      </c>
      <c r="D2352" t="s">
        <v>384</v>
      </c>
      <c r="E2352" s="2">
        <v>18.5</v>
      </c>
      <c r="F2352" s="4">
        <v>9</v>
      </c>
      <c r="G2352" s="2">
        <v>166.5</v>
      </c>
      <c r="H2352" t="s">
        <v>45</v>
      </c>
      <c r="I2352" t="s">
        <v>16</v>
      </c>
      <c r="J2352" s="1">
        <v>45615</v>
      </c>
      <c r="K2352" t="b">
        <v>0</v>
      </c>
    </row>
    <row r="2353" spans="1:11" x14ac:dyDescent="0.25">
      <c r="A2353" t="s">
        <v>2137</v>
      </c>
      <c r="B2353" t="s">
        <v>56</v>
      </c>
      <c r="C2353" t="s">
        <v>27</v>
      </c>
      <c r="D2353" t="s">
        <v>384</v>
      </c>
      <c r="E2353" s="2">
        <v>18.5</v>
      </c>
      <c r="F2353" s="4">
        <v>9</v>
      </c>
      <c r="G2353" s="2">
        <v>166.5</v>
      </c>
      <c r="H2353" t="s">
        <v>45</v>
      </c>
      <c r="I2353" t="s">
        <v>36</v>
      </c>
      <c r="J2353" s="1">
        <v>44702</v>
      </c>
      <c r="K2353" t="b">
        <v>0</v>
      </c>
    </row>
    <row r="2354" spans="1:11" x14ac:dyDescent="0.25">
      <c r="A2354" t="s">
        <v>4032</v>
      </c>
      <c r="B2354" t="s">
        <v>93</v>
      </c>
      <c r="C2354" t="s">
        <v>38</v>
      </c>
      <c r="D2354" t="s">
        <v>94</v>
      </c>
      <c r="E2354" s="2">
        <v>18.5</v>
      </c>
      <c r="F2354" s="4">
        <v>9</v>
      </c>
      <c r="G2354" s="2">
        <v>166.5</v>
      </c>
      <c r="H2354" t="s">
        <v>25</v>
      </c>
      <c r="I2354" t="s">
        <v>16</v>
      </c>
      <c r="J2354" s="1">
        <v>45032</v>
      </c>
      <c r="K2354" t="b">
        <v>0</v>
      </c>
    </row>
    <row r="2355" spans="1:11" x14ac:dyDescent="0.25">
      <c r="A2355" t="s">
        <v>4084</v>
      </c>
      <c r="B2355" t="s">
        <v>26</v>
      </c>
      <c r="C2355" t="s">
        <v>110</v>
      </c>
      <c r="D2355" t="s">
        <v>189</v>
      </c>
      <c r="E2355" s="2">
        <v>18.5</v>
      </c>
      <c r="F2355" s="4">
        <v>9</v>
      </c>
      <c r="G2355" s="2">
        <v>166.5</v>
      </c>
      <c r="H2355" t="s">
        <v>45</v>
      </c>
      <c r="I2355" t="s">
        <v>36</v>
      </c>
      <c r="J2355" s="1">
        <v>45540</v>
      </c>
      <c r="K2355" t="b">
        <v>0</v>
      </c>
    </row>
    <row r="2356" spans="1:11" x14ac:dyDescent="0.25">
      <c r="A2356" t="s">
        <v>2181</v>
      </c>
      <c r="B2356" t="s">
        <v>22</v>
      </c>
      <c r="C2356" t="s">
        <v>38</v>
      </c>
      <c r="D2356" t="s">
        <v>94</v>
      </c>
      <c r="E2356" s="2">
        <v>18.5</v>
      </c>
      <c r="F2356" s="4">
        <v>9</v>
      </c>
      <c r="G2356" s="2">
        <v>166.5</v>
      </c>
      <c r="H2356" t="s">
        <v>45</v>
      </c>
      <c r="I2356" t="s">
        <v>36</v>
      </c>
      <c r="J2356" s="1">
        <v>44948</v>
      </c>
      <c r="K2356" t="b">
        <v>1</v>
      </c>
    </row>
    <row r="2357" spans="1:11" x14ac:dyDescent="0.25">
      <c r="A2357" t="s">
        <v>5563</v>
      </c>
      <c r="B2357" t="s">
        <v>56</v>
      </c>
      <c r="C2357" t="s">
        <v>23</v>
      </c>
      <c r="D2357" t="s">
        <v>771</v>
      </c>
      <c r="E2357" s="2">
        <v>18.5</v>
      </c>
      <c r="F2357" s="4">
        <v>9</v>
      </c>
      <c r="G2357" s="2">
        <v>166.5</v>
      </c>
      <c r="H2357" t="s">
        <v>15</v>
      </c>
      <c r="I2357" t="s">
        <v>36</v>
      </c>
      <c r="J2357" s="1">
        <v>44814</v>
      </c>
      <c r="K2357" t="b">
        <v>1</v>
      </c>
    </row>
    <row r="2358" spans="1:11" x14ac:dyDescent="0.25">
      <c r="A2358" t="s">
        <v>7123</v>
      </c>
      <c r="B2358" t="s">
        <v>142</v>
      </c>
      <c r="C2358" t="s">
        <v>31</v>
      </c>
      <c r="D2358" t="s">
        <v>67</v>
      </c>
      <c r="E2358" s="2">
        <v>18.5</v>
      </c>
      <c r="F2358" s="4">
        <v>9</v>
      </c>
      <c r="G2358" s="2">
        <v>166.5</v>
      </c>
      <c r="H2358" t="s">
        <v>15</v>
      </c>
      <c r="I2358" t="s">
        <v>36</v>
      </c>
      <c r="J2358" s="1">
        <v>44841</v>
      </c>
      <c r="K2358" t="b">
        <v>0</v>
      </c>
    </row>
    <row r="2359" spans="1:11" x14ac:dyDescent="0.25">
      <c r="A2359" t="s">
        <v>5700</v>
      </c>
      <c r="B2359" t="s">
        <v>37</v>
      </c>
      <c r="C2359" t="s">
        <v>27</v>
      </c>
      <c r="D2359" t="s">
        <v>28</v>
      </c>
      <c r="E2359" s="2">
        <v>27.5</v>
      </c>
      <c r="F2359" s="4">
        <v>6</v>
      </c>
      <c r="G2359" s="2">
        <v>165</v>
      </c>
      <c r="H2359" t="s">
        <v>25</v>
      </c>
      <c r="I2359" t="s">
        <v>16</v>
      </c>
      <c r="J2359" s="1">
        <v>45069</v>
      </c>
      <c r="K2359" t="b">
        <v>0</v>
      </c>
    </row>
    <row r="2360" spans="1:11" x14ac:dyDescent="0.25">
      <c r="A2360" t="s">
        <v>5169</v>
      </c>
      <c r="B2360" t="s">
        <v>100</v>
      </c>
      <c r="C2360" t="s">
        <v>19</v>
      </c>
      <c r="D2360" t="s">
        <v>53</v>
      </c>
      <c r="E2360" s="2">
        <v>27.5</v>
      </c>
      <c r="F2360" s="4">
        <v>6</v>
      </c>
      <c r="G2360" s="2">
        <v>165</v>
      </c>
      <c r="H2360" t="s">
        <v>15</v>
      </c>
      <c r="I2360" t="s">
        <v>16</v>
      </c>
      <c r="J2360" s="1">
        <v>45654</v>
      </c>
      <c r="K2360" t="b">
        <v>0</v>
      </c>
    </row>
    <row r="2361" spans="1:11" x14ac:dyDescent="0.25">
      <c r="A2361" t="s">
        <v>7453</v>
      </c>
      <c r="B2361" t="s">
        <v>40</v>
      </c>
      <c r="C2361" t="s">
        <v>19</v>
      </c>
      <c r="D2361" t="s">
        <v>53</v>
      </c>
      <c r="E2361" s="2">
        <v>27.5</v>
      </c>
      <c r="F2361" s="4">
        <v>6</v>
      </c>
      <c r="G2361" s="2">
        <v>165</v>
      </c>
      <c r="H2361" t="s">
        <v>15</v>
      </c>
      <c r="I2361" t="s">
        <v>36</v>
      </c>
      <c r="J2361" s="1">
        <v>45599</v>
      </c>
      <c r="K2361" t="b">
        <v>1</v>
      </c>
    </row>
    <row r="2362" spans="1:11" x14ac:dyDescent="0.25">
      <c r="A2362" t="s">
        <v>3883</v>
      </c>
      <c r="B2362" t="s">
        <v>104</v>
      </c>
      <c r="C2362" t="s">
        <v>59</v>
      </c>
      <c r="D2362" t="s">
        <v>272</v>
      </c>
      <c r="E2362" s="2">
        <v>27.5</v>
      </c>
      <c r="F2362" s="4">
        <v>6</v>
      </c>
      <c r="G2362" s="2">
        <v>165</v>
      </c>
      <c r="H2362" t="s">
        <v>25</v>
      </c>
      <c r="I2362" t="s">
        <v>16</v>
      </c>
      <c r="J2362" s="1">
        <v>45331</v>
      </c>
      <c r="K2362" t="b">
        <v>1</v>
      </c>
    </row>
    <row r="2363" spans="1:11" x14ac:dyDescent="0.25">
      <c r="A2363" t="s">
        <v>2142</v>
      </c>
      <c r="B2363" t="s">
        <v>51</v>
      </c>
      <c r="C2363" t="s">
        <v>38</v>
      </c>
      <c r="D2363" t="s">
        <v>41</v>
      </c>
      <c r="E2363" s="2">
        <v>27.5</v>
      </c>
      <c r="F2363" s="4">
        <v>6</v>
      </c>
      <c r="G2363" s="2">
        <v>165</v>
      </c>
      <c r="H2363" t="s">
        <v>25</v>
      </c>
      <c r="I2363" t="s">
        <v>36</v>
      </c>
      <c r="J2363" s="1">
        <v>45619</v>
      </c>
      <c r="K2363" t="b">
        <v>0</v>
      </c>
    </row>
    <row r="2364" spans="1:11" x14ac:dyDescent="0.25">
      <c r="A2364" t="s">
        <v>7573</v>
      </c>
      <c r="B2364" t="s">
        <v>34</v>
      </c>
      <c r="C2364" t="s">
        <v>19</v>
      </c>
      <c r="D2364" t="s">
        <v>53</v>
      </c>
      <c r="E2364" s="2">
        <v>27.5</v>
      </c>
      <c r="F2364" s="4">
        <v>6</v>
      </c>
      <c r="G2364" s="2">
        <v>165</v>
      </c>
      <c r="H2364" t="s">
        <v>25</v>
      </c>
      <c r="I2364" t="s">
        <v>36</v>
      </c>
      <c r="J2364" s="1">
        <v>45618</v>
      </c>
      <c r="K2364" t="b">
        <v>1</v>
      </c>
    </row>
    <row r="2365" spans="1:11" x14ac:dyDescent="0.25">
      <c r="A2365" t="s">
        <v>5933</v>
      </c>
      <c r="B2365" t="s">
        <v>86</v>
      </c>
      <c r="C2365" t="s">
        <v>23</v>
      </c>
      <c r="D2365" t="s">
        <v>115</v>
      </c>
      <c r="E2365" s="2">
        <v>27.5</v>
      </c>
      <c r="F2365" s="4">
        <v>6</v>
      </c>
      <c r="G2365" s="2">
        <v>165</v>
      </c>
      <c r="H2365" t="s">
        <v>15</v>
      </c>
      <c r="I2365" t="s">
        <v>36</v>
      </c>
      <c r="J2365" s="1">
        <v>44683</v>
      </c>
      <c r="K2365" t="b">
        <v>1</v>
      </c>
    </row>
    <row r="2366" spans="1:11" x14ac:dyDescent="0.25">
      <c r="A2366" t="s">
        <v>4500</v>
      </c>
      <c r="B2366" t="s">
        <v>86</v>
      </c>
      <c r="C2366" t="s">
        <v>23</v>
      </c>
      <c r="D2366" t="s">
        <v>115</v>
      </c>
      <c r="E2366" s="2">
        <v>27.5</v>
      </c>
      <c r="F2366" s="4">
        <v>6</v>
      </c>
      <c r="G2366" s="2">
        <v>165</v>
      </c>
      <c r="H2366" t="s">
        <v>25</v>
      </c>
      <c r="I2366" t="s">
        <v>16</v>
      </c>
      <c r="J2366" s="1">
        <v>44939</v>
      </c>
      <c r="K2366" t="b">
        <v>0</v>
      </c>
    </row>
    <row r="2367" spans="1:11" x14ac:dyDescent="0.25">
      <c r="A2367" t="s">
        <v>4757</v>
      </c>
      <c r="B2367" t="s">
        <v>104</v>
      </c>
      <c r="C2367" t="s">
        <v>59</v>
      </c>
      <c r="D2367" t="s">
        <v>272</v>
      </c>
      <c r="E2367" s="2">
        <v>27.5</v>
      </c>
      <c r="F2367" s="4">
        <v>6</v>
      </c>
      <c r="G2367" s="2">
        <v>165</v>
      </c>
      <c r="H2367" t="s">
        <v>15</v>
      </c>
      <c r="I2367" t="s">
        <v>36</v>
      </c>
      <c r="J2367" s="1">
        <v>44852</v>
      </c>
      <c r="K2367" t="b">
        <v>0</v>
      </c>
    </row>
    <row r="2368" spans="1:11" x14ac:dyDescent="0.25">
      <c r="A2368" t="s">
        <v>182</v>
      </c>
      <c r="B2368" t="s">
        <v>61</v>
      </c>
      <c r="C2368" t="s">
        <v>13</v>
      </c>
      <c r="D2368" t="s">
        <v>183</v>
      </c>
      <c r="E2368" s="2">
        <v>27.5</v>
      </c>
      <c r="F2368" s="4">
        <v>6</v>
      </c>
      <c r="G2368" s="2">
        <v>165</v>
      </c>
      <c r="H2368" t="s">
        <v>45</v>
      </c>
      <c r="I2368" t="s">
        <v>36</v>
      </c>
      <c r="J2368" s="1">
        <v>45237</v>
      </c>
      <c r="K2368" t="b">
        <v>0</v>
      </c>
    </row>
    <row r="2369" spans="1:11" x14ac:dyDescent="0.25">
      <c r="A2369" t="s">
        <v>5891</v>
      </c>
      <c r="B2369" t="s">
        <v>66</v>
      </c>
      <c r="C2369" t="s">
        <v>19</v>
      </c>
      <c r="D2369" t="s">
        <v>53</v>
      </c>
      <c r="E2369" s="2">
        <v>27.5</v>
      </c>
      <c r="F2369" s="4">
        <v>6</v>
      </c>
      <c r="G2369" s="2">
        <v>165</v>
      </c>
      <c r="H2369" t="s">
        <v>15</v>
      </c>
      <c r="I2369" t="s">
        <v>36</v>
      </c>
      <c r="J2369" s="1">
        <v>45493</v>
      </c>
      <c r="K2369" t="b">
        <v>0</v>
      </c>
    </row>
    <row r="2370" spans="1:11" x14ac:dyDescent="0.25">
      <c r="A2370" t="s">
        <v>7556</v>
      </c>
      <c r="B2370" t="s">
        <v>37</v>
      </c>
      <c r="C2370" t="s">
        <v>38</v>
      </c>
      <c r="D2370" t="s">
        <v>41</v>
      </c>
      <c r="E2370" s="2">
        <v>27.5</v>
      </c>
      <c r="F2370" s="4">
        <v>6</v>
      </c>
      <c r="G2370" s="2">
        <v>165</v>
      </c>
      <c r="H2370" t="s">
        <v>45</v>
      </c>
      <c r="I2370" t="s">
        <v>36</v>
      </c>
      <c r="J2370" s="1">
        <v>44821</v>
      </c>
      <c r="K2370" t="b">
        <v>1</v>
      </c>
    </row>
    <row r="2371" spans="1:11" x14ac:dyDescent="0.25">
      <c r="A2371" t="s">
        <v>6142</v>
      </c>
      <c r="B2371" t="s">
        <v>37</v>
      </c>
      <c r="C2371" t="s">
        <v>23</v>
      </c>
      <c r="D2371" t="s">
        <v>115</v>
      </c>
      <c r="E2371" s="2">
        <v>27.5</v>
      </c>
      <c r="F2371" s="4">
        <v>6</v>
      </c>
      <c r="G2371" s="2">
        <v>165</v>
      </c>
      <c r="H2371" t="s">
        <v>15</v>
      </c>
      <c r="I2371" t="s">
        <v>16</v>
      </c>
      <c r="J2371" s="1">
        <v>45205</v>
      </c>
      <c r="K2371" t="b">
        <v>1</v>
      </c>
    </row>
    <row r="2372" spans="1:11" x14ac:dyDescent="0.25">
      <c r="A2372" t="s">
        <v>4569</v>
      </c>
      <c r="B2372" t="s">
        <v>85</v>
      </c>
      <c r="C2372" t="s">
        <v>110</v>
      </c>
      <c r="D2372" t="s">
        <v>111</v>
      </c>
      <c r="E2372" s="2">
        <v>27.5</v>
      </c>
      <c r="F2372" s="4">
        <v>6</v>
      </c>
      <c r="G2372" s="2">
        <v>165</v>
      </c>
      <c r="H2372" t="s">
        <v>25</v>
      </c>
      <c r="I2372" t="s">
        <v>16</v>
      </c>
      <c r="J2372" s="1">
        <v>45570</v>
      </c>
      <c r="K2372" t="b">
        <v>0</v>
      </c>
    </row>
    <row r="2373" spans="1:11" x14ac:dyDescent="0.25">
      <c r="A2373" t="s">
        <v>6610</v>
      </c>
      <c r="B2373" t="s">
        <v>142</v>
      </c>
      <c r="C2373" t="s">
        <v>27</v>
      </c>
      <c r="D2373" t="s">
        <v>28</v>
      </c>
      <c r="E2373" s="2">
        <v>27.5</v>
      </c>
      <c r="F2373" s="4">
        <v>6</v>
      </c>
      <c r="G2373" s="2">
        <v>165</v>
      </c>
      <c r="H2373" t="s">
        <v>15</v>
      </c>
      <c r="I2373" t="s">
        <v>16</v>
      </c>
      <c r="J2373" s="1">
        <v>44748</v>
      </c>
      <c r="K2373" t="b">
        <v>1</v>
      </c>
    </row>
    <row r="2374" spans="1:11" x14ac:dyDescent="0.25">
      <c r="A2374" t="s">
        <v>7788</v>
      </c>
      <c r="B2374" t="s">
        <v>104</v>
      </c>
      <c r="C2374" t="s">
        <v>23</v>
      </c>
      <c r="D2374" t="s">
        <v>115</v>
      </c>
      <c r="E2374" s="2">
        <v>27.5</v>
      </c>
      <c r="F2374" s="4">
        <v>6</v>
      </c>
      <c r="G2374" s="2">
        <v>165</v>
      </c>
      <c r="H2374" t="s">
        <v>45</v>
      </c>
      <c r="I2374" t="s">
        <v>16</v>
      </c>
      <c r="J2374" s="1">
        <v>44763</v>
      </c>
      <c r="K2374" t="b">
        <v>0</v>
      </c>
    </row>
    <row r="2375" spans="1:11" x14ac:dyDescent="0.25">
      <c r="A2375" t="s">
        <v>1775</v>
      </c>
      <c r="B2375" t="s">
        <v>72</v>
      </c>
      <c r="C2375" t="s">
        <v>23</v>
      </c>
      <c r="D2375" t="s">
        <v>115</v>
      </c>
      <c r="E2375" s="2">
        <v>27.5</v>
      </c>
      <c r="F2375" s="4">
        <v>6</v>
      </c>
      <c r="G2375" s="2">
        <v>165</v>
      </c>
      <c r="H2375" t="s">
        <v>45</v>
      </c>
      <c r="I2375" t="s">
        <v>16</v>
      </c>
      <c r="J2375" s="1">
        <v>44711</v>
      </c>
      <c r="K2375" t="b">
        <v>0</v>
      </c>
    </row>
    <row r="2376" spans="1:11" x14ac:dyDescent="0.25">
      <c r="A2376" t="s">
        <v>6361</v>
      </c>
      <c r="B2376" t="s">
        <v>66</v>
      </c>
      <c r="C2376" t="s">
        <v>59</v>
      </c>
      <c r="D2376" t="s">
        <v>272</v>
      </c>
      <c r="E2376" s="2">
        <v>27.5</v>
      </c>
      <c r="F2376" s="4">
        <v>6</v>
      </c>
      <c r="G2376" s="2">
        <v>165</v>
      </c>
      <c r="H2376" t="s">
        <v>45</v>
      </c>
      <c r="I2376" t="s">
        <v>16</v>
      </c>
      <c r="J2376" s="1">
        <v>45557</v>
      </c>
      <c r="K2376" t="b">
        <v>0</v>
      </c>
    </row>
    <row r="2377" spans="1:11" x14ac:dyDescent="0.25">
      <c r="A2377" t="s">
        <v>2236</v>
      </c>
      <c r="B2377" t="s">
        <v>26</v>
      </c>
      <c r="C2377" t="s">
        <v>23</v>
      </c>
      <c r="D2377" t="s">
        <v>115</v>
      </c>
      <c r="E2377" s="2">
        <v>27.5</v>
      </c>
      <c r="F2377" s="4">
        <v>6</v>
      </c>
      <c r="G2377" s="2">
        <v>165</v>
      </c>
      <c r="H2377" t="s">
        <v>45</v>
      </c>
      <c r="I2377" t="s">
        <v>16</v>
      </c>
      <c r="J2377" s="1">
        <v>45530</v>
      </c>
      <c r="K2377" t="b">
        <v>0</v>
      </c>
    </row>
    <row r="2378" spans="1:11" x14ac:dyDescent="0.25">
      <c r="A2378" t="s">
        <v>109</v>
      </c>
      <c r="B2378" t="s">
        <v>66</v>
      </c>
      <c r="C2378" t="s">
        <v>110</v>
      </c>
      <c r="D2378" t="s">
        <v>111</v>
      </c>
      <c r="E2378" s="2">
        <v>27.5</v>
      </c>
      <c r="F2378" s="4">
        <v>6</v>
      </c>
      <c r="G2378" s="2">
        <v>165</v>
      </c>
      <c r="H2378" t="s">
        <v>25</v>
      </c>
      <c r="I2378" t="s">
        <v>16</v>
      </c>
      <c r="J2378" s="1">
        <v>44657</v>
      </c>
      <c r="K2378" t="b">
        <v>0</v>
      </c>
    </row>
    <row r="2379" spans="1:11" x14ac:dyDescent="0.25">
      <c r="A2379" t="s">
        <v>6523</v>
      </c>
      <c r="B2379" t="s">
        <v>37</v>
      </c>
      <c r="C2379" t="s">
        <v>38</v>
      </c>
      <c r="D2379" t="s">
        <v>41</v>
      </c>
      <c r="E2379" s="2">
        <v>27.5</v>
      </c>
      <c r="F2379" s="4">
        <v>6</v>
      </c>
      <c r="G2379" s="2">
        <v>165</v>
      </c>
      <c r="H2379" t="s">
        <v>45</v>
      </c>
      <c r="I2379" t="s">
        <v>16</v>
      </c>
      <c r="J2379" s="1">
        <v>45280</v>
      </c>
      <c r="K2379" t="b">
        <v>0</v>
      </c>
    </row>
    <row r="2380" spans="1:11" x14ac:dyDescent="0.25">
      <c r="A2380" t="s">
        <v>863</v>
      </c>
      <c r="B2380" t="s">
        <v>72</v>
      </c>
      <c r="C2380" t="s">
        <v>13</v>
      </c>
      <c r="D2380" t="s">
        <v>183</v>
      </c>
      <c r="E2380" s="2">
        <v>27.5</v>
      </c>
      <c r="F2380" s="4">
        <v>6</v>
      </c>
      <c r="G2380" s="2">
        <v>165</v>
      </c>
      <c r="H2380" t="s">
        <v>15</v>
      </c>
      <c r="I2380" t="s">
        <v>36</v>
      </c>
      <c r="J2380" s="1">
        <v>44900</v>
      </c>
      <c r="K2380" t="b">
        <v>1</v>
      </c>
    </row>
    <row r="2381" spans="1:11" x14ac:dyDescent="0.25">
      <c r="A2381" t="s">
        <v>3807</v>
      </c>
      <c r="B2381" t="s">
        <v>100</v>
      </c>
      <c r="C2381" t="s">
        <v>23</v>
      </c>
      <c r="D2381" t="s">
        <v>115</v>
      </c>
      <c r="E2381" s="2">
        <v>27.5</v>
      </c>
      <c r="F2381" s="4">
        <v>6</v>
      </c>
      <c r="G2381" s="2">
        <v>165</v>
      </c>
      <c r="H2381" t="s">
        <v>25</v>
      </c>
      <c r="I2381" t="s">
        <v>16</v>
      </c>
      <c r="J2381" s="1">
        <v>44644</v>
      </c>
      <c r="K2381" t="b">
        <v>0</v>
      </c>
    </row>
    <row r="2382" spans="1:11" x14ac:dyDescent="0.25">
      <c r="A2382" t="s">
        <v>7206</v>
      </c>
      <c r="B2382" t="s">
        <v>72</v>
      </c>
      <c r="C2382" t="s">
        <v>23</v>
      </c>
      <c r="D2382" t="s">
        <v>115</v>
      </c>
      <c r="E2382" s="2">
        <v>27.5</v>
      </c>
      <c r="F2382" s="4">
        <v>6</v>
      </c>
      <c r="G2382" s="2">
        <v>165</v>
      </c>
      <c r="H2382" t="s">
        <v>45</v>
      </c>
      <c r="I2382" t="s">
        <v>16</v>
      </c>
      <c r="J2382" s="1">
        <v>44903</v>
      </c>
      <c r="K2382" t="b">
        <v>0</v>
      </c>
    </row>
    <row r="2383" spans="1:11" x14ac:dyDescent="0.25">
      <c r="A2383" t="s">
        <v>1551</v>
      </c>
      <c r="B2383" t="s">
        <v>85</v>
      </c>
      <c r="C2383" t="s">
        <v>27</v>
      </c>
      <c r="D2383" t="s">
        <v>28</v>
      </c>
      <c r="E2383" s="2">
        <v>27.5</v>
      </c>
      <c r="F2383" s="4">
        <v>6</v>
      </c>
      <c r="G2383" s="2">
        <v>165</v>
      </c>
      <c r="H2383" t="s">
        <v>25</v>
      </c>
      <c r="I2383" t="s">
        <v>36</v>
      </c>
      <c r="J2383" s="1">
        <v>44833</v>
      </c>
      <c r="K2383" t="b">
        <v>0</v>
      </c>
    </row>
    <row r="2384" spans="1:11" x14ac:dyDescent="0.25">
      <c r="A2384" t="s">
        <v>3261</v>
      </c>
      <c r="B2384" t="s">
        <v>22</v>
      </c>
      <c r="C2384" t="s">
        <v>13</v>
      </c>
      <c r="D2384" t="s">
        <v>183</v>
      </c>
      <c r="E2384" s="2">
        <v>27.5</v>
      </c>
      <c r="F2384" s="4">
        <v>6</v>
      </c>
      <c r="G2384" s="2">
        <v>165</v>
      </c>
      <c r="H2384" t="s">
        <v>45</v>
      </c>
      <c r="I2384" t="s">
        <v>36</v>
      </c>
      <c r="J2384" s="1">
        <v>45139</v>
      </c>
      <c r="K2384" t="b">
        <v>0</v>
      </c>
    </row>
    <row r="2385" spans="1:11" x14ac:dyDescent="0.25">
      <c r="A2385" t="s">
        <v>3897</v>
      </c>
      <c r="B2385" t="s">
        <v>100</v>
      </c>
      <c r="C2385" t="s">
        <v>13</v>
      </c>
      <c r="D2385" t="s">
        <v>183</v>
      </c>
      <c r="E2385" s="2">
        <v>27.5</v>
      </c>
      <c r="F2385" s="4">
        <v>6</v>
      </c>
      <c r="G2385" s="2">
        <v>165</v>
      </c>
      <c r="H2385" t="s">
        <v>45</v>
      </c>
      <c r="I2385" t="s">
        <v>36</v>
      </c>
      <c r="J2385" s="1">
        <v>45078</v>
      </c>
      <c r="K2385" t="b">
        <v>0</v>
      </c>
    </row>
    <row r="2386" spans="1:11" x14ac:dyDescent="0.25">
      <c r="A2386" t="s">
        <v>114</v>
      </c>
      <c r="B2386" t="s">
        <v>69</v>
      </c>
      <c r="C2386" t="s">
        <v>23</v>
      </c>
      <c r="D2386" t="s">
        <v>115</v>
      </c>
      <c r="E2386" s="2">
        <v>27.5</v>
      </c>
      <c r="F2386" s="4">
        <v>6</v>
      </c>
      <c r="G2386" s="2">
        <v>165</v>
      </c>
      <c r="H2386" t="s">
        <v>25</v>
      </c>
      <c r="I2386" t="s">
        <v>16</v>
      </c>
      <c r="J2386" s="1">
        <v>45657</v>
      </c>
      <c r="K2386" t="b">
        <v>1</v>
      </c>
    </row>
    <row r="2387" spans="1:11" x14ac:dyDescent="0.25">
      <c r="A2387" t="s">
        <v>4380</v>
      </c>
      <c r="B2387" t="s">
        <v>77</v>
      </c>
      <c r="C2387" t="s">
        <v>59</v>
      </c>
      <c r="D2387" t="s">
        <v>272</v>
      </c>
      <c r="E2387" s="2">
        <v>27.5</v>
      </c>
      <c r="F2387" s="4">
        <v>6</v>
      </c>
      <c r="G2387" s="2">
        <v>165</v>
      </c>
      <c r="H2387" t="s">
        <v>25</v>
      </c>
      <c r="I2387" t="s">
        <v>16</v>
      </c>
      <c r="J2387" s="1">
        <v>45471</v>
      </c>
      <c r="K2387" t="b">
        <v>1</v>
      </c>
    </row>
    <row r="2388" spans="1:11" x14ac:dyDescent="0.25">
      <c r="A2388" t="s">
        <v>1386</v>
      </c>
      <c r="B2388" t="s">
        <v>30</v>
      </c>
      <c r="C2388" t="s">
        <v>13</v>
      </c>
      <c r="D2388" t="s">
        <v>161</v>
      </c>
      <c r="E2388" s="2">
        <v>41</v>
      </c>
      <c r="F2388" s="4">
        <v>4</v>
      </c>
      <c r="G2388" s="2">
        <v>164</v>
      </c>
      <c r="H2388" t="s">
        <v>15</v>
      </c>
      <c r="I2388" t="s">
        <v>36</v>
      </c>
      <c r="J2388" s="1">
        <v>44736</v>
      </c>
      <c r="K2388" t="b">
        <v>1</v>
      </c>
    </row>
    <row r="2389" spans="1:11" x14ac:dyDescent="0.25">
      <c r="A2389" t="s">
        <v>5229</v>
      </c>
      <c r="B2389" t="s">
        <v>63</v>
      </c>
      <c r="C2389" t="s">
        <v>27</v>
      </c>
      <c r="D2389" t="s">
        <v>89</v>
      </c>
      <c r="E2389" s="2">
        <v>41</v>
      </c>
      <c r="F2389" s="4">
        <v>4</v>
      </c>
      <c r="G2389" s="2">
        <v>164</v>
      </c>
      <c r="H2389" t="s">
        <v>15</v>
      </c>
      <c r="I2389" t="s">
        <v>36</v>
      </c>
      <c r="J2389" s="1">
        <v>45367</v>
      </c>
      <c r="K2389" t="b">
        <v>1</v>
      </c>
    </row>
    <row r="2390" spans="1:11" x14ac:dyDescent="0.25">
      <c r="A2390" t="s">
        <v>5721</v>
      </c>
      <c r="B2390" t="s">
        <v>37</v>
      </c>
      <c r="C2390" t="s">
        <v>31</v>
      </c>
      <c r="D2390" t="s">
        <v>286</v>
      </c>
      <c r="E2390" s="2">
        <v>41</v>
      </c>
      <c r="F2390" s="4">
        <v>4</v>
      </c>
      <c r="G2390" s="2">
        <v>164</v>
      </c>
      <c r="H2390" t="s">
        <v>15</v>
      </c>
      <c r="I2390" t="s">
        <v>16</v>
      </c>
      <c r="J2390" s="1">
        <v>45258</v>
      </c>
      <c r="K2390" t="b">
        <v>1</v>
      </c>
    </row>
    <row r="2391" spans="1:11" x14ac:dyDescent="0.25">
      <c r="A2391" t="s">
        <v>7410</v>
      </c>
      <c r="B2391" t="s">
        <v>30</v>
      </c>
      <c r="C2391" t="s">
        <v>59</v>
      </c>
      <c r="D2391" t="s">
        <v>325</v>
      </c>
      <c r="E2391" s="2">
        <v>41</v>
      </c>
      <c r="F2391" s="4">
        <v>4</v>
      </c>
      <c r="G2391" s="2">
        <v>164</v>
      </c>
      <c r="H2391" t="s">
        <v>45</v>
      </c>
      <c r="I2391" t="s">
        <v>36</v>
      </c>
      <c r="J2391" s="1">
        <v>44682</v>
      </c>
      <c r="K2391" t="b">
        <v>0</v>
      </c>
    </row>
    <row r="2392" spans="1:11" x14ac:dyDescent="0.25">
      <c r="A2392" t="s">
        <v>4883</v>
      </c>
      <c r="B2392" t="s">
        <v>26</v>
      </c>
      <c r="C2392" t="s">
        <v>23</v>
      </c>
      <c r="D2392" t="s">
        <v>302</v>
      </c>
      <c r="E2392" s="2">
        <v>41</v>
      </c>
      <c r="F2392" s="4">
        <v>4</v>
      </c>
      <c r="G2392" s="2">
        <v>164</v>
      </c>
      <c r="H2392" t="s">
        <v>45</v>
      </c>
      <c r="I2392" t="s">
        <v>16</v>
      </c>
      <c r="J2392" s="1">
        <v>45330</v>
      </c>
      <c r="K2392" t="b">
        <v>1</v>
      </c>
    </row>
    <row r="2393" spans="1:11" x14ac:dyDescent="0.25">
      <c r="A2393" t="s">
        <v>4664</v>
      </c>
      <c r="B2393" t="s">
        <v>58</v>
      </c>
      <c r="C2393" t="s">
        <v>27</v>
      </c>
      <c r="D2393" t="s">
        <v>89</v>
      </c>
      <c r="E2393" s="2">
        <v>41</v>
      </c>
      <c r="F2393" s="4">
        <v>4</v>
      </c>
      <c r="G2393" s="2">
        <v>164</v>
      </c>
      <c r="H2393" t="s">
        <v>15</v>
      </c>
      <c r="I2393" t="s">
        <v>36</v>
      </c>
      <c r="J2393" s="1">
        <v>44907</v>
      </c>
      <c r="K2393" t="b">
        <v>0</v>
      </c>
    </row>
    <row r="2394" spans="1:11" x14ac:dyDescent="0.25">
      <c r="A2394" t="s">
        <v>6101</v>
      </c>
      <c r="B2394" t="s">
        <v>72</v>
      </c>
      <c r="C2394" t="s">
        <v>13</v>
      </c>
      <c r="D2394" t="s">
        <v>161</v>
      </c>
      <c r="E2394" s="2">
        <v>41</v>
      </c>
      <c r="F2394" s="4">
        <v>4</v>
      </c>
      <c r="G2394" s="2">
        <v>164</v>
      </c>
      <c r="H2394" t="s">
        <v>25</v>
      </c>
      <c r="I2394" t="s">
        <v>36</v>
      </c>
      <c r="J2394" s="1">
        <v>45431</v>
      </c>
      <c r="K2394" t="b">
        <v>0</v>
      </c>
    </row>
    <row r="2395" spans="1:11" x14ac:dyDescent="0.25">
      <c r="A2395" t="s">
        <v>800</v>
      </c>
      <c r="B2395" t="s">
        <v>58</v>
      </c>
      <c r="C2395" t="s">
        <v>59</v>
      </c>
      <c r="D2395" t="s">
        <v>325</v>
      </c>
      <c r="E2395" s="2">
        <v>41</v>
      </c>
      <c r="F2395" s="4">
        <v>4</v>
      </c>
      <c r="G2395" s="2">
        <v>164</v>
      </c>
      <c r="H2395" t="s">
        <v>45</v>
      </c>
      <c r="I2395" t="s">
        <v>36</v>
      </c>
      <c r="J2395" s="1">
        <v>45258</v>
      </c>
      <c r="K2395" t="b">
        <v>0</v>
      </c>
    </row>
    <row r="2396" spans="1:11" x14ac:dyDescent="0.25">
      <c r="A2396" t="s">
        <v>1807</v>
      </c>
      <c r="B2396" t="s">
        <v>34</v>
      </c>
      <c r="C2396" t="s">
        <v>31</v>
      </c>
      <c r="D2396" t="s">
        <v>286</v>
      </c>
      <c r="E2396" s="2">
        <v>41</v>
      </c>
      <c r="F2396" s="4">
        <v>4</v>
      </c>
      <c r="G2396" s="2">
        <v>164</v>
      </c>
      <c r="H2396" t="s">
        <v>25</v>
      </c>
      <c r="I2396" t="s">
        <v>36</v>
      </c>
      <c r="J2396" s="1">
        <v>44724</v>
      </c>
      <c r="K2396" t="b">
        <v>0</v>
      </c>
    </row>
    <row r="2397" spans="1:11" x14ac:dyDescent="0.25">
      <c r="A2397" t="s">
        <v>3601</v>
      </c>
      <c r="B2397" t="s">
        <v>86</v>
      </c>
      <c r="C2397" t="s">
        <v>23</v>
      </c>
      <c r="D2397" t="s">
        <v>302</v>
      </c>
      <c r="E2397" s="2">
        <v>41</v>
      </c>
      <c r="F2397" s="4">
        <v>4</v>
      </c>
      <c r="G2397" s="2">
        <v>164</v>
      </c>
      <c r="H2397" t="s">
        <v>45</v>
      </c>
      <c r="I2397" t="s">
        <v>36</v>
      </c>
      <c r="J2397" s="1">
        <v>45301</v>
      </c>
      <c r="K2397" t="b">
        <v>0</v>
      </c>
    </row>
    <row r="2398" spans="1:11" x14ac:dyDescent="0.25">
      <c r="A2398" t="s">
        <v>4800</v>
      </c>
      <c r="B2398" t="s">
        <v>72</v>
      </c>
      <c r="C2398" t="s">
        <v>13</v>
      </c>
      <c r="D2398" t="s">
        <v>161</v>
      </c>
      <c r="E2398" s="2">
        <v>41</v>
      </c>
      <c r="F2398" s="4">
        <v>4</v>
      </c>
      <c r="G2398" s="2">
        <v>164</v>
      </c>
      <c r="H2398" t="s">
        <v>15</v>
      </c>
      <c r="I2398" t="s">
        <v>16</v>
      </c>
      <c r="J2398" s="1">
        <v>45012</v>
      </c>
      <c r="K2398" t="b">
        <v>1</v>
      </c>
    </row>
    <row r="2399" spans="1:11" x14ac:dyDescent="0.25">
      <c r="A2399" t="s">
        <v>7210</v>
      </c>
      <c r="B2399" t="s">
        <v>69</v>
      </c>
      <c r="C2399" t="s">
        <v>13</v>
      </c>
      <c r="D2399" t="s">
        <v>161</v>
      </c>
      <c r="E2399" s="2">
        <v>41</v>
      </c>
      <c r="F2399" s="4">
        <v>4</v>
      </c>
      <c r="G2399" s="2">
        <v>164</v>
      </c>
      <c r="H2399" t="s">
        <v>45</v>
      </c>
      <c r="I2399" t="s">
        <v>36</v>
      </c>
      <c r="J2399" s="1">
        <v>45608</v>
      </c>
      <c r="K2399" t="b">
        <v>0</v>
      </c>
    </row>
    <row r="2400" spans="1:11" x14ac:dyDescent="0.25">
      <c r="A2400" t="s">
        <v>3718</v>
      </c>
      <c r="B2400" t="s">
        <v>93</v>
      </c>
      <c r="C2400" t="s">
        <v>23</v>
      </c>
      <c r="D2400" t="s">
        <v>302</v>
      </c>
      <c r="E2400" s="2">
        <v>41</v>
      </c>
      <c r="F2400" s="4">
        <v>4</v>
      </c>
      <c r="G2400" s="2">
        <v>164</v>
      </c>
      <c r="H2400" t="s">
        <v>25</v>
      </c>
      <c r="I2400" t="s">
        <v>16</v>
      </c>
      <c r="J2400" s="1">
        <v>45342</v>
      </c>
      <c r="K2400" t="b">
        <v>1</v>
      </c>
    </row>
    <row r="2401" spans="1:11" x14ac:dyDescent="0.25">
      <c r="A2401" t="s">
        <v>6214</v>
      </c>
      <c r="B2401" t="s">
        <v>43</v>
      </c>
      <c r="C2401" t="s">
        <v>27</v>
      </c>
      <c r="D2401" t="s">
        <v>89</v>
      </c>
      <c r="E2401" s="2">
        <v>41</v>
      </c>
      <c r="F2401" s="4">
        <v>4</v>
      </c>
      <c r="G2401" s="2">
        <v>164</v>
      </c>
      <c r="H2401" t="s">
        <v>25</v>
      </c>
      <c r="I2401" t="s">
        <v>16</v>
      </c>
      <c r="J2401" s="1">
        <v>44927</v>
      </c>
      <c r="K2401" t="b">
        <v>0</v>
      </c>
    </row>
    <row r="2402" spans="1:11" x14ac:dyDescent="0.25">
      <c r="A2402" t="s">
        <v>5292</v>
      </c>
      <c r="B2402" t="s">
        <v>56</v>
      </c>
      <c r="C2402" t="s">
        <v>13</v>
      </c>
      <c r="D2402" t="s">
        <v>161</v>
      </c>
      <c r="E2402" s="2">
        <v>41</v>
      </c>
      <c r="F2402" s="4">
        <v>4</v>
      </c>
      <c r="G2402" s="2">
        <v>164</v>
      </c>
      <c r="H2402" t="s">
        <v>45</v>
      </c>
      <c r="I2402" t="s">
        <v>36</v>
      </c>
      <c r="J2402" s="1">
        <v>45529</v>
      </c>
      <c r="K2402" t="b">
        <v>1</v>
      </c>
    </row>
    <row r="2403" spans="1:11" x14ac:dyDescent="0.25">
      <c r="A2403" t="s">
        <v>4211</v>
      </c>
      <c r="B2403" t="s">
        <v>93</v>
      </c>
      <c r="C2403" t="s">
        <v>59</v>
      </c>
      <c r="D2403" t="s">
        <v>325</v>
      </c>
      <c r="E2403" s="2">
        <v>41</v>
      </c>
      <c r="F2403" s="4">
        <v>4</v>
      </c>
      <c r="G2403" s="2">
        <v>164</v>
      </c>
      <c r="H2403" t="s">
        <v>15</v>
      </c>
      <c r="I2403" t="s">
        <v>16</v>
      </c>
      <c r="J2403" s="1">
        <v>45190</v>
      </c>
      <c r="K2403" t="b">
        <v>0</v>
      </c>
    </row>
    <row r="2404" spans="1:11" x14ac:dyDescent="0.25">
      <c r="A2404" t="s">
        <v>3641</v>
      </c>
      <c r="B2404" t="s">
        <v>93</v>
      </c>
      <c r="C2404" t="s">
        <v>38</v>
      </c>
      <c r="D2404" t="s">
        <v>75</v>
      </c>
      <c r="E2404" s="2">
        <v>41</v>
      </c>
      <c r="F2404" s="4">
        <v>4</v>
      </c>
      <c r="G2404" s="2">
        <v>164</v>
      </c>
      <c r="H2404" t="s">
        <v>45</v>
      </c>
      <c r="I2404" t="s">
        <v>36</v>
      </c>
      <c r="J2404" s="1">
        <v>45303</v>
      </c>
      <c r="K2404" t="b">
        <v>1</v>
      </c>
    </row>
    <row r="2405" spans="1:11" x14ac:dyDescent="0.25">
      <c r="A2405" t="s">
        <v>3230</v>
      </c>
      <c r="B2405" t="s">
        <v>51</v>
      </c>
      <c r="C2405" t="s">
        <v>23</v>
      </c>
      <c r="D2405" t="s">
        <v>302</v>
      </c>
      <c r="E2405" s="2">
        <v>41</v>
      </c>
      <c r="F2405" s="4">
        <v>4</v>
      </c>
      <c r="G2405" s="2">
        <v>164</v>
      </c>
      <c r="H2405" t="s">
        <v>15</v>
      </c>
      <c r="I2405" t="s">
        <v>16</v>
      </c>
      <c r="J2405" s="1">
        <v>44847</v>
      </c>
      <c r="K2405" t="b">
        <v>0</v>
      </c>
    </row>
    <row r="2406" spans="1:11" x14ac:dyDescent="0.25">
      <c r="A2406" t="s">
        <v>2329</v>
      </c>
      <c r="B2406" t="s">
        <v>142</v>
      </c>
      <c r="C2406" t="s">
        <v>110</v>
      </c>
      <c r="D2406" t="s">
        <v>185</v>
      </c>
      <c r="E2406" s="2">
        <v>41</v>
      </c>
      <c r="F2406" s="4">
        <v>4</v>
      </c>
      <c r="G2406" s="2">
        <v>164</v>
      </c>
      <c r="H2406" t="s">
        <v>25</v>
      </c>
      <c r="I2406" t="s">
        <v>16</v>
      </c>
      <c r="J2406" s="1">
        <v>45574</v>
      </c>
      <c r="K2406" t="b">
        <v>1</v>
      </c>
    </row>
    <row r="2407" spans="1:11" x14ac:dyDescent="0.25">
      <c r="A2407" t="s">
        <v>6451</v>
      </c>
      <c r="B2407" t="s">
        <v>58</v>
      </c>
      <c r="C2407" t="s">
        <v>59</v>
      </c>
      <c r="D2407" t="s">
        <v>325</v>
      </c>
      <c r="E2407" s="2">
        <v>41</v>
      </c>
      <c r="F2407" s="4">
        <v>4</v>
      </c>
      <c r="G2407" s="2">
        <v>164</v>
      </c>
      <c r="H2407" t="s">
        <v>45</v>
      </c>
      <c r="I2407" t="s">
        <v>36</v>
      </c>
      <c r="J2407" s="1">
        <v>44580</v>
      </c>
      <c r="K2407" t="b">
        <v>1</v>
      </c>
    </row>
    <row r="2408" spans="1:11" x14ac:dyDescent="0.25">
      <c r="A2408" t="s">
        <v>5746</v>
      </c>
      <c r="B2408" t="s">
        <v>66</v>
      </c>
      <c r="C2408" t="s">
        <v>23</v>
      </c>
      <c r="D2408" t="s">
        <v>302</v>
      </c>
      <c r="E2408" s="2">
        <v>41</v>
      </c>
      <c r="F2408" s="4">
        <v>4</v>
      </c>
      <c r="G2408" s="2">
        <v>164</v>
      </c>
      <c r="H2408" t="s">
        <v>15</v>
      </c>
      <c r="I2408" t="s">
        <v>16</v>
      </c>
      <c r="J2408" s="1">
        <v>45457</v>
      </c>
      <c r="K2408" t="b">
        <v>1</v>
      </c>
    </row>
    <row r="2409" spans="1:11" x14ac:dyDescent="0.25">
      <c r="A2409" t="s">
        <v>6591</v>
      </c>
      <c r="B2409" t="s">
        <v>30</v>
      </c>
      <c r="C2409" t="s">
        <v>27</v>
      </c>
      <c r="D2409" t="s">
        <v>89</v>
      </c>
      <c r="E2409" s="2">
        <v>41</v>
      </c>
      <c r="F2409" s="4">
        <v>4</v>
      </c>
      <c r="G2409" s="2">
        <v>164</v>
      </c>
      <c r="H2409" t="s">
        <v>25</v>
      </c>
      <c r="I2409" t="s">
        <v>36</v>
      </c>
      <c r="J2409" s="1">
        <v>45494</v>
      </c>
      <c r="K2409" t="b">
        <v>1</v>
      </c>
    </row>
    <row r="2410" spans="1:11" x14ac:dyDescent="0.25">
      <c r="A2410" t="s">
        <v>7751</v>
      </c>
      <c r="B2410" t="s">
        <v>40</v>
      </c>
      <c r="C2410" t="s">
        <v>38</v>
      </c>
      <c r="D2410" t="s">
        <v>75</v>
      </c>
      <c r="E2410" s="2">
        <v>41</v>
      </c>
      <c r="F2410" s="4">
        <v>4</v>
      </c>
      <c r="G2410" s="2">
        <v>164</v>
      </c>
      <c r="H2410" t="s">
        <v>15</v>
      </c>
      <c r="I2410" t="s">
        <v>16</v>
      </c>
      <c r="J2410" s="1">
        <v>45618</v>
      </c>
      <c r="K2410" t="b">
        <v>0</v>
      </c>
    </row>
    <row r="2411" spans="1:11" x14ac:dyDescent="0.25">
      <c r="A2411" t="s">
        <v>2097</v>
      </c>
      <c r="B2411" t="s">
        <v>40</v>
      </c>
      <c r="C2411" t="s">
        <v>13</v>
      </c>
      <c r="D2411" t="s">
        <v>161</v>
      </c>
      <c r="E2411" s="2">
        <v>41</v>
      </c>
      <c r="F2411" s="4">
        <v>4</v>
      </c>
      <c r="G2411" s="2">
        <v>164</v>
      </c>
      <c r="H2411" t="s">
        <v>25</v>
      </c>
      <c r="I2411" t="s">
        <v>16</v>
      </c>
      <c r="J2411" s="1">
        <v>45446</v>
      </c>
      <c r="K2411" t="b">
        <v>0</v>
      </c>
    </row>
    <row r="2412" spans="1:11" x14ac:dyDescent="0.25">
      <c r="A2412" t="s">
        <v>7157</v>
      </c>
      <c r="B2412" t="s">
        <v>97</v>
      </c>
      <c r="C2412" t="s">
        <v>59</v>
      </c>
      <c r="D2412" t="s">
        <v>325</v>
      </c>
      <c r="E2412" s="2">
        <v>41</v>
      </c>
      <c r="F2412" s="4">
        <v>4</v>
      </c>
      <c r="G2412" s="2">
        <v>164</v>
      </c>
      <c r="H2412" t="s">
        <v>45</v>
      </c>
      <c r="I2412" t="s">
        <v>16</v>
      </c>
      <c r="J2412" s="1">
        <v>45319</v>
      </c>
      <c r="K2412" t="b">
        <v>0</v>
      </c>
    </row>
    <row r="2413" spans="1:11" x14ac:dyDescent="0.25">
      <c r="A2413" t="s">
        <v>4587</v>
      </c>
      <c r="B2413" t="s">
        <v>97</v>
      </c>
      <c r="C2413" t="s">
        <v>38</v>
      </c>
      <c r="D2413" t="s">
        <v>75</v>
      </c>
      <c r="E2413" s="2">
        <v>41</v>
      </c>
      <c r="F2413" s="4">
        <v>4</v>
      </c>
      <c r="G2413" s="2">
        <v>164</v>
      </c>
      <c r="H2413" t="s">
        <v>45</v>
      </c>
      <c r="I2413" t="s">
        <v>36</v>
      </c>
      <c r="J2413" s="1">
        <v>45472</v>
      </c>
      <c r="K2413" t="b">
        <v>0</v>
      </c>
    </row>
    <row r="2414" spans="1:11" x14ac:dyDescent="0.25">
      <c r="A2414" t="s">
        <v>4363</v>
      </c>
      <c r="B2414" t="s">
        <v>58</v>
      </c>
      <c r="C2414" t="s">
        <v>31</v>
      </c>
      <c r="D2414" t="s">
        <v>286</v>
      </c>
      <c r="E2414" s="2">
        <v>41</v>
      </c>
      <c r="F2414" s="4">
        <v>4</v>
      </c>
      <c r="G2414" s="2">
        <v>164</v>
      </c>
      <c r="H2414" t="s">
        <v>15</v>
      </c>
      <c r="I2414" t="s">
        <v>36</v>
      </c>
      <c r="J2414" s="1">
        <v>45669</v>
      </c>
      <c r="K2414" t="b">
        <v>1</v>
      </c>
    </row>
    <row r="2415" spans="1:11" x14ac:dyDescent="0.25">
      <c r="A2415" t="s">
        <v>3843</v>
      </c>
      <c r="B2415" t="s">
        <v>56</v>
      </c>
      <c r="C2415" t="s">
        <v>38</v>
      </c>
      <c r="D2415" t="s">
        <v>75</v>
      </c>
      <c r="E2415" s="2">
        <v>41</v>
      </c>
      <c r="F2415" s="4">
        <v>4</v>
      </c>
      <c r="G2415" s="2">
        <v>164</v>
      </c>
      <c r="H2415" t="s">
        <v>25</v>
      </c>
      <c r="I2415" t="s">
        <v>36</v>
      </c>
      <c r="J2415" s="1">
        <v>45256</v>
      </c>
      <c r="K2415" t="b">
        <v>1</v>
      </c>
    </row>
    <row r="2416" spans="1:11" x14ac:dyDescent="0.25">
      <c r="A2416" t="s">
        <v>4131</v>
      </c>
      <c r="B2416" t="s">
        <v>97</v>
      </c>
      <c r="C2416" t="s">
        <v>23</v>
      </c>
      <c r="D2416" t="s">
        <v>302</v>
      </c>
      <c r="E2416" s="2">
        <v>41</v>
      </c>
      <c r="F2416" s="4">
        <v>4</v>
      </c>
      <c r="G2416" s="2">
        <v>164</v>
      </c>
      <c r="H2416" t="s">
        <v>45</v>
      </c>
      <c r="I2416" t="s">
        <v>16</v>
      </c>
      <c r="J2416" s="1">
        <v>45409</v>
      </c>
      <c r="K2416" t="b">
        <v>0</v>
      </c>
    </row>
    <row r="2417" spans="1:11" x14ac:dyDescent="0.25">
      <c r="A2417" t="s">
        <v>5613</v>
      </c>
      <c r="B2417" t="s">
        <v>63</v>
      </c>
      <c r="C2417" t="s">
        <v>31</v>
      </c>
      <c r="D2417" t="s">
        <v>286</v>
      </c>
      <c r="E2417" s="2">
        <v>41</v>
      </c>
      <c r="F2417" s="4">
        <v>4</v>
      </c>
      <c r="G2417" s="2">
        <v>164</v>
      </c>
      <c r="H2417" t="s">
        <v>45</v>
      </c>
      <c r="I2417" t="s">
        <v>16</v>
      </c>
      <c r="J2417" s="1">
        <v>45618</v>
      </c>
      <c r="K2417" t="b">
        <v>0</v>
      </c>
    </row>
    <row r="2418" spans="1:11" x14ac:dyDescent="0.25">
      <c r="A2418" t="s">
        <v>3346</v>
      </c>
      <c r="B2418" t="s">
        <v>69</v>
      </c>
      <c r="C2418" t="s">
        <v>13</v>
      </c>
      <c r="D2418" t="s">
        <v>161</v>
      </c>
      <c r="E2418" s="2">
        <v>41</v>
      </c>
      <c r="F2418" s="4">
        <v>4</v>
      </c>
      <c r="G2418" s="2">
        <v>164</v>
      </c>
      <c r="H2418" t="s">
        <v>25</v>
      </c>
      <c r="I2418" t="s">
        <v>16</v>
      </c>
      <c r="J2418" s="1">
        <v>45136</v>
      </c>
      <c r="K2418" t="b">
        <v>0</v>
      </c>
    </row>
    <row r="2419" spans="1:11" x14ac:dyDescent="0.25">
      <c r="A2419" t="s">
        <v>1802</v>
      </c>
      <c r="B2419" t="s">
        <v>100</v>
      </c>
      <c r="C2419" t="s">
        <v>31</v>
      </c>
      <c r="D2419" t="s">
        <v>286</v>
      </c>
      <c r="E2419" s="2">
        <v>41</v>
      </c>
      <c r="F2419" s="4">
        <v>4</v>
      </c>
      <c r="G2419" s="2">
        <v>164</v>
      </c>
      <c r="H2419" t="s">
        <v>45</v>
      </c>
      <c r="I2419" t="s">
        <v>16</v>
      </c>
      <c r="J2419" s="1">
        <v>44965</v>
      </c>
      <c r="K2419" t="b">
        <v>1</v>
      </c>
    </row>
    <row r="2420" spans="1:11" x14ac:dyDescent="0.25">
      <c r="A2420" t="s">
        <v>5587</v>
      </c>
      <c r="B2420" t="s">
        <v>30</v>
      </c>
      <c r="C2420" t="s">
        <v>38</v>
      </c>
      <c r="D2420" t="s">
        <v>75</v>
      </c>
      <c r="E2420" s="2">
        <v>41</v>
      </c>
      <c r="F2420" s="4">
        <v>4</v>
      </c>
      <c r="G2420" s="2">
        <v>164</v>
      </c>
      <c r="H2420" t="s">
        <v>15</v>
      </c>
      <c r="I2420" t="s">
        <v>16</v>
      </c>
      <c r="J2420" s="1">
        <v>44834</v>
      </c>
      <c r="K2420" t="b">
        <v>1</v>
      </c>
    </row>
    <row r="2421" spans="1:11" x14ac:dyDescent="0.25">
      <c r="A2421" t="s">
        <v>1424</v>
      </c>
      <c r="B2421" t="s">
        <v>61</v>
      </c>
      <c r="C2421" t="s">
        <v>27</v>
      </c>
      <c r="D2421" t="s">
        <v>89</v>
      </c>
      <c r="E2421" s="2">
        <v>41</v>
      </c>
      <c r="F2421" s="4">
        <v>4</v>
      </c>
      <c r="G2421" s="2">
        <v>164</v>
      </c>
      <c r="H2421" t="s">
        <v>25</v>
      </c>
      <c r="I2421" t="s">
        <v>36</v>
      </c>
      <c r="J2421" s="1">
        <v>44780</v>
      </c>
      <c r="K2421" t="b">
        <v>1</v>
      </c>
    </row>
    <row r="2422" spans="1:11" x14ac:dyDescent="0.25">
      <c r="A2422" t="s">
        <v>3405</v>
      </c>
      <c r="B2422" t="s">
        <v>56</v>
      </c>
      <c r="C2422" t="s">
        <v>59</v>
      </c>
      <c r="D2422" t="s">
        <v>325</v>
      </c>
      <c r="E2422" s="2">
        <v>41</v>
      </c>
      <c r="F2422" s="4">
        <v>4</v>
      </c>
      <c r="G2422" s="2">
        <v>164</v>
      </c>
      <c r="H2422" t="s">
        <v>25</v>
      </c>
      <c r="I2422" t="s">
        <v>36</v>
      </c>
      <c r="J2422" s="1">
        <v>45349</v>
      </c>
      <c r="K2422" t="b">
        <v>0</v>
      </c>
    </row>
    <row r="2423" spans="1:11" x14ac:dyDescent="0.25">
      <c r="A2423" t="s">
        <v>2038</v>
      </c>
      <c r="B2423" t="s">
        <v>40</v>
      </c>
      <c r="C2423" t="s">
        <v>31</v>
      </c>
      <c r="D2423" t="s">
        <v>286</v>
      </c>
      <c r="E2423" s="2">
        <v>41</v>
      </c>
      <c r="F2423" s="4">
        <v>4</v>
      </c>
      <c r="G2423" s="2">
        <v>164</v>
      </c>
      <c r="H2423" t="s">
        <v>25</v>
      </c>
      <c r="I2423" t="s">
        <v>16</v>
      </c>
      <c r="J2423" s="1">
        <v>45175</v>
      </c>
      <c r="K2423" t="b">
        <v>1</v>
      </c>
    </row>
    <row r="2424" spans="1:11" x14ac:dyDescent="0.25">
      <c r="A2424" t="s">
        <v>2129</v>
      </c>
      <c r="B2424" t="s">
        <v>77</v>
      </c>
      <c r="C2424" t="s">
        <v>23</v>
      </c>
      <c r="D2424" t="s">
        <v>302</v>
      </c>
      <c r="E2424" s="2">
        <v>41</v>
      </c>
      <c r="F2424" s="4">
        <v>4</v>
      </c>
      <c r="G2424" s="2">
        <v>164</v>
      </c>
      <c r="H2424" t="s">
        <v>45</v>
      </c>
      <c r="I2424" t="s">
        <v>16</v>
      </c>
      <c r="J2424" s="1">
        <v>45291</v>
      </c>
      <c r="K2424" t="b">
        <v>0</v>
      </c>
    </row>
    <row r="2425" spans="1:11" x14ac:dyDescent="0.25">
      <c r="A2425" t="s">
        <v>3610</v>
      </c>
      <c r="B2425" t="s">
        <v>63</v>
      </c>
      <c r="C2425" t="s">
        <v>27</v>
      </c>
      <c r="D2425" t="s">
        <v>89</v>
      </c>
      <c r="E2425" s="2">
        <v>41</v>
      </c>
      <c r="F2425" s="4">
        <v>4</v>
      </c>
      <c r="G2425" s="2">
        <v>164</v>
      </c>
      <c r="H2425" t="s">
        <v>15</v>
      </c>
      <c r="I2425" t="s">
        <v>36</v>
      </c>
      <c r="J2425" s="1">
        <v>45519</v>
      </c>
      <c r="K2425" t="b">
        <v>1</v>
      </c>
    </row>
    <row r="2426" spans="1:11" x14ac:dyDescent="0.25">
      <c r="A2426" t="s">
        <v>3861</v>
      </c>
      <c r="B2426" t="s">
        <v>30</v>
      </c>
      <c r="C2426" t="s">
        <v>27</v>
      </c>
      <c r="D2426" t="s">
        <v>89</v>
      </c>
      <c r="E2426" s="2">
        <v>41</v>
      </c>
      <c r="F2426" s="4">
        <v>4</v>
      </c>
      <c r="G2426" s="2">
        <v>164</v>
      </c>
      <c r="H2426" t="s">
        <v>45</v>
      </c>
      <c r="I2426" t="s">
        <v>36</v>
      </c>
      <c r="J2426" s="1">
        <v>45486</v>
      </c>
      <c r="K2426" t="b">
        <v>0</v>
      </c>
    </row>
    <row r="2427" spans="1:11" x14ac:dyDescent="0.25">
      <c r="A2427" t="s">
        <v>4687</v>
      </c>
      <c r="B2427" t="s">
        <v>142</v>
      </c>
      <c r="C2427" t="s">
        <v>31</v>
      </c>
      <c r="D2427" t="s">
        <v>286</v>
      </c>
      <c r="E2427" s="2">
        <v>41</v>
      </c>
      <c r="F2427" s="4">
        <v>4</v>
      </c>
      <c r="G2427" s="2">
        <v>164</v>
      </c>
      <c r="H2427" t="s">
        <v>25</v>
      </c>
      <c r="I2427" t="s">
        <v>16</v>
      </c>
      <c r="J2427" s="1">
        <v>45380</v>
      </c>
      <c r="K2427" t="b">
        <v>0</v>
      </c>
    </row>
    <row r="2428" spans="1:11" x14ac:dyDescent="0.25">
      <c r="A2428" t="s">
        <v>6797</v>
      </c>
      <c r="B2428" t="s">
        <v>30</v>
      </c>
      <c r="C2428" t="s">
        <v>23</v>
      </c>
      <c r="D2428" t="s">
        <v>302</v>
      </c>
      <c r="E2428" s="2">
        <v>41</v>
      </c>
      <c r="F2428" s="4">
        <v>4</v>
      </c>
      <c r="G2428" s="2">
        <v>164</v>
      </c>
      <c r="H2428" t="s">
        <v>45</v>
      </c>
      <c r="I2428" t="s">
        <v>36</v>
      </c>
      <c r="J2428" s="1">
        <v>45631</v>
      </c>
      <c r="K2428" t="b">
        <v>1</v>
      </c>
    </row>
    <row r="2429" spans="1:11" x14ac:dyDescent="0.25">
      <c r="A2429" t="s">
        <v>7238</v>
      </c>
      <c r="B2429" t="s">
        <v>12</v>
      </c>
      <c r="C2429" t="s">
        <v>27</v>
      </c>
      <c r="D2429" t="s">
        <v>89</v>
      </c>
      <c r="E2429" s="2">
        <v>41</v>
      </c>
      <c r="F2429" s="4">
        <v>4</v>
      </c>
      <c r="G2429" s="2">
        <v>164</v>
      </c>
      <c r="H2429" t="s">
        <v>15</v>
      </c>
      <c r="I2429" t="s">
        <v>36</v>
      </c>
      <c r="J2429" s="1">
        <v>45302</v>
      </c>
      <c r="K2429" t="b">
        <v>1</v>
      </c>
    </row>
    <row r="2430" spans="1:11" x14ac:dyDescent="0.25">
      <c r="A2430" t="s">
        <v>4796</v>
      </c>
      <c r="B2430" t="s">
        <v>104</v>
      </c>
      <c r="C2430" t="s">
        <v>23</v>
      </c>
      <c r="D2430" t="s">
        <v>302</v>
      </c>
      <c r="E2430" s="2">
        <v>41</v>
      </c>
      <c r="F2430" s="4">
        <v>4</v>
      </c>
      <c r="G2430" s="2">
        <v>164</v>
      </c>
      <c r="H2430" t="s">
        <v>45</v>
      </c>
      <c r="I2430" t="s">
        <v>36</v>
      </c>
      <c r="J2430" s="1">
        <v>44747</v>
      </c>
      <c r="K2430" t="b">
        <v>0</v>
      </c>
    </row>
    <row r="2431" spans="1:11" x14ac:dyDescent="0.25">
      <c r="A2431" t="s">
        <v>2646</v>
      </c>
      <c r="B2431" t="s">
        <v>77</v>
      </c>
      <c r="C2431" t="s">
        <v>13</v>
      </c>
      <c r="D2431" t="s">
        <v>161</v>
      </c>
      <c r="E2431" s="2">
        <v>41</v>
      </c>
      <c r="F2431" s="4">
        <v>4</v>
      </c>
      <c r="G2431" s="2">
        <v>164</v>
      </c>
      <c r="H2431" t="s">
        <v>25</v>
      </c>
      <c r="I2431" t="s">
        <v>16</v>
      </c>
      <c r="J2431" s="1">
        <v>44603</v>
      </c>
      <c r="K2431" t="b">
        <v>0</v>
      </c>
    </row>
    <row r="2432" spans="1:11" x14ac:dyDescent="0.25">
      <c r="A2432" t="s">
        <v>1881</v>
      </c>
      <c r="B2432" t="s">
        <v>93</v>
      </c>
      <c r="C2432" t="s">
        <v>31</v>
      </c>
      <c r="D2432" t="s">
        <v>286</v>
      </c>
      <c r="E2432" s="2">
        <v>41</v>
      </c>
      <c r="F2432" s="4">
        <v>4</v>
      </c>
      <c r="G2432" s="2">
        <v>164</v>
      </c>
      <c r="H2432" t="s">
        <v>15</v>
      </c>
      <c r="I2432" t="s">
        <v>36</v>
      </c>
      <c r="J2432" s="1">
        <v>45369</v>
      </c>
      <c r="K2432" t="b">
        <v>1</v>
      </c>
    </row>
    <row r="2433" spans="1:11" x14ac:dyDescent="0.25">
      <c r="A2433" t="s">
        <v>899</v>
      </c>
      <c r="B2433" t="s">
        <v>61</v>
      </c>
      <c r="C2433" t="s">
        <v>59</v>
      </c>
      <c r="D2433" t="s">
        <v>325</v>
      </c>
      <c r="E2433" s="2">
        <v>41</v>
      </c>
      <c r="F2433" s="4">
        <v>4</v>
      </c>
      <c r="G2433" s="2">
        <v>164</v>
      </c>
      <c r="H2433" t="s">
        <v>15</v>
      </c>
      <c r="I2433" t="s">
        <v>36</v>
      </c>
      <c r="J2433" s="1">
        <v>45199</v>
      </c>
      <c r="K2433" t="b">
        <v>1</v>
      </c>
    </row>
    <row r="2434" spans="1:11" x14ac:dyDescent="0.25">
      <c r="A2434" t="s">
        <v>812</v>
      </c>
      <c r="B2434" t="s">
        <v>43</v>
      </c>
      <c r="C2434" t="s">
        <v>27</v>
      </c>
      <c r="D2434" t="s">
        <v>89</v>
      </c>
      <c r="E2434" s="2">
        <v>41</v>
      </c>
      <c r="F2434" s="4">
        <v>4</v>
      </c>
      <c r="G2434" s="2">
        <v>164</v>
      </c>
      <c r="H2434" t="s">
        <v>25</v>
      </c>
      <c r="I2434" t="s">
        <v>16</v>
      </c>
      <c r="J2434" s="1">
        <v>44793</v>
      </c>
      <c r="K2434" t="b">
        <v>0</v>
      </c>
    </row>
    <row r="2435" spans="1:11" x14ac:dyDescent="0.25">
      <c r="A2435" t="s">
        <v>7322</v>
      </c>
      <c r="B2435" t="s">
        <v>77</v>
      </c>
      <c r="C2435" t="s">
        <v>13</v>
      </c>
      <c r="D2435" t="s">
        <v>292</v>
      </c>
      <c r="E2435" s="2">
        <v>23</v>
      </c>
      <c r="F2435" s="4">
        <v>7</v>
      </c>
      <c r="G2435" s="2">
        <v>161</v>
      </c>
      <c r="H2435" t="s">
        <v>45</v>
      </c>
      <c r="I2435" t="s">
        <v>36</v>
      </c>
      <c r="J2435" s="1">
        <v>45279</v>
      </c>
      <c r="K2435" t="b">
        <v>0</v>
      </c>
    </row>
    <row r="2436" spans="1:11" x14ac:dyDescent="0.25">
      <c r="A2436" t="s">
        <v>4744</v>
      </c>
      <c r="B2436" t="s">
        <v>30</v>
      </c>
      <c r="C2436" t="s">
        <v>23</v>
      </c>
      <c r="D2436" t="s">
        <v>244</v>
      </c>
      <c r="E2436" s="2">
        <v>23</v>
      </c>
      <c r="F2436" s="4">
        <v>7</v>
      </c>
      <c r="G2436" s="2">
        <v>161</v>
      </c>
      <c r="H2436" t="s">
        <v>15</v>
      </c>
      <c r="I2436" t="s">
        <v>16</v>
      </c>
      <c r="J2436" s="1">
        <v>45669</v>
      </c>
      <c r="K2436" t="b">
        <v>1</v>
      </c>
    </row>
    <row r="2437" spans="1:11" x14ac:dyDescent="0.25">
      <c r="A2437" t="s">
        <v>5274</v>
      </c>
      <c r="B2437" t="s">
        <v>12</v>
      </c>
      <c r="C2437" t="s">
        <v>59</v>
      </c>
      <c r="D2437" t="s">
        <v>60</v>
      </c>
      <c r="E2437" s="2">
        <v>23</v>
      </c>
      <c r="F2437" s="4">
        <v>7</v>
      </c>
      <c r="G2437" s="2">
        <v>161</v>
      </c>
      <c r="H2437" t="s">
        <v>25</v>
      </c>
      <c r="I2437" t="s">
        <v>16</v>
      </c>
      <c r="J2437" s="1">
        <v>44700</v>
      </c>
      <c r="K2437" t="b">
        <v>1</v>
      </c>
    </row>
    <row r="2438" spans="1:11" x14ac:dyDescent="0.25">
      <c r="A2438" t="s">
        <v>3105</v>
      </c>
      <c r="B2438" t="s">
        <v>104</v>
      </c>
      <c r="C2438" t="s">
        <v>23</v>
      </c>
      <c r="D2438" t="s">
        <v>244</v>
      </c>
      <c r="E2438" s="2">
        <v>23</v>
      </c>
      <c r="F2438" s="4">
        <v>7</v>
      </c>
      <c r="G2438" s="2">
        <v>161</v>
      </c>
      <c r="H2438" t="s">
        <v>45</v>
      </c>
      <c r="I2438" t="s">
        <v>36</v>
      </c>
      <c r="J2438" s="1">
        <v>44784</v>
      </c>
      <c r="K2438" t="b">
        <v>0</v>
      </c>
    </row>
    <row r="2439" spans="1:11" x14ac:dyDescent="0.25">
      <c r="A2439" t="s">
        <v>3757</v>
      </c>
      <c r="B2439" t="s">
        <v>56</v>
      </c>
      <c r="C2439" t="s">
        <v>23</v>
      </c>
      <c r="D2439" t="s">
        <v>244</v>
      </c>
      <c r="E2439" s="2">
        <v>23</v>
      </c>
      <c r="F2439" s="4">
        <v>7</v>
      </c>
      <c r="G2439" s="2">
        <v>161</v>
      </c>
      <c r="H2439" t="s">
        <v>25</v>
      </c>
      <c r="I2439" t="s">
        <v>16</v>
      </c>
      <c r="J2439" s="1">
        <v>45503</v>
      </c>
      <c r="K2439" t="b">
        <v>1</v>
      </c>
    </row>
    <row r="2440" spans="1:11" x14ac:dyDescent="0.25">
      <c r="A2440" t="s">
        <v>6096</v>
      </c>
      <c r="B2440" t="s">
        <v>100</v>
      </c>
      <c r="C2440" t="s">
        <v>19</v>
      </c>
      <c r="D2440" t="s">
        <v>400</v>
      </c>
      <c r="E2440" s="2">
        <v>23</v>
      </c>
      <c r="F2440" s="4">
        <v>7</v>
      </c>
      <c r="G2440" s="2">
        <v>161</v>
      </c>
      <c r="H2440" t="s">
        <v>15</v>
      </c>
      <c r="I2440" t="s">
        <v>16</v>
      </c>
      <c r="J2440" s="1">
        <v>44857</v>
      </c>
      <c r="K2440" t="b">
        <v>0</v>
      </c>
    </row>
    <row r="2441" spans="1:11" x14ac:dyDescent="0.25">
      <c r="A2441" t="s">
        <v>1714</v>
      </c>
      <c r="B2441" t="s">
        <v>37</v>
      </c>
      <c r="C2441" t="s">
        <v>59</v>
      </c>
      <c r="D2441" t="s">
        <v>60</v>
      </c>
      <c r="E2441" s="2">
        <v>23</v>
      </c>
      <c r="F2441" s="4">
        <v>7</v>
      </c>
      <c r="G2441" s="2">
        <v>161</v>
      </c>
      <c r="H2441" t="s">
        <v>15</v>
      </c>
      <c r="I2441" t="s">
        <v>36</v>
      </c>
      <c r="J2441" s="1">
        <v>45550</v>
      </c>
      <c r="K2441" t="b">
        <v>0</v>
      </c>
    </row>
    <row r="2442" spans="1:11" x14ac:dyDescent="0.25">
      <c r="A2442" t="s">
        <v>6218</v>
      </c>
      <c r="B2442" t="s">
        <v>12</v>
      </c>
      <c r="C2442" t="s">
        <v>19</v>
      </c>
      <c r="D2442" t="s">
        <v>400</v>
      </c>
      <c r="E2442" s="2">
        <v>23</v>
      </c>
      <c r="F2442" s="4">
        <v>7</v>
      </c>
      <c r="G2442" s="2">
        <v>161</v>
      </c>
      <c r="H2442" t="s">
        <v>25</v>
      </c>
      <c r="I2442" t="s">
        <v>36</v>
      </c>
      <c r="J2442" s="1">
        <v>45602</v>
      </c>
      <c r="K2442" t="b">
        <v>0</v>
      </c>
    </row>
    <row r="2443" spans="1:11" x14ac:dyDescent="0.25">
      <c r="A2443" t="s">
        <v>4428</v>
      </c>
      <c r="B2443" t="s">
        <v>66</v>
      </c>
      <c r="C2443" t="s">
        <v>23</v>
      </c>
      <c r="D2443" t="s">
        <v>244</v>
      </c>
      <c r="E2443" s="2">
        <v>23</v>
      </c>
      <c r="F2443" s="4">
        <v>7</v>
      </c>
      <c r="G2443" s="2">
        <v>161</v>
      </c>
      <c r="H2443" t="s">
        <v>15</v>
      </c>
      <c r="I2443" t="s">
        <v>36</v>
      </c>
      <c r="J2443" s="1">
        <v>45091</v>
      </c>
      <c r="K2443" t="b">
        <v>1</v>
      </c>
    </row>
    <row r="2444" spans="1:11" x14ac:dyDescent="0.25">
      <c r="A2444" t="s">
        <v>795</v>
      </c>
      <c r="B2444" t="s">
        <v>37</v>
      </c>
      <c r="C2444" t="s">
        <v>59</v>
      </c>
      <c r="D2444" t="s">
        <v>60</v>
      </c>
      <c r="E2444" s="2">
        <v>23</v>
      </c>
      <c r="F2444" s="4">
        <v>7</v>
      </c>
      <c r="G2444" s="2">
        <v>161</v>
      </c>
      <c r="H2444" t="s">
        <v>25</v>
      </c>
      <c r="I2444" t="s">
        <v>16</v>
      </c>
      <c r="J2444" s="1">
        <v>45156</v>
      </c>
      <c r="K2444" t="b">
        <v>0</v>
      </c>
    </row>
    <row r="2445" spans="1:11" x14ac:dyDescent="0.25">
      <c r="A2445" t="s">
        <v>3169</v>
      </c>
      <c r="B2445" t="s">
        <v>86</v>
      </c>
      <c r="C2445" t="s">
        <v>23</v>
      </c>
      <c r="D2445" t="s">
        <v>244</v>
      </c>
      <c r="E2445" s="2">
        <v>23</v>
      </c>
      <c r="F2445" s="4">
        <v>7</v>
      </c>
      <c r="G2445" s="2">
        <v>161</v>
      </c>
      <c r="H2445" t="s">
        <v>25</v>
      </c>
      <c r="I2445" t="s">
        <v>36</v>
      </c>
      <c r="J2445" s="1">
        <v>44891</v>
      </c>
      <c r="K2445" t="b">
        <v>1</v>
      </c>
    </row>
    <row r="2446" spans="1:11" x14ac:dyDescent="0.25">
      <c r="A2446" t="s">
        <v>6527</v>
      </c>
      <c r="B2446" t="s">
        <v>69</v>
      </c>
      <c r="C2446" t="s">
        <v>59</v>
      </c>
      <c r="D2446" t="s">
        <v>60</v>
      </c>
      <c r="E2446" s="2">
        <v>23</v>
      </c>
      <c r="F2446" s="4">
        <v>7</v>
      </c>
      <c r="G2446" s="2">
        <v>161</v>
      </c>
      <c r="H2446" t="s">
        <v>15</v>
      </c>
      <c r="I2446" t="s">
        <v>16</v>
      </c>
      <c r="J2446" s="1">
        <v>45616</v>
      </c>
      <c r="K2446" t="b">
        <v>0</v>
      </c>
    </row>
    <row r="2447" spans="1:11" x14ac:dyDescent="0.25">
      <c r="A2447" t="s">
        <v>243</v>
      </c>
      <c r="B2447" t="s">
        <v>104</v>
      </c>
      <c r="C2447" t="s">
        <v>23</v>
      </c>
      <c r="D2447" t="s">
        <v>244</v>
      </c>
      <c r="E2447" s="2">
        <v>23</v>
      </c>
      <c r="F2447" s="4">
        <v>7</v>
      </c>
      <c r="G2447" s="2">
        <v>161</v>
      </c>
      <c r="H2447" t="s">
        <v>25</v>
      </c>
      <c r="I2447" t="s">
        <v>16</v>
      </c>
      <c r="J2447" s="1">
        <v>45161</v>
      </c>
      <c r="K2447" t="b">
        <v>0</v>
      </c>
    </row>
    <row r="2448" spans="1:11" x14ac:dyDescent="0.25">
      <c r="A2448" t="s">
        <v>3746</v>
      </c>
      <c r="B2448" t="s">
        <v>56</v>
      </c>
      <c r="C2448" t="s">
        <v>31</v>
      </c>
      <c r="D2448" t="s">
        <v>361</v>
      </c>
      <c r="E2448" s="2">
        <v>23</v>
      </c>
      <c r="F2448" s="4">
        <v>7</v>
      </c>
      <c r="G2448" s="2">
        <v>161</v>
      </c>
      <c r="H2448" t="s">
        <v>25</v>
      </c>
      <c r="I2448" t="s">
        <v>16</v>
      </c>
      <c r="J2448" s="1">
        <v>44569</v>
      </c>
      <c r="K2448" t="b">
        <v>1</v>
      </c>
    </row>
    <row r="2449" spans="1:11" x14ac:dyDescent="0.25">
      <c r="A2449" t="s">
        <v>6805</v>
      </c>
      <c r="B2449" t="s">
        <v>66</v>
      </c>
      <c r="C2449" t="s">
        <v>23</v>
      </c>
      <c r="D2449" t="s">
        <v>244</v>
      </c>
      <c r="E2449" s="2">
        <v>23</v>
      </c>
      <c r="F2449" s="4">
        <v>7</v>
      </c>
      <c r="G2449" s="2">
        <v>161</v>
      </c>
      <c r="H2449" t="s">
        <v>15</v>
      </c>
      <c r="I2449" t="s">
        <v>16</v>
      </c>
      <c r="J2449" s="1">
        <v>44584</v>
      </c>
      <c r="K2449" t="b">
        <v>0</v>
      </c>
    </row>
    <row r="2450" spans="1:11" x14ac:dyDescent="0.25">
      <c r="A2450" t="s">
        <v>7204</v>
      </c>
      <c r="B2450" t="s">
        <v>51</v>
      </c>
      <c r="C2450" t="s">
        <v>13</v>
      </c>
      <c r="D2450" t="s">
        <v>292</v>
      </c>
      <c r="E2450" s="2">
        <v>23</v>
      </c>
      <c r="F2450" s="4">
        <v>7</v>
      </c>
      <c r="G2450" s="2">
        <v>161</v>
      </c>
      <c r="H2450" t="s">
        <v>25</v>
      </c>
      <c r="I2450" t="s">
        <v>16</v>
      </c>
      <c r="J2450" s="1">
        <v>44667</v>
      </c>
      <c r="K2450" t="b">
        <v>0</v>
      </c>
    </row>
    <row r="2451" spans="1:11" x14ac:dyDescent="0.25">
      <c r="A2451" t="s">
        <v>726</v>
      </c>
      <c r="B2451" t="s">
        <v>22</v>
      </c>
      <c r="C2451" t="s">
        <v>19</v>
      </c>
      <c r="D2451" t="s">
        <v>400</v>
      </c>
      <c r="E2451" s="2">
        <v>23</v>
      </c>
      <c r="F2451" s="4">
        <v>7</v>
      </c>
      <c r="G2451" s="2">
        <v>161</v>
      </c>
      <c r="H2451" t="s">
        <v>25</v>
      </c>
      <c r="I2451" t="s">
        <v>16</v>
      </c>
      <c r="J2451" s="1">
        <v>45370</v>
      </c>
      <c r="K2451" t="b">
        <v>1</v>
      </c>
    </row>
    <row r="2452" spans="1:11" x14ac:dyDescent="0.25">
      <c r="A2452" t="s">
        <v>4033</v>
      </c>
      <c r="B2452" t="s">
        <v>12</v>
      </c>
      <c r="C2452" t="s">
        <v>110</v>
      </c>
      <c r="D2452" t="s">
        <v>232</v>
      </c>
      <c r="E2452" s="2">
        <v>23</v>
      </c>
      <c r="F2452" s="4">
        <v>7</v>
      </c>
      <c r="G2452" s="2">
        <v>161</v>
      </c>
      <c r="H2452" t="s">
        <v>45</v>
      </c>
      <c r="I2452" t="s">
        <v>36</v>
      </c>
      <c r="J2452" s="1">
        <v>44798</v>
      </c>
      <c r="K2452" t="b">
        <v>1</v>
      </c>
    </row>
    <row r="2453" spans="1:11" x14ac:dyDescent="0.25">
      <c r="A2453" t="s">
        <v>2039</v>
      </c>
      <c r="B2453" t="s">
        <v>18</v>
      </c>
      <c r="C2453" t="s">
        <v>110</v>
      </c>
      <c r="D2453" t="s">
        <v>232</v>
      </c>
      <c r="E2453" s="2">
        <v>23</v>
      </c>
      <c r="F2453" s="4">
        <v>7</v>
      </c>
      <c r="G2453" s="2">
        <v>161</v>
      </c>
      <c r="H2453" t="s">
        <v>45</v>
      </c>
      <c r="I2453" t="s">
        <v>36</v>
      </c>
      <c r="J2453" s="1">
        <v>45447</v>
      </c>
      <c r="K2453" t="b">
        <v>1</v>
      </c>
    </row>
    <row r="2454" spans="1:11" x14ac:dyDescent="0.25">
      <c r="A2454" t="s">
        <v>1026</v>
      </c>
      <c r="B2454" t="s">
        <v>56</v>
      </c>
      <c r="C2454" t="s">
        <v>19</v>
      </c>
      <c r="D2454" t="s">
        <v>400</v>
      </c>
      <c r="E2454" s="2">
        <v>23</v>
      </c>
      <c r="F2454" s="4">
        <v>7</v>
      </c>
      <c r="G2454" s="2">
        <v>161</v>
      </c>
      <c r="H2454" t="s">
        <v>25</v>
      </c>
      <c r="I2454" t="s">
        <v>16</v>
      </c>
      <c r="J2454" s="1">
        <v>44588</v>
      </c>
      <c r="K2454" t="b">
        <v>1</v>
      </c>
    </row>
    <row r="2455" spans="1:11" x14ac:dyDescent="0.25">
      <c r="A2455" t="s">
        <v>3691</v>
      </c>
      <c r="B2455" t="s">
        <v>66</v>
      </c>
      <c r="C2455" t="s">
        <v>31</v>
      </c>
      <c r="D2455" t="s">
        <v>361</v>
      </c>
      <c r="E2455" s="2">
        <v>23</v>
      </c>
      <c r="F2455" s="4">
        <v>7</v>
      </c>
      <c r="G2455" s="2">
        <v>161</v>
      </c>
      <c r="H2455" t="s">
        <v>45</v>
      </c>
      <c r="I2455" t="s">
        <v>36</v>
      </c>
      <c r="J2455" s="1">
        <v>45627</v>
      </c>
      <c r="K2455" t="b">
        <v>0</v>
      </c>
    </row>
    <row r="2456" spans="1:11" x14ac:dyDescent="0.25">
      <c r="A2456" t="s">
        <v>2310</v>
      </c>
      <c r="B2456" t="s">
        <v>93</v>
      </c>
      <c r="C2456" t="s">
        <v>59</v>
      </c>
      <c r="D2456" t="s">
        <v>60</v>
      </c>
      <c r="E2456" s="2">
        <v>23</v>
      </c>
      <c r="F2456" s="4">
        <v>7</v>
      </c>
      <c r="G2456" s="2">
        <v>161</v>
      </c>
      <c r="H2456" t="s">
        <v>15</v>
      </c>
      <c r="I2456" t="s">
        <v>36</v>
      </c>
      <c r="J2456" s="1">
        <v>44682</v>
      </c>
      <c r="K2456" t="b">
        <v>0</v>
      </c>
    </row>
    <row r="2457" spans="1:11" x14ac:dyDescent="0.25">
      <c r="A2457" t="s">
        <v>2637</v>
      </c>
      <c r="B2457" t="s">
        <v>58</v>
      </c>
      <c r="C2457" t="s">
        <v>19</v>
      </c>
      <c r="D2457" t="s">
        <v>400</v>
      </c>
      <c r="E2457" s="2">
        <v>23</v>
      </c>
      <c r="F2457" s="4">
        <v>7</v>
      </c>
      <c r="G2457" s="2">
        <v>161</v>
      </c>
      <c r="H2457" t="s">
        <v>45</v>
      </c>
      <c r="I2457" t="s">
        <v>16</v>
      </c>
      <c r="J2457" s="1">
        <v>45433</v>
      </c>
      <c r="K2457" t="b">
        <v>0</v>
      </c>
    </row>
    <row r="2458" spans="1:11" x14ac:dyDescent="0.25">
      <c r="A2458" t="s">
        <v>2431</v>
      </c>
      <c r="B2458" t="s">
        <v>30</v>
      </c>
      <c r="C2458" t="s">
        <v>31</v>
      </c>
      <c r="D2458" t="s">
        <v>361</v>
      </c>
      <c r="E2458" s="2">
        <v>23</v>
      </c>
      <c r="F2458" s="4">
        <v>7</v>
      </c>
      <c r="G2458" s="2">
        <v>161</v>
      </c>
      <c r="H2458" t="s">
        <v>15</v>
      </c>
      <c r="I2458" t="s">
        <v>16</v>
      </c>
      <c r="J2458" s="1">
        <v>44893</v>
      </c>
      <c r="K2458" t="b">
        <v>0</v>
      </c>
    </row>
    <row r="2459" spans="1:11" x14ac:dyDescent="0.25">
      <c r="A2459" t="s">
        <v>7799</v>
      </c>
      <c r="B2459" t="s">
        <v>26</v>
      </c>
      <c r="C2459" t="s">
        <v>31</v>
      </c>
      <c r="D2459" t="s">
        <v>361</v>
      </c>
      <c r="E2459" s="2">
        <v>23</v>
      </c>
      <c r="F2459" s="4">
        <v>7</v>
      </c>
      <c r="G2459" s="2">
        <v>161</v>
      </c>
      <c r="H2459" t="s">
        <v>25</v>
      </c>
      <c r="I2459" t="s">
        <v>16</v>
      </c>
      <c r="J2459" s="1">
        <v>45569</v>
      </c>
      <c r="K2459" t="b">
        <v>0</v>
      </c>
    </row>
    <row r="2460" spans="1:11" x14ac:dyDescent="0.25">
      <c r="A2460" t="s">
        <v>3129</v>
      </c>
      <c r="B2460" t="s">
        <v>72</v>
      </c>
      <c r="C2460" t="s">
        <v>23</v>
      </c>
      <c r="D2460" t="s">
        <v>244</v>
      </c>
      <c r="E2460" s="2">
        <v>23</v>
      </c>
      <c r="F2460" s="4">
        <v>7</v>
      </c>
      <c r="G2460" s="2">
        <v>161</v>
      </c>
      <c r="H2460" t="s">
        <v>25</v>
      </c>
      <c r="I2460" t="s">
        <v>36</v>
      </c>
      <c r="J2460" s="1">
        <v>44584</v>
      </c>
      <c r="K2460" t="b">
        <v>1</v>
      </c>
    </row>
    <row r="2461" spans="1:11" x14ac:dyDescent="0.25">
      <c r="A2461" t="s">
        <v>5706</v>
      </c>
      <c r="B2461" t="s">
        <v>22</v>
      </c>
      <c r="C2461" t="s">
        <v>23</v>
      </c>
      <c r="D2461" t="s">
        <v>244</v>
      </c>
      <c r="E2461" s="2">
        <v>23</v>
      </c>
      <c r="F2461" s="4">
        <v>7</v>
      </c>
      <c r="G2461" s="2">
        <v>161</v>
      </c>
      <c r="H2461" t="s">
        <v>15</v>
      </c>
      <c r="I2461" t="s">
        <v>16</v>
      </c>
      <c r="J2461" s="1">
        <v>45195</v>
      </c>
      <c r="K2461" t="b">
        <v>0</v>
      </c>
    </row>
    <row r="2462" spans="1:11" x14ac:dyDescent="0.25">
      <c r="A2462" t="s">
        <v>3678</v>
      </c>
      <c r="B2462" t="s">
        <v>85</v>
      </c>
      <c r="C2462" t="s">
        <v>31</v>
      </c>
      <c r="D2462" t="s">
        <v>361</v>
      </c>
      <c r="E2462" s="2">
        <v>23</v>
      </c>
      <c r="F2462" s="4">
        <v>7</v>
      </c>
      <c r="G2462" s="2">
        <v>161</v>
      </c>
      <c r="H2462" t="s">
        <v>45</v>
      </c>
      <c r="I2462" t="s">
        <v>16</v>
      </c>
      <c r="J2462" s="1">
        <v>44838</v>
      </c>
      <c r="K2462" t="b">
        <v>0</v>
      </c>
    </row>
    <row r="2463" spans="1:11" x14ac:dyDescent="0.25">
      <c r="A2463" t="s">
        <v>1670</v>
      </c>
      <c r="B2463" t="s">
        <v>34</v>
      </c>
      <c r="C2463" t="s">
        <v>31</v>
      </c>
      <c r="D2463" t="s">
        <v>361</v>
      </c>
      <c r="E2463" s="2">
        <v>23</v>
      </c>
      <c r="F2463" s="4">
        <v>7</v>
      </c>
      <c r="G2463" s="2">
        <v>161</v>
      </c>
      <c r="H2463" t="s">
        <v>25</v>
      </c>
      <c r="I2463" t="s">
        <v>36</v>
      </c>
      <c r="J2463" s="1">
        <v>45640</v>
      </c>
      <c r="K2463" t="b">
        <v>1</v>
      </c>
    </row>
    <row r="2464" spans="1:11" x14ac:dyDescent="0.25">
      <c r="A2464" t="s">
        <v>3858</v>
      </c>
      <c r="B2464" t="s">
        <v>72</v>
      </c>
      <c r="C2464" t="s">
        <v>19</v>
      </c>
      <c r="D2464" t="s">
        <v>400</v>
      </c>
      <c r="E2464" s="2">
        <v>23</v>
      </c>
      <c r="F2464" s="4">
        <v>7</v>
      </c>
      <c r="G2464" s="2">
        <v>161</v>
      </c>
      <c r="H2464" t="s">
        <v>15</v>
      </c>
      <c r="I2464" t="s">
        <v>36</v>
      </c>
      <c r="J2464" s="1">
        <v>45199</v>
      </c>
      <c r="K2464" t="b">
        <v>0</v>
      </c>
    </row>
    <row r="2465" spans="1:11" x14ac:dyDescent="0.25">
      <c r="A2465" t="s">
        <v>5731</v>
      </c>
      <c r="B2465" t="s">
        <v>22</v>
      </c>
      <c r="C2465" t="s">
        <v>110</v>
      </c>
      <c r="D2465" t="s">
        <v>232</v>
      </c>
      <c r="E2465" s="2">
        <v>23</v>
      </c>
      <c r="F2465" s="4">
        <v>7</v>
      </c>
      <c r="G2465" s="2">
        <v>161</v>
      </c>
      <c r="H2465" t="s">
        <v>45</v>
      </c>
      <c r="I2465" t="s">
        <v>16</v>
      </c>
      <c r="J2465" s="1">
        <v>45325</v>
      </c>
      <c r="K2465" t="b">
        <v>0</v>
      </c>
    </row>
    <row r="2466" spans="1:11" x14ac:dyDescent="0.25">
      <c r="A2466" t="s">
        <v>4660</v>
      </c>
      <c r="B2466" t="s">
        <v>22</v>
      </c>
      <c r="C2466" t="s">
        <v>110</v>
      </c>
      <c r="D2466" t="s">
        <v>232</v>
      </c>
      <c r="E2466" s="2">
        <v>23</v>
      </c>
      <c r="F2466" s="4">
        <v>7</v>
      </c>
      <c r="G2466" s="2">
        <v>161</v>
      </c>
      <c r="H2466" t="s">
        <v>25</v>
      </c>
      <c r="I2466" t="s">
        <v>16</v>
      </c>
      <c r="J2466" s="1">
        <v>45628</v>
      </c>
      <c r="K2466" t="b">
        <v>1</v>
      </c>
    </row>
    <row r="2467" spans="1:11" x14ac:dyDescent="0.25">
      <c r="A2467" t="s">
        <v>2367</v>
      </c>
      <c r="B2467" t="s">
        <v>40</v>
      </c>
      <c r="C2467" t="s">
        <v>13</v>
      </c>
      <c r="D2467" t="s">
        <v>292</v>
      </c>
      <c r="E2467" s="2">
        <v>23</v>
      </c>
      <c r="F2467" s="4">
        <v>7</v>
      </c>
      <c r="G2467" s="2">
        <v>161</v>
      </c>
      <c r="H2467" t="s">
        <v>45</v>
      </c>
      <c r="I2467" t="s">
        <v>36</v>
      </c>
      <c r="J2467" s="1">
        <v>45604</v>
      </c>
      <c r="K2467" t="b">
        <v>0</v>
      </c>
    </row>
    <row r="2468" spans="1:11" x14ac:dyDescent="0.25">
      <c r="A2468" t="s">
        <v>1251</v>
      </c>
      <c r="B2468" t="s">
        <v>34</v>
      </c>
      <c r="C2468" t="s">
        <v>110</v>
      </c>
      <c r="D2468" t="s">
        <v>232</v>
      </c>
      <c r="E2468" s="2">
        <v>23</v>
      </c>
      <c r="F2468" s="4">
        <v>7</v>
      </c>
      <c r="G2468" s="2">
        <v>161</v>
      </c>
      <c r="H2468" t="s">
        <v>25</v>
      </c>
      <c r="I2468" t="s">
        <v>36</v>
      </c>
      <c r="J2468" s="1">
        <v>45538</v>
      </c>
      <c r="K2468" t="b">
        <v>0</v>
      </c>
    </row>
    <row r="2469" spans="1:11" x14ac:dyDescent="0.25">
      <c r="A2469" t="s">
        <v>4698</v>
      </c>
      <c r="B2469" t="s">
        <v>104</v>
      </c>
      <c r="C2469" t="s">
        <v>19</v>
      </c>
      <c r="D2469" t="s">
        <v>400</v>
      </c>
      <c r="E2469" s="2">
        <v>23</v>
      </c>
      <c r="F2469" s="4">
        <v>7</v>
      </c>
      <c r="G2469" s="2">
        <v>161</v>
      </c>
      <c r="H2469" t="s">
        <v>45</v>
      </c>
      <c r="I2469" t="s">
        <v>16</v>
      </c>
      <c r="J2469" s="1">
        <v>45646</v>
      </c>
      <c r="K2469" t="b">
        <v>0</v>
      </c>
    </row>
    <row r="2470" spans="1:11" x14ac:dyDescent="0.25">
      <c r="A2470" t="s">
        <v>2952</v>
      </c>
      <c r="B2470" t="s">
        <v>58</v>
      </c>
      <c r="C2470" t="s">
        <v>59</v>
      </c>
      <c r="D2470" t="s">
        <v>60</v>
      </c>
      <c r="E2470" s="2">
        <v>23</v>
      </c>
      <c r="F2470" s="4">
        <v>7</v>
      </c>
      <c r="G2470" s="2">
        <v>161</v>
      </c>
      <c r="H2470" t="s">
        <v>15</v>
      </c>
      <c r="I2470" t="s">
        <v>16</v>
      </c>
      <c r="J2470" s="1">
        <v>44633</v>
      </c>
      <c r="K2470" t="b">
        <v>1</v>
      </c>
    </row>
    <row r="2471" spans="1:11" x14ac:dyDescent="0.25">
      <c r="A2471" t="s">
        <v>1474</v>
      </c>
      <c r="B2471" t="s">
        <v>58</v>
      </c>
      <c r="C2471" t="s">
        <v>27</v>
      </c>
      <c r="D2471" t="s">
        <v>207</v>
      </c>
      <c r="E2471" s="2">
        <v>32</v>
      </c>
      <c r="F2471" s="4">
        <v>5</v>
      </c>
      <c r="G2471" s="2">
        <v>160</v>
      </c>
      <c r="H2471" t="s">
        <v>15</v>
      </c>
      <c r="I2471" t="s">
        <v>36</v>
      </c>
      <c r="J2471" s="1">
        <v>44734</v>
      </c>
      <c r="K2471" t="b">
        <v>1</v>
      </c>
    </row>
    <row r="2472" spans="1:11" x14ac:dyDescent="0.25">
      <c r="A2472" t="s">
        <v>548</v>
      </c>
      <c r="B2472" t="s">
        <v>56</v>
      </c>
      <c r="C2472" t="s">
        <v>38</v>
      </c>
      <c r="D2472" t="s">
        <v>159</v>
      </c>
      <c r="E2472" s="2">
        <v>20</v>
      </c>
      <c r="F2472" s="4">
        <v>8</v>
      </c>
      <c r="G2472" s="2">
        <v>160</v>
      </c>
      <c r="H2472" t="s">
        <v>45</v>
      </c>
      <c r="I2472" t="s">
        <v>16</v>
      </c>
      <c r="J2472" s="1">
        <v>45288</v>
      </c>
      <c r="K2472" t="b">
        <v>1</v>
      </c>
    </row>
    <row r="2473" spans="1:11" x14ac:dyDescent="0.25">
      <c r="A2473" t="s">
        <v>6414</v>
      </c>
      <c r="B2473" t="s">
        <v>61</v>
      </c>
      <c r="C2473" t="s">
        <v>19</v>
      </c>
      <c r="D2473" t="s">
        <v>120</v>
      </c>
      <c r="E2473" s="2">
        <v>32</v>
      </c>
      <c r="F2473" s="4">
        <v>5</v>
      </c>
      <c r="G2473" s="2">
        <v>160</v>
      </c>
      <c r="H2473" t="s">
        <v>45</v>
      </c>
      <c r="I2473" t="s">
        <v>16</v>
      </c>
      <c r="J2473" s="1">
        <v>44637</v>
      </c>
      <c r="K2473" t="b">
        <v>1</v>
      </c>
    </row>
    <row r="2474" spans="1:11" x14ac:dyDescent="0.25">
      <c r="A2474" t="s">
        <v>4912</v>
      </c>
      <c r="B2474" t="s">
        <v>100</v>
      </c>
      <c r="C2474" t="s">
        <v>19</v>
      </c>
      <c r="D2474" t="s">
        <v>228</v>
      </c>
      <c r="E2474" s="2">
        <v>20</v>
      </c>
      <c r="F2474" s="4">
        <v>8</v>
      </c>
      <c r="G2474" s="2">
        <v>160</v>
      </c>
      <c r="H2474" t="s">
        <v>15</v>
      </c>
      <c r="I2474" t="s">
        <v>16</v>
      </c>
      <c r="J2474" s="1">
        <v>44584</v>
      </c>
      <c r="K2474" t="b">
        <v>1</v>
      </c>
    </row>
    <row r="2475" spans="1:11" x14ac:dyDescent="0.25">
      <c r="A2475" t="s">
        <v>5719</v>
      </c>
      <c r="B2475" t="s">
        <v>61</v>
      </c>
      <c r="C2475" t="s">
        <v>59</v>
      </c>
      <c r="D2475" t="s">
        <v>254</v>
      </c>
      <c r="E2475" s="2">
        <v>32</v>
      </c>
      <c r="F2475" s="4">
        <v>5</v>
      </c>
      <c r="G2475" s="2">
        <v>160</v>
      </c>
      <c r="H2475" t="s">
        <v>45</v>
      </c>
      <c r="I2475" t="s">
        <v>16</v>
      </c>
      <c r="J2475" s="1">
        <v>44869</v>
      </c>
      <c r="K2475" t="b">
        <v>0</v>
      </c>
    </row>
    <row r="2476" spans="1:11" x14ac:dyDescent="0.25">
      <c r="A2476" t="s">
        <v>2629</v>
      </c>
      <c r="B2476" t="s">
        <v>18</v>
      </c>
      <c r="C2476" t="s">
        <v>19</v>
      </c>
      <c r="D2476" t="s">
        <v>228</v>
      </c>
      <c r="E2476" s="2">
        <v>20</v>
      </c>
      <c r="F2476" s="4">
        <v>8</v>
      </c>
      <c r="G2476" s="2">
        <v>160</v>
      </c>
      <c r="H2476" t="s">
        <v>25</v>
      </c>
      <c r="I2476" t="s">
        <v>16</v>
      </c>
      <c r="J2476" s="1">
        <v>45361</v>
      </c>
      <c r="K2476" t="b">
        <v>0</v>
      </c>
    </row>
    <row r="2477" spans="1:11" x14ac:dyDescent="0.25">
      <c r="A2477" t="s">
        <v>528</v>
      </c>
      <c r="B2477" t="s">
        <v>63</v>
      </c>
      <c r="C2477" t="s">
        <v>13</v>
      </c>
      <c r="D2477" t="s">
        <v>113</v>
      </c>
      <c r="E2477" s="2">
        <v>20</v>
      </c>
      <c r="F2477" s="4">
        <v>8</v>
      </c>
      <c r="G2477" s="2">
        <v>160</v>
      </c>
      <c r="H2477" t="s">
        <v>15</v>
      </c>
      <c r="I2477" t="s">
        <v>16</v>
      </c>
      <c r="J2477" s="1">
        <v>44984</v>
      </c>
      <c r="K2477" t="b">
        <v>1</v>
      </c>
    </row>
    <row r="2478" spans="1:11" x14ac:dyDescent="0.25">
      <c r="A2478" t="s">
        <v>4656</v>
      </c>
      <c r="B2478" t="s">
        <v>63</v>
      </c>
      <c r="C2478" t="s">
        <v>38</v>
      </c>
      <c r="D2478" t="s">
        <v>159</v>
      </c>
      <c r="E2478" s="2">
        <v>20</v>
      </c>
      <c r="F2478" s="4">
        <v>8</v>
      </c>
      <c r="G2478" s="2">
        <v>160</v>
      </c>
      <c r="H2478" t="s">
        <v>45</v>
      </c>
      <c r="I2478" t="s">
        <v>16</v>
      </c>
      <c r="J2478" s="1">
        <v>45088</v>
      </c>
      <c r="K2478" t="b">
        <v>0</v>
      </c>
    </row>
    <row r="2479" spans="1:11" x14ac:dyDescent="0.25">
      <c r="A2479" t="s">
        <v>2509</v>
      </c>
      <c r="B2479" t="s">
        <v>63</v>
      </c>
      <c r="C2479" t="s">
        <v>27</v>
      </c>
      <c r="D2479" t="s">
        <v>207</v>
      </c>
      <c r="E2479" s="2">
        <v>32</v>
      </c>
      <c r="F2479" s="4">
        <v>5</v>
      </c>
      <c r="G2479" s="2">
        <v>160</v>
      </c>
      <c r="H2479" t="s">
        <v>45</v>
      </c>
      <c r="I2479" t="s">
        <v>16</v>
      </c>
      <c r="J2479" s="1">
        <v>44814</v>
      </c>
      <c r="K2479" t="b">
        <v>1</v>
      </c>
    </row>
    <row r="2480" spans="1:11" x14ac:dyDescent="0.25">
      <c r="A2480" t="s">
        <v>673</v>
      </c>
      <c r="B2480" t="s">
        <v>58</v>
      </c>
      <c r="C2480" t="s">
        <v>38</v>
      </c>
      <c r="D2480" t="s">
        <v>159</v>
      </c>
      <c r="E2480" s="2">
        <v>20</v>
      </c>
      <c r="F2480" s="4">
        <v>8</v>
      </c>
      <c r="G2480" s="2">
        <v>160</v>
      </c>
      <c r="H2480" t="s">
        <v>25</v>
      </c>
      <c r="I2480" t="s">
        <v>36</v>
      </c>
      <c r="J2480" s="1">
        <v>45166</v>
      </c>
      <c r="K2480" t="b">
        <v>0</v>
      </c>
    </row>
    <row r="2481" spans="1:11" x14ac:dyDescent="0.25">
      <c r="A2481" t="s">
        <v>1183</v>
      </c>
      <c r="B2481" t="s">
        <v>26</v>
      </c>
      <c r="C2481" t="s">
        <v>110</v>
      </c>
      <c r="D2481" t="s">
        <v>282</v>
      </c>
      <c r="E2481" s="2">
        <v>32</v>
      </c>
      <c r="F2481" s="4">
        <v>5</v>
      </c>
      <c r="G2481" s="2">
        <v>160</v>
      </c>
      <c r="H2481" t="s">
        <v>15</v>
      </c>
      <c r="I2481" t="s">
        <v>36</v>
      </c>
      <c r="J2481" s="1">
        <v>45617</v>
      </c>
      <c r="K2481" t="b">
        <v>1</v>
      </c>
    </row>
    <row r="2482" spans="1:11" x14ac:dyDescent="0.25">
      <c r="A2482" t="s">
        <v>2833</v>
      </c>
      <c r="B2482" t="s">
        <v>37</v>
      </c>
      <c r="C2482" t="s">
        <v>23</v>
      </c>
      <c r="D2482" t="s">
        <v>708</v>
      </c>
      <c r="E2482" s="2">
        <v>32</v>
      </c>
      <c r="F2482" s="4">
        <v>5</v>
      </c>
      <c r="G2482" s="2">
        <v>160</v>
      </c>
      <c r="H2482" t="s">
        <v>15</v>
      </c>
      <c r="I2482" t="s">
        <v>16</v>
      </c>
      <c r="J2482" s="1">
        <v>45468</v>
      </c>
      <c r="K2482" t="b">
        <v>0</v>
      </c>
    </row>
    <row r="2483" spans="1:11" x14ac:dyDescent="0.25">
      <c r="A2483" t="s">
        <v>6017</v>
      </c>
      <c r="B2483" t="s">
        <v>43</v>
      </c>
      <c r="C2483" t="s">
        <v>31</v>
      </c>
      <c r="D2483" t="s">
        <v>82</v>
      </c>
      <c r="E2483" s="2">
        <v>20</v>
      </c>
      <c r="F2483" s="4">
        <v>8</v>
      </c>
      <c r="G2483" s="2">
        <v>160</v>
      </c>
      <c r="H2483" t="s">
        <v>25</v>
      </c>
      <c r="I2483" t="s">
        <v>36</v>
      </c>
      <c r="J2483" s="1">
        <v>45358</v>
      </c>
      <c r="K2483" t="b">
        <v>0</v>
      </c>
    </row>
    <row r="2484" spans="1:11" x14ac:dyDescent="0.25">
      <c r="A2484" t="s">
        <v>4231</v>
      </c>
      <c r="B2484" t="s">
        <v>104</v>
      </c>
      <c r="C2484" t="s">
        <v>27</v>
      </c>
      <c r="D2484" t="s">
        <v>207</v>
      </c>
      <c r="E2484" s="2">
        <v>32</v>
      </c>
      <c r="F2484" s="4">
        <v>5</v>
      </c>
      <c r="G2484" s="2">
        <v>160</v>
      </c>
      <c r="H2484" t="s">
        <v>25</v>
      </c>
      <c r="I2484" t="s">
        <v>36</v>
      </c>
      <c r="J2484" s="1">
        <v>44728</v>
      </c>
      <c r="K2484" t="b">
        <v>0</v>
      </c>
    </row>
    <row r="2485" spans="1:11" x14ac:dyDescent="0.25">
      <c r="A2485" t="s">
        <v>6517</v>
      </c>
      <c r="B2485" t="s">
        <v>100</v>
      </c>
      <c r="C2485" t="s">
        <v>13</v>
      </c>
      <c r="D2485" t="s">
        <v>113</v>
      </c>
      <c r="E2485" s="2">
        <v>20</v>
      </c>
      <c r="F2485" s="4">
        <v>8</v>
      </c>
      <c r="G2485" s="2">
        <v>160</v>
      </c>
      <c r="H2485" t="s">
        <v>15</v>
      </c>
      <c r="I2485" t="s">
        <v>36</v>
      </c>
      <c r="J2485" s="1">
        <v>45043</v>
      </c>
      <c r="K2485" t="b">
        <v>0</v>
      </c>
    </row>
    <row r="2486" spans="1:11" x14ac:dyDescent="0.25">
      <c r="A2486" t="s">
        <v>4278</v>
      </c>
      <c r="B2486" t="s">
        <v>85</v>
      </c>
      <c r="C2486" t="s">
        <v>38</v>
      </c>
      <c r="D2486" t="s">
        <v>748</v>
      </c>
      <c r="E2486" s="2">
        <v>32</v>
      </c>
      <c r="F2486" s="4">
        <v>5</v>
      </c>
      <c r="G2486" s="2">
        <v>160</v>
      </c>
      <c r="H2486" t="s">
        <v>25</v>
      </c>
      <c r="I2486" t="s">
        <v>36</v>
      </c>
      <c r="J2486" s="1">
        <v>44951</v>
      </c>
      <c r="K2486" t="b">
        <v>0</v>
      </c>
    </row>
    <row r="2487" spans="1:11" x14ac:dyDescent="0.25">
      <c r="A2487" t="s">
        <v>2947</v>
      </c>
      <c r="B2487" t="s">
        <v>12</v>
      </c>
      <c r="C2487" t="s">
        <v>19</v>
      </c>
      <c r="D2487" t="s">
        <v>228</v>
      </c>
      <c r="E2487" s="2">
        <v>20</v>
      </c>
      <c r="F2487" s="4">
        <v>8</v>
      </c>
      <c r="G2487" s="2">
        <v>160</v>
      </c>
      <c r="H2487" t="s">
        <v>45</v>
      </c>
      <c r="I2487" t="s">
        <v>16</v>
      </c>
      <c r="J2487" s="1">
        <v>45627</v>
      </c>
      <c r="K2487" t="b">
        <v>1</v>
      </c>
    </row>
    <row r="2488" spans="1:11" x14ac:dyDescent="0.25">
      <c r="A2488" t="s">
        <v>1729</v>
      </c>
      <c r="B2488" t="s">
        <v>85</v>
      </c>
      <c r="C2488" t="s">
        <v>19</v>
      </c>
      <c r="D2488" t="s">
        <v>228</v>
      </c>
      <c r="E2488" s="2">
        <v>20</v>
      </c>
      <c r="F2488" s="4">
        <v>8</v>
      </c>
      <c r="G2488" s="2">
        <v>160</v>
      </c>
      <c r="H2488" t="s">
        <v>25</v>
      </c>
      <c r="I2488" t="s">
        <v>16</v>
      </c>
      <c r="J2488" s="1">
        <v>45338</v>
      </c>
      <c r="K2488" t="b">
        <v>0</v>
      </c>
    </row>
    <row r="2489" spans="1:11" x14ac:dyDescent="0.25">
      <c r="A2489" t="s">
        <v>4651</v>
      </c>
      <c r="B2489" t="s">
        <v>77</v>
      </c>
      <c r="C2489" t="s">
        <v>27</v>
      </c>
      <c r="D2489" t="s">
        <v>95</v>
      </c>
      <c r="E2489" s="2">
        <v>20</v>
      </c>
      <c r="F2489" s="4">
        <v>8</v>
      </c>
      <c r="G2489" s="2">
        <v>160</v>
      </c>
      <c r="H2489" t="s">
        <v>45</v>
      </c>
      <c r="I2489" t="s">
        <v>16</v>
      </c>
      <c r="J2489" s="1">
        <v>44975</v>
      </c>
      <c r="K2489" t="b">
        <v>1</v>
      </c>
    </row>
    <row r="2490" spans="1:11" x14ac:dyDescent="0.25">
      <c r="A2490" t="s">
        <v>3360</v>
      </c>
      <c r="B2490" t="s">
        <v>30</v>
      </c>
      <c r="C2490" t="s">
        <v>59</v>
      </c>
      <c r="D2490" t="s">
        <v>254</v>
      </c>
      <c r="E2490" s="2">
        <v>32</v>
      </c>
      <c r="F2490" s="4">
        <v>5</v>
      </c>
      <c r="G2490" s="2">
        <v>160</v>
      </c>
      <c r="H2490" t="s">
        <v>15</v>
      </c>
      <c r="I2490" t="s">
        <v>16</v>
      </c>
      <c r="J2490" s="1">
        <v>44575</v>
      </c>
      <c r="K2490" t="b">
        <v>1</v>
      </c>
    </row>
    <row r="2491" spans="1:11" x14ac:dyDescent="0.25">
      <c r="A2491" t="s">
        <v>1224</v>
      </c>
      <c r="B2491" t="s">
        <v>85</v>
      </c>
      <c r="C2491" t="s">
        <v>38</v>
      </c>
      <c r="D2491" t="s">
        <v>159</v>
      </c>
      <c r="E2491" s="2">
        <v>20</v>
      </c>
      <c r="F2491" s="4">
        <v>8</v>
      </c>
      <c r="G2491" s="2">
        <v>160</v>
      </c>
      <c r="H2491" t="s">
        <v>15</v>
      </c>
      <c r="I2491" t="s">
        <v>36</v>
      </c>
      <c r="J2491" s="1">
        <v>44984</v>
      </c>
      <c r="K2491" t="b">
        <v>1</v>
      </c>
    </row>
    <row r="2492" spans="1:11" x14ac:dyDescent="0.25">
      <c r="A2492" t="s">
        <v>3950</v>
      </c>
      <c r="B2492" t="s">
        <v>69</v>
      </c>
      <c r="C2492" t="s">
        <v>110</v>
      </c>
      <c r="D2492" t="s">
        <v>263</v>
      </c>
      <c r="E2492" s="2">
        <v>20</v>
      </c>
      <c r="F2492" s="4">
        <v>8</v>
      </c>
      <c r="G2492" s="2">
        <v>160</v>
      </c>
      <c r="H2492" t="s">
        <v>45</v>
      </c>
      <c r="I2492" t="s">
        <v>16</v>
      </c>
      <c r="J2492" s="1">
        <v>44944</v>
      </c>
      <c r="K2492" t="b">
        <v>0</v>
      </c>
    </row>
    <row r="2493" spans="1:11" x14ac:dyDescent="0.25">
      <c r="A2493" t="s">
        <v>2422</v>
      </c>
      <c r="B2493" t="s">
        <v>40</v>
      </c>
      <c r="C2493" t="s">
        <v>27</v>
      </c>
      <c r="D2493" t="s">
        <v>95</v>
      </c>
      <c r="E2493" s="2">
        <v>20</v>
      </c>
      <c r="F2493" s="4">
        <v>8</v>
      </c>
      <c r="G2493" s="2">
        <v>160</v>
      </c>
      <c r="H2493" t="s">
        <v>25</v>
      </c>
      <c r="I2493" t="s">
        <v>16</v>
      </c>
      <c r="J2493" s="1">
        <v>44905</v>
      </c>
      <c r="K2493" t="b">
        <v>1</v>
      </c>
    </row>
    <row r="2494" spans="1:11" x14ac:dyDescent="0.25">
      <c r="A2494" t="s">
        <v>2192</v>
      </c>
      <c r="B2494" t="s">
        <v>69</v>
      </c>
      <c r="C2494" t="s">
        <v>19</v>
      </c>
      <c r="D2494" t="s">
        <v>228</v>
      </c>
      <c r="E2494" s="2">
        <v>20</v>
      </c>
      <c r="F2494" s="4">
        <v>8</v>
      </c>
      <c r="G2494" s="2">
        <v>160</v>
      </c>
      <c r="H2494" t="s">
        <v>45</v>
      </c>
      <c r="I2494" t="s">
        <v>36</v>
      </c>
      <c r="J2494" s="1">
        <v>45659</v>
      </c>
      <c r="K2494" t="b">
        <v>1</v>
      </c>
    </row>
    <row r="2495" spans="1:11" x14ac:dyDescent="0.25">
      <c r="A2495" t="s">
        <v>3326</v>
      </c>
      <c r="B2495" t="s">
        <v>63</v>
      </c>
      <c r="C2495" t="s">
        <v>110</v>
      </c>
      <c r="D2495" t="s">
        <v>263</v>
      </c>
      <c r="E2495" s="2">
        <v>20</v>
      </c>
      <c r="F2495" s="4">
        <v>8</v>
      </c>
      <c r="G2495" s="2">
        <v>160</v>
      </c>
      <c r="H2495" t="s">
        <v>15</v>
      </c>
      <c r="I2495" t="s">
        <v>16</v>
      </c>
      <c r="J2495" s="1">
        <v>44932</v>
      </c>
      <c r="K2495" t="b">
        <v>1</v>
      </c>
    </row>
    <row r="2496" spans="1:11" x14ac:dyDescent="0.25">
      <c r="A2496" t="s">
        <v>5658</v>
      </c>
      <c r="B2496" t="s">
        <v>34</v>
      </c>
      <c r="C2496" t="s">
        <v>38</v>
      </c>
      <c r="D2496" t="s">
        <v>159</v>
      </c>
      <c r="E2496" s="2">
        <v>20</v>
      </c>
      <c r="F2496" s="4">
        <v>8</v>
      </c>
      <c r="G2496" s="2">
        <v>160</v>
      </c>
      <c r="H2496" t="s">
        <v>15</v>
      </c>
      <c r="I2496" t="s">
        <v>16</v>
      </c>
      <c r="J2496" s="1">
        <v>45655</v>
      </c>
      <c r="K2496" t="b">
        <v>0</v>
      </c>
    </row>
    <row r="2497" spans="1:11" x14ac:dyDescent="0.25">
      <c r="A2497" t="s">
        <v>1700</v>
      </c>
      <c r="B2497" t="s">
        <v>104</v>
      </c>
      <c r="C2497" t="s">
        <v>23</v>
      </c>
      <c r="D2497" t="s">
        <v>708</v>
      </c>
      <c r="E2497" s="2">
        <v>32</v>
      </c>
      <c r="F2497" s="4">
        <v>5</v>
      </c>
      <c r="G2497" s="2">
        <v>160</v>
      </c>
      <c r="H2497" t="s">
        <v>25</v>
      </c>
      <c r="I2497" t="s">
        <v>16</v>
      </c>
      <c r="J2497" s="1">
        <v>44725</v>
      </c>
      <c r="K2497" t="b">
        <v>0</v>
      </c>
    </row>
    <row r="2498" spans="1:11" x14ac:dyDescent="0.25">
      <c r="A2498" t="s">
        <v>6121</v>
      </c>
      <c r="B2498" t="s">
        <v>61</v>
      </c>
      <c r="C2498" t="s">
        <v>110</v>
      </c>
      <c r="D2498" t="s">
        <v>282</v>
      </c>
      <c r="E2498" s="2">
        <v>32</v>
      </c>
      <c r="F2498" s="4">
        <v>5</v>
      </c>
      <c r="G2498" s="2">
        <v>160</v>
      </c>
      <c r="H2498" t="s">
        <v>15</v>
      </c>
      <c r="I2498" t="s">
        <v>36</v>
      </c>
      <c r="J2498" s="1">
        <v>44773</v>
      </c>
      <c r="K2498" t="b">
        <v>1</v>
      </c>
    </row>
    <row r="2499" spans="1:11" x14ac:dyDescent="0.25">
      <c r="A2499" t="s">
        <v>884</v>
      </c>
      <c r="B2499" t="s">
        <v>93</v>
      </c>
      <c r="C2499" t="s">
        <v>110</v>
      </c>
      <c r="D2499" t="s">
        <v>282</v>
      </c>
      <c r="E2499" s="2">
        <v>32</v>
      </c>
      <c r="F2499" s="4">
        <v>5</v>
      </c>
      <c r="G2499" s="2">
        <v>160</v>
      </c>
      <c r="H2499" t="s">
        <v>45</v>
      </c>
      <c r="I2499" t="s">
        <v>36</v>
      </c>
      <c r="J2499" s="1">
        <v>44840</v>
      </c>
      <c r="K2499" t="b">
        <v>1</v>
      </c>
    </row>
    <row r="2500" spans="1:11" x14ac:dyDescent="0.25">
      <c r="A2500" t="s">
        <v>6605</v>
      </c>
      <c r="B2500" t="s">
        <v>43</v>
      </c>
      <c r="C2500" t="s">
        <v>19</v>
      </c>
      <c r="D2500" t="s">
        <v>120</v>
      </c>
      <c r="E2500" s="2">
        <v>32</v>
      </c>
      <c r="F2500" s="4">
        <v>5</v>
      </c>
      <c r="G2500" s="2">
        <v>160</v>
      </c>
      <c r="H2500" t="s">
        <v>25</v>
      </c>
      <c r="I2500" t="s">
        <v>36</v>
      </c>
      <c r="J2500" s="1">
        <v>44964</v>
      </c>
      <c r="K2500" t="b">
        <v>0</v>
      </c>
    </row>
    <row r="2501" spans="1:11" x14ac:dyDescent="0.25">
      <c r="A2501" t="s">
        <v>4059</v>
      </c>
      <c r="B2501" t="s">
        <v>43</v>
      </c>
      <c r="C2501" t="s">
        <v>27</v>
      </c>
      <c r="D2501" t="s">
        <v>207</v>
      </c>
      <c r="E2501" s="2">
        <v>32</v>
      </c>
      <c r="F2501" s="4">
        <v>5</v>
      </c>
      <c r="G2501" s="2">
        <v>160</v>
      </c>
      <c r="H2501" t="s">
        <v>15</v>
      </c>
      <c r="I2501" t="s">
        <v>16</v>
      </c>
      <c r="J2501" s="1">
        <v>45557</v>
      </c>
      <c r="K2501" t="b">
        <v>1</v>
      </c>
    </row>
    <row r="2502" spans="1:11" x14ac:dyDescent="0.25">
      <c r="A2502" t="s">
        <v>6679</v>
      </c>
      <c r="B2502" t="s">
        <v>86</v>
      </c>
      <c r="C2502" t="s">
        <v>23</v>
      </c>
      <c r="D2502" t="s">
        <v>708</v>
      </c>
      <c r="E2502" s="2">
        <v>32</v>
      </c>
      <c r="F2502" s="4">
        <v>5</v>
      </c>
      <c r="G2502" s="2">
        <v>160</v>
      </c>
      <c r="H2502" t="s">
        <v>25</v>
      </c>
      <c r="I2502" t="s">
        <v>16</v>
      </c>
      <c r="J2502" s="1">
        <v>44862</v>
      </c>
      <c r="K2502" t="b">
        <v>1</v>
      </c>
    </row>
    <row r="2503" spans="1:11" x14ac:dyDescent="0.25">
      <c r="A2503" t="s">
        <v>547</v>
      </c>
      <c r="B2503" t="s">
        <v>104</v>
      </c>
      <c r="C2503" t="s">
        <v>38</v>
      </c>
      <c r="D2503" t="s">
        <v>159</v>
      </c>
      <c r="E2503" s="2">
        <v>20</v>
      </c>
      <c r="F2503" s="4">
        <v>8</v>
      </c>
      <c r="G2503" s="2">
        <v>160</v>
      </c>
      <c r="H2503" t="s">
        <v>15</v>
      </c>
      <c r="I2503" t="s">
        <v>16</v>
      </c>
      <c r="J2503" s="1">
        <v>45084</v>
      </c>
      <c r="K2503" t="b">
        <v>0</v>
      </c>
    </row>
    <row r="2504" spans="1:11" x14ac:dyDescent="0.25">
      <c r="A2504" t="s">
        <v>3524</v>
      </c>
      <c r="B2504" t="s">
        <v>63</v>
      </c>
      <c r="C2504" t="s">
        <v>19</v>
      </c>
      <c r="D2504" t="s">
        <v>120</v>
      </c>
      <c r="E2504" s="2">
        <v>32</v>
      </c>
      <c r="F2504" s="4">
        <v>5</v>
      </c>
      <c r="G2504" s="2">
        <v>160</v>
      </c>
      <c r="H2504" t="s">
        <v>25</v>
      </c>
      <c r="I2504" t="s">
        <v>16</v>
      </c>
      <c r="J2504" s="1">
        <v>45493</v>
      </c>
      <c r="K2504" t="b">
        <v>1</v>
      </c>
    </row>
    <row r="2505" spans="1:11" x14ac:dyDescent="0.25">
      <c r="A2505" t="s">
        <v>5547</v>
      </c>
      <c r="B2505" t="s">
        <v>18</v>
      </c>
      <c r="C2505" t="s">
        <v>19</v>
      </c>
      <c r="D2505" t="s">
        <v>228</v>
      </c>
      <c r="E2505" s="2">
        <v>20</v>
      </c>
      <c r="F2505" s="4">
        <v>8</v>
      </c>
      <c r="G2505" s="2">
        <v>160</v>
      </c>
      <c r="H2505" t="s">
        <v>15</v>
      </c>
      <c r="I2505" t="s">
        <v>16</v>
      </c>
      <c r="J2505" s="1">
        <v>44832</v>
      </c>
      <c r="K2505" t="b">
        <v>0</v>
      </c>
    </row>
    <row r="2506" spans="1:11" x14ac:dyDescent="0.25">
      <c r="A2506" t="s">
        <v>2800</v>
      </c>
      <c r="B2506" t="s">
        <v>40</v>
      </c>
      <c r="C2506" t="s">
        <v>59</v>
      </c>
      <c r="D2506" t="s">
        <v>365</v>
      </c>
      <c r="E2506" s="2">
        <v>20</v>
      </c>
      <c r="F2506" s="4">
        <v>8</v>
      </c>
      <c r="G2506" s="2">
        <v>160</v>
      </c>
      <c r="H2506" t="s">
        <v>25</v>
      </c>
      <c r="I2506" t="s">
        <v>36</v>
      </c>
      <c r="J2506" s="1">
        <v>45156</v>
      </c>
      <c r="K2506" t="b">
        <v>0</v>
      </c>
    </row>
    <row r="2507" spans="1:11" x14ac:dyDescent="0.25">
      <c r="A2507" t="s">
        <v>3614</v>
      </c>
      <c r="B2507" t="s">
        <v>51</v>
      </c>
      <c r="C2507" t="s">
        <v>19</v>
      </c>
      <c r="D2507" t="s">
        <v>120</v>
      </c>
      <c r="E2507" s="2">
        <v>32</v>
      </c>
      <c r="F2507" s="4">
        <v>5</v>
      </c>
      <c r="G2507" s="2">
        <v>160</v>
      </c>
      <c r="H2507" t="s">
        <v>15</v>
      </c>
      <c r="I2507" t="s">
        <v>16</v>
      </c>
      <c r="J2507" s="1">
        <v>44867</v>
      </c>
      <c r="K2507" t="b">
        <v>0</v>
      </c>
    </row>
    <row r="2508" spans="1:11" x14ac:dyDescent="0.25">
      <c r="A2508" t="s">
        <v>6978</v>
      </c>
      <c r="B2508" t="s">
        <v>51</v>
      </c>
      <c r="C2508" t="s">
        <v>110</v>
      </c>
      <c r="D2508" t="s">
        <v>282</v>
      </c>
      <c r="E2508" s="2">
        <v>32</v>
      </c>
      <c r="F2508" s="4">
        <v>5</v>
      </c>
      <c r="G2508" s="2">
        <v>160</v>
      </c>
      <c r="H2508" t="s">
        <v>15</v>
      </c>
      <c r="I2508" t="s">
        <v>36</v>
      </c>
      <c r="J2508" s="1">
        <v>45518</v>
      </c>
      <c r="K2508" t="b">
        <v>0</v>
      </c>
    </row>
    <row r="2509" spans="1:11" x14ac:dyDescent="0.25">
      <c r="A2509" t="s">
        <v>3530</v>
      </c>
      <c r="B2509" t="s">
        <v>30</v>
      </c>
      <c r="C2509" t="s">
        <v>19</v>
      </c>
      <c r="D2509" t="s">
        <v>120</v>
      </c>
      <c r="E2509" s="2">
        <v>32</v>
      </c>
      <c r="F2509" s="4">
        <v>5</v>
      </c>
      <c r="G2509" s="2">
        <v>160</v>
      </c>
      <c r="H2509" t="s">
        <v>25</v>
      </c>
      <c r="I2509" t="s">
        <v>36</v>
      </c>
      <c r="J2509" s="1">
        <v>45240</v>
      </c>
      <c r="K2509" t="b">
        <v>0</v>
      </c>
    </row>
    <row r="2510" spans="1:11" x14ac:dyDescent="0.25">
      <c r="A2510" t="s">
        <v>3294</v>
      </c>
      <c r="B2510" t="s">
        <v>100</v>
      </c>
      <c r="C2510" t="s">
        <v>38</v>
      </c>
      <c r="D2510" t="s">
        <v>159</v>
      </c>
      <c r="E2510" s="2">
        <v>20</v>
      </c>
      <c r="F2510" s="4">
        <v>8</v>
      </c>
      <c r="G2510" s="2">
        <v>160</v>
      </c>
      <c r="H2510" t="s">
        <v>45</v>
      </c>
      <c r="I2510" t="s">
        <v>36</v>
      </c>
      <c r="J2510" s="1">
        <v>45048</v>
      </c>
      <c r="K2510" t="b">
        <v>1</v>
      </c>
    </row>
    <row r="2511" spans="1:11" x14ac:dyDescent="0.25">
      <c r="A2511" t="s">
        <v>754</v>
      </c>
      <c r="B2511" t="s">
        <v>34</v>
      </c>
      <c r="C2511" t="s">
        <v>110</v>
      </c>
      <c r="D2511" t="s">
        <v>282</v>
      </c>
      <c r="E2511" s="2">
        <v>32</v>
      </c>
      <c r="F2511" s="4">
        <v>5</v>
      </c>
      <c r="G2511" s="2">
        <v>160</v>
      </c>
      <c r="H2511" t="s">
        <v>25</v>
      </c>
      <c r="I2511" t="s">
        <v>36</v>
      </c>
      <c r="J2511" s="1">
        <v>44645</v>
      </c>
      <c r="K2511" t="b">
        <v>0</v>
      </c>
    </row>
    <row r="2512" spans="1:11" x14ac:dyDescent="0.25">
      <c r="A2512" t="s">
        <v>3148</v>
      </c>
      <c r="B2512" t="s">
        <v>34</v>
      </c>
      <c r="C2512" t="s">
        <v>19</v>
      </c>
      <c r="D2512" t="s">
        <v>120</v>
      </c>
      <c r="E2512" s="2">
        <v>32</v>
      </c>
      <c r="F2512" s="4">
        <v>5</v>
      </c>
      <c r="G2512" s="2">
        <v>160</v>
      </c>
      <c r="H2512" t="s">
        <v>25</v>
      </c>
      <c r="I2512" t="s">
        <v>36</v>
      </c>
      <c r="J2512" s="1">
        <v>44573</v>
      </c>
      <c r="K2512" t="b">
        <v>0</v>
      </c>
    </row>
    <row r="2513" spans="1:11" x14ac:dyDescent="0.25">
      <c r="A2513" t="s">
        <v>7323</v>
      </c>
      <c r="B2513" t="s">
        <v>72</v>
      </c>
      <c r="C2513" t="s">
        <v>38</v>
      </c>
      <c r="D2513" t="s">
        <v>159</v>
      </c>
      <c r="E2513" s="2">
        <v>20</v>
      </c>
      <c r="F2513" s="4">
        <v>8</v>
      </c>
      <c r="G2513" s="2">
        <v>160</v>
      </c>
      <c r="H2513" t="s">
        <v>45</v>
      </c>
      <c r="I2513" t="s">
        <v>16</v>
      </c>
      <c r="J2513" s="1">
        <v>45243</v>
      </c>
      <c r="K2513" t="b">
        <v>0</v>
      </c>
    </row>
    <row r="2514" spans="1:11" x14ac:dyDescent="0.25">
      <c r="A2514" t="s">
        <v>4042</v>
      </c>
      <c r="B2514" t="s">
        <v>34</v>
      </c>
      <c r="C2514" t="s">
        <v>19</v>
      </c>
      <c r="D2514" t="s">
        <v>228</v>
      </c>
      <c r="E2514" s="2">
        <v>20</v>
      </c>
      <c r="F2514" s="4">
        <v>8</v>
      </c>
      <c r="G2514" s="2">
        <v>160</v>
      </c>
      <c r="H2514" t="s">
        <v>45</v>
      </c>
      <c r="I2514" t="s">
        <v>16</v>
      </c>
      <c r="J2514" s="1">
        <v>45491</v>
      </c>
      <c r="K2514" t="b">
        <v>1</v>
      </c>
    </row>
    <row r="2515" spans="1:11" x14ac:dyDescent="0.25">
      <c r="A2515" t="s">
        <v>5739</v>
      </c>
      <c r="B2515" t="s">
        <v>85</v>
      </c>
      <c r="C2515" t="s">
        <v>27</v>
      </c>
      <c r="D2515" t="s">
        <v>95</v>
      </c>
      <c r="E2515" s="2">
        <v>20</v>
      </c>
      <c r="F2515" s="4">
        <v>8</v>
      </c>
      <c r="G2515" s="2">
        <v>160</v>
      </c>
      <c r="H2515" t="s">
        <v>45</v>
      </c>
      <c r="I2515" t="s">
        <v>16</v>
      </c>
      <c r="J2515" s="1">
        <v>44807</v>
      </c>
      <c r="K2515" t="b">
        <v>0</v>
      </c>
    </row>
    <row r="2516" spans="1:11" x14ac:dyDescent="0.25">
      <c r="A2516" t="s">
        <v>1434</v>
      </c>
      <c r="B2516" t="s">
        <v>142</v>
      </c>
      <c r="C2516" t="s">
        <v>19</v>
      </c>
      <c r="D2516" t="s">
        <v>228</v>
      </c>
      <c r="E2516" s="2">
        <v>20</v>
      </c>
      <c r="F2516" s="4">
        <v>8</v>
      </c>
      <c r="G2516" s="2">
        <v>160</v>
      </c>
      <c r="H2516" t="s">
        <v>25</v>
      </c>
      <c r="I2516" t="s">
        <v>16</v>
      </c>
      <c r="J2516" s="1">
        <v>44667</v>
      </c>
      <c r="K2516" t="b">
        <v>0</v>
      </c>
    </row>
    <row r="2517" spans="1:11" x14ac:dyDescent="0.25">
      <c r="A2517" t="s">
        <v>5540</v>
      </c>
      <c r="B2517" t="s">
        <v>86</v>
      </c>
      <c r="C2517" t="s">
        <v>110</v>
      </c>
      <c r="D2517" t="s">
        <v>282</v>
      </c>
      <c r="E2517" s="2">
        <v>32</v>
      </c>
      <c r="F2517" s="4">
        <v>5</v>
      </c>
      <c r="G2517" s="2">
        <v>160</v>
      </c>
      <c r="H2517" t="s">
        <v>25</v>
      </c>
      <c r="I2517" t="s">
        <v>16</v>
      </c>
      <c r="J2517" s="1">
        <v>44782</v>
      </c>
      <c r="K2517" t="b">
        <v>1</v>
      </c>
    </row>
    <row r="2518" spans="1:11" x14ac:dyDescent="0.25">
      <c r="A2518" t="s">
        <v>158</v>
      </c>
      <c r="B2518" t="s">
        <v>12</v>
      </c>
      <c r="C2518" t="s">
        <v>38</v>
      </c>
      <c r="D2518" t="s">
        <v>159</v>
      </c>
      <c r="E2518" s="2">
        <v>20</v>
      </c>
      <c r="F2518" s="4">
        <v>8</v>
      </c>
      <c r="G2518" s="2">
        <v>160</v>
      </c>
      <c r="H2518" t="s">
        <v>15</v>
      </c>
      <c r="I2518" t="s">
        <v>36</v>
      </c>
      <c r="J2518" s="1">
        <v>45526</v>
      </c>
      <c r="K2518" t="b">
        <v>0</v>
      </c>
    </row>
    <row r="2519" spans="1:11" x14ac:dyDescent="0.25">
      <c r="A2519" t="s">
        <v>6766</v>
      </c>
      <c r="B2519" t="s">
        <v>26</v>
      </c>
      <c r="C2519" t="s">
        <v>23</v>
      </c>
      <c r="D2519" t="s">
        <v>708</v>
      </c>
      <c r="E2519" s="2">
        <v>32</v>
      </c>
      <c r="F2519" s="4">
        <v>5</v>
      </c>
      <c r="G2519" s="2">
        <v>160</v>
      </c>
      <c r="H2519" t="s">
        <v>15</v>
      </c>
      <c r="I2519" t="s">
        <v>16</v>
      </c>
      <c r="J2519" s="1">
        <v>45074</v>
      </c>
      <c r="K2519" t="b">
        <v>0</v>
      </c>
    </row>
    <row r="2520" spans="1:11" x14ac:dyDescent="0.25">
      <c r="A2520" t="s">
        <v>912</v>
      </c>
      <c r="B2520" t="s">
        <v>51</v>
      </c>
      <c r="C2520" t="s">
        <v>110</v>
      </c>
      <c r="D2520" t="s">
        <v>263</v>
      </c>
      <c r="E2520" s="2">
        <v>20</v>
      </c>
      <c r="F2520" s="4">
        <v>8</v>
      </c>
      <c r="G2520" s="2">
        <v>160</v>
      </c>
      <c r="H2520" t="s">
        <v>45</v>
      </c>
      <c r="I2520" t="s">
        <v>36</v>
      </c>
      <c r="J2520" s="1">
        <v>45335</v>
      </c>
      <c r="K2520" t="b">
        <v>1</v>
      </c>
    </row>
    <row r="2521" spans="1:11" x14ac:dyDescent="0.25">
      <c r="A2521" t="s">
        <v>3881</v>
      </c>
      <c r="B2521" t="s">
        <v>12</v>
      </c>
      <c r="C2521" t="s">
        <v>31</v>
      </c>
      <c r="D2521" t="s">
        <v>82</v>
      </c>
      <c r="E2521" s="2">
        <v>20</v>
      </c>
      <c r="F2521" s="4">
        <v>8</v>
      </c>
      <c r="G2521" s="2">
        <v>160</v>
      </c>
      <c r="H2521" t="s">
        <v>45</v>
      </c>
      <c r="I2521" t="s">
        <v>16</v>
      </c>
      <c r="J2521" s="1">
        <v>44703</v>
      </c>
      <c r="K2521" t="b">
        <v>0</v>
      </c>
    </row>
    <row r="2522" spans="1:11" x14ac:dyDescent="0.25">
      <c r="A2522" t="s">
        <v>4675</v>
      </c>
      <c r="B2522" t="s">
        <v>69</v>
      </c>
      <c r="C2522" t="s">
        <v>27</v>
      </c>
      <c r="D2522" t="s">
        <v>207</v>
      </c>
      <c r="E2522" s="2">
        <v>32</v>
      </c>
      <c r="F2522" s="4">
        <v>5</v>
      </c>
      <c r="G2522" s="2">
        <v>160</v>
      </c>
      <c r="H2522" t="s">
        <v>15</v>
      </c>
      <c r="I2522" t="s">
        <v>36</v>
      </c>
      <c r="J2522" s="1">
        <v>44625</v>
      </c>
      <c r="K2522" t="b">
        <v>0</v>
      </c>
    </row>
    <row r="2523" spans="1:11" x14ac:dyDescent="0.25">
      <c r="A2523" t="s">
        <v>3721</v>
      </c>
      <c r="B2523" t="s">
        <v>37</v>
      </c>
      <c r="C2523" t="s">
        <v>31</v>
      </c>
      <c r="D2523" t="s">
        <v>82</v>
      </c>
      <c r="E2523" s="2">
        <v>20</v>
      </c>
      <c r="F2523" s="4">
        <v>8</v>
      </c>
      <c r="G2523" s="2">
        <v>160</v>
      </c>
      <c r="H2523" t="s">
        <v>15</v>
      </c>
      <c r="I2523" t="s">
        <v>16</v>
      </c>
      <c r="J2523" s="1">
        <v>45017</v>
      </c>
      <c r="K2523" t="b">
        <v>1</v>
      </c>
    </row>
    <row r="2524" spans="1:11" x14ac:dyDescent="0.25">
      <c r="A2524" t="s">
        <v>940</v>
      </c>
      <c r="B2524" t="s">
        <v>93</v>
      </c>
      <c r="C2524" t="s">
        <v>31</v>
      </c>
      <c r="D2524" t="s">
        <v>82</v>
      </c>
      <c r="E2524" s="2">
        <v>20</v>
      </c>
      <c r="F2524" s="4">
        <v>8</v>
      </c>
      <c r="G2524" s="2">
        <v>160</v>
      </c>
      <c r="H2524" t="s">
        <v>45</v>
      </c>
      <c r="I2524" t="s">
        <v>36</v>
      </c>
      <c r="J2524" s="1">
        <v>44960</v>
      </c>
      <c r="K2524" t="b">
        <v>0</v>
      </c>
    </row>
    <row r="2525" spans="1:11" x14ac:dyDescent="0.25">
      <c r="A2525" t="s">
        <v>4329</v>
      </c>
      <c r="B2525" t="s">
        <v>30</v>
      </c>
      <c r="C2525" t="s">
        <v>31</v>
      </c>
      <c r="D2525" t="s">
        <v>82</v>
      </c>
      <c r="E2525" s="2">
        <v>20</v>
      </c>
      <c r="F2525" s="4">
        <v>8</v>
      </c>
      <c r="G2525" s="2">
        <v>160</v>
      </c>
      <c r="H2525" t="s">
        <v>25</v>
      </c>
      <c r="I2525" t="s">
        <v>36</v>
      </c>
      <c r="J2525" s="1">
        <v>44757</v>
      </c>
      <c r="K2525" t="b">
        <v>0</v>
      </c>
    </row>
    <row r="2526" spans="1:11" x14ac:dyDescent="0.25">
      <c r="A2526" t="s">
        <v>859</v>
      </c>
      <c r="B2526" t="s">
        <v>40</v>
      </c>
      <c r="C2526" t="s">
        <v>59</v>
      </c>
      <c r="D2526" t="s">
        <v>254</v>
      </c>
      <c r="E2526" s="2">
        <v>32</v>
      </c>
      <c r="F2526" s="4">
        <v>5</v>
      </c>
      <c r="G2526" s="2">
        <v>160</v>
      </c>
      <c r="H2526" t="s">
        <v>25</v>
      </c>
      <c r="I2526" t="s">
        <v>36</v>
      </c>
      <c r="J2526" s="1">
        <v>44754</v>
      </c>
      <c r="K2526" t="b">
        <v>0</v>
      </c>
    </row>
    <row r="2527" spans="1:11" x14ac:dyDescent="0.25">
      <c r="A2527" t="s">
        <v>6954</v>
      </c>
      <c r="B2527" t="s">
        <v>63</v>
      </c>
      <c r="C2527" t="s">
        <v>23</v>
      </c>
      <c r="D2527" t="s">
        <v>666</v>
      </c>
      <c r="E2527" s="2">
        <v>20</v>
      </c>
      <c r="F2527" s="4">
        <v>8</v>
      </c>
      <c r="G2527" s="2">
        <v>160</v>
      </c>
      <c r="H2527" t="s">
        <v>45</v>
      </c>
      <c r="I2527" t="s">
        <v>36</v>
      </c>
      <c r="J2527" s="1">
        <v>44606</v>
      </c>
      <c r="K2527" t="b">
        <v>1</v>
      </c>
    </row>
    <row r="2528" spans="1:11" x14ac:dyDescent="0.25">
      <c r="A2528" t="s">
        <v>5544</v>
      </c>
      <c r="B2528" t="s">
        <v>97</v>
      </c>
      <c r="C2528" t="s">
        <v>110</v>
      </c>
      <c r="D2528" t="s">
        <v>263</v>
      </c>
      <c r="E2528" s="2">
        <v>20</v>
      </c>
      <c r="F2528" s="4">
        <v>8</v>
      </c>
      <c r="G2528" s="2">
        <v>160</v>
      </c>
      <c r="H2528" t="s">
        <v>45</v>
      </c>
      <c r="I2528" t="s">
        <v>16</v>
      </c>
      <c r="J2528" s="1">
        <v>45380</v>
      </c>
      <c r="K2528" t="b">
        <v>0</v>
      </c>
    </row>
    <row r="2529" spans="1:11" x14ac:dyDescent="0.25">
      <c r="A2529" t="s">
        <v>6837</v>
      </c>
      <c r="B2529" t="s">
        <v>58</v>
      </c>
      <c r="C2529" t="s">
        <v>110</v>
      </c>
      <c r="D2529" t="s">
        <v>282</v>
      </c>
      <c r="E2529" s="2">
        <v>32</v>
      </c>
      <c r="F2529" s="4">
        <v>5</v>
      </c>
      <c r="G2529" s="2">
        <v>160</v>
      </c>
      <c r="H2529" t="s">
        <v>25</v>
      </c>
      <c r="I2529" t="s">
        <v>36</v>
      </c>
      <c r="J2529" s="1">
        <v>45108</v>
      </c>
      <c r="K2529" t="b">
        <v>0</v>
      </c>
    </row>
    <row r="2530" spans="1:11" x14ac:dyDescent="0.25">
      <c r="A2530" t="s">
        <v>3111</v>
      </c>
      <c r="B2530" t="s">
        <v>69</v>
      </c>
      <c r="C2530" t="s">
        <v>13</v>
      </c>
      <c r="D2530" t="s">
        <v>113</v>
      </c>
      <c r="E2530" s="2">
        <v>20</v>
      </c>
      <c r="F2530" s="4">
        <v>8</v>
      </c>
      <c r="G2530" s="2">
        <v>160</v>
      </c>
      <c r="H2530" t="s">
        <v>15</v>
      </c>
      <c r="I2530" t="s">
        <v>16</v>
      </c>
      <c r="J2530" s="1">
        <v>45621</v>
      </c>
      <c r="K2530" t="b">
        <v>0</v>
      </c>
    </row>
    <row r="2531" spans="1:11" x14ac:dyDescent="0.25">
      <c r="A2531" t="s">
        <v>4536</v>
      </c>
      <c r="B2531" t="s">
        <v>56</v>
      </c>
      <c r="C2531" t="s">
        <v>38</v>
      </c>
      <c r="D2531" t="s">
        <v>748</v>
      </c>
      <c r="E2531" s="2">
        <v>32</v>
      </c>
      <c r="F2531" s="4">
        <v>5</v>
      </c>
      <c r="G2531" s="2">
        <v>160</v>
      </c>
      <c r="H2531" t="s">
        <v>25</v>
      </c>
      <c r="I2531" t="s">
        <v>16</v>
      </c>
      <c r="J2531" s="1">
        <v>45605</v>
      </c>
      <c r="K2531" t="b">
        <v>0</v>
      </c>
    </row>
    <row r="2532" spans="1:11" x14ac:dyDescent="0.25">
      <c r="A2532" t="s">
        <v>1305</v>
      </c>
      <c r="B2532" t="s">
        <v>104</v>
      </c>
      <c r="C2532" t="s">
        <v>27</v>
      </c>
      <c r="D2532" t="s">
        <v>95</v>
      </c>
      <c r="E2532" s="2">
        <v>20</v>
      </c>
      <c r="F2532" s="4">
        <v>8</v>
      </c>
      <c r="G2532" s="2">
        <v>160</v>
      </c>
      <c r="H2532" t="s">
        <v>25</v>
      </c>
      <c r="I2532" t="s">
        <v>16</v>
      </c>
      <c r="J2532" s="1">
        <v>44756</v>
      </c>
      <c r="K2532" t="b">
        <v>0</v>
      </c>
    </row>
    <row r="2533" spans="1:11" x14ac:dyDescent="0.25">
      <c r="A2533" t="s">
        <v>2648</v>
      </c>
      <c r="B2533" t="s">
        <v>86</v>
      </c>
      <c r="C2533" t="s">
        <v>110</v>
      </c>
      <c r="D2533" t="s">
        <v>282</v>
      </c>
      <c r="E2533" s="2">
        <v>32</v>
      </c>
      <c r="F2533" s="4">
        <v>5</v>
      </c>
      <c r="G2533" s="2">
        <v>160</v>
      </c>
      <c r="H2533" t="s">
        <v>15</v>
      </c>
      <c r="I2533" t="s">
        <v>16</v>
      </c>
      <c r="J2533" s="1">
        <v>45586</v>
      </c>
      <c r="K2533" t="b">
        <v>0</v>
      </c>
    </row>
    <row r="2534" spans="1:11" x14ac:dyDescent="0.25">
      <c r="A2534" t="s">
        <v>1776</v>
      </c>
      <c r="B2534" t="s">
        <v>56</v>
      </c>
      <c r="C2534" t="s">
        <v>27</v>
      </c>
      <c r="D2534" t="s">
        <v>95</v>
      </c>
      <c r="E2534" s="2">
        <v>20</v>
      </c>
      <c r="F2534" s="4">
        <v>8</v>
      </c>
      <c r="G2534" s="2">
        <v>160</v>
      </c>
      <c r="H2534" t="s">
        <v>25</v>
      </c>
      <c r="I2534" t="s">
        <v>16</v>
      </c>
      <c r="J2534" s="1">
        <v>44756</v>
      </c>
      <c r="K2534" t="b">
        <v>1</v>
      </c>
    </row>
    <row r="2535" spans="1:11" x14ac:dyDescent="0.25">
      <c r="A2535" t="s">
        <v>5472</v>
      </c>
      <c r="B2535" t="s">
        <v>93</v>
      </c>
      <c r="C2535" t="s">
        <v>38</v>
      </c>
      <c r="D2535" t="s">
        <v>159</v>
      </c>
      <c r="E2535" s="2">
        <v>20</v>
      </c>
      <c r="F2535" s="4">
        <v>8</v>
      </c>
      <c r="G2535" s="2">
        <v>160</v>
      </c>
      <c r="H2535" t="s">
        <v>15</v>
      </c>
      <c r="I2535" t="s">
        <v>36</v>
      </c>
      <c r="J2535" s="1">
        <v>44615</v>
      </c>
      <c r="K2535" t="b">
        <v>1</v>
      </c>
    </row>
    <row r="2536" spans="1:11" x14ac:dyDescent="0.25">
      <c r="A2536" t="s">
        <v>7622</v>
      </c>
      <c r="B2536" t="s">
        <v>93</v>
      </c>
      <c r="C2536" t="s">
        <v>13</v>
      </c>
      <c r="D2536" t="s">
        <v>426</v>
      </c>
      <c r="E2536" s="2">
        <v>32</v>
      </c>
      <c r="F2536" s="4">
        <v>5</v>
      </c>
      <c r="G2536" s="2">
        <v>160</v>
      </c>
      <c r="H2536" t="s">
        <v>25</v>
      </c>
      <c r="I2536" t="s">
        <v>16</v>
      </c>
      <c r="J2536" s="1">
        <v>44899</v>
      </c>
      <c r="K2536" t="b">
        <v>1</v>
      </c>
    </row>
    <row r="2537" spans="1:11" x14ac:dyDescent="0.25">
      <c r="A2537" t="s">
        <v>5289</v>
      </c>
      <c r="B2537" t="s">
        <v>100</v>
      </c>
      <c r="C2537" t="s">
        <v>38</v>
      </c>
      <c r="D2537" t="s">
        <v>165</v>
      </c>
      <c r="E2537" s="2">
        <v>39.5</v>
      </c>
      <c r="F2537" s="4">
        <v>4</v>
      </c>
      <c r="G2537" s="2">
        <v>158</v>
      </c>
      <c r="H2537" t="s">
        <v>25</v>
      </c>
      <c r="I2537" t="s">
        <v>36</v>
      </c>
      <c r="J2537" s="1">
        <v>45024</v>
      </c>
      <c r="K2537" t="b">
        <v>1</v>
      </c>
    </row>
    <row r="2538" spans="1:11" x14ac:dyDescent="0.25">
      <c r="A2538" t="s">
        <v>2695</v>
      </c>
      <c r="B2538" t="s">
        <v>93</v>
      </c>
      <c r="C2538" t="s">
        <v>38</v>
      </c>
      <c r="D2538" t="s">
        <v>165</v>
      </c>
      <c r="E2538" s="2">
        <v>39.5</v>
      </c>
      <c r="F2538" s="4">
        <v>4</v>
      </c>
      <c r="G2538" s="2">
        <v>158</v>
      </c>
      <c r="H2538" t="s">
        <v>15</v>
      </c>
      <c r="I2538" t="s">
        <v>16</v>
      </c>
      <c r="J2538" s="1">
        <v>45532</v>
      </c>
      <c r="K2538" t="b">
        <v>1</v>
      </c>
    </row>
    <row r="2539" spans="1:11" x14ac:dyDescent="0.25">
      <c r="A2539" t="s">
        <v>3004</v>
      </c>
      <c r="B2539" t="s">
        <v>30</v>
      </c>
      <c r="C2539" t="s">
        <v>27</v>
      </c>
      <c r="D2539" t="s">
        <v>482</v>
      </c>
      <c r="E2539" s="2">
        <v>39.5</v>
      </c>
      <c r="F2539" s="4">
        <v>4</v>
      </c>
      <c r="G2539" s="2">
        <v>158</v>
      </c>
      <c r="H2539" t="s">
        <v>45</v>
      </c>
      <c r="I2539" t="s">
        <v>36</v>
      </c>
      <c r="J2539" s="1">
        <v>45501</v>
      </c>
      <c r="K2539" t="b">
        <v>0</v>
      </c>
    </row>
    <row r="2540" spans="1:11" x14ac:dyDescent="0.25">
      <c r="A2540" t="s">
        <v>4911</v>
      </c>
      <c r="B2540" t="s">
        <v>142</v>
      </c>
      <c r="C2540" t="s">
        <v>19</v>
      </c>
      <c r="D2540" t="s">
        <v>220</v>
      </c>
      <c r="E2540" s="2">
        <v>39.5</v>
      </c>
      <c r="F2540" s="4">
        <v>4</v>
      </c>
      <c r="G2540" s="2">
        <v>158</v>
      </c>
      <c r="H2540" t="s">
        <v>25</v>
      </c>
      <c r="I2540" t="s">
        <v>16</v>
      </c>
      <c r="J2540" s="1">
        <v>44586</v>
      </c>
      <c r="K2540" t="b">
        <v>0</v>
      </c>
    </row>
    <row r="2541" spans="1:11" x14ac:dyDescent="0.25">
      <c r="A2541" t="s">
        <v>4199</v>
      </c>
      <c r="B2541" t="s">
        <v>26</v>
      </c>
      <c r="C2541" t="s">
        <v>38</v>
      </c>
      <c r="D2541" t="s">
        <v>165</v>
      </c>
      <c r="E2541" s="2">
        <v>39.5</v>
      </c>
      <c r="F2541" s="4">
        <v>4</v>
      </c>
      <c r="G2541" s="2">
        <v>158</v>
      </c>
      <c r="H2541" t="s">
        <v>25</v>
      </c>
      <c r="I2541" t="s">
        <v>36</v>
      </c>
      <c r="J2541" s="1">
        <v>44967</v>
      </c>
      <c r="K2541" t="b">
        <v>0</v>
      </c>
    </row>
    <row r="2542" spans="1:11" x14ac:dyDescent="0.25">
      <c r="A2542" t="s">
        <v>7806</v>
      </c>
      <c r="B2542" t="s">
        <v>34</v>
      </c>
      <c r="C2542" t="s">
        <v>38</v>
      </c>
      <c r="D2542" t="s">
        <v>165</v>
      </c>
      <c r="E2542" s="2">
        <v>39.5</v>
      </c>
      <c r="F2542" s="4">
        <v>4</v>
      </c>
      <c r="G2542" s="2">
        <v>158</v>
      </c>
      <c r="H2542" t="s">
        <v>15</v>
      </c>
      <c r="I2542" t="s">
        <v>16</v>
      </c>
      <c r="J2542" s="1">
        <v>44584</v>
      </c>
      <c r="K2542" t="b">
        <v>1</v>
      </c>
    </row>
    <row r="2543" spans="1:11" x14ac:dyDescent="0.25">
      <c r="A2543" t="s">
        <v>4754</v>
      </c>
      <c r="B2543" t="s">
        <v>97</v>
      </c>
      <c r="C2543" t="s">
        <v>38</v>
      </c>
      <c r="D2543" t="s">
        <v>165</v>
      </c>
      <c r="E2543" s="2">
        <v>39.5</v>
      </c>
      <c r="F2543" s="4">
        <v>4</v>
      </c>
      <c r="G2543" s="2">
        <v>158</v>
      </c>
      <c r="H2543" t="s">
        <v>15</v>
      </c>
      <c r="I2543" t="s">
        <v>16</v>
      </c>
      <c r="J2543" s="1">
        <v>44623</v>
      </c>
      <c r="K2543" t="b">
        <v>1</v>
      </c>
    </row>
    <row r="2544" spans="1:11" x14ac:dyDescent="0.25">
      <c r="A2544" t="s">
        <v>1615</v>
      </c>
      <c r="B2544" t="s">
        <v>40</v>
      </c>
      <c r="C2544" t="s">
        <v>38</v>
      </c>
      <c r="D2544" t="s">
        <v>165</v>
      </c>
      <c r="E2544" s="2">
        <v>39.5</v>
      </c>
      <c r="F2544" s="4">
        <v>4</v>
      </c>
      <c r="G2544" s="2">
        <v>158</v>
      </c>
      <c r="H2544" t="s">
        <v>15</v>
      </c>
      <c r="I2544" t="s">
        <v>16</v>
      </c>
      <c r="J2544" s="1">
        <v>45621</v>
      </c>
      <c r="K2544" t="b">
        <v>0</v>
      </c>
    </row>
    <row r="2545" spans="1:11" x14ac:dyDescent="0.25">
      <c r="A2545" t="s">
        <v>1740</v>
      </c>
      <c r="B2545" t="s">
        <v>58</v>
      </c>
      <c r="C2545" t="s">
        <v>31</v>
      </c>
      <c r="D2545" t="s">
        <v>212</v>
      </c>
      <c r="E2545" s="2">
        <v>39.5</v>
      </c>
      <c r="F2545" s="4">
        <v>4</v>
      </c>
      <c r="G2545" s="2">
        <v>158</v>
      </c>
      <c r="H2545" t="s">
        <v>15</v>
      </c>
      <c r="I2545" t="s">
        <v>16</v>
      </c>
      <c r="J2545" s="1">
        <v>45254</v>
      </c>
      <c r="K2545" t="b">
        <v>0</v>
      </c>
    </row>
    <row r="2546" spans="1:11" x14ac:dyDescent="0.25">
      <c r="A2546" t="s">
        <v>1275</v>
      </c>
      <c r="B2546" t="s">
        <v>97</v>
      </c>
      <c r="C2546" t="s">
        <v>23</v>
      </c>
      <c r="D2546" t="s">
        <v>103</v>
      </c>
      <c r="E2546" s="2">
        <v>39.5</v>
      </c>
      <c r="F2546" s="4">
        <v>4</v>
      </c>
      <c r="G2546" s="2">
        <v>158</v>
      </c>
      <c r="H2546" t="s">
        <v>15</v>
      </c>
      <c r="I2546" t="s">
        <v>36</v>
      </c>
      <c r="J2546" s="1">
        <v>45501</v>
      </c>
      <c r="K2546" t="b">
        <v>1</v>
      </c>
    </row>
    <row r="2547" spans="1:11" x14ac:dyDescent="0.25">
      <c r="A2547" t="s">
        <v>1005</v>
      </c>
      <c r="B2547" t="s">
        <v>63</v>
      </c>
      <c r="C2547" t="s">
        <v>38</v>
      </c>
      <c r="D2547" t="s">
        <v>165</v>
      </c>
      <c r="E2547" s="2">
        <v>39.5</v>
      </c>
      <c r="F2547" s="4">
        <v>4</v>
      </c>
      <c r="G2547" s="2">
        <v>158</v>
      </c>
      <c r="H2547" t="s">
        <v>15</v>
      </c>
      <c r="I2547" t="s">
        <v>36</v>
      </c>
      <c r="J2547" s="1">
        <v>44667</v>
      </c>
      <c r="K2547" t="b">
        <v>0</v>
      </c>
    </row>
    <row r="2548" spans="1:11" x14ac:dyDescent="0.25">
      <c r="A2548" t="s">
        <v>4985</v>
      </c>
      <c r="B2548" t="s">
        <v>72</v>
      </c>
      <c r="C2548" t="s">
        <v>38</v>
      </c>
      <c r="D2548" t="s">
        <v>165</v>
      </c>
      <c r="E2548" s="2">
        <v>39.5</v>
      </c>
      <c r="F2548" s="4">
        <v>4</v>
      </c>
      <c r="G2548" s="2">
        <v>158</v>
      </c>
      <c r="H2548" t="s">
        <v>25</v>
      </c>
      <c r="I2548" t="s">
        <v>16</v>
      </c>
      <c r="J2548" s="1">
        <v>44908</v>
      </c>
      <c r="K2548" t="b">
        <v>0</v>
      </c>
    </row>
    <row r="2549" spans="1:11" x14ac:dyDescent="0.25">
      <c r="A2549" t="s">
        <v>354</v>
      </c>
      <c r="B2549" t="s">
        <v>142</v>
      </c>
      <c r="C2549" t="s">
        <v>19</v>
      </c>
      <c r="D2549" t="s">
        <v>220</v>
      </c>
      <c r="E2549" s="2">
        <v>39.5</v>
      </c>
      <c r="F2549" s="4">
        <v>4</v>
      </c>
      <c r="G2549" s="2">
        <v>158</v>
      </c>
      <c r="H2549" t="s">
        <v>25</v>
      </c>
      <c r="I2549" t="s">
        <v>16</v>
      </c>
      <c r="J2549" s="1">
        <v>45128</v>
      </c>
      <c r="K2549" t="b">
        <v>0</v>
      </c>
    </row>
    <row r="2550" spans="1:11" x14ac:dyDescent="0.25">
      <c r="A2550" t="s">
        <v>1379</v>
      </c>
      <c r="B2550" t="s">
        <v>40</v>
      </c>
      <c r="C2550" t="s">
        <v>13</v>
      </c>
      <c r="D2550" t="s">
        <v>52</v>
      </c>
      <c r="E2550" s="2">
        <v>39.5</v>
      </c>
      <c r="F2550" s="4">
        <v>4</v>
      </c>
      <c r="G2550" s="2">
        <v>158</v>
      </c>
      <c r="H2550" t="s">
        <v>25</v>
      </c>
      <c r="I2550" t="s">
        <v>16</v>
      </c>
      <c r="J2550" s="1">
        <v>45512</v>
      </c>
      <c r="K2550" t="b">
        <v>1</v>
      </c>
    </row>
    <row r="2551" spans="1:11" x14ac:dyDescent="0.25">
      <c r="A2551" t="s">
        <v>215</v>
      </c>
      <c r="B2551" t="s">
        <v>86</v>
      </c>
      <c r="C2551" t="s">
        <v>38</v>
      </c>
      <c r="D2551" t="s">
        <v>165</v>
      </c>
      <c r="E2551" s="2">
        <v>39.5</v>
      </c>
      <c r="F2551" s="4">
        <v>4</v>
      </c>
      <c r="G2551" s="2">
        <v>158</v>
      </c>
      <c r="H2551" t="s">
        <v>15</v>
      </c>
      <c r="I2551" t="s">
        <v>36</v>
      </c>
      <c r="J2551" s="1">
        <v>44665</v>
      </c>
      <c r="K2551" t="b">
        <v>1</v>
      </c>
    </row>
    <row r="2552" spans="1:11" x14ac:dyDescent="0.25">
      <c r="A2552" t="s">
        <v>5580</v>
      </c>
      <c r="B2552" t="s">
        <v>61</v>
      </c>
      <c r="C2552" t="s">
        <v>110</v>
      </c>
      <c r="D2552" t="s">
        <v>130</v>
      </c>
      <c r="E2552" s="2">
        <v>39.5</v>
      </c>
      <c r="F2552" s="4">
        <v>4</v>
      </c>
      <c r="G2552" s="2">
        <v>158</v>
      </c>
      <c r="H2552" t="s">
        <v>15</v>
      </c>
      <c r="I2552" t="s">
        <v>16</v>
      </c>
      <c r="J2552" s="1">
        <v>45049</v>
      </c>
      <c r="K2552" t="b">
        <v>0</v>
      </c>
    </row>
    <row r="2553" spans="1:11" x14ac:dyDescent="0.25">
      <c r="A2553" t="s">
        <v>618</v>
      </c>
      <c r="B2553" t="s">
        <v>85</v>
      </c>
      <c r="C2553" t="s">
        <v>27</v>
      </c>
      <c r="D2553" t="s">
        <v>482</v>
      </c>
      <c r="E2553" s="2">
        <v>39.5</v>
      </c>
      <c r="F2553" s="4">
        <v>4</v>
      </c>
      <c r="G2553" s="2">
        <v>158</v>
      </c>
      <c r="H2553" t="s">
        <v>45</v>
      </c>
      <c r="I2553" t="s">
        <v>36</v>
      </c>
      <c r="J2553" s="1">
        <v>45634</v>
      </c>
      <c r="K2553" t="b">
        <v>1</v>
      </c>
    </row>
    <row r="2554" spans="1:11" x14ac:dyDescent="0.25">
      <c r="A2554" t="s">
        <v>1586</v>
      </c>
      <c r="B2554" t="s">
        <v>86</v>
      </c>
      <c r="C2554" t="s">
        <v>23</v>
      </c>
      <c r="D2554" t="s">
        <v>103</v>
      </c>
      <c r="E2554" s="2">
        <v>39.5</v>
      </c>
      <c r="F2554" s="4">
        <v>4</v>
      </c>
      <c r="G2554" s="2">
        <v>158</v>
      </c>
      <c r="H2554" t="s">
        <v>45</v>
      </c>
      <c r="I2554" t="s">
        <v>16</v>
      </c>
      <c r="J2554" s="1">
        <v>45237</v>
      </c>
      <c r="K2554" t="b">
        <v>1</v>
      </c>
    </row>
    <row r="2555" spans="1:11" x14ac:dyDescent="0.25">
      <c r="A2555" t="s">
        <v>3265</v>
      </c>
      <c r="B2555" t="s">
        <v>51</v>
      </c>
      <c r="C2555" t="s">
        <v>38</v>
      </c>
      <c r="D2555" t="s">
        <v>165</v>
      </c>
      <c r="E2555" s="2">
        <v>39.5</v>
      </c>
      <c r="F2555" s="4">
        <v>4</v>
      </c>
      <c r="G2555" s="2">
        <v>158</v>
      </c>
      <c r="H2555" t="s">
        <v>45</v>
      </c>
      <c r="I2555" t="s">
        <v>16</v>
      </c>
      <c r="J2555" s="1">
        <v>45544</v>
      </c>
      <c r="K2555" t="b">
        <v>1</v>
      </c>
    </row>
    <row r="2556" spans="1:11" x14ac:dyDescent="0.25">
      <c r="A2556" t="s">
        <v>3526</v>
      </c>
      <c r="B2556" t="s">
        <v>51</v>
      </c>
      <c r="C2556" t="s">
        <v>23</v>
      </c>
      <c r="D2556" t="s">
        <v>853</v>
      </c>
      <c r="E2556" s="2">
        <v>26</v>
      </c>
      <c r="F2556" s="4">
        <v>6</v>
      </c>
      <c r="G2556" s="2">
        <v>156</v>
      </c>
      <c r="H2556" t="s">
        <v>45</v>
      </c>
      <c r="I2556" t="s">
        <v>36</v>
      </c>
      <c r="J2556" s="1">
        <v>44773</v>
      </c>
      <c r="K2556" t="b">
        <v>1</v>
      </c>
    </row>
    <row r="2557" spans="1:11" x14ac:dyDescent="0.25">
      <c r="A2557" t="s">
        <v>1089</v>
      </c>
      <c r="B2557" t="s">
        <v>142</v>
      </c>
      <c r="C2557" t="s">
        <v>110</v>
      </c>
      <c r="D2557" t="s">
        <v>126</v>
      </c>
      <c r="E2557" s="2">
        <v>26</v>
      </c>
      <c r="F2557" s="4">
        <v>6</v>
      </c>
      <c r="G2557" s="2">
        <v>156</v>
      </c>
      <c r="H2557" t="s">
        <v>15</v>
      </c>
      <c r="I2557" t="s">
        <v>16</v>
      </c>
      <c r="J2557" s="1">
        <v>44591</v>
      </c>
      <c r="K2557" t="b">
        <v>1</v>
      </c>
    </row>
    <row r="2558" spans="1:11" x14ac:dyDescent="0.25">
      <c r="A2558" t="s">
        <v>3126</v>
      </c>
      <c r="B2558" t="s">
        <v>77</v>
      </c>
      <c r="C2558" t="s">
        <v>13</v>
      </c>
      <c r="D2558" t="s">
        <v>343</v>
      </c>
      <c r="E2558" s="2">
        <v>26</v>
      </c>
      <c r="F2558" s="4">
        <v>6</v>
      </c>
      <c r="G2558" s="2">
        <v>156</v>
      </c>
      <c r="H2558" t="s">
        <v>25</v>
      </c>
      <c r="I2558" t="s">
        <v>16</v>
      </c>
      <c r="J2558" s="1">
        <v>44642</v>
      </c>
      <c r="K2558" t="b">
        <v>0</v>
      </c>
    </row>
    <row r="2559" spans="1:11" x14ac:dyDescent="0.25">
      <c r="A2559" t="s">
        <v>2942</v>
      </c>
      <c r="B2559" t="s">
        <v>37</v>
      </c>
      <c r="C2559" t="s">
        <v>23</v>
      </c>
      <c r="D2559" t="s">
        <v>853</v>
      </c>
      <c r="E2559" s="2">
        <v>26</v>
      </c>
      <c r="F2559" s="4">
        <v>6</v>
      </c>
      <c r="G2559" s="2">
        <v>156</v>
      </c>
      <c r="H2559" t="s">
        <v>25</v>
      </c>
      <c r="I2559" t="s">
        <v>36</v>
      </c>
      <c r="J2559" s="1">
        <v>44872</v>
      </c>
      <c r="K2559" t="b">
        <v>1</v>
      </c>
    </row>
    <row r="2560" spans="1:11" x14ac:dyDescent="0.25">
      <c r="A2560" t="s">
        <v>637</v>
      </c>
      <c r="B2560" t="s">
        <v>66</v>
      </c>
      <c r="C2560" t="s">
        <v>38</v>
      </c>
      <c r="D2560" t="s">
        <v>341</v>
      </c>
      <c r="E2560" s="2">
        <v>26</v>
      </c>
      <c r="F2560" s="4">
        <v>6</v>
      </c>
      <c r="G2560" s="2">
        <v>156</v>
      </c>
      <c r="H2560" t="s">
        <v>45</v>
      </c>
      <c r="I2560" t="s">
        <v>36</v>
      </c>
      <c r="J2560" s="1">
        <v>44940</v>
      </c>
      <c r="K2560" t="b">
        <v>0</v>
      </c>
    </row>
    <row r="2561" spans="1:11" x14ac:dyDescent="0.25">
      <c r="A2561" t="s">
        <v>4735</v>
      </c>
      <c r="B2561" t="s">
        <v>104</v>
      </c>
      <c r="C2561" t="s">
        <v>19</v>
      </c>
      <c r="D2561" t="s">
        <v>268</v>
      </c>
      <c r="E2561" s="2">
        <v>26</v>
      </c>
      <c r="F2561" s="4">
        <v>6</v>
      </c>
      <c r="G2561" s="2">
        <v>156</v>
      </c>
      <c r="H2561" t="s">
        <v>45</v>
      </c>
      <c r="I2561" t="s">
        <v>36</v>
      </c>
      <c r="J2561" s="1">
        <v>44566</v>
      </c>
      <c r="K2561" t="b">
        <v>1</v>
      </c>
    </row>
    <row r="2562" spans="1:11" x14ac:dyDescent="0.25">
      <c r="A2562" t="s">
        <v>2008</v>
      </c>
      <c r="B2562" t="s">
        <v>51</v>
      </c>
      <c r="C2562" t="s">
        <v>27</v>
      </c>
      <c r="D2562" t="s">
        <v>620</v>
      </c>
      <c r="E2562" s="2">
        <v>26</v>
      </c>
      <c r="F2562" s="4">
        <v>6</v>
      </c>
      <c r="G2562" s="2">
        <v>156</v>
      </c>
      <c r="H2562" t="s">
        <v>45</v>
      </c>
      <c r="I2562" t="s">
        <v>36</v>
      </c>
      <c r="J2562" s="1">
        <v>45218</v>
      </c>
      <c r="K2562" t="b">
        <v>1</v>
      </c>
    </row>
    <row r="2563" spans="1:11" x14ac:dyDescent="0.25">
      <c r="A2563" t="s">
        <v>7217</v>
      </c>
      <c r="B2563" t="s">
        <v>66</v>
      </c>
      <c r="C2563" t="s">
        <v>23</v>
      </c>
      <c r="D2563" t="s">
        <v>853</v>
      </c>
      <c r="E2563" s="2">
        <v>26</v>
      </c>
      <c r="F2563" s="4">
        <v>6</v>
      </c>
      <c r="G2563" s="2">
        <v>156</v>
      </c>
      <c r="H2563" t="s">
        <v>15</v>
      </c>
      <c r="I2563" t="s">
        <v>16</v>
      </c>
      <c r="J2563" s="1">
        <v>45455</v>
      </c>
      <c r="K2563" t="b">
        <v>0</v>
      </c>
    </row>
    <row r="2564" spans="1:11" x14ac:dyDescent="0.25">
      <c r="A2564" t="s">
        <v>921</v>
      </c>
      <c r="B2564" t="s">
        <v>69</v>
      </c>
      <c r="C2564" t="s">
        <v>59</v>
      </c>
      <c r="D2564" t="s">
        <v>463</v>
      </c>
      <c r="E2564" s="2">
        <v>26</v>
      </c>
      <c r="F2564" s="4">
        <v>6</v>
      </c>
      <c r="G2564" s="2">
        <v>156</v>
      </c>
      <c r="H2564" t="s">
        <v>45</v>
      </c>
      <c r="I2564" t="s">
        <v>16</v>
      </c>
      <c r="J2564" s="1">
        <v>45490</v>
      </c>
      <c r="K2564" t="b">
        <v>0</v>
      </c>
    </row>
    <row r="2565" spans="1:11" x14ac:dyDescent="0.25">
      <c r="A2565" t="s">
        <v>1170</v>
      </c>
      <c r="B2565" t="s">
        <v>37</v>
      </c>
      <c r="C2565" t="s">
        <v>23</v>
      </c>
      <c r="D2565" t="s">
        <v>853</v>
      </c>
      <c r="E2565" s="2">
        <v>26</v>
      </c>
      <c r="F2565" s="4">
        <v>6</v>
      </c>
      <c r="G2565" s="2">
        <v>156</v>
      </c>
      <c r="H2565" t="s">
        <v>25</v>
      </c>
      <c r="I2565" t="s">
        <v>16</v>
      </c>
      <c r="J2565" s="1">
        <v>44774</v>
      </c>
      <c r="K2565" t="b">
        <v>1</v>
      </c>
    </row>
    <row r="2566" spans="1:11" x14ac:dyDescent="0.25">
      <c r="A2566" t="s">
        <v>926</v>
      </c>
      <c r="B2566" t="s">
        <v>56</v>
      </c>
      <c r="C2566" t="s">
        <v>110</v>
      </c>
      <c r="D2566" t="s">
        <v>126</v>
      </c>
      <c r="E2566" s="2">
        <v>26</v>
      </c>
      <c r="F2566" s="4">
        <v>6</v>
      </c>
      <c r="G2566" s="2">
        <v>156</v>
      </c>
      <c r="H2566" t="s">
        <v>45</v>
      </c>
      <c r="I2566" t="s">
        <v>16</v>
      </c>
      <c r="J2566" s="1">
        <v>45507</v>
      </c>
      <c r="K2566" t="b">
        <v>0</v>
      </c>
    </row>
    <row r="2567" spans="1:11" x14ac:dyDescent="0.25">
      <c r="A2567" t="s">
        <v>7440</v>
      </c>
      <c r="B2567" t="s">
        <v>61</v>
      </c>
      <c r="C2567" t="s">
        <v>38</v>
      </c>
      <c r="D2567" t="s">
        <v>341</v>
      </c>
      <c r="E2567" s="2">
        <v>26</v>
      </c>
      <c r="F2567" s="4">
        <v>6</v>
      </c>
      <c r="G2567" s="2">
        <v>156</v>
      </c>
      <c r="H2567" t="s">
        <v>15</v>
      </c>
      <c r="I2567" t="s">
        <v>36</v>
      </c>
      <c r="J2567" s="1">
        <v>45618</v>
      </c>
      <c r="K2567" t="b">
        <v>0</v>
      </c>
    </row>
    <row r="2568" spans="1:11" x14ac:dyDescent="0.25">
      <c r="A2568" t="s">
        <v>7635</v>
      </c>
      <c r="B2568" t="s">
        <v>66</v>
      </c>
      <c r="C2568" t="s">
        <v>27</v>
      </c>
      <c r="D2568" t="s">
        <v>620</v>
      </c>
      <c r="E2568" s="2">
        <v>26</v>
      </c>
      <c r="F2568" s="4">
        <v>6</v>
      </c>
      <c r="G2568" s="2">
        <v>156</v>
      </c>
      <c r="H2568" t="s">
        <v>25</v>
      </c>
      <c r="I2568" t="s">
        <v>16</v>
      </c>
      <c r="J2568" s="1">
        <v>45565</v>
      </c>
      <c r="K2568" t="b">
        <v>0</v>
      </c>
    </row>
    <row r="2569" spans="1:11" x14ac:dyDescent="0.25">
      <c r="A2569" t="s">
        <v>7158</v>
      </c>
      <c r="B2569" t="s">
        <v>104</v>
      </c>
      <c r="C2569" t="s">
        <v>27</v>
      </c>
      <c r="D2569" t="s">
        <v>620</v>
      </c>
      <c r="E2569" s="2">
        <v>26</v>
      </c>
      <c r="F2569" s="4">
        <v>6</v>
      </c>
      <c r="G2569" s="2">
        <v>156</v>
      </c>
      <c r="H2569" t="s">
        <v>45</v>
      </c>
      <c r="I2569" t="s">
        <v>36</v>
      </c>
      <c r="J2569" s="1">
        <v>44670</v>
      </c>
      <c r="K2569" t="b">
        <v>0</v>
      </c>
    </row>
    <row r="2570" spans="1:11" x14ac:dyDescent="0.25">
      <c r="A2570" t="s">
        <v>1114</v>
      </c>
      <c r="B2570" t="s">
        <v>26</v>
      </c>
      <c r="C2570" t="s">
        <v>38</v>
      </c>
      <c r="D2570" t="s">
        <v>341</v>
      </c>
      <c r="E2570" s="2">
        <v>26</v>
      </c>
      <c r="F2570" s="4">
        <v>6</v>
      </c>
      <c r="G2570" s="2">
        <v>156</v>
      </c>
      <c r="H2570" t="s">
        <v>15</v>
      </c>
      <c r="I2570" t="s">
        <v>36</v>
      </c>
      <c r="J2570" s="1">
        <v>44577</v>
      </c>
      <c r="K2570" t="b">
        <v>0</v>
      </c>
    </row>
    <row r="2571" spans="1:11" x14ac:dyDescent="0.25">
      <c r="A2571" t="s">
        <v>5310</v>
      </c>
      <c r="B2571" t="s">
        <v>100</v>
      </c>
      <c r="C2571" t="s">
        <v>110</v>
      </c>
      <c r="D2571" t="s">
        <v>126</v>
      </c>
      <c r="E2571" s="2">
        <v>26</v>
      </c>
      <c r="F2571" s="4">
        <v>6</v>
      </c>
      <c r="G2571" s="2">
        <v>156</v>
      </c>
      <c r="H2571" t="s">
        <v>25</v>
      </c>
      <c r="I2571" t="s">
        <v>36</v>
      </c>
      <c r="J2571" s="1">
        <v>45087</v>
      </c>
      <c r="K2571" t="b">
        <v>0</v>
      </c>
    </row>
    <row r="2572" spans="1:11" x14ac:dyDescent="0.25">
      <c r="A2572" t="s">
        <v>7271</v>
      </c>
      <c r="B2572" t="s">
        <v>58</v>
      </c>
      <c r="C2572" t="s">
        <v>23</v>
      </c>
      <c r="D2572" t="s">
        <v>853</v>
      </c>
      <c r="E2572" s="2">
        <v>26</v>
      </c>
      <c r="F2572" s="4">
        <v>6</v>
      </c>
      <c r="G2572" s="2">
        <v>156</v>
      </c>
      <c r="H2572" t="s">
        <v>15</v>
      </c>
      <c r="I2572" t="s">
        <v>16</v>
      </c>
      <c r="J2572" s="1">
        <v>44831</v>
      </c>
      <c r="K2572" t="b">
        <v>1</v>
      </c>
    </row>
    <row r="2573" spans="1:11" x14ac:dyDescent="0.25">
      <c r="A2573" t="s">
        <v>5066</v>
      </c>
      <c r="B2573" t="s">
        <v>34</v>
      </c>
      <c r="C2573" t="s">
        <v>27</v>
      </c>
      <c r="D2573" t="s">
        <v>620</v>
      </c>
      <c r="E2573" s="2">
        <v>26</v>
      </c>
      <c r="F2573" s="4">
        <v>6</v>
      </c>
      <c r="G2573" s="2">
        <v>156</v>
      </c>
      <c r="H2573" t="s">
        <v>45</v>
      </c>
      <c r="I2573" t="s">
        <v>36</v>
      </c>
      <c r="J2573" s="1">
        <v>44763</v>
      </c>
      <c r="K2573" t="b">
        <v>1</v>
      </c>
    </row>
    <row r="2574" spans="1:11" x14ac:dyDescent="0.25">
      <c r="A2574" t="s">
        <v>4213</v>
      </c>
      <c r="B2574" t="s">
        <v>93</v>
      </c>
      <c r="C2574" t="s">
        <v>59</v>
      </c>
      <c r="D2574" t="s">
        <v>463</v>
      </c>
      <c r="E2574" s="2">
        <v>26</v>
      </c>
      <c r="F2574" s="4">
        <v>6</v>
      </c>
      <c r="G2574" s="2">
        <v>156</v>
      </c>
      <c r="H2574" t="s">
        <v>15</v>
      </c>
      <c r="I2574" t="s">
        <v>36</v>
      </c>
      <c r="J2574" s="1">
        <v>45517</v>
      </c>
      <c r="K2574" t="b">
        <v>1</v>
      </c>
    </row>
    <row r="2575" spans="1:11" x14ac:dyDescent="0.25">
      <c r="A2575" t="s">
        <v>694</v>
      </c>
      <c r="B2575" t="s">
        <v>37</v>
      </c>
      <c r="C2575" t="s">
        <v>59</v>
      </c>
      <c r="D2575" t="s">
        <v>463</v>
      </c>
      <c r="E2575" s="2">
        <v>26</v>
      </c>
      <c r="F2575" s="4">
        <v>6</v>
      </c>
      <c r="G2575" s="2">
        <v>156</v>
      </c>
      <c r="H2575" t="s">
        <v>15</v>
      </c>
      <c r="I2575" t="s">
        <v>16</v>
      </c>
      <c r="J2575" s="1">
        <v>45347</v>
      </c>
      <c r="K2575" t="b">
        <v>0</v>
      </c>
    </row>
    <row r="2576" spans="1:11" x14ac:dyDescent="0.25">
      <c r="A2576" t="s">
        <v>3608</v>
      </c>
      <c r="B2576" t="s">
        <v>63</v>
      </c>
      <c r="C2576" t="s">
        <v>38</v>
      </c>
      <c r="D2576" t="s">
        <v>341</v>
      </c>
      <c r="E2576" s="2">
        <v>26</v>
      </c>
      <c r="F2576" s="4">
        <v>6</v>
      </c>
      <c r="G2576" s="2">
        <v>156</v>
      </c>
      <c r="H2576" t="s">
        <v>25</v>
      </c>
      <c r="I2576" t="s">
        <v>16</v>
      </c>
      <c r="J2576" s="1">
        <v>44996</v>
      </c>
      <c r="K2576" t="b">
        <v>1</v>
      </c>
    </row>
    <row r="2577" spans="1:11" x14ac:dyDescent="0.25">
      <c r="A2577" t="s">
        <v>2820</v>
      </c>
      <c r="B2577" t="s">
        <v>77</v>
      </c>
      <c r="C2577" t="s">
        <v>110</v>
      </c>
      <c r="D2577" t="s">
        <v>126</v>
      </c>
      <c r="E2577" s="2">
        <v>26</v>
      </c>
      <c r="F2577" s="4">
        <v>6</v>
      </c>
      <c r="G2577" s="2">
        <v>156</v>
      </c>
      <c r="H2577" t="s">
        <v>45</v>
      </c>
      <c r="I2577" t="s">
        <v>16</v>
      </c>
      <c r="J2577" s="1">
        <v>45085</v>
      </c>
      <c r="K2577" t="b">
        <v>0</v>
      </c>
    </row>
    <row r="2578" spans="1:11" x14ac:dyDescent="0.25">
      <c r="A2578" t="s">
        <v>2081</v>
      </c>
      <c r="B2578" t="s">
        <v>86</v>
      </c>
      <c r="C2578" t="s">
        <v>38</v>
      </c>
      <c r="D2578" t="s">
        <v>341</v>
      </c>
      <c r="E2578" s="2">
        <v>26</v>
      </c>
      <c r="F2578" s="4">
        <v>6</v>
      </c>
      <c r="G2578" s="2">
        <v>156</v>
      </c>
      <c r="H2578" t="s">
        <v>15</v>
      </c>
      <c r="I2578" t="s">
        <v>36</v>
      </c>
      <c r="J2578" s="1">
        <v>44868</v>
      </c>
      <c r="K2578" t="b">
        <v>1</v>
      </c>
    </row>
    <row r="2579" spans="1:11" x14ac:dyDescent="0.25">
      <c r="A2579" t="s">
        <v>5646</v>
      </c>
      <c r="B2579" t="s">
        <v>58</v>
      </c>
      <c r="C2579" t="s">
        <v>38</v>
      </c>
      <c r="D2579" t="s">
        <v>341</v>
      </c>
      <c r="E2579" s="2">
        <v>26</v>
      </c>
      <c r="F2579" s="4">
        <v>6</v>
      </c>
      <c r="G2579" s="2">
        <v>156</v>
      </c>
      <c r="H2579" t="s">
        <v>45</v>
      </c>
      <c r="I2579" t="s">
        <v>16</v>
      </c>
      <c r="J2579" s="1">
        <v>45405</v>
      </c>
      <c r="K2579" t="b">
        <v>1</v>
      </c>
    </row>
    <row r="2580" spans="1:11" x14ac:dyDescent="0.25">
      <c r="A2580" t="s">
        <v>5469</v>
      </c>
      <c r="B2580" t="s">
        <v>18</v>
      </c>
      <c r="C2580" t="s">
        <v>59</v>
      </c>
      <c r="D2580" t="s">
        <v>463</v>
      </c>
      <c r="E2580" s="2">
        <v>26</v>
      </c>
      <c r="F2580" s="4">
        <v>6</v>
      </c>
      <c r="G2580" s="2">
        <v>156</v>
      </c>
      <c r="H2580" t="s">
        <v>45</v>
      </c>
      <c r="I2580" t="s">
        <v>16</v>
      </c>
      <c r="J2580" s="1">
        <v>45276</v>
      </c>
      <c r="K2580" t="b">
        <v>1</v>
      </c>
    </row>
    <row r="2581" spans="1:11" x14ac:dyDescent="0.25">
      <c r="A2581" t="s">
        <v>5743</v>
      </c>
      <c r="B2581" t="s">
        <v>51</v>
      </c>
      <c r="C2581" t="s">
        <v>13</v>
      </c>
      <c r="D2581" t="s">
        <v>343</v>
      </c>
      <c r="E2581" s="2">
        <v>26</v>
      </c>
      <c r="F2581" s="4">
        <v>6</v>
      </c>
      <c r="G2581" s="2">
        <v>156</v>
      </c>
      <c r="H2581" t="s">
        <v>45</v>
      </c>
      <c r="I2581" t="s">
        <v>16</v>
      </c>
      <c r="J2581" s="1">
        <v>44666</v>
      </c>
      <c r="K2581" t="b">
        <v>1</v>
      </c>
    </row>
    <row r="2582" spans="1:11" x14ac:dyDescent="0.25">
      <c r="A2582" t="s">
        <v>2519</v>
      </c>
      <c r="B2582" t="s">
        <v>30</v>
      </c>
      <c r="C2582" t="s">
        <v>19</v>
      </c>
      <c r="D2582" t="s">
        <v>268</v>
      </c>
      <c r="E2582" s="2">
        <v>26</v>
      </c>
      <c r="F2582" s="4">
        <v>6</v>
      </c>
      <c r="G2582" s="2">
        <v>156</v>
      </c>
      <c r="H2582" t="s">
        <v>15</v>
      </c>
      <c r="I2582" t="s">
        <v>16</v>
      </c>
      <c r="J2582" s="1">
        <v>45426</v>
      </c>
      <c r="K2582" t="b">
        <v>1</v>
      </c>
    </row>
    <row r="2583" spans="1:11" x14ac:dyDescent="0.25">
      <c r="A2583" t="s">
        <v>6782</v>
      </c>
      <c r="B2583" t="s">
        <v>40</v>
      </c>
      <c r="C2583" t="s">
        <v>110</v>
      </c>
      <c r="D2583" t="s">
        <v>126</v>
      </c>
      <c r="E2583" s="2">
        <v>26</v>
      </c>
      <c r="F2583" s="4">
        <v>6</v>
      </c>
      <c r="G2583" s="2">
        <v>156</v>
      </c>
      <c r="H2583" t="s">
        <v>25</v>
      </c>
      <c r="I2583" t="s">
        <v>36</v>
      </c>
      <c r="J2583" s="1">
        <v>44957</v>
      </c>
      <c r="K2583" t="b">
        <v>0</v>
      </c>
    </row>
    <row r="2584" spans="1:11" x14ac:dyDescent="0.25">
      <c r="A2584" t="s">
        <v>6779</v>
      </c>
      <c r="B2584" t="s">
        <v>77</v>
      </c>
      <c r="C2584" t="s">
        <v>110</v>
      </c>
      <c r="D2584" t="s">
        <v>126</v>
      </c>
      <c r="E2584" s="2">
        <v>26</v>
      </c>
      <c r="F2584" s="4">
        <v>6</v>
      </c>
      <c r="G2584" s="2">
        <v>156</v>
      </c>
      <c r="H2584" t="s">
        <v>45</v>
      </c>
      <c r="I2584" t="s">
        <v>36</v>
      </c>
      <c r="J2584" s="1">
        <v>45005</v>
      </c>
      <c r="K2584" t="b">
        <v>0</v>
      </c>
    </row>
    <row r="2585" spans="1:11" x14ac:dyDescent="0.25">
      <c r="A2585" t="s">
        <v>6272</v>
      </c>
      <c r="B2585" t="s">
        <v>77</v>
      </c>
      <c r="C2585" t="s">
        <v>23</v>
      </c>
      <c r="D2585" t="s">
        <v>853</v>
      </c>
      <c r="E2585" s="2">
        <v>26</v>
      </c>
      <c r="F2585" s="4">
        <v>6</v>
      </c>
      <c r="G2585" s="2">
        <v>156</v>
      </c>
      <c r="H2585" t="s">
        <v>25</v>
      </c>
      <c r="I2585" t="s">
        <v>16</v>
      </c>
      <c r="J2585" s="1">
        <v>44722</v>
      </c>
      <c r="K2585" t="b">
        <v>1</v>
      </c>
    </row>
    <row r="2586" spans="1:11" x14ac:dyDescent="0.25">
      <c r="A2586" t="s">
        <v>2582</v>
      </c>
      <c r="B2586" t="s">
        <v>18</v>
      </c>
      <c r="C2586" t="s">
        <v>13</v>
      </c>
      <c r="D2586" t="s">
        <v>343</v>
      </c>
      <c r="E2586" s="2">
        <v>26</v>
      </c>
      <c r="F2586" s="4">
        <v>6</v>
      </c>
      <c r="G2586" s="2">
        <v>156</v>
      </c>
      <c r="H2586" t="s">
        <v>45</v>
      </c>
      <c r="I2586" t="s">
        <v>36</v>
      </c>
      <c r="J2586" s="1">
        <v>45324</v>
      </c>
      <c r="K2586" t="b">
        <v>1</v>
      </c>
    </row>
    <row r="2587" spans="1:11" x14ac:dyDescent="0.25">
      <c r="A2587" t="s">
        <v>6558</v>
      </c>
      <c r="B2587" t="s">
        <v>93</v>
      </c>
      <c r="C2587" t="s">
        <v>110</v>
      </c>
      <c r="D2587" t="s">
        <v>126</v>
      </c>
      <c r="E2587" s="2">
        <v>26</v>
      </c>
      <c r="F2587" s="4">
        <v>6</v>
      </c>
      <c r="G2587" s="2">
        <v>156</v>
      </c>
      <c r="H2587" t="s">
        <v>25</v>
      </c>
      <c r="I2587" t="s">
        <v>16</v>
      </c>
      <c r="J2587" s="1">
        <v>44738</v>
      </c>
      <c r="K2587" t="b">
        <v>0</v>
      </c>
    </row>
    <row r="2588" spans="1:11" x14ac:dyDescent="0.25">
      <c r="A2588" t="s">
        <v>5267</v>
      </c>
      <c r="B2588" t="s">
        <v>34</v>
      </c>
      <c r="C2588" t="s">
        <v>38</v>
      </c>
      <c r="D2588" t="s">
        <v>341</v>
      </c>
      <c r="E2588" s="2">
        <v>26</v>
      </c>
      <c r="F2588" s="4">
        <v>6</v>
      </c>
      <c r="G2588" s="2">
        <v>156</v>
      </c>
      <c r="H2588" t="s">
        <v>25</v>
      </c>
      <c r="I2588" t="s">
        <v>16</v>
      </c>
      <c r="J2588" s="1">
        <v>45558</v>
      </c>
      <c r="K2588" t="b">
        <v>0</v>
      </c>
    </row>
    <row r="2589" spans="1:11" x14ac:dyDescent="0.25">
      <c r="A2589" t="s">
        <v>6041</v>
      </c>
      <c r="B2589" t="s">
        <v>37</v>
      </c>
      <c r="C2589" t="s">
        <v>23</v>
      </c>
      <c r="D2589" t="s">
        <v>853</v>
      </c>
      <c r="E2589" s="2">
        <v>26</v>
      </c>
      <c r="F2589" s="4">
        <v>6</v>
      </c>
      <c r="G2589" s="2">
        <v>156</v>
      </c>
      <c r="H2589" t="s">
        <v>15</v>
      </c>
      <c r="I2589" t="s">
        <v>16</v>
      </c>
      <c r="J2589" s="1">
        <v>45474</v>
      </c>
      <c r="K2589" t="b">
        <v>1</v>
      </c>
    </row>
    <row r="2590" spans="1:11" x14ac:dyDescent="0.25">
      <c r="A2590" t="s">
        <v>186</v>
      </c>
      <c r="B2590" t="s">
        <v>12</v>
      </c>
      <c r="C2590" t="s">
        <v>23</v>
      </c>
      <c r="D2590" t="s">
        <v>187</v>
      </c>
      <c r="E2590" s="2">
        <v>15.5</v>
      </c>
      <c r="F2590" s="4">
        <v>10</v>
      </c>
      <c r="G2590" s="2">
        <v>155</v>
      </c>
      <c r="H2590" t="s">
        <v>15</v>
      </c>
      <c r="I2590" t="s">
        <v>36</v>
      </c>
      <c r="J2590" s="1">
        <v>45022</v>
      </c>
      <c r="K2590" t="b">
        <v>0</v>
      </c>
    </row>
    <row r="2591" spans="1:11" x14ac:dyDescent="0.25">
      <c r="A2591" t="s">
        <v>2834</v>
      </c>
      <c r="B2591" t="s">
        <v>104</v>
      </c>
      <c r="C2591" t="s">
        <v>38</v>
      </c>
      <c r="D2591" t="s">
        <v>241</v>
      </c>
      <c r="E2591" s="2">
        <v>15.5</v>
      </c>
      <c r="F2591" s="4">
        <v>10</v>
      </c>
      <c r="G2591" s="2">
        <v>155</v>
      </c>
      <c r="H2591" t="s">
        <v>45</v>
      </c>
      <c r="I2591" t="s">
        <v>36</v>
      </c>
      <c r="J2591" s="1">
        <v>44651</v>
      </c>
      <c r="K2591" t="b">
        <v>0</v>
      </c>
    </row>
    <row r="2592" spans="1:11" x14ac:dyDescent="0.25">
      <c r="A2592" t="s">
        <v>7638</v>
      </c>
      <c r="B2592" t="s">
        <v>56</v>
      </c>
      <c r="C2592" t="s">
        <v>38</v>
      </c>
      <c r="D2592" t="s">
        <v>241</v>
      </c>
      <c r="E2592" s="2">
        <v>15.5</v>
      </c>
      <c r="F2592" s="4">
        <v>10</v>
      </c>
      <c r="G2592" s="2">
        <v>155</v>
      </c>
      <c r="H2592" t="s">
        <v>25</v>
      </c>
      <c r="I2592" t="s">
        <v>16</v>
      </c>
      <c r="J2592" s="1">
        <v>45140</v>
      </c>
      <c r="K2592" t="b">
        <v>1</v>
      </c>
    </row>
    <row r="2593" spans="1:11" x14ac:dyDescent="0.25">
      <c r="A2593" t="s">
        <v>3879</v>
      </c>
      <c r="B2593" t="s">
        <v>18</v>
      </c>
      <c r="C2593" t="s">
        <v>27</v>
      </c>
      <c r="D2593" t="s">
        <v>105</v>
      </c>
      <c r="E2593" s="2">
        <v>15.5</v>
      </c>
      <c r="F2593" s="4">
        <v>10</v>
      </c>
      <c r="G2593" s="2">
        <v>155</v>
      </c>
      <c r="H2593" t="s">
        <v>15</v>
      </c>
      <c r="I2593" t="s">
        <v>36</v>
      </c>
      <c r="J2593" s="1">
        <v>44810</v>
      </c>
      <c r="K2593" t="b">
        <v>1</v>
      </c>
    </row>
    <row r="2594" spans="1:11" x14ac:dyDescent="0.25">
      <c r="A2594" t="s">
        <v>3019</v>
      </c>
      <c r="B2594" t="s">
        <v>56</v>
      </c>
      <c r="C2594" t="s">
        <v>23</v>
      </c>
      <c r="D2594" t="s">
        <v>187</v>
      </c>
      <c r="E2594" s="2">
        <v>15.5</v>
      </c>
      <c r="F2594" s="4">
        <v>10</v>
      </c>
      <c r="G2594" s="2">
        <v>155</v>
      </c>
      <c r="H2594" t="s">
        <v>25</v>
      </c>
      <c r="I2594" t="s">
        <v>36</v>
      </c>
      <c r="J2594" s="1">
        <v>45129</v>
      </c>
      <c r="K2594" t="b">
        <v>0</v>
      </c>
    </row>
    <row r="2595" spans="1:11" x14ac:dyDescent="0.25">
      <c r="A2595" t="s">
        <v>6919</v>
      </c>
      <c r="B2595" t="s">
        <v>104</v>
      </c>
      <c r="C2595" t="s">
        <v>13</v>
      </c>
      <c r="D2595" t="s">
        <v>389</v>
      </c>
      <c r="E2595" s="2">
        <v>15.5</v>
      </c>
      <c r="F2595" s="4">
        <v>10</v>
      </c>
      <c r="G2595" s="2">
        <v>155</v>
      </c>
      <c r="H2595" t="s">
        <v>45</v>
      </c>
      <c r="I2595" t="s">
        <v>36</v>
      </c>
      <c r="J2595" s="1">
        <v>45340</v>
      </c>
      <c r="K2595" t="b">
        <v>0</v>
      </c>
    </row>
    <row r="2596" spans="1:11" x14ac:dyDescent="0.25">
      <c r="A2596" t="s">
        <v>4367</v>
      </c>
      <c r="B2596" t="s">
        <v>63</v>
      </c>
      <c r="C2596" t="s">
        <v>38</v>
      </c>
      <c r="D2596" t="s">
        <v>241</v>
      </c>
      <c r="E2596" s="2">
        <v>15.5</v>
      </c>
      <c r="F2596" s="4">
        <v>10</v>
      </c>
      <c r="G2596" s="2">
        <v>155</v>
      </c>
      <c r="H2596" t="s">
        <v>25</v>
      </c>
      <c r="I2596" t="s">
        <v>36</v>
      </c>
      <c r="J2596" s="1">
        <v>44680</v>
      </c>
      <c r="K2596" t="b">
        <v>1</v>
      </c>
    </row>
    <row r="2597" spans="1:11" x14ac:dyDescent="0.25">
      <c r="A2597" t="s">
        <v>5147</v>
      </c>
      <c r="B2597" t="s">
        <v>34</v>
      </c>
      <c r="C2597" t="s">
        <v>59</v>
      </c>
      <c r="D2597" t="s">
        <v>201</v>
      </c>
      <c r="E2597" s="2">
        <v>15.5</v>
      </c>
      <c r="F2597" s="4">
        <v>10</v>
      </c>
      <c r="G2597" s="2">
        <v>155</v>
      </c>
      <c r="H2597" t="s">
        <v>15</v>
      </c>
      <c r="I2597" t="s">
        <v>36</v>
      </c>
      <c r="J2597" s="1">
        <v>44883</v>
      </c>
      <c r="K2597" t="b">
        <v>1</v>
      </c>
    </row>
    <row r="2598" spans="1:11" x14ac:dyDescent="0.25">
      <c r="A2598" t="s">
        <v>5043</v>
      </c>
      <c r="B2598" t="s">
        <v>22</v>
      </c>
      <c r="C2598" t="s">
        <v>38</v>
      </c>
      <c r="D2598" t="s">
        <v>241</v>
      </c>
      <c r="E2598" s="2">
        <v>15.5</v>
      </c>
      <c r="F2598" s="4">
        <v>10</v>
      </c>
      <c r="G2598" s="2">
        <v>155</v>
      </c>
      <c r="H2598" t="s">
        <v>15</v>
      </c>
      <c r="I2598" t="s">
        <v>36</v>
      </c>
      <c r="J2598" s="1">
        <v>44742</v>
      </c>
      <c r="K2598" t="b">
        <v>0</v>
      </c>
    </row>
    <row r="2599" spans="1:11" x14ac:dyDescent="0.25">
      <c r="A2599" t="s">
        <v>5952</v>
      </c>
      <c r="B2599" t="s">
        <v>30</v>
      </c>
      <c r="C2599" t="s">
        <v>19</v>
      </c>
      <c r="D2599" t="s">
        <v>166</v>
      </c>
      <c r="E2599" s="2">
        <v>15.5</v>
      </c>
      <c r="F2599" s="4">
        <v>10</v>
      </c>
      <c r="G2599" s="2">
        <v>155</v>
      </c>
      <c r="H2599" t="s">
        <v>45</v>
      </c>
      <c r="I2599" t="s">
        <v>16</v>
      </c>
      <c r="J2599" s="1">
        <v>44697</v>
      </c>
      <c r="K2599" t="b">
        <v>1</v>
      </c>
    </row>
    <row r="2600" spans="1:11" x14ac:dyDescent="0.25">
      <c r="A2600" t="s">
        <v>7483</v>
      </c>
      <c r="B2600" t="s">
        <v>97</v>
      </c>
      <c r="C2600" t="s">
        <v>59</v>
      </c>
      <c r="D2600" t="s">
        <v>201</v>
      </c>
      <c r="E2600" s="2">
        <v>15.5</v>
      </c>
      <c r="F2600" s="4">
        <v>10</v>
      </c>
      <c r="G2600" s="2">
        <v>155</v>
      </c>
      <c r="H2600" t="s">
        <v>45</v>
      </c>
      <c r="I2600" t="s">
        <v>16</v>
      </c>
      <c r="J2600" s="1">
        <v>45049</v>
      </c>
      <c r="K2600" t="b">
        <v>1</v>
      </c>
    </row>
    <row r="2601" spans="1:11" x14ac:dyDescent="0.25">
      <c r="A2601" t="s">
        <v>7129</v>
      </c>
      <c r="B2601" t="s">
        <v>18</v>
      </c>
      <c r="C2601" t="s">
        <v>59</v>
      </c>
      <c r="D2601" t="s">
        <v>201</v>
      </c>
      <c r="E2601" s="2">
        <v>15.5</v>
      </c>
      <c r="F2601" s="4">
        <v>10</v>
      </c>
      <c r="G2601" s="2">
        <v>155</v>
      </c>
      <c r="H2601" t="s">
        <v>25</v>
      </c>
      <c r="I2601" t="s">
        <v>16</v>
      </c>
      <c r="J2601" s="1">
        <v>44799</v>
      </c>
      <c r="K2601" t="b">
        <v>1</v>
      </c>
    </row>
    <row r="2602" spans="1:11" x14ac:dyDescent="0.25">
      <c r="A2602" t="s">
        <v>3098</v>
      </c>
      <c r="B2602" t="s">
        <v>86</v>
      </c>
      <c r="C2602" t="s">
        <v>38</v>
      </c>
      <c r="D2602" t="s">
        <v>241</v>
      </c>
      <c r="E2602" s="2">
        <v>15.5</v>
      </c>
      <c r="F2602" s="4">
        <v>10</v>
      </c>
      <c r="G2602" s="2">
        <v>155</v>
      </c>
      <c r="H2602" t="s">
        <v>25</v>
      </c>
      <c r="I2602" t="s">
        <v>16</v>
      </c>
      <c r="J2602" s="1">
        <v>44742</v>
      </c>
      <c r="K2602" t="b">
        <v>1</v>
      </c>
    </row>
    <row r="2603" spans="1:11" x14ac:dyDescent="0.25">
      <c r="A2603" t="s">
        <v>1104</v>
      </c>
      <c r="B2603" t="s">
        <v>69</v>
      </c>
      <c r="C2603" t="s">
        <v>38</v>
      </c>
      <c r="D2603" t="s">
        <v>241</v>
      </c>
      <c r="E2603" s="2">
        <v>15.5</v>
      </c>
      <c r="F2603" s="4">
        <v>10</v>
      </c>
      <c r="G2603" s="2">
        <v>155</v>
      </c>
      <c r="H2603" t="s">
        <v>25</v>
      </c>
      <c r="I2603" t="s">
        <v>16</v>
      </c>
      <c r="J2603" s="1">
        <v>45666</v>
      </c>
      <c r="K2603" t="b">
        <v>0</v>
      </c>
    </row>
    <row r="2604" spans="1:11" x14ac:dyDescent="0.25">
      <c r="A2604" t="s">
        <v>3139</v>
      </c>
      <c r="B2604" t="s">
        <v>69</v>
      </c>
      <c r="C2604" t="s">
        <v>19</v>
      </c>
      <c r="D2604" t="s">
        <v>166</v>
      </c>
      <c r="E2604" s="2">
        <v>15.5</v>
      </c>
      <c r="F2604" s="4">
        <v>10</v>
      </c>
      <c r="G2604" s="2">
        <v>155</v>
      </c>
      <c r="H2604" t="s">
        <v>15</v>
      </c>
      <c r="I2604" t="s">
        <v>16</v>
      </c>
      <c r="J2604" s="1">
        <v>44603</v>
      </c>
      <c r="K2604" t="b">
        <v>1</v>
      </c>
    </row>
    <row r="2605" spans="1:11" x14ac:dyDescent="0.25">
      <c r="A2605" t="s">
        <v>4076</v>
      </c>
      <c r="B2605" t="s">
        <v>26</v>
      </c>
      <c r="C2605" t="s">
        <v>110</v>
      </c>
      <c r="D2605" t="s">
        <v>199</v>
      </c>
      <c r="E2605" s="2">
        <v>15.5</v>
      </c>
      <c r="F2605" s="4">
        <v>10</v>
      </c>
      <c r="G2605" s="2">
        <v>155</v>
      </c>
      <c r="H2605" t="s">
        <v>45</v>
      </c>
      <c r="I2605" t="s">
        <v>16</v>
      </c>
      <c r="J2605" s="1">
        <v>45401</v>
      </c>
      <c r="K2605" t="b">
        <v>1</v>
      </c>
    </row>
    <row r="2606" spans="1:11" x14ac:dyDescent="0.25">
      <c r="A2606" t="s">
        <v>2846</v>
      </c>
      <c r="B2606" t="s">
        <v>93</v>
      </c>
      <c r="C2606" t="s">
        <v>59</v>
      </c>
      <c r="D2606" t="s">
        <v>201</v>
      </c>
      <c r="E2606" s="2">
        <v>15.5</v>
      </c>
      <c r="F2606" s="4">
        <v>10</v>
      </c>
      <c r="G2606" s="2">
        <v>155</v>
      </c>
      <c r="H2606" t="s">
        <v>25</v>
      </c>
      <c r="I2606" t="s">
        <v>36</v>
      </c>
      <c r="J2606" s="1">
        <v>45373</v>
      </c>
      <c r="K2606" t="b">
        <v>0</v>
      </c>
    </row>
    <row r="2607" spans="1:11" x14ac:dyDescent="0.25">
      <c r="A2607" t="s">
        <v>198</v>
      </c>
      <c r="B2607" t="s">
        <v>43</v>
      </c>
      <c r="C2607" t="s">
        <v>110</v>
      </c>
      <c r="D2607" t="s">
        <v>199</v>
      </c>
      <c r="E2607" s="2">
        <v>15.5</v>
      </c>
      <c r="F2607" s="4">
        <v>10</v>
      </c>
      <c r="G2607" s="2">
        <v>155</v>
      </c>
      <c r="H2607" t="s">
        <v>45</v>
      </c>
      <c r="I2607" t="s">
        <v>36</v>
      </c>
      <c r="J2607" s="1">
        <v>45129</v>
      </c>
      <c r="K2607" t="b">
        <v>0</v>
      </c>
    </row>
    <row r="2608" spans="1:11" x14ac:dyDescent="0.25">
      <c r="A2608" t="s">
        <v>3802</v>
      </c>
      <c r="B2608" t="s">
        <v>69</v>
      </c>
      <c r="C2608" t="s">
        <v>13</v>
      </c>
      <c r="D2608" t="s">
        <v>389</v>
      </c>
      <c r="E2608" s="2">
        <v>15.5</v>
      </c>
      <c r="F2608" s="4">
        <v>10</v>
      </c>
      <c r="G2608" s="2">
        <v>155</v>
      </c>
      <c r="H2608" t="s">
        <v>45</v>
      </c>
      <c r="I2608" t="s">
        <v>16</v>
      </c>
      <c r="J2608" s="1">
        <v>45382</v>
      </c>
      <c r="K2608" t="b">
        <v>0</v>
      </c>
    </row>
    <row r="2609" spans="1:11" x14ac:dyDescent="0.25">
      <c r="A2609" t="s">
        <v>1350</v>
      </c>
      <c r="B2609" t="s">
        <v>51</v>
      </c>
      <c r="C2609" t="s">
        <v>27</v>
      </c>
      <c r="D2609" t="s">
        <v>105</v>
      </c>
      <c r="E2609" s="2">
        <v>15.5</v>
      </c>
      <c r="F2609" s="4">
        <v>10</v>
      </c>
      <c r="G2609" s="2">
        <v>155</v>
      </c>
      <c r="H2609" t="s">
        <v>25</v>
      </c>
      <c r="I2609" t="s">
        <v>16</v>
      </c>
      <c r="J2609" s="1">
        <v>45081</v>
      </c>
      <c r="K2609" t="b">
        <v>1</v>
      </c>
    </row>
    <row r="2610" spans="1:11" x14ac:dyDescent="0.25">
      <c r="A2610" t="s">
        <v>2259</v>
      </c>
      <c r="B2610" t="s">
        <v>97</v>
      </c>
      <c r="C2610" t="s">
        <v>110</v>
      </c>
      <c r="D2610" t="s">
        <v>199</v>
      </c>
      <c r="E2610" s="2">
        <v>15.5</v>
      </c>
      <c r="F2610" s="4">
        <v>10</v>
      </c>
      <c r="G2610" s="2">
        <v>155</v>
      </c>
      <c r="H2610" t="s">
        <v>45</v>
      </c>
      <c r="I2610" t="s">
        <v>36</v>
      </c>
      <c r="J2610" s="1">
        <v>45315</v>
      </c>
      <c r="K2610" t="b">
        <v>1</v>
      </c>
    </row>
    <row r="2611" spans="1:11" x14ac:dyDescent="0.25">
      <c r="A2611" t="s">
        <v>4020</v>
      </c>
      <c r="B2611" t="s">
        <v>97</v>
      </c>
      <c r="C2611" t="s">
        <v>38</v>
      </c>
      <c r="D2611" t="s">
        <v>241</v>
      </c>
      <c r="E2611" s="2">
        <v>15.5</v>
      </c>
      <c r="F2611" s="4">
        <v>10</v>
      </c>
      <c r="G2611" s="2">
        <v>155</v>
      </c>
      <c r="H2611" t="s">
        <v>15</v>
      </c>
      <c r="I2611" t="s">
        <v>36</v>
      </c>
      <c r="J2611" s="1">
        <v>45650</v>
      </c>
      <c r="K2611" t="b">
        <v>1</v>
      </c>
    </row>
    <row r="2612" spans="1:11" x14ac:dyDescent="0.25">
      <c r="A2612" t="s">
        <v>2750</v>
      </c>
      <c r="B2612" t="s">
        <v>66</v>
      </c>
      <c r="C2612" t="s">
        <v>110</v>
      </c>
      <c r="D2612" t="s">
        <v>199</v>
      </c>
      <c r="E2612" s="2">
        <v>15.5</v>
      </c>
      <c r="F2612" s="4">
        <v>10</v>
      </c>
      <c r="G2612" s="2">
        <v>155</v>
      </c>
      <c r="H2612" t="s">
        <v>45</v>
      </c>
      <c r="I2612" t="s">
        <v>16</v>
      </c>
      <c r="J2612" s="1">
        <v>44752</v>
      </c>
      <c r="K2612" t="b">
        <v>1</v>
      </c>
    </row>
    <row r="2613" spans="1:11" x14ac:dyDescent="0.25">
      <c r="A2613" t="s">
        <v>2394</v>
      </c>
      <c r="B2613" t="s">
        <v>61</v>
      </c>
      <c r="C2613" t="s">
        <v>31</v>
      </c>
      <c r="D2613" t="s">
        <v>585</v>
      </c>
      <c r="E2613" s="2">
        <v>15.5</v>
      </c>
      <c r="F2613" s="4">
        <v>10</v>
      </c>
      <c r="G2613" s="2">
        <v>155</v>
      </c>
      <c r="H2613" t="s">
        <v>15</v>
      </c>
      <c r="I2613" t="s">
        <v>36</v>
      </c>
      <c r="J2613" s="1">
        <v>45588</v>
      </c>
      <c r="K2613" t="b">
        <v>0</v>
      </c>
    </row>
    <row r="2614" spans="1:11" x14ac:dyDescent="0.25">
      <c r="A2614" t="s">
        <v>3626</v>
      </c>
      <c r="B2614" t="s">
        <v>30</v>
      </c>
      <c r="C2614" t="s">
        <v>38</v>
      </c>
      <c r="D2614" t="s">
        <v>241</v>
      </c>
      <c r="E2614" s="2">
        <v>15.5</v>
      </c>
      <c r="F2614" s="4">
        <v>10</v>
      </c>
      <c r="G2614" s="2">
        <v>155</v>
      </c>
      <c r="H2614" t="s">
        <v>45</v>
      </c>
      <c r="I2614" t="s">
        <v>36</v>
      </c>
      <c r="J2614" s="1">
        <v>44963</v>
      </c>
      <c r="K2614" t="b">
        <v>1</v>
      </c>
    </row>
    <row r="2615" spans="1:11" x14ac:dyDescent="0.25">
      <c r="A2615" t="s">
        <v>1537</v>
      </c>
      <c r="B2615" t="s">
        <v>34</v>
      </c>
      <c r="C2615" t="s">
        <v>110</v>
      </c>
      <c r="D2615" t="s">
        <v>327</v>
      </c>
      <c r="E2615" s="2">
        <v>17</v>
      </c>
      <c r="F2615" s="4">
        <v>9</v>
      </c>
      <c r="G2615" s="2">
        <v>153</v>
      </c>
      <c r="H2615" t="s">
        <v>15</v>
      </c>
      <c r="I2615" t="s">
        <v>36</v>
      </c>
      <c r="J2615" s="1">
        <v>45402</v>
      </c>
      <c r="K2615" t="b">
        <v>1</v>
      </c>
    </row>
    <row r="2616" spans="1:11" x14ac:dyDescent="0.25">
      <c r="A2616" t="s">
        <v>513</v>
      </c>
      <c r="B2616" t="s">
        <v>72</v>
      </c>
      <c r="C2616" t="s">
        <v>38</v>
      </c>
      <c r="D2616" t="s">
        <v>444</v>
      </c>
      <c r="E2616" s="2">
        <v>17</v>
      </c>
      <c r="F2616" s="4">
        <v>9</v>
      </c>
      <c r="G2616" s="2">
        <v>153</v>
      </c>
      <c r="H2616" t="s">
        <v>15</v>
      </c>
      <c r="I2616" t="s">
        <v>36</v>
      </c>
      <c r="J2616" s="1">
        <v>45377</v>
      </c>
      <c r="K2616" t="b">
        <v>0</v>
      </c>
    </row>
    <row r="2617" spans="1:11" x14ac:dyDescent="0.25">
      <c r="A2617" t="s">
        <v>4355</v>
      </c>
      <c r="B2617" t="s">
        <v>40</v>
      </c>
      <c r="C2617" t="s">
        <v>27</v>
      </c>
      <c r="D2617" t="s">
        <v>763</v>
      </c>
      <c r="E2617" s="2">
        <v>17</v>
      </c>
      <c r="F2617" s="4">
        <v>9</v>
      </c>
      <c r="G2617" s="2">
        <v>153</v>
      </c>
      <c r="H2617" t="s">
        <v>15</v>
      </c>
      <c r="I2617" t="s">
        <v>16</v>
      </c>
      <c r="J2617" s="1">
        <v>44668</v>
      </c>
      <c r="K2617" t="b">
        <v>0</v>
      </c>
    </row>
    <row r="2618" spans="1:11" x14ac:dyDescent="0.25">
      <c r="A2618" t="s">
        <v>6165</v>
      </c>
      <c r="B2618" t="s">
        <v>37</v>
      </c>
      <c r="C2618" t="s">
        <v>31</v>
      </c>
      <c r="D2618" t="s">
        <v>195</v>
      </c>
      <c r="E2618" s="2">
        <v>17</v>
      </c>
      <c r="F2618" s="4">
        <v>9</v>
      </c>
      <c r="G2618" s="2">
        <v>153</v>
      </c>
      <c r="H2618" t="s">
        <v>15</v>
      </c>
      <c r="I2618" t="s">
        <v>36</v>
      </c>
      <c r="J2618" s="1">
        <v>45086</v>
      </c>
      <c r="K2618" t="b">
        <v>0</v>
      </c>
    </row>
    <row r="2619" spans="1:11" x14ac:dyDescent="0.25">
      <c r="A2619" t="s">
        <v>7324</v>
      </c>
      <c r="B2619" t="s">
        <v>104</v>
      </c>
      <c r="C2619" t="s">
        <v>31</v>
      </c>
      <c r="D2619" t="s">
        <v>195</v>
      </c>
      <c r="E2619" s="2">
        <v>17</v>
      </c>
      <c r="F2619" s="4">
        <v>9</v>
      </c>
      <c r="G2619" s="2">
        <v>153</v>
      </c>
      <c r="H2619" t="s">
        <v>45</v>
      </c>
      <c r="I2619" t="s">
        <v>36</v>
      </c>
      <c r="J2619" s="1">
        <v>45441</v>
      </c>
      <c r="K2619" t="b">
        <v>1</v>
      </c>
    </row>
    <row r="2620" spans="1:11" x14ac:dyDescent="0.25">
      <c r="A2620" t="s">
        <v>1722</v>
      </c>
      <c r="B2620" t="s">
        <v>51</v>
      </c>
      <c r="C2620" t="s">
        <v>13</v>
      </c>
      <c r="D2620" t="s">
        <v>380</v>
      </c>
      <c r="E2620" s="2">
        <v>17</v>
      </c>
      <c r="F2620" s="4">
        <v>9</v>
      </c>
      <c r="G2620" s="2">
        <v>153</v>
      </c>
      <c r="H2620" t="s">
        <v>15</v>
      </c>
      <c r="I2620" t="s">
        <v>36</v>
      </c>
      <c r="J2620" s="1">
        <v>44911</v>
      </c>
      <c r="K2620" t="b">
        <v>1</v>
      </c>
    </row>
    <row r="2621" spans="1:11" x14ac:dyDescent="0.25">
      <c r="A2621" t="s">
        <v>6264</v>
      </c>
      <c r="B2621" t="s">
        <v>26</v>
      </c>
      <c r="C2621" t="s">
        <v>110</v>
      </c>
      <c r="D2621" t="s">
        <v>327</v>
      </c>
      <c r="E2621" s="2">
        <v>17</v>
      </c>
      <c r="F2621" s="4">
        <v>9</v>
      </c>
      <c r="G2621" s="2">
        <v>153</v>
      </c>
      <c r="H2621" t="s">
        <v>15</v>
      </c>
      <c r="I2621" t="s">
        <v>36</v>
      </c>
      <c r="J2621" s="1">
        <v>45647</v>
      </c>
      <c r="K2621" t="b">
        <v>1</v>
      </c>
    </row>
    <row r="2622" spans="1:11" x14ac:dyDescent="0.25">
      <c r="A2622" t="s">
        <v>2076</v>
      </c>
      <c r="B2622" t="s">
        <v>61</v>
      </c>
      <c r="C2622" t="s">
        <v>59</v>
      </c>
      <c r="D2622" t="s">
        <v>655</v>
      </c>
      <c r="E2622" s="2">
        <v>17</v>
      </c>
      <c r="F2622" s="4">
        <v>9</v>
      </c>
      <c r="G2622" s="2">
        <v>153</v>
      </c>
      <c r="H2622" t="s">
        <v>45</v>
      </c>
      <c r="I2622" t="s">
        <v>16</v>
      </c>
      <c r="J2622" s="1">
        <v>45644</v>
      </c>
      <c r="K2622" t="b">
        <v>1</v>
      </c>
    </row>
    <row r="2623" spans="1:11" x14ac:dyDescent="0.25">
      <c r="A2623" t="s">
        <v>2417</v>
      </c>
      <c r="B2623" t="s">
        <v>34</v>
      </c>
      <c r="C2623" t="s">
        <v>13</v>
      </c>
      <c r="D2623" t="s">
        <v>380</v>
      </c>
      <c r="E2623" s="2">
        <v>17</v>
      </c>
      <c r="F2623" s="4">
        <v>9</v>
      </c>
      <c r="G2623" s="2">
        <v>153</v>
      </c>
      <c r="H2623" t="s">
        <v>25</v>
      </c>
      <c r="I2623" t="s">
        <v>36</v>
      </c>
      <c r="J2623" s="1">
        <v>45571</v>
      </c>
      <c r="K2623" t="b">
        <v>1</v>
      </c>
    </row>
    <row r="2624" spans="1:11" x14ac:dyDescent="0.25">
      <c r="A2624" t="s">
        <v>5693</v>
      </c>
      <c r="B2624" t="s">
        <v>93</v>
      </c>
      <c r="C2624" t="s">
        <v>31</v>
      </c>
      <c r="D2624" t="s">
        <v>195</v>
      </c>
      <c r="E2624" s="2">
        <v>17</v>
      </c>
      <c r="F2624" s="4">
        <v>9</v>
      </c>
      <c r="G2624" s="2">
        <v>153</v>
      </c>
      <c r="H2624" t="s">
        <v>45</v>
      </c>
      <c r="I2624" t="s">
        <v>36</v>
      </c>
      <c r="J2624" s="1">
        <v>44975</v>
      </c>
      <c r="K2624" t="b">
        <v>0</v>
      </c>
    </row>
    <row r="2625" spans="1:11" x14ac:dyDescent="0.25">
      <c r="A2625" t="s">
        <v>6494</v>
      </c>
      <c r="B2625" t="s">
        <v>85</v>
      </c>
      <c r="C2625" t="s">
        <v>27</v>
      </c>
      <c r="D2625" t="s">
        <v>763</v>
      </c>
      <c r="E2625" s="2">
        <v>17</v>
      </c>
      <c r="F2625" s="4">
        <v>9</v>
      </c>
      <c r="G2625" s="2">
        <v>153</v>
      </c>
      <c r="H2625" t="s">
        <v>45</v>
      </c>
      <c r="I2625" t="s">
        <v>16</v>
      </c>
      <c r="J2625" s="1">
        <v>44815</v>
      </c>
      <c r="K2625" t="b">
        <v>1</v>
      </c>
    </row>
    <row r="2626" spans="1:11" x14ac:dyDescent="0.25">
      <c r="A2626" t="s">
        <v>5616</v>
      </c>
      <c r="B2626" t="s">
        <v>34</v>
      </c>
      <c r="C2626" t="s">
        <v>13</v>
      </c>
      <c r="D2626" t="s">
        <v>380</v>
      </c>
      <c r="E2626" s="2">
        <v>17</v>
      </c>
      <c r="F2626" s="4">
        <v>9</v>
      </c>
      <c r="G2626" s="2">
        <v>153</v>
      </c>
      <c r="H2626" t="s">
        <v>15</v>
      </c>
      <c r="I2626" t="s">
        <v>16</v>
      </c>
      <c r="J2626" s="1">
        <v>45467</v>
      </c>
      <c r="K2626" t="b">
        <v>1</v>
      </c>
    </row>
    <row r="2627" spans="1:11" x14ac:dyDescent="0.25">
      <c r="A2627" t="s">
        <v>7381</v>
      </c>
      <c r="B2627" t="s">
        <v>72</v>
      </c>
      <c r="C2627" t="s">
        <v>110</v>
      </c>
      <c r="D2627" t="s">
        <v>327</v>
      </c>
      <c r="E2627" s="2">
        <v>17</v>
      </c>
      <c r="F2627" s="4">
        <v>9</v>
      </c>
      <c r="G2627" s="2">
        <v>153</v>
      </c>
      <c r="H2627" t="s">
        <v>15</v>
      </c>
      <c r="I2627" t="s">
        <v>36</v>
      </c>
      <c r="J2627" s="1">
        <v>44569</v>
      </c>
      <c r="K2627" t="b">
        <v>0</v>
      </c>
    </row>
    <row r="2628" spans="1:11" x14ac:dyDescent="0.25">
      <c r="A2628" t="s">
        <v>2967</v>
      </c>
      <c r="B2628" t="s">
        <v>72</v>
      </c>
      <c r="C2628" t="s">
        <v>31</v>
      </c>
      <c r="D2628" t="s">
        <v>195</v>
      </c>
      <c r="E2628" s="2">
        <v>17</v>
      </c>
      <c r="F2628" s="4">
        <v>9</v>
      </c>
      <c r="G2628" s="2">
        <v>153</v>
      </c>
      <c r="H2628" t="s">
        <v>45</v>
      </c>
      <c r="I2628" t="s">
        <v>16</v>
      </c>
      <c r="J2628" s="1">
        <v>45645</v>
      </c>
      <c r="K2628" t="b">
        <v>0</v>
      </c>
    </row>
    <row r="2629" spans="1:11" x14ac:dyDescent="0.25">
      <c r="A2629" t="s">
        <v>6250</v>
      </c>
      <c r="B2629" t="s">
        <v>51</v>
      </c>
      <c r="C2629" t="s">
        <v>59</v>
      </c>
      <c r="D2629" t="s">
        <v>655</v>
      </c>
      <c r="E2629" s="2">
        <v>17</v>
      </c>
      <c r="F2629" s="4">
        <v>9</v>
      </c>
      <c r="G2629" s="2">
        <v>153</v>
      </c>
      <c r="H2629" t="s">
        <v>45</v>
      </c>
      <c r="I2629" t="s">
        <v>36</v>
      </c>
      <c r="J2629" s="1">
        <v>45588</v>
      </c>
      <c r="K2629" t="b">
        <v>0</v>
      </c>
    </row>
    <row r="2630" spans="1:11" x14ac:dyDescent="0.25">
      <c r="A2630" t="s">
        <v>3453</v>
      </c>
      <c r="B2630" t="s">
        <v>43</v>
      </c>
      <c r="C2630" t="s">
        <v>23</v>
      </c>
      <c r="D2630" t="s">
        <v>2357</v>
      </c>
      <c r="E2630" s="2">
        <v>17</v>
      </c>
      <c r="F2630" s="4">
        <v>9</v>
      </c>
      <c r="G2630" s="2">
        <v>153</v>
      </c>
      <c r="H2630" t="s">
        <v>45</v>
      </c>
      <c r="I2630" t="s">
        <v>16</v>
      </c>
      <c r="J2630" s="1">
        <v>44643</v>
      </c>
      <c r="K2630" t="b">
        <v>1</v>
      </c>
    </row>
    <row r="2631" spans="1:11" x14ac:dyDescent="0.25">
      <c r="A2631" t="s">
        <v>5481</v>
      </c>
      <c r="B2631" t="s">
        <v>97</v>
      </c>
      <c r="C2631" t="s">
        <v>13</v>
      </c>
      <c r="D2631" t="s">
        <v>380</v>
      </c>
      <c r="E2631" s="2">
        <v>17</v>
      </c>
      <c r="F2631" s="4">
        <v>9</v>
      </c>
      <c r="G2631" s="2">
        <v>153</v>
      </c>
      <c r="H2631" t="s">
        <v>45</v>
      </c>
      <c r="I2631" t="s">
        <v>36</v>
      </c>
      <c r="J2631" s="1">
        <v>45631</v>
      </c>
      <c r="K2631" t="b">
        <v>0</v>
      </c>
    </row>
    <row r="2632" spans="1:11" x14ac:dyDescent="0.25">
      <c r="A2632" t="s">
        <v>5665</v>
      </c>
      <c r="B2632" t="s">
        <v>61</v>
      </c>
      <c r="C2632" t="s">
        <v>110</v>
      </c>
      <c r="D2632" t="s">
        <v>327</v>
      </c>
      <c r="E2632" s="2">
        <v>17</v>
      </c>
      <c r="F2632" s="4">
        <v>9</v>
      </c>
      <c r="G2632" s="2">
        <v>153</v>
      </c>
      <c r="H2632" t="s">
        <v>15</v>
      </c>
      <c r="I2632" t="s">
        <v>36</v>
      </c>
      <c r="J2632" s="1">
        <v>44573</v>
      </c>
      <c r="K2632" t="b">
        <v>1</v>
      </c>
    </row>
    <row r="2633" spans="1:11" x14ac:dyDescent="0.25">
      <c r="A2633" t="s">
        <v>5886</v>
      </c>
      <c r="B2633" t="s">
        <v>37</v>
      </c>
      <c r="C2633" t="s">
        <v>59</v>
      </c>
      <c r="D2633" t="s">
        <v>655</v>
      </c>
      <c r="E2633" s="2">
        <v>17</v>
      </c>
      <c r="F2633" s="4">
        <v>9</v>
      </c>
      <c r="G2633" s="2">
        <v>153</v>
      </c>
      <c r="H2633" t="s">
        <v>45</v>
      </c>
      <c r="I2633" t="s">
        <v>16</v>
      </c>
      <c r="J2633" s="1">
        <v>45590</v>
      </c>
      <c r="K2633" t="b">
        <v>0</v>
      </c>
    </row>
    <row r="2634" spans="1:11" x14ac:dyDescent="0.25">
      <c r="A2634" t="s">
        <v>803</v>
      </c>
      <c r="B2634" t="s">
        <v>34</v>
      </c>
      <c r="C2634" t="s">
        <v>31</v>
      </c>
      <c r="D2634" t="s">
        <v>144</v>
      </c>
      <c r="E2634" s="2">
        <v>30.5</v>
      </c>
      <c r="F2634" s="4">
        <v>5</v>
      </c>
      <c r="G2634" s="2">
        <v>152.5</v>
      </c>
      <c r="H2634" t="s">
        <v>45</v>
      </c>
      <c r="I2634" t="s">
        <v>36</v>
      </c>
      <c r="J2634" s="1">
        <v>44661</v>
      </c>
      <c r="K2634" t="b">
        <v>1</v>
      </c>
    </row>
    <row r="2635" spans="1:11" x14ac:dyDescent="0.25">
      <c r="A2635" t="s">
        <v>1426</v>
      </c>
      <c r="B2635" t="s">
        <v>51</v>
      </c>
      <c r="C2635" t="s">
        <v>19</v>
      </c>
      <c r="D2635" t="s">
        <v>474</v>
      </c>
      <c r="E2635" s="2">
        <v>30.5</v>
      </c>
      <c r="F2635" s="4">
        <v>5</v>
      </c>
      <c r="G2635" s="2">
        <v>152.5</v>
      </c>
      <c r="H2635" t="s">
        <v>45</v>
      </c>
      <c r="I2635" t="s">
        <v>36</v>
      </c>
      <c r="J2635" s="1">
        <v>45559</v>
      </c>
      <c r="K2635" t="b">
        <v>0</v>
      </c>
    </row>
    <row r="2636" spans="1:11" x14ac:dyDescent="0.25">
      <c r="A2636" t="s">
        <v>2612</v>
      </c>
      <c r="B2636" t="s">
        <v>30</v>
      </c>
      <c r="C2636" t="s">
        <v>59</v>
      </c>
      <c r="D2636" t="s">
        <v>676</v>
      </c>
      <c r="E2636" s="2">
        <v>30.5</v>
      </c>
      <c r="F2636" s="4">
        <v>5</v>
      </c>
      <c r="G2636" s="2">
        <v>152.5</v>
      </c>
      <c r="H2636" t="s">
        <v>45</v>
      </c>
      <c r="I2636" t="s">
        <v>36</v>
      </c>
      <c r="J2636" s="1">
        <v>45167</v>
      </c>
      <c r="K2636" t="b">
        <v>0</v>
      </c>
    </row>
    <row r="2637" spans="1:11" x14ac:dyDescent="0.25">
      <c r="A2637" t="s">
        <v>7104</v>
      </c>
      <c r="B2637" t="s">
        <v>51</v>
      </c>
      <c r="C2637" t="s">
        <v>31</v>
      </c>
      <c r="D2637" t="s">
        <v>144</v>
      </c>
      <c r="E2637" s="2">
        <v>30.5</v>
      </c>
      <c r="F2637" s="4">
        <v>5</v>
      </c>
      <c r="G2637" s="2">
        <v>152.5</v>
      </c>
      <c r="H2637" t="s">
        <v>25</v>
      </c>
      <c r="I2637" t="s">
        <v>36</v>
      </c>
      <c r="J2637" s="1">
        <v>44751</v>
      </c>
      <c r="K2637" t="b">
        <v>1</v>
      </c>
    </row>
    <row r="2638" spans="1:11" x14ac:dyDescent="0.25">
      <c r="A2638" t="s">
        <v>5578</v>
      </c>
      <c r="B2638" t="s">
        <v>77</v>
      </c>
      <c r="C2638" t="s">
        <v>110</v>
      </c>
      <c r="D2638" t="s">
        <v>256</v>
      </c>
      <c r="E2638" s="2">
        <v>30.5</v>
      </c>
      <c r="F2638" s="4">
        <v>5</v>
      </c>
      <c r="G2638" s="2">
        <v>152.5</v>
      </c>
      <c r="H2638" t="s">
        <v>15</v>
      </c>
      <c r="I2638" t="s">
        <v>16</v>
      </c>
      <c r="J2638" s="1">
        <v>44585</v>
      </c>
      <c r="K2638" t="b">
        <v>0</v>
      </c>
    </row>
    <row r="2639" spans="1:11" x14ac:dyDescent="0.25">
      <c r="A2639" t="s">
        <v>2546</v>
      </c>
      <c r="B2639" t="s">
        <v>104</v>
      </c>
      <c r="C2639" t="s">
        <v>110</v>
      </c>
      <c r="D2639" t="s">
        <v>256</v>
      </c>
      <c r="E2639" s="2">
        <v>30.5</v>
      </c>
      <c r="F2639" s="4">
        <v>5</v>
      </c>
      <c r="G2639" s="2">
        <v>152.5</v>
      </c>
      <c r="H2639" t="s">
        <v>25</v>
      </c>
      <c r="I2639" t="s">
        <v>16</v>
      </c>
      <c r="J2639" s="1">
        <v>45161</v>
      </c>
      <c r="K2639" t="b">
        <v>1</v>
      </c>
    </row>
    <row r="2640" spans="1:11" x14ac:dyDescent="0.25">
      <c r="A2640" t="s">
        <v>2060</v>
      </c>
      <c r="B2640" t="s">
        <v>43</v>
      </c>
      <c r="C2640" t="s">
        <v>23</v>
      </c>
      <c r="D2640" t="s">
        <v>223</v>
      </c>
      <c r="E2640" s="2">
        <v>30.5</v>
      </c>
      <c r="F2640" s="4">
        <v>5</v>
      </c>
      <c r="G2640" s="2">
        <v>152.5</v>
      </c>
      <c r="H2640" t="s">
        <v>25</v>
      </c>
      <c r="I2640" t="s">
        <v>16</v>
      </c>
      <c r="J2640" s="1">
        <v>45640</v>
      </c>
      <c r="K2640" t="b">
        <v>0</v>
      </c>
    </row>
    <row r="2641" spans="1:11" x14ac:dyDescent="0.25">
      <c r="A2641" t="s">
        <v>7621</v>
      </c>
      <c r="B2641" t="s">
        <v>22</v>
      </c>
      <c r="C2641" t="s">
        <v>31</v>
      </c>
      <c r="D2641" t="s">
        <v>144</v>
      </c>
      <c r="E2641" s="2">
        <v>30.5</v>
      </c>
      <c r="F2641" s="4">
        <v>5</v>
      </c>
      <c r="G2641" s="2">
        <v>152.5</v>
      </c>
      <c r="H2641" t="s">
        <v>25</v>
      </c>
      <c r="I2641" t="s">
        <v>16</v>
      </c>
      <c r="J2641" s="1">
        <v>44621</v>
      </c>
      <c r="K2641" t="b">
        <v>1</v>
      </c>
    </row>
    <row r="2642" spans="1:11" x14ac:dyDescent="0.25">
      <c r="A2642" t="s">
        <v>3811</v>
      </c>
      <c r="B2642" t="s">
        <v>30</v>
      </c>
      <c r="C2642" t="s">
        <v>23</v>
      </c>
      <c r="D2642" t="s">
        <v>223</v>
      </c>
      <c r="E2642" s="2">
        <v>30.5</v>
      </c>
      <c r="F2642" s="4">
        <v>5</v>
      </c>
      <c r="G2642" s="2">
        <v>152.5</v>
      </c>
      <c r="H2642" t="s">
        <v>25</v>
      </c>
      <c r="I2642" t="s">
        <v>36</v>
      </c>
      <c r="J2642" s="1">
        <v>45311</v>
      </c>
      <c r="K2642" t="b">
        <v>0</v>
      </c>
    </row>
    <row r="2643" spans="1:11" x14ac:dyDescent="0.25">
      <c r="A2643" t="s">
        <v>5751</v>
      </c>
      <c r="B2643" t="s">
        <v>22</v>
      </c>
      <c r="C2643" t="s">
        <v>110</v>
      </c>
      <c r="D2643" t="s">
        <v>256</v>
      </c>
      <c r="E2643" s="2">
        <v>30.5</v>
      </c>
      <c r="F2643" s="4">
        <v>5</v>
      </c>
      <c r="G2643" s="2">
        <v>152.5</v>
      </c>
      <c r="H2643" t="s">
        <v>45</v>
      </c>
      <c r="I2643" t="s">
        <v>36</v>
      </c>
      <c r="J2643" s="1">
        <v>45313</v>
      </c>
      <c r="K2643" t="b">
        <v>1</v>
      </c>
    </row>
    <row r="2644" spans="1:11" x14ac:dyDescent="0.25">
      <c r="A2644" t="s">
        <v>1983</v>
      </c>
      <c r="B2644" t="s">
        <v>26</v>
      </c>
      <c r="C2644" t="s">
        <v>59</v>
      </c>
      <c r="D2644" t="s">
        <v>676</v>
      </c>
      <c r="E2644" s="2">
        <v>30.5</v>
      </c>
      <c r="F2644" s="4">
        <v>5</v>
      </c>
      <c r="G2644" s="2">
        <v>152.5</v>
      </c>
      <c r="H2644" t="s">
        <v>45</v>
      </c>
      <c r="I2644" t="s">
        <v>36</v>
      </c>
      <c r="J2644" s="1">
        <v>45051</v>
      </c>
      <c r="K2644" t="b">
        <v>0</v>
      </c>
    </row>
    <row r="2645" spans="1:11" x14ac:dyDescent="0.25">
      <c r="A2645" t="s">
        <v>1795</v>
      </c>
      <c r="B2645" t="s">
        <v>30</v>
      </c>
      <c r="C2645" t="s">
        <v>31</v>
      </c>
      <c r="D2645" t="s">
        <v>144</v>
      </c>
      <c r="E2645" s="2">
        <v>30.5</v>
      </c>
      <c r="F2645" s="4">
        <v>5</v>
      </c>
      <c r="G2645" s="2">
        <v>152.5</v>
      </c>
      <c r="H2645" t="s">
        <v>15</v>
      </c>
      <c r="I2645" t="s">
        <v>16</v>
      </c>
      <c r="J2645" s="1">
        <v>45514</v>
      </c>
      <c r="K2645" t="b">
        <v>0</v>
      </c>
    </row>
    <row r="2646" spans="1:11" x14ac:dyDescent="0.25">
      <c r="A2646" t="s">
        <v>310</v>
      </c>
      <c r="B2646" t="s">
        <v>40</v>
      </c>
      <c r="C2646" t="s">
        <v>110</v>
      </c>
      <c r="D2646" t="s">
        <v>256</v>
      </c>
      <c r="E2646" s="2">
        <v>30.5</v>
      </c>
      <c r="F2646" s="4">
        <v>5</v>
      </c>
      <c r="G2646" s="2">
        <v>152.5</v>
      </c>
      <c r="H2646" t="s">
        <v>25</v>
      </c>
      <c r="I2646" t="s">
        <v>16</v>
      </c>
      <c r="J2646" s="1">
        <v>44843</v>
      </c>
      <c r="K2646" t="b">
        <v>1</v>
      </c>
    </row>
    <row r="2647" spans="1:11" x14ac:dyDescent="0.25">
      <c r="A2647" t="s">
        <v>3171</v>
      </c>
      <c r="B2647" t="s">
        <v>104</v>
      </c>
      <c r="C2647" t="s">
        <v>23</v>
      </c>
      <c r="D2647" t="s">
        <v>223</v>
      </c>
      <c r="E2647" s="2">
        <v>30.5</v>
      </c>
      <c r="F2647" s="4">
        <v>5</v>
      </c>
      <c r="G2647" s="2">
        <v>152.5</v>
      </c>
      <c r="H2647" t="s">
        <v>25</v>
      </c>
      <c r="I2647" t="s">
        <v>36</v>
      </c>
      <c r="J2647" s="1">
        <v>45229</v>
      </c>
      <c r="K2647" t="b">
        <v>1</v>
      </c>
    </row>
    <row r="2648" spans="1:11" x14ac:dyDescent="0.25">
      <c r="A2648" t="s">
        <v>6895</v>
      </c>
      <c r="B2648" t="s">
        <v>58</v>
      </c>
      <c r="C2648" t="s">
        <v>23</v>
      </c>
      <c r="D2648" t="s">
        <v>223</v>
      </c>
      <c r="E2648" s="2">
        <v>30.5</v>
      </c>
      <c r="F2648" s="4">
        <v>5</v>
      </c>
      <c r="G2648" s="2">
        <v>152.5</v>
      </c>
      <c r="H2648" t="s">
        <v>15</v>
      </c>
      <c r="I2648" t="s">
        <v>16</v>
      </c>
      <c r="J2648" s="1">
        <v>44741</v>
      </c>
      <c r="K2648" t="b">
        <v>0</v>
      </c>
    </row>
    <row r="2649" spans="1:11" x14ac:dyDescent="0.25">
      <c r="A2649" t="s">
        <v>5328</v>
      </c>
      <c r="B2649" t="s">
        <v>37</v>
      </c>
      <c r="C2649" t="s">
        <v>27</v>
      </c>
      <c r="D2649" t="s">
        <v>524</v>
      </c>
      <c r="E2649" s="2">
        <v>30.5</v>
      </c>
      <c r="F2649" s="4">
        <v>5</v>
      </c>
      <c r="G2649" s="2">
        <v>152.5</v>
      </c>
      <c r="H2649" t="s">
        <v>45</v>
      </c>
      <c r="I2649" t="s">
        <v>36</v>
      </c>
      <c r="J2649" s="1">
        <v>45239</v>
      </c>
      <c r="K2649" t="b">
        <v>1</v>
      </c>
    </row>
    <row r="2650" spans="1:11" x14ac:dyDescent="0.25">
      <c r="A2650" t="s">
        <v>2487</v>
      </c>
      <c r="B2650" t="s">
        <v>61</v>
      </c>
      <c r="C2650" t="s">
        <v>23</v>
      </c>
      <c r="D2650" t="s">
        <v>223</v>
      </c>
      <c r="E2650" s="2">
        <v>30.5</v>
      </c>
      <c r="F2650" s="4">
        <v>5</v>
      </c>
      <c r="G2650" s="2">
        <v>152.5</v>
      </c>
      <c r="H2650" t="s">
        <v>45</v>
      </c>
      <c r="I2650" t="s">
        <v>16</v>
      </c>
      <c r="J2650" s="1">
        <v>45565</v>
      </c>
      <c r="K2650" t="b">
        <v>0</v>
      </c>
    </row>
    <row r="2651" spans="1:11" x14ac:dyDescent="0.25">
      <c r="A2651" t="s">
        <v>2205</v>
      </c>
      <c r="B2651" t="s">
        <v>100</v>
      </c>
      <c r="C2651" t="s">
        <v>19</v>
      </c>
      <c r="D2651" t="s">
        <v>474</v>
      </c>
      <c r="E2651" s="2">
        <v>30.5</v>
      </c>
      <c r="F2651" s="4">
        <v>5</v>
      </c>
      <c r="G2651" s="2">
        <v>152.5</v>
      </c>
      <c r="H2651" t="s">
        <v>45</v>
      </c>
      <c r="I2651" t="s">
        <v>36</v>
      </c>
      <c r="J2651" s="1">
        <v>45220</v>
      </c>
      <c r="K2651" t="b">
        <v>1</v>
      </c>
    </row>
    <row r="2652" spans="1:11" x14ac:dyDescent="0.25">
      <c r="A2652" t="s">
        <v>6367</v>
      </c>
      <c r="B2652" t="s">
        <v>12</v>
      </c>
      <c r="C2652" t="s">
        <v>23</v>
      </c>
      <c r="D2652" t="s">
        <v>223</v>
      </c>
      <c r="E2652" s="2">
        <v>30.5</v>
      </c>
      <c r="F2652" s="4">
        <v>5</v>
      </c>
      <c r="G2652" s="2">
        <v>152.5</v>
      </c>
      <c r="H2652" t="s">
        <v>45</v>
      </c>
      <c r="I2652" t="s">
        <v>16</v>
      </c>
      <c r="J2652" s="1">
        <v>44677</v>
      </c>
      <c r="K2652" t="b">
        <v>0</v>
      </c>
    </row>
    <row r="2653" spans="1:11" x14ac:dyDescent="0.25">
      <c r="A2653" t="s">
        <v>1911</v>
      </c>
      <c r="B2653" t="s">
        <v>18</v>
      </c>
      <c r="C2653" t="s">
        <v>59</v>
      </c>
      <c r="D2653" t="s">
        <v>676</v>
      </c>
      <c r="E2653" s="2">
        <v>30.5</v>
      </c>
      <c r="F2653" s="4">
        <v>5</v>
      </c>
      <c r="G2653" s="2">
        <v>152.5</v>
      </c>
      <c r="H2653" t="s">
        <v>15</v>
      </c>
      <c r="I2653" t="s">
        <v>16</v>
      </c>
      <c r="J2653" s="1">
        <v>44989</v>
      </c>
      <c r="K2653" t="b">
        <v>0</v>
      </c>
    </row>
    <row r="2654" spans="1:11" x14ac:dyDescent="0.25">
      <c r="A2654" t="s">
        <v>2903</v>
      </c>
      <c r="B2654" t="s">
        <v>66</v>
      </c>
      <c r="C2654" t="s">
        <v>27</v>
      </c>
      <c r="D2654" t="s">
        <v>524</v>
      </c>
      <c r="E2654" s="2">
        <v>30.5</v>
      </c>
      <c r="F2654" s="4">
        <v>5</v>
      </c>
      <c r="G2654" s="2">
        <v>152.5</v>
      </c>
      <c r="H2654" t="s">
        <v>25</v>
      </c>
      <c r="I2654" t="s">
        <v>36</v>
      </c>
      <c r="J2654" s="1">
        <v>44983</v>
      </c>
      <c r="K2654" t="b">
        <v>0</v>
      </c>
    </row>
    <row r="2655" spans="1:11" x14ac:dyDescent="0.25">
      <c r="A2655" t="s">
        <v>4346</v>
      </c>
      <c r="B2655" t="s">
        <v>40</v>
      </c>
      <c r="C2655" t="s">
        <v>19</v>
      </c>
      <c r="D2655" t="s">
        <v>203</v>
      </c>
      <c r="E2655" s="2">
        <v>38</v>
      </c>
      <c r="F2655" s="4">
        <v>4</v>
      </c>
      <c r="G2655" s="2">
        <v>152</v>
      </c>
      <c r="H2655" t="s">
        <v>15</v>
      </c>
      <c r="I2655" t="s">
        <v>36</v>
      </c>
      <c r="J2655" s="1">
        <v>45155</v>
      </c>
      <c r="K2655" t="b">
        <v>1</v>
      </c>
    </row>
    <row r="2656" spans="1:11" x14ac:dyDescent="0.25">
      <c r="A2656" t="s">
        <v>1560</v>
      </c>
      <c r="B2656" t="s">
        <v>100</v>
      </c>
      <c r="C2656" t="s">
        <v>13</v>
      </c>
      <c r="D2656" t="s">
        <v>567</v>
      </c>
      <c r="E2656" s="2">
        <v>38</v>
      </c>
      <c r="F2656" s="4">
        <v>4</v>
      </c>
      <c r="G2656" s="2">
        <v>152</v>
      </c>
      <c r="H2656" t="s">
        <v>25</v>
      </c>
      <c r="I2656" t="s">
        <v>16</v>
      </c>
      <c r="J2656" s="1">
        <v>44943</v>
      </c>
      <c r="K2656" t="b">
        <v>0</v>
      </c>
    </row>
    <row r="2657" spans="1:11" x14ac:dyDescent="0.25">
      <c r="A2657" t="s">
        <v>2838</v>
      </c>
      <c r="B2657" t="s">
        <v>30</v>
      </c>
      <c r="C2657" t="s">
        <v>38</v>
      </c>
      <c r="D2657" t="s">
        <v>122</v>
      </c>
      <c r="E2657" s="2">
        <v>38</v>
      </c>
      <c r="F2657" s="4">
        <v>4</v>
      </c>
      <c r="G2657" s="2">
        <v>152</v>
      </c>
      <c r="H2657" t="s">
        <v>45</v>
      </c>
      <c r="I2657" t="s">
        <v>36</v>
      </c>
      <c r="J2657" s="1">
        <v>45574</v>
      </c>
      <c r="K2657" t="b">
        <v>1</v>
      </c>
    </row>
    <row r="2658" spans="1:11" x14ac:dyDescent="0.25">
      <c r="A2658" t="s">
        <v>4623</v>
      </c>
      <c r="B2658" t="s">
        <v>142</v>
      </c>
      <c r="C2658" t="s">
        <v>23</v>
      </c>
      <c r="D2658" t="s">
        <v>98</v>
      </c>
      <c r="E2658" s="2">
        <v>38</v>
      </c>
      <c r="F2658" s="4">
        <v>4</v>
      </c>
      <c r="G2658" s="2">
        <v>152</v>
      </c>
      <c r="H2658" t="s">
        <v>25</v>
      </c>
      <c r="I2658" t="s">
        <v>36</v>
      </c>
      <c r="J2658" s="1">
        <v>45126</v>
      </c>
      <c r="K2658" t="b">
        <v>1</v>
      </c>
    </row>
    <row r="2659" spans="1:11" x14ac:dyDescent="0.25">
      <c r="A2659" t="s">
        <v>4414</v>
      </c>
      <c r="B2659" t="s">
        <v>104</v>
      </c>
      <c r="C2659" t="s">
        <v>13</v>
      </c>
      <c r="D2659" t="s">
        <v>567</v>
      </c>
      <c r="E2659" s="2">
        <v>38</v>
      </c>
      <c r="F2659" s="4">
        <v>4</v>
      </c>
      <c r="G2659" s="2">
        <v>152</v>
      </c>
      <c r="H2659" t="s">
        <v>15</v>
      </c>
      <c r="I2659" t="s">
        <v>36</v>
      </c>
      <c r="J2659" s="1">
        <v>45454</v>
      </c>
      <c r="K2659" t="b">
        <v>0</v>
      </c>
    </row>
    <row r="2660" spans="1:11" x14ac:dyDescent="0.25">
      <c r="A2660" t="s">
        <v>665</v>
      </c>
      <c r="B2660" t="s">
        <v>66</v>
      </c>
      <c r="C2660" t="s">
        <v>59</v>
      </c>
      <c r="D2660" t="s">
        <v>275</v>
      </c>
      <c r="E2660" s="2">
        <v>38</v>
      </c>
      <c r="F2660" s="4">
        <v>4</v>
      </c>
      <c r="G2660" s="2">
        <v>152</v>
      </c>
      <c r="H2660" t="s">
        <v>15</v>
      </c>
      <c r="I2660" t="s">
        <v>16</v>
      </c>
      <c r="J2660" s="1">
        <v>44781</v>
      </c>
      <c r="K2660" t="b">
        <v>0</v>
      </c>
    </row>
    <row r="2661" spans="1:11" x14ac:dyDescent="0.25">
      <c r="A2661" t="s">
        <v>2953</v>
      </c>
      <c r="B2661" t="s">
        <v>66</v>
      </c>
      <c r="C2661" t="s">
        <v>59</v>
      </c>
      <c r="D2661" t="s">
        <v>275</v>
      </c>
      <c r="E2661" s="2">
        <v>38</v>
      </c>
      <c r="F2661" s="4">
        <v>4</v>
      </c>
      <c r="G2661" s="2">
        <v>152</v>
      </c>
      <c r="H2661" t="s">
        <v>25</v>
      </c>
      <c r="I2661" t="s">
        <v>36</v>
      </c>
      <c r="J2661" s="1">
        <v>44771</v>
      </c>
      <c r="K2661" t="b">
        <v>0</v>
      </c>
    </row>
    <row r="2662" spans="1:11" x14ac:dyDescent="0.25">
      <c r="A2662" t="s">
        <v>4356</v>
      </c>
      <c r="B2662" t="s">
        <v>72</v>
      </c>
      <c r="C2662" t="s">
        <v>23</v>
      </c>
      <c r="D2662" t="s">
        <v>98</v>
      </c>
      <c r="E2662" s="2">
        <v>38</v>
      </c>
      <c r="F2662" s="4">
        <v>4</v>
      </c>
      <c r="G2662" s="2">
        <v>152</v>
      </c>
      <c r="H2662" t="s">
        <v>15</v>
      </c>
      <c r="I2662" t="s">
        <v>16</v>
      </c>
      <c r="J2662" s="1">
        <v>45061</v>
      </c>
      <c r="K2662" t="b">
        <v>0</v>
      </c>
    </row>
    <row r="2663" spans="1:11" x14ac:dyDescent="0.25">
      <c r="A2663" t="s">
        <v>5019</v>
      </c>
      <c r="B2663" t="s">
        <v>56</v>
      </c>
      <c r="C2663" t="s">
        <v>13</v>
      </c>
      <c r="D2663" t="s">
        <v>567</v>
      </c>
      <c r="E2663" s="2">
        <v>38</v>
      </c>
      <c r="F2663" s="4">
        <v>4</v>
      </c>
      <c r="G2663" s="2">
        <v>152</v>
      </c>
      <c r="H2663" t="s">
        <v>15</v>
      </c>
      <c r="I2663" t="s">
        <v>36</v>
      </c>
      <c r="J2663" s="1">
        <v>45064</v>
      </c>
      <c r="K2663" t="b">
        <v>0</v>
      </c>
    </row>
    <row r="2664" spans="1:11" x14ac:dyDescent="0.25">
      <c r="A2664" t="s">
        <v>2354</v>
      </c>
      <c r="B2664" t="s">
        <v>85</v>
      </c>
      <c r="C2664" t="s">
        <v>23</v>
      </c>
      <c r="D2664" t="s">
        <v>98</v>
      </c>
      <c r="E2664" s="2">
        <v>38</v>
      </c>
      <c r="F2664" s="4">
        <v>4</v>
      </c>
      <c r="G2664" s="2">
        <v>152</v>
      </c>
      <c r="H2664" t="s">
        <v>25</v>
      </c>
      <c r="I2664" t="s">
        <v>36</v>
      </c>
      <c r="J2664" s="1">
        <v>45662</v>
      </c>
      <c r="K2664" t="b">
        <v>0</v>
      </c>
    </row>
    <row r="2665" spans="1:11" x14ac:dyDescent="0.25">
      <c r="A2665" t="s">
        <v>4758</v>
      </c>
      <c r="B2665" t="s">
        <v>85</v>
      </c>
      <c r="C2665" t="s">
        <v>110</v>
      </c>
      <c r="D2665" t="s">
        <v>534</v>
      </c>
      <c r="E2665" s="2">
        <v>38</v>
      </c>
      <c r="F2665" s="4">
        <v>4</v>
      </c>
      <c r="G2665" s="2">
        <v>152</v>
      </c>
      <c r="H2665" t="s">
        <v>25</v>
      </c>
      <c r="I2665" t="s">
        <v>36</v>
      </c>
      <c r="J2665" s="1">
        <v>44956</v>
      </c>
      <c r="K2665" t="b">
        <v>0</v>
      </c>
    </row>
    <row r="2666" spans="1:11" x14ac:dyDescent="0.25">
      <c r="A2666" t="s">
        <v>533</v>
      </c>
      <c r="B2666" t="s">
        <v>51</v>
      </c>
      <c r="C2666" t="s">
        <v>110</v>
      </c>
      <c r="D2666" t="s">
        <v>534</v>
      </c>
      <c r="E2666" s="2">
        <v>38</v>
      </c>
      <c r="F2666" s="4">
        <v>4</v>
      </c>
      <c r="G2666" s="2">
        <v>152</v>
      </c>
      <c r="H2666" t="s">
        <v>25</v>
      </c>
      <c r="I2666" t="s">
        <v>16</v>
      </c>
      <c r="J2666" s="1">
        <v>45669</v>
      </c>
      <c r="K2666" t="b">
        <v>1</v>
      </c>
    </row>
    <row r="2667" spans="1:11" x14ac:dyDescent="0.25">
      <c r="A2667" t="s">
        <v>5779</v>
      </c>
      <c r="B2667" t="s">
        <v>63</v>
      </c>
      <c r="C2667" t="s">
        <v>38</v>
      </c>
      <c r="D2667" t="s">
        <v>122</v>
      </c>
      <c r="E2667" s="2">
        <v>38</v>
      </c>
      <c r="F2667" s="4">
        <v>4</v>
      </c>
      <c r="G2667" s="2">
        <v>152</v>
      </c>
      <c r="H2667" t="s">
        <v>25</v>
      </c>
      <c r="I2667" t="s">
        <v>36</v>
      </c>
      <c r="J2667" s="1">
        <v>44753</v>
      </c>
      <c r="K2667" t="b">
        <v>0</v>
      </c>
    </row>
    <row r="2668" spans="1:11" x14ac:dyDescent="0.25">
      <c r="A2668" t="s">
        <v>6006</v>
      </c>
      <c r="B2668" t="s">
        <v>86</v>
      </c>
      <c r="C2668" t="s">
        <v>110</v>
      </c>
      <c r="D2668" t="s">
        <v>534</v>
      </c>
      <c r="E2668" s="2">
        <v>38</v>
      </c>
      <c r="F2668" s="4">
        <v>4</v>
      </c>
      <c r="G2668" s="2">
        <v>152</v>
      </c>
      <c r="H2668" t="s">
        <v>45</v>
      </c>
      <c r="I2668" t="s">
        <v>16</v>
      </c>
      <c r="J2668" s="1">
        <v>45087</v>
      </c>
      <c r="K2668" t="b">
        <v>0</v>
      </c>
    </row>
    <row r="2669" spans="1:11" x14ac:dyDescent="0.25">
      <c r="A2669" t="s">
        <v>1908</v>
      </c>
      <c r="B2669" t="s">
        <v>37</v>
      </c>
      <c r="C2669" t="s">
        <v>19</v>
      </c>
      <c r="D2669" t="s">
        <v>203</v>
      </c>
      <c r="E2669" s="2">
        <v>38</v>
      </c>
      <c r="F2669" s="4">
        <v>4</v>
      </c>
      <c r="G2669" s="2">
        <v>152</v>
      </c>
      <c r="H2669" t="s">
        <v>45</v>
      </c>
      <c r="I2669" t="s">
        <v>36</v>
      </c>
      <c r="J2669" s="1">
        <v>45141</v>
      </c>
      <c r="K2669" t="b">
        <v>0</v>
      </c>
    </row>
    <row r="2670" spans="1:11" x14ac:dyDescent="0.25">
      <c r="A2670" t="s">
        <v>3920</v>
      </c>
      <c r="B2670" t="s">
        <v>86</v>
      </c>
      <c r="C2670" t="s">
        <v>110</v>
      </c>
      <c r="D2670" t="s">
        <v>534</v>
      </c>
      <c r="E2670" s="2">
        <v>38</v>
      </c>
      <c r="F2670" s="4">
        <v>4</v>
      </c>
      <c r="G2670" s="2">
        <v>152</v>
      </c>
      <c r="H2670" t="s">
        <v>25</v>
      </c>
      <c r="I2670" t="s">
        <v>16</v>
      </c>
      <c r="J2670" s="1">
        <v>45554</v>
      </c>
      <c r="K2670" t="b">
        <v>1</v>
      </c>
    </row>
    <row r="2671" spans="1:11" x14ac:dyDescent="0.25">
      <c r="A2671" t="s">
        <v>7159</v>
      </c>
      <c r="B2671" t="s">
        <v>37</v>
      </c>
      <c r="C2671" t="s">
        <v>13</v>
      </c>
      <c r="D2671" t="s">
        <v>567</v>
      </c>
      <c r="E2671" s="2">
        <v>38</v>
      </c>
      <c r="F2671" s="4">
        <v>4</v>
      </c>
      <c r="G2671" s="2">
        <v>152</v>
      </c>
      <c r="H2671" t="s">
        <v>25</v>
      </c>
      <c r="I2671" t="s">
        <v>16</v>
      </c>
      <c r="J2671" s="1">
        <v>45650</v>
      </c>
      <c r="K2671" t="b">
        <v>0</v>
      </c>
    </row>
    <row r="2672" spans="1:11" x14ac:dyDescent="0.25">
      <c r="A2672" t="s">
        <v>3228</v>
      </c>
      <c r="B2672" t="s">
        <v>66</v>
      </c>
      <c r="C2672" t="s">
        <v>23</v>
      </c>
      <c r="D2672" t="s">
        <v>98</v>
      </c>
      <c r="E2672" s="2">
        <v>38</v>
      </c>
      <c r="F2672" s="4">
        <v>4</v>
      </c>
      <c r="G2672" s="2">
        <v>152</v>
      </c>
      <c r="H2672" t="s">
        <v>25</v>
      </c>
      <c r="I2672" t="s">
        <v>16</v>
      </c>
      <c r="J2672" s="1">
        <v>45057</v>
      </c>
      <c r="K2672" t="b">
        <v>1</v>
      </c>
    </row>
    <row r="2673" spans="1:11" x14ac:dyDescent="0.25">
      <c r="A2673" t="s">
        <v>4300</v>
      </c>
      <c r="B2673" t="s">
        <v>30</v>
      </c>
      <c r="C2673" t="s">
        <v>19</v>
      </c>
      <c r="D2673" t="s">
        <v>203</v>
      </c>
      <c r="E2673" s="2">
        <v>38</v>
      </c>
      <c r="F2673" s="4">
        <v>4</v>
      </c>
      <c r="G2673" s="2">
        <v>152</v>
      </c>
      <c r="H2673" t="s">
        <v>25</v>
      </c>
      <c r="I2673" t="s">
        <v>36</v>
      </c>
      <c r="J2673" s="1">
        <v>45169</v>
      </c>
      <c r="K2673" t="b">
        <v>0</v>
      </c>
    </row>
    <row r="2674" spans="1:11" x14ac:dyDescent="0.25">
      <c r="A2674" t="s">
        <v>5546</v>
      </c>
      <c r="B2674" t="s">
        <v>43</v>
      </c>
      <c r="C2674" t="s">
        <v>110</v>
      </c>
      <c r="D2674" t="s">
        <v>534</v>
      </c>
      <c r="E2674" s="2">
        <v>38</v>
      </c>
      <c r="F2674" s="4">
        <v>4</v>
      </c>
      <c r="G2674" s="2">
        <v>152</v>
      </c>
      <c r="H2674" t="s">
        <v>15</v>
      </c>
      <c r="I2674" t="s">
        <v>36</v>
      </c>
      <c r="J2674" s="1">
        <v>45263</v>
      </c>
      <c r="K2674" t="b">
        <v>0</v>
      </c>
    </row>
    <row r="2675" spans="1:11" x14ac:dyDescent="0.25">
      <c r="A2675" t="s">
        <v>7795</v>
      </c>
      <c r="B2675" t="s">
        <v>85</v>
      </c>
      <c r="C2675" t="s">
        <v>13</v>
      </c>
      <c r="D2675" t="s">
        <v>567</v>
      </c>
      <c r="E2675" s="2">
        <v>38</v>
      </c>
      <c r="F2675" s="4">
        <v>4</v>
      </c>
      <c r="G2675" s="2">
        <v>152</v>
      </c>
      <c r="H2675" t="s">
        <v>25</v>
      </c>
      <c r="I2675" t="s">
        <v>16</v>
      </c>
      <c r="J2675" s="1">
        <v>44676</v>
      </c>
      <c r="K2675" t="b">
        <v>1</v>
      </c>
    </row>
    <row r="2676" spans="1:11" x14ac:dyDescent="0.25">
      <c r="A2676" t="s">
        <v>6901</v>
      </c>
      <c r="B2676" t="s">
        <v>100</v>
      </c>
      <c r="C2676" t="s">
        <v>59</v>
      </c>
      <c r="D2676" t="s">
        <v>275</v>
      </c>
      <c r="E2676" s="2">
        <v>38</v>
      </c>
      <c r="F2676" s="4">
        <v>4</v>
      </c>
      <c r="G2676" s="2">
        <v>152</v>
      </c>
      <c r="H2676" t="s">
        <v>15</v>
      </c>
      <c r="I2676" t="s">
        <v>16</v>
      </c>
      <c r="J2676" s="1">
        <v>45103</v>
      </c>
      <c r="K2676" t="b">
        <v>0</v>
      </c>
    </row>
    <row r="2677" spans="1:11" x14ac:dyDescent="0.25">
      <c r="A2677" t="s">
        <v>3196</v>
      </c>
      <c r="B2677" t="s">
        <v>30</v>
      </c>
      <c r="C2677" t="s">
        <v>13</v>
      </c>
      <c r="D2677" t="s">
        <v>567</v>
      </c>
      <c r="E2677" s="2">
        <v>38</v>
      </c>
      <c r="F2677" s="4">
        <v>4</v>
      </c>
      <c r="G2677" s="2">
        <v>152</v>
      </c>
      <c r="H2677" t="s">
        <v>25</v>
      </c>
      <c r="I2677" t="s">
        <v>36</v>
      </c>
      <c r="J2677" s="1">
        <v>45595</v>
      </c>
      <c r="K2677" t="b">
        <v>1</v>
      </c>
    </row>
    <row r="2678" spans="1:11" x14ac:dyDescent="0.25">
      <c r="A2678" t="s">
        <v>1392</v>
      </c>
      <c r="B2678" t="s">
        <v>77</v>
      </c>
      <c r="C2678" t="s">
        <v>27</v>
      </c>
      <c r="D2678" t="s">
        <v>205</v>
      </c>
      <c r="E2678" s="2">
        <v>38</v>
      </c>
      <c r="F2678" s="4">
        <v>4</v>
      </c>
      <c r="G2678" s="2">
        <v>152</v>
      </c>
      <c r="H2678" t="s">
        <v>15</v>
      </c>
      <c r="I2678" t="s">
        <v>36</v>
      </c>
      <c r="J2678" s="1">
        <v>44734</v>
      </c>
      <c r="K2678" t="b">
        <v>1</v>
      </c>
    </row>
    <row r="2679" spans="1:11" x14ac:dyDescent="0.25">
      <c r="A2679" t="s">
        <v>3057</v>
      </c>
      <c r="B2679" t="s">
        <v>51</v>
      </c>
      <c r="C2679" t="s">
        <v>13</v>
      </c>
      <c r="D2679" t="s">
        <v>567</v>
      </c>
      <c r="E2679" s="2">
        <v>38</v>
      </c>
      <c r="F2679" s="4">
        <v>4</v>
      </c>
      <c r="G2679" s="2">
        <v>152</v>
      </c>
      <c r="H2679" t="s">
        <v>15</v>
      </c>
      <c r="I2679" t="s">
        <v>36</v>
      </c>
      <c r="J2679" s="1">
        <v>45236</v>
      </c>
      <c r="K2679" t="b">
        <v>0</v>
      </c>
    </row>
    <row r="2680" spans="1:11" x14ac:dyDescent="0.25">
      <c r="A2680" t="s">
        <v>5303</v>
      </c>
      <c r="B2680" t="s">
        <v>66</v>
      </c>
      <c r="C2680" t="s">
        <v>59</v>
      </c>
      <c r="D2680" t="s">
        <v>275</v>
      </c>
      <c r="E2680" s="2">
        <v>38</v>
      </c>
      <c r="F2680" s="4">
        <v>4</v>
      </c>
      <c r="G2680" s="2">
        <v>152</v>
      </c>
      <c r="H2680" t="s">
        <v>45</v>
      </c>
      <c r="I2680" t="s">
        <v>36</v>
      </c>
      <c r="J2680" s="1">
        <v>45516</v>
      </c>
      <c r="K2680" t="b">
        <v>0</v>
      </c>
    </row>
    <row r="2681" spans="1:11" x14ac:dyDescent="0.25">
      <c r="A2681" t="s">
        <v>2677</v>
      </c>
      <c r="B2681" t="s">
        <v>86</v>
      </c>
      <c r="C2681" t="s">
        <v>19</v>
      </c>
      <c r="D2681" t="s">
        <v>203</v>
      </c>
      <c r="E2681" s="2">
        <v>38</v>
      </c>
      <c r="F2681" s="4">
        <v>4</v>
      </c>
      <c r="G2681" s="2">
        <v>152</v>
      </c>
      <c r="H2681" t="s">
        <v>25</v>
      </c>
      <c r="I2681" t="s">
        <v>16</v>
      </c>
      <c r="J2681" s="1">
        <v>45123</v>
      </c>
      <c r="K2681" t="b">
        <v>0</v>
      </c>
    </row>
    <row r="2682" spans="1:11" x14ac:dyDescent="0.25">
      <c r="A2682" t="s">
        <v>3987</v>
      </c>
      <c r="B2682" t="s">
        <v>43</v>
      </c>
      <c r="C2682" t="s">
        <v>13</v>
      </c>
      <c r="D2682" t="s">
        <v>567</v>
      </c>
      <c r="E2682" s="2">
        <v>38</v>
      </c>
      <c r="F2682" s="4">
        <v>4</v>
      </c>
      <c r="G2682" s="2">
        <v>152</v>
      </c>
      <c r="H2682" t="s">
        <v>25</v>
      </c>
      <c r="I2682" t="s">
        <v>36</v>
      </c>
      <c r="J2682" s="1">
        <v>44598</v>
      </c>
      <c r="K2682" t="b">
        <v>1</v>
      </c>
    </row>
    <row r="2683" spans="1:11" x14ac:dyDescent="0.25">
      <c r="A2683" t="s">
        <v>3262</v>
      </c>
      <c r="B2683" t="s">
        <v>66</v>
      </c>
      <c r="C2683" t="s">
        <v>27</v>
      </c>
      <c r="D2683" t="s">
        <v>205</v>
      </c>
      <c r="E2683" s="2">
        <v>38</v>
      </c>
      <c r="F2683" s="4">
        <v>4</v>
      </c>
      <c r="G2683" s="2">
        <v>152</v>
      </c>
      <c r="H2683" t="s">
        <v>15</v>
      </c>
      <c r="I2683" t="s">
        <v>36</v>
      </c>
      <c r="J2683" s="1">
        <v>44576</v>
      </c>
      <c r="K2683" t="b">
        <v>0</v>
      </c>
    </row>
    <row r="2684" spans="1:11" x14ac:dyDescent="0.25">
      <c r="A2684" t="s">
        <v>6463</v>
      </c>
      <c r="B2684" t="s">
        <v>86</v>
      </c>
      <c r="C2684" t="s">
        <v>38</v>
      </c>
      <c r="D2684" t="s">
        <v>122</v>
      </c>
      <c r="E2684" s="2">
        <v>38</v>
      </c>
      <c r="F2684" s="4">
        <v>4</v>
      </c>
      <c r="G2684" s="2">
        <v>152</v>
      </c>
      <c r="H2684" t="s">
        <v>45</v>
      </c>
      <c r="I2684" t="s">
        <v>16</v>
      </c>
      <c r="J2684" s="1">
        <v>45045</v>
      </c>
      <c r="K2684" t="b">
        <v>0</v>
      </c>
    </row>
    <row r="2685" spans="1:11" x14ac:dyDescent="0.25">
      <c r="A2685" t="s">
        <v>4896</v>
      </c>
      <c r="B2685" t="s">
        <v>18</v>
      </c>
      <c r="C2685" t="s">
        <v>27</v>
      </c>
      <c r="D2685" t="s">
        <v>315</v>
      </c>
      <c r="E2685" s="2">
        <v>21.5</v>
      </c>
      <c r="F2685" s="4">
        <v>7</v>
      </c>
      <c r="G2685" s="2">
        <v>150.5</v>
      </c>
      <c r="H2685" t="s">
        <v>15</v>
      </c>
      <c r="I2685" t="s">
        <v>16</v>
      </c>
      <c r="J2685" s="1">
        <v>45067</v>
      </c>
      <c r="K2685" t="b">
        <v>0</v>
      </c>
    </row>
    <row r="2686" spans="1:11" x14ac:dyDescent="0.25">
      <c r="A2686" t="s">
        <v>5336</v>
      </c>
      <c r="B2686" t="s">
        <v>86</v>
      </c>
      <c r="C2686" t="s">
        <v>27</v>
      </c>
      <c r="D2686" t="s">
        <v>315</v>
      </c>
      <c r="E2686" s="2">
        <v>21.5</v>
      </c>
      <c r="F2686" s="4">
        <v>7</v>
      </c>
      <c r="G2686" s="2">
        <v>150.5</v>
      </c>
      <c r="H2686" t="s">
        <v>25</v>
      </c>
      <c r="I2686" t="s">
        <v>16</v>
      </c>
      <c r="J2686" s="1">
        <v>45377</v>
      </c>
      <c r="K2686" t="b">
        <v>0</v>
      </c>
    </row>
    <row r="2687" spans="1:11" x14ac:dyDescent="0.25">
      <c r="A2687" t="s">
        <v>6767</v>
      </c>
      <c r="B2687" t="s">
        <v>22</v>
      </c>
      <c r="C2687" t="s">
        <v>59</v>
      </c>
      <c r="D2687" t="s">
        <v>288</v>
      </c>
      <c r="E2687" s="2">
        <v>21.5</v>
      </c>
      <c r="F2687" s="4">
        <v>7</v>
      </c>
      <c r="G2687" s="2">
        <v>150.5</v>
      </c>
      <c r="H2687" t="s">
        <v>15</v>
      </c>
      <c r="I2687" t="s">
        <v>36</v>
      </c>
      <c r="J2687" s="1">
        <v>44823</v>
      </c>
      <c r="K2687" t="b">
        <v>0</v>
      </c>
    </row>
    <row r="2688" spans="1:11" x14ac:dyDescent="0.25">
      <c r="A2688" t="s">
        <v>5225</v>
      </c>
      <c r="B2688" t="s">
        <v>12</v>
      </c>
      <c r="C2688" t="s">
        <v>59</v>
      </c>
      <c r="D2688" t="s">
        <v>288</v>
      </c>
      <c r="E2688" s="2">
        <v>21.5</v>
      </c>
      <c r="F2688" s="4">
        <v>7</v>
      </c>
      <c r="G2688" s="2">
        <v>150.5</v>
      </c>
      <c r="H2688" t="s">
        <v>25</v>
      </c>
      <c r="I2688" t="s">
        <v>16</v>
      </c>
      <c r="J2688" s="1">
        <v>44981</v>
      </c>
      <c r="K2688" t="b">
        <v>1</v>
      </c>
    </row>
    <row r="2689" spans="1:11" x14ac:dyDescent="0.25">
      <c r="A2689" t="s">
        <v>2326</v>
      </c>
      <c r="B2689" t="s">
        <v>12</v>
      </c>
      <c r="C2689" t="s">
        <v>59</v>
      </c>
      <c r="D2689" t="s">
        <v>288</v>
      </c>
      <c r="E2689" s="2">
        <v>21.5</v>
      </c>
      <c r="F2689" s="4">
        <v>7</v>
      </c>
      <c r="G2689" s="2">
        <v>150.5</v>
      </c>
      <c r="H2689" t="s">
        <v>25</v>
      </c>
      <c r="I2689" t="s">
        <v>36</v>
      </c>
      <c r="J2689" s="1">
        <v>45297</v>
      </c>
      <c r="K2689" t="b">
        <v>0</v>
      </c>
    </row>
    <row r="2690" spans="1:11" x14ac:dyDescent="0.25">
      <c r="A2690" t="s">
        <v>6020</v>
      </c>
      <c r="B2690" t="s">
        <v>22</v>
      </c>
      <c r="C2690" t="s">
        <v>19</v>
      </c>
      <c r="D2690" t="s">
        <v>1410</v>
      </c>
      <c r="E2690" s="2">
        <v>21.5</v>
      </c>
      <c r="F2690" s="4">
        <v>7</v>
      </c>
      <c r="G2690" s="2">
        <v>150.5</v>
      </c>
      <c r="H2690" t="s">
        <v>25</v>
      </c>
      <c r="I2690" t="s">
        <v>36</v>
      </c>
      <c r="J2690" s="1">
        <v>44898</v>
      </c>
      <c r="K2690" t="b">
        <v>1</v>
      </c>
    </row>
    <row r="2691" spans="1:11" x14ac:dyDescent="0.25">
      <c r="A2691" t="s">
        <v>4814</v>
      </c>
      <c r="B2691" t="s">
        <v>51</v>
      </c>
      <c r="C2691" t="s">
        <v>59</v>
      </c>
      <c r="D2691" t="s">
        <v>288</v>
      </c>
      <c r="E2691" s="2">
        <v>21.5</v>
      </c>
      <c r="F2691" s="4">
        <v>7</v>
      </c>
      <c r="G2691" s="2">
        <v>150.5</v>
      </c>
      <c r="H2691" t="s">
        <v>45</v>
      </c>
      <c r="I2691" t="s">
        <v>16</v>
      </c>
      <c r="J2691" s="1">
        <v>45563</v>
      </c>
      <c r="K2691" t="b">
        <v>0</v>
      </c>
    </row>
    <row r="2692" spans="1:11" x14ac:dyDescent="0.25">
      <c r="A2692" t="s">
        <v>4836</v>
      </c>
      <c r="B2692" t="s">
        <v>69</v>
      </c>
      <c r="C2692" t="s">
        <v>27</v>
      </c>
      <c r="D2692" t="s">
        <v>315</v>
      </c>
      <c r="E2692" s="2">
        <v>21.5</v>
      </c>
      <c r="F2692" s="4">
        <v>7</v>
      </c>
      <c r="G2692" s="2">
        <v>150.5</v>
      </c>
      <c r="H2692" t="s">
        <v>15</v>
      </c>
      <c r="I2692" t="s">
        <v>36</v>
      </c>
      <c r="J2692" s="1">
        <v>45485</v>
      </c>
      <c r="K2692" t="b">
        <v>0</v>
      </c>
    </row>
    <row r="2693" spans="1:11" x14ac:dyDescent="0.25">
      <c r="A2693" t="s">
        <v>2885</v>
      </c>
      <c r="B2693" t="s">
        <v>56</v>
      </c>
      <c r="C2693" t="s">
        <v>31</v>
      </c>
      <c r="D2693" t="s">
        <v>108</v>
      </c>
      <c r="E2693" s="2">
        <v>21.5</v>
      </c>
      <c r="F2693" s="4">
        <v>7</v>
      </c>
      <c r="G2693" s="2">
        <v>150.5</v>
      </c>
      <c r="H2693" t="s">
        <v>45</v>
      </c>
      <c r="I2693" t="s">
        <v>36</v>
      </c>
      <c r="J2693" s="1">
        <v>45329</v>
      </c>
      <c r="K2693" t="b">
        <v>1</v>
      </c>
    </row>
    <row r="2694" spans="1:11" x14ac:dyDescent="0.25">
      <c r="A2694" t="s">
        <v>7042</v>
      </c>
      <c r="B2694" t="s">
        <v>85</v>
      </c>
      <c r="C2694" t="s">
        <v>110</v>
      </c>
      <c r="D2694" t="s">
        <v>451</v>
      </c>
      <c r="E2694" s="2">
        <v>21.5</v>
      </c>
      <c r="F2694" s="4">
        <v>7</v>
      </c>
      <c r="G2694" s="2">
        <v>150.5</v>
      </c>
      <c r="H2694" t="s">
        <v>25</v>
      </c>
      <c r="I2694" t="s">
        <v>36</v>
      </c>
      <c r="J2694" s="1">
        <v>44957</v>
      </c>
      <c r="K2694" t="b">
        <v>0</v>
      </c>
    </row>
    <row r="2695" spans="1:11" x14ac:dyDescent="0.25">
      <c r="A2695" t="s">
        <v>6588</v>
      </c>
      <c r="B2695" t="s">
        <v>104</v>
      </c>
      <c r="C2695" t="s">
        <v>13</v>
      </c>
      <c r="D2695" t="s">
        <v>141</v>
      </c>
      <c r="E2695" s="2">
        <v>21.5</v>
      </c>
      <c r="F2695" s="4">
        <v>7</v>
      </c>
      <c r="G2695" s="2">
        <v>150.5</v>
      </c>
      <c r="H2695" t="s">
        <v>15</v>
      </c>
      <c r="I2695" t="s">
        <v>36</v>
      </c>
      <c r="J2695" s="1">
        <v>45435</v>
      </c>
      <c r="K2695" t="b">
        <v>1</v>
      </c>
    </row>
    <row r="2696" spans="1:11" x14ac:dyDescent="0.25">
      <c r="A2696" t="s">
        <v>458</v>
      </c>
      <c r="B2696" t="s">
        <v>22</v>
      </c>
      <c r="C2696" t="s">
        <v>59</v>
      </c>
      <c r="D2696" t="s">
        <v>288</v>
      </c>
      <c r="E2696" s="2">
        <v>21.5</v>
      </c>
      <c r="F2696" s="4">
        <v>7</v>
      </c>
      <c r="G2696" s="2">
        <v>150.5</v>
      </c>
      <c r="H2696" t="s">
        <v>45</v>
      </c>
      <c r="I2696" t="s">
        <v>36</v>
      </c>
      <c r="J2696" s="1">
        <v>45365</v>
      </c>
      <c r="K2696" t="b">
        <v>1</v>
      </c>
    </row>
    <row r="2697" spans="1:11" x14ac:dyDescent="0.25">
      <c r="A2697" t="s">
        <v>6128</v>
      </c>
      <c r="B2697" t="s">
        <v>58</v>
      </c>
      <c r="C2697" t="s">
        <v>31</v>
      </c>
      <c r="D2697" t="s">
        <v>108</v>
      </c>
      <c r="E2697" s="2">
        <v>21.5</v>
      </c>
      <c r="F2697" s="4">
        <v>7</v>
      </c>
      <c r="G2697" s="2">
        <v>150.5</v>
      </c>
      <c r="H2697" t="s">
        <v>25</v>
      </c>
      <c r="I2697" t="s">
        <v>16</v>
      </c>
      <c r="J2697" s="1">
        <v>45477</v>
      </c>
      <c r="K2697" t="b">
        <v>0</v>
      </c>
    </row>
    <row r="2698" spans="1:11" x14ac:dyDescent="0.25">
      <c r="A2698" t="s">
        <v>4619</v>
      </c>
      <c r="B2698" t="s">
        <v>63</v>
      </c>
      <c r="C2698" t="s">
        <v>59</v>
      </c>
      <c r="D2698" t="s">
        <v>288</v>
      </c>
      <c r="E2698" s="2">
        <v>21.5</v>
      </c>
      <c r="F2698" s="4">
        <v>7</v>
      </c>
      <c r="G2698" s="2">
        <v>150.5</v>
      </c>
      <c r="H2698" t="s">
        <v>45</v>
      </c>
      <c r="I2698" t="s">
        <v>36</v>
      </c>
      <c r="J2698" s="1">
        <v>45098</v>
      </c>
      <c r="K2698" t="b">
        <v>0</v>
      </c>
    </row>
    <row r="2699" spans="1:11" x14ac:dyDescent="0.25">
      <c r="A2699" t="s">
        <v>5053</v>
      </c>
      <c r="B2699" t="s">
        <v>69</v>
      </c>
      <c r="C2699" t="s">
        <v>13</v>
      </c>
      <c r="D2699" t="s">
        <v>141</v>
      </c>
      <c r="E2699" s="2">
        <v>21.5</v>
      </c>
      <c r="F2699" s="4">
        <v>7</v>
      </c>
      <c r="G2699" s="2">
        <v>150.5</v>
      </c>
      <c r="H2699" t="s">
        <v>45</v>
      </c>
      <c r="I2699" t="s">
        <v>36</v>
      </c>
      <c r="J2699" s="1">
        <v>44714</v>
      </c>
      <c r="K2699" t="b">
        <v>1</v>
      </c>
    </row>
    <row r="2700" spans="1:11" x14ac:dyDescent="0.25">
      <c r="A2700" t="s">
        <v>653</v>
      </c>
      <c r="B2700" t="s">
        <v>63</v>
      </c>
      <c r="C2700" t="s">
        <v>110</v>
      </c>
      <c r="D2700" t="s">
        <v>451</v>
      </c>
      <c r="E2700" s="2">
        <v>21.5</v>
      </c>
      <c r="F2700" s="4">
        <v>7</v>
      </c>
      <c r="G2700" s="2">
        <v>150.5</v>
      </c>
      <c r="H2700" t="s">
        <v>45</v>
      </c>
      <c r="I2700" t="s">
        <v>16</v>
      </c>
      <c r="J2700" s="1">
        <v>44667</v>
      </c>
      <c r="K2700" t="b">
        <v>0</v>
      </c>
    </row>
    <row r="2701" spans="1:11" x14ac:dyDescent="0.25">
      <c r="A2701" t="s">
        <v>3533</v>
      </c>
      <c r="B2701" t="s">
        <v>40</v>
      </c>
      <c r="C2701" t="s">
        <v>23</v>
      </c>
      <c r="D2701" t="s">
        <v>24</v>
      </c>
      <c r="E2701" s="2">
        <v>21.5</v>
      </c>
      <c r="F2701" s="4">
        <v>7</v>
      </c>
      <c r="G2701" s="2">
        <v>150.5</v>
      </c>
      <c r="H2701" t="s">
        <v>25</v>
      </c>
      <c r="I2701" t="s">
        <v>16</v>
      </c>
      <c r="J2701" s="1">
        <v>45348</v>
      </c>
      <c r="K2701" t="b">
        <v>0</v>
      </c>
    </row>
    <row r="2702" spans="1:11" x14ac:dyDescent="0.25">
      <c r="A2702" t="s">
        <v>1446</v>
      </c>
      <c r="B2702" t="s">
        <v>100</v>
      </c>
      <c r="C2702" t="s">
        <v>59</v>
      </c>
      <c r="D2702" t="s">
        <v>288</v>
      </c>
      <c r="E2702" s="2">
        <v>21.5</v>
      </c>
      <c r="F2702" s="4">
        <v>7</v>
      </c>
      <c r="G2702" s="2">
        <v>150.5</v>
      </c>
      <c r="H2702" t="s">
        <v>15</v>
      </c>
      <c r="I2702" t="s">
        <v>16</v>
      </c>
      <c r="J2702" s="1">
        <v>44699</v>
      </c>
      <c r="K2702" t="b">
        <v>0</v>
      </c>
    </row>
    <row r="2703" spans="1:11" x14ac:dyDescent="0.25">
      <c r="A2703" t="s">
        <v>5250</v>
      </c>
      <c r="B2703" t="s">
        <v>93</v>
      </c>
      <c r="C2703" t="s">
        <v>31</v>
      </c>
      <c r="D2703" t="s">
        <v>108</v>
      </c>
      <c r="E2703" s="2">
        <v>21.5</v>
      </c>
      <c r="F2703" s="4">
        <v>7</v>
      </c>
      <c r="G2703" s="2">
        <v>150.5</v>
      </c>
      <c r="H2703" t="s">
        <v>45</v>
      </c>
      <c r="I2703" t="s">
        <v>36</v>
      </c>
      <c r="J2703" s="1">
        <v>44930</v>
      </c>
      <c r="K2703" t="b">
        <v>0</v>
      </c>
    </row>
    <row r="2704" spans="1:11" x14ac:dyDescent="0.25">
      <c r="A2704" t="s">
        <v>5256</v>
      </c>
      <c r="B2704" t="s">
        <v>43</v>
      </c>
      <c r="C2704" t="s">
        <v>110</v>
      </c>
      <c r="D2704" t="s">
        <v>451</v>
      </c>
      <c r="E2704" s="2">
        <v>21.5</v>
      </c>
      <c r="F2704" s="4">
        <v>7</v>
      </c>
      <c r="G2704" s="2">
        <v>150.5</v>
      </c>
      <c r="H2704" t="s">
        <v>25</v>
      </c>
      <c r="I2704" t="s">
        <v>36</v>
      </c>
      <c r="J2704" s="1">
        <v>44749</v>
      </c>
      <c r="K2704" t="b">
        <v>0</v>
      </c>
    </row>
    <row r="2705" spans="1:11" x14ac:dyDescent="0.25">
      <c r="A2705" t="s">
        <v>3162</v>
      </c>
      <c r="B2705" t="s">
        <v>58</v>
      </c>
      <c r="C2705" t="s">
        <v>110</v>
      </c>
      <c r="D2705" t="s">
        <v>451</v>
      </c>
      <c r="E2705" s="2">
        <v>21.5</v>
      </c>
      <c r="F2705" s="4">
        <v>7</v>
      </c>
      <c r="G2705" s="2">
        <v>150.5</v>
      </c>
      <c r="H2705" t="s">
        <v>25</v>
      </c>
      <c r="I2705" t="s">
        <v>36</v>
      </c>
      <c r="J2705" s="1">
        <v>44802</v>
      </c>
      <c r="K2705" t="b">
        <v>1</v>
      </c>
    </row>
    <row r="2706" spans="1:11" x14ac:dyDescent="0.25">
      <c r="A2706" t="s">
        <v>5887</v>
      </c>
      <c r="B2706" t="s">
        <v>30</v>
      </c>
      <c r="C2706" t="s">
        <v>38</v>
      </c>
      <c r="D2706" t="s">
        <v>509</v>
      </c>
      <c r="E2706" s="2">
        <v>21.5</v>
      </c>
      <c r="F2706" s="4">
        <v>7</v>
      </c>
      <c r="G2706" s="2">
        <v>150.5</v>
      </c>
      <c r="H2706" t="s">
        <v>25</v>
      </c>
      <c r="I2706" t="s">
        <v>36</v>
      </c>
      <c r="J2706" s="1">
        <v>45140</v>
      </c>
      <c r="K2706" t="b">
        <v>0</v>
      </c>
    </row>
    <row r="2707" spans="1:11" x14ac:dyDescent="0.25">
      <c r="A2707" t="s">
        <v>2882</v>
      </c>
      <c r="B2707" t="s">
        <v>22</v>
      </c>
      <c r="C2707" t="s">
        <v>27</v>
      </c>
      <c r="D2707" t="s">
        <v>315</v>
      </c>
      <c r="E2707" s="2">
        <v>21.5</v>
      </c>
      <c r="F2707" s="4">
        <v>7</v>
      </c>
      <c r="G2707" s="2">
        <v>150.5</v>
      </c>
      <c r="H2707" t="s">
        <v>15</v>
      </c>
      <c r="I2707" t="s">
        <v>16</v>
      </c>
      <c r="J2707" s="1">
        <v>44733</v>
      </c>
      <c r="K2707" t="b">
        <v>0</v>
      </c>
    </row>
    <row r="2708" spans="1:11" x14ac:dyDescent="0.25">
      <c r="A2708" t="s">
        <v>7611</v>
      </c>
      <c r="B2708" t="s">
        <v>104</v>
      </c>
      <c r="C2708" t="s">
        <v>27</v>
      </c>
      <c r="D2708" t="s">
        <v>315</v>
      </c>
      <c r="E2708" s="2">
        <v>21.5</v>
      </c>
      <c r="F2708" s="4">
        <v>7</v>
      </c>
      <c r="G2708" s="2">
        <v>150.5</v>
      </c>
      <c r="H2708" t="s">
        <v>25</v>
      </c>
      <c r="I2708" t="s">
        <v>36</v>
      </c>
      <c r="J2708" s="1">
        <v>45498</v>
      </c>
      <c r="K2708" t="b">
        <v>0</v>
      </c>
    </row>
    <row r="2709" spans="1:11" x14ac:dyDescent="0.25">
      <c r="A2709" t="s">
        <v>2633</v>
      </c>
      <c r="B2709" t="s">
        <v>40</v>
      </c>
      <c r="C2709" t="s">
        <v>13</v>
      </c>
      <c r="D2709" t="s">
        <v>141</v>
      </c>
      <c r="E2709" s="2">
        <v>21.5</v>
      </c>
      <c r="F2709" s="4">
        <v>7</v>
      </c>
      <c r="G2709" s="2">
        <v>150.5</v>
      </c>
      <c r="H2709" t="s">
        <v>45</v>
      </c>
      <c r="I2709" t="s">
        <v>36</v>
      </c>
      <c r="J2709" s="1">
        <v>45366</v>
      </c>
      <c r="K2709" t="b">
        <v>1</v>
      </c>
    </row>
    <row r="2710" spans="1:11" x14ac:dyDescent="0.25">
      <c r="A2710" t="s">
        <v>6992</v>
      </c>
      <c r="B2710" t="s">
        <v>58</v>
      </c>
      <c r="C2710" t="s">
        <v>13</v>
      </c>
      <c r="D2710" t="s">
        <v>141</v>
      </c>
      <c r="E2710" s="2">
        <v>21.5</v>
      </c>
      <c r="F2710" s="4">
        <v>7</v>
      </c>
      <c r="G2710" s="2">
        <v>150.5</v>
      </c>
      <c r="H2710" t="s">
        <v>45</v>
      </c>
      <c r="I2710" t="s">
        <v>36</v>
      </c>
      <c r="J2710" s="1">
        <v>45428</v>
      </c>
      <c r="K2710" t="b">
        <v>1</v>
      </c>
    </row>
    <row r="2711" spans="1:11" x14ac:dyDescent="0.25">
      <c r="A2711" t="s">
        <v>7318</v>
      </c>
      <c r="B2711" t="s">
        <v>18</v>
      </c>
      <c r="C2711" t="s">
        <v>27</v>
      </c>
      <c r="D2711" t="s">
        <v>315</v>
      </c>
      <c r="E2711" s="2">
        <v>21.5</v>
      </c>
      <c r="F2711" s="4">
        <v>7</v>
      </c>
      <c r="G2711" s="2">
        <v>150.5</v>
      </c>
      <c r="H2711" t="s">
        <v>25</v>
      </c>
      <c r="I2711" t="s">
        <v>36</v>
      </c>
      <c r="J2711" s="1">
        <v>44797</v>
      </c>
      <c r="K2711" t="b">
        <v>1</v>
      </c>
    </row>
    <row r="2712" spans="1:11" x14ac:dyDescent="0.25">
      <c r="A2712" t="s">
        <v>5455</v>
      </c>
      <c r="B2712" t="s">
        <v>58</v>
      </c>
      <c r="C2712" t="s">
        <v>59</v>
      </c>
      <c r="D2712" t="s">
        <v>288</v>
      </c>
      <c r="E2712" s="2">
        <v>21.5</v>
      </c>
      <c r="F2712" s="4">
        <v>7</v>
      </c>
      <c r="G2712" s="2">
        <v>150.5</v>
      </c>
      <c r="H2712" t="s">
        <v>25</v>
      </c>
      <c r="I2712" t="s">
        <v>16</v>
      </c>
      <c r="J2712" s="1">
        <v>45289</v>
      </c>
      <c r="K2712" t="b">
        <v>1</v>
      </c>
    </row>
    <row r="2713" spans="1:11" x14ac:dyDescent="0.25">
      <c r="A2713" t="s">
        <v>1566</v>
      </c>
      <c r="B2713" t="s">
        <v>77</v>
      </c>
      <c r="C2713" t="s">
        <v>110</v>
      </c>
      <c r="D2713" t="s">
        <v>451</v>
      </c>
      <c r="E2713" s="2">
        <v>21.5</v>
      </c>
      <c r="F2713" s="4">
        <v>7</v>
      </c>
      <c r="G2713" s="2">
        <v>150.5</v>
      </c>
      <c r="H2713" t="s">
        <v>45</v>
      </c>
      <c r="I2713" t="s">
        <v>36</v>
      </c>
      <c r="J2713" s="1">
        <v>45030</v>
      </c>
      <c r="K2713" t="b">
        <v>0</v>
      </c>
    </row>
    <row r="2714" spans="1:11" x14ac:dyDescent="0.25">
      <c r="A2714" t="s">
        <v>2722</v>
      </c>
      <c r="B2714" t="s">
        <v>77</v>
      </c>
      <c r="C2714" t="s">
        <v>13</v>
      </c>
      <c r="D2714" t="s">
        <v>141</v>
      </c>
      <c r="E2714" s="2">
        <v>21.5</v>
      </c>
      <c r="F2714" s="4">
        <v>7</v>
      </c>
      <c r="G2714" s="2">
        <v>150.5</v>
      </c>
      <c r="H2714" t="s">
        <v>15</v>
      </c>
      <c r="I2714" t="s">
        <v>16</v>
      </c>
      <c r="J2714" s="1">
        <v>45115</v>
      </c>
      <c r="K2714" t="b">
        <v>0</v>
      </c>
    </row>
    <row r="2715" spans="1:11" x14ac:dyDescent="0.25">
      <c r="A2715" t="s">
        <v>320</v>
      </c>
      <c r="B2715" t="s">
        <v>37</v>
      </c>
      <c r="C2715" t="s">
        <v>31</v>
      </c>
      <c r="D2715" t="s">
        <v>108</v>
      </c>
      <c r="E2715" s="2">
        <v>21.5</v>
      </c>
      <c r="F2715" s="4">
        <v>7</v>
      </c>
      <c r="G2715" s="2">
        <v>150.5</v>
      </c>
      <c r="H2715" t="s">
        <v>15</v>
      </c>
      <c r="I2715" t="s">
        <v>36</v>
      </c>
      <c r="J2715" s="1">
        <v>45548</v>
      </c>
      <c r="K2715" t="b">
        <v>0</v>
      </c>
    </row>
    <row r="2716" spans="1:11" x14ac:dyDescent="0.25">
      <c r="A2716" t="s">
        <v>5321</v>
      </c>
      <c r="B2716" t="s">
        <v>97</v>
      </c>
      <c r="C2716" t="s">
        <v>59</v>
      </c>
      <c r="D2716" t="s">
        <v>288</v>
      </c>
      <c r="E2716" s="2">
        <v>21.5</v>
      </c>
      <c r="F2716" s="4">
        <v>7</v>
      </c>
      <c r="G2716" s="2">
        <v>150.5</v>
      </c>
      <c r="H2716" t="s">
        <v>45</v>
      </c>
      <c r="I2716" t="s">
        <v>36</v>
      </c>
      <c r="J2716" s="1">
        <v>44982</v>
      </c>
      <c r="K2716" t="b">
        <v>1</v>
      </c>
    </row>
    <row r="2717" spans="1:11" x14ac:dyDescent="0.25">
      <c r="A2717" t="s">
        <v>957</v>
      </c>
      <c r="B2717" t="s">
        <v>86</v>
      </c>
      <c r="C2717" t="s">
        <v>27</v>
      </c>
      <c r="D2717" t="s">
        <v>315</v>
      </c>
      <c r="E2717" s="2">
        <v>21.5</v>
      </c>
      <c r="F2717" s="4">
        <v>7</v>
      </c>
      <c r="G2717" s="2">
        <v>150.5</v>
      </c>
      <c r="H2717" t="s">
        <v>45</v>
      </c>
      <c r="I2717" t="s">
        <v>16</v>
      </c>
      <c r="J2717" s="1">
        <v>45446</v>
      </c>
      <c r="K2717" t="b">
        <v>0</v>
      </c>
    </row>
    <row r="2718" spans="1:11" x14ac:dyDescent="0.25">
      <c r="A2718" t="s">
        <v>4875</v>
      </c>
      <c r="B2718" t="s">
        <v>100</v>
      </c>
      <c r="C2718" t="s">
        <v>110</v>
      </c>
      <c r="D2718" t="s">
        <v>451</v>
      </c>
      <c r="E2718" s="2">
        <v>21.5</v>
      </c>
      <c r="F2718" s="4">
        <v>7</v>
      </c>
      <c r="G2718" s="2">
        <v>150.5</v>
      </c>
      <c r="H2718" t="s">
        <v>45</v>
      </c>
      <c r="I2718" t="s">
        <v>36</v>
      </c>
      <c r="J2718" s="1">
        <v>45589</v>
      </c>
      <c r="K2718" t="b">
        <v>1</v>
      </c>
    </row>
    <row r="2719" spans="1:11" x14ac:dyDescent="0.25">
      <c r="A2719" t="s">
        <v>5987</v>
      </c>
      <c r="B2719" t="s">
        <v>56</v>
      </c>
      <c r="C2719" t="s">
        <v>13</v>
      </c>
      <c r="D2719" t="s">
        <v>141</v>
      </c>
      <c r="E2719" s="2">
        <v>21.5</v>
      </c>
      <c r="F2719" s="4">
        <v>7</v>
      </c>
      <c r="G2719" s="2">
        <v>150.5</v>
      </c>
      <c r="H2719" t="s">
        <v>15</v>
      </c>
      <c r="I2719" t="s">
        <v>16</v>
      </c>
      <c r="J2719" s="1">
        <v>44766</v>
      </c>
      <c r="K2719" t="b">
        <v>0</v>
      </c>
    </row>
    <row r="2720" spans="1:11" x14ac:dyDescent="0.25">
      <c r="A2720" t="s">
        <v>4026</v>
      </c>
      <c r="B2720" t="s">
        <v>100</v>
      </c>
      <c r="C2720" t="s">
        <v>13</v>
      </c>
      <c r="D2720" t="s">
        <v>141</v>
      </c>
      <c r="E2720" s="2">
        <v>21.5</v>
      </c>
      <c r="F2720" s="4">
        <v>7</v>
      </c>
      <c r="G2720" s="2">
        <v>150.5</v>
      </c>
      <c r="H2720" t="s">
        <v>25</v>
      </c>
      <c r="I2720" t="s">
        <v>16</v>
      </c>
      <c r="J2720" s="1">
        <v>44788</v>
      </c>
      <c r="K2720" t="b">
        <v>0</v>
      </c>
    </row>
    <row r="2721" spans="1:11" x14ac:dyDescent="0.25">
      <c r="A2721" t="s">
        <v>4413</v>
      </c>
      <c r="B2721" t="s">
        <v>40</v>
      </c>
      <c r="C2721" t="s">
        <v>31</v>
      </c>
      <c r="D2721" t="s">
        <v>108</v>
      </c>
      <c r="E2721" s="2">
        <v>21.5</v>
      </c>
      <c r="F2721" s="4">
        <v>7</v>
      </c>
      <c r="G2721" s="2">
        <v>150.5</v>
      </c>
      <c r="H2721" t="s">
        <v>15</v>
      </c>
      <c r="I2721" t="s">
        <v>36</v>
      </c>
      <c r="J2721" s="1">
        <v>45173</v>
      </c>
      <c r="K2721" t="b">
        <v>1</v>
      </c>
    </row>
    <row r="2722" spans="1:11" x14ac:dyDescent="0.25">
      <c r="A2722" t="s">
        <v>1269</v>
      </c>
      <c r="B2722" t="s">
        <v>97</v>
      </c>
      <c r="C2722" t="s">
        <v>110</v>
      </c>
      <c r="D2722" t="s">
        <v>451</v>
      </c>
      <c r="E2722" s="2">
        <v>21.5</v>
      </c>
      <c r="F2722" s="4">
        <v>7</v>
      </c>
      <c r="G2722" s="2">
        <v>150.5</v>
      </c>
      <c r="H2722" t="s">
        <v>45</v>
      </c>
      <c r="I2722" t="s">
        <v>36</v>
      </c>
      <c r="J2722" s="1">
        <v>45099</v>
      </c>
      <c r="K2722" t="b">
        <v>0</v>
      </c>
    </row>
    <row r="2723" spans="1:11" x14ac:dyDescent="0.25">
      <c r="A2723" t="s">
        <v>6941</v>
      </c>
      <c r="B2723" t="s">
        <v>18</v>
      </c>
      <c r="C2723" t="s">
        <v>13</v>
      </c>
      <c r="D2723" t="s">
        <v>141</v>
      </c>
      <c r="E2723" s="2">
        <v>21.5</v>
      </c>
      <c r="F2723" s="4">
        <v>7</v>
      </c>
      <c r="G2723" s="2">
        <v>150.5</v>
      </c>
      <c r="H2723" t="s">
        <v>15</v>
      </c>
      <c r="I2723" t="s">
        <v>16</v>
      </c>
      <c r="J2723" s="1">
        <v>45014</v>
      </c>
      <c r="K2723" t="b">
        <v>0</v>
      </c>
    </row>
    <row r="2724" spans="1:11" x14ac:dyDescent="0.25">
      <c r="A2724" t="s">
        <v>2963</v>
      </c>
      <c r="B2724" t="s">
        <v>69</v>
      </c>
      <c r="C2724" t="s">
        <v>38</v>
      </c>
      <c r="D2724" t="s">
        <v>509</v>
      </c>
      <c r="E2724" s="2">
        <v>21.5</v>
      </c>
      <c r="F2724" s="4">
        <v>7</v>
      </c>
      <c r="G2724" s="2">
        <v>150.5</v>
      </c>
      <c r="H2724" t="s">
        <v>25</v>
      </c>
      <c r="I2724" t="s">
        <v>16</v>
      </c>
      <c r="J2724" s="1">
        <v>45572</v>
      </c>
      <c r="K2724" t="b">
        <v>1</v>
      </c>
    </row>
    <row r="2725" spans="1:11" x14ac:dyDescent="0.25">
      <c r="A2725" t="s">
        <v>7222</v>
      </c>
      <c r="B2725" t="s">
        <v>72</v>
      </c>
      <c r="C2725" t="s">
        <v>59</v>
      </c>
      <c r="D2725" t="s">
        <v>288</v>
      </c>
      <c r="E2725" s="2">
        <v>21.5</v>
      </c>
      <c r="F2725" s="4">
        <v>7</v>
      </c>
      <c r="G2725" s="2">
        <v>150.5</v>
      </c>
      <c r="H2725" t="s">
        <v>15</v>
      </c>
      <c r="I2725" t="s">
        <v>36</v>
      </c>
      <c r="J2725" s="1">
        <v>45231</v>
      </c>
      <c r="K2725" t="b">
        <v>0</v>
      </c>
    </row>
    <row r="2726" spans="1:11" x14ac:dyDescent="0.25">
      <c r="A2726" t="s">
        <v>3652</v>
      </c>
      <c r="B2726" t="s">
        <v>18</v>
      </c>
      <c r="C2726" t="s">
        <v>110</v>
      </c>
      <c r="D2726" t="s">
        <v>451</v>
      </c>
      <c r="E2726" s="2">
        <v>21.5</v>
      </c>
      <c r="F2726" s="4">
        <v>7</v>
      </c>
      <c r="G2726" s="2">
        <v>150.5</v>
      </c>
      <c r="H2726" t="s">
        <v>45</v>
      </c>
      <c r="I2726" t="s">
        <v>16</v>
      </c>
      <c r="J2726" s="1">
        <v>44573</v>
      </c>
      <c r="K2726" t="b">
        <v>0</v>
      </c>
    </row>
    <row r="2727" spans="1:11" x14ac:dyDescent="0.25">
      <c r="A2727" t="s">
        <v>1663</v>
      </c>
      <c r="B2727" t="s">
        <v>66</v>
      </c>
      <c r="C2727" t="s">
        <v>31</v>
      </c>
      <c r="D2727" t="s">
        <v>108</v>
      </c>
      <c r="E2727" s="2">
        <v>21.5</v>
      </c>
      <c r="F2727" s="4">
        <v>7</v>
      </c>
      <c r="G2727" s="2">
        <v>150.5</v>
      </c>
      <c r="H2727" t="s">
        <v>15</v>
      </c>
      <c r="I2727" t="s">
        <v>36</v>
      </c>
      <c r="J2727" s="1">
        <v>45365</v>
      </c>
      <c r="K2727" t="b">
        <v>1</v>
      </c>
    </row>
    <row r="2728" spans="1:11" x14ac:dyDescent="0.25">
      <c r="A2728" t="s">
        <v>2865</v>
      </c>
      <c r="B2728" t="s">
        <v>12</v>
      </c>
      <c r="C2728" t="s">
        <v>110</v>
      </c>
      <c r="D2728" t="s">
        <v>189</v>
      </c>
      <c r="E2728" s="2">
        <v>18.5</v>
      </c>
      <c r="F2728" s="4">
        <v>8</v>
      </c>
      <c r="G2728" s="2">
        <v>148</v>
      </c>
      <c r="H2728" t="s">
        <v>25</v>
      </c>
      <c r="I2728" t="s">
        <v>16</v>
      </c>
      <c r="J2728" s="1">
        <v>44902</v>
      </c>
      <c r="K2728" t="b">
        <v>1</v>
      </c>
    </row>
    <row r="2729" spans="1:11" x14ac:dyDescent="0.25">
      <c r="A2729" t="s">
        <v>1082</v>
      </c>
      <c r="B2729" t="s">
        <v>104</v>
      </c>
      <c r="C2729" t="s">
        <v>59</v>
      </c>
      <c r="D2729" t="s">
        <v>102</v>
      </c>
      <c r="E2729" s="2">
        <v>18.5</v>
      </c>
      <c r="F2729" s="4">
        <v>8</v>
      </c>
      <c r="G2729" s="2">
        <v>148</v>
      </c>
      <c r="H2729" t="s">
        <v>25</v>
      </c>
      <c r="I2729" t="s">
        <v>16</v>
      </c>
      <c r="J2729" s="1">
        <v>45017</v>
      </c>
      <c r="K2729" t="b">
        <v>1</v>
      </c>
    </row>
    <row r="2730" spans="1:11" x14ac:dyDescent="0.25">
      <c r="A2730" t="s">
        <v>4202</v>
      </c>
      <c r="B2730" t="s">
        <v>34</v>
      </c>
      <c r="C2730" t="s">
        <v>110</v>
      </c>
      <c r="D2730" t="s">
        <v>189</v>
      </c>
      <c r="E2730" s="2">
        <v>18.5</v>
      </c>
      <c r="F2730" s="4">
        <v>8</v>
      </c>
      <c r="G2730" s="2">
        <v>148</v>
      </c>
      <c r="H2730" t="s">
        <v>45</v>
      </c>
      <c r="I2730" t="s">
        <v>36</v>
      </c>
      <c r="J2730" s="1">
        <v>45227</v>
      </c>
      <c r="K2730" t="b">
        <v>0</v>
      </c>
    </row>
    <row r="2731" spans="1:11" x14ac:dyDescent="0.25">
      <c r="A2731" t="s">
        <v>3666</v>
      </c>
      <c r="B2731" t="s">
        <v>51</v>
      </c>
      <c r="C2731" t="s">
        <v>23</v>
      </c>
      <c r="D2731" t="s">
        <v>771</v>
      </c>
      <c r="E2731" s="2">
        <v>18.5</v>
      </c>
      <c r="F2731" s="4">
        <v>8</v>
      </c>
      <c r="G2731" s="2">
        <v>148</v>
      </c>
      <c r="H2731" t="s">
        <v>45</v>
      </c>
      <c r="I2731" t="s">
        <v>36</v>
      </c>
      <c r="J2731" s="1">
        <v>45479</v>
      </c>
      <c r="K2731" t="b">
        <v>1</v>
      </c>
    </row>
    <row r="2732" spans="1:11" x14ac:dyDescent="0.25">
      <c r="A2732" t="s">
        <v>3679</v>
      </c>
      <c r="B2732" t="s">
        <v>34</v>
      </c>
      <c r="C2732" t="s">
        <v>59</v>
      </c>
      <c r="D2732" t="s">
        <v>102</v>
      </c>
      <c r="E2732" s="2">
        <v>18.5</v>
      </c>
      <c r="F2732" s="4">
        <v>8</v>
      </c>
      <c r="G2732" s="2">
        <v>148</v>
      </c>
      <c r="H2732" t="s">
        <v>45</v>
      </c>
      <c r="I2732" t="s">
        <v>36</v>
      </c>
      <c r="J2732" s="1">
        <v>44720</v>
      </c>
      <c r="K2732" t="b">
        <v>0</v>
      </c>
    </row>
    <row r="2733" spans="1:11" x14ac:dyDescent="0.25">
      <c r="A2733" t="s">
        <v>3161</v>
      </c>
      <c r="B2733" t="s">
        <v>56</v>
      </c>
      <c r="C2733" t="s">
        <v>38</v>
      </c>
      <c r="D2733" t="s">
        <v>94</v>
      </c>
      <c r="E2733" s="2">
        <v>18.5</v>
      </c>
      <c r="F2733" s="4">
        <v>8</v>
      </c>
      <c r="G2733" s="2">
        <v>148</v>
      </c>
      <c r="H2733" t="s">
        <v>15</v>
      </c>
      <c r="I2733" t="s">
        <v>36</v>
      </c>
      <c r="J2733" s="1">
        <v>44766</v>
      </c>
      <c r="K2733" t="b">
        <v>0</v>
      </c>
    </row>
    <row r="2734" spans="1:11" x14ac:dyDescent="0.25">
      <c r="A2734" t="s">
        <v>7646</v>
      </c>
      <c r="B2734" t="s">
        <v>26</v>
      </c>
      <c r="C2734" t="s">
        <v>23</v>
      </c>
      <c r="D2734" t="s">
        <v>771</v>
      </c>
      <c r="E2734" s="2">
        <v>18.5</v>
      </c>
      <c r="F2734" s="4">
        <v>8</v>
      </c>
      <c r="G2734" s="2">
        <v>148</v>
      </c>
      <c r="H2734" t="s">
        <v>25</v>
      </c>
      <c r="I2734" t="s">
        <v>36</v>
      </c>
      <c r="J2734" s="1">
        <v>44881</v>
      </c>
      <c r="K2734" t="b">
        <v>1</v>
      </c>
    </row>
    <row r="2735" spans="1:11" x14ac:dyDescent="0.25">
      <c r="A2735" t="s">
        <v>2514</v>
      </c>
      <c r="B2735" t="s">
        <v>69</v>
      </c>
      <c r="C2735" t="s">
        <v>59</v>
      </c>
      <c r="D2735" t="s">
        <v>102</v>
      </c>
      <c r="E2735" s="2">
        <v>18.5</v>
      </c>
      <c r="F2735" s="4">
        <v>8</v>
      </c>
      <c r="G2735" s="2">
        <v>148</v>
      </c>
      <c r="H2735" t="s">
        <v>15</v>
      </c>
      <c r="I2735" t="s">
        <v>16</v>
      </c>
      <c r="J2735" s="1">
        <v>44797</v>
      </c>
      <c r="K2735" t="b">
        <v>0</v>
      </c>
    </row>
    <row r="2736" spans="1:11" x14ac:dyDescent="0.25">
      <c r="A2736" t="s">
        <v>5610</v>
      </c>
      <c r="B2736" t="s">
        <v>86</v>
      </c>
      <c r="C2736" t="s">
        <v>38</v>
      </c>
      <c r="D2736" t="s">
        <v>94</v>
      </c>
      <c r="E2736" s="2">
        <v>18.5</v>
      </c>
      <c r="F2736" s="4">
        <v>8</v>
      </c>
      <c r="G2736" s="2">
        <v>148</v>
      </c>
      <c r="H2736" t="s">
        <v>25</v>
      </c>
      <c r="I2736" t="s">
        <v>16</v>
      </c>
      <c r="J2736" s="1">
        <v>45573</v>
      </c>
      <c r="K2736" t="b">
        <v>0</v>
      </c>
    </row>
    <row r="2737" spans="1:11" x14ac:dyDescent="0.25">
      <c r="A2737" t="s">
        <v>1022</v>
      </c>
      <c r="B2737" t="s">
        <v>97</v>
      </c>
      <c r="C2737" t="s">
        <v>31</v>
      </c>
      <c r="D2737" t="s">
        <v>67</v>
      </c>
      <c r="E2737" s="2">
        <v>18.5</v>
      </c>
      <c r="F2737" s="4">
        <v>8</v>
      </c>
      <c r="G2737" s="2">
        <v>148</v>
      </c>
      <c r="H2737" t="s">
        <v>45</v>
      </c>
      <c r="I2737" t="s">
        <v>36</v>
      </c>
      <c r="J2737" s="1">
        <v>45528</v>
      </c>
      <c r="K2737" t="b">
        <v>1</v>
      </c>
    </row>
    <row r="2738" spans="1:11" x14ac:dyDescent="0.25">
      <c r="A2738" t="s">
        <v>5970</v>
      </c>
      <c r="B2738" t="s">
        <v>40</v>
      </c>
      <c r="C2738" t="s">
        <v>13</v>
      </c>
      <c r="D2738" t="s">
        <v>14</v>
      </c>
      <c r="E2738" s="2">
        <v>18.5</v>
      </c>
      <c r="F2738" s="4">
        <v>8</v>
      </c>
      <c r="G2738" s="2">
        <v>148</v>
      </c>
      <c r="H2738" t="s">
        <v>45</v>
      </c>
      <c r="I2738" t="s">
        <v>16</v>
      </c>
      <c r="J2738" s="1">
        <v>44926</v>
      </c>
      <c r="K2738" t="b">
        <v>1</v>
      </c>
    </row>
    <row r="2739" spans="1:11" x14ac:dyDescent="0.25">
      <c r="A2739" t="s">
        <v>5018</v>
      </c>
      <c r="B2739" t="s">
        <v>22</v>
      </c>
      <c r="C2739" t="s">
        <v>110</v>
      </c>
      <c r="D2739" t="s">
        <v>189</v>
      </c>
      <c r="E2739" s="2">
        <v>18.5</v>
      </c>
      <c r="F2739" s="4">
        <v>8</v>
      </c>
      <c r="G2739" s="2">
        <v>148</v>
      </c>
      <c r="H2739" t="s">
        <v>15</v>
      </c>
      <c r="I2739" t="s">
        <v>36</v>
      </c>
      <c r="J2739" s="1">
        <v>45254</v>
      </c>
      <c r="K2739" t="b">
        <v>0</v>
      </c>
    </row>
    <row r="2740" spans="1:11" x14ac:dyDescent="0.25">
      <c r="A2740" t="s">
        <v>6215</v>
      </c>
      <c r="B2740" t="s">
        <v>66</v>
      </c>
      <c r="C2740" t="s">
        <v>13</v>
      </c>
      <c r="D2740" t="s">
        <v>14</v>
      </c>
      <c r="E2740" s="2">
        <v>18.5</v>
      </c>
      <c r="F2740" s="4">
        <v>8</v>
      </c>
      <c r="G2740" s="2">
        <v>148</v>
      </c>
      <c r="H2740" t="s">
        <v>25</v>
      </c>
      <c r="I2740" t="s">
        <v>36</v>
      </c>
      <c r="J2740" s="1">
        <v>45563</v>
      </c>
      <c r="K2740" t="b">
        <v>1</v>
      </c>
    </row>
    <row r="2741" spans="1:11" x14ac:dyDescent="0.25">
      <c r="A2741" t="s">
        <v>3862</v>
      </c>
      <c r="B2741" t="s">
        <v>63</v>
      </c>
      <c r="C2741" t="s">
        <v>31</v>
      </c>
      <c r="D2741" t="s">
        <v>67</v>
      </c>
      <c r="E2741" s="2">
        <v>18.5</v>
      </c>
      <c r="F2741" s="4">
        <v>8</v>
      </c>
      <c r="G2741" s="2">
        <v>148</v>
      </c>
      <c r="H2741" t="s">
        <v>25</v>
      </c>
      <c r="I2741" t="s">
        <v>36</v>
      </c>
      <c r="J2741" s="1">
        <v>45539</v>
      </c>
      <c r="K2741" t="b">
        <v>0</v>
      </c>
    </row>
    <row r="2742" spans="1:11" x14ac:dyDescent="0.25">
      <c r="A2742" t="s">
        <v>1448</v>
      </c>
      <c r="B2742" t="s">
        <v>63</v>
      </c>
      <c r="C2742" t="s">
        <v>110</v>
      </c>
      <c r="D2742" t="s">
        <v>189</v>
      </c>
      <c r="E2742" s="2">
        <v>18.5</v>
      </c>
      <c r="F2742" s="4">
        <v>8</v>
      </c>
      <c r="G2742" s="2">
        <v>148</v>
      </c>
      <c r="H2742" t="s">
        <v>45</v>
      </c>
      <c r="I2742" t="s">
        <v>36</v>
      </c>
      <c r="J2742" s="1">
        <v>44629</v>
      </c>
      <c r="K2742" t="b">
        <v>1</v>
      </c>
    </row>
    <row r="2743" spans="1:11" x14ac:dyDescent="0.25">
      <c r="A2743" t="s">
        <v>2208</v>
      </c>
      <c r="B2743" t="s">
        <v>43</v>
      </c>
      <c r="C2743" t="s">
        <v>27</v>
      </c>
      <c r="D2743" t="s">
        <v>384</v>
      </c>
      <c r="E2743" s="2">
        <v>18.5</v>
      </c>
      <c r="F2743" s="4">
        <v>8</v>
      </c>
      <c r="G2743" s="2">
        <v>148</v>
      </c>
      <c r="H2743" t="s">
        <v>45</v>
      </c>
      <c r="I2743" t="s">
        <v>36</v>
      </c>
      <c r="J2743" s="1">
        <v>44913</v>
      </c>
      <c r="K2743" t="b">
        <v>1</v>
      </c>
    </row>
    <row r="2744" spans="1:11" x14ac:dyDescent="0.25">
      <c r="A2744" t="s">
        <v>1202</v>
      </c>
      <c r="B2744" t="s">
        <v>30</v>
      </c>
      <c r="C2744" t="s">
        <v>31</v>
      </c>
      <c r="D2744" t="s">
        <v>67</v>
      </c>
      <c r="E2744" s="2">
        <v>18.5</v>
      </c>
      <c r="F2744" s="4">
        <v>8</v>
      </c>
      <c r="G2744" s="2">
        <v>148</v>
      </c>
      <c r="H2744" t="s">
        <v>25</v>
      </c>
      <c r="I2744" t="s">
        <v>36</v>
      </c>
      <c r="J2744" s="1">
        <v>45604</v>
      </c>
      <c r="K2744" t="b">
        <v>1</v>
      </c>
    </row>
    <row r="2745" spans="1:11" x14ac:dyDescent="0.25">
      <c r="A2745" t="s">
        <v>2202</v>
      </c>
      <c r="B2745" t="s">
        <v>77</v>
      </c>
      <c r="C2745" t="s">
        <v>59</v>
      </c>
      <c r="D2745" t="s">
        <v>102</v>
      </c>
      <c r="E2745" s="2">
        <v>18.5</v>
      </c>
      <c r="F2745" s="4">
        <v>8</v>
      </c>
      <c r="G2745" s="2">
        <v>148</v>
      </c>
      <c r="H2745" t="s">
        <v>25</v>
      </c>
      <c r="I2745" t="s">
        <v>16</v>
      </c>
      <c r="J2745" s="1">
        <v>45048</v>
      </c>
      <c r="K2745" t="b">
        <v>1</v>
      </c>
    </row>
    <row r="2746" spans="1:11" x14ac:dyDescent="0.25">
      <c r="A2746" t="s">
        <v>7409</v>
      </c>
      <c r="B2746" t="s">
        <v>56</v>
      </c>
      <c r="C2746" t="s">
        <v>19</v>
      </c>
      <c r="D2746" t="s">
        <v>1452</v>
      </c>
      <c r="E2746" s="2">
        <v>18.5</v>
      </c>
      <c r="F2746" s="4">
        <v>8</v>
      </c>
      <c r="G2746" s="2">
        <v>148</v>
      </c>
      <c r="H2746" t="s">
        <v>15</v>
      </c>
      <c r="I2746" t="s">
        <v>16</v>
      </c>
      <c r="J2746" s="1">
        <v>45240</v>
      </c>
      <c r="K2746" t="b">
        <v>0</v>
      </c>
    </row>
    <row r="2747" spans="1:11" x14ac:dyDescent="0.25">
      <c r="A2747" t="s">
        <v>448</v>
      </c>
      <c r="B2747" t="s">
        <v>63</v>
      </c>
      <c r="C2747" t="s">
        <v>110</v>
      </c>
      <c r="D2747" t="s">
        <v>253</v>
      </c>
      <c r="E2747" s="2">
        <v>24.5</v>
      </c>
      <c r="F2747" s="4">
        <v>6</v>
      </c>
      <c r="G2747" s="2">
        <v>147</v>
      </c>
      <c r="H2747" t="s">
        <v>15</v>
      </c>
      <c r="I2747" t="s">
        <v>36</v>
      </c>
      <c r="J2747" s="1">
        <v>44680</v>
      </c>
      <c r="K2747" t="b">
        <v>0</v>
      </c>
    </row>
    <row r="2748" spans="1:11" x14ac:dyDescent="0.25">
      <c r="A2748" t="s">
        <v>2632</v>
      </c>
      <c r="B2748" t="s">
        <v>43</v>
      </c>
      <c r="C2748" t="s">
        <v>23</v>
      </c>
      <c r="D2748" t="s">
        <v>430</v>
      </c>
      <c r="E2748" s="2">
        <v>24.5</v>
      </c>
      <c r="F2748" s="4">
        <v>6</v>
      </c>
      <c r="G2748" s="2">
        <v>147</v>
      </c>
      <c r="H2748" t="s">
        <v>45</v>
      </c>
      <c r="I2748" t="s">
        <v>16</v>
      </c>
      <c r="J2748" s="1">
        <v>45660</v>
      </c>
      <c r="K2748" t="b">
        <v>0</v>
      </c>
    </row>
    <row r="2749" spans="1:11" x14ac:dyDescent="0.25">
      <c r="A2749" t="s">
        <v>7365</v>
      </c>
      <c r="B2749" t="s">
        <v>86</v>
      </c>
      <c r="C2749" t="s">
        <v>13</v>
      </c>
      <c r="D2749" t="s">
        <v>139</v>
      </c>
      <c r="E2749" s="2">
        <v>24.5</v>
      </c>
      <c r="F2749" s="4">
        <v>6</v>
      </c>
      <c r="G2749" s="2">
        <v>147</v>
      </c>
      <c r="H2749" t="s">
        <v>45</v>
      </c>
      <c r="I2749" t="s">
        <v>16</v>
      </c>
      <c r="J2749" s="1">
        <v>44625</v>
      </c>
      <c r="K2749" t="b">
        <v>0</v>
      </c>
    </row>
    <row r="2750" spans="1:11" x14ac:dyDescent="0.25">
      <c r="A2750" t="s">
        <v>6775</v>
      </c>
      <c r="B2750" t="s">
        <v>58</v>
      </c>
      <c r="C2750" t="s">
        <v>110</v>
      </c>
      <c r="D2750" t="s">
        <v>253</v>
      </c>
      <c r="E2750" s="2">
        <v>24.5</v>
      </c>
      <c r="F2750" s="4">
        <v>6</v>
      </c>
      <c r="G2750" s="2">
        <v>147</v>
      </c>
      <c r="H2750" t="s">
        <v>45</v>
      </c>
      <c r="I2750" t="s">
        <v>36</v>
      </c>
      <c r="J2750" s="1">
        <v>45091</v>
      </c>
      <c r="K2750" t="b">
        <v>0</v>
      </c>
    </row>
    <row r="2751" spans="1:11" x14ac:dyDescent="0.25">
      <c r="A2751" t="s">
        <v>461</v>
      </c>
      <c r="B2751" t="s">
        <v>56</v>
      </c>
      <c r="C2751" t="s">
        <v>13</v>
      </c>
      <c r="D2751" t="s">
        <v>139</v>
      </c>
      <c r="E2751" s="2">
        <v>24.5</v>
      </c>
      <c r="F2751" s="4">
        <v>6</v>
      </c>
      <c r="G2751" s="2">
        <v>147</v>
      </c>
      <c r="H2751" t="s">
        <v>45</v>
      </c>
      <c r="I2751" t="s">
        <v>36</v>
      </c>
      <c r="J2751" s="1">
        <v>45663</v>
      </c>
      <c r="K2751" t="b">
        <v>1</v>
      </c>
    </row>
    <row r="2752" spans="1:11" x14ac:dyDescent="0.25">
      <c r="A2752" t="s">
        <v>5039</v>
      </c>
      <c r="B2752" t="s">
        <v>40</v>
      </c>
      <c r="C2752" t="s">
        <v>23</v>
      </c>
      <c r="D2752" t="s">
        <v>430</v>
      </c>
      <c r="E2752" s="2">
        <v>24.5</v>
      </c>
      <c r="F2752" s="4">
        <v>6</v>
      </c>
      <c r="G2752" s="2">
        <v>147</v>
      </c>
      <c r="H2752" t="s">
        <v>45</v>
      </c>
      <c r="I2752" t="s">
        <v>36</v>
      </c>
      <c r="J2752" s="1">
        <v>44877</v>
      </c>
      <c r="K2752" t="b">
        <v>1</v>
      </c>
    </row>
    <row r="2753" spans="1:11" x14ac:dyDescent="0.25">
      <c r="A2753" t="s">
        <v>3727</v>
      </c>
      <c r="B2753" t="s">
        <v>43</v>
      </c>
      <c r="C2753" t="s">
        <v>31</v>
      </c>
      <c r="D2753" t="s">
        <v>78</v>
      </c>
      <c r="E2753" s="2">
        <v>24.5</v>
      </c>
      <c r="F2753" s="4">
        <v>6</v>
      </c>
      <c r="G2753" s="2">
        <v>147</v>
      </c>
      <c r="H2753" t="s">
        <v>45</v>
      </c>
      <c r="I2753" t="s">
        <v>16</v>
      </c>
      <c r="J2753" s="1">
        <v>45215</v>
      </c>
      <c r="K2753" t="b">
        <v>0</v>
      </c>
    </row>
    <row r="2754" spans="1:11" x14ac:dyDescent="0.25">
      <c r="A2754" t="s">
        <v>405</v>
      </c>
      <c r="B2754" t="s">
        <v>61</v>
      </c>
      <c r="C2754" t="s">
        <v>31</v>
      </c>
      <c r="D2754" t="s">
        <v>78</v>
      </c>
      <c r="E2754" s="2">
        <v>24.5</v>
      </c>
      <c r="F2754" s="4">
        <v>6</v>
      </c>
      <c r="G2754" s="2">
        <v>147</v>
      </c>
      <c r="H2754" t="s">
        <v>45</v>
      </c>
      <c r="I2754" t="s">
        <v>36</v>
      </c>
      <c r="J2754" s="1">
        <v>45057</v>
      </c>
      <c r="K2754" t="b">
        <v>0</v>
      </c>
    </row>
    <row r="2755" spans="1:11" x14ac:dyDescent="0.25">
      <c r="A2755" t="s">
        <v>4967</v>
      </c>
      <c r="B2755" t="s">
        <v>93</v>
      </c>
      <c r="C2755" t="s">
        <v>31</v>
      </c>
      <c r="D2755" t="s">
        <v>78</v>
      </c>
      <c r="E2755" s="2">
        <v>24.5</v>
      </c>
      <c r="F2755" s="4">
        <v>6</v>
      </c>
      <c r="G2755" s="2">
        <v>147</v>
      </c>
      <c r="H2755" t="s">
        <v>15</v>
      </c>
      <c r="I2755" t="s">
        <v>16</v>
      </c>
      <c r="J2755" s="1">
        <v>45580</v>
      </c>
      <c r="K2755" t="b">
        <v>1</v>
      </c>
    </row>
    <row r="2756" spans="1:11" x14ac:dyDescent="0.25">
      <c r="A2756" t="s">
        <v>7119</v>
      </c>
      <c r="B2756" t="s">
        <v>26</v>
      </c>
      <c r="C2756" t="s">
        <v>31</v>
      </c>
      <c r="D2756" t="s">
        <v>78</v>
      </c>
      <c r="E2756" s="2">
        <v>24.5</v>
      </c>
      <c r="F2756" s="4">
        <v>6</v>
      </c>
      <c r="G2756" s="2">
        <v>147</v>
      </c>
      <c r="H2756" t="s">
        <v>45</v>
      </c>
      <c r="I2756" t="s">
        <v>36</v>
      </c>
      <c r="J2756" s="1">
        <v>45196</v>
      </c>
      <c r="K2756" t="b">
        <v>1</v>
      </c>
    </row>
    <row r="2757" spans="1:11" x14ac:dyDescent="0.25">
      <c r="A2757" t="s">
        <v>3185</v>
      </c>
      <c r="B2757" t="s">
        <v>18</v>
      </c>
      <c r="C2757" t="s">
        <v>19</v>
      </c>
      <c r="D2757" t="s">
        <v>487</v>
      </c>
      <c r="E2757" s="2">
        <v>24.5</v>
      </c>
      <c r="F2757" s="4">
        <v>6</v>
      </c>
      <c r="G2757" s="2">
        <v>147</v>
      </c>
      <c r="H2757" t="s">
        <v>15</v>
      </c>
      <c r="I2757" t="s">
        <v>36</v>
      </c>
      <c r="J2757" s="1">
        <v>44889</v>
      </c>
      <c r="K2757" t="b">
        <v>1</v>
      </c>
    </row>
    <row r="2758" spans="1:11" x14ac:dyDescent="0.25">
      <c r="A2758" t="s">
        <v>4545</v>
      </c>
      <c r="B2758" t="s">
        <v>22</v>
      </c>
      <c r="C2758" t="s">
        <v>31</v>
      </c>
      <c r="D2758" t="s">
        <v>78</v>
      </c>
      <c r="E2758" s="2">
        <v>24.5</v>
      </c>
      <c r="F2758" s="4">
        <v>6</v>
      </c>
      <c r="G2758" s="2">
        <v>147</v>
      </c>
      <c r="H2758" t="s">
        <v>15</v>
      </c>
      <c r="I2758" t="s">
        <v>36</v>
      </c>
      <c r="J2758" s="1">
        <v>45300</v>
      </c>
      <c r="K2758" t="b">
        <v>0</v>
      </c>
    </row>
    <row r="2759" spans="1:11" x14ac:dyDescent="0.25">
      <c r="A2759" t="s">
        <v>7082</v>
      </c>
      <c r="B2759" t="s">
        <v>69</v>
      </c>
      <c r="C2759" t="s">
        <v>31</v>
      </c>
      <c r="D2759" t="s">
        <v>78</v>
      </c>
      <c r="E2759" s="2">
        <v>24.5</v>
      </c>
      <c r="F2759" s="4">
        <v>6</v>
      </c>
      <c r="G2759" s="2">
        <v>147</v>
      </c>
      <c r="H2759" t="s">
        <v>15</v>
      </c>
      <c r="I2759" t="s">
        <v>36</v>
      </c>
      <c r="J2759" s="1">
        <v>45000</v>
      </c>
      <c r="K2759" t="b">
        <v>0</v>
      </c>
    </row>
    <row r="2760" spans="1:11" x14ac:dyDescent="0.25">
      <c r="A2760" t="s">
        <v>1252</v>
      </c>
      <c r="B2760" t="s">
        <v>93</v>
      </c>
      <c r="C2760" t="s">
        <v>31</v>
      </c>
      <c r="D2760" t="s">
        <v>78</v>
      </c>
      <c r="E2760" s="2">
        <v>24.5</v>
      </c>
      <c r="F2760" s="4">
        <v>6</v>
      </c>
      <c r="G2760" s="2">
        <v>147</v>
      </c>
      <c r="H2760" t="s">
        <v>15</v>
      </c>
      <c r="I2760" t="s">
        <v>16</v>
      </c>
      <c r="J2760" s="1">
        <v>45409</v>
      </c>
      <c r="K2760" t="b">
        <v>0</v>
      </c>
    </row>
    <row r="2761" spans="1:11" x14ac:dyDescent="0.25">
      <c r="A2761" t="s">
        <v>330</v>
      </c>
      <c r="B2761" t="s">
        <v>69</v>
      </c>
      <c r="C2761" t="s">
        <v>31</v>
      </c>
      <c r="D2761" t="s">
        <v>78</v>
      </c>
      <c r="E2761" s="2">
        <v>24.5</v>
      </c>
      <c r="F2761" s="4">
        <v>6</v>
      </c>
      <c r="G2761" s="2">
        <v>147</v>
      </c>
      <c r="H2761" t="s">
        <v>25</v>
      </c>
      <c r="I2761" t="s">
        <v>16</v>
      </c>
      <c r="J2761" s="1">
        <v>44986</v>
      </c>
      <c r="K2761" t="b">
        <v>1</v>
      </c>
    </row>
    <row r="2762" spans="1:11" x14ac:dyDescent="0.25">
      <c r="A2762" t="s">
        <v>4502</v>
      </c>
      <c r="B2762" t="s">
        <v>77</v>
      </c>
      <c r="C2762" t="s">
        <v>31</v>
      </c>
      <c r="D2762" t="s">
        <v>78</v>
      </c>
      <c r="E2762" s="2">
        <v>24.5</v>
      </c>
      <c r="F2762" s="4">
        <v>6</v>
      </c>
      <c r="G2762" s="2">
        <v>147</v>
      </c>
      <c r="H2762" t="s">
        <v>45</v>
      </c>
      <c r="I2762" t="s">
        <v>16</v>
      </c>
      <c r="J2762" s="1">
        <v>44872</v>
      </c>
      <c r="K2762" t="b">
        <v>0</v>
      </c>
    </row>
    <row r="2763" spans="1:11" x14ac:dyDescent="0.25">
      <c r="A2763" t="s">
        <v>4375</v>
      </c>
      <c r="B2763" t="s">
        <v>72</v>
      </c>
      <c r="C2763" t="s">
        <v>13</v>
      </c>
      <c r="D2763" t="s">
        <v>139</v>
      </c>
      <c r="E2763" s="2">
        <v>24.5</v>
      </c>
      <c r="F2763" s="4">
        <v>6</v>
      </c>
      <c r="G2763" s="2">
        <v>147</v>
      </c>
      <c r="H2763" t="s">
        <v>45</v>
      </c>
      <c r="I2763" t="s">
        <v>36</v>
      </c>
      <c r="J2763" s="1">
        <v>45333</v>
      </c>
      <c r="K2763" t="b">
        <v>0</v>
      </c>
    </row>
    <row r="2764" spans="1:11" x14ac:dyDescent="0.25">
      <c r="A2764" t="s">
        <v>1937</v>
      </c>
      <c r="B2764" t="s">
        <v>34</v>
      </c>
      <c r="C2764" t="s">
        <v>31</v>
      </c>
      <c r="D2764" t="s">
        <v>78</v>
      </c>
      <c r="E2764" s="2">
        <v>24.5</v>
      </c>
      <c r="F2764" s="4">
        <v>6</v>
      </c>
      <c r="G2764" s="2">
        <v>147</v>
      </c>
      <c r="H2764" t="s">
        <v>25</v>
      </c>
      <c r="I2764" t="s">
        <v>36</v>
      </c>
      <c r="J2764" s="1">
        <v>45383</v>
      </c>
      <c r="K2764" t="b">
        <v>0</v>
      </c>
    </row>
    <row r="2765" spans="1:11" x14ac:dyDescent="0.25">
      <c r="A2765" t="s">
        <v>4816</v>
      </c>
      <c r="B2765" t="s">
        <v>97</v>
      </c>
      <c r="C2765" t="s">
        <v>27</v>
      </c>
      <c r="D2765" t="s">
        <v>170</v>
      </c>
      <c r="E2765" s="2">
        <v>24.5</v>
      </c>
      <c r="F2765" s="4">
        <v>6</v>
      </c>
      <c r="G2765" s="2">
        <v>147</v>
      </c>
      <c r="H2765" t="s">
        <v>25</v>
      </c>
      <c r="I2765" t="s">
        <v>16</v>
      </c>
      <c r="J2765" s="1">
        <v>45544</v>
      </c>
      <c r="K2765" t="b">
        <v>1</v>
      </c>
    </row>
    <row r="2766" spans="1:11" x14ac:dyDescent="0.25">
      <c r="A2766" t="s">
        <v>3191</v>
      </c>
      <c r="B2766" t="s">
        <v>61</v>
      </c>
      <c r="C2766" t="s">
        <v>27</v>
      </c>
      <c r="D2766" t="s">
        <v>170</v>
      </c>
      <c r="E2766" s="2">
        <v>24.5</v>
      </c>
      <c r="F2766" s="4">
        <v>6</v>
      </c>
      <c r="G2766" s="2">
        <v>147</v>
      </c>
      <c r="H2766" t="s">
        <v>25</v>
      </c>
      <c r="I2766" t="s">
        <v>36</v>
      </c>
      <c r="J2766" s="1">
        <v>45052</v>
      </c>
      <c r="K2766" t="b">
        <v>0</v>
      </c>
    </row>
    <row r="2767" spans="1:11" x14ac:dyDescent="0.25">
      <c r="A2767" t="s">
        <v>6479</v>
      </c>
      <c r="B2767" t="s">
        <v>34</v>
      </c>
      <c r="C2767" t="s">
        <v>110</v>
      </c>
      <c r="D2767" t="s">
        <v>253</v>
      </c>
      <c r="E2767" s="2">
        <v>24.5</v>
      </c>
      <c r="F2767" s="4">
        <v>6</v>
      </c>
      <c r="G2767" s="2">
        <v>147</v>
      </c>
      <c r="H2767" t="s">
        <v>25</v>
      </c>
      <c r="I2767" t="s">
        <v>16</v>
      </c>
      <c r="J2767" s="1">
        <v>44635</v>
      </c>
      <c r="K2767" t="b">
        <v>0</v>
      </c>
    </row>
    <row r="2768" spans="1:11" x14ac:dyDescent="0.25">
      <c r="A2768" t="s">
        <v>2676</v>
      </c>
      <c r="B2768" t="s">
        <v>43</v>
      </c>
      <c r="C2768" t="s">
        <v>110</v>
      </c>
      <c r="D2768" t="s">
        <v>253</v>
      </c>
      <c r="E2768" s="2">
        <v>24.5</v>
      </c>
      <c r="F2768" s="4">
        <v>6</v>
      </c>
      <c r="G2768" s="2">
        <v>147</v>
      </c>
      <c r="H2768" t="s">
        <v>45</v>
      </c>
      <c r="I2768" t="s">
        <v>16</v>
      </c>
      <c r="J2768" s="1">
        <v>44988</v>
      </c>
      <c r="K2768" t="b">
        <v>1</v>
      </c>
    </row>
    <row r="2769" spans="1:11" x14ac:dyDescent="0.25">
      <c r="A2769" t="s">
        <v>7089</v>
      </c>
      <c r="B2769" t="s">
        <v>40</v>
      </c>
      <c r="C2769" t="s">
        <v>31</v>
      </c>
      <c r="D2769" t="s">
        <v>78</v>
      </c>
      <c r="E2769" s="2">
        <v>24.5</v>
      </c>
      <c r="F2769" s="4">
        <v>6</v>
      </c>
      <c r="G2769" s="2">
        <v>147</v>
      </c>
      <c r="H2769" t="s">
        <v>45</v>
      </c>
      <c r="I2769" t="s">
        <v>16</v>
      </c>
      <c r="J2769" s="1">
        <v>44996</v>
      </c>
      <c r="K2769" t="b">
        <v>0</v>
      </c>
    </row>
    <row r="2770" spans="1:11" x14ac:dyDescent="0.25">
      <c r="A2770" t="s">
        <v>4227</v>
      </c>
      <c r="B2770" t="s">
        <v>77</v>
      </c>
      <c r="C2770" t="s">
        <v>27</v>
      </c>
      <c r="D2770" t="s">
        <v>170</v>
      </c>
      <c r="E2770" s="2">
        <v>24.5</v>
      </c>
      <c r="F2770" s="4">
        <v>6</v>
      </c>
      <c r="G2770" s="2">
        <v>147</v>
      </c>
      <c r="H2770" t="s">
        <v>25</v>
      </c>
      <c r="I2770" t="s">
        <v>16</v>
      </c>
      <c r="J2770" s="1">
        <v>45232</v>
      </c>
      <c r="K2770" t="b">
        <v>1</v>
      </c>
    </row>
    <row r="2771" spans="1:11" x14ac:dyDescent="0.25">
      <c r="A2771" t="s">
        <v>2964</v>
      </c>
      <c r="B2771" t="s">
        <v>26</v>
      </c>
      <c r="C2771" t="s">
        <v>19</v>
      </c>
      <c r="D2771" t="s">
        <v>487</v>
      </c>
      <c r="E2771" s="2">
        <v>24.5</v>
      </c>
      <c r="F2771" s="4">
        <v>6</v>
      </c>
      <c r="G2771" s="2">
        <v>147</v>
      </c>
      <c r="H2771" t="s">
        <v>45</v>
      </c>
      <c r="I2771" t="s">
        <v>36</v>
      </c>
      <c r="J2771" s="1">
        <v>45641</v>
      </c>
      <c r="K2771" t="b">
        <v>1</v>
      </c>
    </row>
    <row r="2772" spans="1:11" x14ac:dyDescent="0.25">
      <c r="A2772" t="s">
        <v>1361</v>
      </c>
      <c r="B2772" t="s">
        <v>51</v>
      </c>
      <c r="C2772" t="s">
        <v>31</v>
      </c>
      <c r="D2772" t="s">
        <v>78</v>
      </c>
      <c r="E2772" s="2">
        <v>24.5</v>
      </c>
      <c r="F2772" s="4">
        <v>6</v>
      </c>
      <c r="G2772" s="2">
        <v>147</v>
      </c>
      <c r="H2772" t="s">
        <v>45</v>
      </c>
      <c r="I2772" t="s">
        <v>36</v>
      </c>
      <c r="J2772" s="1">
        <v>44658</v>
      </c>
      <c r="K2772" t="b">
        <v>0</v>
      </c>
    </row>
    <row r="2773" spans="1:11" x14ac:dyDescent="0.25">
      <c r="A2773" t="s">
        <v>5368</v>
      </c>
      <c r="B2773" t="s">
        <v>77</v>
      </c>
      <c r="C2773" t="s">
        <v>27</v>
      </c>
      <c r="D2773" t="s">
        <v>170</v>
      </c>
      <c r="E2773" s="2">
        <v>24.5</v>
      </c>
      <c r="F2773" s="4">
        <v>6</v>
      </c>
      <c r="G2773" s="2">
        <v>147</v>
      </c>
      <c r="H2773" t="s">
        <v>15</v>
      </c>
      <c r="I2773" t="s">
        <v>16</v>
      </c>
      <c r="J2773" s="1">
        <v>45626</v>
      </c>
      <c r="K2773" t="b">
        <v>1</v>
      </c>
    </row>
    <row r="2774" spans="1:11" x14ac:dyDescent="0.25">
      <c r="A2774" t="s">
        <v>6568</v>
      </c>
      <c r="B2774" t="s">
        <v>69</v>
      </c>
      <c r="C2774" t="s">
        <v>38</v>
      </c>
      <c r="D2774" t="s">
        <v>70</v>
      </c>
      <c r="E2774" s="2">
        <v>24.5</v>
      </c>
      <c r="F2774" s="4">
        <v>6</v>
      </c>
      <c r="G2774" s="2">
        <v>147</v>
      </c>
      <c r="H2774" t="s">
        <v>15</v>
      </c>
      <c r="I2774" t="s">
        <v>16</v>
      </c>
      <c r="J2774" s="1">
        <v>44572</v>
      </c>
      <c r="K2774" t="b">
        <v>1</v>
      </c>
    </row>
    <row r="2775" spans="1:11" x14ac:dyDescent="0.25">
      <c r="A2775" t="s">
        <v>7500</v>
      </c>
      <c r="B2775" t="s">
        <v>43</v>
      </c>
      <c r="C2775" t="s">
        <v>38</v>
      </c>
      <c r="D2775" t="s">
        <v>70</v>
      </c>
      <c r="E2775" s="2">
        <v>24.5</v>
      </c>
      <c r="F2775" s="4">
        <v>6</v>
      </c>
      <c r="G2775" s="2">
        <v>147</v>
      </c>
      <c r="H2775" t="s">
        <v>45</v>
      </c>
      <c r="I2775" t="s">
        <v>16</v>
      </c>
      <c r="J2775" s="1">
        <v>44699</v>
      </c>
      <c r="K2775" t="b">
        <v>0</v>
      </c>
    </row>
    <row r="2776" spans="1:11" x14ac:dyDescent="0.25">
      <c r="A2776" t="s">
        <v>156</v>
      </c>
      <c r="B2776" t="s">
        <v>85</v>
      </c>
      <c r="C2776" t="s">
        <v>110</v>
      </c>
      <c r="D2776" t="s">
        <v>134</v>
      </c>
      <c r="E2776" s="2">
        <v>36.5</v>
      </c>
      <c r="F2776" s="4">
        <v>4</v>
      </c>
      <c r="G2776" s="2">
        <v>146</v>
      </c>
      <c r="H2776" t="s">
        <v>15</v>
      </c>
      <c r="I2776" t="s">
        <v>16</v>
      </c>
      <c r="J2776" s="1">
        <v>45487</v>
      </c>
      <c r="K2776" t="b">
        <v>1</v>
      </c>
    </row>
    <row r="2777" spans="1:11" x14ac:dyDescent="0.25">
      <c r="A2777" t="s">
        <v>4577</v>
      </c>
      <c r="B2777" t="s">
        <v>61</v>
      </c>
      <c r="C2777" t="s">
        <v>13</v>
      </c>
      <c r="D2777" t="s">
        <v>80</v>
      </c>
      <c r="E2777" s="2">
        <v>36.5</v>
      </c>
      <c r="F2777" s="4">
        <v>4</v>
      </c>
      <c r="G2777" s="2">
        <v>146</v>
      </c>
      <c r="H2777" t="s">
        <v>25</v>
      </c>
      <c r="I2777" t="s">
        <v>16</v>
      </c>
      <c r="J2777" s="1">
        <v>45123</v>
      </c>
      <c r="K2777" t="b">
        <v>0</v>
      </c>
    </row>
    <row r="2778" spans="1:11" x14ac:dyDescent="0.25">
      <c r="A2778" t="s">
        <v>455</v>
      </c>
      <c r="B2778" t="s">
        <v>22</v>
      </c>
      <c r="C2778" t="s">
        <v>27</v>
      </c>
      <c r="D2778" t="s">
        <v>101</v>
      </c>
      <c r="E2778" s="2">
        <v>36.5</v>
      </c>
      <c r="F2778" s="4">
        <v>4</v>
      </c>
      <c r="G2778" s="2">
        <v>146</v>
      </c>
      <c r="H2778" t="s">
        <v>15</v>
      </c>
      <c r="I2778" t="s">
        <v>36</v>
      </c>
      <c r="J2778" s="1">
        <v>44748</v>
      </c>
      <c r="K2778" t="b">
        <v>0</v>
      </c>
    </row>
    <row r="2779" spans="1:11" x14ac:dyDescent="0.25">
      <c r="A2779" t="s">
        <v>3835</v>
      </c>
      <c r="B2779" t="s">
        <v>18</v>
      </c>
      <c r="C2779" t="s">
        <v>59</v>
      </c>
      <c r="D2779" t="s">
        <v>290</v>
      </c>
      <c r="E2779" s="2">
        <v>36.5</v>
      </c>
      <c r="F2779" s="4">
        <v>4</v>
      </c>
      <c r="G2779" s="2">
        <v>146</v>
      </c>
      <c r="H2779" t="s">
        <v>45</v>
      </c>
      <c r="I2779" t="s">
        <v>16</v>
      </c>
      <c r="J2779" s="1">
        <v>45271</v>
      </c>
      <c r="K2779" t="b">
        <v>1</v>
      </c>
    </row>
    <row r="2780" spans="1:11" x14ac:dyDescent="0.25">
      <c r="A2780" t="s">
        <v>5806</v>
      </c>
      <c r="B2780" t="s">
        <v>104</v>
      </c>
      <c r="C2780" t="s">
        <v>110</v>
      </c>
      <c r="D2780" t="s">
        <v>134</v>
      </c>
      <c r="E2780" s="2">
        <v>36.5</v>
      </c>
      <c r="F2780" s="4">
        <v>4</v>
      </c>
      <c r="G2780" s="2">
        <v>146</v>
      </c>
      <c r="H2780" t="s">
        <v>25</v>
      </c>
      <c r="I2780" t="s">
        <v>16</v>
      </c>
      <c r="J2780" s="1">
        <v>44746</v>
      </c>
      <c r="K2780" t="b">
        <v>1</v>
      </c>
    </row>
    <row r="2781" spans="1:11" x14ac:dyDescent="0.25">
      <c r="A2781" t="s">
        <v>7528</v>
      </c>
      <c r="B2781" t="s">
        <v>63</v>
      </c>
      <c r="C2781" t="s">
        <v>110</v>
      </c>
      <c r="D2781" t="s">
        <v>134</v>
      </c>
      <c r="E2781" s="2">
        <v>36.5</v>
      </c>
      <c r="F2781" s="4">
        <v>4</v>
      </c>
      <c r="G2781" s="2">
        <v>146</v>
      </c>
      <c r="H2781" t="s">
        <v>45</v>
      </c>
      <c r="I2781" t="s">
        <v>16</v>
      </c>
      <c r="J2781" s="1">
        <v>45349</v>
      </c>
      <c r="K2781" t="b">
        <v>1</v>
      </c>
    </row>
    <row r="2782" spans="1:11" x14ac:dyDescent="0.25">
      <c r="A2782" t="s">
        <v>4016</v>
      </c>
      <c r="B2782" t="s">
        <v>61</v>
      </c>
      <c r="C2782" t="s">
        <v>27</v>
      </c>
      <c r="D2782" t="s">
        <v>101</v>
      </c>
      <c r="E2782" s="2">
        <v>36.5</v>
      </c>
      <c r="F2782" s="4">
        <v>4</v>
      </c>
      <c r="G2782" s="2">
        <v>146</v>
      </c>
      <c r="H2782" t="s">
        <v>25</v>
      </c>
      <c r="I2782" t="s">
        <v>36</v>
      </c>
      <c r="J2782" s="1">
        <v>45217</v>
      </c>
      <c r="K2782" t="b">
        <v>0</v>
      </c>
    </row>
    <row r="2783" spans="1:11" x14ac:dyDescent="0.25">
      <c r="A2783" t="s">
        <v>4719</v>
      </c>
      <c r="B2783" t="s">
        <v>63</v>
      </c>
      <c r="C2783" t="s">
        <v>23</v>
      </c>
      <c r="D2783" t="s">
        <v>44</v>
      </c>
      <c r="E2783" s="2">
        <v>36.5</v>
      </c>
      <c r="F2783" s="4">
        <v>4</v>
      </c>
      <c r="G2783" s="2">
        <v>146</v>
      </c>
      <c r="H2783" t="s">
        <v>25</v>
      </c>
      <c r="I2783" t="s">
        <v>36</v>
      </c>
      <c r="J2783" s="1">
        <v>45397</v>
      </c>
      <c r="K2783" t="b">
        <v>1</v>
      </c>
    </row>
    <row r="2784" spans="1:11" x14ac:dyDescent="0.25">
      <c r="A2784" t="s">
        <v>3047</v>
      </c>
      <c r="B2784" t="s">
        <v>104</v>
      </c>
      <c r="C2784" t="s">
        <v>59</v>
      </c>
      <c r="D2784" t="s">
        <v>290</v>
      </c>
      <c r="E2784" s="2">
        <v>36.5</v>
      </c>
      <c r="F2784" s="4">
        <v>4</v>
      </c>
      <c r="G2784" s="2">
        <v>146</v>
      </c>
      <c r="H2784" t="s">
        <v>15</v>
      </c>
      <c r="I2784" t="s">
        <v>16</v>
      </c>
      <c r="J2784" s="1">
        <v>44929</v>
      </c>
      <c r="K2784" t="b">
        <v>1</v>
      </c>
    </row>
    <row r="2785" spans="1:11" x14ac:dyDescent="0.25">
      <c r="A2785" t="s">
        <v>4142</v>
      </c>
      <c r="B2785" t="s">
        <v>56</v>
      </c>
      <c r="C2785" t="s">
        <v>27</v>
      </c>
      <c r="D2785" t="s">
        <v>101</v>
      </c>
      <c r="E2785" s="2">
        <v>36.5</v>
      </c>
      <c r="F2785" s="4">
        <v>4</v>
      </c>
      <c r="G2785" s="2">
        <v>146</v>
      </c>
      <c r="H2785" t="s">
        <v>45</v>
      </c>
      <c r="I2785" t="s">
        <v>36</v>
      </c>
      <c r="J2785" s="1">
        <v>44881</v>
      </c>
      <c r="K2785" t="b">
        <v>0</v>
      </c>
    </row>
    <row r="2786" spans="1:11" x14ac:dyDescent="0.25">
      <c r="A2786" t="s">
        <v>6200</v>
      </c>
      <c r="B2786" t="s">
        <v>85</v>
      </c>
      <c r="C2786" t="s">
        <v>31</v>
      </c>
      <c r="D2786" t="s">
        <v>136</v>
      </c>
      <c r="E2786" s="2">
        <v>36.5</v>
      </c>
      <c r="F2786" s="4">
        <v>4</v>
      </c>
      <c r="G2786" s="2">
        <v>146</v>
      </c>
      <c r="H2786" t="s">
        <v>15</v>
      </c>
      <c r="I2786" t="s">
        <v>36</v>
      </c>
      <c r="J2786" s="1">
        <v>44758</v>
      </c>
      <c r="K2786" t="b">
        <v>0</v>
      </c>
    </row>
    <row r="2787" spans="1:11" x14ac:dyDescent="0.25">
      <c r="A2787" t="s">
        <v>2841</v>
      </c>
      <c r="B2787" t="s">
        <v>100</v>
      </c>
      <c r="C2787" t="s">
        <v>31</v>
      </c>
      <c r="D2787" t="s">
        <v>136</v>
      </c>
      <c r="E2787" s="2">
        <v>36.5</v>
      </c>
      <c r="F2787" s="4">
        <v>4</v>
      </c>
      <c r="G2787" s="2">
        <v>146</v>
      </c>
      <c r="H2787" t="s">
        <v>25</v>
      </c>
      <c r="I2787" t="s">
        <v>36</v>
      </c>
      <c r="J2787" s="1">
        <v>44873</v>
      </c>
      <c r="K2787" t="b">
        <v>1</v>
      </c>
    </row>
    <row r="2788" spans="1:11" x14ac:dyDescent="0.25">
      <c r="A2788" t="s">
        <v>2458</v>
      </c>
      <c r="B2788" t="s">
        <v>34</v>
      </c>
      <c r="C2788" t="s">
        <v>59</v>
      </c>
      <c r="D2788" t="s">
        <v>290</v>
      </c>
      <c r="E2788" s="2">
        <v>36.5</v>
      </c>
      <c r="F2788" s="4">
        <v>4</v>
      </c>
      <c r="G2788" s="2">
        <v>146</v>
      </c>
      <c r="H2788" t="s">
        <v>25</v>
      </c>
      <c r="I2788" t="s">
        <v>16</v>
      </c>
      <c r="J2788" s="1">
        <v>45128</v>
      </c>
      <c r="K2788" t="b">
        <v>0</v>
      </c>
    </row>
    <row r="2789" spans="1:11" x14ac:dyDescent="0.25">
      <c r="A2789" t="s">
        <v>1630</v>
      </c>
      <c r="B2789" t="s">
        <v>18</v>
      </c>
      <c r="C2789" t="s">
        <v>59</v>
      </c>
      <c r="D2789" t="s">
        <v>290</v>
      </c>
      <c r="E2789" s="2">
        <v>36.5</v>
      </c>
      <c r="F2789" s="4">
        <v>4</v>
      </c>
      <c r="G2789" s="2">
        <v>146</v>
      </c>
      <c r="H2789" t="s">
        <v>45</v>
      </c>
      <c r="I2789" t="s">
        <v>36</v>
      </c>
      <c r="J2789" s="1">
        <v>45034</v>
      </c>
      <c r="K2789" t="b">
        <v>1</v>
      </c>
    </row>
    <row r="2790" spans="1:11" x14ac:dyDescent="0.25">
      <c r="A2790" t="s">
        <v>1949</v>
      </c>
      <c r="B2790" t="s">
        <v>100</v>
      </c>
      <c r="C2790" t="s">
        <v>23</v>
      </c>
      <c r="D2790" t="s">
        <v>44</v>
      </c>
      <c r="E2790" s="2">
        <v>36.5</v>
      </c>
      <c r="F2790" s="4">
        <v>4</v>
      </c>
      <c r="G2790" s="2">
        <v>146</v>
      </c>
      <c r="H2790" t="s">
        <v>15</v>
      </c>
      <c r="I2790" t="s">
        <v>16</v>
      </c>
      <c r="J2790" s="1">
        <v>44852</v>
      </c>
      <c r="K2790" t="b">
        <v>0</v>
      </c>
    </row>
    <row r="2791" spans="1:11" x14ac:dyDescent="0.25">
      <c r="A2791" t="s">
        <v>7380</v>
      </c>
      <c r="B2791" t="s">
        <v>40</v>
      </c>
      <c r="C2791" t="s">
        <v>110</v>
      </c>
      <c r="D2791" t="s">
        <v>134</v>
      </c>
      <c r="E2791" s="2">
        <v>36.5</v>
      </c>
      <c r="F2791" s="4">
        <v>4</v>
      </c>
      <c r="G2791" s="2">
        <v>146</v>
      </c>
      <c r="H2791" t="s">
        <v>45</v>
      </c>
      <c r="I2791" t="s">
        <v>16</v>
      </c>
      <c r="J2791" s="1">
        <v>44990</v>
      </c>
      <c r="K2791" t="b">
        <v>0</v>
      </c>
    </row>
    <row r="2792" spans="1:11" x14ac:dyDescent="0.25">
      <c r="A2792" t="s">
        <v>1890</v>
      </c>
      <c r="B2792" t="s">
        <v>51</v>
      </c>
      <c r="C2792" t="s">
        <v>59</v>
      </c>
      <c r="D2792" t="s">
        <v>290</v>
      </c>
      <c r="E2792" s="2">
        <v>36.5</v>
      </c>
      <c r="F2792" s="4">
        <v>4</v>
      </c>
      <c r="G2792" s="2">
        <v>146</v>
      </c>
      <c r="H2792" t="s">
        <v>45</v>
      </c>
      <c r="I2792" t="s">
        <v>16</v>
      </c>
      <c r="J2792" s="1">
        <v>45196</v>
      </c>
      <c r="K2792" t="b">
        <v>1</v>
      </c>
    </row>
    <row r="2793" spans="1:11" x14ac:dyDescent="0.25">
      <c r="A2793" t="s">
        <v>5847</v>
      </c>
      <c r="B2793" t="s">
        <v>97</v>
      </c>
      <c r="C2793" t="s">
        <v>38</v>
      </c>
      <c r="D2793" t="s">
        <v>149</v>
      </c>
      <c r="E2793" s="2">
        <v>36.5</v>
      </c>
      <c r="F2793" s="4">
        <v>4</v>
      </c>
      <c r="G2793" s="2">
        <v>146</v>
      </c>
      <c r="H2793" t="s">
        <v>45</v>
      </c>
      <c r="I2793" t="s">
        <v>16</v>
      </c>
      <c r="J2793" s="1">
        <v>45442</v>
      </c>
      <c r="K2793" t="b">
        <v>1</v>
      </c>
    </row>
    <row r="2794" spans="1:11" x14ac:dyDescent="0.25">
      <c r="A2794" t="s">
        <v>849</v>
      </c>
      <c r="B2794" t="s">
        <v>56</v>
      </c>
      <c r="C2794" t="s">
        <v>23</v>
      </c>
      <c r="D2794" t="s">
        <v>44</v>
      </c>
      <c r="E2794" s="2">
        <v>36.5</v>
      </c>
      <c r="F2794" s="4">
        <v>4</v>
      </c>
      <c r="G2794" s="2">
        <v>146</v>
      </c>
      <c r="H2794" t="s">
        <v>45</v>
      </c>
      <c r="I2794" t="s">
        <v>16</v>
      </c>
      <c r="J2794" s="1">
        <v>44722</v>
      </c>
      <c r="K2794" t="b">
        <v>1</v>
      </c>
    </row>
    <row r="2795" spans="1:11" x14ac:dyDescent="0.25">
      <c r="A2795" t="s">
        <v>7817</v>
      </c>
      <c r="B2795" t="s">
        <v>86</v>
      </c>
      <c r="C2795" t="s">
        <v>19</v>
      </c>
      <c r="D2795" t="s">
        <v>412</v>
      </c>
      <c r="E2795" s="2">
        <v>36.5</v>
      </c>
      <c r="F2795" s="4">
        <v>4</v>
      </c>
      <c r="G2795" s="2">
        <v>146</v>
      </c>
      <c r="H2795" t="s">
        <v>45</v>
      </c>
      <c r="I2795" t="s">
        <v>16</v>
      </c>
      <c r="J2795" s="1">
        <v>45582</v>
      </c>
      <c r="K2795" t="b">
        <v>0</v>
      </c>
    </row>
    <row r="2796" spans="1:11" x14ac:dyDescent="0.25">
      <c r="A2796" t="s">
        <v>1888</v>
      </c>
      <c r="B2796" t="s">
        <v>77</v>
      </c>
      <c r="C2796" t="s">
        <v>59</v>
      </c>
      <c r="D2796" t="s">
        <v>290</v>
      </c>
      <c r="E2796" s="2">
        <v>36.5</v>
      </c>
      <c r="F2796" s="4">
        <v>4</v>
      </c>
      <c r="G2796" s="2">
        <v>146</v>
      </c>
      <c r="H2796" t="s">
        <v>15</v>
      </c>
      <c r="I2796" t="s">
        <v>36</v>
      </c>
      <c r="J2796" s="1">
        <v>45021</v>
      </c>
      <c r="K2796" t="b">
        <v>0</v>
      </c>
    </row>
    <row r="2797" spans="1:11" x14ac:dyDescent="0.25">
      <c r="A2797" t="s">
        <v>2095</v>
      </c>
      <c r="B2797" t="s">
        <v>18</v>
      </c>
      <c r="C2797" t="s">
        <v>23</v>
      </c>
      <c r="D2797" t="s">
        <v>44</v>
      </c>
      <c r="E2797" s="2">
        <v>36.5</v>
      </c>
      <c r="F2797" s="4">
        <v>4</v>
      </c>
      <c r="G2797" s="2">
        <v>146</v>
      </c>
      <c r="H2797" t="s">
        <v>45</v>
      </c>
      <c r="I2797" t="s">
        <v>36</v>
      </c>
      <c r="J2797" s="1">
        <v>45540</v>
      </c>
      <c r="K2797" t="b">
        <v>0</v>
      </c>
    </row>
    <row r="2798" spans="1:11" x14ac:dyDescent="0.25">
      <c r="A2798" t="s">
        <v>1375</v>
      </c>
      <c r="B2798" t="s">
        <v>104</v>
      </c>
      <c r="C2798" t="s">
        <v>27</v>
      </c>
      <c r="D2798" t="s">
        <v>101</v>
      </c>
      <c r="E2798" s="2">
        <v>36.5</v>
      </c>
      <c r="F2798" s="4">
        <v>4</v>
      </c>
      <c r="G2798" s="2">
        <v>146</v>
      </c>
      <c r="H2798" t="s">
        <v>25</v>
      </c>
      <c r="I2798" t="s">
        <v>16</v>
      </c>
      <c r="J2798" s="1">
        <v>45155</v>
      </c>
      <c r="K2798" t="b">
        <v>0</v>
      </c>
    </row>
    <row r="2799" spans="1:11" x14ac:dyDescent="0.25">
      <c r="A2799" t="s">
        <v>7331</v>
      </c>
      <c r="B2799" t="s">
        <v>142</v>
      </c>
      <c r="C2799" t="s">
        <v>13</v>
      </c>
      <c r="D2799" t="s">
        <v>80</v>
      </c>
      <c r="E2799" s="2">
        <v>36.5</v>
      </c>
      <c r="F2799" s="4">
        <v>4</v>
      </c>
      <c r="G2799" s="2">
        <v>146</v>
      </c>
      <c r="H2799" t="s">
        <v>25</v>
      </c>
      <c r="I2799" t="s">
        <v>16</v>
      </c>
      <c r="J2799" s="1">
        <v>44683</v>
      </c>
      <c r="K2799" t="b">
        <v>1</v>
      </c>
    </row>
    <row r="2800" spans="1:11" x14ac:dyDescent="0.25">
      <c r="A2800" t="s">
        <v>5424</v>
      </c>
      <c r="B2800" t="s">
        <v>12</v>
      </c>
      <c r="C2800" t="s">
        <v>38</v>
      </c>
      <c r="D2800" t="s">
        <v>149</v>
      </c>
      <c r="E2800" s="2">
        <v>36.5</v>
      </c>
      <c r="F2800" s="4">
        <v>4</v>
      </c>
      <c r="G2800" s="2">
        <v>146</v>
      </c>
      <c r="H2800" t="s">
        <v>25</v>
      </c>
      <c r="I2800" t="s">
        <v>36</v>
      </c>
      <c r="J2800" s="1">
        <v>45646</v>
      </c>
      <c r="K2800" t="b">
        <v>0</v>
      </c>
    </row>
    <row r="2801" spans="1:11" x14ac:dyDescent="0.25">
      <c r="A2801" t="s">
        <v>6111</v>
      </c>
      <c r="B2801" t="s">
        <v>104</v>
      </c>
      <c r="C2801" t="s">
        <v>31</v>
      </c>
      <c r="D2801" t="s">
        <v>136</v>
      </c>
      <c r="E2801" s="2">
        <v>36.5</v>
      </c>
      <c r="F2801" s="4">
        <v>4</v>
      </c>
      <c r="G2801" s="2">
        <v>146</v>
      </c>
      <c r="H2801" t="s">
        <v>25</v>
      </c>
      <c r="I2801" t="s">
        <v>36</v>
      </c>
      <c r="J2801" s="1">
        <v>44680</v>
      </c>
      <c r="K2801" t="b">
        <v>1</v>
      </c>
    </row>
    <row r="2802" spans="1:11" x14ac:dyDescent="0.25">
      <c r="A2802" t="s">
        <v>5459</v>
      </c>
      <c r="B2802" t="s">
        <v>66</v>
      </c>
      <c r="C2802" t="s">
        <v>23</v>
      </c>
      <c r="D2802" t="s">
        <v>44</v>
      </c>
      <c r="E2802" s="2">
        <v>36.5</v>
      </c>
      <c r="F2802" s="4">
        <v>4</v>
      </c>
      <c r="G2802" s="2">
        <v>146</v>
      </c>
      <c r="H2802" t="s">
        <v>45</v>
      </c>
      <c r="I2802" t="s">
        <v>16</v>
      </c>
      <c r="J2802" s="1">
        <v>45495</v>
      </c>
      <c r="K2802" t="b">
        <v>0</v>
      </c>
    </row>
    <row r="2803" spans="1:11" x14ac:dyDescent="0.25">
      <c r="A2803" t="s">
        <v>3946</v>
      </c>
      <c r="B2803" t="s">
        <v>72</v>
      </c>
      <c r="C2803" t="s">
        <v>110</v>
      </c>
      <c r="D2803" t="s">
        <v>134</v>
      </c>
      <c r="E2803" s="2">
        <v>36.5</v>
      </c>
      <c r="F2803" s="4">
        <v>4</v>
      </c>
      <c r="G2803" s="2">
        <v>146</v>
      </c>
      <c r="H2803" t="s">
        <v>15</v>
      </c>
      <c r="I2803" t="s">
        <v>36</v>
      </c>
      <c r="J2803" s="1">
        <v>44923</v>
      </c>
      <c r="K2803" t="b">
        <v>1</v>
      </c>
    </row>
    <row r="2804" spans="1:11" x14ac:dyDescent="0.25">
      <c r="A2804" t="s">
        <v>3317</v>
      </c>
      <c r="B2804" t="s">
        <v>97</v>
      </c>
      <c r="C2804" t="s">
        <v>31</v>
      </c>
      <c r="D2804" t="s">
        <v>136</v>
      </c>
      <c r="E2804" s="2">
        <v>36.5</v>
      </c>
      <c r="F2804" s="4">
        <v>4</v>
      </c>
      <c r="G2804" s="2">
        <v>146</v>
      </c>
      <c r="H2804" t="s">
        <v>25</v>
      </c>
      <c r="I2804" t="s">
        <v>36</v>
      </c>
      <c r="J2804" s="1">
        <v>45089</v>
      </c>
      <c r="K2804" t="b">
        <v>0</v>
      </c>
    </row>
    <row r="2805" spans="1:11" x14ac:dyDescent="0.25">
      <c r="A2805" t="s">
        <v>7548</v>
      </c>
      <c r="B2805" t="s">
        <v>100</v>
      </c>
      <c r="C2805" t="s">
        <v>59</v>
      </c>
      <c r="D2805" t="s">
        <v>290</v>
      </c>
      <c r="E2805" s="2">
        <v>36.5</v>
      </c>
      <c r="F2805" s="4">
        <v>4</v>
      </c>
      <c r="G2805" s="2">
        <v>146</v>
      </c>
      <c r="H2805" t="s">
        <v>25</v>
      </c>
      <c r="I2805" t="s">
        <v>36</v>
      </c>
      <c r="J2805" s="1">
        <v>44885</v>
      </c>
      <c r="K2805" t="b">
        <v>1</v>
      </c>
    </row>
    <row r="2806" spans="1:11" x14ac:dyDescent="0.25">
      <c r="A2806" t="s">
        <v>2673</v>
      </c>
      <c r="B2806" t="s">
        <v>63</v>
      </c>
      <c r="C2806" t="s">
        <v>38</v>
      </c>
      <c r="D2806" t="s">
        <v>149</v>
      </c>
      <c r="E2806" s="2">
        <v>36.5</v>
      </c>
      <c r="F2806" s="4">
        <v>4</v>
      </c>
      <c r="G2806" s="2">
        <v>146</v>
      </c>
      <c r="H2806" t="s">
        <v>45</v>
      </c>
      <c r="I2806" t="s">
        <v>36</v>
      </c>
      <c r="J2806" s="1">
        <v>45364</v>
      </c>
      <c r="K2806" t="b">
        <v>0</v>
      </c>
    </row>
    <row r="2807" spans="1:11" x14ac:dyDescent="0.25">
      <c r="A2807" t="s">
        <v>3168</v>
      </c>
      <c r="B2807" t="s">
        <v>58</v>
      </c>
      <c r="C2807" t="s">
        <v>13</v>
      </c>
      <c r="D2807" t="s">
        <v>80</v>
      </c>
      <c r="E2807" s="2">
        <v>36.5</v>
      </c>
      <c r="F2807" s="4">
        <v>4</v>
      </c>
      <c r="G2807" s="2">
        <v>146</v>
      </c>
      <c r="H2807" t="s">
        <v>45</v>
      </c>
      <c r="I2807" t="s">
        <v>36</v>
      </c>
      <c r="J2807" s="1">
        <v>44704</v>
      </c>
      <c r="K2807" t="b">
        <v>0</v>
      </c>
    </row>
    <row r="2808" spans="1:11" x14ac:dyDescent="0.25">
      <c r="A2808" t="s">
        <v>2597</v>
      </c>
      <c r="B2808" t="s">
        <v>18</v>
      </c>
      <c r="C2808" t="s">
        <v>23</v>
      </c>
      <c r="D2808" t="s">
        <v>44</v>
      </c>
      <c r="E2808" s="2">
        <v>36.5</v>
      </c>
      <c r="F2808" s="4">
        <v>4</v>
      </c>
      <c r="G2808" s="2">
        <v>146</v>
      </c>
      <c r="H2808" t="s">
        <v>25</v>
      </c>
      <c r="I2808" t="s">
        <v>36</v>
      </c>
      <c r="J2808" s="1">
        <v>44709</v>
      </c>
      <c r="K2808" t="b">
        <v>1</v>
      </c>
    </row>
    <row r="2809" spans="1:11" x14ac:dyDescent="0.25">
      <c r="A2809" t="s">
        <v>5281</v>
      </c>
      <c r="B2809" t="s">
        <v>18</v>
      </c>
      <c r="C2809" t="s">
        <v>110</v>
      </c>
      <c r="D2809" t="s">
        <v>134</v>
      </c>
      <c r="E2809" s="2">
        <v>36.5</v>
      </c>
      <c r="F2809" s="4">
        <v>4</v>
      </c>
      <c r="G2809" s="2">
        <v>146</v>
      </c>
      <c r="H2809" t="s">
        <v>15</v>
      </c>
      <c r="I2809" t="s">
        <v>36</v>
      </c>
      <c r="J2809" s="1">
        <v>44581</v>
      </c>
      <c r="K2809" t="b">
        <v>1</v>
      </c>
    </row>
    <row r="2810" spans="1:11" x14ac:dyDescent="0.25">
      <c r="A2810" t="s">
        <v>5900</v>
      </c>
      <c r="B2810" t="s">
        <v>22</v>
      </c>
      <c r="C2810" t="s">
        <v>31</v>
      </c>
      <c r="D2810" t="s">
        <v>136</v>
      </c>
      <c r="E2810" s="2">
        <v>36.5</v>
      </c>
      <c r="F2810" s="4">
        <v>4</v>
      </c>
      <c r="G2810" s="2">
        <v>146</v>
      </c>
      <c r="H2810" t="s">
        <v>15</v>
      </c>
      <c r="I2810" t="s">
        <v>36</v>
      </c>
      <c r="J2810" s="1">
        <v>45668</v>
      </c>
      <c r="K2810" t="b">
        <v>0</v>
      </c>
    </row>
    <row r="2811" spans="1:11" x14ac:dyDescent="0.25">
      <c r="A2811" t="s">
        <v>2249</v>
      </c>
      <c r="B2811" t="s">
        <v>30</v>
      </c>
      <c r="C2811" t="s">
        <v>13</v>
      </c>
      <c r="D2811" t="s">
        <v>55</v>
      </c>
      <c r="E2811" s="2">
        <v>29</v>
      </c>
      <c r="F2811" s="4">
        <v>5</v>
      </c>
      <c r="G2811" s="2">
        <v>145</v>
      </c>
      <c r="H2811" t="s">
        <v>45</v>
      </c>
      <c r="I2811" t="s">
        <v>16</v>
      </c>
      <c r="J2811" s="1">
        <v>45184</v>
      </c>
      <c r="K2811" t="b">
        <v>1</v>
      </c>
    </row>
    <row r="2812" spans="1:11" x14ac:dyDescent="0.25">
      <c r="A2812" t="s">
        <v>3685</v>
      </c>
      <c r="B2812" t="s">
        <v>69</v>
      </c>
      <c r="C2812" t="s">
        <v>27</v>
      </c>
      <c r="D2812" t="s">
        <v>421</v>
      </c>
      <c r="E2812" s="2">
        <v>29</v>
      </c>
      <c r="F2812" s="4">
        <v>5</v>
      </c>
      <c r="G2812" s="2">
        <v>145</v>
      </c>
      <c r="H2812" t="s">
        <v>15</v>
      </c>
      <c r="I2812" t="s">
        <v>36</v>
      </c>
      <c r="J2812" s="1">
        <v>45537</v>
      </c>
      <c r="K2812" t="b">
        <v>1</v>
      </c>
    </row>
    <row r="2813" spans="1:11" x14ac:dyDescent="0.25">
      <c r="A2813" t="s">
        <v>4407</v>
      </c>
      <c r="B2813" t="s">
        <v>40</v>
      </c>
      <c r="C2813" t="s">
        <v>13</v>
      </c>
      <c r="D2813" t="s">
        <v>55</v>
      </c>
      <c r="E2813" s="2">
        <v>29</v>
      </c>
      <c r="F2813" s="4">
        <v>5</v>
      </c>
      <c r="G2813" s="2">
        <v>145</v>
      </c>
      <c r="H2813" t="s">
        <v>25</v>
      </c>
      <c r="I2813" t="s">
        <v>36</v>
      </c>
      <c r="J2813" s="1">
        <v>45261</v>
      </c>
      <c r="K2813" t="b">
        <v>0</v>
      </c>
    </row>
    <row r="2814" spans="1:11" x14ac:dyDescent="0.25">
      <c r="A2814" t="s">
        <v>4826</v>
      </c>
      <c r="B2814" t="s">
        <v>69</v>
      </c>
      <c r="C2814" t="s">
        <v>19</v>
      </c>
      <c r="D2814" t="s">
        <v>20</v>
      </c>
      <c r="E2814" s="2">
        <v>29</v>
      </c>
      <c r="F2814" s="4">
        <v>5</v>
      </c>
      <c r="G2814" s="2">
        <v>145</v>
      </c>
      <c r="H2814" t="s">
        <v>25</v>
      </c>
      <c r="I2814" t="s">
        <v>16</v>
      </c>
      <c r="J2814" s="1">
        <v>44856</v>
      </c>
      <c r="K2814" t="b">
        <v>0</v>
      </c>
    </row>
    <row r="2815" spans="1:11" x14ac:dyDescent="0.25">
      <c r="A2815" t="s">
        <v>5296</v>
      </c>
      <c r="B2815" t="s">
        <v>85</v>
      </c>
      <c r="C2815" t="s">
        <v>59</v>
      </c>
      <c r="D2815" t="s">
        <v>297</v>
      </c>
      <c r="E2815" s="2">
        <v>29</v>
      </c>
      <c r="F2815" s="4">
        <v>5</v>
      </c>
      <c r="G2815" s="2">
        <v>145</v>
      </c>
      <c r="H2815" t="s">
        <v>25</v>
      </c>
      <c r="I2815" t="s">
        <v>36</v>
      </c>
      <c r="J2815" s="1">
        <v>44721</v>
      </c>
      <c r="K2815" t="b">
        <v>1</v>
      </c>
    </row>
    <row r="2816" spans="1:11" x14ac:dyDescent="0.25">
      <c r="A2816" t="s">
        <v>1440</v>
      </c>
      <c r="B2816" t="s">
        <v>142</v>
      </c>
      <c r="C2816" t="s">
        <v>110</v>
      </c>
      <c r="D2816" t="s">
        <v>386</v>
      </c>
      <c r="E2816" s="2">
        <v>29</v>
      </c>
      <c r="F2816" s="4">
        <v>5</v>
      </c>
      <c r="G2816" s="2">
        <v>145</v>
      </c>
      <c r="H2816" t="s">
        <v>15</v>
      </c>
      <c r="I2816" t="s">
        <v>16</v>
      </c>
      <c r="J2816" s="1">
        <v>44583</v>
      </c>
      <c r="K2816" t="b">
        <v>0</v>
      </c>
    </row>
    <row r="2817" spans="1:11" x14ac:dyDescent="0.25">
      <c r="A2817" t="s">
        <v>6995</v>
      </c>
      <c r="B2817" t="s">
        <v>18</v>
      </c>
      <c r="C2817" t="s">
        <v>23</v>
      </c>
      <c r="D2817" t="s">
        <v>352</v>
      </c>
      <c r="E2817" s="2">
        <v>29</v>
      </c>
      <c r="F2817" s="4">
        <v>5</v>
      </c>
      <c r="G2817" s="2">
        <v>145</v>
      </c>
      <c r="H2817" t="s">
        <v>25</v>
      </c>
      <c r="I2817" t="s">
        <v>16</v>
      </c>
      <c r="J2817" s="1">
        <v>44895</v>
      </c>
      <c r="K2817" t="b">
        <v>1</v>
      </c>
    </row>
    <row r="2818" spans="1:11" x14ac:dyDescent="0.25">
      <c r="A2818" t="s">
        <v>6373</v>
      </c>
      <c r="B2818" t="s">
        <v>58</v>
      </c>
      <c r="C2818" t="s">
        <v>19</v>
      </c>
      <c r="D2818" t="s">
        <v>20</v>
      </c>
      <c r="E2818" s="2">
        <v>29</v>
      </c>
      <c r="F2818" s="4">
        <v>5</v>
      </c>
      <c r="G2818" s="2">
        <v>145</v>
      </c>
      <c r="H2818" t="s">
        <v>15</v>
      </c>
      <c r="I2818" t="s">
        <v>16</v>
      </c>
      <c r="J2818" s="1">
        <v>44642</v>
      </c>
      <c r="K2818" t="b">
        <v>1</v>
      </c>
    </row>
    <row r="2819" spans="1:11" x14ac:dyDescent="0.25">
      <c r="A2819" t="s">
        <v>2135</v>
      </c>
      <c r="B2819" t="s">
        <v>72</v>
      </c>
      <c r="C2819" t="s">
        <v>27</v>
      </c>
      <c r="D2819" t="s">
        <v>421</v>
      </c>
      <c r="E2819" s="2">
        <v>29</v>
      </c>
      <c r="F2819" s="4">
        <v>5</v>
      </c>
      <c r="G2819" s="2">
        <v>145</v>
      </c>
      <c r="H2819" t="s">
        <v>25</v>
      </c>
      <c r="I2819" t="s">
        <v>36</v>
      </c>
      <c r="J2819" s="1">
        <v>45632</v>
      </c>
      <c r="K2819" t="b">
        <v>0</v>
      </c>
    </row>
    <row r="2820" spans="1:11" x14ac:dyDescent="0.25">
      <c r="A2820" t="s">
        <v>2855</v>
      </c>
      <c r="B2820" t="s">
        <v>56</v>
      </c>
      <c r="C2820" t="s">
        <v>59</v>
      </c>
      <c r="D2820" t="s">
        <v>297</v>
      </c>
      <c r="E2820" s="2">
        <v>29</v>
      </c>
      <c r="F2820" s="4">
        <v>5</v>
      </c>
      <c r="G2820" s="2">
        <v>145</v>
      </c>
      <c r="H2820" t="s">
        <v>15</v>
      </c>
      <c r="I2820" t="s">
        <v>16</v>
      </c>
      <c r="J2820" s="1">
        <v>45660</v>
      </c>
      <c r="K2820" t="b">
        <v>0</v>
      </c>
    </row>
    <row r="2821" spans="1:11" x14ac:dyDescent="0.25">
      <c r="A2821" t="s">
        <v>7612</v>
      </c>
      <c r="B2821" t="s">
        <v>61</v>
      </c>
      <c r="C2821" t="s">
        <v>27</v>
      </c>
      <c r="D2821" t="s">
        <v>421</v>
      </c>
      <c r="E2821" s="2">
        <v>29</v>
      </c>
      <c r="F2821" s="4">
        <v>5</v>
      </c>
      <c r="G2821" s="2">
        <v>145</v>
      </c>
      <c r="H2821" t="s">
        <v>25</v>
      </c>
      <c r="I2821" t="s">
        <v>36</v>
      </c>
      <c r="J2821" s="1">
        <v>45531</v>
      </c>
      <c r="K2821" t="b">
        <v>0</v>
      </c>
    </row>
    <row r="2822" spans="1:11" x14ac:dyDescent="0.25">
      <c r="A2822" t="s">
        <v>3572</v>
      </c>
      <c r="B2822" t="s">
        <v>100</v>
      </c>
      <c r="C2822" t="s">
        <v>27</v>
      </c>
      <c r="D2822" t="s">
        <v>421</v>
      </c>
      <c r="E2822" s="2">
        <v>29</v>
      </c>
      <c r="F2822" s="4">
        <v>5</v>
      </c>
      <c r="G2822" s="2">
        <v>145</v>
      </c>
      <c r="H2822" t="s">
        <v>15</v>
      </c>
      <c r="I2822" t="s">
        <v>16</v>
      </c>
      <c r="J2822" s="1">
        <v>45036</v>
      </c>
      <c r="K2822" t="b">
        <v>1</v>
      </c>
    </row>
    <row r="2823" spans="1:11" x14ac:dyDescent="0.25">
      <c r="A2823" t="s">
        <v>1972</v>
      </c>
      <c r="B2823" t="s">
        <v>97</v>
      </c>
      <c r="C2823" t="s">
        <v>23</v>
      </c>
      <c r="D2823" t="s">
        <v>352</v>
      </c>
      <c r="E2823" s="2">
        <v>29</v>
      </c>
      <c r="F2823" s="4">
        <v>5</v>
      </c>
      <c r="G2823" s="2">
        <v>145</v>
      </c>
      <c r="H2823" t="s">
        <v>45</v>
      </c>
      <c r="I2823" t="s">
        <v>16</v>
      </c>
      <c r="J2823" s="1">
        <v>45108</v>
      </c>
      <c r="K2823" t="b">
        <v>1</v>
      </c>
    </row>
    <row r="2824" spans="1:11" x14ac:dyDescent="0.25">
      <c r="A2824" t="s">
        <v>2901</v>
      </c>
      <c r="B2824" t="s">
        <v>142</v>
      </c>
      <c r="C2824" t="s">
        <v>27</v>
      </c>
      <c r="D2824" t="s">
        <v>421</v>
      </c>
      <c r="E2824" s="2">
        <v>29</v>
      </c>
      <c r="F2824" s="4">
        <v>5</v>
      </c>
      <c r="G2824" s="2">
        <v>145</v>
      </c>
      <c r="H2824" t="s">
        <v>15</v>
      </c>
      <c r="I2824" t="s">
        <v>16</v>
      </c>
      <c r="J2824" s="1">
        <v>45300</v>
      </c>
      <c r="K2824" t="b">
        <v>0</v>
      </c>
    </row>
    <row r="2825" spans="1:11" x14ac:dyDescent="0.25">
      <c r="A2825" t="s">
        <v>4890</v>
      </c>
      <c r="B2825" t="s">
        <v>40</v>
      </c>
      <c r="C2825" t="s">
        <v>19</v>
      </c>
      <c r="D2825" t="s">
        <v>20</v>
      </c>
      <c r="E2825" s="2">
        <v>29</v>
      </c>
      <c r="F2825" s="4">
        <v>5</v>
      </c>
      <c r="G2825" s="2">
        <v>145</v>
      </c>
      <c r="H2825" t="s">
        <v>25</v>
      </c>
      <c r="I2825" t="s">
        <v>36</v>
      </c>
      <c r="J2825" s="1">
        <v>44722</v>
      </c>
      <c r="K2825" t="b">
        <v>0</v>
      </c>
    </row>
    <row r="2826" spans="1:11" x14ac:dyDescent="0.25">
      <c r="A2826" t="s">
        <v>5982</v>
      </c>
      <c r="B2826" t="s">
        <v>30</v>
      </c>
      <c r="C2826" t="s">
        <v>110</v>
      </c>
      <c r="D2826" t="s">
        <v>386</v>
      </c>
      <c r="E2826" s="2">
        <v>29</v>
      </c>
      <c r="F2826" s="4">
        <v>5</v>
      </c>
      <c r="G2826" s="2">
        <v>145</v>
      </c>
      <c r="H2826" t="s">
        <v>25</v>
      </c>
      <c r="I2826" t="s">
        <v>36</v>
      </c>
      <c r="J2826" s="1">
        <v>45025</v>
      </c>
      <c r="K2826" t="b">
        <v>1</v>
      </c>
    </row>
    <row r="2827" spans="1:11" x14ac:dyDescent="0.25">
      <c r="A2827" t="s">
        <v>1438</v>
      </c>
      <c r="B2827" t="s">
        <v>51</v>
      </c>
      <c r="C2827" t="s">
        <v>23</v>
      </c>
      <c r="D2827" t="s">
        <v>352</v>
      </c>
      <c r="E2827" s="2">
        <v>29</v>
      </c>
      <c r="F2827" s="4">
        <v>5</v>
      </c>
      <c r="G2827" s="2">
        <v>145</v>
      </c>
      <c r="H2827" t="s">
        <v>15</v>
      </c>
      <c r="I2827" t="s">
        <v>16</v>
      </c>
      <c r="J2827" s="1">
        <v>44673</v>
      </c>
      <c r="K2827" t="b">
        <v>1</v>
      </c>
    </row>
    <row r="2828" spans="1:11" x14ac:dyDescent="0.25">
      <c r="A2828" t="s">
        <v>5808</v>
      </c>
      <c r="B2828" t="s">
        <v>12</v>
      </c>
      <c r="C2828" t="s">
        <v>38</v>
      </c>
      <c r="D2828" t="s">
        <v>267</v>
      </c>
      <c r="E2828" s="2">
        <v>29</v>
      </c>
      <c r="F2828" s="4">
        <v>5</v>
      </c>
      <c r="G2828" s="2">
        <v>145</v>
      </c>
      <c r="H2828" t="s">
        <v>25</v>
      </c>
      <c r="I2828" t="s">
        <v>36</v>
      </c>
      <c r="J2828" s="1">
        <v>45366</v>
      </c>
      <c r="K2828" t="b">
        <v>0</v>
      </c>
    </row>
    <row r="2829" spans="1:11" x14ac:dyDescent="0.25">
      <c r="A2829" t="s">
        <v>7754</v>
      </c>
      <c r="B2829" t="s">
        <v>56</v>
      </c>
      <c r="C2829" t="s">
        <v>19</v>
      </c>
      <c r="D2829" t="s">
        <v>20</v>
      </c>
      <c r="E2829" s="2">
        <v>29</v>
      </c>
      <c r="F2829" s="4">
        <v>5</v>
      </c>
      <c r="G2829" s="2">
        <v>145</v>
      </c>
      <c r="H2829" t="s">
        <v>45</v>
      </c>
      <c r="I2829" t="s">
        <v>36</v>
      </c>
      <c r="J2829" s="1">
        <v>45601</v>
      </c>
      <c r="K2829" t="b">
        <v>1</v>
      </c>
    </row>
    <row r="2830" spans="1:11" x14ac:dyDescent="0.25">
      <c r="A2830" t="s">
        <v>4112</v>
      </c>
      <c r="B2830" t="s">
        <v>142</v>
      </c>
      <c r="C2830" t="s">
        <v>19</v>
      </c>
      <c r="D2830" t="s">
        <v>20</v>
      </c>
      <c r="E2830" s="2">
        <v>29</v>
      </c>
      <c r="F2830" s="4">
        <v>5</v>
      </c>
      <c r="G2830" s="2">
        <v>145</v>
      </c>
      <c r="H2830" t="s">
        <v>15</v>
      </c>
      <c r="I2830" t="s">
        <v>36</v>
      </c>
      <c r="J2830" s="1">
        <v>44719</v>
      </c>
      <c r="K2830" t="b">
        <v>0</v>
      </c>
    </row>
    <row r="2831" spans="1:11" x14ac:dyDescent="0.25">
      <c r="A2831" t="s">
        <v>2221</v>
      </c>
      <c r="B2831" t="s">
        <v>142</v>
      </c>
      <c r="C2831" t="s">
        <v>23</v>
      </c>
      <c r="D2831" t="s">
        <v>352</v>
      </c>
      <c r="E2831" s="2">
        <v>29</v>
      </c>
      <c r="F2831" s="4">
        <v>5</v>
      </c>
      <c r="G2831" s="2">
        <v>145</v>
      </c>
      <c r="H2831" t="s">
        <v>25</v>
      </c>
      <c r="I2831" t="s">
        <v>16</v>
      </c>
      <c r="J2831" s="1">
        <v>44965</v>
      </c>
      <c r="K2831" t="b">
        <v>0</v>
      </c>
    </row>
    <row r="2832" spans="1:11" x14ac:dyDescent="0.25">
      <c r="A2832" t="s">
        <v>3276</v>
      </c>
      <c r="B2832" t="s">
        <v>72</v>
      </c>
      <c r="C2832" t="s">
        <v>38</v>
      </c>
      <c r="D2832" t="s">
        <v>267</v>
      </c>
      <c r="E2832" s="2">
        <v>29</v>
      </c>
      <c r="F2832" s="4">
        <v>5</v>
      </c>
      <c r="G2832" s="2">
        <v>145</v>
      </c>
      <c r="H2832" t="s">
        <v>15</v>
      </c>
      <c r="I2832" t="s">
        <v>36</v>
      </c>
      <c r="J2832" s="1">
        <v>44594</v>
      </c>
      <c r="K2832" t="b">
        <v>0</v>
      </c>
    </row>
    <row r="2833" spans="1:11" x14ac:dyDescent="0.25">
      <c r="A2833" t="s">
        <v>2287</v>
      </c>
      <c r="B2833" t="s">
        <v>61</v>
      </c>
      <c r="C2833" t="s">
        <v>31</v>
      </c>
      <c r="D2833" t="s">
        <v>372</v>
      </c>
      <c r="E2833" s="2">
        <v>29</v>
      </c>
      <c r="F2833" s="4">
        <v>5</v>
      </c>
      <c r="G2833" s="2">
        <v>145</v>
      </c>
      <c r="H2833" t="s">
        <v>45</v>
      </c>
      <c r="I2833" t="s">
        <v>36</v>
      </c>
      <c r="J2833" s="1">
        <v>45279</v>
      </c>
      <c r="K2833" t="b">
        <v>0</v>
      </c>
    </row>
    <row r="2834" spans="1:11" x14ac:dyDescent="0.25">
      <c r="A2834" t="s">
        <v>3122</v>
      </c>
      <c r="B2834" t="s">
        <v>26</v>
      </c>
      <c r="C2834" t="s">
        <v>31</v>
      </c>
      <c r="D2834" t="s">
        <v>372</v>
      </c>
      <c r="E2834" s="2">
        <v>29</v>
      </c>
      <c r="F2834" s="4">
        <v>5</v>
      </c>
      <c r="G2834" s="2">
        <v>145</v>
      </c>
      <c r="H2834" t="s">
        <v>45</v>
      </c>
      <c r="I2834" t="s">
        <v>36</v>
      </c>
      <c r="J2834" s="1">
        <v>44980</v>
      </c>
      <c r="K2834" t="b">
        <v>0</v>
      </c>
    </row>
    <row r="2835" spans="1:11" x14ac:dyDescent="0.25">
      <c r="A2835" t="s">
        <v>500</v>
      </c>
      <c r="B2835" t="s">
        <v>63</v>
      </c>
      <c r="C2835" t="s">
        <v>19</v>
      </c>
      <c r="D2835" t="s">
        <v>20</v>
      </c>
      <c r="E2835" s="2">
        <v>29</v>
      </c>
      <c r="F2835" s="4">
        <v>5</v>
      </c>
      <c r="G2835" s="2">
        <v>145</v>
      </c>
      <c r="H2835" t="s">
        <v>45</v>
      </c>
      <c r="I2835" t="s">
        <v>36</v>
      </c>
      <c r="J2835" s="1">
        <v>44585</v>
      </c>
      <c r="K2835" t="b">
        <v>0</v>
      </c>
    </row>
    <row r="2836" spans="1:11" x14ac:dyDescent="0.25">
      <c r="A2836" t="s">
        <v>5742</v>
      </c>
      <c r="B2836" t="s">
        <v>86</v>
      </c>
      <c r="C2836" t="s">
        <v>27</v>
      </c>
      <c r="D2836" t="s">
        <v>421</v>
      </c>
      <c r="E2836" s="2">
        <v>29</v>
      </c>
      <c r="F2836" s="4">
        <v>5</v>
      </c>
      <c r="G2836" s="2">
        <v>145</v>
      </c>
      <c r="H2836" t="s">
        <v>25</v>
      </c>
      <c r="I2836" t="s">
        <v>16</v>
      </c>
      <c r="J2836" s="1">
        <v>44783</v>
      </c>
      <c r="K2836" t="b">
        <v>0</v>
      </c>
    </row>
    <row r="2837" spans="1:11" x14ac:dyDescent="0.25">
      <c r="A2837" t="s">
        <v>1058</v>
      </c>
      <c r="B2837" t="s">
        <v>51</v>
      </c>
      <c r="C2837" t="s">
        <v>31</v>
      </c>
      <c r="D2837" t="s">
        <v>372</v>
      </c>
      <c r="E2837" s="2">
        <v>29</v>
      </c>
      <c r="F2837" s="4">
        <v>5</v>
      </c>
      <c r="G2837" s="2">
        <v>145</v>
      </c>
      <c r="H2837" t="s">
        <v>45</v>
      </c>
      <c r="I2837" t="s">
        <v>36</v>
      </c>
      <c r="J2837" s="1">
        <v>44993</v>
      </c>
      <c r="K2837" t="b">
        <v>1</v>
      </c>
    </row>
    <row r="2838" spans="1:11" x14ac:dyDescent="0.25">
      <c r="A2838" t="s">
        <v>5838</v>
      </c>
      <c r="B2838" t="s">
        <v>22</v>
      </c>
      <c r="C2838" t="s">
        <v>23</v>
      </c>
      <c r="D2838" t="s">
        <v>352</v>
      </c>
      <c r="E2838" s="2">
        <v>29</v>
      </c>
      <c r="F2838" s="4">
        <v>5</v>
      </c>
      <c r="G2838" s="2">
        <v>145</v>
      </c>
      <c r="H2838" t="s">
        <v>25</v>
      </c>
      <c r="I2838" t="s">
        <v>36</v>
      </c>
      <c r="J2838" s="1">
        <v>44971</v>
      </c>
      <c r="K2838" t="b">
        <v>1</v>
      </c>
    </row>
    <row r="2839" spans="1:11" x14ac:dyDescent="0.25">
      <c r="A2839" t="s">
        <v>7516</v>
      </c>
      <c r="B2839" t="s">
        <v>86</v>
      </c>
      <c r="C2839" t="s">
        <v>59</v>
      </c>
      <c r="D2839" t="s">
        <v>297</v>
      </c>
      <c r="E2839" s="2">
        <v>29</v>
      </c>
      <c r="F2839" s="4">
        <v>5</v>
      </c>
      <c r="G2839" s="2">
        <v>145</v>
      </c>
      <c r="H2839" t="s">
        <v>15</v>
      </c>
      <c r="I2839" t="s">
        <v>36</v>
      </c>
      <c r="J2839" s="1">
        <v>44649</v>
      </c>
      <c r="K2839" t="b">
        <v>1</v>
      </c>
    </row>
    <row r="2840" spans="1:11" x14ac:dyDescent="0.25">
      <c r="A2840" t="s">
        <v>2884</v>
      </c>
      <c r="B2840" t="s">
        <v>56</v>
      </c>
      <c r="C2840" t="s">
        <v>31</v>
      </c>
      <c r="D2840" t="s">
        <v>372</v>
      </c>
      <c r="E2840" s="2">
        <v>29</v>
      </c>
      <c r="F2840" s="4">
        <v>5</v>
      </c>
      <c r="G2840" s="2">
        <v>145</v>
      </c>
      <c r="H2840" t="s">
        <v>15</v>
      </c>
      <c r="I2840" t="s">
        <v>36</v>
      </c>
      <c r="J2840" s="1">
        <v>44564</v>
      </c>
      <c r="K2840" t="b">
        <v>0</v>
      </c>
    </row>
    <row r="2841" spans="1:11" x14ac:dyDescent="0.25">
      <c r="A2841" t="s">
        <v>5575</v>
      </c>
      <c r="B2841" t="s">
        <v>86</v>
      </c>
      <c r="C2841" t="s">
        <v>38</v>
      </c>
      <c r="D2841" t="s">
        <v>163</v>
      </c>
      <c r="E2841" s="2">
        <v>35</v>
      </c>
      <c r="F2841" s="4">
        <v>4</v>
      </c>
      <c r="G2841" s="2">
        <v>140</v>
      </c>
      <c r="H2841" t="s">
        <v>25</v>
      </c>
      <c r="I2841" t="s">
        <v>36</v>
      </c>
      <c r="J2841" s="1">
        <v>44565</v>
      </c>
      <c r="K2841" t="b">
        <v>0</v>
      </c>
    </row>
    <row r="2842" spans="1:11" x14ac:dyDescent="0.25">
      <c r="A2842" t="s">
        <v>574</v>
      </c>
      <c r="B2842" t="s">
        <v>43</v>
      </c>
      <c r="C2842" t="s">
        <v>110</v>
      </c>
      <c r="D2842" t="s">
        <v>263</v>
      </c>
      <c r="E2842" s="2">
        <v>20</v>
      </c>
      <c r="F2842" s="4">
        <v>7</v>
      </c>
      <c r="G2842" s="2">
        <v>140</v>
      </c>
      <c r="H2842" t="s">
        <v>25</v>
      </c>
      <c r="I2842" t="s">
        <v>16</v>
      </c>
      <c r="J2842" s="1">
        <v>44805</v>
      </c>
      <c r="K2842" t="b">
        <v>0</v>
      </c>
    </row>
    <row r="2843" spans="1:11" x14ac:dyDescent="0.25">
      <c r="A2843" t="s">
        <v>2874</v>
      </c>
      <c r="B2843" t="s">
        <v>142</v>
      </c>
      <c r="C2843" t="s">
        <v>19</v>
      </c>
      <c r="D2843" t="s">
        <v>228</v>
      </c>
      <c r="E2843" s="2">
        <v>20</v>
      </c>
      <c r="F2843" s="4">
        <v>7</v>
      </c>
      <c r="G2843" s="2">
        <v>140</v>
      </c>
      <c r="H2843" t="s">
        <v>15</v>
      </c>
      <c r="I2843" t="s">
        <v>36</v>
      </c>
      <c r="J2843" s="1">
        <v>44810</v>
      </c>
      <c r="K2843" t="b">
        <v>0</v>
      </c>
    </row>
    <row r="2844" spans="1:11" x14ac:dyDescent="0.25">
      <c r="A2844" t="s">
        <v>2035</v>
      </c>
      <c r="B2844" t="s">
        <v>100</v>
      </c>
      <c r="C2844" t="s">
        <v>59</v>
      </c>
      <c r="D2844" t="s">
        <v>248</v>
      </c>
      <c r="E2844" s="2">
        <v>14</v>
      </c>
      <c r="F2844" s="4">
        <v>10</v>
      </c>
      <c r="G2844" s="2">
        <v>140</v>
      </c>
      <c r="H2844" t="s">
        <v>15</v>
      </c>
      <c r="I2844" t="s">
        <v>16</v>
      </c>
      <c r="J2844" s="1">
        <v>44877</v>
      </c>
      <c r="K2844" t="b">
        <v>0</v>
      </c>
    </row>
    <row r="2845" spans="1:11" x14ac:dyDescent="0.25">
      <c r="A2845" t="s">
        <v>7443</v>
      </c>
      <c r="B2845" t="s">
        <v>43</v>
      </c>
      <c r="C2845" t="s">
        <v>38</v>
      </c>
      <c r="D2845" t="s">
        <v>159</v>
      </c>
      <c r="E2845" s="2">
        <v>20</v>
      </c>
      <c r="F2845" s="4">
        <v>7</v>
      </c>
      <c r="G2845" s="2">
        <v>140</v>
      </c>
      <c r="H2845" t="s">
        <v>25</v>
      </c>
      <c r="I2845" t="s">
        <v>36</v>
      </c>
      <c r="J2845" s="1">
        <v>44783</v>
      </c>
      <c r="K2845" t="b">
        <v>1</v>
      </c>
    </row>
    <row r="2846" spans="1:11" x14ac:dyDescent="0.25">
      <c r="A2846" t="s">
        <v>3989</v>
      </c>
      <c r="B2846" t="s">
        <v>56</v>
      </c>
      <c r="C2846" t="s">
        <v>13</v>
      </c>
      <c r="D2846" t="s">
        <v>113</v>
      </c>
      <c r="E2846" s="2">
        <v>20</v>
      </c>
      <c r="F2846" s="4">
        <v>7</v>
      </c>
      <c r="G2846" s="2">
        <v>140</v>
      </c>
      <c r="H2846" t="s">
        <v>15</v>
      </c>
      <c r="I2846" t="s">
        <v>36</v>
      </c>
      <c r="J2846" s="1">
        <v>45294</v>
      </c>
      <c r="K2846" t="b">
        <v>1</v>
      </c>
    </row>
    <row r="2847" spans="1:11" x14ac:dyDescent="0.25">
      <c r="A2847" t="s">
        <v>4795</v>
      </c>
      <c r="B2847" t="s">
        <v>66</v>
      </c>
      <c r="C2847" t="s">
        <v>13</v>
      </c>
      <c r="D2847" t="s">
        <v>113</v>
      </c>
      <c r="E2847" s="2">
        <v>20</v>
      </c>
      <c r="F2847" s="4">
        <v>7</v>
      </c>
      <c r="G2847" s="2">
        <v>140</v>
      </c>
      <c r="H2847" t="s">
        <v>25</v>
      </c>
      <c r="I2847" t="s">
        <v>16</v>
      </c>
      <c r="J2847" s="1">
        <v>44915</v>
      </c>
      <c r="K2847" t="b">
        <v>0</v>
      </c>
    </row>
    <row r="2848" spans="1:11" x14ac:dyDescent="0.25">
      <c r="A2848" t="s">
        <v>2748</v>
      </c>
      <c r="B2848" t="s">
        <v>56</v>
      </c>
      <c r="C2848" t="s">
        <v>59</v>
      </c>
      <c r="D2848" t="s">
        <v>365</v>
      </c>
      <c r="E2848" s="2">
        <v>20</v>
      </c>
      <c r="F2848" s="4">
        <v>7</v>
      </c>
      <c r="G2848" s="2">
        <v>140</v>
      </c>
      <c r="H2848" t="s">
        <v>45</v>
      </c>
      <c r="I2848" t="s">
        <v>36</v>
      </c>
      <c r="J2848" s="1">
        <v>44889</v>
      </c>
      <c r="K2848" t="b">
        <v>0</v>
      </c>
    </row>
    <row r="2849" spans="1:11" x14ac:dyDescent="0.25">
      <c r="A2849" t="s">
        <v>4287</v>
      </c>
      <c r="B2849" t="s">
        <v>34</v>
      </c>
      <c r="C2849" t="s">
        <v>27</v>
      </c>
      <c r="D2849" t="s">
        <v>240</v>
      </c>
      <c r="E2849" s="2">
        <v>35</v>
      </c>
      <c r="F2849" s="4">
        <v>4</v>
      </c>
      <c r="G2849" s="2">
        <v>140</v>
      </c>
      <c r="H2849" t="s">
        <v>15</v>
      </c>
      <c r="I2849" t="s">
        <v>36</v>
      </c>
      <c r="J2849" s="1">
        <v>45565</v>
      </c>
      <c r="K2849" t="b">
        <v>1</v>
      </c>
    </row>
    <row r="2850" spans="1:11" x14ac:dyDescent="0.25">
      <c r="A2850" t="s">
        <v>1073</v>
      </c>
      <c r="B2850" t="s">
        <v>22</v>
      </c>
      <c r="C2850" t="s">
        <v>23</v>
      </c>
      <c r="D2850" t="s">
        <v>277</v>
      </c>
      <c r="E2850" s="2">
        <v>14</v>
      </c>
      <c r="F2850" s="4">
        <v>10</v>
      </c>
      <c r="G2850" s="2">
        <v>140</v>
      </c>
      <c r="H2850" t="s">
        <v>15</v>
      </c>
      <c r="I2850" t="s">
        <v>16</v>
      </c>
      <c r="J2850" s="1">
        <v>45262</v>
      </c>
      <c r="K2850" t="b">
        <v>1</v>
      </c>
    </row>
    <row r="2851" spans="1:11" x14ac:dyDescent="0.25">
      <c r="A2851" t="s">
        <v>5805</v>
      </c>
      <c r="B2851" t="s">
        <v>40</v>
      </c>
      <c r="C2851" t="s">
        <v>110</v>
      </c>
      <c r="D2851" t="s">
        <v>176</v>
      </c>
      <c r="E2851" s="2">
        <v>14</v>
      </c>
      <c r="F2851" s="4">
        <v>10</v>
      </c>
      <c r="G2851" s="2">
        <v>140</v>
      </c>
      <c r="H2851" t="s">
        <v>15</v>
      </c>
      <c r="I2851" t="s">
        <v>16</v>
      </c>
      <c r="J2851" s="1">
        <v>44989</v>
      </c>
      <c r="K2851" t="b">
        <v>0</v>
      </c>
    </row>
    <row r="2852" spans="1:11" x14ac:dyDescent="0.25">
      <c r="A2852" t="s">
        <v>7505</v>
      </c>
      <c r="B2852" t="s">
        <v>142</v>
      </c>
      <c r="C2852" t="s">
        <v>19</v>
      </c>
      <c r="D2852" t="s">
        <v>228</v>
      </c>
      <c r="E2852" s="2">
        <v>20</v>
      </c>
      <c r="F2852" s="4">
        <v>7</v>
      </c>
      <c r="G2852" s="2">
        <v>140</v>
      </c>
      <c r="H2852" t="s">
        <v>15</v>
      </c>
      <c r="I2852" t="s">
        <v>16</v>
      </c>
      <c r="J2852" s="1">
        <v>45308</v>
      </c>
      <c r="K2852" t="b">
        <v>0</v>
      </c>
    </row>
    <row r="2853" spans="1:11" x14ac:dyDescent="0.25">
      <c r="A2853" t="s">
        <v>656</v>
      </c>
      <c r="B2853" t="s">
        <v>72</v>
      </c>
      <c r="C2853" t="s">
        <v>13</v>
      </c>
      <c r="D2853" t="s">
        <v>151</v>
      </c>
      <c r="E2853" s="2">
        <v>14</v>
      </c>
      <c r="F2853" s="4">
        <v>10</v>
      </c>
      <c r="G2853" s="2">
        <v>140</v>
      </c>
      <c r="H2853" t="s">
        <v>15</v>
      </c>
      <c r="I2853" t="s">
        <v>36</v>
      </c>
      <c r="J2853" s="1">
        <v>44862</v>
      </c>
      <c r="K2853" t="b">
        <v>1</v>
      </c>
    </row>
    <row r="2854" spans="1:11" x14ac:dyDescent="0.25">
      <c r="A2854" t="s">
        <v>6062</v>
      </c>
      <c r="B2854" t="s">
        <v>104</v>
      </c>
      <c r="C2854" t="s">
        <v>31</v>
      </c>
      <c r="D2854" t="s">
        <v>162</v>
      </c>
      <c r="E2854" s="2">
        <v>14</v>
      </c>
      <c r="F2854" s="4">
        <v>10</v>
      </c>
      <c r="G2854" s="2">
        <v>140</v>
      </c>
      <c r="H2854" t="s">
        <v>45</v>
      </c>
      <c r="I2854" t="s">
        <v>36</v>
      </c>
      <c r="J2854" s="1">
        <v>45570</v>
      </c>
      <c r="K2854" t="b">
        <v>0</v>
      </c>
    </row>
    <row r="2855" spans="1:11" x14ac:dyDescent="0.25">
      <c r="A2855" t="s">
        <v>2627</v>
      </c>
      <c r="B2855" t="s">
        <v>97</v>
      </c>
      <c r="C2855" t="s">
        <v>38</v>
      </c>
      <c r="D2855" t="s">
        <v>123</v>
      </c>
      <c r="E2855" s="2">
        <v>14</v>
      </c>
      <c r="F2855" s="4">
        <v>10</v>
      </c>
      <c r="G2855" s="2">
        <v>140</v>
      </c>
      <c r="H2855" t="s">
        <v>45</v>
      </c>
      <c r="I2855" t="s">
        <v>16</v>
      </c>
      <c r="J2855" s="1">
        <v>45020</v>
      </c>
      <c r="K2855" t="b">
        <v>1</v>
      </c>
    </row>
    <row r="2856" spans="1:11" x14ac:dyDescent="0.25">
      <c r="A2856" t="s">
        <v>7506</v>
      </c>
      <c r="B2856" t="s">
        <v>85</v>
      </c>
      <c r="C2856" t="s">
        <v>59</v>
      </c>
      <c r="D2856" t="s">
        <v>87</v>
      </c>
      <c r="E2856" s="2">
        <v>35</v>
      </c>
      <c r="F2856" s="4">
        <v>4</v>
      </c>
      <c r="G2856" s="2">
        <v>140</v>
      </c>
      <c r="H2856" t="s">
        <v>45</v>
      </c>
      <c r="I2856" t="s">
        <v>16</v>
      </c>
      <c r="J2856" s="1">
        <v>45526</v>
      </c>
      <c r="K2856" t="b">
        <v>0</v>
      </c>
    </row>
    <row r="2857" spans="1:11" x14ac:dyDescent="0.25">
      <c r="A2857" t="s">
        <v>1034</v>
      </c>
      <c r="B2857" t="s">
        <v>43</v>
      </c>
      <c r="C2857" t="s">
        <v>59</v>
      </c>
      <c r="D2857" t="s">
        <v>87</v>
      </c>
      <c r="E2857" s="2">
        <v>35</v>
      </c>
      <c r="F2857" s="4">
        <v>4</v>
      </c>
      <c r="G2857" s="2">
        <v>140</v>
      </c>
      <c r="H2857" t="s">
        <v>15</v>
      </c>
      <c r="I2857" t="s">
        <v>36</v>
      </c>
      <c r="J2857" s="1">
        <v>45336</v>
      </c>
      <c r="K2857" t="b">
        <v>1</v>
      </c>
    </row>
    <row r="2858" spans="1:11" x14ac:dyDescent="0.25">
      <c r="A2858" t="s">
        <v>5103</v>
      </c>
      <c r="B2858" t="s">
        <v>77</v>
      </c>
      <c r="C2858" t="s">
        <v>27</v>
      </c>
      <c r="D2858" t="s">
        <v>62</v>
      </c>
      <c r="E2858" s="2">
        <v>14</v>
      </c>
      <c r="F2858" s="4">
        <v>10</v>
      </c>
      <c r="G2858" s="2">
        <v>140</v>
      </c>
      <c r="H2858" t="s">
        <v>45</v>
      </c>
      <c r="I2858" t="s">
        <v>36</v>
      </c>
      <c r="J2858" s="1">
        <v>45519</v>
      </c>
      <c r="K2858" t="b">
        <v>1</v>
      </c>
    </row>
    <row r="2859" spans="1:11" x14ac:dyDescent="0.25">
      <c r="A2859" t="s">
        <v>2418</v>
      </c>
      <c r="B2859" t="s">
        <v>12</v>
      </c>
      <c r="C2859" t="s">
        <v>27</v>
      </c>
      <c r="D2859" t="s">
        <v>95</v>
      </c>
      <c r="E2859" s="2">
        <v>20</v>
      </c>
      <c r="F2859" s="4">
        <v>7</v>
      </c>
      <c r="G2859" s="2">
        <v>140</v>
      </c>
      <c r="H2859" t="s">
        <v>45</v>
      </c>
      <c r="I2859" t="s">
        <v>16</v>
      </c>
      <c r="J2859" s="1">
        <v>45569</v>
      </c>
      <c r="K2859" t="b">
        <v>1</v>
      </c>
    </row>
    <row r="2860" spans="1:11" x14ac:dyDescent="0.25">
      <c r="A2860" t="s">
        <v>2745</v>
      </c>
      <c r="B2860" t="s">
        <v>85</v>
      </c>
      <c r="C2860" t="s">
        <v>110</v>
      </c>
      <c r="D2860" t="s">
        <v>197</v>
      </c>
      <c r="E2860" s="2">
        <v>35</v>
      </c>
      <c r="F2860" s="4">
        <v>4</v>
      </c>
      <c r="G2860" s="2">
        <v>140</v>
      </c>
      <c r="H2860" t="s">
        <v>25</v>
      </c>
      <c r="I2860" t="s">
        <v>16</v>
      </c>
      <c r="J2860" s="1">
        <v>45459</v>
      </c>
      <c r="K2860" t="b">
        <v>1</v>
      </c>
    </row>
    <row r="2861" spans="1:11" x14ac:dyDescent="0.25">
      <c r="A2861" t="s">
        <v>5168</v>
      </c>
      <c r="B2861" t="s">
        <v>69</v>
      </c>
      <c r="C2861" t="s">
        <v>13</v>
      </c>
      <c r="D2861" t="s">
        <v>151</v>
      </c>
      <c r="E2861" s="2">
        <v>14</v>
      </c>
      <c r="F2861" s="4">
        <v>10</v>
      </c>
      <c r="G2861" s="2">
        <v>140</v>
      </c>
      <c r="H2861" t="s">
        <v>15</v>
      </c>
      <c r="I2861" t="s">
        <v>36</v>
      </c>
      <c r="J2861" s="1">
        <v>44787</v>
      </c>
      <c r="K2861" t="b">
        <v>1</v>
      </c>
    </row>
    <row r="2862" spans="1:11" x14ac:dyDescent="0.25">
      <c r="A2862" t="s">
        <v>5239</v>
      </c>
      <c r="B2862" t="s">
        <v>61</v>
      </c>
      <c r="C2862" t="s">
        <v>59</v>
      </c>
      <c r="D2862" t="s">
        <v>248</v>
      </c>
      <c r="E2862" s="2">
        <v>14</v>
      </c>
      <c r="F2862" s="4">
        <v>10</v>
      </c>
      <c r="G2862" s="2">
        <v>140</v>
      </c>
      <c r="H2862" t="s">
        <v>45</v>
      </c>
      <c r="I2862" t="s">
        <v>36</v>
      </c>
      <c r="J2862" s="1">
        <v>45124</v>
      </c>
      <c r="K2862" t="b">
        <v>1</v>
      </c>
    </row>
    <row r="2863" spans="1:11" x14ac:dyDescent="0.25">
      <c r="A2863" t="s">
        <v>2317</v>
      </c>
      <c r="B2863" t="s">
        <v>61</v>
      </c>
      <c r="C2863" t="s">
        <v>38</v>
      </c>
      <c r="D2863" t="s">
        <v>163</v>
      </c>
      <c r="E2863" s="2">
        <v>35</v>
      </c>
      <c r="F2863" s="4">
        <v>4</v>
      </c>
      <c r="G2863" s="2">
        <v>140</v>
      </c>
      <c r="H2863" t="s">
        <v>45</v>
      </c>
      <c r="I2863" t="s">
        <v>36</v>
      </c>
      <c r="J2863" s="1">
        <v>45666</v>
      </c>
      <c r="K2863" t="b">
        <v>1</v>
      </c>
    </row>
    <row r="2864" spans="1:11" x14ac:dyDescent="0.25">
      <c r="A2864" t="s">
        <v>5399</v>
      </c>
      <c r="B2864" t="s">
        <v>61</v>
      </c>
      <c r="C2864" t="s">
        <v>110</v>
      </c>
      <c r="D2864" t="s">
        <v>263</v>
      </c>
      <c r="E2864" s="2">
        <v>20</v>
      </c>
      <c r="F2864" s="4">
        <v>7</v>
      </c>
      <c r="G2864" s="2">
        <v>140</v>
      </c>
      <c r="H2864" t="s">
        <v>15</v>
      </c>
      <c r="I2864" t="s">
        <v>36</v>
      </c>
      <c r="J2864" s="1">
        <v>45067</v>
      </c>
      <c r="K2864" t="b">
        <v>0</v>
      </c>
    </row>
    <row r="2865" spans="1:11" x14ac:dyDescent="0.25">
      <c r="A2865" t="s">
        <v>4068</v>
      </c>
      <c r="B2865" t="s">
        <v>97</v>
      </c>
      <c r="C2865" t="s">
        <v>27</v>
      </c>
      <c r="D2865" t="s">
        <v>62</v>
      </c>
      <c r="E2865" s="2">
        <v>14</v>
      </c>
      <c r="F2865" s="4">
        <v>10</v>
      </c>
      <c r="G2865" s="2">
        <v>140</v>
      </c>
      <c r="H2865" t="s">
        <v>45</v>
      </c>
      <c r="I2865" t="s">
        <v>36</v>
      </c>
      <c r="J2865" s="1">
        <v>44751</v>
      </c>
      <c r="K2865" t="b">
        <v>1</v>
      </c>
    </row>
    <row r="2866" spans="1:11" x14ac:dyDescent="0.25">
      <c r="A2866" t="s">
        <v>5114</v>
      </c>
      <c r="B2866" t="s">
        <v>142</v>
      </c>
      <c r="C2866" t="s">
        <v>27</v>
      </c>
      <c r="D2866" t="s">
        <v>240</v>
      </c>
      <c r="E2866" s="2">
        <v>35</v>
      </c>
      <c r="F2866" s="4">
        <v>4</v>
      </c>
      <c r="G2866" s="2">
        <v>140</v>
      </c>
      <c r="H2866" t="s">
        <v>15</v>
      </c>
      <c r="I2866" t="s">
        <v>36</v>
      </c>
      <c r="J2866" s="1">
        <v>45658</v>
      </c>
      <c r="K2866" t="b">
        <v>1</v>
      </c>
    </row>
    <row r="2867" spans="1:11" x14ac:dyDescent="0.25">
      <c r="A2867" t="s">
        <v>7189</v>
      </c>
      <c r="B2867" t="s">
        <v>58</v>
      </c>
      <c r="C2867" t="s">
        <v>110</v>
      </c>
      <c r="D2867" t="s">
        <v>176</v>
      </c>
      <c r="E2867" s="2">
        <v>14</v>
      </c>
      <c r="F2867" s="4">
        <v>10</v>
      </c>
      <c r="G2867" s="2">
        <v>140</v>
      </c>
      <c r="H2867" t="s">
        <v>15</v>
      </c>
      <c r="I2867" t="s">
        <v>36</v>
      </c>
      <c r="J2867" s="1">
        <v>45651</v>
      </c>
      <c r="K2867" t="b">
        <v>0</v>
      </c>
    </row>
    <row r="2868" spans="1:11" x14ac:dyDescent="0.25">
      <c r="A2868" t="s">
        <v>6224</v>
      </c>
      <c r="B2868" t="s">
        <v>26</v>
      </c>
      <c r="C2868" t="s">
        <v>19</v>
      </c>
      <c r="D2868" t="s">
        <v>228</v>
      </c>
      <c r="E2868" s="2">
        <v>20</v>
      </c>
      <c r="F2868" s="4">
        <v>7</v>
      </c>
      <c r="G2868" s="2">
        <v>140</v>
      </c>
      <c r="H2868" t="s">
        <v>15</v>
      </c>
      <c r="I2868" t="s">
        <v>36</v>
      </c>
      <c r="J2868" s="1">
        <v>45601</v>
      </c>
      <c r="K2868" t="b">
        <v>1</v>
      </c>
    </row>
    <row r="2869" spans="1:11" x14ac:dyDescent="0.25">
      <c r="A2869" t="s">
        <v>3570</v>
      </c>
      <c r="B2869" t="s">
        <v>58</v>
      </c>
      <c r="C2869" t="s">
        <v>13</v>
      </c>
      <c r="D2869" t="s">
        <v>151</v>
      </c>
      <c r="E2869" s="2">
        <v>14</v>
      </c>
      <c r="F2869" s="4">
        <v>10</v>
      </c>
      <c r="G2869" s="2">
        <v>140</v>
      </c>
      <c r="H2869" t="s">
        <v>45</v>
      </c>
      <c r="I2869" t="s">
        <v>36</v>
      </c>
      <c r="J2869" s="1">
        <v>45192</v>
      </c>
      <c r="K2869" t="b">
        <v>0</v>
      </c>
    </row>
    <row r="2870" spans="1:11" x14ac:dyDescent="0.25">
      <c r="A2870" t="s">
        <v>1708</v>
      </c>
      <c r="B2870" t="s">
        <v>61</v>
      </c>
      <c r="C2870" t="s">
        <v>23</v>
      </c>
      <c r="D2870" t="s">
        <v>179</v>
      </c>
      <c r="E2870" s="2">
        <v>35</v>
      </c>
      <c r="F2870" s="4">
        <v>4</v>
      </c>
      <c r="G2870" s="2">
        <v>140</v>
      </c>
      <c r="H2870" t="s">
        <v>25</v>
      </c>
      <c r="I2870" t="s">
        <v>36</v>
      </c>
      <c r="J2870" s="1">
        <v>45568</v>
      </c>
      <c r="K2870" t="b">
        <v>1</v>
      </c>
    </row>
    <row r="2871" spans="1:11" x14ac:dyDescent="0.25">
      <c r="A2871" t="s">
        <v>7746</v>
      </c>
      <c r="B2871" t="s">
        <v>30</v>
      </c>
      <c r="C2871" t="s">
        <v>23</v>
      </c>
      <c r="D2871" t="s">
        <v>666</v>
      </c>
      <c r="E2871" s="2">
        <v>20</v>
      </c>
      <c r="F2871" s="4">
        <v>7</v>
      </c>
      <c r="G2871" s="2">
        <v>140</v>
      </c>
      <c r="H2871" t="s">
        <v>25</v>
      </c>
      <c r="I2871" t="s">
        <v>36</v>
      </c>
      <c r="J2871" s="1">
        <v>44856</v>
      </c>
      <c r="K2871" t="b">
        <v>0</v>
      </c>
    </row>
    <row r="2872" spans="1:11" x14ac:dyDescent="0.25">
      <c r="A2872" t="s">
        <v>1362</v>
      </c>
      <c r="B2872" t="s">
        <v>22</v>
      </c>
      <c r="C2872" t="s">
        <v>59</v>
      </c>
      <c r="D2872" t="s">
        <v>248</v>
      </c>
      <c r="E2872" s="2">
        <v>14</v>
      </c>
      <c r="F2872" s="4">
        <v>10</v>
      </c>
      <c r="G2872" s="2">
        <v>140</v>
      </c>
      <c r="H2872" t="s">
        <v>25</v>
      </c>
      <c r="I2872" t="s">
        <v>16</v>
      </c>
      <c r="J2872" s="1">
        <v>44961</v>
      </c>
      <c r="K2872" t="b">
        <v>1</v>
      </c>
    </row>
    <row r="2873" spans="1:11" x14ac:dyDescent="0.25">
      <c r="A2873" t="s">
        <v>2203</v>
      </c>
      <c r="B2873" t="s">
        <v>142</v>
      </c>
      <c r="C2873" t="s">
        <v>110</v>
      </c>
      <c r="D2873" t="s">
        <v>197</v>
      </c>
      <c r="E2873" s="2">
        <v>35</v>
      </c>
      <c r="F2873" s="4">
        <v>4</v>
      </c>
      <c r="G2873" s="2">
        <v>140</v>
      </c>
      <c r="H2873" t="s">
        <v>15</v>
      </c>
      <c r="I2873" t="s">
        <v>36</v>
      </c>
      <c r="J2873" s="1">
        <v>45489</v>
      </c>
      <c r="K2873" t="b">
        <v>1</v>
      </c>
    </row>
    <row r="2874" spans="1:11" x14ac:dyDescent="0.25">
      <c r="A2874" t="s">
        <v>7722</v>
      </c>
      <c r="B2874" t="s">
        <v>104</v>
      </c>
      <c r="C2874" t="s">
        <v>59</v>
      </c>
      <c r="D2874" t="s">
        <v>365</v>
      </c>
      <c r="E2874" s="2">
        <v>20</v>
      </c>
      <c r="F2874" s="4">
        <v>7</v>
      </c>
      <c r="G2874" s="2">
        <v>140</v>
      </c>
      <c r="H2874" t="s">
        <v>15</v>
      </c>
      <c r="I2874" t="s">
        <v>36</v>
      </c>
      <c r="J2874" s="1">
        <v>44684</v>
      </c>
      <c r="K2874" t="b">
        <v>1</v>
      </c>
    </row>
    <row r="2875" spans="1:11" x14ac:dyDescent="0.25">
      <c r="A2875" t="s">
        <v>3708</v>
      </c>
      <c r="B2875" t="s">
        <v>26</v>
      </c>
      <c r="C2875" t="s">
        <v>110</v>
      </c>
      <c r="D2875" t="s">
        <v>197</v>
      </c>
      <c r="E2875" s="2">
        <v>35</v>
      </c>
      <c r="F2875" s="4">
        <v>4</v>
      </c>
      <c r="G2875" s="2">
        <v>140</v>
      </c>
      <c r="H2875" t="s">
        <v>25</v>
      </c>
      <c r="I2875" t="s">
        <v>16</v>
      </c>
      <c r="J2875" s="1">
        <v>45188</v>
      </c>
      <c r="K2875" t="b">
        <v>0</v>
      </c>
    </row>
    <row r="2876" spans="1:11" x14ac:dyDescent="0.25">
      <c r="A2876" t="s">
        <v>5183</v>
      </c>
      <c r="B2876" t="s">
        <v>40</v>
      </c>
      <c r="C2876" t="s">
        <v>19</v>
      </c>
      <c r="D2876" t="s">
        <v>228</v>
      </c>
      <c r="E2876" s="2">
        <v>20</v>
      </c>
      <c r="F2876" s="4">
        <v>7</v>
      </c>
      <c r="G2876" s="2">
        <v>140</v>
      </c>
      <c r="H2876" t="s">
        <v>15</v>
      </c>
      <c r="I2876" t="s">
        <v>36</v>
      </c>
      <c r="J2876" s="1">
        <v>45477</v>
      </c>
      <c r="K2876" t="b">
        <v>0</v>
      </c>
    </row>
    <row r="2877" spans="1:11" x14ac:dyDescent="0.25">
      <c r="A2877" t="s">
        <v>257</v>
      </c>
      <c r="B2877" t="s">
        <v>58</v>
      </c>
      <c r="C2877" t="s">
        <v>13</v>
      </c>
      <c r="D2877" t="s">
        <v>113</v>
      </c>
      <c r="E2877" s="2">
        <v>20</v>
      </c>
      <c r="F2877" s="4">
        <v>7</v>
      </c>
      <c r="G2877" s="2">
        <v>140</v>
      </c>
      <c r="H2877" t="s">
        <v>45</v>
      </c>
      <c r="I2877" t="s">
        <v>36</v>
      </c>
      <c r="J2877" s="1">
        <v>45103</v>
      </c>
      <c r="K2877" t="b">
        <v>1</v>
      </c>
    </row>
    <row r="2878" spans="1:11" x14ac:dyDescent="0.25">
      <c r="A2878" t="s">
        <v>4839</v>
      </c>
      <c r="B2878" t="s">
        <v>12</v>
      </c>
      <c r="C2878" t="s">
        <v>38</v>
      </c>
      <c r="D2878" t="s">
        <v>163</v>
      </c>
      <c r="E2878" s="2">
        <v>35</v>
      </c>
      <c r="F2878" s="4">
        <v>4</v>
      </c>
      <c r="G2878" s="2">
        <v>140</v>
      </c>
      <c r="H2878" t="s">
        <v>45</v>
      </c>
      <c r="I2878" t="s">
        <v>16</v>
      </c>
      <c r="J2878" s="1">
        <v>44687</v>
      </c>
      <c r="K2878" t="b">
        <v>0</v>
      </c>
    </row>
    <row r="2879" spans="1:11" x14ac:dyDescent="0.25">
      <c r="A2879" t="s">
        <v>1108</v>
      </c>
      <c r="B2879" t="s">
        <v>18</v>
      </c>
      <c r="C2879" t="s">
        <v>38</v>
      </c>
      <c r="D2879" t="s">
        <v>123</v>
      </c>
      <c r="E2879" s="2">
        <v>14</v>
      </c>
      <c r="F2879" s="4">
        <v>10</v>
      </c>
      <c r="G2879" s="2">
        <v>140</v>
      </c>
      <c r="H2879" t="s">
        <v>25</v>
      </c>
      <c r="I2879" t="s">
        <v>16</v>
      </c>
      <c r="J2879" s="1">
        <v>45512</v>
      </c>
      <c r="K2879" t="b">
        <v>0</v>
      </c>
    </row>
    <row r="2880" spans="1:11" x14ac:dyDescent="0.25">
      <c r="A2880" t="s">
        <v>1109</v>
      </c>
      <c r="B2880" t="s">
        <v>63</v>
      </c>
      <c r="C2880" t="s">
        <v>110</v>
      </c>
      <c r="D2880" t="s">
        <v>197</v>
      </c>
      <c r="E2880" s="2">
        <v>35</v>
      </c>
      <c r="F2880" s="4">
        <v>4</v>
      </c>
      <c r="G2880" s="2">
        <v>140</v>
      </c>
      <c r="H2880" t="s">
        <v>25</v>
      </c>
      <c r="I2880" t="s">
        <v>16</v>
      </c>
      <c r="J2880" s="1">
        <v>45379</v>
      </c>
      <c r="K2880" t="b">
        <v>1</v>
      </c>
    </row>
    <row r="2881" spans="1:11" x14ac:dyDescent="0.25">
      <c r="A2881" t="s">
        <v>3559</v>
      </c>
      <c r="B2881" t="s">
        <v>34</v>
      </c>
      <c r="C2881" t="s">
        <v>38</v>
      </c>
      <c r="D2881" t="s">
        <v>159</v>
      </c>
      <c r="E2881" s="2">
        <v>20</v>
      </c>
      <c r="F2881" s="4">
        <v>7</v>
      </c>
      <c r="G2881" s="2">
        <v>140</v>
      </c>
      <c r="H2881" t="s">
        <v>45</v>
      </c>
      <c r="I2881" t="s">
        <v>16</v>
      </c>
      <c r="J2881" s="1">
        <v>45238</v>
      </c>
      <c r="K2881" t="b">
        <v>0</v>
      </c>
    </row>
    <row r="2882" spans="1:11" x14ac:dyDescent="0.25">
      <c r="A2882" t="s">
        <v>7436</v>
      </c>
      <c r="B2882" t="s">
        <v>26</v>
      </c>
      <c r="C2882" t="s">
        <v>19</v>
      </c>
      <c r="D2882" t="s">
        <v>228</v>
      </c>
      <c r="E2882" s="2">
        <v>20</v>
      </c>
      <c r="F2882" s="4">
        <v>7</v>
      </c>
      <c r="G2882" s="2">
        <v>140</v>
      </c>
      <c r="H2882" t="s">
        <v>25</v>
      </c>
      <c r="I2882" t="s">
        <v>16</v>
      </c>
      <c r="J2882" s="1">
        <v>45132</v>
      </c>
      <c r="K2882" t="b">
        <v>1</v>
      </c>
    </row>
    <row r="2883" spans="1:11" x14ac:dyDescent="0.25">
      <c r="A2883" t="s">
        <v>1969</v>
      </c>
      <c r="B2883" t="s">
        <v>61</v>
      </c>
      <c r="C2883" t="s">
        <v>19</v>
      </c>
      <c r="D2883" t="s">
        <v>228</v>
      </c>
      <c r="E2883" s="2">
        <v>20</v>
      </c>
      <c r="F2883" s="4">
        <v>7</v>
      </c>
      <c r="G2883" s="2">
        <v>140</v>
      </c>
      <c r="H2883" t="s">
        <v>15</v>
      </c>
      <c r="I2883" t="s">
        <v>36</v>
      </c>
      <c r="J2883" s="1">
        <v>45109</v>
      </c>
      <c r="K2883" t="b">
        <v>1</v>
      </c>
    </row>
    <row r="2884" spans="1:11" x14ac:dyDescent="0.25">
      <c r="A2884" t="s">
        <v>476</v>
      </c>
      <c r="B2884" t="s">
        <v>142</v>
      </c>
      <c r="C2884" t="s">
        <v>110</v>
      </c>
      <c r="D2884" t="s">
        <v>263</v>
      </c>
      <c r="E2884" s="2">
        <v>20</v>
      </c>
      <c r="F2884" s="4">
        <v>7</v>
      </c>
      <c r="G2884" s="2">
        <v>140</v>
      </c>
      <c r="H2884" t="s">
        <v>45</v>
      </c>
      <c r="I2884" t="s">
        <v>36</v>
      </c>
      <c r="J2884" s="1">
        <v>45235</v>
      </c>
      <c r="K2884" t="b">
        <v>0</v>
      </c>
    </row>
    <row r="2885" spans="1:11" x14ac:dyDescent="0.25">
      <c r="A2885" t="s">
        <v>3242</v>
      </c>
      <c r="B2885" t="s">
        <v>104</v>
      </c>
      <c r="C2885" t="s">
        <v>27</v>
      </c>
      <c r="D2885" t="s">
        <v>95</v>
      </c>
      <c r="E2885" s="2">
        <v>20</v>
      </c>
      <c r="F2885" s="4">
        <v>7</v>
      </c>
      <c r="G2885" s="2">
        <v>140</v>
      </c>
      <c r="H2885" t="s">
        <v>15</v>
      </c>
      <c r="I2885" t="s">
        <v>36</v>
      </c>
      <c r="J2885" s="1">
        <v>44657</v>
      </c>
      <c r="K2885" t="b">
        <v>0</v>
      </c>
    </row>
    <row r="2886" spans="1:11" x14ac:dyDescent="0.25">
      <c r="A2886" t="s">
        <v>6095</v>
      </c>
      <c r="B2886" t="s">
        <v>30</v>
      </c>
      <c r="C2886" t="s">
        <v>23</v>
      </c>
      <c r="D2886" t="s">
        <v>277</v>
      </c>
      <c r="E2886" s="2">
        <v>14</v>
      </c>
      <c r="F2886" s="4">
        <v>10</v>
      </c>
      <c r="G2886" s="2">
        <v>140</v>
      </c>
      <c r="H2886" t="s">
        <v>45</v>
      </c>
      <c r="I2886" t="s">
        <v>16</v>
      </c>
      <c r="J2886" s="1">
        <v>44746</v>
      </c>
      <c r="K2886" t="b">
        <v>0</v>
      </c>
    </row>
    <row r="2887" spans="1:11" x14ac:dyDescent="0.25">
      <c r="A2887" t="s">
        <v>1119</v>
      </c>
      <c r="B2887" t="s">
        <v>100</v>
      </c>
      <c r="C2887" t="s">
        <v>23</v>
      </c>
      <c r="D2887" t="s">
        <v>179</v>
      </c>
      <c r="E2887" s="2">
        <v>35</v>
      </c>
      <c r="F2887" s="4">
        <v>4</v>
      </c>
      <c r="G2887" s="2">
        <v>140</v>
      </c>
      <c r="H2887" t="s">
        <v>25</v>
      </c>
      <c r="I2887" t="s">
        <v>36</v>
      </c>
      <c r="J2887" s="1">
        <v>44929</v>
      </c>
      <c r="K2887" t="b">
        <v>1</v>
      </c>
    </row>
    <row r="2888" spans="1:11" x14ac:dyDescent="0.25">
      <c r="A2888" t="s">
        <v>3458</v>
      </c>
      <c r="B2888" t="s">
        <v>85</v>
      </c>
      <c r="C2888" t="s">
        <v>59</v>
      </c>
      <c r="D2888" t="s">
        <v>365</v>
      </c>
      <c r="E2888" s="2">
        <v>20</v>
      </c>
      <c r="F2888" s="4">
        <v>7</v>
      </c>
      <c r="G2888" s="2">
        <v>140</v>
      </c>
      <c r="H2888" t="s">
        <v>15</v>
      </c>
      <c r="I2888" t="s">
        <v>16</v>
      </c>
      <c r="J2888" s="1">
        <v>45407</v>
      </c>
      <c r="K2888" t="b">
        <v>1</v>
      </c>
    </row>
    <row r="2889" spans="1:11" x14ac:dyDescent="0.25">
      <c r="A2889" t="s">
        <v>294</v>
      </c>
      <c r="B2889" t="s">
        <v>77</v>
      </c>
      <c r="C2889" t="s">
        <v>110</v>
      </c>
      <c r="D2889" t="s">
        <v>197</v>
      </c>
      <c r="E2889" s="2">
        <v>35</v>
      </c>
      <c r="F2889" s="4">
        <v>4</v>
      </c>
      <c r="G2889" s="2">
        <v>140</v>
      </c>
      <c r="H2889" t="s">
        <v>15</v>
      </c>
      <c r="I2889" t="s">
        <v>36</v>
      </c>
      <c r="J2889" s="1">
        <v>45582</v>
      </c>
      <c r="K2889" t="b">
        <v>0</v>
      </c>
    </row>
    <row r="2890" spans="1:11" x14ac:dyDescent="0.25">
      <c r="A2890" t="s">
        <v>4270</v>
      </c>
      <c r="B2890" t="s">
        <v>30</v>
      </c>
      <c r="C2890" t="s">
        <v>38</v>
      </c>
      <c r="D2890" t="s">
        <v>159</v>
      </c>
      <c r="E2890" s="2">
        <v>20</v>
      </c>
      <c r="F2890" s="4">
        <v>7</v>
      </c>
      <c r="G2890" s="2">
        <v>140</v>
      </c>
      <c r="H2890" t="s">
        <v>45</v>
      </c>
      <c r="I2890" t="s">
        <v>16</v>
      </c>
      <c r="J2890" s="1">
        <v>45525</v>
      </c>
      <c r="K2890" t="b">
        <v>1</v>
      </c>
    </row>
    <row r="2891" spans="1:11" x14ac:dyDescent="0.25">
      <c r="A2891" t="s">
        <v>3778</v>
      </c>
      <c r="B2891" t="s">
        <v>30</v>
      </c>
      <c r="C2891" t="s">
        <v>27</v>
      </c>
      <c r="D2891" t="s">
        <v>240</v>
      </c>
      <c r="E2891" s="2">
        <v>35</v>
      </c>
      <c r="F2891" s="4">
        <v>4</v>
      </c>
      <c r="G2891" s="2">
        <v>140</v>
      </c>
      <c r="H2891" t="s">
        <v>45</v>
      </c>
      <c r="I2891" t="s">
        <v>36</v>
      </c>
      <c r="J2891" s="1">
        <v>45509</v>
      </c>
      <c r="K2891" t="b">
        <v>0</v>
      </c>
    </row>
    <row r="2892" spans="1:11" x14ac:dyDescent="0.25">
      <c r="A2892" t="s">
        <v>4995</v>
      </c>
      <c r="B2892" t="s">
        <v>69</v>
      </c>
      <c r="C2892" t="s">
        <v>110</v>
      </c>
      <c r="D2892" t="s">
        <v>197</v>
      </c>
      <c r="E2892" s="2">
        <v>35</v>
      </c>
      <c r="F2892" s="4">
        <v>4</v>
      </c>
      <c r="G2892" s="2">
        <v>140</v>
      </c>
      <c r="H2892" t="s">
        <v>45</v>
      </c>
      <c r="I2892" t="s">
        <v>16</v>
      </c>
      <c r="J2892" s="1">
        <v>45631</v>
      </c>
      <c r="K2892" t="b">
        <v>1</v>
      </c>
    </row>
    <row r="2893" spans="1:11" x14ac:dyDescent="0.25">
      <c r="A2893" t="s">
        <v>7448</v>
      </c>
      <c r="B2893" t="s">
        <v>56</v>
      </c>
      <c r="C2893" t="s">
        <v>19</v>
      </c>
      <c r="D2893" t="s">
        <v>228</v>
      </c>
      <c r="E2893" s="2">
        <v>20</v>
      </c>
      <c r="F2893" s="4">
        <v>7</v>
      </c>
      <c r="G2893" s="2">
        <v>140</v>
      </c>
      <c r="H2893" t="s">
        <v>25</v>
      </c>
      <c r="I2893" t="s">
        <v>16</v>
      </c>
      <c r="J2893" s="1">
        <v>44805</v>
      </c>
      <c r="K2893" t="b">
        <v>0</v>
      </c>
    </row>
    <row r="2894" spans="1:11" x14ac:dyDescent="0.25">
      <c r="A2894" t="s">
        <v>4953</v>
      </c>
      <c r="B2894" t="s">
        <v>104</v>
      </c>
      <c r="C2894" t="s">
        <v>38</v>
      </c>
      <c r="D2894" t="s">
        <v>159</v>
      </c>
      <c r="E2894" s="2">
        <v>20</v>
      </c>
      <c r="F2894" s="4">
        <v>7</v>
      </c>
      <c r="G2894" s="2">
        <v>140</v>
      </c>
      <c r="H2894" t="s">
        <v>25</v>
      </c>
      <c r="I2894" t="s">
        <v>16</v>
      </c>
      <c r="J2894" s="1">
        <v>45470</v>
      </c>
      <c r="K2894" t="b">
        <v>0</v>
      </c>
    </row>
    <row r="2895" spans="1:11" x14ac:dyDescent="0.25">
      <c r="A2895" t="s">
        <v>4768</v>
      </c>
      <c r="B2895" t="s">
        <v>43</v>
      </c>
      <c r="C2895" t="s">
        <v>23</v>
      </c>
      <c r="D2895" t="s">
        <v>179</v>
      </c>
      <c r="E2895" s="2">
        <v>35</v>
      </c>
      <c r="F2895" s="4">
        <v>4</v>
      </c>
      <c r="G2895" s="2">
        <v>140</v>
      </c>
      <c r="H2895" t="s">
        <v>45</v>
      </c>
      <c r="I2895" t="s">
        <v>36</v>
      </c>
      <c r="J2895" s="1">
        <v>44906</v>
      </c>
      <c r="K2895" t="b">
        <v>0</v>
      </c>
    </row>
    <row r="2896" spans="1:11" x14ac:dyDescent="0.25">
      <c r="A2896" t="s">
        <v>5331</v>
      </c>
      <c r="B2896" t="s">
        <v>72</v>
      </c>
      <c r="C2896" t="s">
        <v>38</v>
      </c>
      <c r="D2896" t="s">
        <v>159</v>
      </c>
      <c r="E2896" s="2">
        <v>20</v>
      </c>
      <c r="F2896" s="4">
        <v>7</v>
      </c>
      <c r="G2896" s="2">
        <v>140</v>
      </c>
      <c r="H2896" t="s">
        <v>45</v>
      </c>
      <c r="I2896" t="s">
        <v>36</v>
      </c>
      <c r="J2896" s="1">
        <v>45133</v>
      </c>
      <c r="K2896" t="b">
        <v>0</v>
      </c>
    </row>
    <row r="2897" spans="1:11" x14ac:dyDescent="0.25">
      <c r="A2897" t="s">
        <v>6896</v>
      </c>
      <c r="B2897" t="s">
        <v>26</v>
      </c>
      <c r="C2897" t="s">
        <v>31</v>
      </c>
      <c r="D2897" t="s">
        <v>905</v>
      </c>
      <c r="E2897" s="2">
        <v>35</v>
      </c>
      <c r="F2897" s="4">
        <v>4</v>
      </c>
      <c r="G2897" s="2">
        <v>140</v>
      </c>
      <c r="H2897" t="s">
        <v>45</v>
      </c>
      <c r="I2897" t="s">
        <v>36</v>
      </c>
      <c r="J2897" s="1">
        <v>45015</v>
      </c>
      <c r="K2897" t="b">
        <v>1</v>
      </c>
    </row>
    <row r="2898" spans="1:11" x14ac:dyDescent="0.25">
      <c r="A2898" t="s">
        <v>2559</v>
      </c>
      <c r="B2898" t="s">
        <v>56</v>
      </c>
      <c r="C2898" t="s">
        <v>19</v>
      </c>
      <c r="D2898" t="s">
        <v>228</v>
      </c>
      <c r="E2898" s="2">
        <v>20</v>
      </c>
      <c r="F2898" s="4">
        <v>7</v>
      </c>
      <c r="G2898" s="2">
        <v>140</v>
      </c>
      <c r="H2898" t="s">
        <v>25</v>
      </c>
      <c r="I2898" t="s">
        <v>16</v>
      </c>
      <c r="J2898" s="1">
        <v>45130</v>
      </c>
      <c r="K2898" t="b">
        <v>1</v>
      </c>
    </row>
    <row r="2899" spans="1:11" x14ac:dyDescent="0.25">
      <c r="A2899" t="s">
        <v>5724</v>
      </c>
      <c r="B2899" t="s">
        <v>18</v>
      </c>
      <c r="C2899" t="s">
        <v>19</v>
      </c>
      <c r="D2899" t="s">
        <v>228</v>
      </c>
      <c r="E2899" s="2">
        <v>20</v>
      </c>
      <c r="F2899" s="4">
        <v>7</v>
      </c>
      <c r="G2899" s="2">
        <v>140</v>
      </c>
      <c r="H2899" t="s">
        <v>25</v>
      </c>
      <c r="I2899" t="s">
        <v>36</v>
      </c>
      <c r="J2899" s="1">
        <v>45042</v>
      </c>
      <c r="K2899" t="b">
        <v>1</v>
      </c>
    </row>
    <row r="2900" spans="1:11" x14ac:dyDescent="0.25">
      <c r="A2900" t="s">
        <v>3624</v>
      </c>
      <c r="B2900" t="s">
        <v>61</v>
      </c>
      <c r="C2900" t="s">
        <v>38</v>
      </c>
      <c r="D2900" t="s">
        <v>123</v>
      </c>
      <c r="E2900" s="2">
        <v>14</v>
      </c>
      <c r="F2900" s="4">
        <v>10</v>
      </c>
      <c r="G2900" s="2">
        <v>140</v>
      </c>
      <c r="H2900" t="s">
        <v>25</v>
      </c>
      <c r="I2900" t="s">
        <v>36</v>
      </c>
      <c r="J2900" s="1">
        <v>44653</v>
      </c>
      <c r="K2900" t="b">
        <v>0</v>
      </c>
    </row>
    <row r="2901" spans="1:11" x14ac:dyDescent="0.25">
      <c r="A2901" t="s">
        <v>6412</v>
      </c>
      <c r="B2901" t="s">
        <v>40</v>
      </c>
      <c r="C2901" t="s">
        <v>110</v>
      </c>
      <c r="D2901" t="s">
        <v>263</v>
      </c>
      <c r="E2901" s="2">
        <v>20</v>
      </c>
      <c r="F2901" s="4">
        <v>7</v>
      </c>
      <c r="G2901" s="2">
        <v>140</v>
      </c>
      <c r="H2901" t="s">
        <v>25</v>
      </c>
      <c r="I2901" t="s">
        <v>16</v>
      </c>
      <c r="J2901" s="1">
        <v>44882</v>
      </c>
      <c r="K2901" t="b">
        <v>0</v>
      </c>
    </row>
    <row r="2902" spans="1:11" x14ac:dyDescent="0.25">
      <c r="A2902" t="s">
        <v>6257</v>
      </c>
      <c r="B2902" t="s">
        <v>56</v>
      </c>
      <c r="C2902" t="s">
        <v>27</v>
      </c>
      <c r="D2902" t="s">
        <v>95</v>
      </c>
      <c r="E2902" s="2">
        <v>20</v>
      </c>
      <c r="F2902" s="4">
        <v>7</v>
      </c>
      <c r="G2902" s="2">
        <v>140</v>
      </c>
      <c r="H2902" t="s">
        <v>45</v>
      </c>
      <c r="I2902" t="s">
        <v>16</v>
      </c>
      <c r="J2902" s="1">
        <v>45470</v>
      </c>
      <c r="K2902" t="b">
        <v>0</v>
      </c>
    </row>
    <row r="2903" spans="1:11" x14ac:dyDescent="0.25">
      <c r="A2903" t="s">
        <v>4657</v>
      </c>
      <c r="B2903" t="s">
        <v>63</v>
      </c>
      <c r="C2903" t="s">
        <v>110</v>
      </c>
      <c r="D2903" t="s">
        <v>176</v>
      </c>
      <c r="E2903" s="2">
        <v>14</v>
      </c>
      <c r="F2903" s="4">
        <v>10</v>
      </c>
      <c r="G2903" s="2">
        <v>140</v>
      </c>
      <c r="H2903" t="s">
        <v>15</v>
      </c>
      <c r="I2903" t="s">
        <v>36</v>
      </c>
      <c r="J2903" s="1">
        <v>45285</v>
      </c>
      <c r="K2903" t="b">
        <v>0</v>
      </c>
    </row>
    <row r="2904" spans="1:11" x14ac:dyDescent="0.25">
      <c r="A2904" t="s">
        <v>1702</v>
      </c>
      <c r="B2904" t="s">
        <v>18</v>
      </c>
      <c r="C2904" t="s">
        <v>38</v>
      </c>
      <c r="D2904" t="s">
        <v>159</v>
      </c>
      <c r="E2904" s="2">
        <v>20</v>
      </c>
      <c r="F2904" s="4">
        <v>7</v>
      </c>
      <c r="G2904" s="2">
        <v>140</v>
      </c>
      <c r="H2904" t="s">
        <v>45</v>
      </c>
      <c r="I2904" t="s">
        <v>16</v>
      </c>
      <c r="J2904" s="1">
        <v>45110</v>
      </c>
      <c r="K2904" t="b">
        <v>0</v>
      </c>
    </row>
    <row r="2905" spans="1:11" x14ac:dyDescent="0.25">
      <c r="A2905" t="s">
        <v>6672</v>
      </c>
      <c r="B2905" t="s">
        <v>72</v>
      </c>
      <c r="C2905" t="s">
        <v>27</v>
      </c>
      <c r="D2905" t="s">
        <v>62</v>
      </c>
      <c r="E2905" s="2">
        <v>14</v>
      </c>
      <c r="F2905" s="4">
        <v>10</v>
      </c>
      <c r="G2905" s="2">
        <v>140</v>
      </c>
      <c r="H2905" t="s">
        <v>15</v>
      </c>
      <c r="I2905" t="s">
        <v>36</v>
      </c>
      <c r="J2905" s="1">
        <v>45493</v>
      </c>
      <c r="K2905" t="b">
        <v>1</v>
      </c>
    </row>
    <row r="2906" spans="1:11" x14ac:dyDescent="0.25">
      <c r="A2906" t="s">
        <v>6861</v>
      </c>
      <c r="B2906" t="s">
        <v>86</v>
      </c>
      <c r="C2906" t="s">
        <v>59</v>
      </c>
      <c r="D2906" t="s">
        <v>87</v>
      </c>
      <c r="E2906" s="2">
        <v>35</v>
      </c>
      <c r="F2906" s="4">
        <v>4</v>
      </c>
      <c r="G2906" s="2">
        <v>140</v>
      </c>
      <c r="H2906" t="s">
        <v>45</v>
      </c>
      <c r="I2906" t="s">
        <v>36</v>
      </c>
      <c r="J2906" s="1">
        <v>45204</v>
      </c>
      <c r="K2906" t="b">
        <v>0</v>
      </c>
    </row>
    <row r="2907" spans="1:11" x14ac:dyDescent="0.25">
      <c r="A2907" t="s">
        <v>3034</v>
      </c>
      <c r="B2907" t="s">
        <v>86</v>
      </c>
      <c r="C2907" t="s">
        <v>110</v>
      </c>
      <c r="D2907" t="s">
        <v>263</v>
      </c>
      <c r="E2907" s="2">
        <v>20</v>
      </c>
      <c r="F2907" s="4">
        <v>7</v>
      </c>
      <c r="G2907" s="2">
        <v>140</v>
      </c>
      <c r="H2907" t="s">
        <v>45</v>
      </c>
      <c r="I2907" t="s">
        <v>36</v>
      </c>
      <c r="J2907" s="1">
        <v>45099</v>
      </c>
      <c r="K2907" t="b">
        <v>1</v>
      </c>
    </row>
    <row r="2908" spans="1:11" x14ac:dyDescent="0.25">
      <c r="A2908" t="s">
        <v>1014</v>
      </c>
      <c r="B2908" t="s">
        <v>63</v>
      </c>
      <c r="C2908" t="s">
        <v>23</v>
      </c>
      <c r="D2908" t="s">
        <v>277</v>
      </c>
      <c r="E2908" s="2">
        <v>14</v>
      </c>
      <c r="F2908" s="4">
        <v>10</v>
      </c>
      <c r="G2908" s="2">
        <v>140</v>
      </c>
      <c r="H2908" t="s">
        <v>15</v>
      </c>
      <c r="I2908" t="s">
        <v>16</v>
      </c>
      <c r="J2908" s="1">
        <v>45062</v>
      </c>
      <c r="K2908" t="b">
        <v>0</v>
      </c>
    </row>
    <row r="2909" spans="1:11" x14ac:dyDescent="0.25">
      <c r="A2909" t="s">
        <v>2435</v>
      </c>
      <c r="B2909" t="s">
        <v>18</v>
      </c>
      <c r="C2909" t="s">
        <v>19</v>
      </c>
      <c r="D2909" t="s">
        <v>228</v>
      </c>
      <c r="E2909" s="2">
        <v>20</v>
      </c>
      <c r="F2909" s="4">
        <v>7</v>
      </c>
      <c r="G2909" s="2">
        <v>140</v>
      </c>
      <c r="H2909" t="s">
        <v>25</v>
      </c>
      <c r="I2909" t="s">
        <v>16</v>
      </c>
      <c r="J2909" s="1">
        <v>45439</v>
      </c>
      <c r="K2909" t="b">
        <v>1</v>
      </c>
    </row>
    <row r="2910" spans="1:11" x14ac:dyDescent="0.25">
      <c r="A2910" t="s">
        <v>3851</v>
      </c>
      <c r="B2910" t="s">
        <v>104</v>
      </c>
      <c r="C2910" t="s">
        <v>27</v>
      </c>
      <c r="D2910" t="s">
        <v>62</v>
      </c>
      <c r="E2910" s="2">
        <v>14</v>
      </c>
      <c r="F2910" s="4">
        <v>10</v>
      </c>
      <c r="G2910" s="2">
        <v>140</v>
      </c>
      <c r="H2910" t="s">
        <v>45</v>
      </c>
      <c r="I2910" t="s">
        <v>16</v>
      </c>
      <c r="J2910" s="1">
        <v>45236</v>
      </c>
      <c r="K2910" t="b">
        <v>1</v>
      </c>
    </row>
    <row r="2911" spans="1:11" x14ac:dyDescent="0.25">
      <c r="A2911" t="s">
        <v>5142</v>
      </c>
      <c r="B2911" t="s">
        <v>37</v>
      </c>
      <c r="C2911" t="s">
        <v>13</v>
      </c>
      <c r="D2911" t="s">
        <v>151</v>
      </c>
      <c r="E2911" s="2">
        <v>14</v>
      </c>
      <c r="F2911" s="4">
        <v>10</v>
      </c>
      <c r="G2911" s="2">
        <v>140</v>
      </c>
      <c r="H2911" t="s">
        <v>15</v>
      </c>
      <c r="I2911" t="s">
        <v>16</v>
      </c>
      <c r="J2911" s="1">
        <v>44662</v>
      </c>
      <c r="K2911" t="b">
        <v>0</v>
      </c>
    </row>
    <row r="2912" spans="1:11" x14ac:dyDescent="0.25">
      <c r="A2912" t="s">
        <v>4400</v>
      </c>
      <c r="B2912" t="s">
        <v>66</v>
      </c>
      <c r="C2912" t="s">
        <v>110</v>
      </c>
      <c r="D2912" t="s">
        <v>197</v>
      </c>
      <c r="E2912" s="2">
        <v>35</v>
      </c>
      <c r="F2912" s="4">
        <v>4</v>
      </c>
      <c r="G2912" s="2">
        <v>140</v>
      </c>
      <c r="H2912" t="s">
        <v>15</v>
      </c>
      <c r="I2912" t="s">
        <v>36</v>
      </c>
      <c r="J2912" s="1">
        <v>45666</v>
      </c>
      <c r="K2912" t="b">
        <v>1</v>
      </c>
    </row>
    <row r="2913" spans="1:11" x14ac:dyDescent="0.25">
      <c r="A2913" t="s">
        <v>1040</v>
      </c>
      <c r="B2913" t="s">
        <v>40</v>
      </c>
      <c r="C2913" t="s">
        <v>38</v>
      </c>
      <c r="D2913" t="s">
        <v>159</v>
      </c>
      <c r="E2913" s="2">
        <v>20</v>
      </c>
      <c r="F2913" s="4">
        <v>7</v>
      </c>
      <c r="G2913" s="2">
        <v>140</v>
      </c>
      <c r="H2913" t="s">
        <v>25</v>
      </c>
      <c r="I2913" t="s">
        <v>36</v>
      </c>
      <c r="J2913" s="1">
        <v>44601</v>
      </c>
      <c r="K2913" t="b">
        <v>0</v>
      </c>
    </row>
    <row r="2914" spans="1:11" x14ac:dyDescent="0.25">
      <c r="A2914" t="s">
        <v>178</v>
      </c>
      <c r="B2914" t="s">
        <v>61</v>
      </c>
      <c r="C2914" t="s">
        <v>23</v>
      </c>
      <c r="D2914" t="s">
        <v>179</v>
      </c>
      <c r="E2914" s="2">
        <v>35</v>
      </c>
      <c r="F2914" s="4">
        <v>4</v>
      </c>
      <c r="G2914" s="2">
        <v>140</v>
      </c>
      <c r="H2914" t="s">
        <v>45</v>
      </c>
      <c r="I2914" t="s">
        <v>36</v>
      </c>
      <c r="J2914" s="1">
        <v>45387</v>
      </c>
      <c r="K2914" t="b">
        <v>0</v>
      </c>
    </row>
    <row r="2915" spans="1:11" x14ac:dyDescent="0.25">
      <c r="A2915" t="s">
        <v>1439</v>
      </c>
      <c r="B2915" t="s">
        <v>66</v>
      </c>
      <c r="C2915" t="s">
        <v>31</v>
      </c>
      <c r="D2915" t="s">
        <v>82</v>
      </c>
      <c r="E2915" s="2">
        <v>20</v>
      </c>
      <c r="F2915" s="4">
        <v>7</v>
      </c>
      <c r="G2915" s="2">
        <v>140</v>
      </c>
      <c r="H2915" t="s">
        <v>25</v>
      </c>
      <c r="I2915" t="s">
        <v>36</v>
      </c>
      <c r="J2915" s="1">
        <v>45358</v>
      </c>
      <c r="K2915" t="b">
        <v>1</v>
      </c>
    </row>
    <row r="2916" spans="1:11" x14ac:dyDescent="0.25">
      <c r="A2916" t="s">
        <v>7729</v>
      </c>
      <c r="B2916" t="s">
        <v>93</v>
      </c>
      <c r="C2916" t="s">
        <v>59</v>
      </c>
      <c r="D2916" t="s">
        <v>248</v>
      </c>
      <c r="E2916" s="2">
        <v>14</v>
      </c>
      <c r="F2916" s="4">
        <v>10</v>
      </c>
      <c r="G2916" s="2">
        <v>140</v>
      </c>
      <c r="H2916" t="s">
        <v>45</v>
      </c>
      <c r="I2916" t="s">
        <v>36</v>
      </c>
      <c r="J2916" s="1">
        <v>44743</v>
      </c>
      <c r="K2916" t="b">
        <v>1</v>
      </c>
    </row>
    <row r="2917" spans="1:11" x14ac:dyDescent="0.25">
      <c r="A2917" t="s">
        <v>2854</v>
      </c>
      <c r="B2917" t="s">
        <v>69</v>
      </c>
      <c r="C2917" t="s">
        <v>23</v>
      </c>
      <c r="D2917" t="s">
        <v>666</v>
      </c>
      <c r="E2917" s="2">
        <v>20</v>
      </c>
      <c r="F2917" s="4">
        <v>7</v>
      </c>
      <c r="G2917" s="2">
        <v>140</v>
      </c>
      <c r="H2917" t="s">
        <v>15</v>
      </c>
      <c r="I2917" t="s">
        <v>16</v>
      </c>
      <c r="J2917" s="1">
        <v>44805</v>
      </c>
      <c r="K2917" t="b">
        <v>1</v>
      </c>
    </row>
    <row r="2918" spans="1:11" x14ac:dyDescent="0.25">
      <c r="A2918" t="s">
        <v>7640</v>
      </c>
      <c r="B2918" t="s">
        <v>37</v>
      </c>
      <c r="C2918" t="s">
        <v>38</v>
      </c>
      <c r="D2918" t="s">
        <v>163</v>
      </c>
      <c r="E2918" s="2">
        <v>35</v>
      </c>
      <c r="F2918" s="4">
        <v>4</v>
      </c>
      <c r="G2918" s="2">
        <v>140</v>
      </c>
      <c r="H2918" t="s">
        <v>45</v>
      </c>
      <c r="I2918" t="s">
        <v>36</v>
      </c>
      <c r="J2918" s="1">
        <v>44566</v>
      </c>
      <c r="K2918" t="b">
        <v>0</v>
      </c>
    </row>
    <row r="2919" spans="1:11" x14ac:dyDescent="0.25">
      <c r="A2919" t="s">
        <v>2159</v>
      </c>
      <c r="B2919" t="s">
        <v>26</v>
      </c>
      <c r="C2919" t="s">
        <v>19</v>
      </c>
      <c r="D2919" t="s">
        <v>756</v>
      </c>
      <c r="E2919" s="2">
        <v>14</v>
      </c>
      <c r="F2919" s="4">
        <v>10</v>
      </c>
      <c r="G2919" s="2">
        <v>140</v>
      </c>
      <c r="H2919" t="s">
        <v>15</v>
      </c>
      <c r="I2919" t="s">
        <v>16</v>
      </c>
      <c r="J2919" s="1">
        <v>45363</v>
      </c>
      <c r="K2919" t="b">
        <v>1</v>
      </c>
    </row>
    <row r="2920" spans="1:11" x14ac:dyDescent="0.25">
      <c r="A2920" t="s">
        <v>5875</v>
      </c>
      <c r="B2920" t="s">
        <v>77</v>
      </c>
      <c r="C2920" t="s">
        <v>38</v>
      </c>
      <c r="D2920" t="s">
        <v>159</v>
      </c>
      <c r="E2920" s="2">
        <v>20</v>
      </c>
      <c r="F2920" s="4">
        <v>7</v>
      </c>
      <c r="G2920" s="2">
        <v>140</v>
      </c>
      <c r="H2920" t="s">
        <v>45</v>
      </c>
      <c r="I2920" t="s">
        <v>16</v>
      </c>
      <c r="J2920" s="1">
        <v>45512</v>
      </c>
      <c r="K2920" t="b">
        <v>0</v>
      </c>
    </row>
    <row r="2921" spans="1:11" x14ac:dyDescent="0.25">
      <c r="A2921" t="s">
        <v>2661</v>
      </c>
      <c r="B2921" t="s">
        <v>85</v>
      </c>
      <c r="C2921" t="s">
        <v>31</v>
      </c>
      <c r="D2921" t="s">
        <v>82</v>
      </c>
      <c r="E2921" s="2">
        <v>20</v>
      </c>
      <c r="F2921" s="4">
        <v>7</v>
      </c>
      <c r="G2921" s="2">
        <v>140</v>
      </c>
      <c r="H2921" t="s">
        <v>15</v>
      </c>
      <c r="I2921" t="s">
        <v>36</v>
      </c>
      <c r="J2921" s="1">
        <v>45242</v>
      </c>
      <c r="K2921" t="b">
        <v>0</v>
      </c>
    </row>
    <row r="2922" spans="1:11" x14ac:dyDescent="0.25">
      <c r="A2922" t="s">
        <v>4292</v>
      </c>
      <c r="B2922" t="s">
        <v>58</v>
      </c>
      <c r="C2922" t="s">
        <v>38</v>
      </c>
      <c r="D2922" t="s">
        <v>241</v>
      </c>
      <c r="E2922" s="2">
        <v>15.5</v>
      </c>
      <c r="F2922" s="4">
        <v>9</v>
      </c>
      <c r="G2922" s="2">
        <v>139.5</v>
      </c>
      <c r="H2922" t="s">
        <v>45</v>
      </c>
      <c r="I2922" t="s">
        <v>36</v>
      </c>
      <c r="J2922" s="1">
        <v>45404</v>
      </c>
      <c r="K2922" t="b">
        <v>1</v>
      </c>
    </row>
    <row r="2923" spans="1:11" x14ac:dyDescent="0.25">
      <c r="A2923" t="s">
        <v>745</v>
      </c>
      <c r="B2923" t="s">
        <v>40</v>
      </c>
      <c r="C2923" t="s">
        <v>13</v>
      </c>
      <c r="D2923" t="s">
        <v>389</v>
      </c>
      <c r="E2923" s="2">
        <v>15.5</v>
      </c>
      <c r="F2923" s="4">
        <v>9</v>
      </c>
      <c r="G2923" s="2">
        <v>139.5</v>
      </c>
      <c r="H2923" t="s">
        <v>15</v>
      </c>
      <c r="I2923" t="s">
        <v>16</v>
      </c>
      <c r="J2923" s="1">
        <v>45546</v>
      </c>
      <c r="K2923" t="b">
        <v>1</v>
      </c>
    </row>
    <row r="2924" spans="1:11" x14ac:dyDescent="0.25">
      <c r="A2924" t="s">
        <v>4640</v>
      </c>
      <c r="B2924" t="s">
        <v>72</v>
      </c>
      <c r="C2924" t="s">
        <v>110</v>
      </c>
      <c r="D2924" t="s">
        <v>199</v>
      </c>
      <c r="E2924" s="2">
        <v>15.5</v>
      </c>
      <c r="F2924" s="4">
        <v>9</v>
      </c>
      <c r="G2924" s="2">
        <v>139.5</v>
      </c>
      <c r="H2924" t="s">
        <v>25</v>
      </c>
      <c r="I2924" t="s">
        <v>36</v>
      </c>
      <c r="J2924" s="1">
        <v>45481</v>
      </c>
      <c r="K2924" t="b">
        <v>0</v>
      </c>
    </row>
    <row r="2925" spans="1:11" x14ac:dyDescent="0.25">
      <c r="A2925" t="s">
        <v>4990</v>
      </c>
      <c r="B2925" t="s">
        <v>12</v>
      </c>
      <c r="C2925" t="s">
        <v>23</v>
      </c>
      <c r="D2925" t="s">
        <v>187</v>
      </c>
      <c r="E2925" s="2">
        <v>15.5</v>
      </c>
      <c r="F2925" s="4">
        <v>9</v>
      </c>
      <c r="G2925" s="2">
        <v>139.5</v>
      </c>
      <c r="H2925" t="s">
        <v>25</v>
      </c>
      <c r="I2925" t="s">
        <v>16</v>
      </c>
      <c r="J2925" s="1">
        <v>45077</v>
      </c>
      <c r="K2925" t="b">
        <v>0</v>
      </c>
    </row>
    <row r="2926" spans="1:11" x14ac:dyDescent="0.25">
      <c r="A2926" t="s">
        <v>2210</v>
      </c>
      <c r="B2926" t="s">
        <v>56</v>
      </c>
      <c r="C2926" t="s">
        <v>59</v>
      </c>
      <c r="D2926" t="s">
        <v>201</v>
      </c>
      <c r="E2926" s="2">
        <v>15.5</v>
      </c>
      <c r="F2926" s="4">
        <v>9</v>
      </c>
      <c r="G2926" s="2">
        <v>139.5</v>
      </c>
      <c r="H2926" t="s">
        <v>15</v>
      </c>
      <c r="I2926" t="s">
        <v>16</v>
      </c>
      <c r="J2926" s="1">
        <v>45531</v>
      </c>
      <c r="K2926" t="b">
        <v>0</v>
      </c>
    </row>
    <row r="2927" spans="1:11" x14ac:dyDescent="0.25">
      <c r="A2927" t="s">
        <v>3905</v>
      </c>
      <c r="B2927" t="s">
        <v>22</v>
      </c>
      <c r="C2927" t="s">
        <v>31</v>
      </c>
      <c r="D2927" t="s">
        <v>585</v>
      </c>
      <c r="E2927" s="2">
        <v>15.5</v>
      </c>
      <c r="F2927" s="4">
        <v>9</v>
      </c>
      <c r="G2927" s="2">
        <v>139.5</v>
      </c>
      <c r="H2927" t="s">
        <v>45</v>
      </c>
      <c r="I2927" t="s">
        <v>36</v>
      </c>
      <c r="J2927" s="1">
        <v>45479</v>
      </c>
      <c r="K2927" t="b">
        <v>0</v>
      </c>
    </row>
    <row r="2928" spans="1:11" x14ac:dyDescent="0.25">
      <c r="A2928" t="s">
        <v>6058</v>
      </c>
      <c r="B2928" t="s">
        <v>77</v>
      </c>
      <c r="C2928" t="s">
        <v>59</v>
      </c>
      <c r="D2928" t="s">
        <v>201</v>
      </c>
      <c r="E2928" s="2">
        <v>15.5</v>
      </c>
      <c r="F2928" s="4">
        <v>9</v>
      </c>
      <c r="G2928" s="2">
        <v>139.5</v>
      </c>
      <c r="H2928" t="s">
        <v>25</v>
      </c>
      <c r="I2928" t="s">
        <v>36</v>
      </c>
      <c r="J2928" s="1">
        <v>45660</v>
      </c>
      <c r="K2928" t="b">
        <v>1</v>
      </c>
    </row>
    <row r="2929" spans="1:11" x14ac:dyDescent="0.25">
      <c r="A2929" t="s">
        <v>1785</v>
      </c>
      <c r="B2929" t="s">
        <v>30</v>
      </c>
      <c r="C2929" t="s">
        <v>27</v>
      </c>
      <c r="D2929" t="s">
        <v>105</v>
      </c>
      <c r="E2929" s="2">
        <v>15.5</v>
      </c>
      <c r="F2929" s="4">
        <v>9</v>
      </c>
      <c r="G2929" s="2">
        <v>139.5</v>
      </c>
      <c r="H2929" t="s">
        <v>15</v>
      </c>
      <c r="I2929" t="s">
        <v>36</v>
      </c>
      <c r="J2929" s="1">
        <v>45044</v>
      </c>
      <c r="K2929" t="b">
        <v>0</v>
      </c>
    </row>
    <row r="2930" spans="1:11" x14ac:dyDescent="0.25">
      <c r="A2930" t="s">
        <v>997</v>
      </c>
      <c r="B2930" t="s">
        <v>30</v>
      </c>
      <c r="C2930" t="s">
        <v>38</v>
      </c>
      <c r="D2930" t="s">
        <v>241</v>
      </c>
      <c r="E2930" s="2">
        <v>15.5</v>
      </c>
      <c r="F2930" s="4">
        <v>9</v>
      </c>
      <c r="G2930" s="2">
        <v>139.5</v>
      </c>
      <c r="H2930" t="s">
        <v>25</v>
      </c>
      <c r="I2930" t="s">
        <v>16</v>
      </c>
      <c r="J2930" s="1">
        <v>45134</v>
      </c>
      <c r="K2930" t="b">
        <v>1</v>
      </c>
    </row>
    <row r="2931" spans="1:11" x14ac:dyDescent="0.25">
      <c r="A2931" t="s">
        <v>593</v>
      </c>
      <c r="B2931" t="s">
        <v>142</v>
      </c>
      <c r="C2931" t="s">
        <v>23</v>
      </c>
      <c r="D2931" t="s">
        <v>187</v>
      </c>
      <c r="E2931" s="2">
        <v>15.5</v>
      </c>
      <c r="F2931" s="4">
        <v>9</v>
      </c>
      <c r="G2931" s="2">
        <v>139.5</v>
      </c>
      <c r="H2931" t="s">
        <v>15</v>
      </c>
      <c r="I2931" t="s">
        <v>16</v>
      </c>
      <c r="J2931" s="1">
        <v>44625</v>
      </c>
      <c r="K2931" t="b">
        <v>0</v>
      </c>
    </row>
    <row r="2932" spans="1:11" x14ac:dyDescent="0.25">
      <c r="A2932" t="s">
        <v>7280</v>
      </c>
      <c r="B2932" t="s">
        <v>63</v>
      </c>
      <c r="C2932" t="s">
        <v>59</v>
      </c>
      <c r="D2932" t="s">
        <v>201</v>
      </c>
      <c r="E2932" s="2">
        <v>15.5</v>
      </c>
      <c r="F2932" s="4">
        <v>9</v>
      </c>
      <c r="G2932" s="2">
        <v>139.5</v>
      </c>
      <c r="H2932" t="s">
        <v>15</v>
      </c>
      <c r="I2932" t="s">
        <v>16</v>
      </c>
      <c r="J2932" s="1">
        <v>44747</v>
      </c>
      <c r="K2932" t="b">
        <v>1</v>
      </c>
    </row>
    <row r="2933" spans="1:11" x14ac:dyDescent="0.25">
      <c r="A2933" t="s">
        <v>6961</v>
      </c>
      <c r="B2933" t="s">
        <v>51</v>
      </c>
      <c r="C2933" t="s">
        <v>59</v>
      </c>
      <c r="D2933" t="s">
        <v>201</v>
      </c>
      <c r="E2933" s="2">
        <v>15.5</v>
      </c>
      <c r="F2933" s="4">
        <v>9</v>
      </c>
      <c r="G2933" s="2">
        <v>139.5</v>
      </c>
      <c r="H2933" t="s">
        <v>45</v>
      </c>
      <c r="I2933" t="s">
        <v>16</v>
      </c>
      <c r="J2933" s="1">
        <v>44982</v>
      </c>
      <c r="K2933" t="b">
        <v>0</v>
      </c>
    </row>
    <row r="2934" spans="1:11" x14ac:dyDescent="0.25">
      <c r="A2934" t="s">
        <v>4456</v>
      </c>
      <c r="B2934" t="s">
        <v>30</v>
      </c>
      <c r="C2934" t="s">
        <v>13</v>
      </c>
      <c r="D2934" t="s">
        <v>389</v>
      </c>
      <c r="E2934" s="2">
        <v>15.5</v>
      </c>
      <c r="F2934" s="4">
        <v>9</v>
      </c>
      <c r="G2934" s="2">
        <v>139.5</v>
      </c>
      <c r="H2934" t="s">
        <v>25</v>
      </c>
      <c r="I2934" t="s">
        <v>36</v>
      </c>
      <c r="J2934" s="1">
        <v>45347</v>
      </c>
      <c r="K2934" t="b">
        <v>1</v>
      </c>
    </row>
    <row r="2935" spans="1:11" x14ac:dyDescent="0.25">
      <c r="A2935" t="s">
        <v>6482</v>
      </c>
      <c r="B2935" t="s">
        <v>51</v>
      </c>
      <c r="C2935" t="s">
        <v>110</v>
      </c>
      <c r="D2935" t="s">
        <v>199</v>
      </c>
      <c r="E2935" s="2">
        <v>15.5</v>
      </c>
      <c r="F2935" s="4">
        <v>9</v>
      </c>
      <c r="G2935" s="2">
        <v>139.5</v>
      </c>
      <c r="H2935" t="s">
        <v>45</v>
      </c>
      <c r="I2935" t="s">
        <v>16</v>
      </c>
      <c r="J2935" s="1">
        <v>45652</v>
      </c>
      <c r="K2935" t="b">
        <v>0</v>
      </c>
    </row>
    <row r="2936" spans="1:11" x14ac:dyDescent="0.25">
      <c r="A2936" t="s">
        <v>5685</v>
      </c>
      <c r="B2936" t="s">
        <v>66</v>
      </c>
      <c r="C2936" t="s">
        <v>19</v>
      </c>
      <c r="D2936" t="s">
        <v>166</v>
      </c>
      <c r="E2936" s="2">
        <v>15.5</v>
      </c>
      <c r="F2936" s="4">
        <v>9</v>
      </c>
      <c r="G2936" s="2">
        <v>139.5</v>
      </c>
      <c r="H2936" t="s">
        <v>45</v>
      </c>
      <c r="I2936" t="s">
        <v>16</v>
      </c>
      <c r="J2936" s="1">
        <v>44769</v>
      </c>
      <c r="K2936" t="b">
        <v>0</v>
      </c>
    </row>
    <row r="2937" spans="1:11" x14ac:dyDescent="0.25">
      <c r="A2937" t="s">
        <v>4850</v>
      </c>
      <c r="B2937" t="s">
        <v>97</v>
      </c>
      <c r="C2937" t="s">
        <v>19</v>
      </c>
      <c r="D2937" t="s">
        <v>166</v>
      </c>
      <c r="E2937" s="2">
        <v>15.5</v>
      </c>
      <c r="F2937" s="4">
        <v>9</v>
      </c>
      <c r="G2937" s="2">
        <v>139.5</v>
      </c>
      <c r="H2937" t="s">
        <v>25</v>
      </c>
      <c r="I2937" t="s">
        <v>36</v>
      </c>
      <c r="J2937" s="1">
        <v>45368</v>
      </c>
      <c r="K2937" t="b">
        <v>0</v>
      </c>
    </row>
    <row r="2938" spans="1:11" x14ac:dyDescent="0.25">
      <c r="A2938" t="s">
        <v>4476</v>
      </c>
      <c r="B2938" t="s">
        <v>85</v>
      </c>
      <c r="C2938" t="s">
        <v>38</v>
      </c>
      <c r="D2938" t="s">
        <v>241</v>
      </c>
      <c r="E2938" s="2">
        <v>15.5</v>
      </c>
      <c r="F2938" s="4">
        <v>9</v>
      </c>
      <c r="G2938" s="2">
        <v>139.5</v>
      </c>
      <c r="H2938" t="s">
        <v>15</v>
      </c>
      <c r="I2938" t="s">
        <v>16</v>
      </c>
      <c r="J2938" s="1">
        <v>44876</v>
      </c>
      <c r="K2938" t="b">
        <v>0</v>
      </c>
    </row>
    <row r="2939" spans="1:11" x14ac:dyDescent="0.25">
      <c r="A2939" t="s">
        <v>1381</v>
      </c>
      <c r="B2939" t="s">
        <v>37</v>
      </c>
      <c r="C2939" t="s">
        <v>27</v>
      </c>
      <c r="D2939" t="s">
        <v>105</v>
      </c>
      <c r="E2939" s="2">
        <v>15.5</v>
      </c>
      <c r="F2939" s="4">
        <v>9</v>
      </c>
      <c r="G2939" s="2">
        <v>139.5</v>
      </c>
      <c r="H2939" t="s">
        <v>15</v>
      </c>
      <c r="I2939" t="s">
        <v>16</v>
      </c>
      <c r="J2939" s="1">
        <v>45266</v>
      </c>
      <c r="K2939" t="b">
        <v>1</v>
      </c>
    </row>
    <row r="2940" spans="1:11" x14ac:dyDescent="0.25">
      <c r="A2940" t="s">
        <v>2567</v>
      </c>
      <c r="B2940" t="s">
        <v>37</v>
      </c>
      <c r="C2940" t="s">
        <v>110</v>
      </c>
      <c r="D2940" t="s">
        <v>199</v>
      </c>
      <c r="E2940" s="2">
        <v>15.5</v>
      </c>
      <c r="F2940" s="4">
        <v>9</v>
      </c>
      <c r="G2940" s="2">
        <v>139.5</v>
      </c>
      <c r="H2940" t="s">
        <v>45</v>
      </c>
      <c r="I2940" t="s">
        <v>16</v>
      </c>
      <c r="J2940" s="1">
        <v>44905</v>
      </c>
      <c r="K2940" t="b">
        <v>0</v>
      </c>
    </row>
    <row r="2941" spans="1:11" x14ac:dyDescent="0.25">
      <c r="A2941" t="s">
        <v>4124</v>
      </c>
      <c r="B2941" t="s">
        <v>142</v>
      </c>
      <c r="C2941" t="s">
        <v>59</v>
      </c>
      <c r="D2941" t="s">
        <v>201</v>
      </c>
      <c r="E2941" s="2">
        <v>15.5</v>
      </c>
      <c r="F2941" s="4">
        <v>9</v>
      </c>
      <c r="G2941" s="2">
        <v>139.5</v>
      </c>
      <c r="H2941" t="s">
        <v>15</v>
      </c>
      <c r="I2941" t="s">
        <v>36</v>
      </c>
      <c r="J2941" s="1">
        <v>45307</v>
      </c>
      <c r="K2941" t="b">
        <v>0</v>
      </c>
    </row>
    <row r="2942" spans="1:11" x14ac:dyDescent="0.25">
      <c r="A2942" t="s">
        <v>4152</v>
      </c>
      <c r="B2942" t="s">
        <v>104</v>
      </c>
      <c r="C2942" t="s">
        <v>13</v>
      </c>
      <c r="D2942" t="s">
        <v>389</v>
      </c>
      <c r="E2942" s="2">
        <v>15.5</v>
      </c>
      <c r="F2942" s="4">
        <v>9</v>
      </c>
      <c r="G2942" s="2">
        <v>139.5</v>
      </c>
      <c r="H2942" t="s">
        <v>25</v>
      </c>
      <c r="I2942" t="s">
        <v>16</v>
      </c>
      <c r="J2942" s="1">
        <v>45085</v>
      </c>
      <c r="K2942" t="b">
        <v>0</v>
      </c>
    </row>
    <row r="2943" spans="1:11" x14ac:dyDescent="0.25">
      <c r="A2943" t="s">
        <v>6658</v>
      </c>
      <c r="B2943" t="s">
        <v>51</v>
      </c>
      <c r="C2943" t="s">
        <v>110</v>
      </c>
      <c r="D2943" t="s">
        <v>199</v>
      </c>
      <c r="E2943" s="2">
        <v>15.5</v>
      </c>
      <c r="F2943" s="4">
        <v>9</v>
      </c>
      <c r="G2943" s="2">
        <v>139.5</v>
      </c>
      <c r="H2943" t="s">
        <v>45</v>
      </c>
      <c r="I2943" t="s">
        <v>36</v>
      </c>
      <c r="J2943" s="1">
        <v>45220</v>
      </c>
      <c r="K2943" t="b">
        <v>1</v>
      </c>
    </row>
    <row r="2944" spans="1:11" x14ac:dyDescent="0.25">
      <c r="A2944" t="s">
        <v>5264</v>
      </c>
      <c r="B2944" t="s">
        <v>30</v>
      </c>
      <c r="C2944" t="s">
        <v>59</v>
      </c>
      <c r="D2944" t="s">
        <v>201</v>
      </c>
      <c r="E2944" s="2">
        <v>15.5</v>
      </c>
      <c r="F2944" s="4">
        <v>9</v>
      </c>
      <c r="G2944" s="2">
        <v>139.5</v>
      </c>
      <c r="H2944" t="s">
        <v>45</v>
      </c>
      <c r="I2944" t="s">
        <v>16</v>
      </c>
      <c r="J2944" s="1">
        <v>45032</v>
      </c>
      <c r="K2944" t="b">
        <v>1</v>
      </c>
    </row>
    <row r="2945" spans="1:11" x14ac:dyDescent="0.25">
      <c r="A2945" t="s">
        <v>4045</v>
      </c>
      <c r="B2945" t="s">
        <v>37</v>
      </c>
      <c r="C2945" t="s">
        <v>38</v>
      </c>
      <c r="D2945" t="s">
        <v>241</v>
      </c>
      <c r="E2945" s="2">
        <v>15.5</v>
      </c>
      <c r="F2945" s="4">
        <v>9</v>
      </c>
      <c r="G2945" s="2">
        <v>139.5</v>
      </c>
      <c r="H2945" t="s">
        <v>25</v>
      </c>
      <c r="I2945" t="s">
        <v>16</v>
      </c>
      <c r="J2945" s="1">
        <v>45198</v>
      </c>
      <c r="K2945" t="b">
        <v>1</v>
      </c>
    </row>
    <row r="2946" spans="1:11" x14ac:dyDescent="0.25">
      <c r="A2946" t="s">
        <v>2300</v>
      </c>
      <c r="B2946" t="s">
        <v>12</v>
      </c>
      <c r="C2946" t="s">
        <v>59</v>
      </c>
      <c r="D2946" t="s">
        <v>201</v>
      </c>
      <c r="E2946" s="2">
        <v>15.5</v>
      </c>
      <c r="F2946" s="4">
        <v>9</v>
      </c>
      <c r="G2946" s="2">
        <v>139.5</v>
      </c>
      <c r="H2946" t="s">
        <v>15</v>
      </c>
      <c r="I2946" t="s">
        <v>36</v>
      </c>
      <c r="J2946" s="1">
        <v>45544</v>
      </c>
      <c r="K2946" t="b">
        <v>0</v>
      </c>
    </row>
    <row r="2947" spans="1:11" x14ac:dyDescent="0.25">
      <c r="A2947" t="s">
        <v>4512</v>
      </c>
      <c r="B2947" t="s">
        <v>100</v>
      </c>
      <c r="C2947" t="s">
        <v>13</v>
      </c>
      <c r="D2947" t="s">
        <v>389</v>
      </c>
      <c r="E2947" s="2">
        <v>15.5</v>
      </c>
      <c r="F2947" s="4">
        <v>9</v>
      </c>
      <c r="G2947" s="2">
        <v>139.5</v>
      </c>
      <c r="H2947" t="s">
        <v>25</v>
      </c>
      <c r="I2947" t="s">
        <v>16</v>
      </c>
      <c r="J2947" s="1">
        <v>45157</v>
      </c>
      <c r="K2947" t="b">
        <v>0</v>
      </c>
    </row>
    <row r="2948" spans="1:11" x14ac:dyDescent="0.25">
      <c r="A2948" t="s">
        <v>3454</v>
      </c>
      <c r="B2948" t="s">
        <v>85</v>
      </c>
      <c r="C2948" t="s">
        <v>59</v>
      </c>
      <c r="D2948" t="s">
        <v>201</v>
      </c>
      <c r="E2948" s="2">
        <v>15.5</v>
      </c>
      <c r="F2948" s="4">
        <v>9</v>
      </c>
      <c r="G2948" s="2">
        <v>139.5</v>
      </c>
      <c r="H2948" t="s">
        <v>15</v>
      </c>
      <c r="I2948" t="s">
        <v>36</v>
      </c>
      <c r="J2948" s="1">
        <v>44582</v>
      </c>
      <c r="K2948" t="b">
        <v>0</v>
      </c>
    </row>
    <row r="2949" spans="1:11" x14ac:dyDescent="0.25">
      <c r="A2949" t="s">
        <v>4729</v>
      </c>
      <c r="B2949" t="s">
        <v>72</v>
      </c>
      <c r="C2949" t="s">
        <v>31</v>
      </c>
      <c r="D2949" t="s">
        <v>585</v>
      </c>
      <c r="E2949" s="2">
        <v>15.5</v>
      </c>
      <c r="F2949" s="4">
        <v>9</v>
      </c>
      <c r="G2949" s="2">
        <v>139.5</v>
      </c>
      <c r="H2949" t="s">
        <v>15</v>
      </c>
      <c r="I2949" t="s">
        <v>16</v>
      </c>
      <c r="J2949" s="1">
        <v>45353</v>
      </c>
      <c r="K2949" t="b">
        <v>1</v>
      </c>
    </row>
    <row r="2950" spans="1:11" x14ac:dyDescent="0.25">
      <c r="A2950" t="s">
        <v>7124</v>
      </c>
      <c r="B2950" t="s">
        <v>69</v>
      </c>
      <c r="C2950" t="s">
        <v>110</v>
      </c>
      <c r="D2950" t="s">
        <v>199</v>
      </c>
      <c r="E2950" s="2">
        <v>15.5</v>
      </c>
      <c r="F2950" s="4">
        <v>9</v>
      </c>
      <c r="G2950" s="2">
        <v>139.5</v>
      </c>
      <c r="H2950" t="s">
        <v>25</v>
      </c>
      <c r="I2950" t="s">
        <v>36</v>
      </c>
      <c r="J2950" s="1">
        <v>45247</v>
      </c>
      <c r="K2950" t="b">
        <v>0</v>
      </c>
    </row>
    <row r="2951" spans="1:11" x14ac:dyDescent="0.25">
      <c r="A2951" t="s">
        <v>7002</v>
      </c>
      <c r="B2951" t="s">
        <v>63</v>
      </c>
      <c r="C2951" t="s">
        <v>13</v>
      </c>
      <c r="D2951" t="s">
        <v>389</v>
      </c>
      <c r="E2951" s="2">
        <v>15.5</v>
      </c>
      <c r="F2951" s="4">
        <v>9</v>
      </c>
      <c r="G2951" s="2">
        <v>139.5</v>
      </c>
      <c r="H2951" t="s">
        <v>15</v>
      </c>
      <c r="I2951" t="s">
        <v>36</v>
      </c>
      <c r="J2951" s="1">
        <v>44867</v>
      </c>
      <c r="K2951" t="b">
        <v>1</v>
      </c>
    </row>
    <row r="2952" spans="1:11" x14ac:dyDescent="0.25">
      <c r="A2952" t="s">
        <v>1521</v>
      </c>
      <c r="B2952" t="s">
        <v>12</v>
      </c>
      <c r="C2952" t="s">
        <v>19</v>
      </c>
      <c r="D2952" t="s">
        <v>166</v>
      </c>
      <c r="E2952" s="2">
        <v>15.5</v>
      </c>
      <c r="F2952" s="4">
        <v>9</v>
      </c>
      <c r="G2952" s="2">
        <v>139.5</v>
      </c>
      <c r="H2952" t="s">
        <v>15</v>
      </c>
      <c r="I2952" t="s">
        <v>36</v>
      </c>
      <c r="J2952" s="1">
        <v>45484</v>
      </c>
      <c r="K2952" t="b">
        <v>0</v>
      </c>
    </row>
    <row r="2953" spans="1:11" x14ac:dyDescent="0.25">
      <c r="A2953" t="s">
        <v>2088</v>
      </c>
      <c r="B2953" t="s">
        <v>58</v>
      </c>
      <c r="C2953" t="s">
        <v>31</v>
      </c>
      <c r="D2953" t="s">
        <v>585</v>
      </c>
      <c r="E2953" s="2">
        <v>15.5</v>
      </c>
      <c r="F2953" s="4">
        <v>9</v>
      </c>
      <c r="G2953" s="2">
        <v>139.5</v>
      </c>
      <c r="H2953" t="s">
        <v>15</v>
      </c>
      <c r="I2953" t="s">
        <v>36</v>
      </c>
      <c r="J2953" s="1">
        <v>45241</v>
      </c>
      <c r="K2953" t="b">
        <v>0</v>
      </c>
    </row>
    <row r="2954" spans="1:11" x14ac:dyDescent="0.25">
      <c r="A2954" t="s">
        <v>3507</v>
      </c>
      <c r="B2954" t="s">
        <v>97</v>
      </c>
      <c r="C2954" t="s">
        <v>23</v>
      </c>
      <c r="D2954" t="s">
        <v>187</v>
      </c>
      <c r="E2954" s="2">
        <v>15.5</v>
      </c>
      <c r="F2954" s="4">
        <v>9</v>
      </c>
      <c r="G2954" s="2">
        <v>139.5</v>
      </c>
      <c r="H2954" t="s">
        <v>25</v>
      </c>
      <c r="I2954" t="s">
        <v>16</v>
      </c>
      <c r="J2954" s="1">
        <v>44682</v>
      </c>
      <c r="K2954" t="b">
        <v>0</v>
      </c>
    </row>
    <row r="2955" spans="1:11" x14ac:dyDescent="0.25">
      <c r="A2955" t="s">
        <v>890</v>
      </c>
      <c r="B2955" t="s">
        <v>58</v>
      </c>
      <c r="C2955" t="s">
        <v>23</v>
      </c>
      <c r="D2955" t="s">
        <v>187</v>
      </c>
      <c r="E2955" s="2">
        <v>15.5</v>
      </c>
      <c r="F2955" s="4">
        <v>9</v>
      </c>
      <c r="G2955" s="2">
        <v>139.5</v>
      </c>
      <c r="H2955" t="s">
        <v>25</v>
      </c>
      <c r="I2955" t="s">
        <v>36</v>
      </c>
      <c r="J2955" s="1">
        <v>44978</v>
      </c>
      <c r="K2955" t="b">
        <v>0</v>
      </c>
    </row>
    <row r="2956" spans="1:11" x14ac:dyDescent="0.25">
      <c r="A2956" t="s">
        <v>1066</v>
      </c>
      <c r="B2956" t="s">
        <v>104</v>
      </c>
      <c r="C2956" t="s">
        <v>59</v>
      </c>
      <c r="D2956" t="s">
        <v>201</v>
      </c>
      <c r="E2956" s="2">
        <v>15.5</v>
      </c>
      <c r="F2956" s="4">
        <v>9</v>
      </c>
      <c r="G2956" s="2">
        <v>139.5</v>
      </c>
      <c r="H2956" t="s">
        <v>45</v>
      </c>
      <c r="I2956" t="s">
        <v>16</v>
      </c>
      <c r="J2956" s="1">
        <v>44619</v>
      </c>
      <c r="K2956" t="b">
        <v>0</v>
      </c>
    </row>
    <row r="2957" spans="1:11" x14ac:dyDescent="0.25">
      <c r="A2957" t="s">
        <v>7183</v>
      </c>
      <c r="B2957" t="s">
        <v>56</v>
      </c>
      <c r="C2957" t="s">
        <v>19</v>
      </c>
      <c r="D2957" t="s">
        <v>166</v>
      </c>
      <c r="E2957" s="2">
        <v>15.5</v>
      </c>
      <c r="F2957" s="4">
        <v>9</v>
      </c>
      <c r="G2957" s="2">
        <v>139.5</v>
      </c>
      <c r="H2957" t="s">
        <v>45</v>
      </c>
      <c r="I2957" t="s">
        <v>36</v>
      </c>
      <c r="J2957" s="1">
        <v>45041</v>
      </c>
      <c r="K2957" t="b">
        <v>0</v>
      </c>
    </row>
    <row r="2958" spans="1:11" x14ac:dyDescent="0.25">
      <c r="A2958" t="s">
        <v>3257</v>
      </c>
      <c r="B2958" t="s">
        <v>51</v>
      </c>
      <c r="C2958" t="s">
        <v>38</v>
      </c>
      <c r="D2958" t="s">
        <v>241</v>
      </c>
      <c r="E2958" s="2">
        <v>15.5</v>
      </c>
      <c r="F2958" s="4">
        <v>9</v>
      </c>
      <c r="G2958" s="2">
        <v>139.5</v>
      </c>
      <c r="H2958" t="s">
        <v>45</v>
      </c>
      <c r="I2958" t="s">
        <v>16</v>
      </c>
      <c r="J2958" s="1">
        <v>45363</v>
      </c>
      <c r="K2958" t="b">
        <v>0</v>
      </c>
    </row>
    <row r="2959" spans="1:11" x14ac:dyDescent="0.25">
      <c r="A2959" t="s">
        <v>3502</v>
      </c>
      <c r="B2959" t="s">
        <v>40</v>
      </c>
      <c r="C2959" t="s">
        <v>19</v>
      </c>
      <c r="D2959" t="s">
        <v>400</v>
      </c>
      <c r="E2959" s="2">
        <v>23</v>
      </c>
      <c r="F2959" s="4">
        <v>6</v>
      </c>
      <c r="G2959" s="2">
        <v>138</v>
      </c>
      <c r="H2959" t="s">
        <v>25</v>
      </c>
      <c r="I2959" t="s">
        <v>16</v>
      </c>
      <c r="J2959" s="1">
        <v>45236</v>
      </c>
      <c r="K2959" t="b">
        <v>0</v>
      </c>
    </row>
    <row r="2960" spans="1:11" x14ac:dyDescent="0.25">
      <c r="A2960" t="s">
        <v>3215</v>
      </c>
      <c r="B2960" t="s">
        <v>30</v>
      </c>
      <c r="C2960" t="s">
        <v>13</v>
      </c>
      <c r="D2960" t="s">
        <v>292</v>
      </c>
      <c r="E2960" s="2">
        <v>23</v>
      </c>
      <c r="F2960" s="4">
        <v>6</v>
      </c>
      <c r="G2960" s="2">
        <v>138</v>
      </c>
      <c r="H2960" t="s">
        <v>15</v>
      </c>
      <c r="I2960" t="s">
        <v>36</v>
      </c>
      <c r="J2960" s="1">
        <v>45123</v>
      </c>
      <c r="K2960" t="b">
        <v>0</v>
      </c>
    </row>
    <row r="2961" spans="1:11" x14ac:dyDescent="0.25">
      <c r="A2961" t="s">
        <v>3849</v>
      </c>
      <c r="B2961" t="s">
        <v>93</v>
      </c>
      <c r="C2961" t="s">
        <v>110</v>
      </c>
      <c r="D2961" t="s">
        <v>232</v>
      </c>
      <c r="E2961" s="2">
        <v>23</v>
      </c>
      <c r="F2961" s="4">
        <v>6</v>
      </c>
      <c r="G2961" s="2">
        <v>138</v>
      </c>
      <c r="H2961" t="s">
        <v>25</v>
      </c>
      <c r="I2961" t="s">
        <v>36</v>
      </c>
      <c r="J2961" s="1">
        <v>44986</v>
      </c>
      <c r="K2961" t="b">
        <v>0</v>
      </c>
    </row>
    <row r="2962" spans="1:11" x14ac:dyDescent="0.25">
      <c r="A2962" t="s">
        <v>7167</v>
      </c>
      <c r="B2962" t="s">
        <v>63</v>
      </c>
      <c r="C2962" t="s">
        <v>19</v>
      </c>
      <c r="D2962" t="s">
        <v>400</v>
      </c>
      <c r="E2962" s="2">
        <v>23</v>
      </c>
      <c r="F2962" s="4">
        <v>6</v>
      </c>
      <c r="G2962" s="2">
        <v>138</v>
      </c>
      <c r="H2962" t="s">
        <v>15</v>
      </c>
      <c r="I2962" t="s">
        <v>16</v>
      </c>
      <c r="J2962" s="1">
        <v>45070</v>
      </c>
      <c r="K2962" t="b">
        <v>0</v>
      </c>
    </row>
    <row r="2963" spans="1:11" x14ac:dyDescent="0.25">
      <c r="A2963" t="s">
        <v>5768</v>
      </c>
      <c r="B2963" t="s">
        <v>85</v>
      </c>
      <c r="C2963" t="s">
        <v>110</v>
      </c>
      <c r="D2963" t="s">
        <v>232</v>
      </c>
      <c r="E2963" s="2">
        <v>23</v>
      </c>
      <c r="F2963" s="4">
        <v>6</v>
      </c>
      <c r="G2963" s="2">
        <v>138</v>
      </c>
      <c r="H2963" t="s">
        <v>45</v>
      </c>
      <c r="I2963" t="s">
        <v>36</v>
      </c>
      <c r="J2963" s="1">
        <v>44702</v>
      </c>
      <c r="K2963" t="b">
        <v>0</v>
      </c>
    </row>
    <row r="2964" spans="1:11" x14ac:dyDescent="0.25">
      <c r="A2964" t="s">
        <v>350</v>
      </c>
      <c r="B2964" t="s">
        <v>34</v>
      </c>
      <c r="C2964" t="s">
        <v>23</v>
      </c>
      <c r="D2964" t="s">
        <v>244</v>
      </c>
      <c r="E2964" s="2">
        <v>23</v>
      </c>
      <c r="F2964" s="4">
        <v>6</v>
      </c>
      <c r="G2964" s="2">
        <v>138</v>
      </c>
      <c r="H2964" t="s">
        <v>45</v>
      </c>
      <c r="I2964" t="s">
        <v>36</v>
      </c>
      <c r="J2964" s="1">
        <v>45114</v>
      </c>
      <c r="K2964" t="b">
        <v>1</v>
      </c>
    </row>
    <row r="2965" spans="1:11" x14ac:dyDescent="0.25">
      <c r="A2965" t="s">
        <v>2498</v>
      </c>
      <c r="B2965" t="s">
        <v>30</v>
      </c>
      <c r="C2965" t="s">
        <v>19</v>
      </c>
      <c r="D2965" t="s">
        <v>400</v>
      </c>
      <c r="E2965" s="2">
        <v>23</v>
      </c>
      <c r="F2965" s="4">
        <v>6</v>
      </c>
      <c r="G2965" s="2">
        <v>138</v>
      </c>
      <c r="H2965" t="s">
        <v>15</v>
      </c>
      <c r="I2965" t="s">
        <v>36</v>
      </c>
      <c r="J2965" s="1">
        <v>44936</v>
      </c>
      <c r="K2965" t="b">
        <v>0</v>
      </c>
    </row>
    <row r="2966" spans="1:11" x14ac:dyDescent="0.25">
      <c r="A2966" t="s">
        <v>7308</v>
      </c>
      <c r="B2966" t="s">
        <v>58</v>
      </c>
      <c r="C2966" t="s">
        <v>59</v>
      </c>
      <c r="D2966" t="s">
        <v>60</v>
      </c>
      <c r="E2966" s="2">
        <v>23</v>
      </c>
      <c r="F2966" s="4">
        <v>6</v>
      </c>
      <c r="G2966" s="2">
        <v>138</v>
      </c>
      <c r="H2966" t="s">
        <v>15</v>
      </c>
      <c r="I2966" t="s">
        <v>36</v>
      </c>
      <c r="J2966" s="1">
        <v>45018</v>
      </c>
      <c r="K2966" t="b">
        <v>0</v>
      </c>
    </row>
    <row r="2967" spans="1:11" x14ac:dyDescent="0.25">
      <c r="A2967" t="s">
        <v>2906</v>
      </c>
      <c r="B2967" t="s">
        <v>56</v>
      </c>
      <c r="C2967" t="s">
        <v>31</v>
      </c>
      <c r="D2967" t="s">
        <v>361</v>
      </c>
      <c r="E2967" s="2">
        <v>23</v>
      </c>
      <c r="F2967" s="4">
        <v>6</v>
      </c>
      <c r="G2967" s="2">
        <v>138</v>
      </c>
      <c r="H2967" t="s">
        <v>15</v>
      </c>
      <c r="I2967" t="s">
        <v>36</v>
      </c>
      <c r="J2967" s="1">
        <v>45196</v>
      </c>
      <c r="K2967" t="b">
        <v>1</v>
      </c>
    </row>
    <row r="2968" spans="1:11" x14ac:dyDescent="0.25">
      <c r="A2968" t="s">
        <v>3094</v>
      </c>
      <c r="B2968" t="s">
        <v>93</v>
      </c>
      <c r="C2968" t="s">
        <v>19</v>
      </c>
      <c r="D2968" t="s">
        <v>400</v>
      </c>
      <c r="E2968" s="2">
        <v>23</v>
      </c>
      <c r="F2968" s="4">
        <v>6</v>
      </c>
      <c r="G2968" s="2">
        <v>138</v>
      </c>
      <c r="H2968" t="s">
        <v>25</v>
      </c>
      <c r="I2968" t="s">
        <v>16</v>
      </c>
      <c r="J2968" s="1">
        <v>45374</v>
      </c>
      <c r="K2968" t="b">
        <v>1</v>
      </c>
    </row>
    <row r="2969" spans="1:11" x14ac:dyDescent="0.25">
      <c r="A2969" t="s">
        <v>6946</v>
      </c>
      <c r="B2969" t="s">
        <v>66</v>
      </c>
      <c r="C2969" t="s">
        <v>23</v>
      </c>
      <c r="D2969" t="s">
        <v>244</v>
      </c>
      <c r="E2969" s="2">
        <v>23</v>
      </c>
      <c r="F2969" s="4">
        <v>6</v>
      </c>
      <c r="G2969" s="2">
        <v>138</v>
      </c>
      <c r="H2969" t="s">
        <v>45</v>
      </c>
      <c r="I2969" t="s">
        <v>16</v>
      </c>
      <c r="J2969" s="1">
        <v>44799</v>
      </c>
      <c r="K2969" t="b">
        <v>1</v>
      </c>
    </row>
    <row r="2970" spans="1:11" x14ac:dyDescent="0.25">
      <c r="A2970" t="s">
        <v>4048</v>
      </c>
      <c r="B2970" t="s">
        <v>58</v>
      </c>
      <c r="C2970" t="s">
        <v>110</v>
      </c>
      <c r="D2970" t="s">
        <v>232</v>
      </c>
      <c r="E2970" s="2">
        <v>23</v>
      </c>
      <c r="F2970" s="4">
        <v>6</v>
      </c>
      <c r="G2970" s="2">
        <v>138</v>
      </c>
      <c r="H2970" t="s">
        <v>15</v>
      </c>
      <c r="I2970" t="s">
        <v>36</v>
      </c>
      <c r="J2970" s="1">
        <v>44934</v>
      </c>
      <c r="K2970" t="b">
        <v>0</v>
      </c>
    </row>
    <row r="2971" spans="1:11" x14ac:dyDescent="0.25">
      <c r="A2971" t="s">
        <v>546</v>
      </c>
      <c r="B2971" t="s">
        <v>97</v>
      </c>
      <c r="C2971" t="s">
        <v>19</v>
      </c>
      <c r="D2971" t="s">
        <v>400</v>
      </c>
      <c r="E2971" s="2">
        <v>23</v>
      </c>
      <c r="F2971" s="4">
        <v>6</v>
      </c>
      <c r="G2971" s="2">
        <v>138</v>
      </c>
      <c r="H2971" t="s">
        <v>45</v>
      </c>
      <c r="I2971" t="s">
        <v>16</v>
      </c>
      <c r="J2971" s="1">
        <v>45107</v>
      </c>
      <c r="K2971" t="b">
        <v>0</v>
      </c>
    </row>
    <row r="2972" spans="1:11" x14ac:dyDescent="0.25">
      <c r="A2972" t="s">
        <v>5020</v>
      </c>
      <c r="B2972" t="s">
        <v>77</v>
      </c>
      <c r="C2972" t="s">
        <v>13</v>
      </c>
      <c r="D2972" t="s">
        <v>292</v>
      </c>
      <c r="E2972" s="2">
        <v>23</v>
      </c>
      <c r="F2972" s="4">
        <v>6</v>
      </c>
      <c r="G2972" s="2">
        <v>138</v>
      </c>
      <c r="H2972" t="s">
        <v>45</v>
      </c>
      <c r="I2972" t="s">
        <v>36</v>
      </c>
      <c r="J2972" s="1">
        <v>45227</v>
      </c>
      <c r="K2972" t="b">
        <v>1</v>
      </c>
    </row>
    <row r="2973" spans="1:11" x14ac:dyDescent="0.25">
      <c r="A2973" t="s">
        <v>4513</v>
      </c>
      <c r="B2973" t="s">
        <v>63</v>
      </c>
      <c r="C2973" t="s">
        <v>23</v>
      </c>
      <c r="D2973" t="s">
        <v>244</v>
      </c>
      <c r="E2973" s="2">
        <v>23</v>
      </c>
      <c r="F2973" s="4">
        <v>6</v>
      </c>
      <c r="G2973" s="2">
        <v>138</v>
      </c>
      <c r="H2973" t="s">
        <v>25</v>
      </c>
      <c r="I2973" t="s">
        <v>36</v>
      </c>
      <c r="J2973" s="1">
        <v>44933</v>
      </c>
      <c r="K2973" t="b">
        <v>0</v>
      </c>
    </row>
    <row r="2974" spans="1:11" x14ac:dyDescent="0.25">
      <c r="A2974" t="s">
        <v>1812</v>
      </c>
      <c r="B2974" t="s">
        <v>43</v>
      </c>
      <c r="C2974" t="s">
        <v>31</v>
      </c>
      <c r="D2974" t="s">
        <v>361</v>
      </c>
      <c r="E2974" s="2">
        <v>23</v>
      </c>
      <c r="F2974" s="4">
        <v>6</v>
      </c>
      <c r="G2974" s="2">
        <v>138</v>
      </c>
      <c r="H2974" t="s">
        <v>15</v>
      </c>
      <c r="I2974" t="s">
        <v>36</v>
      </c>
      <c r="J2974" s="1">
        <v>45221</v>
      </c>
      <c r="K2974" t="b">
        <v>0</v>
      </c>
    </row>
    <row r="2975" spans="1:11" x14ac:dyDescent="0.25">
      <c r="A2975" t="s">
        <v>1854</v>
      </c>
      <c r="B2975" t="s">
        <v>26</v>
      </c>
      <c r="C2975" t="s">
        <v>59</v>
      </c>
      <c r="D2975" t="s">
        <v>60</v>
      </c>
      <c r="E2975" s="2">
        <v>23</v>
      </c>
      <c r="F2975" s="4">
        <v>6</v>
      </c>
      <c r="G2975" s="2">
        <v>138</v>
      </c>
      <c r="H2975" t="s">
        <v>15</v>
      </c>
      <c r="I2975" t="s">
        <v>16</v>
      </c>
      <c r="J2975" s="1">
        <v>45596</v>
      </c>
      <c r="K2975" t="b">
        <v>0</v>
      </c>
    </row>
    <row r="2976" spans="1:11" x14ac:dyDescent="0.25">
      <c r="A2976" t="s">
        <v>1606</v>
      </c>
      <c r="B2976" t="s">
        <v>12</v>
      </c>
      <c r="C2976" t="s">
        <v>31</v>
      </c>
      <c r="D2976" t="s">
        <v>361</v>
      </c>
      <c r="E2976" s="2">
        <v>23</v>
      </c>
      <c r="F2976" s="4">
        <v>6</v>
      </c>
      <c r="G2976" s="2">
        <v>138</v>
      </c>
      <c r="H2976" t="s">
        <v>45</v>
      </c>
      <c r="I2976" t="s">
        <v>36</v>
      </c>
      <c r="J2976" s="1">
        <v>45603</v>
      </c>
      <c r="K2976" t="b">
        <v>1</v>
      </c>
    </row>
    <row r="2977" spans="1:11" x14ac:dyDescent="0.25">
      <c r="A2977" t="s">
        <v>6474</v>
      </c>
      <c r="B2977" t="s">
        <v>30</v>
      </c>
      <c r="C2977" t="s">
        <v>19</v>
      </c>
      <c r="D2977" t="s">
        <v>400</v>
      </c>
      <c r="E2977" s="2">
        <v>23</v>
      </c>
      <c r="F2977" s="4">
        <v>6</v>
      </c>
      <c r="G2977" s="2">
        <v>138</v>
      </c>
      <c r="H2977" t="s">
        <v>45</v>
      </c>
      <c r="I2977" t="s">
        <v>36</v>
      </c>
      <c r="J2977" s="1">
        <v>45402</v>
      </c>
      <c r="K2977" t="b">
        <v>1</v>
      </c>
    </row>
    <row r="2978" spans="1:11" x14ac:dyDescent="0.25">
      <c r="A2978" t="s">
        <v>7065</v>
      </c>
      <c r="B2978" t="s">
        <v>61</v>
      </c>
      <c r="C2978" t="s">
        <v>59</v>
      </c>
      <c r="D2978" t="s">
        <v>60</v>
      </c>
      <c r="E2978" s="2">
        <v>23</v>
      </c>
      <c r="F2978" s="4">
        <v>6</v>
      </c>
      <c r="G2978" s="2">
        <v>138</v>
      </c>
      <c r="H2978" t="s">
        <v>15</v>
      </c>
      <c r="I2978" t="s">
        <v>36</v>
      </c>
      <c r="J2978" s="1">
        <v>45307</v>
      </c>
      <c r="K2978" t="b">
        <v>0</v>
      </c>
    </row>
    <row r="2979" spans="1:11" x14ac:dyDescent="0.25">
      <c r="A2979" t="s">
        <v>4561</v>
      </c>
      <c r="B2979" t="s">
        <v>104</v>
      </c>
      <c r="C2979" t="s">
        <v>59</v>
      </c>
      <c r="D2979" t="s">
        <v>60</v>
      </c>
      <c r="E2979" s="2">
        <v>23</v>
      </c>
      <c r="F2979" s="4">
        <v>6</v>
      </c>
      <c r="G2979" s="2">
        <v>138</v>
      </c>
      <c r="H2979" t="s">
        <v>45</v>
      </c>
      <c r="I2979" t="s">
        <v>16</v>
      </c>
      <c r="J2979" s="1">
        <v>45427</v>
      </c>
      <c r="K2979" t="b">
        <v>1</v>
      </c>
    </row>
    <row r="2980" spans="1:11" x14ac:dyDescent="0.25">
      <c r="A2980" t="s">
        <v>2293</v>
      </c>
      <c r="B2980" t="s">
        <v>86</v>
      </c>
      <c r="C2980" t="s">
        <v>110</v>
      </c>
      <c r="D2980" t="s">
        <v>232</v>
      </c>
      <c r="E2980" s="2">
        <v>23</v>
      </c>
      <c r="F2980" s="4">
        <v>6</v>
      </c>
      <c r="G2980" s="2">
        <v>138</v>
      </c>
      <c r="H2980" t="s">
        <v>25</v>
      </c>
      <c r="I2980" t="s">
        <v>36</v>
      </c>
      <c r="J2980" s="1">
        <v>45311</v>
      </c>
      <c r="K2980" t="b">
        <v>0</v>
      </c>
    </row>
    <row r="2981" spans="1:11" x14ac:dyDescent="0.25">
      <c r="A2981" t="s">
        <v>1898</v>
      </c>
      <c r="B2981" t="s">
        <v>51</v>
      </c>
      <c r="C2981" t="s">
        <v>31</v>
      </c>
      <c r="D2981" t="s">
        <v>361</v>
      </c>
      <c r="E2981" s="2">
        <v>23</v>
      </c>
      <c r="F2981" s="4">
        <v>6</v>
      </c>
      <c r="G2981" s="2">
        <v>138</v>
      </c>
      <c r="H2981" t="s">
        <v>15</v>
      </c>
      <c r="I2981" t="s">
        <v>36</v>
      </c>
      <c r="J2981" s="1">
        <v>44605</v>
      </c>
      <c r="K2981" t="b">
        <v>1</v>
      </c>
    </row>
    <row r="2982" spans="1:11" x14ac:dyDescent="0.25">
      <c r="A2982" t="s">
        <v>7327</v>
      </c>
      <c r="B2982" t="s">
        <v>51</v>
      </c>
      <c r="C2982" t="s">
        <v>23</v>
      </c>
      <c r="D2982" t="s">
        <v>244</v>
      </c>
      <c r="E2982" s="2">
        <v>23</v>
      </c>
      <c r="F2982" s="4">
        <v>6</v>
      </c>
      <c r="G2982" s="2">
        <v>138</v>
      </c>
      <c r="H2982" t="s">
        <v>25</v>
      </c>
      <c r="I2982" t="s">
        <v>36</v>
      </c>
      <c r="J2982" s="1">
        <v>45024</v>
      </c>
      <c r="K2982" t="b">
        <v>0</v>
      </c>
    </row>
    <row r="2983" spans="1:11" x14ac:dyDescent="0.25">
      <c r="A2983" t="s">
        <v>5989</v>
      </c>
      <c r="B2983" t="s">
        <v>93</v>
      </c>
      <c r="C2983" t="s">
        <v>110</v>
      </c>
      <c r="D2983" t="s">
        <v>232</v>
      </c>
      <c r="E2983" s="2">
        <v>23</v>
      </c>
      <c r="F2983" s="4">
        <v>6</v>
      </c>
      <c r="G2983" s="2">
        <v>138</v>
      </c>
      <c r="H2983" t="s">
        <v>45</v>
      </c>
      <c r="I2983" t="s">
        <v>16</v>
      </c>
      <c r="J2983" s="1">
        <v>44878</v>
      </c>
      <c r="K2983" t="b">
        <v>1</v>
      </c>
    </row>
    <row r="2984" spans="1:11" x14ac:dyDescent="0.25">
      <c r="A2984" t="s">
        <v>4902</v>
      </c>
      <c r="B2984" t="s">
        <v>100</v>
      </c>
      <c r="C2984" t="s">
        <v>23</v>
      </c>
      <c r="D2984" t="s">
        <v>244</v>
      </c>
      <c r="E2984" s="2">
        <v>23</v>
      </c>
      <c r="F2984" s="4">
        <v>6</v>
      </c>
      <c r="G2984" s="2">
        <v>138</v>
      </c>
      <c r="H2984" t="s">
        <v>25</v>
      </c>
      <c r="I2984" t="s">
        <v>16</v>
      </c>
      <c r="J2984" s="1">
        <v>44898</v>
      </c>
      <c r="K2984" t="b">
        <v>0</v>
      </c>
    </row>
    <row r="2985" spans="1:11" x14ac:dyDescent="0.25">
      <c r="A2985" t="s">
        <v>1297</v>
      </c>
      <c r="B2985" t="s">
        <v>12</v>
      </c>
      <c r="C2985" t="s">
        <v>59</v>
      </c>
      <c r="D2985" t="s">
        <v>60</v>
      </c>
      <c r="E2985" s="2">
        <v>23</v>
      </c>
      <c r="F2985" s="4">
        <v>6</v>
      </c>
      <c r="G2985" s="2">
        <v>138</v>
      </c>
      <c r="H2985" t="s">
        <v>25</v>
      </c>
      <c r="I2985" t="s">
        <v>16</v>
      </c>
      <c r="J2985" s="1">
        <v>44823</v>
      </c>
      <c r="K2985" t="b">
        <v>1</v>
      </c>
    </row>
    <row r="2986" spans="1:11" x14ac:dyDescent="0.25">
      <c r="A2986" t="s">
        <v>2272</v>
      </c>
      <c r="B2986" t="s">
        <v>93</v>
      </c>
      <c r="C2986" t="s">
        <v>19</v>
      </c>
      <c r="D2986" t="s">
        <v>400</v>
      </c>
      <c r="E2986" s="2">
        <v>23</v>
      </c>
      <c r="F2986" s="4">
        <v>6</v>
      </c>
      <c r="G2986" s="2">
        <v>138</v>
      </c>
      <c r="H2986" t="s">
        <v>25</v>
      </c>
      <c r="I2986" t="s">
        <v>16</v>
      </c>
      <c r="J2986" s="1">
        <v>45070</v>
      </c>
      <c r="K2986" t="b">
        <v>0</v>
      </c>
    </row>
    <row r="2987" spans="1:11" x14ac:dyDescent="0.25">
      <c r="A2987" t="s">
        <v>873</v>
      </c>
      <c r="B2987" t="s">
        <v>56</v>
      </c>
      <c r="C2987" t="s">
        <v>110</v>
      </c>
      <c r="D2987" t="s">
        <v>232</v>
      </c>
      <c r="E2987" s="2">
        <v>23</v>
      </c>
      <c r="F2987" s="4">
        <v>6</v>
      </c>
      <c r="G2987" s="2">
        <v>138</v>
      </c>
      <c r="H2987" t="s">
        <v>25</v>
      </c>
      <c r="I2987" t="s">
        <v>36</v>
      </c>
      <c r="J2987" s="1">
        <v>45655</v>
      </c>
      <c r="K2987" t="b">
        <v>0</v>
      </c>
    </row>
    <row r="2988" spans="1:11" x14ac:dyDescent="0.25">
      <c r="A2988" t="s">
        <v>6669</v>
      </c>
      <c r="B2988" t="s">
        <v>77</v>
      </c>
      <c r="C2988" t="s">
        <v>31</v>
      </c>
      <c r="D2988" t="s">
        <v>361</v>
      </c>
      <c r="E2988" s="2">
        <v>23</v>
      </c>
      <c r="F2988" s="4">
        <v>6</v>
      </c>
      <c r="G2988" s="2">
        <v>138</v>
      </c>
      <c r="H2988" t="s">
        <v>15</v>
      </c>
      <c r="I2988" t="s">
        <v>36</v>
      </c>
      <c r="J2988" s="1">
        <v>45465</v>
      </c>
      <c r="K2988" t="b">
        <v>1</v>
      </c>
    </row>
    <row r="2989" spans="1:11" x14ac:dyDescent="0.25">
      <c r="A2989" t="s">
        <v>280</v>
      </c>
      <c r="B2989" t="s">
        <v>69</v>
      </c>
      <c r="C2989" t="s">
        <v>23</v>
      </c>
      <c r="D2989" t="s">
        <v>244</v>
      </c>
      <c r="E2989" s="2">
        <v>23</v>
      </c>
      <c r="F2989" s="4">
        <v>6</v>
      </c>
      <c r="G2989" s="2">
        <v>138</v>
      </c>
      <c r="H2989" t="s">
        <v>45</v>
      </c>
      <c r="I2989" t="s">
        <v>36</v>
      </c>
      <c r="J2989" s="1">
        <v>44814</v>
      </c>
      <c r="K2989" t="b">
        <v>1</v>
      </c>
    </row>
    <row r="2990" spans="1:11" x14ac:dyDescent="0.25">
      <c r="A2990" t="s">
        <v>1761</v>
      </c>
      <c r="B2990" t="s">
        <v>61</v>
      </c>
      <c r="C2990" t="s">
        <v>13</v>
      </c>
      <c r="D2990" t="s">
        <v>292</v>
      </c>
      <c r="E2990" s="2">
        <v>23</v>
      </c>
      <c r="F2990" s="4">
        <v>6</v>
      </c>
      <c r="G2990" s="2">
        <v>138</v>
      </c>
      <c r="H2990" t="s">
        <v>25</v>
      </c>
      <c r="I2990" t="s">
        <v>36</v>
      </c>
      <c r="J2990" s="1">
        <v>44610</v>
      </c>
      <c r="K2990" t="b">
        <v>1</v>
      </c>
    </row>
    <row r="2991" spans="1:11" x14ac:dyDescent="0.25">
      <c r="A2991" t="s">
        <v>3370</v>
      </c>
      <c r="B2991" t="s">
        <v>142</v>
      </c>
      <c r="C2991" t="s">
        <v>13</v>
      </c>
      <c r="D2991" t="s">
        <v>292</v>
      </c>
      <c r="E2991" s="2">
        <v>23</v>
      </c>
      <c r="F2991" s="4">
        <v>6</v>
      </c>
      <c r="G2991" s="2">
        <v>138</v>
      </c>
      <c r="H2991" t="s">
        <v>15</v>
      </c>
      <c r="I2991" t="s">
        <v>36</v>
      </c>
      <c r="J2991" s="1">
        <v>44830</v>
      </c>
      <c r="K2991" t="b">
        <v>0</v>
      </c>
    </row>
    <row r="2992" spans="1:11" x14ac:dyDescent="0.25">
      <c r="A2992" t="s">
        <v>4182</v>
      </c>
      <c r="B2992" t="s">
        <v>56</v>
      </c>
      <c r="C2992" t="s">
        <v>13</v>
      </c>
      <c r="D2992" t="s">
        <v>292</v>
      </c>
      <c r="E2992" s="2">
        <v>23</v>
      </c>
      <c r="F2992" s="4">
        <v>6</v>
      </c>
      <c r="G2992" s="2">
        <v>138</v>
      </c>
      <c r="H2992" t="s">
        <v>15</v>
      </c>
      <c r="I2992" t="s">
        <v>16</v>
      </c>
      <c r="J2992" s="1">
        <v>45521</v>
      </c>
      <c r="K2992" t="b">
        <v>1</v>
      </c>
    </row>
    <row r="2993" spans="1:11" x14ac:dyDescent="0.25">
      <c r="A2993" t="s">
        <v>6804</v>
      </c>
      <c r="B2993" t="s">
        <v>100</v>
      </c>
      <c r="C2993" t="s">
        <v>31</v>
      </c>
      <c r="D2993" t="s">
        <v>361</v>
      </c>
      <c r="E2993" s="2">
        <v>23</v>
      </c>
      <c r="F2993" s="4">
        <v>6</v>
      </c>
      <c r="G2993" s="2">
        <v>138</v>
      </c>
      <c r="H2993" t="s">
        <v>15</v>
      </c>
      <c r="I2993" t="s">
        <v>16</v>
      </c>
      <c r="J2993" s="1">
        <v>44758</v>
      </c>
      <c r="K2993" t="b">
        <v>1</v>
      </c>
    </row>
    <row r="2994" spans="1:11" x14ac:dyDescent="0.25">
      <c r="A2994" t="s">
        <v>3549</v>
      </c>
      <c r="B2994" t="s">
        <v>63</v>
      </c>
      <c r="C2994" t="s">
        <v>38</v>
      </c>
      <c r="D2994" t="s">
        <v>989</v>
      </c>
      <c r="E2994" s="2">
        <v>23</v>
      </c>
      <c r="F2994" s="4">
        <v>6</v>
      </c>
      <c r="G2994" s="2">
        <v>138</v>
      </c>
      <c r="H2994" t="s">
        <v>45</v>
      </c>
      <c r="I2994" t="s">
        <v>36</v>
      </c>
      <c r="J2994" s="1">
        <v>44584</v>
      </c>
      <c r="K2994" t="b">
        <v>1</v>
      </c>
    </row>
    <row r="2995" spans="1:11" x14ac:dyDescent="0.25">
      <c r="A2995" t="s">
        <v>7562</v>
      </c>
      <c r="B2995" t="s">
        <v>69</v>
      </c>
      <c r="C2995" t="s">
        <v>110</v>
      </c>
      <c r="D2995" t="s">
        <v>111</v>
      </c>
      <c r="E2995" s="2">
        <v>27.5</v>
      </c>
      <c r="F2995" s="4">
        <v>5</v>
      </c>
      <c r="G2995" s="2">
        <v>137.5</v>
      </c>
      <c r="H2995" t="s">
        <v>25</v>
      </c>
      <c r="I2995" t="s">
        <v>36</v>
      </c>
      <c r="J2995" s="1">
        <v>44973</v>
      </c>
      <c r="K2995" t="b">
        <v>1</v>
      </c>
    </row>
    <row r="2996" spans="1:11" x14ac:dyDescent="0.25">
      <c r="A2996" t="s">
        <v>1796</v>
      </c>
      <c r="B2996" t="s">
        <v>61</v>
      </c>
      <c r="C2996" t="s">
        <v>38</v>
      </c>
      <c r="D2996" t="s">
        <v>41</v>
      </c>
      <c r="E2996" s="2">
        <v>27.5</v>
      </c>
      <c r="F2996" s="4">
        <v>5</v>
      </c>
      <c r="G2996" s="2">
        <v>137.5</v>
      </c>
      <c r="H2996" t="s">
        <v>15</v>
      </c>
      <c r="I2996" t="s">
        <v>16</v>
      </c>
      <c r="J2996" s="1">
        <v>45568</v>
      </c>
      <c r="K2996" t="b">
        <v>1</v>
      </c>
    </row>
    <row r="2997" spans="1:11" x14ac:dyDescent="0.25">
      <c r="A2997" t="s">
        <v>2258</v>
      </c>
      <c r="B2997" t="s">
        <v>40</v>
      </c>
      <c r="C2997" t="s">
        <v>110</v>
      </c>
      <c r="D2997" t="s">
        <v>111</v>
      </c>
      <c r="E2997" s="2">
        <v>27.5</v>
      </c>
      <c r="F2997" s="4">
        <v>5</v>
      </c>
      <c r="G2997" s="2">
        <v>137.5</v>
      </c>
      <c r="H2997" t="s">
        <v>25</v>
      </c>
      <c r="I2997" t="s">
        <v>36</v>
      </c>
      <c r="J2997" s="1">
        <v>45115</v>
      </c>
      <c r="K2997" t="b">
        <v>0</v>
      </c>
    </row>
    <row r="2998" spans="1:11" x14ac:dyDescent="0.25">
      <c r="A2998" t="s">
        <v>485</v>
      </c>
      <c r="B2998" t="s">
        <v>72</v>
      </c>
      <c r="C2998" t="s">
        <v>59</v>
      </c>
      <c r="D2998" t="s">
        <v>272</v>
      </c>
      <c r="E2998" s="2">
        <v>27.5</v>
      </c>
      <c r="F2998" s="4">
        <v>5</v>
      </c>
      <c r="G2998" s="2">
        <v>137.5</v>
      </c>
      <c r="H2998" t="s">
        <v>15</v>
      </c>
      <c r="I2998" t="s">
        <v>36</v>
      </c>
      <c r="J2998" s="1">
        <v>44864</v>
      </c>
      <c r="K2998" t="b">
        <v>1</v>
      </c>
    </row>
    <row r="2999" spans="1:11" x14ac:dyDescent="0.25">
      <c r="A2999" t="s">
        <v>6133</v>
      </c>
      <c r="B2999" t="s">
        <v>100</v>
      </c>
      <c r="C2999" t="s">
        <v>27</v>
      </c>
      <c r="D2999" t="s">
        <v>28</v>
      </c>
      <c r="E2999" s="2">
        <v>27.5</v>
      </c>
      <c r="F2999" s="4">
        <v>5</v>
      </c>
      <c r="G2999" s="2">
        <v>137.5</v>
      </c>
      <c r="H2999" t="s">
        <v>45</v>
      </c>
      <c r="I2999" t="s">
        <v>36</v>
      </c>
      <c r="J2999" s="1">
        <v>44890</v>
      </c>
      <c r="K2999" t="b">
        <v>1</v>
      </c>
    </row>
    <row r="3000" spans="1:11" x14ac:dyDescent="0.25">
      <c r="A3000" t="s">
        <v>3350</v>
      </c>
      <c r="B3000" t="s">
        <v>18</v>
      </c>
      <c r="C3000" t="s">
        <v>23</v>
      </c>
      <c r="D3000" t="s">
        <v>115</v>
      </c>
      <c r="E3000" s="2">
        <v>27.5</v>
      </c>
      <c r="F3000" s="4">
        <v>5</v>
      </c>
      <c r="G3000" s="2">
        <v>137.5</v>
      </c>
      <c r="H3000" t="s">
        <v>25</v>
      </c>
      <c r="I3000" t="s">
        <v>36</v>
      </c>
      <c r="J3000" s="1">
        <v>44707</v>
      </c>
      <c r="K3000" t="b">
        <v>0</v>
      </c>
    </row>
    <row r="3001" spans="1:11" x14ac:dyDescent="0.25">
      <c r="A3001" t="s">
        <v>3830</v>
      </c>
      <c r="B3001" t="s">
        <v>30</v>
      </c>
      <c r="C3001" t="s">
        <v>27</v>
      </c>
      <c r="D3001" t="s">
        <v>28</v>
      </c>
      <c r="E3001" s="2">
        <v>27.5</v>
      </c>
      <c r="F3001" s="4">
        <v>5</v>
      </c>
      <c r="G3001" s="2">
        <v>137.5</v>
      </c>
      <c r="H3001" t="s">
        <v>45</v>
      </c>
      <c r="I3001" t="s">
        <v>16</v>
      </c>
      <c r="J3001" s="1">
        <v>44565</v>
      </c>
      <c r="K3001" t="b">
        <v>0</v>
      </c>
    </row>
    <row r="3002" spans="1:11" x14ac:dyDescent="0.25">
      <c r="A3002" t="s">
        <v>3701</v>
      </c>
      <c r="B3002" t="s">
        <v>85</v>
      </c>
      <c r="C3002" t="s">
        <v>19</v>
      </c>
      <c r="D3002" t="s">
        <v>53</v>
      </c>
      <c r="E3002" s="2">
        <v>27.5</v>
      </c>
      <c r="F3002" s="4">
        <v>5</v>
      </c>
      <c r="G3002" s="2">
        <v>137.5</v>
      </c>
      <c r="H3002" t="s">
        <v>15</v>
      </c>
      <c r="I3002" t="s">
        <v>36</v>
      </c>
      <c r="J3002" s="1">
        <v>44641</v>
      </c>
      <c r="K3002" t="b">
        <v>0</v>
      </c>
    </row>
    <row r="3003" spans="1:11" x14ac:dyDescent="0.25">
      <c r="A3003" t="s">
        <v>3447</v>
      </c>
      <c r="B3003" t="s">
        <v>63</v>
      </c>
      <c r="C3003" t="s">
        <v>27</v>
      </c>
      <c r="D3003" t="s">
        <v>28</v>
      </c>
      <c r="E3003" s="2">
        <v>27.5</v>
      </c>
      <c r="F3003" s="4">
        <v>5</v>
      </c>
      <c r="G3003" s="2">
        <v>137.5</v>
      </c>
      <c r="H3003" t="s">
        <v>15</v>
      </c>
      <c r="I3003" t="s">
        <v>36</v>
      </c>
      <c r="J3003" s="1">
        <v>44936</v>
      </c>
      <c r="K3003" t="b">
        <v>0</v>
      </c>
    </row>
    <row r="3004" spans="1:11" x14ac:dyDescent="0.25">
      <c r="A3004" t="s">
        <v>4153</v>
      </c>
      <c r="B3004" t="s">
        <v>86</v>
      </c>
      <c r="C3004" t="s">
        <v>19</v>
      </c>
      <c r="D3004" t="s">
        <v>53</v>
      </c>
      <c r="E3004" s="2">
        <v>27.5</v>
      </c>
      <c r="F3004" s="4">
        <v>5</v>
      </c>
      <c r="G3004" s="2">
        <v>137.5</v>
      </c>
      <c r="H3004" t="s">
        <v>25</v>
      </c>
      <c r="I3004" t="s">
        <v>36</v>
      </c>
      <c r="J3004" s="1">
        <v>44973</v>
      </c>
      <c r="K3004" t="b">
        <v>1</v>
      </c>
    </row>
    <row r="3005" spans="1:11" x14ac:dyDescent="0.25">
      <c r="A3005" t="s">
        <v>2013</v>
      </c>
      <c r="B3005" t="s">
        <v>51</v>
      </c>
      <c r="C3005" t="s">
        <v>19</v>
      </c>
      <c r="D3005" t="s">
        <v>53</v>
      </c>
      <c r="E3005" s="2">
        <v>27.5</v>
      </c>
      <c r="F3005" s="4">
        <v>5</v>
      </c>
      <c r="G3005" s="2">
        <v>137.5</v>
      </c>
      <c r="H3005" t="s">
        <v>25</v>
      </c>
      <c r="I3005" t="s">
        <v>16</v>
      </c>
      <c r="J3005" s="1">
        <v>44991</v>
      </c>
      <c r="K3005" t="b">
        <v>0</v>
      </c>
    </row>
    <row r="3006" spans="1:11" x14ac:dyDescent="0.25">
      <c r="A3006" t="s">
        <v>6930</v>
      </c>
      <c r="B3006" t="s">
        <v>104</v>
      </c>
      <c r="C3006" t="s">
        <v>27</v>
      </c>
      <c r="D3006" t="s">
        <v>28</v>
      </c>
      <c r="E3006" s="2">
        <v>27.5</v>
      </c>
      <c r="F3006" s="4">
        <v>5</v>
      </c>
      <c r="G3006" s="2">
        <v>137.5</v>
      </c>
      <c r="H3006" t="s">
        <v>25</v>
      </c>
      <c r="I3006" t="s">
        <v>16</v>
      </c>
      <c r="J3006" s="1">
        <v>45624</v>
      </c>
      <c r="K3006" t="b">
        <v>0</v>
      </c>
    </row>
    <row r="3007" spans="1:11" x14ac:dyDescent="0.25">
      <c r="A3007" t="s">
        <v>2223</v>
      </c>
      <c r="B3007" t="s">
        <v>69</v>
      </c>
      <c r="C3007" t="s">
        <v>23</v>
      </c>
      <c r="D3007" t="s">
        <v>115</v>
      </c>
      <c r="E3007" s="2">
        <v>27.5</v>
      </c>
      <c r="F3007" s="4">
        <v>5</v>
      </c>
      <c r="G3007" s="2">
        <v>137.5</v>
      </c>
      <c r="H3007" t="s">
        <v>15</v>
      </c>
      <c r="I3007" t="s">
        <v>36</v>
      </c>
      <c r="J3007" s="1">
        <v>44685</v>
      </c>
      <c r="K3007" t="b">
        <v>0</v>
      </c>
    </row>
    <row r="3008" spans="1:11" x14ac:dyDescent="0.25">
      <c r="A3008" t="s">
        <v>6322</v>
      </c>
      <c r="B3008" t="s">
        <v>61</v>
      </c>
      <c r="C3008" t="s">
        <v>23</v>
      </c>
      <c r="D3008" t="s">
        <v>115</v>
      </c>
      <c r="E3008" s="2">
        <v>27.5</v>
      </c>
      <c r="F3008" s="4">
        <v>5</v>
      </c>
      <c r="G3008" s="2">
        <v>137.5</v>
      </c>
      <c r="H3008" t="s">
        <v>45</v>
      </c>
      <c r="I3008" t="s">
        <v>36</v>
      </c>
      <c r="J3008" s="1">
        <v>44776</v>
      </c>
      <c r="K3008" t="b">
        <v>0</v>
      </c>
    </row>
    <row r="3009" spans="1:11" x14ac:dyDescent="0.25">
      <c r="A3009" t="s">
        <v>1725</v>
      </c>
      <c r="B3009" t="s">
        <v>66</v>
      </c>
      <c r="C3009" t="s">
        <v>23</v>
      </c>
      <c r="D3009" t="s">
        <v>115</v>
      </c>
      <c r="E3009" s="2">
        <v>27.5</v>
      </c>
      <c r="F3009" s="4">
        <v>5</v>
      </c>
      <c r="G3009" s="2">
        <v>137.5</v>
      </c>
      <c r="H3009" t="s">
        <v>25</v>
      </c>
      <c r="I3009" t="s">
        <v>16</v>
      </c>
      <c r="J3009" s="1">
        <v>45593</v>
      </c>
      <c r="K3009" t="b">
        <v>1</v>
      </c>
    </row>
    <row r="3010" spans="1:11" x14ac:dyDescent="0.25">
      <c r="A3010" t="s">
        <v>4913</v>
      </c>
      <c r="B3010" t="s">
        <v>72</v>
      </c>
      <c r="C3010" t="s">
        <v>27</v>
      </c>
      <c r="D3010" t="s">
        <v>28</v>
      </c>
      <c r="E3010" s="2">
        <v>27.5</v>
      </c>
      <c r="F3010" s="4">
        <v>5</v>
      </c>
      <c r="G3010" s="2">
        <v>137.5</v>
      </c>
      <c r="H3010" t="s">
        <v>45</v>
      </c>
      <c r="I3010" t="s">
        <v>36</v>
      </c>
      <c r="J3010" s="1">
        <v>44896</v>
      </c>
      <c r="K3010" t="b">
        <v>0</v>
      </c>
    </row>
    <row r="3011" spans="1:11" x14ac:dyDescent="0.25">
      <c r="A3011" t="s">
        <v>7022</v>
      </c>
      <c r="B3011" t="s">
        <v>12</v>
      </c>
      <c r="C3011" t="s">
        <v>27</v>
      </c>
      <c r="D3011" t="s">
        <v>28</v>
      </c>
      <c r="E3011" s="2">
        <v>27.5</v>
      </c>
      <c r="F3011" s="4">
        <v>5</v>
      </c>
      <c r="G3011" s="2">
        <v>137.5</v>
      </c>
      <c r="H3011" t="s">
        <v>15</v>
      </c>
      <c r="I3011" t="s">
        <v>16</v>
      </c>
      <c r="J3011" s="1">
        <v>44773</v>
      </c>
      <c r="K3011" t="b">
        <v>1</v>
      </c>
    </row>
    <row r="3012" spans="1:11" x14ac:dyDescent="0.25">
      <c r="A3012" t="s">
        <v>2433</v>
      </c>
      <c r="B3012" t="s">
        <v>58</v>
      </c>
      <c r="C3012" t="s">
        <v>23</v>
      </c>
      <c r="D3012" t="s">
        <v>115</v>
      </c>
      <c r="E3012" s="2">
        <v>27.5</v>
      </c>
      <c r="F3012" s="4">
        <v>5</v>
      </c>
      <c r="G3012" s="2">
        <v>137.5</v>
      </c>
      <c r="H3012" t="s">
        <v>45</v>
      </c>
      <c r="I3012" t="s">
        <v>16</v>
      </c>
      <c r="J3012" s="1">
        <v>44929</v>
      </c>
      <c r="K3012" t="b">
        <v>1</v>
      </c>
    </row>
    <row r="3013" spans="1:11" x14ac:dyDescent="0.25">
      <c r="A3013" t="s">
        <v>724</v>
      </c>
      <c r="B3013" t="s">
        <v>56</v>
      </c>
      <c r="C3013" t="s">
        <v>38</v>
      </c>
      <c r="D3013" t="s">
        <v>41</v>
      </c>
      <c r="E3013" s="2">
        <v>27.5</v>
      </c>
      <c r="F3013" s="4">
        <v>5</v>
      </c>
      <c r="G3013" s="2">
        <v>137.5</v>
      </c>
      <c r="H3013" t="s">
        <v>25</v>
      </c>
      <c r="I3013" t="s">
        <v>16</v>
      </c>
      <c r="J3013" s="1">
        <v>45397</v>
      </c>
      <c r="K3013" t="b">
        <v>0</v>
      </c>
    </row>
    <row r="3014" spans="1:11" x14ac:dyDescent="0.25">
      <c r="A3014" t="s">
        <v>6221</v>
      </c>
      <c r="B3014" t="s">
        <v>43</v>
      </c>
      <c r="C3014" t="s">
        <v>19</v>
      </c>
      <c r="D3014" t="s">
        <v>53</v>
      </c>
      <c r="E3014" s="2">
        <v>27.5</v>
      </c>
      <c r="F3014" s="4">
        <v>5</v>
      </c>
      <c r="G3014" s="2">
        <v>137.5</v>
      </c>
      <c r="H3014" t="s">
        <v>25</v>
      </c>
      <c r="I3014" t="s">
        <v>16</v>
      </c>
      <c r="J3014" s="1">
        <v>44738</v>
      </c>
      <c r="K3014" t="b">
        <v>0</v>
      </c>
    </row>
    <row r="3015" spans="1:11" x14ac:dyDescent="0.25">
      <c r="A3015" t="s">
        <v>3681</v>
      </c>
      <c r="B3015" t="s">
        <v>97</v>
      </c>
      <c r="C3015" t="s">
        <v>59</v>
      </c>
      <c r="D3015" t="s">
        <v>272</v>
      </c>
      <c r="E3015" s="2">
        <v>27.5</v>
      </c>
      <c r="F3015" s="4">
        <v>5</v>
      </c>
      <c r="G3015" s="2">
        <v>137.5</v>
      </c>
      <c r="H3015" t="s">
        <v>45</v>
      </c>
      <c r="I3015" t="s">
        <v>16</v>
      </c>
      <c r="J3015" s="1">
        <v>44695</v>
      </c>
      <c r="K3015" t="b">
        <v>1</v>
      </c>
    </row>
    <row r="3016" spans="1:11" x14ac:dyDescent="0.25">
      <c r="A3016" t="s">
        <v>5323</v>
      </c>
      <c r="B3016" t="s">
        <v>61</v>
      </c>
      <c r="C3016" t="s">
        <v>19</v>
      </c>
      <c r="D3016" t="s">
        <v>53</v>
      </c>
      <c r="E3016" s="2">
        <v>27.5</v>
      </c>
      <c r="F3016" s="4">
        <v>5</v>
      </c>
      <c r="G3016" s="2">
        <v>137.5</v>
      </c>
      <c r="H3016" t="s">
        <v>45</v>
      </c>
      <c r="I3016" t="s">
        <v>16</v>
      </c>
      <c r="J3016" s="1">
        <v>44715</v>
      </c>
      <c r="K3016" t="b">
        <v>0</v>
      </c>
    </row>
    <row r="3017" spans="1:11" x14ac:dyDescent="0.25">
      <c r="A3017" t="s">
        <v>4663</v>
      </c>
      <c r="B3017" t="s">
        <v>66</v>
      </c>
      <c r="C3017" t="s">
        <v>59</v>
      </c>
      <c r="D3017" t="s">
        <v>272</v>
      </c>
      <c r="E3017" s="2">
        <v>27.5</v>
      </c>
      <c r="F3017" s="4">
        <v>5</v>
      </c>
      <c r="G3017" s="2">
        <v>137.5</v>
      </c>
      <c r="H3017" t="s">
        <v>15</v>
      </c>
      <c r="I3017" t="s">
        <v>36</v>
      </c>
      <c r="J3017" s="1">
        <v>45589</v>
      </c>
      <c r="K3017" t="b">
        <v>0</v>
      </c>
    </row>
    <row r="3018" spans="1:11" x14ac:dyDescent="0.25">
      <c r="A3018" t="s">
        <v>5705</v>
      </c>
      <c r="B3018" t="s">
        <v>58</v>
      </c>
      <c r="C3018" t="s">
        <v>27</v>
      </c>
      <c r="D3018" t="s">
        <v>28</v>
      </c>
      <c r="E3018" s="2">
        <v>27.5</v>
      </c>
      <c r="F3018" s="4">
        <v>5</v>
      </c>
      <c r="G3018" s="2">
        <v>137.5</v>
      </c>
      <c r="H3018" t="s">
        <v>15</v>
      </c>
      <c r="I3018" t="s">
        <v>36</v>
      </c>
      <c r="J3018" s="1">
        <v>44644</v>
      </c>
      <c r="K3018" t="b">
        <v>0</v>
      </c>
    </row>
    <row r="3019" spans="1:11" x14ac:dyDescent="0.25">
      <c r="A3019" t="s">
        <v>813</v>
      </c>
      <c r="B3019" t="s">
        <v>61</v>
      </c>
      <c r="C3019" t="s">
        <v>23</v>
      </c>
      <c r="D3019" t="s">
        <v>115</v>
      </c>
      <c r="E3019" s="2">
        <v>27.5</v>
      </c>
      <c r="F3019" s="4">
        <v>5</v>
      </c>
      <c r="G3019" s="2">
        <v>137.5</v>
      </c>
      <c r="H3019" t="s">
        <v>25</v>
      </c>
      <c r="I3019" t="s">
        <v>16</v>
      </c>
      <c r="J3019" s="1">
        <v>45096</v>
      </c>
      <c r="K3019" t="b">
        <v>1</v>
      </c>
    </row>
    <row r="3020" spans="1:11" x14ac:dyDescent="0.25">
      <c r="A3020" t="s">
        <v>7477</v>
      </c>
      <c r="B3020" t="s">
        <v>26</v>
      </c>
      <c r="C3020" t="s">
        <v>110</v>
      </c>
      <c r="D3020" t="s">
        <v>111</v>
      </c>
      <c r="E3020" s="2">
        <v>27.5</v>
      </c>
      <c r="F3020" s="4">
        <v>5</v>
      </c>
      <c r="G3020" s="2">
        <v>137.5</v>
      </c>
      <c r="H3020" t="s">
        <v>25</v>
      </c>
      <c r="I3020" t="s">
        <v>16</v>
      </c>
      <c r="J3020" s="1">
        <v>45488</v>
      </c>
      <c r="K3020" t="b">
        <v>0</v>
      </c>
    </row>
    <row r="3021" spans="1:11" x14ac:dyDescent="0.25">
      <c r="A3021" t="s">
        <v>6921</v>
      </c>
      <c r="B3021" t="s">
        <v>18</v>
      </c>
      <c r="C3021" t="s">
        <v>19</v>
      </c>
      <c r="D3021" t="s">
        <v>53</v>
      </c>
      <c r="E3021" s="2">
        <v>27.5</v>
      </c>
      <c r="F3021" s="4">
        <v>5</v>
      </c>
      <c r="G3021" s="2">
        <v>137.5</v>
      </c>
      <c r="H3021" t="s">
        <v>15</v>
      </c>
      <c r="I3021" t="s">
        <v>36</v>
      </c>
      <c r="J3021" s="1">
        <v>44839</v>
      </c>
      <c r="K3021" t="b">
        <v>1</v>
      </c>
    </row>
    <row r="3022" spans="1:11" x14ac:dyDescent="0.25">
      <c r="A3022" t="s">
        <v>7135</v>
      </c>
      <c r="B3022" t="s">
        <v>43</v>
      </c>
      <c r="C3022" t="s">
        <v>23</v>
      </c>
      <c r="D3022" t="s">
        <v>115</v>
      </c>
      <c r="E3022" s="2">
        <v>27.5</v>
      </c>
      <c r="F3022" s="4">
        <v>5</v>
      </c>
      <c r="G3022" s="2">
        <v>137.5</v>
      </c>
      <c r="H3022" t="s">
        <v>25</v>
      </c>
      <c r="I3022" t="s">
        <v>36</v>
      </c>
      <c r="J3022" s="1">
        <v>45620</v>
      </c>
      <c r="K3022" t="b">
        <v>0</v>
      </c>
    </row>
    <row r="3023" spans="1:11" x14ac:dyDescent="0.25">
      <c r="A3023" t="s">
        <v>3229</v>
      </c>
      <c r="B3023" t="s">
        <v>22</v>
      </c>
      <c r="C3023" t="s">
        <v>19</v>
      </c>
      <c r="D3023" t="s">
        <v>53</v>
      </c>
      <c r="E3023" s="2">
        <v>27.5</v>
      </c>
      <c r="F3023" s="4">
        <v>5</v>
      </c>
      <c r="G3023" s="2">
        <v>137.5</v>
      </c>
      <c r="H3023" t="s">
        <v>45</v>
      </c>
      <c r="I3023" t="s">
        <v>16</v>
      </c>
      <c r="J3023" s="1">
        <v>44578</v>
      </c>
      <c r="K3023" t="b">
        <v>0</v>
      </c>
    </row>
    <row r="3024" spans="1:11" x14ac:dyDescent="0.25">
      <c r="A3024" t="s">
        <v>3735</v>
      </c>
      <c r="B3024" t="s">
        <v>142</v>
      </c>
      <c r="C3024" t="s">
        <v>13</v>
      </c>
      <c r="D3024" t="s">
        <v>183</v>
      </c>
      <c r="E3024" s="2">
        <v>27.5</v>
      </c>
      <c r="F3024" s="4">
        <v>5</v>
      </c>
      <c r="G3024" s="2">
        <v>137.5</v>
      </c>
      <c r="H3024" t="s">
        <v>25</v>
      </c>
      <c r="I3024" t="s">
        <v>36</v>
      </c>
      <c r="J3024" s="1">
        <v>45422</v>
      </c>
      <c r="K3024" t="b">
        <v>1</v>
      </c>
    </row>
    <row r="3025" spans="1:11" x14ac:dyDescent="0.25">
      <c r="A3025" t="s">
        <v>609</v>
      </c>
      <c r="B3025" t="s">
        <v>104</v>
      </c>
      <c r="C3025" t="s">
        <v>110</v>
      </c>
      <c r="D3025" t="s">
        <v>111</v>
      </c>
      <c r="E3025" s="2">
        <v>27.5</v>
      </c>
      <c r="F3025" s="4">
        <v>5</v>
      </c>
      <c r="G3025" s="2">
        <v>137.5</v>
      </c>
      <c r="H3025" t="s">
        <v>15</v>
      </c>
      <c r="I3025" t="s">
        <v>36</v>
      </c>
      <c r="J3025" s="1">
        <v>44648</v>
      </c>
      <c r="K3025" t="b">
        <v>1</v>
      </c>
    </row>
    <row r="3026" spans="1:11" x14ac:dyDescent="0.25">
      <c r="A3026" t="s">
        <v>2324</v>
      </c>
      <c r="B3026" t="s">
        <v>26</v>
      </c>
      <c r="C3026" t="s">
        <v>19</v>
      </c>
      <c r="D3026" t="s">
        <v>53</v>
      </c>
      <c r="E3026" s="2">
        <v>27.5</v>
      </c>
      <c r="F3026" s="4">
        <v>5</v>
      </c>
      <c r="G3026" s="2">
        <v>137.5</v>
      </c>
      <c r="H3026" t="s">
        <v>25</v>
      </c>
      <c r="I3026" t="s">
        <v>16</v>
      </c>
      <c r="J3026" s="1">
        <v>45273</v>
      </c>
      <c r="K3026" t="b">
        <v>0</v>
      </c>
    </row>
    <row r="3027" spans="1:11" x14ac:dyDescent="0.25">
      <c r="A3027" t="s">
        <v>4392</v>
      </c>
      <c r="B3027" t="s">
        <v>100</v>
      </c>
      <c r="C3027" t="s">
        <v>23</v>
      </c>
      <c r="D3027" t="s">
        <v>115</v>
      </c>
      <c r="E3027" s="2">
        <v>27.5</v>
      </c>
      <c r="F3027" s="4">
        <v>5</v>
      </c>
      <c r="G3027" s="2">
        <v>137.5</v>
      </c>
      <c r="H3027" t="s">
        <v>25</v>
      </c>
      <c r="I3027" t="s">
        <v>36</v>
      </c>
      <c r="J3027" s="1">
        <v>45038</v>
      </c>
      <c r="K3027" t="b">
        <v>0</v>
      </c>
    </row>
    <row r="3028" spans="1:11" x14ac:dyDescent="0.25">
      <c r="A3028" t="s">
        <v>4106</v>
      </c>
      <c r="B3028" t="s">
        <v>142</v>
      </c>
      <c r="C3028" t="s">
        <v>19</v>
      </c>
      <c r="D3028" t="s">
        <v>53</v>
      </c>
      <c r="E3028" s="2">
        <v>27.5</v>
      </c>
      <c r="F3028" s="4">
        <v>5</v>
      </c>
      <c r="G3028" s="2">
        <v>137.5</v>
      </c>
      <c r="H3028" t="s">
        <v>45</v>
      </c>
      <c r="I3028" t="s">
        <v>36</v>
      </c>
      <c r="J3028" s="1">
        <v>45405</v>
      </c>
      <c r="K3028" t="b">
        <v>0</v>
      </c>
    </row>
    <row r="3029" spans="1:11" x14ac:dyDescent="0.25">
      <c r="A3029" t="s">
        <v>3687</v>
      </c>
      <c r="B3029" t="s">
        <v>61</v>
      </c>
      <c r="C3029" t="s">
        <v>110</v>
      </c>
      <c r="D3029" t="s">
        <v>111</v>
      </c>
      <c r="E3029" s="2">
        <v>27.5</v>
      </c>
      <c r="F3029" s="4">
        <v>5</v>
      </c>
      <c r="G3029" s="2">
        <v>137.5</v>
      </c>
      <c r="H3029" t="s">
        <v>25</v>
      </c>
      <c r="I3029" t="s">
        <v>16</v>
      </c>
      <c r="J3029" s="1">
        <v>45316</v>
      </c>
      <c r="K3029" t="b">
        <v>1</v>
      </c>
    </row>
    <row r="3030" spans="1:11" x14ac:dyDescent="0.25">
      <c r="A3030" t="s">
        <v>1163</v>
      </c>
      <c r="B3030" t="s">
        <v>85</v>
      </c>
      <c r="C3030" t="s">
        <v>38</v>
      </c>
      <c r="D3030" t="s">
        <v>41</v>
      </c>
      <c r="E3030" s="2">
        <v>27.5</v>
      </c>
      <c r="F3030" s="4">
        <v>5</v>
      </c>
      <c r="G3030" s="2">
        <v>137.5</v>
      </c>
      <c r="H3030" t="s">
        <v>45</v>
      </c>
      <c r="I3030" t="s">
        <v>16</v>
      </c>
      <c r="J3030" s="1">
        <v>45068</v>
      </c>
      <c r="K3030" t="b">
        <v>1</v>
      </c>
    </row>
    <row r="3031" spans="1:11" x14ac:dyDescent="0.25">
      <c r="A3031" t="s">
        <v>1823</v>
      </c>
      <c r="B3031" t="s">
        <v>97</v>
      </c>
      <c r="C3031" t="s">
        <v>13</v>
      </c>
      <c r="D3031" t="s">
        <v>183</v>
      </c>
      <c r="E3031" s="2">
        <v>27.5</v>
      </c>
      <c r="F3031" s="4">
        <v>5</v>
      </c>
      <c r="G3031" s="2">
        <v>137.5</v>
      </c>
      <c r="H3031" t="s">
        <v>25</v>
      </c>
      <c r="I3031" t="s">
        <v>36</v>
      </c>
      <c r="J3031" s="1">
        <v>45563</v>
      </c>
      <c r="K3031" t="b">
        <v>0</v>
      </c>
    </row>
    <row r="3032" spans="1:11" x14ac:dyDescent="0.25">
      <c r="A3032" t="s">
        <v>6076</v>
      </c>
      <c r="B3032" t="s">
        <v>56</v>
      </c>
      <c r="C3032" t="s">
        <v>23</v>
      </c>
      <c r="D3032" t="s">
        <v>115</v>
      </c>
      <c r="E3032" s="2">
        <v>27.5</v>
      </c>
      <c r="F3032" s="4">
        <v>5</v>
      </c>
      <c r="G3032" s="2">
        <v>137.5</v>
      </c>
      <c r="H3032" t="s">
        <v>45</v>
      </c>
      <c r="I3032" t="s">
        <v>36</v>
      </c>
      <c r="J3032" s="1">
        <v>45511</v>
      </c>
      <c r="K3032" t="b">
        <v>1</v>
      </c>
    </row>
    <row r="3033" spans="1:11" x14ac:dyDescent="0.25">
      <c r="A3033" t="s">
        <v>6870</v>
      </c>
      <c r="B3033" t="s">
        <v>61</v>
      </c>
      <c r="C3033" t="s">
        <v>23</v>
      </c>
      <c r="D3033" t="s">
        <v>115</v>
      </c>
      <c r="E3033" s="2">
        <v>27.5</v>
      </c>
      <c r="F3033" s="4">
        <v>5</v>
      </c>
      <c r="G3033" s="2">
        <v>137.5</v>
      </c>
      <c r="H3033" t="s">
        <v>15</v>
      </c>
      <c r="I3033" t="s">
        <v>36</v>
      </c>
      <c r="J3033" s="1">
        <v>45617</v>
      </c>
      <c r="K3033" t="b">
        <v>1</v>
      </c>
    </row>
    <row r="3034" spans="1:11" x14ac:dyDescent="0.25">
      <c r="A3034" t="s">
        <v>2390</v>
      </c>
      <c r="B3034" t="s">
        <v>30</v>
      </c>
      <c r="C3034" t="s">
        <v>23</v>
      </c>
      <c r="D3034" t="s">
        <v>115</v>
      </c>
      <c r="E3034" s="2">
        <v>27.5</v>
      </c>
      <c r="F3034" s="4">
        <v>5</v>
      </c>
      <c r="G3034" s="2">
        <v>137.5</v>
      </c>
      <c r="H3034" t="s">
        <v>45</v>
      </c>
      <c r="I3034" t="s">
        <v>16</v>
      </c>
      <c r="J3034" s="1">
        <v>44714</v>
      </c>
      <c r="K3034" t="b">
        <v>1</v>
      </c>
    </row>
    <row r="3035" spans="1:11" x14ac:dyDescent="0.25">
      <c r="A3035" t="s">
        <v>1634</v>
      </c>
      <c r="B3035" t="s">
        <v>26</v>
      </c>
      <c r="C3035" t="s">
        <v>38</v>
      </c>
      <c r="D3035" t="s">
        <v>41</v>
      </c>
      <c r="E3035" s="2">
        <v>27.5</v>
      </c>
      <c r="F3035" s="4">
        <v>5</v>
      </c>
      <c r="G3035" s="2">
        <v>137.5</v>
      </c>
      <c r="H3035" t="s">
        <v>45</v>
      </c>
      <c r="I3035" t="s">
        <v>36</v>
      </c>
      <c r="J3035" s="1">
        <v>44583</v>
      </c>
      <c r="K3035" t="b">
        <v>0</v>
      </c>
    </row>
    <row r="3036" spans="1:11" x14ac:dyDescent="0.25">
      <c r="A3036" t="s">
        <v>3358</v>
      </c>
      <c r="B3036" t="s">
        <v>97</v>
      </c>
      <c r="C3036" t="s">
        <v>23</v>
      </c>
      <c r="D3036" t="s">
        <v>115</v>
      </c>
      <c r="E3036" s="2">
        <v>27.5</v>
      </c>
      <c r="F3036" s="4">
        <v>5</v>
      </c>
      <c r="G3036" s="2">
        <v>137.5</v>
      </c>
      <c r="H3036" t="s">
        <v>15</v>
      </c>
      <c r="I3036" t="s">
        <v>16</v>
      </c>
      <c r="J3036" s="1">
        <v>45414</v>
      </c>
      <c r="K3036" t="b">
        <v>1</v>
      </c>
    </row>
    <row r="3037" spans="1:11" x14ac:dyDescent="0.25">
      <c r="A3037" t="s">
        <v>831</v>
      </c>
      <c r="B3037" t="s">
        <v>69</v>
      </c>
      <c r="C3037" t="s">
        <v>110</v>
      </c>
      <c r="D3037" t="s">
        <v>327</v>
      </c>
      <c r="E3037" s="2">
        <v>17</v>
      </c>
      <c r="F3037" s="4">
        <v>8</v>
      </c>
      <c r="G3037" s="2">
        <v>136</v>
      </c>
      <c r="H3037" t="s">
        <v>15</v>
      </c>
      <c r="I3037" t="s">
        <v>16</v>
      </c>
      <c r="J3037" s="1">
        <v>45338</v>
      </c>
      <c r="K3037" t="b">
        <v>0</v>
      </c>
    </row>
    <row r="3038" spans="1:11" x14ac:dyDescent="0.25">
      <c r="A3038" t="s">
        <v>495</v>
      </c>
      <c r="B3038" t="s">
        <v>69</v>
      </c>
      <c r="C3038" t="s">
        <v>13</v>
      </c>
      <c r="D3038" t="s">
        <v>380</v>
      </c>
      <c r="E3038" s="2">
        <v>17</v>
      </c>
      <c r="F3038" s="4">
        <v>8</v>
      </c>
      <c r="G3038" s="2">
        <v>136</v>
      </c>
      <c r="H3038" t="s">
        <v>15</v>
      </c>
      <c r="I3038" t="s">
        <v>36</v>
      </c>
      <c r="J3038" s="1">
        <v>44899</v>
      </c>
      <c r="K3038" t="b">
        <v>0</v>
      </c>
    </row>
    <row r="3039" spans="1:11" x14ac:dyDescent="0.25">
      <c r="A3039" t="s">
        <v>2609</v>
      </c>
      <c r="B3039" t="s">
        <v>72</v>
      </c>
      <c r="C3039" t="s">
        <v>23</v>
      </c>
      <c r="D3039" t="s">
        <v>2357</v>
      </c>
      <c r="E3039" s="2">
        <v>17</v>
      </c>
      <c r="F3039" s="4">
        <v>8</v>
      </c>
      <c r="G3039" s="2">
        <v>136</v>
      </c>
      <c r="H3039" t="s">
        <v>25</v>
      </c>
      <c r="I3039" t="s">
        <v>36</v>
      </c>
      <c r="J3039" s="1">
        <v>45529</v>
      </c>
      <c r="K3039" t="b">
        <v>0</v>
      </c>
    </row>
    <row r="3040" spans="1:11" x14ac:dyDescent="0.25">
      <c r="A3040" t="s">
        <v>4631</v>
      </c>
      <c r="B3040" t="s">
        <v>43</v>
      </c>
      <c r="C3040" t="s">
        <v>13</v>
      </c>
      <c r="D3040" t="s">
        <v>380</v>
      </c>
      <c r="E3040" s="2">
        <v>17</v>
      </c>
      <c r="F3040" s="4">
        <v>8</v>
      </c>
      <c r="G3040" s="2">
        <v>136</v>
      </c>
      <c r="H3040" t="s">
        <v>15</v>
      </c>
      <c r="I3040" t="s">
        <v>36</v>
      </c>
      <c r="J3040" s="1">
        <v>45170</v>
      </c>
      <c r="K3040" t="b">
        <v>1</v>
      </c>
    </row>
    <row r="3041" spans="1:11" x14ac:dyDescent="0.25">
      <c r="A3041" t="s">
        <v>3021</v>
      </c>
      <c r="B3041" t="s">
        <v>61</v>
      </c>
      <c r="C3041" t="s">
        <v>13</v>
      </c>
      <c r="D3041" t="s">
        <v>380</v>
      </c>
      <c r="E3041" s="2">
        <v>17</v>
      </c>
      <c r="F3041" s="4">
        <v>8</v>
      </c>
      <c r="G3041" s="2">
        <v>136</v>
      </c>
      <c r="H3041" t="s">
        <v>45</v>
      </c>
      <c r="I3041" t="s">
        <v>16</v>
      </c>
      <c r="J3041" s="1">
        <v>45237</v>
      </c>
      <c r="K3041" t="b">
        <v>1</v>
      </c>
    </row>
    <row r="3042" spans="1:11" x14ac:dyDescent="0.25">
      <c r="A3042" t="s">
        <v>5197</v>
      </c>
      <c r="B3042" t="s">
        <v>12</v>
      </c>
      <c r="C3042" t="s">
        <v>13</v>
      </c>
      <c r="D3042" t="s">
        <v>380</v>
      </c>
      <c r="E3042" s="2">
        <v>17</v>
      </c>
      <c r="F3042" s="4">
        <v>8</v>
      </c>
      <c r="G3042" s="2">
        <v>136</v>
      </c>
      <c r="H3042" t="s">
        <v>25</v>
      </c>
      <c r="I3042" t="s">
        <v>36</v>
      </c>
      <c r="J3042" s="1">
        <v>45064</v>
      </c>
      <c r="K3042" t="b">
        <v>1</v>
      </c>
    </row>
    <row r="3043" spans="1:11" x14ac:dyDescent="0.25">
      <c r="A3043" t="s">
        <v>4290</v>
      </c>
      <c r="B3043" t="s">
        <v>56</v>
      </c>
      <c r="C3043" t="s">
        <v>31</v>
      </c>
      <c r="D3043" t="s">
        <v>195</v>
      </c>
      <c r="E3043" s="2">
        <v>17</v>
      </c>
      <c r="F3043" s="4">
        <v>8</v>
      </c>
      <c r="G3043" s="2">
        <v>136</v>
      </c>
      <c r="H3043" t="s">
        <v>15</v>
      </c>
      <c r="I3043" t="s">
        <v>36</v>
      </c>
      <c r="J3043" s="1">
        <v>45497</v>
      </c>
      <c r="K3043" t="b">
        <v>0</v>
      </c>
    </row>
    <row r="3044" spans="1:11" x14ac:dyDescent="0.25">
      <c r="A3044" t="s">
        <v>5615</v>
      </c>
      <c r="B3044" t="s">
        <v>66</v>
      </c>
      <c r="C3044" t="s">
        <v>27</v>
      </c>
      <c r="D3044" t="s">
        <v>763</v>
      </c>
      <c r="E3044" s="2">
        <v>17</v>
      </c>
      <c r="F3044" s="4">
        <v>8</v>
      </c>
      <c r="G3044" s="2">
        <v>136</v>
      </c>
      <c r="H3044" t="s">
        <v>45</v>
      </c>
      <c r="I3044" t="s">
        <v>36</v>
      </c>
      <c r="J3044" s="1">
        <v>44907</v>
      </c>
      <c r="K3044" t="b">
        <v>1</v>
      </c>
    </row>
    <row r="3045" spans="1:11" x14ac:dyDescent="0.25">
      <c r="A3045" t="s">
        <v>2216</v>
      </c>
      <c r="B3045" t="s">
        <v>69</v>
      </c>
      <c r="C3045" t="s">
        <v>31</v>
      </c>
      <c r="D3045" t="s">
        <v>195</v>
      </c>
      <c r="E3045" s="2">
        <v>17</v>
      </c>
      <c r="F3045" s="4">
        <v>8</v>
      </c>
      <c r="G3045" s="2">
        <v>136</v>
      </c>
      <c r="H3045" t="s">
        <v>45</v>
      </c>
      <c r="I3045" t="s">
        <v>36</v>
      </c>
      <c r="J3045" s="1">
        <v>44659</v>
      </c>
      <c r="K3045" t="b">
        <v>1</v>
      </c>
    </row>
    <row r="3046" spans="1:11" x14ac:dyDescent="0.25">
      <c r="A3046" t="s">
        <v>4996</v>
      </c>
      <c r="B3046" t="s">
        <v>142</v>
      </c>
      <c r="C3046" t="s">
        <v>27</v>
      </c>
      <c r="D3046" t="s">
        <v>763</v>
      </c>
      <c r="E3046" s="2">
        <v>17</v>
      </c>
      <c r="F3046" s="4">
        <v>8</v>
      </c>
      <c r="G3046" s="2">
        <v>136</v>
      </c>
      <c r="H3046" t="s">
        <v>15</v>
      </c>
      <c r="I3046" t="s">
        <v>36</v>
      </c>
      <c r="J3046" s="1">
        <v>45350</v>
      </c>
      <c r="K3046" t="b">
        <v>1</v>
      </c>
    </row>
    <row r="3047" spans="1:11" x14ac:dyDescent="0.25">
      <c r="A3047" t="s">
        <v>4216</v>
      </c>
      <c r="B3047" t="s">
        <v>97</v>
      </c>
      <c r="C3047" t="s">
        <v>13</v>
      </c>
      <c r="D3047" t="s">
        <v>380</v>
      </c>
      <c r="E3047" s="2">
        <v>17</v>
      </c>
      <c r="F3047" s="4">
        <v>8</v>
      </c>
      <c r="G3047" s="2">
        <v>136</v>
      </c>
      <c r="H3047" t="s">
        <v>15</v>
      </c>
      <c r="I3047" t="s">
        <v>16</v>
      </c>
      <c r="J3047" s="1">
        <v>45564</v>
      </c>
      <c r="K3047" t="b">
        <v>0</v>
      </c>
    </row>
    <row r="3048" spans="1:11" x14ac:dyDescent="0.25">
      <c r="A3048" t="s">
        <v>6923</v>
      </c>
      <c r="B3048" t="s">
        <v>34</v>
      </c>
      <c r="C3048" t="s">
        <v>27</v>
      </c>
      <c r="D3048" t="s">
        <v>763</v>
      </c>
      <c r="E3048" s="2">
        <v>17</v>
      </c>
      <c r="F3048" s="4">
        <v>8</v>
      </c>
      <c r="G3048" s="2">
        <v>136</v>
      </c>
      <c r="H3048" t="s">
        <v>45</v>
      </c>
      <c r="I3048" t="s">
        <v>16</v>
      </c>
      <c r="J3048" s="1">
        <v>45148</v>
      </c>
      <c r="K3048" t="b">
        <v>0</v>
      </c>
    </row>
    <row r="3049" spans="1:11" x14ac:dyDescent="0.25">
      <c r="A3049" t="s">
        <v>4707</v>
      </c>
      <c r="B3049" t="s">
        <v>69</v>
      </c>
      <c r="C3049" t="s">
        <v>38</v>
      </c>
      <c r="D3049" t="s">
        <v>444</v>
      </c>
      <c r="E3049" s="2">
        <v>17</v>
      </c>
      <c r="F3049" s="4">
        <v>8</v>
      </c>
      <c r="G3049" s="2">
        <v>136</v>
      </c>
      <c r="H3049" t="s">
        <v>25</v>
      </c>
      <c r="I3049" t="s">
        <v>16</v>
      </c>
      <c r="J3049" s="1">
        <v>45415</v>
      </c>
      <c r="K3049" t="b">
        <v>1</v>
      </c>
    </row>
    <row r="3050" spans="1:11" x14ac:dyDescent="0.25">
      <c r="A3050" t="s">
        <v>6030</v>
      </c>
      <c r="B3050" t="s">
        <v>40</v>
      </c>
      <c r="C3050" t="s">
        <v>13</v>
      </c>
      <c r="D3050" t="s">
        <v>380</v>
      </c>
      <c r="E3050" s="2">
        <v>17</v>
      </c>
      <c r="F3050" s="4">
        <v>8</v>
      </c>
      <c r="G3050" s="2">
        <v>136</v>
      </c>
      <c r="H3050" t="s">
        <v>25</v>
      </c>
      <c r="I3050" t="s">
        <v>16</v>
      </c>
      <c r="J3050" s="1">
        <v>44922</v>
      </c>
      <c r="K3050" t="b">
        <v>1</v>
      </c>
    </row>
    <row r="3051" spans="1:11" x14ac:dyDescent="0.25">
      <c r="A3051" t="s">
        <v>1400</v>
      </c>
      <c r="B3051" t="s">
        <v>77</v>
      </c>
      <c r="C3051" t="s">
        <v>31</v>
      </c>
      <c r="D3051" t="s">
        <v>195</v>
      </c>
      <c r="E3051" s="2">
        <v>17</v>
      </c>
      <c r="F3051" s="4">
        <v>8</v>
      </c>
      <c r="G3051" s="2">
        <v>136</v>
      </c>
      <c r="H3051" t="s">
        <v>15</v>
      </c>
      <c r="I3051" t="s">
        <v>16</v>
      </c>
      <c r="J3051" s="1">
        <v>44768</v>
      </c>
      <c r="K3051" t="b">
        <v>0</v>
      </c>
    </row>
    <row r="3052" spans="1:11" x14ac:dyDescent="0.25">
      <c r="A3052" t="s">
        <v>6332</v>
      </c>
      <c r="B3052" t="s">
        <v>72</v>
      </c>
      <c r="C3052" t="s">
        <v>13</v>
      </c>
      <c r="D3052" t="s">
        <v>380</v>
      </c>
      <c r="E3052" s="2">
        <v>17</v>
      </c>
      <c r="F3052" s="4">
        <v>8</v>
      </c>
      <c r="G3052" s="2">
        <v>136</v>
      </c>
      <c r="H3052" t="s">
        <v>25</v>
      </c>
      <c r="I3052" t="s">
        <v>36</v>
      </c>
      <c r="J3052" s="1">
        <v>44988</v>
      </c>
      <c r="K3052" t="b">
        <v>0</v>
      </c>
    </row>
    <row r="3053" spans="1:11" x14ac:dyDescent="0.25">
      <c r="A3053" t="s">
        <v>4247</v>
      </c>
      <c r="B3053" t="s">
        <v>85</v>
      </c>
      <c r="C3053" t="s">
        <v>31</v>
      </c>
      <c r="D3053" t="s">
        <v>195</v>
      </c>
      <c r="E3053" s="2">
        <v>17</v>
      </c>
      <c r="F3053" s="4">
        <v>8</v>
      </c>
      <c r="G3053" s="2">
        <v>136</v>
      </c>
      <c r="H3053" t="s">
        <v>15</v>
      </c>
      <c r="I3053" t="s">
        <v>36</v>
      </c>
      <c r="J3053" s="1">
        <v>45244</v>
      </c>
      <c r="K3053" t="b">
        <v>1</v>
      </c>
    </row>
    <row r="3054" spans="1:11" x14ac:dyDescent="0.25">
      <c r="A3054" t="s">
        <v>7656</v>
      </c>
      <c r="B3054" t="s">
        <v>86</v>
      </c>
      <c r="C3054" t="s">
        <v>59</v>
      </c>
      <c r="D3054" t="s">
        <v>655</v>
      </c>
      <c r="E3054" s="2">
        <v>17</v>
      </c>
      <c r="F3054" s="4">
        <v>8</v>
      </c>
      <c r="G3054" s="2">
        <v>136</v>
      </c>
      <c r="H3054" t="s">
        <v>15</v>
      </c>
      <c r="I3054" t="s">
        <v>36</v>
      </c>
      <c r="J3054" s="1">
        <v>44711</v>
      </c>
      <c r="K3054" t="b">
        <v>0</v>
      </c>
    </row>
    <row r="3055" spans="1:11" x14ac:dyDescent="0.25">
      <c r="A3055" t="s">
        <v>2839</v>
      </c>
      <c r="B3055" t="s">
        <v>100</v>
      </c>
      <c r="C3055" t="s">
        <v>23</v>
      </c>
      <c r="D3055" t="s">
        <v>2357</v>
      </c>
      <c r="E3055" s="2">
        <v>17</v>
      </c>
      <c r="F3055" s="4">
        <v>8</v>
      </c>
      <c r="G3055" s="2">
        <v>136</v>
      </c>
      <c r="H3055" t="s">
        <v>45</v>
      </c>
      <c r="I3055" t="s">
        <v>16</v>
      </c>
      <c r="J3055" s="1">
        <v>45097</v>
      </c>
      <c r="K3055" t="b">
        <v>1</v>
      </c>
    </row>
    <row r="3056" spans="1:11" x14ac:dyDescent="0.25">
      <c r="A3056" t="s">
        <v>4828</v>
      </c>
      <c r="B3056" t="s">
        <v>12</v>
      </c>
      <c r="C3056" t="s">
        <v>27</v>
      </c>
      <c r="D3056" t="s">
        <v>763</v>
      </c>
      <c r="E3056" s="2">
        <v>17</v>
      </c>
      <c r="F3056" s="4">
        <v>8</v>
      </c>
      <c r="G3056" s="2">
        <v>136</v>
      </c>
      <c r="H3056" t="s">
        <v>45</v>
      </c>
      <c r="I3056" t="s">
        <v>16</v>
      </c>
      <c r="J3056" s="1">
        <v>45211</v>
      </c>
      <c r="K3056" t="b">
        <v>0</v>
      </c>
    </row>
    <row r="3057" spans="1:11" x14ac:dyDescent="0.25">
      <c r="A3057" t="s">
        <v>3023</v>
      </c>
      <c r="B3057" t="s">
        <v>56</v>
      </c>
      <c r="C3057" t="s">
        <v>110</v>
      </c>
      <c r="D3057" t="s">
        <v>327</v>
      </c>
      <c r="E3057" s="2">
        <v>17</v>
      </c>
      <c r="F3057" s="4">
        <v>8</v>
      </c>
      <c r="G3057" s="2">
        <v>136</v>
      </c>
      <c r="H3057" t="s">
        <v>45</v>
      </c>
      <c r="I3057" t="s">
        <v>16</v>
      </c>
      <c r="J3057" s="1">
        <v>44582</v>
      </c>
      <c r="K3057" t="b">
        <v>1</v>
      </c>
    </row>
    <row r="3058" spans="1:11" x14ac:dyDescent="0.25">
      <c r="A3058" t="s">
        <v>2549</v>
      </c>
      <c r="B3058" t="s">
        <v>37</v>
      </c>
      <c r="C3058" t="s">
        <v>31</v>
      </c>
      <c r="D3058" t="s">
        <v>195</v>
      </c>
      <c r="E3058" s="2">
        <v>17</v>
      </c>
      <c r="F3058" s="4">
        <v>8</v>
      </c>
      <c r="G3058" s="2">
        <v>136</v>
      </c>
      <c r="H3058" t="s">
        <v>15</v>
      </c>
      <c r="I3058" t="s">
        <v>36</v>
      </c>
      <c r="J3058" s="1">
        <v>45536</v>
      </c>
      <c r="K3058" t="b">
        <v>1</v>
      </c>
    </row>
    <row r="3059" spans="1:11" x14ac:dyDescent="0.25">
      <c r="A3059" t="s">
        <v>7634</v>
      </c>
      <c r="B3059" t="s">
        <v>77</v>
      </c>
      <c r="C3059" t="s">
        <v>59</v>
      </c>
      <c r="D3059" t="s">
        <v>655</v>
      </c>
      <c r="E3059" s="2">
        <v>17</v>
      </c>
      <c r="F3059" s="4">
        <v>8</v>
      </c>
      <c r="G3059" s="2">
        <v>136</v>
      </c>
      <c r="H3059" t="s">
        <v>15</v>
      </c>
      <c r="I3059" t="s">
        <v>36</v>
      </c>
      <c r="J3059" s="1">
        <v>45322</v>
      </c>
      <c r="K3059" t="b">
        <v>1</v>
      </c>
    </row>
    <row r="3060" spans="1:11" x14ac:dyDescent="0.25">
      <c r="A3060" t="s">
        <v>4510</v>
      </c>
      <c r="B3060" t="s">
        <v>63</v>
      </c>
      <c r="C3060" t="s">
        <v>110</v>
      </c>
      <c r="D3060" t="s">
        <v>327</v>
      </c>
      <c r="E3060" s="2">
        <v>17</v>
      </c>
      <c r="F3060" s="4">
        <v>8</v>
      </c>
      <c r="G3060" s="2">
        <v>136</v>
      </c>
      <c r="H3060" t="s">
        <v>15</v>
      </c>
      <c r="I3060" t="s">
        <v>16</v>
      </c>
      <c r="J3060" s="1">
        <v>45411</v>
      </c>
      <c r="K3060" t="b">
        <v>0</v>
      </c>
    </row>
    <row r="3061" spans="1:11" x14ac:dyDescent="0.25">
      <c r="A3061" t="s">
        <v>3577</v>
      </c>
      <c r="B3061" t="s">
        <v>51</v>
      </c>
      <c r="C3061" t="s">
        <v>31</v>
      </c>
      <c r="D3061" t="s">
        <v>195</v>
      </c>
      <c r="E3061" s="2">
        <v>17</v>
      </c>
      <c r="F3061" s="4">
        <v>8</v>
      </c>
      <c r="G3061" s="2">
        <v>136</v>
      </c>
      <c r="H3061" t="s">
        <v>25</v>
      </c>
      <c r="I3061" t="s">
        <v>16</v>
      </c>
      <c r="J3061" s="1">
        <v>44704</v>
      </c>
      <c r="K3061" t="b">
        <v>0</v>
      </c>
    </row>
    <row r="3062" spans="1:11" x14ac:dyDescent="0.25">
      <c r="A3062" t="s">
        <v>5612</v>
      </c>
      <c r="B3062" t="s">
        <v>61</v>
      </c>
      <c r="C3062" t="s">
        <v>59</v>
      </c>
      <c r="D3062" t="s">
        <v>655</v>
      </c>
      <c r="E3062" s="2">
        <v>17</v>
      </c>
      <c r="F3062" s="4">
        <v>8</v>
      </c>
      <c r="G3062" s="2">
        <v>136</v>
      </c>
      <c r="H3062" t="s">
        <v>25</v>
      </c>
      <c r="I3062" t="s">
        <v>36</v>
      </c>
      <c r="J3062" s="1">
        <v>45039</v>
      </c>
      <c r="K3062" t="b">
        <v>1</v>
      </c>
    </row>
    <row r="3063" spans="1:11" x14ac:dyDescent="0.25">
      <c r="A3063" t="s">
        <v>887</v>
      </c>
      <c r="B3063" t="s">
        <v>12</v>
      </c>
      <c r="C3063" t="s">
        <v>13</v>
      </c>
      <c r="D3063" t="s">
        <v>380</v>
      </c>
      <c r="E3063" s="2">
        <v>17</v>
      </c>
      <c r="F3063" s="4">
        <v>8</v>
      </c>
      <c r="G3063" s="2">
        <v>136</v>
      </c>
      <c r="H3063" t="s">
        <v>45</v>
      </c>
      <c r="I3063" t="s">
        <v>36</v>
      </c>
      <c r="J3063" s="1">
        <v>45059</v>
      </c>
      <c r="K3063" t="b">
        <v>0</v>
      </c>
    </row>
    <row r="3064" spans="1:11" x14ac:dyDescent="0.25">
      <c r="A3064" t="s">
        <v>2560</v>
      </c>
      <c r="B3064" t="s">
        <v>12</v>
      </c>
      <c r="C3064" t="s">
        <v>59</v>
      </c>
      <c r="D3064" t="s">
        <v>655</v>
      </c>
      <c r="E3064" s="2">
        <v>17</v>
      </c>
      <c r="F3064" s="4">
        <v>8</v>
      </c>
      <c r="G3064" s="2">
        <v>136</v>
      </c>
      <c r="H3064" t="s">
        <v>15</v>
      </c>
      <c r="I3064" t="s">
        <v>36</v>
      </c>
      <c r="J3064" s="1">
        <v>45376</v>
      </c>
      <c r="K3064" t="b">
        <v>1</v>
      </c>
    </row>
    <row r="3065" spans="1:11" x14ac:dyDescent="0.25">
      <c r="A3065" t="s">
        <v>735</v>
      </c>
      <c r="B3065" t="s">
        <v>93</v>
      </c>
      <c r="C3065" t="s">
        <v>110</v>
      </c>
      <c r="D3065" t="s">
        <v>327</v>
      </c>
      <c r="E3065" s="2">
        <v>17</v>
      </c>
      <c r="F3065" s="4">
        <v>8</v>
      </c>
      <c r="G3065" s="2">
        <v>136</v>
      </c>
      <c r="H3065" t="s">
        <v>25</v>
      </c>
      <c r="I3065" t="s">
        <v>16</v>
      </c>
      <c r="J3065" s="1">
        <v>44795</v>
      </c>
      <c r="K3065" t="b">
        <v>1</v>
      </c>
    </row>
    <row r="3066" spans="1:11" x14ac:dyDescent="0.25">
      <c r="A3066" t="s">
        <v>7352</v>
      </c>
      <c r="B3066" t="s">
        <v>66</v>
      </c>
      <c r="C3066" t="s">
        <v>110</v>
      </c>
      <c r="D3066" t="s">
        <v>327</v>
      </c>
      <c r="E3066" s="2">
        <v>17</v>
      </c>
      <c r="F3066" s="4">
        <v>8</v>
      </c>
      <c r="G3066" s="2">
        <v>136</v>
      </c>
      <c r="H3066" t="s">
        <v>15</v>
      </c>
      <c r="I3066" t="s">
        <v>16</v>
      </c>
      <c r="J3066" s="1">
        <v>45386</v>
      </c>
      <c r="K3066" t="b">
        <v>0</v>
      </c>
    </row>
    <row r="3067" spans="1:11" x14ac:dyDescent="0.25">
      <c r="A3067" t="s">
        <v>5781</v>
      </c>
      <c r="B3067" t="s">
        <v>22</v>
      </c>
      <c r="C3067" t="s">
        <v>59</v>
      </c>
      <c r="D3067" t="s">
        <v>655</v>
      </c>
      <c r="E3067" s="2">
        <v>17</v>
      </c>
      <c r="F3067" s="4">
        <v>8</v>
      </c>
      <c r="G3067" s="2">
        <v>136</v>
      </c>
      <c r="H3067" t="s">
        <v>45</v>
      </c>
      <c r="I3067" t="s">
        <v>16</v>
      </c>
      <c r="J3067" s="1">
        <v>44872</v>
      </c>
      <c r="K3067" t="b">
        <v>0</v>
      </c>
    </row>
    <row r="3068" spans="1:11" x14ac:dyDescent="0.25">
      <c r="A3068" t="s">
        <v>7584</v>
      </c>
      <c r="B3068" t="s">
        <v>58</v>
      </c>
      <c r="C3068" t="s">
        <v>59</v>
      </c>
      <c r="D3068" t="s">
        <v>655</v>
      </c>
      <c r="E3068" s="2">
        <v>17</v>
      </c>
      <c r="F3068" s="4">
        <v>8</v>
      </c>
      <c r="G3068" s="2">
        <v>136</v>
      </c>
      <c r="H3068" t="s">
        <v>15</v>
      </c>
      <c r="I3068" t="s">
        <v>36</v>
      </c>
      <c r="J3068" s="1">
        <v>44730</v>
      </c>
      <c r="K3068" t="b">
        <v>0</v>
      </c>
    </row>
    <row r="3069" spans="1:11" x14ac:dyDescent="0.25">
      <c r="A3069" t="s">
        <v>5203</v>
      </c>
      <c r="B3069" t="s">
        <v>18</v>
      </c>
      <c r="C3069" t="s">
        <v>13</v>
      </c>
      <c r="D3069" t="s">
        <v>380</v>
      </c>
      <c r="E3069" s="2">
        <v>17</v>
      </c>
      <c r="F3069" s="4">
        <v>8</v>
      </c>
      <c r="G3069" s="2">
        <v>136</v>
      </c>
      <c r="H3069" t="s">
        <v>25</v>
      </c>
      <c r="I3069" t="s">
        <v>36</v>
      </c>
      <c r="J3069" s="1">
        <v>45370</v>
      </c>
      <c r="K3069" t="b">
        <v>0</v>
      </c>
    </row>
    <row r="3070" spans="1:11" x14ac:dyDescent="0.25">
      <c r="A3070" t="s">
        <v>1721</v>
      </c>
      <c r="B3070" t="s">
        <v>58</v>
      </c>
      <c r="C3070" t="s">
        <v>110</v>
      </c>
      <c r="D3070" t="s">
        <v>327</v>
      </c>
      <c r="E3070" s="2">
        <v>17</v>
      </c>
      <c r="F3070" s="4">
        <v>8</v>
      </c>
      <c r="G3070" s="2">
        <v>136</v>
      </c>
      <c r="H3070" t="s">
        <v>45</v>
      </c>
      <c r="I3070" t="s">
        <v>16</v>
      </c>
      <c r="J3070" s="1">
        <v>44669</v>
      </c>
      <c r="K3070" t="b">
        <v>0</v>
      </c>
    </row>
    <row r="3071" spans="1:11" x14ac:dyDescent="0.25">
      <c r="A3071" t="s">
        <v>4147</v>
      </c>
      <c r="B3071" t="s">
        <v>61</v>
      </c>
      <c r="C3071" t="s">
        <v>31</v>
      </c>
      <c r="D3071" t="s">
        <v>195</v>
      </c>
      <c r="E3071" s="2">
        <v>17</v>
      </c>
      <c r="F3071" s="4">
        <v>8</v>
      </c>
      <c r="G3071" s="2">
        <v>136</v>
      </c>
      <c r="H3071" t="s">
        <v>15</v>
      </c>
      <c r="I3071" t="s">
        <v>36</v>
      </c>
      <c r="J3071" s="1">
        <v>45638</v>
      </c>
      <c r="K3071" t="b">
        <v>1</v>
      </c>
    </row>
    <row r="3072" spans="1:11" x14ac:dyDescent="0.25">
      <c r="A3072" t="s">
        <v>682</v>
      </c>
      <c r="B3072" t="s">
        <v>51</v>
      </c>
      <c r="C3072" t="s">
        <v>19</v>
      </c>
      <c r="D3072" t="s">
        <v>366</v>
      </c>
      <c r="E3072" s="2">
        <v>17</v>
      </c>
      <c r="F3072" s="4">
        <v>8</v>
      </c>
      <c r="G3072" s="2">
        <v>136</v>
      </c>
      <c r="H3072" t="s">
        <v>45</v>
      </c>
      <c r="I3072" t="s">
        <v>16</v>
      </c>
      <c r="J3072" s="1">
        <v>45165</v>
      </c>
      <c r="K3072" t="b">
        <v>1</v>
      </c>
    </row>
    <row r="3073" spans="1:11" x14ac:dyDescent="0.25">
      <c r="A3073" t="s">
        <v>2492</v>
      </c>
      <c r="B3073" t="s">
        <v>12</v>
      </c>
      <c r="C3073" t="s">
        <v>31</v>
      </c>
      <c r="D3073" t="s">
        <v>195</v>
      </c>
      <c r="E3073" s="2">
        <v>17</v>
      </c>
      <c r="F3073" s="4">
        <v>8</v>
      </c>
      <c r="G3073" s="2">
        <v>136</v>
      </c>
      <c r="H3073" t="s">
        <v>45</v>
      </c>
      <c r="I3073" t="s">
        <v>16</v>
      </c>
      <c r="J3073" s="1">
        <v>45347</v>
      </c>
      <c r="K3073" t="b">
        <v>0</v>
      </c>
    </row>
    <row r="3074" spans="1:11" x14ac:dyDescent="0.25">
      <c r="A3074" t="s">
        <v>3512</v>
      </c>
      <c r="B3074" t="s">
        <v>100</v>
      </c>
      <c r="C3074" t="s">
        <v>27</v>
      </c>
      <c r="D3074" t="s">
        <v>209</v>
      </c>
      <c r="E3074" s="2">
        <v>33.5</v>
      </c>
      <c r="F3074" s="4">
        <v>4</v>
      </c>
      <c r="G3074" s="2">
        <v>134</v>
      </c>
      <c r="H3074" t="s">
        <v>25</v>
      </c>
      <c r="I3074" t="s">
        <v>16</v>
      </c>
      <c r="J3074" s="1">
        <v>45068</v>
      </c>
      <c r="K3074" t="b">
        <v>1</v>
      </c>
    </row>
    <row r="3075" spans="1:11" x14ac:dyDescent="0.25">
      <c r="A3075" t="s">
        <v>4056</v>
      </c>
      <c r="B3075" t="s">
        <v>86</v>
      </c>
      <c r="C3075" t="s">
        <v>110</v>
      </c>
      <c r="D3075" t="s">
        <v>154</v>
      </c>
      <c r="E3075" s="2">
        <v>33.5</v>
      </c>
      <c r="F3075" s="4">
        <v>4</v>
      </c>
      <c r="G3075" s="2">
        <v>134</v>
      </c>
      <c r="H3075" t="s">
        <v>25</v>
      </c>
      <c r="I3075" t="s">
        <v>16</v>
      </c>
      <c r="J3075" s="1">
        <v>45317</v>
      </c>
      <c r="K3075" t="b">
        <v>0</v>
      </c>
    </row>
    <row r="3076" spans="1:11" x14ac:dyDescent="0.25">
      <c r="A3076" t="s">
        <v>1557</v>
      </c>
      <c r="B3076" t="s">
        <v>69</v>
      </c>
      <c r="C3076" t="s">
        <v>27</v>
      </c>
      <c r="D3076" t="s">
        <v>209</v>
      </c>
      <c r="E3076" s="2">
        <v>33.5</v>
      </c>
      <c r="F3076" s="4">
        <v>4</v>
      </c>
      <c r="G3076" s="2">
        <v>134</v>
      </c>
      <c r="H3076" t="s">
        <v>15</v>
      </c>
      <c r="I3076" t="s">
        <v>36</v>
      </c>
      <c r="J3076" s="1">
        <v>45530</v>
      </c>
      <c r="K3076" t="b">
        <v>1</v>
      </c>
    </row>
    <row r="3077" spans="1:11" x14ac:dyDescent="0.25">
      <c r="A3077" t="s">
        <v>2542</v>
      </c>
      <c r="B3077" t="s">
        <v>56</v>
      </c>
      <c r="C3077" t="s">
        <v>19</v>
      </c>
      <c r="D3077" t="s">
        <v>626</v>
      </c>
      <c r="E3077" s="2">
        <v>33.5</v>
      </c>
      <c r="F3077" s="4">
        <v>4</v>
      </c>
      <c r="G3077" s="2">
        <v>134</v>
      </c>
      <c r="H3077" t="s">
        <v>25</v>
      </c>
      <c r="I3077" t="s">
        <v>16</v>
      </c>
      <c r="J3077" s="1">
        <v>44776</v>
      </c>
      <c r="K3077" t="b">
        <v>0</v>
      </c>
    </row>
    <row r="3078" spans="1:11" x14ac:dyDescent="0.25">
      <c r="A3078" t="s">
        <v>1124</v>
      </c>
      <c r="B3078" t="s">
        <v>12</v>
      </c>
      <c r="C3078" t="s">
        <v>23</v>
      </c>
      <c r="D3078" t="s">
        <v>73</v>
      </c>
      <c r="E3078" s="2">
        <v>33.5</v>
      </c>
      <c r="F3078" s="4">
        <v>4</v>
      </c>
      <c r="G3078" s="2">
        <v>134</v>
      </c>
      <c r="H3078" t="s">
        <v>45</v>
      </c>
      <c r="I3078" t="s">
        <v>16</v>
      </c>
      <c r="J3078" s="1">
        <v>45519</v>
      </c>
      <c r="K3078" t="b">
        <v>1</v>
      </c>
    </row>
    <row r="3079" spans="1:11" x14ac:dyDescent="0.25">
      <c r="A3079" t="s">
        <v>4267</v>
      </c>
      <c r="B3079" t="s">
        <v>104</v>
      </c>
      <c r="C3079" t="s">
        <v>59</v>
      </c>
      <c r="D3079" t="s">
        <v>270</v>
      </c>
      <c r="E3079" s="2">
        <v>33.5</v>
      </c>
      <c r="F3079" s="4">
        <v>4</v>
      </c>
      <c r="G3079" s="2">
        <v>134</v>
      </c>
      <c r="H3079" t="s">
        <v>15</v>
      </c>
      <c r="I3079" t="s">
        <v>16</v>
      </c>
      <c r="J3079" s="1">
        <v>44800</v>
      </c>
      <c r="K3079" t="b">
        <v>1</v>
      </c>
    </row>
    <row r="3080" spans="1:11" x14ac:dyDescent="0.25">
      <c r="A3080" t="s">
        <v>489</v>
      </c>
      <c r="B3080" t="s">
        <v>63</v>
      </c>
      <c r="C3080" t="s">
        <v>13</v>
      </c>
      <c r="D3080" t="s">
        <v>375</v>
      </c>
      <c r="E3080" s="2">
        <v>33.5</v>
      </c>
      <c r="F3080" s="4">
        <v>4</v>
      </c>
      <c r="G3080" s="2">
        <v>134</v>
      </c>
      <c r="H3080" t="s">
        <v>45</v>
      </c>
      <c r="I3080" t="s">
        <v>16</v>
      </c>
      <c r="J3080" s="1">
        <v>45017</v>
      </c>
      <c r="K3080" t="b">
        <v>0</v>
      </c>
    </row>
    <row r="3081" spans="1:11" x14ac:dyDescent="0.25">
      <c r="A3081" t="s">
        <v>5842</v>
      </c>
      <c r="B3081" t="s">
        <v>100</v>
      </c>
      <c r="C3081" t="s">
        <v>59</v>
      </c>
      <c r="D3081" t="s">
        <v>270</v>
      </c>
      <c r="E3081" s="2">
        <v>33.5</v>
      </c>
      <c r="F3081" s="4">
        <v>4</v>
      </c>
      <c r="G3081" s="2">
        <v>134</v>
      </c>
      <c r="H3081" t="s">
        <v>15</v>
      </c>
      <c r="I3081" t="s">
        <v>16</v>
      </c>
      <c r="J3081" s="1">
        <v>44743</v>
      </c>
      <c r="K3081" t="b">
        <v>1</v>
      </c>
    </row>
    <row r="3082" spans="1:11" x14ac:dyDescent="0.25">
      <c r="A3082" t="s">
        <v>4333</v>
      </c>
      <c r="B3082" t="s">
        <v>37</v>
      </c>
      <c r="C3082" t="s">
        <v>13</v>
      </c>
      <c r="D3082" t="s">
        <v>375</v>
      </c>
      <c r="E3082" s="2">
        <v>33.5</v>
      </c>
      <c r="F3082" s="4">
        <v>4</v>
      </c>
      <c r="G3082" s="2">
        <v>134</v>
      </c>
      <c r="H3082" t="s">
        <v>45</v>
      </c>
      <c r="I3082" t="s">
        <v>16</v>
      </c>
      <c r="J3082" s="1">
        <v>45518</v>
      </c>
      <c r="K3082" t="b">
        <v>1</v>
      </c>
    </row>
    <row r="3083" spans="1:11" x14ac:dyDescent="0.25">
      <c r="A3083" t="s">
        <v>7467</v>
      </c>
      <c r="B3083" t="s">
        <v>77</v>
      </c>
      <c r="C3083" t="s">
        <v>38</v>
      </c>
      <c r="D3083" t="s">
        <v>434</v>
      </c>
      <c r="E3083" s="2">
        <v>33.5</v>
      </c>
      <c r="F3083" s="4">
        <v>4</v>
      </c>
      <c r="G3083" s="2">
        <v>134</v>
      </c>
      <c r="H3083" t="s">
        <v>45</v>
      </c>
      <c r="I3083" t="s">
        <v>16</v>
      </c>
      <c r="J3083" s="1">
        <v>45601</v>
      </c>
      <c r="K3083" t="b">
        <v>0</v>
      </c>
    </row>
    <row r="3084" spans="1:11" x14ac:dyDescent="0.25">
      <c r="A3084" t="s">
        <v>5892</v>
      </c>
      <c r="B3084" t="s">
        <v>104</v>
      </c>
      <c r="C3084" t="s">
        <v>31</v>
      </c>
      <c r="D3084" t="s">
        <v>155</v>
      </c>
      <c r="E3084" s="2">
        <v>33.5</v>
      </c>
      <c r="F3084" s="4">
        <v>4</v>
      </c>
      <c r="G3084" s="2">
        <v>134</v>
      </c>
      <c r="H3084" t="s">
        <v>25</v>
      </c>
      <c r="I3084" t="s">
        <v>16</v>
      </c>
      <c r="J3084" s="1">
        <v>45584</v>
      </c>
      <c r="K3084" t="b">
        <v>0</v>
      </c>
    </row>
    <row r="3085" spans="1:11" x14ac:dyDescent="0.25">
      <c r="A3085" t="s">
        <v>2539</v>
      </c>
      <c r="B3085" t="s">
        <v>69</v>
      </c>
      <c r="C3085" t="s">
        <v>31</v>
      </c>
      <c r="D3085" t="s">
        <v>155</v>
      </c>
      <c r="E3085" s="2">
        <v>33.5</v>
      </c>
      <c r="F3085" s="4">
        <v>4</v>
      </c>
      <c r="G3085" s="2">
        <v>134</v>
      </c>
      <c r="H3085" t="s">
        <v>45</v>
      </c>
      <c r="I3085" t="s">
        <v>36</v>
      </c>
      <c r="J3085" s="1">
        <v>45484</v>
      </c>
      <c r="K3085" t="b">
        <v>1</v>
      </c>
    </row>
    <row r="3086" spans="1:11" x14ac:dyDescent="0.25">
      <c r="A3086" t="s">
        <v>7789</v>
      </c>
      <c r="B3086" t="s">
        <v>97</v>
      </c>
      <c r="C3086" t="s">
        <v>13</v>
      </c>
      <c r="D3086" t="s">
        <v>375</v>
      </c>
      <c r="E3086" s="2">
        <v>33.5</v>
      </c>
      <c r="F3086" s="4">
        <v>4</v>
      </c>
      <c r="G3086" s="2">
        <v>134</v>
      </c>
      <c r="H3086" t="s">
        <v>25</v>
      </c>
      <c r="I3086" t="s">
        <v>16</v>
      </c>
      <c r="J3086" s="1">
        <v>44848</v>
      </c>
      <c r="K3086" t="b">
        <v>1</v>
      </c>
    </row>
    <row r="3087" spans="1:11" x14ac:dyDescent="0.25">
      <c r="A3087" t="s">
        <v>4248</v>
      </c>
      <c r="B3087" t="s">
        <v>85</v>
      </c>
      <c r="C3087" t="s">
        <v>27</v>
      </c>
      <c r="D3087" t="s">
        <v>209</v>
      </c>
      <c r="E3087" s="2">
        <v>33.5</v>
      </c>
      <c r="F3087" s="4">
        <v>4</v>
      </c>
      <c r="G3087" s="2">
        <v>134</v>
      </c>
      <c r="H3087" t="s">
        <v>45</v>
      </c>
      <c r="I3087" t="s">
        <v>16</v>
      </c>
      <c r="J3087" s="1">
        <v>45326</v>
      </c>
      <c r="K3087" t="b">
        <v>0</v>
      </c>
    </row>
    <row r="3088" spans="1:11" x14ac:dyDescent="0.25">
      <c r="A3088" t="s">
        <v>1902</v>
      </c>
      <c r="B3088" t="s">
        <v>97</v>
      </c>
      <c r="C3088" t="s">
        <v>23</v>
      </c>
      <c r="D3088" t="s">
        <v>73</v>
      </c>
      <c r="E3088" s="2">
        <v>33.5</v>
      </c>
      <c r="F3088" s="4">
        <v>4</v>
      </c>
      <c r="G3088" s="2">
        <v>134</v>
      </c>
      <c r="H3088" t="s">
        <v>25</v>
      </c>
      <c r="I3088" t="s">
        <v>16</v>
      </c>
      <c r="J3088" s="1">
        <v>44768</v>
      </c>
      <c r="K3088" t="b">
        <v>1</v>
      </c>
    </row>
    <row r="3089" spans="1:11" x14ac:dyDescent="0.25">
      <c r="A3089" t="s">
        <v>4501</v>
      </c>
      <c r="B3089" t="s">
        <v>100</v>
      </c>
      <c r="C3089" t="s">
        <v>110</v>
      </c>
      <c r="D3089" t="s">
        <v>154</v>
      </c>
      <c r="E3089" s="2">
        <v>33.5</v>
      </c>
      <c r="F3089" s="4">
        <v>4</v>
      </c>
      <c r="G3089" s="2">
        <v>134</v>
      </c>
      <c r="H3089" t="s">
        <v>45</v>
      </c>
      <c r="I3089" t="s">
        <v>16</v>
      </c>
      <c r="J3089" s="1">
        <v>44748</v>
      </c>
      <c r="K3089" t="b">
        <v>1</v>
      </c>
    </row>
    <row r="3090" spans="1:11" x14ac:dyDescent="0.25">
      <c r="A3090" t="s">
        <v>1292</v>
      </c>
      <c r="B3090" t="s">
        <v>26</v>
      </c>
      <c r="C3090" t="s">
        <v>38</v>
      </c>
      <c r="D3090" t="s">
        <v>434</v>
      </c>
      <c r="E3090" s="2">
        <v>33.5</v>
      </c>
      <c r="F3090" s="4">
        <v>4</v>
      </c>
      <c r="G3090" s="2">
        <v>134</v>
      </c>
      <c r="H3090" t="s">
        <v>15</v>
      </c>
      <c r="I3090" t="s">
        <v>36</v>
      </c>
      <c r="J3090" s="1">
        <v>44764</v>
      </c>
      <c r="K3090" t="b">
        <v>0</v>
      </c>
    </row>
    <row r="3091" spans="1:11" x14ac:dyDescent="0.25">
      <c r="A3091" t="s">
        <v>5327</v>
      </c>
      <c r="B3091" t="s">
        <v>51</v>
      </c>
      <c r="C3091" t="s">
        <v>59</v>
      </c>
      <c r="D3091" t="s">
        <v>270</v>
      </c>
      <c r="E3091" s="2">
        <v>33.5</v>
      </c>
      <c r="F3091" s="4">
        <v>4</v>
      </c>
      <c r="G3091" s="2">
        <v>134</v>
      </c>
      <c r="H3091" t="s">
        <v>25</v>
      </c>
      <c r="I3091" t="s">
        <v>36</v>
      </c>
      <c r="J3091" s="1">
        <v>44823</v>
      </c>
      <c r="K3091" t="b">
        <v>0</v>
      </c>
    </row>
    <row r="3092" spans="1:11" x14ac:dyDescent="0.25">
      <c r="A3092" t="s">
        <v>273</v>
      </c>
      <c r="B3092" t="s">
        <v>69</v>
      </c>
      <c r="C3092" t="s">
        <v>110</v>
      </c>
      <c r="D3092" t="s">
        <v>154</v>
      </c>
      <c r="E3092" s="2">
        <v>33.5</v>
      </c>
      <c r="F3092" s="4">
        <v>4</v>
      </c>
      <c r="G3092" s="2">
        <v>134</v>
      </c>
      <c r="H3092" t="s">
        <v>15</v>
      </c>
      <c r="I3092" t="s">
        <v>16</v>
      </c>
      <c r="J3092" s="1">
        <v>45080</v>
      </c>
      <c r="K3092" t="b">
        <v>0</v>
      </c>
    </row>
    <row r="3093" spans="1:11" x14ac:dyDescent="0.25">
      <c r="A3093" t="s">
        <v>851</v>
      </c>
      <c r="B3093" t="s">
        <v>69</v>
      </c>
      <c r="C3093" t="s">
        <v>110</v>
      </c>
      <c r="D3093" t="s">
        <v>154</v>
      </c>
      <c r="E3093" s="2">
        <v>33.5</v>
      </c>
      <c r="F3093" s="4">
        <v>4</v>
      </c>
      <c r="G3093" s="2">
        <v>134</v>
      </c>
      <c r="H3093" t="s">
        <v>45</v>
      </c>
      <c r="I3093" t="s">
        <v>36</v>
      </c>
      <c r="J3093" s="1">
        <v>45517</v>
      </c>
      <c r="K3093" t="b">
        <v>0</v>
      </c>
    </row>
    <row r="3094" spans="1:11" x14ac:dyDescent="0.25">
      <c r="A3094" t="s">
        <v>2960</v>
      </c>
      <c r="B3094" t="s">
        <v>12</v>
      </c>
      <c r="C3094" t="s">
        <v>110</v>
      </c>
      <c r="D3094" t="s">
        <v>154</v>
      </c>
      <c r="E3094" s="2">
        <v>33.5</v>
      </c>
      <c r="F3094" s="4">
        <v>4</v>
      </c>
      <c r="G3094" s="2">
        <v>134</v>
      </c>
      <c r="H3094" t="s">
        <v>25</v>
      </c>
      <c r="I3094" t="s">
        <v>16</v>
      </c>
      <c r="J3094" s="1">
        <v>45189</v>
      </c>
      <c r="K3094" t="b">
        <v>1</v>
      </c>
    </row>
    <row r="3095" spans="1:11" x14ac:dyDescent="0.25">
      <c r="A3095" t="s">
        <v>5070</v>
      </c>
      <c r="B3095" t="s">
        <v>86</v>
      </c>
      <c r="C3095" t="s">
        <v>31</v>
      </c>
      <c r="D3095" t="s">
        <v>155</v>
      </c>
      <c r="E3095" s="2">
        <v>33.5</v>
      </c>
      <c r="F3095" s="4">
        <v>4</v>
      </c>
      <c r="G3095" s="2">
        <v>134</v>
      </c>
      <c r="H3095" t="s">
        <v>25</v>
      </c>
      <c r="I3095" t="s">
        <v>16</v>
      </c>
      <c r="J3095" s="1">
        <v>45414</v>
      </c>
      <c r="K3095" t="b">
        <v>1</v>
      </c>
    </row>
    <row r="3096" spans="1:11" x14ac:dyDescent="0.25">
      <c r="A3096" t="s">
        <v>3894</v>
      </c>
      <c r="B3096" t="s">
        <v>40</v>
      </c>
      <c r="C3096" t="s">
        <v>27</v>
      </c>
      <c r="D3096" t="s">
        <v>209</v>
      </c>
      <c r="E3096" s="2">
        <v>33.5</v>
      </c>
      <c r="F3096" s="4">
        <v>4</v>
      </c>
      <c r="G3096" s="2">
        <v>134</v>
      </c>
      <c r="H3096" t="s">
        <v>15</v>
      </c>
      <c r="I3096" t="s">
        <v>16</v>
      </c>
      <c r="J3096" s="1">
        <v>45570</v>
      </c>
      <c r="K3096" t="b">
        <v>1</v>
      </c>
    </row>
    <row r="3097" spans="1:11" x14ac:dyDescent="0.25">
      <c r="A3097" t="s">
        <v>4762</v>
      </c>
      <c r="B3097" t="s">
        <v>26</v>
      </c>
      <c r="C3097" t="s">
        <v>59</v>
      </c>
      <c r="D3097" t="s">
        <v>270</v>
      </c>
      <c r="E3097" s="2">
        <v>33.5</v>
      </c>
      <c r="F3097" s="4">
        <v>4</v>
      </c>
      <c r="G3097" s="2">
        <v>134</v>
      </c>
      <c r="H3097" t="s">
        <v>45</v>
      </c>
      <c r="I3097" t="s">
        <v>16</v>
      </c>
      <c r="J3097" s="1">
        <v>44711</v>
      </c>
      <c r="K3097" t="b">
        <v>1</v>
      </c>
    </row>
    <row r="3098" spans="1:11" x14ac:dyDescent="0.25">
      <c r="A3098" t="s">
        <v>5057</v>
      </c>
      <c r="B3098" t="s">
        <v>142</v>
      </c>
      <c r="C3098" t="s">
        <v>110</v>
      </c>
      <c r="D3098" t="s">
        <v>154</v>
      </c>
      <c r="E3098" s="2">
        <v>33.5</v>
      </c>
      <c r="F3098" s="4">
        <v>4</v>
      </c>
      <c r="G3098" s="2">
        <v>134</v>
      </c>
      <c r="H3098" t="s">
        <v>15</v>
      </c>
      <c r="I3098" t="s">
        <v>16</v>
      </c>
      <c r="J3098" s="1">
        <v>44925</v>
      </c>
      <c r="K3098" t="b">
        <v>1</v>
      </c>
    </row>
    <row r="3099" spans="1:11" x14ac:dyDescent="0.25">
      <c r="A3099" t="s">
        <v>6979</v>
      </c>
      <c r="B3099" t="s">
        <v>40</v>
      </c>
      <c r="C3099" t="s">
        <v>23</v>
      </c>
      <c r="D3099" t="s">
        <v>73</v>
      </c>
      <c r="E3099" s="2">
        <v>33.5</v>
      </c>
      <c r="F3099" s="4">
        <v>4</v>
      </c>
      <c r="G3099" s="2">
        <v>134</v>
      </c>
      <c r="H3099" t="s">
        <v>45</v>
      </c>
      <c r="I3099" t="s">
        <v>36</v>
      </c>
      <c r="J3099" s="1">
        <v>45092</v>
      </c>
      <c r="K3099" t="b">
        <v>0</v>
      </c>
    </row>
    <row r="3100" spans="1:11" x14ac:dyDescent="0.25">
      <c r="A3100" t="s">
        <v>4083</v>
      </c>
      <c r="B3100" t="s">
        <v>93</v>
      </c>
      <c r="C3100" t="s">
        <v>27</v>
      </c>
      <c r="D3100" t="s">
        <v>209</v>
      </c>
      <c r="E3100" s="2">
        <v>33.5</v>
      </c>
      <c r="F3100" s="4">
        <v>4</v>
      </c>
      <c r="G3100" s="2">
        <v>134</v>
      </c>
      <c r="H3100" t="s">
        <v>15</v>
      </c>
      <c r="I3100" t="s">
        <v>16</v>
      </c>
      <c r="J3100" s="1">
        <v>45067</v>
      </c>
      <c r="K3100" t="b">
        <v>0</v>
      </c>
    </row>
    <row r="3101" spans="1:11" x14ac:dyDescent="0.25">
      <c r="A3101" t="s">
        <v>3650</v>
      </c>
      <c r="B3101" t="s">
        <v>61</v>
      </c>
      <c r="C3101" t="s">
        <v>23</v>
      </c>
      <c r="D3101" t="s">
        <v>73</v>
      </c>
      <c r="E3101" s="2">
        <v>33.5</v>
      </c>
      <c r="F3101" s="4">
        <v>4</v>
      </c>
      <c r="G3101" s="2">
        <v>134</v>
      </c>
      <c r="H3101" t="s">
        <v>25</v>
      </c>
      <c r="I3101" t="s">
        <v>36</v>
      </c>
      <c r="J3101" s="1">
        <v>45609</v>
      </c>
      <c r="K3101" t="b">
        <v>1</v>
      </c>
    </row>
    <row r="3102" spans="1:11" x14ac:dyDescent="0.25">
      <c r="A3102" t="s">
        <v>2950</v>
      </c>
      <c r="B3102" t="s">
        <v>40</v>
      </c>
      <c r="C3102" t="s">
        <v>110</v>
      </c>
      <c r="D3102" t="s">
        <v>154</v>
      </c>
      <c r="E3102" s="2">
        <v>33.5</v>
      </c>
      <c r="F3102" s="4">
        <v>4</v>
      </c>
      <c r="G3102" s="2">
        <v>134</v>
      </c>
      <c r="H3102" t="s">
        <v>15</v>
      </c>
      <c r="I3102" t="s">
        <v>36</v>
      </c>
      <c r="J3102" s="1">
        <v>45097</v>
      </c>
      <c r="K3102" t="b">
        <v>1</v>
      </c>
    </row>
    <row r="3103" spans="1:11" x14ac:dyDescent="0.25">
      <c r="A3103" t="s">
        <v>4959</v>
      </c>
      <c r="B3103" t="s">
        <v>142</v>
      </c>
      <c r="C3103" t="s">
        <v>38</v>
      </c>
      <c r="D3103" t="s">
        <v>434</v>
      </c>
      <c r="E3103" s="2">
        <v>33.5</v>
      </c>
      <c r="F3103" s="4">
        <v>4</v>
      </c>
      <c r="G3103" s="2">
        <v>134</v>
      </c>
      <c r="H3103" t="s">
        <v>15</v>
      </c>
      <c r="I3103" t="s">
        <v>16</v>
      </c>
      <c r="J3103" s="1">
        <v>45578</v>
      </c>
      <c r="K3103" t="b">
        <v>0</v>
      </c>
    </row>
    <row r="3104" spans="1:11" x14ac:dyDescent="0.25">
      <c r="A3104" t="s">
        <v>3121</v>
      </c>
      <c r="B3104" t="s">
        <v>61</v>
      </c>
      <c r="C3104" t="s">
        <v>38</v>
      </c>
      <c r="D3104" t="s">
        <v>434</v>
      </c>
      <c r="E3104" s="2">
        <v>33.5</v>
      </c>
      <c r="F3104" s="4">
        <v>4</v>
      </c>
      <c r="G3104" s="2">
        <v>134</v>
      </c>
      <c r="H3104" t="s">
        <v>15</v>
      </c>
      <c r="I3104" t="s">
        <v>36</v>
      </c>
      <c r="J3104" s="1">
        <v>44973</v>
      </c>
      <c r="K3104" t="b">
        <v>0</v>
      </c>
    </row>
    <row r="3105" spans="1:11" x14ac:dyDescent="0.25">
      <c r="A3105" t="s">
        <v>7437</v>
      </c>
      <c r="B3105" t="s">
        <v>51</v>
      </c>
      <c r="C3105" t="s">
        <v>59</v>
      </c>
      <c r="D3105" t="s">
        <v>270</v>
      </c>
      <c r="E3105" s="2">
        <v>33.5</v>
      </c>
      <c r="F3105" s="4">
        <v>4</v>
      </c>
      <c r="G3105" s="2">
        <v>134</v>
      </c>
      <c r="H3105" t="s">
        <v>25</v>
      </c>
      <c r="I3105" t="s">
        <v>36</v>
      </c>
      <c r="J3105" s="1">
        <v>44949</v>
      </c>
      <c r="K3105" t="b">
        <v>0</v>
      </c>
    </row>
    <row r="3106" spans="1:11" x14ac:dyDescent="0.25">
      <c r="A3106" t="s">
        <v>4162</v>
      </c>
      <c r="B3106" t="s">
        <v>72</v>
      </c>
      <c r="C3106" t="s">
        <v>38</v>
      </c>
      <c r="D3106" t="s">
        <v>434</v>
      </c>
      <c r="E3106" s="2">
        <v>33.5</v>
      </c>
      <c r="F3106" s="4">
        <v>4</v>
      </c>
      <c r="G3106" s="2">
        <v>134</v>
      </c>
      <c r="H3106" t="s">
        <v>45</v>
      </c>
      <c r="I3106" t="s">
        <v>36</v>
      </c>
      <c r="J3106" s="1">
        <v>44572</v>
      </c>
      <c r="K3106" t="b">
        <v>0</v>
      </c>
    </row>
    <row r="3107" spans="1:11" x14ac:dyDescent="0.25">
      <c r="A3107" t="s">
        <v>768</v>
      </c>
      <c r="B3107" t="s">
        <v>30</v>
      </c>
      <c r="C3107" t="s">
        <v>23</v>
      </c>
      <c r="D3107" t="s">
        <v>73</v>
      </c>
      <c r="E3107" s="2">
        <v>33.5</v>
      </c>
      <c r="F3107" s="4">
        <v>4</v>
      </c>
      <c r="G3107" s="2">
        <v>134</v>
      </c>
      <c r="H3107" t="s">
        <v>45</v>
      </c>
      <c r="I3107" t="s">
        <v>36</v>
      </c>
      <c r="J3107" s="1">
        <v>44880</v>
      </c>
      <c r="K3107" t="b">
        <v>0</v>
      </c>
    </row>
    <row r="3108" spans="1:11" x14ac:dyDescent="0.25">
      <c r="A3108" t="s">
        <v>778</v>
      </c>
      <c r="B3108" t="s">
        <v>51</v>
      </c>
      <c r="C3108" t="s">
        <v>23</v>
      </c>
      <c r="D3108" t="s">
        <v>73</v>
      </c>
      <c r="E3108" s="2">
        <v>33.5</v>
      </c>
      <c r="F3108" s="4">
        <v>4</v>
      </c>
      <c r="G3108" s="2">
        <v>134</v>
      </c>
      <c r="H3108" t="s">
        <v>45</v>
      </c>
      <c r="I3108" t="s">
        <v>16</v>
      </c>
      <c r="J3108" s="1">
        <v>45560</v>
      </c>
      <c r="K3108" t="b">
        <v>0</v>
      </c>
    </row>
    <row r="3109" spans="1:11" x14ac:dyDescent="0.25">
      <c r="A3109" t="s">
        <v>7301</v>
      </c>
      <c r="B3109" t="s">
        <v>58</v>
      </c>
      <c r="C3109" t="s">
        <v>38</v>
      </c>
      <c r="D3109" t="s">
        <v>434</v>
      </c>
      <c r="E3109" s="2">
        <v>33.5</v>
      </c>
      <c r="F3109" s="4">
        <v>4</v>
      </c>
      <c r="G3109" s="2">
        <v>134</v>
      </c>
      <c r="H3109" t="s">
        <v>15</v>
      </c>
      <c r="I3109" t="s">
        <v>36</v>
      </c>
      <c r="J3109" s="1">
        <v>45493</v>
      </c>
      <c r="K3109" t="b">
        <v>0</v>
      </c>
    </row>
    <row r="3110" spans="1:11" x14ac:dyDescent="0.25">
      <c r="A3110" t="s">
        <v>2197</v>
      </c>
      <c r="B3110" t="s">
        <v>93</v>
      </c>
      <c r="C3110" t="s">
        <v>13</v>
      </c>
      <c r="D3110" t="s">
        <v>375</v>
      </c>
      <c r="E3110" s="2">
        <v>33.5</v>
      </c>
      <c r="F3110" s="4">
        <v>4</v>
      </c>
      <c r="G3110" s="2">
        <v>134</v>
      </c>
      <c r="H3110" t="s">
        <v>25</v>
      </c>
      <c r="I3110" t="s">
        <v>36</v>
      </c>
      <c r="J3110" s="1">
        <v>45061</v>
      </c>
      <c r="K3110" t="b">
        <v>0</v>
      </c>
    </row>
    <row r="3111" spans="1:11" x14ac:dyDescent="0.25">
      <c r="A3111" t="s">
        <v>71</v>
      </c>
      <c r="B3111" t="s">
        <v>72</v>
      </c>
      <c r="C3111" t="s">
        <v>23</v>
      </c>
      <c r="D3111" t="s">
        <v>73</v>
      </c>
      <c r="E3111" s="2">
        <v>33.5</v>
      </c>
      <c r="F3111" s="4">
        <v>4</v>
      </c>
      <c r="G3111" s="2">
        <v>134</v>
      </c>
      <c r="H3111" t="s">
        <v>25</v>
      </c>
      <c r="I3111" t="s">
        <v>36</v>
      </c>
      <c r="J3111" s="1">
        <v>44636</v>
      </c>
      <c r="K3111" t="b">
        <v>1</v>
      </c>
    </row>
    <row r="3112" spans="1:11" x14ac:dyDescent="0.25">
      <c r="A3112" t="s">
        <v>6560</v>
      </c>
      <c r="B3112" t="s">
        <v>61</v>
      </c>
      <c r="C3112" t="s">
        <v>31</v>
      </c>
      <c r="D3112" t="s">
        <v>155</v>
      </c>
      <c r="E3112" s="2">
        <v>33.5</v>
      </c>
      <c r="F3112" s="4">
        <v>4</v>
      </c>
      <c r="G3112" s="2">
        <v>134</v>
      </c>
      <c r="H3112" t="s">
        <v>45</v>
      </c>
      <c r="I3112" t="s">
        <v>16</v>
      </c>
      <c r="J3112" s="1">
        <v>44607</v>
      </c>
      <c r="K3112" t="b">
        <v>1</v>
      </c>
    </row>
    <row r="3113" spans="1:11" x14ac:dyDescent="0.25">
      <c r="A3113" t="s">
        <v>4127</v>
      </c>
      <c r="B3113" t="s">
        <v>58</v>
      </c>
      <c r="C3113" t="s">
        <v>110</v>
      </c>
      <c r="D3113" t="s">
        <v>126</v>
      </c>
      <c r="E3113" s="2">
        <v>26</v>
      </c>
      <c r="F3113" s="4">
        <v>5</v>
      </c>
      <c r="G3113" s="2">
        <v>130</v>
      </c>
      <c r="H3113" t="s">
        <v>45</v>
      </c>
      <c r="I3113" t="s">
        <v>16</v>
      </c>
      <c r="J3113" s="1">
        <v>45044</v>
      </c>
      <c r="K3113" t="b">
        <v>1</v>
      </c>
    </row>
    <row r="3114" spans="1:11" x14ac:dyDescent="0.25">
      <c r="A3114" t="s">
        <v>7471</v>
      </c>
      <c r="B3114" t="s">
        <v>30</v>
      </c>
      <c r="C3114" t="s">
        <v>13</v>
      </c>
      <c r="D3114" t="s">
        <v>343</v>
      </c>
      <c r="E3114" s="2">
        <v>26</v>
      </c>
      <c r="F3114" s="4">
        <v>5</v>
      </c>
      <c r="G3114" s="2">
        <v>130</v>
      </c>
      <c r="H3114" t="s">
        <v>25</v>
      </c>
      <c r="I3114" t="s">
        <v>36</v>
      </c>
      <c r="J3114" s="1">
        <v>45654</v>
      </c>
      <c r="K3114" t="b">
        <v>1</v>
      </c>
    </row>
    <row r="3115" spans="1:11" x14ac:dyDescent="0.25">
      <c r="A3115" t="s">
        <v>3060</v>
      </c>
      <c r="B3115" t="s">
        <v>30</v>
      </c>
      <c r="C3115" t="s">
        <v>110</v>
      </c>
      <c r="D3115" t="s">
        <v>126</v>
      </c>
      <c r="E3115" s="2">
        <v>26</v>
      </c>
      <c r="F3115" s="4">
        <v>5</v>
      </c>
      <c r="G3115" s="2">
        <v>130</v>
      </c>
      <c r="H3115" t="s">
        <v>15</v>
      </c>
      <c r="I3115" t="s">
        <v>36</v>
      </c>
      <c r="J3115" s="1">
        <v>45554</v>
      </c>
      <c r="K3115" t="b">
        <v>1</v>
      </c>
    </row>
    <row r="3116" spans="1:11" x14ac:dyDescent="0.25">
      <c r="A3116" t="s">
        <v>6564</v>
      </c>
      <c r="B3116" t="s">
        <v>43</v>
      </c>
      <c r="C3116" t="s">
        <v>13</v>
      </c>
      <c r="D3116" t="s">
        <v>343</v>
      </c>
      <c r="E3116" s="2">
        <v>26</v>
      </c>
      <c r="F3116" s="4">
        <v>5</v>
      </c>
      <c r="G3116" s="2">
        <v>130</v>
      </c>
      <c r="H3116" t="s">
        <v>15</v>
      </c>
      <c r="I3116" t="s">
        <v>16</v>
      </c>
      <c r="J3116" s="1">
        <v>45366</v>
      </c>
      <c r="K3116" t="b">
        <v>0</v>
      </c>
    </row>
    <row r="3117" spans="1:11" x14ac:dyDescent="0.25">
      <c r="A3117" t="s">
        <v>3204</v>
      </c>
      <c r="B3117" t="s">
        <v>40</v>
      </c>
      <c r="C3117" t="s">
        <v>13</v>
      </c>
      <c r="D3117" t="s">
        <v>343</v>
      </c>
      <c r="E3117" s="2">
        <v>26</v>
      </c>
      <c r="F3117" s="4">
        <v>5</v>
      </c>
      <c r="G3117" s="2">
        <v>130</v>
      </c>
      <c r="H3117" t="s">
        <v>25</v>
      </c>
      <c r="I3117" t="s">
        <v>16</v>
      </c>
      <c r="J3117" s="1">
        <v>45356</v>
      </c>
      <c r="K3117" t="b">
        <v>1</v>
      </c>
    </row>
    <row r="3118" spans="1:11" x14ac:dyDescent="0.25">
      <c r="A3118" t="s">
        <v>6543</v>
      </c>
      <c r="B3118" t="s">
        <v>22</v>
      </c>
      <c r="C3118" t="s">
        <v>13</v>
      </c>
      <c r="D3118" t="s">
        <v>343</v>
      </c>
      <c r="E3118" s="2">
        <v>26</v>
      </c>
      <c r="F3118" s="4">
        <v>5</v>
      </c>
      <c r="G3118" s="2">
        <v>130</v>
      </c>
      <c r="H3118" t="s">
        <v>15</v>
      </c>
      <c r="I3118" t="s">
        <v>16</v>
      </c>
      <c r="J3118" s="1">
        <v>44679</v>
      </c>
      <c r="K3118" t="b">
        <v>0</v>
      </c>
    </row>
    <row r="3119" spans="1:11" x14ac:dyDescent="0.25">
      <c r="A3119" t="s">
        <v>6617</v>
      </c>
      <c r="B3119" t="s">
        <v>58</v>
      </c>
      <c r="C3119" t="s">
        <v>38</v>
      </c>
      <c r="D3119" t="s">
        <v>341</v>
      </c>
      <c r="E3119" s="2">
        <v>26</v>
      </c>
      <c r="F3119" s="4">
        <v>5</v>
      </c>
      <c r="G3119" s="2">
        <v>130</v>
      </c>
      <c r="H3119" t="s">
        <v>15</v>
      </c>
      <c r="I3119" t="s">
        <v>16</v>
      </c>
      <c r="J3119" s="1">
        <v>45038</v>
      </c>
      <c r="K3119" t="b">
        <v>1</v>
      </c>
    </row>
    <row r="3120" spans="1:11" x14ac:dyDescent="0.25">
      <c r="A3120" t="s">
        <v>2680</v>
      </c>
      <c r="B3120" t="s">
        <v>66</v>
      </c>
      <c r="C3120" t="s">
        <v>110</v>
      </c>
      <c r="D3120" t="s">
        <v>126</v>
      </c>
      <c r="E3120" s="2">
        <v>26</v>
      </c>
      <c r="F3120" s="4">
        <v>5</v>
      </c>
      <c r="G3120" s="2">
        <v>130</v>
      </c>
      <c r="H3120" t="s">
        <v>45</v>
      </c>
      <c r="I3120" t="s">
        <v>16</v>
      </c>
      <c r="J3120" s="1">
        <v>44966</v>
      </c>
      <c r="K3120" t="b">
        <v>1</v>
      </c>
    </row>
    <row r="3121" spans="1:11" x14ac:dyDescent="0.25">
      <c r="A3121" t="s">
        <v>6727</v>
      </c>
      <c r="B3121" t="s">
        <v>26</v>
      </c>
      <c r="C3121" t="s">
        <v>110</v>
      </c>
      <c r="D3121" t="s">
        <v>126</v>
      </c>
      <c r="E3121" s="2">
        <v>26</v>
      </c>
      <c r="F3121" s="4">
        <v>5</v>
      </c>
      <c r="G3121" s="2">
        <v>130</v>
      </c>
      <c r="H3121" t="s">
        <v>45</v>
      </c>
      <c r="I3121" t="s">
        <v>16</v>
      </c>
      <c r="J3121" s="1">
        <v>45518</v>
      </c>
      <c r="K3121" t="b">
        <v>1</v>
      </c>
    </row>
    <row r="3122" spans="1:11" x14ac:dyDescent="0.25">
      <c r="A3122" t="s">
        <v>3400</v>
      </c>
      <c r="B3122" t="s">
        <v>85</v>
      </c>
      <c r="C3122" t="s">
        <v>23</v>
      </c>
      <c r="D3122" t="s">
        <v>853</v>
      </c>
      <c r="E3122" s="2">
        <v>26</v>
      </c>
      <c r="F3122" s="4">
        <v>5</v>
      </c>
      <c r="G3122" s="2">
        <v>130</v>
      </c>
      <c r="H3122" t="s">
        <v>15</v>
      </c>
      <c r="I3122" t="s">
        <v>36</v>
      </c>
      <c r="J3122" s="1">
        <v>45006</v>
      </c>
      <c r="K3122" t="b">
        <v>1</v>
      </c>
    </row>
    <row r="3123" spans="1:11" x14ac:dyDescent="0.25">
      <c r="A3123" t="s">
        <v>4321</v>
      </c>
      <c r="B3123" t="s">
        <v>63</v>
      </c>
      <c r="C3123" t="s">
        <v>27</v>
      </c>
      <c r="D3123" t="s">
        <v>620</v>
      </c>
      <c r="E3123" s="2">
        <v>26</v>
      </c>
      <c r="F3123" s="4">
        <v>5</v>
      </c>
      <c r="G3123" s="2">
        <v>130</v>
      </c>
      <c r="H3123" t="s">
        <v>45</v>
      </c>
      <c r="I3123" t="s">
        <v>16</v>
      </c>
      <c r="J3123" s="1">
        <v>45227</v>
      </c>
      <c r="K3123" t="b">
        <v>1</v>
      </c>
    </row>
    <row r="3124" spans="1:11" x14ac:dyDescent="0.25">
      <c r="A3124" t="s">
        <v>4633</v>
      </c>
      <c r="B3124" t="s">
        <v>26</v>
      </c>
      <c r="C3124" t="s">
        <v>38</v>
      </c>
      <c r="D3124" t="s">
        <v>341</v>
      </c>
      <c r="E3124" s="2">
        <v>26</v>
      </c>
      <c r="F3124" s="4">
        <v>5</v>
      </c>
      <c r="G3124" s="2">
        <v>130</v>
      </c>
      <c r="H3124" t="s">
        <v>25</v>
      </c>
      <c r="I3124" t="s">
        <v>16</v>
      </c>
      <c r="J3124" s="1">
        <v>45626</v>
      </c>
      <c r="K3124" t="b">
        <v>0</v>
      </c>
    </row>
    <row r="3125" spans="1:11" x14ac:dyDescent="0.25">
      <c r="A3125" t="s">
        <v>4049</v>
      </c>
      <c r="B3125" t="s">
        <v>61</v>
      </c>
      <c r="C3125" t="s">
        <v>38</v>
      </c>
      <c r="D3125" t="s">
        <v>341</v>
      </c>
      <c r="E3125" s="2">
        <v>26</v>
      </c>
      <c r="F3125" s="4">
        <v>5</v>
      </c>
      <c r="G3125" s="2">
        <v>130</v>
      </c>
      <c r="H3125" t="s">
        <v>45</v>
      </c>
      <c r="I3125" t="s">
        <v>16</v>
      </c>
      <c r="J3125" s="1">
        <v>45167</v>
      </c>
      <c r="K3125" t="b">
        <v>1</v>
      </c>
    </row>
    <row r="3126" spans="1:11" x14ac:dyDescent="0.25">
      <c r="A3126" t="s">
        <v>2756</v>
      </c>
      <c r="B3126" t="s">
        <v>34</v>
      </c>
      <c r="C3126" t="s">
        <v>59</v>
      </c>
      <c r="D3126" t="s">
        <v>463</v>
      </c>
      <c r="E3126" s="2">
        <v>26</v>
      </c>
      <c r="F3126" s="4">
        <v>5</v>
      </c>
      <c r="G3126" s="2">
        <v>130</v>
      </c>
      <c r="H3126" t="s">
        <v>25</v>
      </c>
      <c r="I3126" t="s">
        <v>16</v>
      </c>
      <c r="J3126" s="1">
        <v>45543</v>
      </c>
      <c r="K3126" t="b">
        <v>0</v>
      </c>
    </row>
    <row r="3127" spans="1:11" x14ac:dyDescent="0.25">
      <c r="A3127" t="s">
        <v>1358</v>
      </c>
      <c r="B3127" t="s">
        <v>86</v>
      </c>
      <c r="C3127" t="s">
        <v>23</v>
      </c>
      <c r="D3127" t="s">
        <v>853</v>
      </c>
      <c r="E3127" s="2">
        <v>26</v>
      </c>
      <c r="F3127" s="4">
        <v>5</v>
      </c>
      <c r="G3127" s="2">
        <v>130</v>
      </c>
      <c r="H3127" t="s">
        <v>25</v>
      </c>
      <c r="I3127" t="s">
        <v>36</v>
      </c>
      <c r="J3127" s="1">
        <v>45462</v>
      </c>
      <c r="K3127" t="b">
        <v>1</v>
      </c>
    </row>
    <row r="3128" spans="1:11" x14ac:dyDescent="0.25">
      <c r="A3128" t="s">
        <v>7636</v>
      </c>
      <c r="B3128" t="s">
        <v>18</v>
      </c>
      <c r="C3128" t="s">
        <v>27</v>
      </c>
      <c r="D3128" t="s">
        <v>620</v>
      </c>
      <c r="E3128" s="2">
        <v>26</v>
      </c>
      <c r="F3128" s="4">
        <v>5</v>
      </c>
      <c r="G3128" s="2">
        <v>130</v>
      </c>
      <c r="H3128" t="s">
        <v>45</v>
      </c>
      <c r="I3128" t="s">
        <v>36</v>
      </c>
      <c r="J3128" s="1">
        <v>44630</v>
      </c>
      <c r="K3128" t="b">
        <v>0</v>
      </c>
    </row>
    <row r="3129" spans="1:11" x14ac:dyDescent="0.25">
      <c r="A3129" t="s">
        <v>2262</v>
      </c>
      <c r="B3129" t="s">
        <v>63</v>
      </c>
      <c r="C3129" t="s">
        <v>27</v>
      </c>
      <c r="D3129" t="s">
        <v>620</v>
      </c>
      <c r="E3129" s="2">
        <v>26</v>
      </c>
      <c r="F3129" s="4">
        <v>5</v>
      </c>
      <c r="G3129" s="2">
        <v>130</v>
      </c>
      <c r="H3129" t="s">
        <v>25</v>
      </c>
      <c r="I3129" t="s">
        <v>36</v>
      </c>
      <c r="J3129" s="1">
        <v>45602</v>
      </c>
      <c r="K3129" t="b">
        <v>1</v>
      </c>
    </row>
    <row r="3130" spans="1:11" x14ac:dyDescent="0.25">
      <c r="A3130" t="s">
        <v>6197</v>
      </c>
      <c r="B3130" t="s">
        <v>63</v>
      </c>
      <c r="C3130" t="s">
        <v>23</v>
      </c>
      <c r="D3130" t="s">
        <v>853</v>
      </c>
      <c r="E3130" s="2">
        <v>26</v>
      </c>
      <c r="F3130" s="4">
        <v>5</v>
      </c>
      <c r="G3130" s="2">
        <v>130</v>
      </c>
      <c r="H3130" t="s">
        <v>15</v>
      </c>
      <c r="I3130" t="s">
        <v>36</v>
      </c>
      <c r="J3130" s="1">
        <v>45562</v>
      </c>
      <c r="K3130" t="b">
        <v>0</v>
      </c>
    </row>
    <row r="3131" spans="1:11" x14ac:dyDescent="0.25">
      <c r="A3131" t="s">
        <v>2595</v>
      </c>
      <c r="B3131" t="s">
        <v>22</v>
      </c>
      <c r="C3131" t="s">
        <v>13</v>
      </c>
      <c r="D3131" t="s">
        <v>343</v>
      </c>
      <c r="E3131" s="2">
        <v>26</v>
      </c>
      <c r="F3131" s="4">
        <v>5</v>
      </c>
      <c r="G3131" s="2">
        <v>130</v>
      </c>
      <c r="H3131" t="s">
        <v>15</v>
      </c>
      <c r="I3131" t="s">
        <v>36</v>
      </c>
      <c r="J3131" s="1">
        <v>44865</v>
      </c>
      <c r="K3131" t="b">
        <v>0</v>
      </c>
    </row>
    <row r="3132" spans="1:11" x14ac:dyDescent="0.25">
      <c r="A3132" t="s">
        <v>3846</v>
      </c>
      <c r="B3132" t="s">
        <v>69</v>
      </c>
      <c r="C3132" t="s">
        <v>13</v>
      </c>
      <c r="D3132" t="s">
        <v>343</v>
      </c>
      <c r="E3132" s="2">
        <v>26</v>
      </c>
      <c r="F3132" s="4">
        <v>5</v>
      </c>
      <c r="G3132" s="2">
        <v>130</v>
      </c>
      <c r="H3132" t="s">
        <v>25</v>
      </c>
      <c r="I3132" t="s">
        <v>16</v>
      </c>
      <c r="J3132" s="1">
        <v>45547</v>
      </c>
      <c r="K3132" t="b">
        <v>0</v>
      </c>
    </row>
    <row r="3133" spans="1:11" x14ac:dyDescent="0.25">
      <c r="A3133" t="s">
        <v>5216</v>
      </c>
      <c r="B3133" t="s">
        <v>86</v>
      </c>
      <c r="C3133" t="s">
        <v>23</v>
      </c>
      <c r="D3133" t="s">
        <v>853</v>
      </c>
      <c r="E3133" s="2">
        <v>26</v>
      </c>
      <c r="F3133" s="4">
        <v>5</v>
      </c>
      <c r="G3133" s="2">
        <v>130</v>
      </c>
      <c r="H3133" t="s">
        <v>25</v>
      </c>
      <c r="I3133" t="s">
        <v>36</v>
      </c>
      <c r="J3133" s="1">
        <v>45614</v>
      </c>
      <c r="K3133" t="b">
        <v>0</v>
      </c>
    </row>
    <row r="3134" spans="1:11" x14ac:dyDescent="0.25">
      <c r="A3134" t="s">
        <v>2165</v>
      </c>
      <c r="B3134" t="s">
        <v>63</v>
      </c>
      <c r="C3134" t="s">
        <v>38</v>
      </c>
      <c r="D3134" t="s">
        <v>341</v>
      </c>
      <c r="E3134" s="2">
        <v>26</v>
      </c>
      <c r="F3134" s="4">
        <v>5</v>
      </c>
      <c r="G3134" s="2">
        <v>130</v>
      </c>
      <c r="H3134" t="s">
        <v>45</v>
      </c>
      <c r="I3134" t="s">
        <v>36</v>
      </c>
      <c r="J3134" s="1">
        <v>44604</v>
      </c>
      <c r="K3134" t="b">
        <v>0</v>
      </c>
    </row>
    <row r="3135" spans="1:11" x14ac:dyDescent="0.25">
      <c r="A3135" t="s">
        <v>3574</v>
      </c>
      <c r="B3135" t="s">
        <v>43</v>
      </c>
      <c r="C3135" t="s">
        <v>110</v>
      </c>
      <c r="D3135" t="s">
        <v>126</v>
      </c>
      <c r="E3135" s="2">
        <v>26</v>
      </c>
      <c r="F3135" s="4">
        <v>5</v>
      </c>
      <c r="G3135" s="2">
        <v>130</v>
      </c>
      <c r="H3135" t="s">
        <v>25</v>
      </c>
      <c r="I3135" t="s">
        <v>16</v>
      </c>
      <c r="J3135" s="1">
        <v>44735</v>
      </c>
      <c r="K3135" t="b">
        <v>0</v>
      </c>
    </row>
    <row r="3136" spans="1:11" x14ac:dyDescent="0.25">
      <c r="A3136" t="s">
        <v>6369</v>
      </c>
      <c r="B3136" t="s">
        <v>58</v>
      </c>
      <c r="C3136" t="s">
        <v>27</v>
      </c>
      <c r="D3136" t="s">
        <v>620</v>
      </c>
      <c r="E3136" s="2">
        <v>26</v>
      </c>
      <c r="F3136" s="4">
        <v>5</v>
      </c>
      <c r="G3136" s="2">
        <v>130</v>
      </c>
      <c r="H3136" t="s">
        <v>45</v>
      </c>
      <c r="I3136" t="s">
        <v>16</v>
      </c>
      <c r="J3136" s="1">
        <v>45179</v>
      </c>
      <c r="K3136" t="b">
        <v>0</v>
      </c>
    </row>
    <row r="3137" spans="1:11" x14ac:dyDescent="0.25">
      <c r="A3137" t="s">
        <v>5026</v>
      </c>
      <c r="B3137" t="s">
        <v>69</v>
      </c>
      <c r="C3137" t="s">
        <v>59</v>
      </c>
      <c r="D3137" t="s">
        <v>463</v>
      </c>
      <c r="E3137" s="2">
        <v>26</v>
      </c>
      <c r="F3137" s="4">
        <v>5</v>
      </c>
      <c r="G3137" s="2">
        <v>130</v>
      </c>
      <c r="H3137" t="s">
        <v>45</v>
      </c>
      <c r="I3137" t="s">
        <v>16</v>
      </c>
      <c r="J3137" s="1">
        <v>45485</v>
      </c>
      <c r="K3137" t="b">
        <v>1</v>
      </c>
    </row>
    <row r="3138" spans="1:11" x14ac:dyDescent="0.25">
      <c r="A3138" t="s">
        <v>6684</v>
      </c>
      <c r="B3138" t="s">
        <v>77</v>
      </c>
      <c r="C3138" t="s">
        <v>110</v>
      </c>
      <c r="D3138" t="s">
        <v>126</v>
      </c>
      <c r="E3138" s="2">
        <v>26</v>
      </c>
      <c r="F3138" s="4">
        <v>5</v>
      </c>
      <c r="G3138" s="2">
        <v>130</v>
      </c>
      <c r="H3138" t="s">
        <v>45</v>
      </c>
      <c r="I3138" t="s">
        <v>36</v>
      </c>
      <c r="J3138" s="1">
        <v>44997</v>
      </c>
      <c r="K3138" t="b">
        <v>1</v>
      </c>
    </row>
    <row r="3139" spans="1:11" x14ac:dyDescent="0.25">
      <c r="A3139" t="s">
        <v>3226</v>
      </c>
      <c r="B3139" t="s">
        <v>63</v>
      </c>
      <c r="C3139" t="s">
        <v>59</v>
      </c>
      <c r="D3139" t="s">
        <v>463</v>
      </c>
      <c r="E3139" s="2">
        <v>26</v>
      </c>
      <c r="F3139" s="4">
        <v>5</v>
      </c>
      <c r="G3139" s="2">
        <v>130</v>
      </c>
      <c r="H3139" t="s">
        <v>45</v>
      </c>
      <c r="I3139" t="s">
        <v>16</v>
      </c>
      <c r="J3139" s="1">
        <v>45053</v>
      </c>
      <c r="K3139" t="b">
        <v>0</v>
      </c>
    </row>
    <row r="3140" spans="1:11" x14ac:dyDescent="0.25">
      <c r="A3140" t="s">
        <v>785</v>
      </c>
      <c r="B3140" t="s">
        <v>100</v>
      </c>
      <c r="C3140" t="s">
        <v>59</v>
      </c>
      <c r="D3140" t="s">
        <v>463</v>
      </c>
      <c r="E3140" s="2">
        <v>26</v>
      </c>
      <c r="F3140" s="4">
        <v>5</v>
      </c>
      <c r="G3140" s="2">
        <v>130</v>
      </c>
      <c r="H3140" t="s">
        <v>25</v>
      </c>
      <c r="I3140" t="s">
        <v>36</v>
      </c>
      <c r="J3140" s="1">
        <v>45468</v>
      </c>
      <c r="K3140" t="b">
        <v>0</v>
      </c>
    </row>
    <row r="3141" spans="1:11" x14ac:dyDescent="0.25">
      <c r="A3141" t="s">
        <v>7753</v>
      </c>
      <c r="B3141" t="s">
        <v>26</v>
      </c>
      <c r="C3141" t="s">
        <v>23</v>
      </c>
      <c r="D3141" t="s">
        <v>853</v>
      </c>
      <c r="E3141" s="2">
        <v>26</v>
      </c>
      <c r="F3141" s="4">
        <v>5</v>
      </c>
      <c r="G3141" s="2">
        <v>130</v>
      </c>
      <c r="H3141" t="s">
        <v>45</v>
      </c>
      <c r="I3141" t="s">
        <v>36</v>
      </c>
      <c r="J3141" s="1">
        <v>44880</v>
      </c>
      <c r="K3141" t="b">
        <v>0</v>
      </c>
    </row>
    <row r="3142" spans="1:11" x14ac:dyDescent="0.25">
      <c r="A3142" t="s">
        <v>4434</v>
      </c>
      <c r="B3142" t="s">
        <v>56</v>
      </c>
      <c r="C3142" t="s">
        <v>38</v>
      </c>
      <c r="D3142" t="s">
        <v>341</v>
      </c>
      <c r="E3142" s="2">
        <v>26</v>
      </c>
      <c r="F3142" s="4">
        <v>5</v>
      </c>
      <c r="G3142" s="2">
        <v>130</v>
      </c>
      <c r="H3142" t="s">
        <v>25</v>
      </c>
      <c r="I3142" t="s">
        <v>36</v>
      </c>
      <c r="J3142" s="1">
        <v>45145</v>
      </c>
      <c r="K3142" t="b">
        <v>1</v>
      </c>
    </row>
    <row r="3143" spans="1:11" x14ac:dyDescent="0.25">
      <c r="A3143" t="s">
        <v>3623</v>
      </c>
      <c r="B3143" t="s">
        <v>58</v>
      </c>
      <c r="C3143" t="s">
        <v>23</v>
      </c>
      <c r="D3143" t="s">
        <v>853</v>
      </c>
      <c r="E3143" s="2">
        <v>26</v>
      </c>
      <c r="F3143" s="4">
        <v>5</v>
      </c>
      <c r="G3143" s="2">
        <v>130</v>
      </c>
      <c r="H3143" t="s">
        <v>45</v>
      </c>
      <c r="I3143" t="s">
        <v>16</v>
      </c>
      <c r="J3143" s="1">
        <v>44962</v>
      </c>
      <c r="K3143" t="b">
        <v>0</v>
      </c>
    </row>
    <row r="3144" spans="1:11" x14ac:dyDescent="0.25">
      <c r="A3144" t="s">
        <v>3283</v>
      </c>
      <c r="B3144" t="s">
        <v>66</v>
      </c>
      <c r="C3144" t="s">
        <v>59</v>
      </c>
      <c r="D3144" t="s">
        <v>463</v>
      </c>
      <c r="E3144" s="2">
        <v>26</v>
      </c>
      <c r="F3144" s="4">
        <v>5</v>
      </c>
      <c r="G3144" s="2">
        <v>130</v>
      </c>
      <c r="H3144" t="s">
        <v>25</v>
      </c>
      <c r="I3144" t="s">
        <v>16</v>
      </c>
      <c r="J3144" s="1">
        <v>45087</v>
      </c>
      <c r="K3144" t="b">
        <v>1</v>
      </c>
    </row>
    <row r="3145" spans="1:11" x14ac:dyDescent="0.25">
      <c r="A3145" t="s">
        <v>1430</v>
      </c>
      <c r="B3145" t="s">
        <v>93</v>
      </c>
      <c r="C3145" t="s">
        <v>19</v>
      </c>
      <c r="D3145" t="s">
        <v>268</v>
      </c>
      <c r="E3145" s="2">
        <v>26</v>
      </c>
      <c r="F3145" s="4">
        <v>5</v>
      </c>
      <c r="G3145" s="2">
        <v>130</v>
      </c>
      <c r="H3145" t="s">
        <v>15</v>
      </c>
      <c r="I3145" t="s">
        <v>36</v>
      </c>
      <c r="J3145" s="1">
        <v>45010</v>
      </c>
      <c r="K3145" t="b">
        <v>0</v>
      </c>
    </row>
    <row r="3146" spans="1:11" x14ac:dyDescent="0.25">
      <c r="A3146" t="s">
        <v>7029</v>
      </c>
      <c r="B3146" t="s">
        <v>30</v>
      </c>
      <c r="C3146" t="s">
        <v>27</v>
      </c>
      <c r="D3146" t="s">
        <v>620</v>
      </c>
      <c r="E3146" s="2">
        <v>26</v>
      </c>
      <c r="F3146" s="4">
        <v>5</v>
      </c>
      <c r="G3146" s="2">
        <v>130</v>
      </c>
      <c r="H3146" t="s">
        <v>45</v>
      </c>
      <c r="I3146" t="s">
        <v>16</v>
      </c>
      <c r="J3146" s="1">
        <v>45658</v>
      </c>
      <c r="K3146" t="b">
        <v>0</v>
      </c>
    </row>
    <row r="3147" spans="1:11" x14ac:dyDescent="0.25">
      <c r="A3147" t="s">
        <v>1454</v>
      </c>
      <c r="B3147" t="s">
        <v>34</v>
      </c>
      <c r="C3147" t="s">
        <v>13</v>
      </c>
      <c r="D3147" t="s">
        <v>343</v>
      </c>
      <c r="E3147" s="2">
        <v>26</v>
      </c>
      <c r="F3147" s="4">
        <v>5</v>
      </c>
      <c r="G3147" s="2">
        <v>130</v>
      </c>
      <c r="H3147" t="s">
        <v>25</v>
      </c>
      <c r="I3147" t="s">
        <v>36</v>
      </c>
      <c r="J3147" s="1">
        <v>45564</v>
      </c>
      <c r="K3147" t="b">
        <v>0</v>
      </c>
    </row>
    <row r="3148" spans="1:11" x14ac:dyDescent="0.25">
      <c r="A3148" t="s">
        <v>329</v>
      </c>
      <c r="B3148" t="s">
        <v>51</v>
      </c>
      <c r="C3148" t="s">
        <v>31</v>
      </c>
      <c r="D3148" t="s">
        <v>67</v>
      </c>
      <c r="E3148" s="2">
        <v>18.5</v>
      </c>
      <c r="F3148" s="4">
        <v>7</v>
      </c>
      <c r="G3148" s="2">
        <v>129.5</v>
      </c>
      <c r="H3148" t="s">
        <v>45</v>
      </c>
      <c r="I3148" t="s">
        <v>36</v>
      </c>
      <c r="J3148" s="1">
        <v>45089</v>
      </c>
      <c r="K3148" t="b">
        <v>0</v>
      </c>
    </row>
    <row r="3149" spans="1:11" x14ac:dyDescent="0.25">
      <c r="A3149" t="s">
        <v>404</v>
      </c>
      <c r="B3149" t="s">
        <v>40</v>
      </c>
      <c r="C3149" t="s">
        <v>110</v>
      </c>
      <c r="D3149" t="s">
        <v>189</v>
      </c>
      <c r="E3149" s="2">
        <v>18.5</v>
      </c>
      <c r="F3149" s="4">
        <v>7</v>
      </c>
      <c r="G3149" s="2">
        <v>129.5</v>
      </c>
      <c r="H3149" t="s">
        <v>15</v>
      </c>
      <c r="I3149" t="s">
        <v>36</v>
      </c>
      <c r="J3149" s="1">
        <v>45091</v>
      </c>
      <c r="K3149" t="b">
        <v>1</v>
      </c>
    </row>
    <row r="3150" spans="1:11" x14ac:dyDescent="0.25">
      <c r="A3150" t="s">
        <v>5081</v>
      </c>
      <c r="B3150" t="s">
        <v>93</v>
      </c>
      <c r="C3150" t="s">
        <v>110</v>
      </c>
      <c r="D3150" t="s">
        <v>189</v>
      </c>
      <c r="E3150" s="2">
        <v>18.5</v>
      </c>
      <c r="F3150" s="4">
        <v>7</v>
      </c>
      <c r="G3150" s="2">
        <v>129.5</v>
      </c>
      <c r="H3150" t="s">
        <v>25</v>
      </c>
      <c r="I3150" t="s">
        <v>16</v>
      </c>
      <c r="J3150" s="1">
        <v>45620</v>
      </c>
      <c r="K3150" t="b">
        <v>0</v>
      </c>
    </row>
    <row r="3151" spans="1:11" x14ac:dyDescent="0.25">
      <c r="A3151" t="s">
        <v>4448</v>
      </c>
      <c r="B3151" t="s">
        <v>66</v>
      </c>
      <c r="C3151" t="s">
        <v>13</v>
      </c>
      <c r="D3151" t="s">
        <v>14</v>
      </c>
      <c r="E3151" s="2">
        <v>18.5</v>
      </c>
      <c r="F3151" s="4">
        <v>7</v>
      </c>
      <c r="G3151" s="2">
        <v>129.5</v>
      </c>
      <c r="H3151" t="s">
        <v>15</v>
      </c>
      <c r="I3151" t="s">
        <v>36</v>
      </c>
      <c r="J3151" s="1">
        <v>45418</v>
      </c>
      <c r="K3151" t="b">
        <v>1</v>
      </c>
    </row>
    <row r="3152" spans="1:11" x14ac:dyDescent="0.25">
      <c r="A3152" t="s">
        <v>2655</v>
      </c>
      <c r="B3152" t="s">
        <v>63</v>
      </c>
      <c r="C3152" t="s">
        <v>31</v>
      </c>
      <c r="D3152" t="s">
        <v>67</v>
      </c>
      <c r="E3152" s="2">
        <v>18.5</v>
      </c>
      <c r="F3152" s="4">
        <v>7</v>
      </c>
      <c r="G3152" s="2">
        <v>129.5</v>
      </c>
      <c r="H3152" t="s">
        <v>25</v>
      </c>
      <c r="I3152" t="s">
        <v>16</v>
      </c>
      <c r="J3152" s="1">
        <v>44594</v>
      </c>
      <c r="K3152" t="b">
        <v>1</v>
      </c>
    </row>
    <row r="3153" spans="1:11" x14ac:dyDescent="0.25">
      <c r="A3153" t="s">
        <v>3108</v>
      </c>
      <c r="B3153" t="s">
        <v>18</v>
      </c>
      <c r="C3153" t="s">
        <v>31</v>
      </c>
      <c r="D3153" t="s">
        <v>67</v>
      </c>
      <c r="E3153" s="2">
        <v>18.5</v>
      </c>
      <c r="F3153" s="4">
        <v>7</v>
      </c>
      <c r="G3153" s="2">
        <v>129.5</v>
      </c>
      <c r="H3153" t="s">
        <v>45</v>
      </c>
      <c r="I3153" t="s">
        <v>36</v>
      </c>
      <c r="J3153" s="1">
        <v>44664</v>
      </c>
      <c r="K3153" t="b">
        <v>1</v>
      </c>
    </row>
    <row r="3154" spans="1:11" x14ac:dyDescent="0.25">
      <c r="A3154" t="s">
        <v>2048</v>
      </c>
      <c r="B3154" t="s">
        <v>63</v>
      </c>
      <c r="C3154" t="s">
        <v>27</v>
      </c>
      <c r="D3154" t="s">
        <v>384</v>
      </c>
      <c r="E3154" s="2">
        <v>18.5</v>
      </c>
      <c r="F3154" s="4">
        <v>7</v>
      </c>
      <c r="G3154" s="2">
        <v>129.5</v>
      </c>
      <c r="H3154" t="s">
        <v>25</v>
      </c>
      <c r="I3154" t="s">
        <v>36</v>
      </c>
      <c r="J3154" s="1">
        <v>45011</v>
      </c>
      <c r="K3154" t="b">
        <v>1</v>
      </c>
    </row>
    <row r="3155" spans="1:11" x14ac:dyDescent="0.25">
      <c r="A3155" t="s">
        <v>3244</v>
      </c>
      <c r="B3155" t="s">
        <v>34</v>
      </c>
      <c r="C3155" t="s">
        <v>13</v>
      </c>
      <c r="D3155" t="s">
        <v>14</v>
      </c>
      <c r="E3155" s="2">
        <v>18.5</v>
      </c>
      <c r="F3155" s="4">
        <v>7</v>
      </c>
      <c r="G3155" s="2">
        <v>129.5</v>
      </c>
      <c r="H3155" t="s">
        <v>25</v>
      </c>
      <c r="I3155" t="s">
        <v>16</v>
      </c>
      <c r="J3155" s="1">
        <v>45481</v>
      </c>
      <c r="K3155" t="b">
        <v>0</v>
      </c>
    </row>
    <row r="3156" spans="1:11" x14ac:dyDescent="0.25">
      <c r="A3156" t="s">
        <v>7296</v>
      </c>
      <c r="B3156" t="s">
        <v>72</v>
      </c>
      <c r="C3156" t="s">
        <v>110</v>
      </c>
      <c r="D3156" t="s">
        <v>189</v>
      </c>
      <c r="E3156" s="2">
        <v>18.5</v>
      </c>
      <c r="F3156" s="4">
        <v>7</v>
      </c>
      <c r="G3156" s="2">
        <v>129.5</v>
      </c>
      <c r="H3156" t="s">
        <v>45</v>
      </c>
      <c r="I3156" t="s">
        <v>36</v>
      </c>
      <c r="J3156" s="1">
        <v>45665</v>
      </c>
      <c r="K3156" t="b">
        <v>1</v>
      </c>
    </row>
    <row r="3157" spans="1:11" x14ac:dyDescent="0.25">
      <c r="A3157" t="s">
        <v>1922</v>
      </c>
      <c r="B3157" t="s">
        <v>22</v>
      </c>
      <c r="C3157" t="s">
        <v>110</v>
      </c>
      <c r="D3157" t="s">
        <v>189</v>
      </c>
      <c r="E3157" s="2">
        <v>18.5</v>
      </c>
      <c r="F3157" s="4">
        <v>7</v>
      </c>
      <c r="G3157" s="2">
        <v>129.5</v>
      </c>
      <c r="H3157" t="s">
        <v>45</v>
      </c>
      <c r="I3157" t="s">
        <v>16</v>
      </c>
      <c r="J3157" s="1">
        <v>44622</v>
      </c>
      <c r="K3157" t="b">
        <v>1</v>
      </c>
    </row>
    <row r="3158" spans="1:11" x14ac:dyDescent="0.25">
      <c r="A3158" t="s">
        <v>344</v>
      </c>
      <c r="B3158" t="s">
        <v>40</v>
      </c>
      <c r="C3158" t="s">
        <v>110</v>
      </c>
      <c r="D3158" t="s">
        <v>189</v>
      </c>
      <c r="E3158" s="2">
        <v>18.5</v>
      </c>
      <c r="F3158" s="4">
        <v>7</v>
      </c>
      <c r="G3158" s="2">
        <v>129.5</v>
      </c>
      <c r="H3158" t="s">
        <v>15</v>
      </c>
      <c r="I3158" t="s">
        <v>16</v>
      </c>
      <c r="J3158" s="1">
        <v>45556</v>
      </c>
      <c r="K3158" t="b">
        <v>1</v>
      </c>
    </row>
    <row r="3159" spans="1:11" x14ac:dyDescent="0.25">
      <c r="A3159" t="s">
        <v>2513</v>
      </c>
      <c r="B3159" t="s">
        <v>34</v>
      </c>
      <c r="C3159" t="s">
        <v>59</v>
      </c>
      <c r="D3159" t="s">
        <v>102</v>
      </c>
      <c r="E3159" s="2">
        <v>18.5</v>
      </c>
      <c r="F3159" s="4">
        <v>7</v>
      </c>
      <c r="G3159" s="2">
        <v>129.5</v>
      </c>
      <c r="H3159" t="s">
        <v>45</v>
      </c>
      <c r="I3159" t="s">
        <v>36</v>
      </c>
      <c r="J3159" s="1">
        <v>44643</v>
      </c>
      <c r="K3159" t="b">
        <v>0</v>
      </c>
    </row>
    <row r="3160" spans="1:11" x14ac:dyDescent="0.25">
      <c r="A3160" t="s">
        <v>4874</v>
      </c>
      <c r="B3160" t="s">
        <v>77</v>
      </c>
      <c r="C3160" t="s">
        <v>31</v>
      </c>
      <c r="D3160" t="s">
        <v>67</v>
      </c>
      <c r="E3160" s="2">
        <v>18.5</v>
      </c>
      <c r="F3160" s="4">
        <v>7</v>
      </c>
      <c r="G3160" s="2">
        <v>129.5</v>
      </c>
      <c r="H3160" t="s">
        <v>45</v>
      </c>
      <c r="I3160" t="s">
        <v>16</v>
      </c>
      <c r="J3160" s="1">
        <v>45272</v>
      </c>
      <c r="K3160" t="b">
        <v>0</v>
      </c>
    </row>
    <row r="3161" spans="1:11" x14ac:dyDescent="0.25">
      <c r="A3161" t="s">
        <v>2372</v>
      </c>
      <c r="B3161" t="s">
        <v>63</v>
      </c>
      <c r="C3161" t="s">
        <v>110</v>
      </c>
      <c r="D3161" t="s">
        <v>189</v>
      </c>
      <c r="E3161" s="2">
        <v>18.5</v>
      </c>
      <c r="F3161" s="4">
        <v>7</v>
      </c>
      <c r="G3161" s="2">
        <v>129.5</v>
      </c>
      <c r="H3161" t="s">
        <v>15</v>
      </c>
      <c r="I3161" t="s">
        <v>16</v>
      </c>
      <c r="J3161" s="1">
        <v>45375</v>
      </c>
      <c r="K3161" t="b">
        <v>1</v>
      </c>
    </row>
    <row r="3162" spans="1:11" x14ac:dyDescent="0.25">
      <c r="A3162" t="s">
        <v>5737</v>
      </c>
      <c r="B3162" t="s">
        <v>40</v>
      </c>
      <c r="C3162" t="s">
        <v>38</v>
      </c>
      <c r="D3162" t="s">
        <v>94</v>
      </c>
      <c r="E3162" s="2">
        <v>18.5</v>
      </c>
      <c r="F3162" s="4">
        <v>7</v>
      </c>
      <c r="G3162" s="2">
        <v>129.5</v>
      </c>
      <c r="H3162" t="s">
        <v>25</v>
      </c>
      <c r="I3162" t="s">
        <v>36</v>
      </c>
      <c r="J3162" s="1">
        <v>45358</v>
      </c>
      <c r="K3162" t="b">
        <v>1</v>
      </c>
    </row>
    <row r="3163" spans="1:11" x14ac:dyDescent="0.25">
      <c r="A3163" t="s">
        <v>1100</v>
      </c>
      <c r="B3163" t="s">
        <v>58</v>
      </c>
      <c r="C3163" t="s">
        <v>31</v>
      </c>
      <c r="D3163" t="s">
        <v>67</v>
      </c>
      <c r="E3163" s="2">
        <v>18.5</v>
      </c>
      <c r="F3163" s="4">
        <v>7</v>
      </c>
      <c r="G3163" s="2">
        <v>129.5</v>
      </c>
      <c r="H3163" t="s">
        <v>25</v>
      </c>
      <c r="I3163" t="s">
        <v>36</v>
      </c>
      <c r="J3163" s="1">
        <v>44574</v>
      </c>
      <c r="K3163" t="b">
        <v>0</v>
      </c>
    </row>
    <row r="3164" spans="1:11" x14ac:dyDescent="0.25">
      <c r="A3164" t="s">
        <v>5840</v>
      </c>
      <c r="B3164" t="s">
        <v>37</v>
      </c>
      <c r="C3164" t="s">
        <v>38</v>
      </c>
      <c r="D3164" t="s">
        <v>94</v>
      </c>
      <c r="E3164" s="2">
        <v>18.5</v>
      </c>
      <c r="F3164" s="4">
        <v>7</v>
      </c>
      <c r="G3164" s="2">
        <v>129.5</v>
      </c>
      <c r="H3164" t="s">
        <v>15</v>
      </c>
      <c r="I3164" t="s">
        <v>36</v>
      </c>
      <c r="J3164" s="1">
        <v>45513</v>
      </c>
      <c r="K3164" t="b">
        <v>0</v>
      </c>
    </row>
    <row r="3165" spans="1:11" x14ac:dyDescent="0.25">
      <c r="A3165" t="s">
        <v>4432</v>
      </c>
      <c r="B3165" t="s">
        <v>63</v>
      </c>
      <c r="C3165" t="s">
        <v>110</v>
      </c>
      <c r="D3165" t="s">
        <v>189</v>
      </c>
      <c r="E3165" s="2">
        <v>18.5</v>
      </c>
      <c r="F3165" s="4">
        <v>7</v>
      </c>
      <c r="G3165" s="2">
        <v>129.5</v>
      </c>
      <c r="H3165" t="s">
        <v>15</v>
      </c>
      <c r="I3165" t="s">
        <v>36</v>
      </c>
      <c r="J3165" s="1">
        <v>45302</v>
      </c>
      <c r="K3165" t="b">
        <v>0</v>
      </c>
    </row>
    <row r="3166" spans="1:11" x14ac:dyDescent="0.25">
      <c r="A3166" t="s">
        <v>7390</v>
      </c>
      <c r="B3166" t="s">
        <v>66</v>
      </c>
      <c r="C3166" t="s">
        <v>59</v>
      </c>
      <c r="D3166" t="s">
        <v>288</v>
      </c>
      <c r="E3166" s="2">
        <v>21.5</v>
      </c>
      <c r="F3166" s="4">
        <v>6</v>
      </c>
      <c r="G3166" s="2">
        <v>129</v>
      </c>
      <c r="H3166" t="s">
        <v>25</v>
      </c>
      <c r="I3166" t="s">
        <v>16</v>
      </c>
      <c r="J3166" s="1">
        <v>44891</v>
      </c>
      <c r="K3166" t="b">
        <v>0</v>
      </c>
    </row>
    <row r="3167" spans="1:11" x14ac:dyDescent="0.25">
      <c r="A3167" t="s">
        <v>1087</v>
      </c>
      <c r="B3167" t="s">
        <v>69</v>
      </c>
      <c r="C3167" t="s">
        <v>27</v>
      </c>
      <c r="D3167" t="s">
        <v>315</v>
      </c>
      <c r="E3167" s="2">
        <v>21.5</v>
      </c>
      <c r="F3167" s="4">
        <v>6</v>
      </c>
      <c r="G3167" s="2">
        <v>129</v>
      </c>
      <c r="H3167" t="s">
        <v>25</v>
      </c>
      <c r="I3167" t="s">
        <v>16</v>
      </c>
      <c r="J3167" s="1">
        <v>44689</v>
      </c>
      <c r="K3167" t="b">
        <v>1</v>
      </c>
    </row>
    <row r="3168" spans="1:11" x14ac:dyDescent="0.25">
      <c r="A3168" t="s">
        <v>1579</v>
      </c>
      <c r="B3168" t="s">
        <v>72</v>
      </c>
      <c r="C3168" t="s">
        <v>13</v>
      </c>
      <c r="D3168" t="s">
        <v>141</v>
      </c>
      <c r="E3168" s="2">
        <v>21.5</v>
      </c>
      <c r="F3168" s="4">
        <v>6</v>
      </c>
      <c r="G3168" s="2">
        <v>129</v>
      </c>
      <c r="H3168" t="s">
        <v>15</v>
      </c>
      <c r="I3168" t="s">
        <v>16</v>
      </c>
      <c r="J3168" s="1">
        <v>44824</v>
      </c>
      <c r="K3168" t="b">
        <v>1</v>
      </c>
    </row>
    <row r="3169" spans="1:11" x14ac:dyDescent="0.25">
      <c r="A3169" t="s">
        <v>6263</v>
      </c>
      <c r="B3169" t="s">
        <v>34</v>
      </c>
      <c r="C3169" t="s">
        <v>110</v>
      </c>
      <c r="D3169" t="s">
        <v>451</v>
      </c>
      <c r="E3169" s="2">
        <v>21.5</v>
      </c>
      <c r="F3169" s="4">
        <v>6</v>
      </c>
      <c r="G3169" s="2">
        <v>129</v>
      </c>
      <c r="H3169" t="s">
        <v>15</v>
      </c>
      <c r="I3169" t="s">
        <v>36</v>
      </c>
      <c r="J3169" s="1">
        <v>45422</v>
      </c>
      <c r="K3169" t="b">
        <v>0</v>
      </c>
    </row>
    <row r="3170" spans="1:11" x14ac:dyDescent="0.25">
      <c r="A3170" t="s">
        <v>1017</v>
      </c>
      <c r="B3170" t="s">
        <v>34</v>
      </c>
      <c r="C3170" t="s">
        <v>13</v>
      </c>
      <c r="D3170" t="s">
        <v>141</v>
      </c>
      <c r="E3170" s="2">
        <v>21.5</v>
      </c>
      <c r="F3170" s="4">
        <v>6</v>
      </c>
      <c r="G3170" s="2">
        <v>129</v>
      </c>
      <c r="H3170" t="s">
        <v>15</v>
      </c>
      <c r="I3170" t="s">
        <v>16</v>
      </c>
      <c r="J3170" s="1">
        <v>44668</v>
      </c>
      <c r="K3170" t="b">
        <v>0</v>
      </c>
    </row>
    <row r="3171" spans="1:11" x14ac:dyDescent="0.25">
      <c r="A3171" t="s">
        <v>4122</v>
      </c>
      <c r="B3171" t="s">
        <v>104</v>
      </c>
      <c r="C3171" t="s">
        <v>110</v>
      </c>
      <c r="D3171" t="s">
        <v>451</v>
      </c>
      <c r="E3171" s="2">
        <v>21.5</v>
      </c>
      <c r="F3171" s="4">
        <v>6</v>
      </c>
      <c r="G3171" s="2">
        <v>129</v>
      </c>
      <c r="H3171" t="s">
        <v>15</v>
      </c>
      <c r="I3171" t="s">
        <v>16</v>
      </c>
      <c r="J3171" s="1">
        <v>45541</v>
      </c>
      <c r="K3171" t="b">
        <v>0</v>
      </c>
    </row>
    <row r="3172" spans="1:11" x14ac:dyDescent="0.25">
      <c r="A3172" t="s">
        <v>3986</v>
      </c>
      <c r="B3172" t="s">
        <v>58</v>
      </c>
      <c r="C3172" t="s">
        <v>23</v>
      </c>
      <c r="D3172" t="s">
        <v>24</v>
      </c>
      <c r="E3172" s="2">
        <v>21.5</v>
      </c>
      <c r="F3172" s="4">
        <v>6</v>
      </c>
      <c r="G3172" s="2">
        <v>129</v>
      </c>
      <c r="H3172" t="s">
        <v>25</v>
      </c>
      <c r="I3172" t="s">
        <v>16</v>
      </c>
      <c r="J3172" s="1">
        <v>44644</v>
      </c>
      <c r="K3172" t="b">
        <v>1</v>
      </c>
    </row>
    <row r="3173" spans="1:11" x14ac:dyDescent="0.25">
      <c r="A3173" t="s">
        <v>1479</v>
      </c>
      <c r="B3173" t="s">
        <v>51</v>
      </c>
      <c r="C3173" t="s">
        <v>31</v>
      </c>
      <c r="D3173" t="s">
        <v>108</v>
      </c>
      <c r="E3173" s="2">
        <v>21.5</v>
      </c>
      <c r="F3173" s="4">
        <v>6</v>
      </c>
      <c r="G3173" s="2">
        <v>129</v>
      </c>
      <c r="H3173" t="s">
        <v>25</v>
      </c>
      <c r="I3173" t="s">
        <v>36</v>
      </c>
      <c r="J3173" s="1">
        <v>44642</v>
      </c>
      <c r="K3173" t="b">
        <v>0</v>
      </c>
    </row>
    <row r="3174" spans="1:11" x14ac:dyDescent="0.25">
      <c r="A3174" t="s">
        <v>5349</v>
      </c>
      <c r="B3174" t="s">
        <v>30</v>
      </c>
      <c r="C3174" t="s">
        <v>27</v>
      </c>
      <c r="D3174" t="s">
        <v>315</v>
      </c>
      <c r="E3174" s="2">
        <v>21.5</v>
      </c>
      <c r="F3174" s="4">
        <v>6</v>
      </c>
      <c r="G3174" s="2">
        <v>129</v>
      </c>
      <c r="H3174" t="s">
        <v>25</v>
      </c>
      <c r="I3174" t="s">
        <v>36</v>
      </c>
      <c r="J3174" s="1">
        <v>45149</v>
      </c>
      <c r="K3174" t="b">
        <v>0</v>
      </c>
    </row>
    <row r="3175" spans="1:11" x14ac:dyDescent="0.25">
      <c r="A3175" t="s">
        <v>782</v>
      </c>
      <c r="B3175" t="s">
        <v>43</v>
      </c>
      <c r="C3175" t="s">
        <v>59</v>
      </c>
      <c r="D3175" t="s">
        <v>288</v>
      </c>
      <c r="E3175" s="2">
        <v>21.5</v>
      </c>
      <c r="F3175" s="4">
        <v>6</v>
      </c>
      <c r="G3175" s="2">
        <v>129</v>
      </c>
      <c r="H3175" t="s">
        <v>15</v>
      </c>
      <c r="I3175" t="s">
        <v>36</v>
      </c>
      <c r="J3175" s="1">
        <v>44609</v>
      </c>
      <c r="K3175" t="b">
        <v>0</v>
      </c>
    </row>
    <row r="3176" spans="1:11" x14ac:dyDescent="0.25">
      <c r="A3176" t="s">
        <v>2752</v>
      </c>
      <c r="B3176" t="s">
        <v>85</v>
      </c>
      <c r="C3176" t="s">
        <v>23</v>
      </c>
      <c r="D3176" t="s">
        <v>24</v>
      </c>
      <c r="E3176" s="2">
        <v>21.5</v>
      </c>
      <c r="F3176" s="4">
        <v>6</v>
      </c>
      <c r="G3176" s="2">
        <v>129</v>
      </c>
      <c r="H3176" t="s">
        <v>25</v>
      </c>
      <c r="I3176" t="s">
        <v>16</v>
      </c>
      <c r="J3176" s="1">
        <v>45568</v>
      </c>
      <c r="K3176" t="b">
        <v>1</v>
      </c>
    </row>
    <row r="3177" spans="1:11" x14ac:dyDescent="0.25">
      <c r="A3177" t="s">
        <v>2295</v>
      </c>
      <c r="B3177" t="s">
        <v>51</v>
      </c>
      <c r="C3177" t="s">
        <v>59</v>
      </c>
      <c r="D3177" t="s">
        <v>288</v>
      </c>
      <c r="E3177" s="2">
        <v>21.5</v>
      </c>
      <c r="F3177" s="4">
        <v>6</v>
      </c>
      <c r="G3177" s="2">
        <v>129</v>
      </c>
      <c r="H3177" t="s">
        <v>25</v>
      </c>
      <c r="I3177" t="s">
        <v>36</v>
      </c>
      <c r="J3177" s="1">
        <v>44881</v>
      </c>
      <c r="K3177" t="b">
        <v>0</v>
      </c>
    </row>
    <row r="3178" spans="1:11" x14ac:dyDescent="0.25">
      <c r="A3178" t="s">
        <v>7808</v>
      </c>
      <c r="B3178" t="s">
        <v>26</v>
      </c>
      <c r="C3178" t="s">
        <v>38</v>
      </c>
      <c r="D3178" t="s">
        <v>509</v>
      </c>
      <c r="E3178" s="2">
        <v>21.5</v>
      </c>
      <c r="F3178" s="4">
        <v>6</v>
      </c>
      <c r="G3178" s="2">
        <v>129</v>
      </c>
      <c r="H3178" t="s">
        <v>25</v>
      </c>
      <c r="I3178" t="s">
        <v>16</v>
      </c>
      <c r="J3178" s="1">
        <v>45436</v>
      </c>
      <c r="K3178" t="b">
        <v>0</v>
      </c>
    </row>
    <row r="3179" spans="1:11" x14ac:dyDescent="0.25">
      <c r="A3179" t="s">
        <v>6892</v>
      </c>
      <c r="B3179" t="s">
        <v>86</v>
      </c>
      <c r="C3179" t="s">
        <v>27</v>
      </c>
      <c r="D3179" t="s">
        <v>315</v>
      </c>
      <c r="E3179" s="2">
        <v>21.5</v>
      </c>
      <c r="F3179" s="4">
        <v>6</v>
      </c>
      <c r="G3179" s="2">
        <v>129</v>
      </c>
      <c r="H3179" t="s">
        <v>45</v>
      </c>
      <c r="I3179" t="s">
        <v>16</v>
      </c>
      <c r="J3179" s="1">
        <v>44855</v>
      </c>
      <c r="K3179" t="b">
        <v>1</v>
      </c>
    </row>
    <row r="3180" spans="1:11" x14ac:dyDescent="0.25">
      <c r="A3180" t="s">
        <v>6429</v>
      </c>
      <c r="B3180" t="s">
        <v>85</v>
      </c>
      <c r="C3180" t="s">
        <v>110</v>
      </c>
      <c r="D3180" t="s">
        <v>451</v>
      </c>
      <c r="E3180" s="2">
        <v>21.5</v>
      </c>
      <c r="F3180" s="4">
        <v>6</v>
      </c>
      <c r="G3180" s="2">
        <v>129</v>
      </c>
      <c r="H3180" t="s">
        <v>15</v>
      </c>
      <c r="I3180" t="s">
        <v>16</v>
      </c>
      <c r="J3180" s="1">
        <v>45668</v>
      </c>
      <c r="K3180" t="b">
        <v>0</v>
      </c>
    </row>
    <row r="3181" spans="1:11" x14ac:dyDescent="0.25">
      <c r="A3181" t="s">
        <v>5443</v>
      </c>
      <c r="B3181" t="s">
        <v>86</v>
      </c>
      <c r="C3181" t="s">
        <v>13</v>
      </c>
      <c r="D3181" t="s">
        <v>141</v>
      </c>
      <c r="E3181" s="2">
        <v>21.5</v>
      </c>
      <c r="F3181" s="4">
        <v>6</v>
      </c>
      <c r="G3181" s="2">
        <v>129</v>
      </c>
      <c r="H3181" t="s">
        <v>45</v>
      </c>
      <c r="I3181" t="s">
        <v>16</v>
      </c>
      <c r="J3181" s="1">
        <v>44764</v>
      </c>
      <c r="K3181" t="b">
        <v>0</v>
      </c>
    </row>
    <row r="3182" spans="1:11" x14ac:dyDescent="0.25">
      <c r="A3182" t="s">
        <v>2111</v>
      </c>
      <c r="B3182" t="s">
        <v>34</v>
      </c>
      <c r="C3182" t="s">
        <v>31</v>
      </c>
      <c r="D3182" t="s">
        <v>108</v>
      </c>
      <c r="E3182" s="2">
        <v>21.5</v>
      </c>
      <c r="F3182" s="4">
        <v>6</v>
      </c>
      <c r="G3182" s="2">
        <v>129</v>
      </c>
      <c r="H3182" t="s">
        <v>25</v>
      </c>
      <c r="I3182" t="s">
        <v>16</v>
      </c>
      <c r="J3182" s="1">
        <v>45552</v>
      </c>
      <c r="K3182" t="b">
        <v>1</v>
      </c>
    </row>
    <row r="3183" spans="1:11" x14ac:dyDescent="0.25">
      <c r="A3183" t="s">
        <v>6432</v>
      </c>
      <c r="B3183" t="s">
        <v>34</v>
      </c>
      <c r="C3183" t="s">
        <v>13</v>
      </c>
      <c r="D3183" t="s">
        <v>141</v>
      </c>
      <c r="E3183" s="2">
        <v>21.5</v>
      </c>
      <c r="F3183" s="4">
        <v>6</v>
      </c>
      <c r="G3183" s="2">
        <v>129</v>
      </c>
      <c r="H3183" t="s">
        <v>45</v>
      </c>
      <c r="I3183" t="s">
        <v>16</v>
      </c>
      <c r="J3183" s="1">
        <v>45615</v>
      </c>
      <c r="K3183" t="b">
        <v>0</v>
      </c>
    </row>
    <row r="3184" spans="1:11" x14ac:dyDescent="0.25">
      <c r="A3184" t="s">
        <v>3737</v>
      </c>
      <c r="B3184" t="s">
        <v>142</v>
      </c>
      <c r="C3184" t="s">
        <v>23</v>
      </c>
      <c r="D3184" t="s">
        <v>24</v>
      </c>
      <c r="E3184" s="2">
        <v>21.5</v>
      </c>
      <c r="F3184" s="4">
        <v>6</v>
      </c>
      <c r="G3184" s="2">
        <v>129</v>
      </c>
      <c r="H3184" t="s">
        <v>45</v>
      </c>
      <c r="I3184" t="s">
        <v>36</v>
      </c>
      <c r="J3184" s="1">
        <v>45602</v>
      </c>
      <c r="K3184" t="b">
        <v>0</v>
      </c>
    </row>
    <row r="3185" spans="1:11" x14ac:dyDescent="0.25">
      <c r="A3185" t="s">
        <v>3434</v>
      </c>
      <c r="B3185" t="s">
        <v>85</v>
      </c>
      <c r="C3185" t="s">
        <v>31</v>
      </c>
      <c r="D3185" t="s">
        <v>108</v>
      </c>
      <c r="E3185" s="2">
        <v>21.5</v>
      </c>
      <c r="F3185" s="4">
        <v>6</v>
      </c>
      <c r="G3185" s="2">
        <v>129</v>
      </c>
      <c r="H3185" t="s">
        <v>45</v>
      </c>
      <c r="I3185" t="s">
        <v>36</v>
      </c>
      <c r="J3185" s="1">
        <v>45036</v>
      </c>
      <c r="K3185" t="b">
        <v>1</v>
      </c>
    </row>
    <row r="3186" spans="1:11" x14ac:dyDescent="0.25">
      <c r="A3186" t="s">
        <v>7364</v>
      </c>
      <c r="B3186" t="s">
        <v>72</v>
      </c>
      <c r="C3186" t="s">
        <v>59</v>
      </c>
      <c r="D3186" t="s">
        <v>288</v>
      </c>
      <c r="E3186" s="2">
        <v>21.5</v>
      </c>
      <c r="F3186" s="4">
        <v>6</v>
      </c>
      <c r="G3186" s="2">
        <v>129</v>
      </c>
      <c r="H3186" t="s">
        <v>15</v>
      </c>
      <c r="I3186" t="s">
        <v>16</v>
      </c>
      <c r="J3186" s="1">
        <v>45608</v>
      </c>
      <c r="K3186" t="b">
        <v>0</v>
      </c>
    </row>
    <row r="3187" spans="1:11" x14ac:dyDescent="0.25">
      <c r="A3187" t="s">
        <v>2991</v>
      </c>
      <c r="B3187" t="s">
        <v>18</v>
      </c>
      <c r="C3187" t="s">
        <v>31</v>
      </c>
      <c r="D3187" t="s">
        <v>108</v>
      </c>
      <c r="E3187" s="2">
        <v>21.5</v>
      </c>
      <c r="F3187" s="4">
        <v>6</v>
      </c>
      <c r="G3187" s="2">
        <v>129</v>
      </c>
      <c r="H3187" t="s">
        <v>45</v>
      </c>
      <c r="I3187" t="s">
        <v>16</v>
      </c>
      <c r="J3187" s="1">
        <v>44988</v>
      </c>
      <c r="K3187" t="b">
        <v>0</v>
      </c>
    </row>
    <row r="3188" spans="1:11" x14ac:dyDescent="0.25">
      <c r="A3188" t="s">
        <v>6486</v>
      </c>
      <c r="B3188" t="s">
        <v>18</v>
      </c>
      <c r="C3188" t="s">
        <v>27</v>
      </c>
      <c r="D3188" t="s">
        <v>315</v>
      </c>
      <c r="E3188" s="2">
        <v>21.5</v>
      </c>
      <c r="F3188" s="4">
        <v>6</v>
      </c>
      <c r="G3188" s="2">
        <v>129</v>
      </c>
      <c r="H3188" t="s">
        <v>45</v>
      </c>
      <c r="I3188" t="s">
        <v>36</v>
      </c>
      <c r="J3188" s="1">
        <v>45299</v>
      </c>
      <c r="K3188" t="b">
        <v>0</v>
      </c>
    </row>
    <row r="3189" spans="1:11" x14ac:dyDescent="0.25">
      <c r="A3189" t="s">
        <v>3109</v>
      </c>
      <c r="B3189" t="s">
        <v>104</v>
      </c>
      <c r="C3189" t="s">
        <v>13</v>
      </c>
      <c r="D3189" t="s">
        <v>141</v>
      </c>
      <c r="E3189" s="2">
        <v>21.5</v>
      </c>
      <c r="F3189" s="4">
        <v>6</v>
      </c>
      <c r="G3189" s="2">
        <v>129</v>
      </c>
      <c r="H3189" t="s">
        <v>25</v>
      </c>
      <c r="I3189" t="s">
        <v>36</v>
      </c>
      <c r="J3189" s="1">
        <v>45064</v>
      </c>
      <c r="K3189" t="b">
        <v>0</v>
      </c>
    </row>
    <row r="3190" spans="1:11" x14ac:dyDescent="0.25">
      <c r="A3190" t="s">
        <v>2707</v>
      </c>
      <c r="B3190" t="s">
        <v>66</v>
      </c>
      <c r="C3190" t="s">
        <v>23</v>
      </c>
      <c r="D3190" t="s">
        <v>24</v>
      </c>
      <c r="E3190" s="2">
        <v>21.5</v>
      </c>
      <c r="F3190" s="4">
        <v>6</v>
      </c>
      <c r="G3190" s="2">
        <v>129</v>
      </c>
      <c r="H3190" t="s">
        <v>25</v>
      </c>
      <c r="I3190" t="s">
        <v>16</v>
      </c>
      <c r="J3190" s="1">
        <v>44824</v>
      </c>
      <c r="K3190" t="b">
        <v>1</v>
      </c>
    </row>
    <row r="3191" spans="1:11" x14ac:dyDescent="0.25">
      <c r="A3191" t="s">
        <v>1622</v>
      </c>
      <c r="B3191" t="s">
        <v>104</v>
      </c>
      <c r="C3191" t="s">
        <v>31</v>
      </c>
      <c r="D3191" t="s">
        <v>108</v>
      </c>
      <c r="E3191" s="2">
        <v>21.5</v>
      </c>
      <c r="F3191" s="4">
        <v>6</v>
      </c>
      <c r="G3191" s="2">
        <v>129</v>
      </c>
      <c r="H3191" t="s">
        <v>45</v>
      </c>
      <c r="I3191" t="s">
        <v>16</v>
      </c>
      <c r="J3191" s="1">
        <v>45149</v>
      </c>
      <c r="K3191" t="b">
        <v>0</v>
      </c>
    </row>
    <row r="3192" spans="1:11" x14ac:dyDescent="0.25">
      <c r="A3192" t="s">
        <v>4003</v>
      </c>
      <c r="B3192" t="s">
        <v>51</v>
      </c>
      <c r="C3192" t="s">
        <v>59</v>
      </c>
      <c r="D3192" t="s">
        <v>288</v>
      </c>
      <c r="E3192" s="2">
        <v>21.5</v>
      </c>
      <c r="F3192" s="4">
        <v>6</v>
      </c>
      <c r="G3192" s="2">
        <v>129</v>
      </c>
      <c r="H3192" t="s">
        <v>45</v>
      </c>
      <c r="I3192" t="s">
        <v>36</v>
      </c>
      <c r="J3192" s="1">
        <v>45422</v>
      </c>
      <c r="K3192" t="b">
        <v>1</v>
      </c>
    </row>
    <row r="3193" spans="1:11" x14ac:dyDescent="0.25">
      <c r="A3193" t="s">
        <v>7105</v>
      </c>
      <c r="B3193" t="s">
        <v>93</v>
      </c>
      <c r="C3193" t="s">
        <v>110</v>
      </c>
      <c r="D3193" t="s">
        <v>451</v>
      </c>
      <c r="E3193" s="2">
        <v>21.5</v>
      </c>
      <c r="F3193" s="4">
        <v>6</v>
      </c>
      <c r="G3193" s="2">
        <v>129</v>
      </c>
      <c r="H3193" t="s">
        <v>15</v>
      </c>
      <c r="I3193" t="s">
        <v>16</v>
      </c>
      <c r="J3193" s="1">
        <v>44663</v>
      </c>
      <c r="K3193" t="b">
        <v>0</v>
      </c>
    </row>
    <row r="3194" spans="1:11" x14ac:dyDescent="0.25">
      <c r="A3194" t="s">
        <v>5361</v>
      </c>
      <c r="B3194" t="s">
        <v>30</v>
      </c>
      <c r="C3194" t="s">
        <v>19</v>
      </c>
      <c r="D3194" t="s">
        <v>1410</v>
      </c>
      <c r="E3194" s="2">
        <v>21.5</v>
      </c>
      <c r="F3194" s="4">
        <v>6</v>
      </c>
      <c r="G3194" s="2">
        <v>129</v>
      </c>
      <c r="H3194" t="s">
        <v>45</v>
      </c>
      <c r="I3194" t="s">
        <v>36</v>
      </c>
      <c r="J3194" s="1">
        <v>45345</v>
      </c>
      <c r="K3194" t="b">
        <v>1</v>
      </c>
    </row>
    <row r="3195" spans="1:11" x14ac:dyDescent="0.25">
      <c r="A3195" t="s">
        <v>415</v>
      </c>
      <c r="B3195" t="s">
        <v>43</v>
      </c>
      <c r="C3195" t="s">
        <v>31</v>
      </c>
      <c r="D3195" t="s">
        <v>108</v>
      </c>
      <c r="E3195" s="2">
        <v>21.5</v>
      </c>
      <c r="F3195" s="4">
        <v>6</v>
      </c>
      <c r="G3195" s="2">
        <v>129</v>
      </c>
      <c r="H3195" t="s">
        <v>25</v>
      </c>
      <c r="I3195" t="s">
        <v>36</v>
      </c>
      <c r="J3195" s="1">
        <v>45228</v>
      </c>
      <c r="K3195" t="b">
        <v>1</v>
      </c>
    </row>
    <row r="3196" spans="1:11" x14ac:dyDescent="0.25">
      <c r="A3196" t="s">
        <v>6723</v>
      </c>
      <c r="B3196" t="s">
        <v>12</v>
      </c>
      <c r="C3196" t="s">
        <v>110</v>
      </c>
      <c r="D3196" t="s">
        <v>451</v>
      </c>
      <c r="E3196" s="2">
        <v>21.5</v>
      </c>
      <c r="F3196" s="4">
        <v>6</v>
      </c>
      <c r="G3196" s="2">
        <v>129</v>
      </c>
      <c r="H3196" t="s">
        <v>25</v>
      </c>
      <c r="I3196" t="s">
        <v>36</v>
      </c>
      <c r="J3196" s="1">
        <v>45238</v>
      </c>
      <c r="K3196" t="b">
        <v>1</v>
      </c>
    </row>
    <row r="3197" spans="1:11" x14ac:dyDescent="0.25">
      <c r="A3197" t="s">
        <v>3000</v>
      </c>
      <c r="B3197" t="s">
        <v>100</v>
      </c>
      <c r="C3197" t="s">
        <v>23</v>
      </c>
      <c r="D3197" t="s">
        <v>24</v>
      </c>
      <c r="E3197" s="2">
        <v>21.5</v>
      </c>
      <c r="F3197" s="4">
        <v>6</v>
      </c>
      <c r="G3197" s="2">
        <v>129</v>
      </c>
      <c r="H3197" t="s">
        <v>15</v>
      </c>
      <c r="I3197" t="s">
        <v>36</v>
      </c>
      <c r="J3197" s="1">
        <v>44830</v>
      </c>
      <c r="K3197" t="b">
        <v>0</v>
      </c>
    </row>
    <row r="3198" spans="1:11" x14ac:dyDescent="0.25">
      <c r="A3198" t="s">
        <v>4485</v>
      </c>
      <c r="B3198" t="s">
        <v>104</v>
      </c>
      <c r="C3198" t="s">
        <v>38</v>
      </c>
      <c r="D3198" t="s">
        <v>509</v>
      </c>
      <c r="E3198" s="2">
        <v>21.5</v>
      </c>
      <c r="F3198" s="4">
        <v>6</v>
      </c>
      <c r="G3198" s="2">
        <v>129</v>
      </c>
      <c r="H3198" t="s">
        <v>25</v>
      </c>
      <c r="I3198" t="s">
        <v>36</v>
      </c>
      <c r="J3198" s="1">
        <v>44968</v>
      </c>
      <c r="K3198" t="b">
        <v>0</v>
      </c>
    </row>
    <row r="3199" spans="1:11" x14ac:dyDescent="0.25">
      <c r="A3199" t="s">
        <v>3338</v>
      </c>
      <c r="B3199" t="s">
        <v>61</v>
      </c>
      <c r="C3199" t="s">
        <v>31</v>
      </c>
      <c r="D3199" t="s">
        <v>108</v>
      </c>
      <c r="E3199" s="2">
        <v>21.5</v>
      </c>
      <c r="F3199" s="4">
        <v>6</v>
      </c>
      <c r="G3199" s="2">
        <v>129</v>
      </c>
      <c r="H3199" t="s">
        <v>25</v>
      </c>
      <c r="I3199" t="s">
        <v>16</v>
      </c>
      <c r="J3199" s="1">
        <v>45329</v>
      </c>
      <c r="K3199" t="b">
        <v>0</v>
      </c>
    </row>
    <row r="3200" spans="1:11" x14ac:dyDescent="0.25">
      <c r="A3200" t="s">
        <v>6330</v>
      </c>
      <c r="B3200" t="s">
        <v>104</v>
      </c>
      <c r="C3200" t="s">
        <v>110</v>
      </c>
      <c r="D3200" t="s">
        <v>451</v>
      </c>
      <c r="E3200" s="2">
        <v>21.5</v>
      </c>
      <c r="F3200" s="4">
        <v>6</v>
      </c>
      <c r="G3200" s="2">
        <v>129</v>
      </c>
      <c r="H3200" t="s">
        <v>45</v>
      </c>
      <c r="I3200" t="s">
        <v>16</v>
      </c>
      <c r="J3200" s="1">
        <v>45361</v>
      </c>
      <c r="K3200" t="b">
        <v>1</v>
      </c>
    </row>
    <row r="3201" spans="1:11" x14ac:dyDescent="0.25">
      <c r="A3201" t="s">
        <v>5351</v>
      </c>
      <c r="B3201" t="s">
        <v>30</v>
      </c>
      <c r="C3201" t="s">
        <v>110</v>
      </c>
      <c r="D3201" t="s">
        <v>451</v>
      </c>
      <c r="E3201" s="2">
        <v>21.5</v>
      </c>
      <c r="F3201" s="4">
        <v>6</v>
      </c>
      <c r="G3201" s="2">
        <v>129</v>
      </c>
      <c r="H3201" t="s">
        <v>45</v>
      </c>
      <c r="I3201" t="s">
        <v>16</v>
      </c>
      <c r="J3201" s="1">
        <v>45513</v>
      </c>
      <c r="K3201" t="b">
        <v>1</v>
      </c>
    </row>
    <row r="3202" spans="1:11" x14ac:dyDescent="0.25">
      <c r="A3202" t="s">
        <v>1793</v>
      </c>
      <c r="B3202" t="s">
        <v>61</v>
      </c>
      <c r="C3202" t="s">
        <v>23</v>
      </c>
      <c r="D3202" t="s">
        <v>24</v>
      </c>
      <c r="E3202" s="2">
        <v>21.5</v>
      </c>
      <c r="F3202" s="4">
        <v>6</v>
      </c>
      <c r="G3202" s="2">
        <v>129</v>
      </c>
      <c r="H3202" t="s">
        <v>15</v>
      </c>
      <c r="I3202" t="s">
        <v>36</v>
      </c>
      <c r="J3202" s="1">
        <v>44843</v>
      </c>
      <c r="K3202" t="b">
        <v>0</v>
      </c>
    </row>
    <row r="3203" spans="1:11" x14ac:dyDescent="0.25">
      <c r="A3203" t="s">
        <v>2108</v>
      </c>
      <c r="B3203" t="s">
        <v>30</v>
      </c>
      <c r="C3203" t="s">
        <v>59</v>
      </c>
      <c r="D3203" t="s">
        <v>288</v>
      </c>
      <c r="E3203" s="2">
        <v>21.5</v>
      </c>
      <c r="F3203" s="4">
        <v>6</v>
      </c>
      <c r="G3203" s="2">
        <v>129</v>
      </c>
      <c r="H3203" t="s">
        <v>25</v>
      </c>
      <c r="I3203" t="s">
        <v>36</v>
      </c>
      <c r="J3203" s="1">
        <v>44783</v>
      </c>
      <c r="K3203" t="b">
        <v>1</v>
      </c>
    </row>
    <row r="3204" spans="1:11" x14ac:dyDescent="0.25">
      <c r="A3204" t="s">
        <v>5377</v>
      </c>
      <c r="B3204" t="s">
        <v>34</v>
      </c>
      <c r="C3204" t="s">
        <v>23</v>
      </c>
      <c r="D3204" t="s">
        <v>24</v>
      </c>
      <c r="E3204" s="2">
        <v>21.5</v>
      </c>
      <c r="F3204" s="4">
        <v>6</v>
      </c>
      <c r="G3204" s="2">
        <v>129</v>
      </c>
      <c r="H3204" t="s">
        <v>15</v>
      </c>
      <c r="I3204" t="s">
        <v>36</v>
      </c>
      <c r="J3204" s="1">
        <v>44628</v>
      </c>
      <c r="K3204" t="b">
        <v>1</v>
      </c>
    </row>
    <row r="3205" spans="1:11" x14ac:dyDescent="0.25">
      <c r="A3205" t="s">
        <v>4723</v>
      </c>
      <c r="B3205" t="s">
        <v>69</v>
      </c>
      <c r="C3205" t="s">
        <v>110</v>
      </c>
      <c r="D3205" t="s">
        <v>451</v>
      </c>
      <c r="E3205" s="2">
        <v>21.5</v>
      </c>
      <c r="F3205" s="4">
        <v>6</v>
      </c>
      <c r="G3205" s="2">
        <v>129</v>
      </c>
      <c r="H3205" t="s">
        <v>45</v>
      </c>
      <c r="I3205" t="s">
        <v>16</v>
      </c>
      <c r="J3205" s="1">
        <v>44987</v>
      </c>
      <c r="K3205" t="b">
        <v>1</v>
      </c>
    </row>
    <row r="3206" spans="1:11" x14ac:dyDescent="0.25">
      <c r="A3206" t="s">
        <v>5468</v>
      </c>
      <c r="B3206" t="s">
        <v>93</v>
      </c>
      <c r="C3206" t="s">
        <v>110</v>
      </c>
      <c r="D3206" t="s">
        <v>282</v>
      </c>
      <c r="E3206" s="2">
        <v>32</v>
      </c>
      <c r="F3206" s="4">
        <v>4</v>
      </c>
      <c r="G3206" s="2">
        <v>128</v>
      </c>
      <c r="H3206" t="s">
        <v>45</v>
      </c>
      <c r="I3206" t="s">
        <v>36</v>
      </c>
      <c r="J3206" s="1">
        <v>45118</v>
      </c>
      <c r="K3206" t="b">
        <v>1</v>
      </c>
    </row>
    <row r="3207" spans="1:11" x14ac:dyDescent="0.25">
      <c r="A3207" t="s">
        <v>3775</v>
      </c>
      <c r="B3207" t="s">
        <v>12</v>
      </c>
      <c r="C3207" t="s">
        <v>110</v>
      </c>
      <c r="D3207" t="s">
        <v>282</v>
      </c>
      <c r="E3207" s="2">
        <v>32</v>
      </c>
      <c r="F3207" s="4">
        <v>4</v>
      </c>
      <c r="G3207" s="2">
        <v>128</v>
      </c>
      <c r="H3207" t="s">
        <v>25</v>
      </c>
      <c r="I3207" t="s">
        <v>16</v>
      </c>
      <c r="J3207" s="1">
        <v>45635</v>
      </c>
      <c r="K3207" t="b">
        <v>0</v>
      </c>
    </row>
    <row r="3208" spans="1:11" x14ac:dyDescent="0.25">
      <c r="A3208" t="s">
        <v>7737</v>
      </c>
      <c r="B3208" t="s">
        <v>104</v>
      </c>
      <c r="C3208" t="s">
        <v>59</v>
      </c>
      <c r="D3208" t="s">
        <v>254</v>
      </c>
      <c r="E3208" s="2">
        <v>32</v>
      </c>
      <c r="F3208" s="4">
        <v>4</v>
      </c>
      <c r="G3208" s="2">
        <v>128</v>
      </c>
      <c r="H3208" t="s">
        <v>45</v>
      </c>
      <c r="I3208" t="s">
        <v>16</v>
      </c>
      <c r="J3208" s="1">
        <v>45099</v>
      </c>
      <c r="K3208" t="b">
        <v>1</v>
      </c>
    </row>
    <row r="3209" spans="1:11" x14ac:dyDescent="0.25">
      <c r="A3209" t="s">
        <v>4067</v>
      </c>
      <c r="B3209" t="s">
        <v>40</v>
      </c>
      <c r="C3209" t="s">
        <v>110</v>
      </c>
      <c r="D3209" t="s">
        <v>282</v>
      </c>
      <c r="E3209" s="2">
        <v>32</v>
      </c>
      <c r="F3209" s="4">
        <v>4</v>
      </c>
      <c r="G3209" s="2">
        <v>128</v>
      </c>
      <c r="H3209" t="s">
        <v>45</v>
      </c>
      <c r="I3209" t="s">
        <v>36</v>
      </c>
      <c r="J3209" s="1">
        <v>45248</v>
      </c>
      <c r="K3209" t="b">
        <v>0</v>
      </c>
    </row>
    <row r="3210" spans="1:11" x14ac:dyDescent="0.25">
      <c r="A3210" t="s">
        <v>3203</v>
      </c>
      <c r="B3210" t="s">
        <v>34</v>
      </c>
      <c r="C3210" t="s">
        <v>110</v>
      </c>
      <c r="D3210" t="s">
        <v>282</v>
      </c>
      <c r="E3210" s="2">
        <v>32</v>
      </c>
      <c r="F3210" s="4">
        <v>4</v>
      </c>
      <c r="G3210" s="2">
        <v>128</v>
      </c>
      <c r="H3210" t="s">
        <v>15</v>
      </c>
      <c r="I3210" t="s">
        <v>16</v>
      </c>
      <c r="J3210" s="1">
        <v>45653</v>
      </c>
      <c r="K3210" t="b">
        <v>0</v>
      </c>
    </row>
    <row r="3211" spans="1:11" x14ac:dyDescent="0.25">
      <c r="A3211" t="s">
        <v>7489</v>
      </c>
      <c r="B3211" t="s">
        <v>12</v>
      </c>
      <c r="C3211" t="s">
        <v>19</v>
      </c>
      <c r="D3211" t="s">
        <v>120</v>
      </c>
      <c r="E3211" s="2">
        <v>32</v>
      </c>
      <c r="F3211" s="4">
        <v>4</v>
      </c>
      <c r="G3211" s="2">
        <v>128</v>
      </c>
      <c r="H3211" t="s">
        <v>45</v>
      </c>
      <c r="I3211" t="s">
        <v>36</v>
      </c>
      <c r="J3211" s="1">
        <v>44593</v>
      </c>
      <c r="K3211" t="b">
        <v>1</v>
      </c>
    </row>
    <row r="3212" spans="1:11" x14ac:dyDescent="0.25">
      <c r="A3212" t="s">
        <v>2395</v>
      </c>
      <c r="B3212" t="s">
        <v>40</v>
      </c>
      <c r="C3212" t="s">
        <v>110</v>
      </c>
      <c r="D3212" t="s">
        <v>282</v>
      </c>
      <c r="E3212" s="2">
        <v>32</v>
      </c>
      <c r="F3212" s="4">
        <v>4</v>
      </c>
      <c r="G3212" s="2">
        <v>128</v>
      </c>
      <c r="H3212" t="s">
        <v>15</v>
      </c>
      <c r="I3212" t="s">
        <v>36</v>
      </c>
      <c r="J3212" s="1">
        <v>45454</v>
      </c>
      <c r="K3212" t="b">
        <v>0</v>
      </c>
    </row>
    <row r="3213" spans="1:11" x14ac:dyDescent="0.25">
      <c r="A3213" t="s">
        <v>5852</v>
      </c>
      <c r="B3213" t="s">
        <v>56</v>
      </c>
      <c r="C3213" t="s">
        <v>19</v>
      </c>
      <c r="D3213" t="s">
        <v>120</v>
      </c>
      <c r="E3213" s="2">
        <v>32</v>
      </c>
      <c r="F3213" s="4">
        <v>4</v>
      </c>
      <c r="G3213" s="2">
        <v>128</v>
      </c>
      <c r="H3213" t="s">
        <v>15</v>
      </c>
      <c r="I3213" t="s">
        <v>36</v>
      </c>
      <c r="J3213" s="1">
        <v>45065</v>
      </c>
      <c r="K3213" t="b">
        <v>0</v>
      </c>
    </row>
    <row r="3214" spans="1:11" x14ac:dyDescent="0.25">
      <c r="A3214" t="s">
        <v>3556</v>
      </c>
      <c r="B3214" t="s">
        <v>86</v>
      </c>
      <c r="C3214" t="s">
        <v>19</v>
      </c>
      <c r="D3214" t="s">
        <v>120</v>
      </c>
      <c r="E3214" s="2">
        <v>32</v>
      </c>
      <c r="F3214" s="4">
        <v>4</v>
      </c>
      <c r="G3214" s="2">
        <v>128</v>
      </c>
      <c r="H3214" t="s">
        <v>25</v>
      </c>
      <c r="I3214" t="s">
        <v>16</v>
      </c>
      <c r="J3214" s="1">
        <v>45334</v>
      </c>
      <c r="K3214" t="b">
        <v>0</v>
      </c>
    </row>
    <row r="3215" spans="1:11" x14ac:dyDescent="0.25">
      <c r="A3215" t="s">
        <v>4136</v>
      </c>
      <c r="B3215" t="s">
        <v>12</v>
      </c>
      <c r="C3215" t="s">
        <v>13</v>
      </c>
      <c r="D3215" t="s">
        <v>426</v>
      </c>
      <c r="E3215" s="2">
        <v>32</v>
      </c>
      <c r="F3215" s="4">
        <v>4</v>
      </c>
      <c r="G3215" s="2">
        <v>128</v>
      </c>
      <c r="H3215" t="s">
        <v>45</v>
      </c>
      <c r="I3215" t="s">
        <v>16</v>
      </c>
      <c r="J3215" s="1">
        <v>45283</v>
      </c>
      <c r="K3215" t="b">
        <v>0</v>
      </c>
    </row>
    <row r="3216" spans="1:11" x14ac:dyDescent="0.25">
      <c r="A3216" t="s">
        <v>7391</v>
      </c>
      <c r="B3216" t="s">
        <v>30</v>
      </c>
      <c r="C3216" t="s">
        <v>19</v>
      </c>
      <c r="D3216" t="s">
        <v>120</v>
      </c>
      <c r="E3216" s="2">
        <v>32</v>
      </c>
      <c r="F3216" s="4">
        <v>4</v>
      </c>
      <c r="G3216" s="2">
        <v>128</v>
      </c>
      <c r="H3216" t="s">
        <v>45</v>
      </c>
      <c r="I3216" t="s">
        <v>36</v>
      </c>
      <c r="J3216" s="1">
        <v>45564</v>
      </c>
      <c r="K3216" t="b">
        <v>0</v>
      </c>
    </row>
    <row r="3217" spans="1:11" x14ac:dyDescent="0.25">
      <c r="A3217" t="s">
        <v>5924</v>
      </c>
      <c r="B3217" t="s">
        <v>86</v>
      </c>
      <c r="C3217" t="s">
        <v>31</v>
      </c>
      <c r="D3217" t="s">
        <v>1505</v>
      </c>
      <c r="E3217" s="2">
        <v>32</v>
      </c>
      <c r="F3217" s="4">
        <v>4</v>
      </c>
      <c r="G3217" s="2">
        <v>128</v>
      </c>
      <c r="H3217" t="s">
        <v>45</v>
      </c>
      <c r="I3217" t="s">
        <v>36</v>
      </c>
      <c r="J3217" s="1">
        <v>44869</v>
      </c>
      <c r="K3217" t="b">
        <v>1</v>
      </c>
    </row>
    <row r="3218" spans="1:11" x14ac:dyDescent="0.25">
      <c r="A3218" t="s">
        <v>5222</v>
      </c>
      <c r="B3218" t="s">
        <v>40</v>
      </c>
      <c r="C3218" t="s">
        <v>19</v>
      </c>
      <c r="D3218" t="s">
        <v>120</v>
      </c>
      <c r="E3218" s="2">
        <v>32</v>
      </c>
      <c r="F3218" s="4">
        <v>4</v>
      </c>
      <c r="G3218" s="2">
        <v>128</v>
      </c>
      <c r="H3218" t="s">
        <v>45</v>
      </c>
      <c r="I3218" t="s">
        <v>16</v>
      </c>
      <c r="J3218" s="1">
        <v>44729</v>
      </c>
      <c r="K3218" t="b">
        <v>0</v>
      </c>
    </row>
    <row r="3219" spans="1:11" x14ac:dyDescent="0.25">
      <c r="A3219" t="s">
        <v>7262</v>
      </c>
      <c r="B3219" t="s">
        <v>100</v>
      </c>
      <c r="C3219" t="s">
        <v>27</v>
      </c>
      <c r="D3219" t="s">
        <v>207</v>
      </c>
      <c r="E3219" s="2">
        <v>32</v>
      </c>
      <c r="F3219" s="4">
        <v>4</v>
      </c>
      <c r="G3219" s="2">
        <v>128</v>
      </c>
      <c r="H3219" t="s">
        <v>15</v>
      </c>
      <c r="I3219" t="s">
        <v>16</v>
      </c>
      <c r="J3219" s="1">
        <v>45250</v>
      </c>
      <c r="K3219" t="b">
        <v>0</v>
      </c>
    </row>
    <row r="3220" spans="1:11" x14ac:dyDescent="0.25">
      <c r="A3220" t="s">
        <v>5609</v>
      </c>
      <c r="B3220" t="s">
        <v>97</v>
      </c>
      <c r="C3220" t="s">
        <v>23</v>
      </c>
      <c r="D3220" t="s">
        <v>708</v>
      </c>
      <c r="E3220" s="2">
        <v>32</v>
      </c>
      <c r="F3220" s="4">
        <v>4</v>
      </c>
      <c r="G3220" s="2">
        <v>128</v>
      </c>
      <c r="H3220" t="s">
        <v>15</v>
      </c>
      <c r="I3220" t="s">
        <v>16</v>
      </c>
      <c r="J3220" s="1">
        <v>45497</v>
      </c>
      <c r="K3220" t="b">
        <v>1</v>
      </c>
    </row>
    <row r="3221" spans="1:11" x14ac:dyDescent="0.25">
      <c r="A3221" t="s">
        <v>6972</v>
      </c>
      <c r="B3221" t="s">
        <v>104</v>
      </c>
      <c r="C3221" t="s">
        <v>27</v>
      </c>
      <c r="D3221" t="s">
        <v>207</v>
      </c>
      <c r="E3221" s="2">
        <v>32</v>
      </c>
      <c r="F3221" s="4">
        <v>4</v>
      </c>
      <c r="G3221" s="2">
        <v>128</v>
      </c>
      <c r="H3221" t="s">
        <v>15</v>
      </c>
      <c r="I3221" t="s">
        <v>16</v>
      </c>
      <c r="J3221" s="1">
        <v>44951</v>
      </c>
      <c r="K3221" t="b">
        <v>1</v>
      </c>
    </row>
    <row r="3222" spans="1:11" x14ac:dyDescent="0.25">
      <c r="A3222" t="s">
        <v>2787</v>
      </c>
      <c r="B3222" t="s">
        <v>86</v>
      </c>
      <c r="C3222" t="s">
        <v>23</v>
      </c>
      <c r="D3222" t="s">
        <v>708</v>
      </c>
      <c r="E3222" s="2">
        <v>32</v>
      </c>
      <c r="F3222" s="4">
        <v>4</v>
      </c>
      <c r="G3222" s="2">
        <v>128</v>
      </c>
      <c r="H3222" t="s">
        <v>15</v>
      </c>
      <c r="I3222" t="s">
        <v>36</v>
      </c>
      <c r="J3222" s="1">
        <v>44705</v>
      </c>
      <c r="K3222" t="b">
        <v>1</v>
      </c>
    </row>
    <row r="3223" spans="1:11" x14ac:dyDescent="0.25">
      <c r="A3223" t="s">
        <v>359</v>
      </c>
      <c r="B3223" t="s">
        <v>61</v>
      </c>
      <c r="C3223" t="s">
        <v>19</v>
      </c>
      <c r="D3223" t="s">
        <v>120</v>
      </c>
      <c r="E3223" s="2">
        <v>32</v>
      </c>
      <c r="F3223" s="4">
        <v>4</v>
      </c>
      <c r="G3223" s="2">
        <v>128</v>
      </c>
      <c r="H3223" t="s">
        <v>25</v>
      </c>
      <c r="I3223" t="s">
        <v>36</v>
      </c>
      <c r="J3223" s="1">
        <v>44844</v>
      </c>
      <c r="K3223" t="b">
        <v>0</v>
      </c>
    </row>
    <row r="3224" spans="1:11" x14ac:dyDescent="0.25">
      <c r="A3224" t="s">
        <v>2036</v>
      </c>
      <c r="B3224" t="s">
        <v>100</v>
      </c>
      <c r="C3224" t="s">
        <v>19</v>
      </c>
      <c r="D3224" t="s">
        <v>120</v>
      </c>
      <c r="E3224" s="2">
        <v>32</v>
      </c>
      <c r="F3224" s="4">
        <v>4</v>
      </c>
      <c r="G3224" s="2">
        <v>128</v>
      </c>
      <c r="H3224" t="s">
        <v>45</v>
      </c>
      <c r="I3224" t="s">
        <v>16</v>
      </c>
      <c r="J3224" s="1">
        <v>45285</v>
      </c>
      <c r="K3224" t="b">
        <v>1</v>
      </c>
    </row>
    <row r="3225" spans="1:11" x14ac:dyDescent="0.25">
      <c r="A3225" t="s">
        <v>7632</v>
      </c>
      <c r="B3225" t="s">
        <v>58</v>
      </c>
      <c r="C3225" t="s">
        <v>23</v>
      </c>
      <c r="D3225" t="s">
        <v>708</v>
      </c>
      <c r="E3225" s="2">
        <v>32</v>
      </c>
      <c r="F3225" s="4">
        <v>4</v>
      </c>
      <c r="G3225" s="2">
        <v>128</v>
      </c>
      <c r="H3225" t="s">
        <v>45</v>
      </c>
      <c r="I3225" t="s">
        <v>36</v>
      </c>
      <c r="J3225" s="1">
        <v>44813</v>
      </c>
      <c r="K3225" t="b">
        <v>0</v>
      </c>
    </row>
    <row r="3226" spans="1:11" x14ac:dyDescent="0.25">
      <c r="A3226" t="s">
        <v>3741</v>
      </c>
      <c r="B3226" t="s">
        <v>56</v>
      </c>
      <c r="C3226" t="s">
        <v>59</v>
      </c>
      <c r="D3226" t="s">
        <v>254</v>
      </c>
      <c r="E3226" s="2">
        <v>32</v>
      </c>
      <c r="F3226" s="4">
        <v>4</v>
      </c>
      <c r="G3226" s="2">
        <v>128</v>
      </c>
      <c r="H3226" t="s">
        <v>15</v>
      </c>
      <c r="I3226" t="s">
        <v>16</v>
      </c>
      <c r="J3226" s="1">
        <v>45551</v>
      </c>
      <c r="K3226" t="b">
        <v>1</v>
      </c>
    </row>
    <row r="3227" spans="1:11" x14ac:dyDescent="0.25">
      <c r="A3227" t="s">
        <v>3442</v>
      </c>
      <c r="B3227" t="s">
        <v>34</v>
      </c>
      <c r="C3227" t="s">
        <v>110</v>
      </c>
      <c r="D3227" t="s">
        <v>282</v>
      </c>
      <c r="E3227" s="2">
        <v>32</v>
      </c>
      <c r="F3227" s="4">
        <v>4</v>
      </c>
      <c r="G3227" s="2">
        <v>128</v>
      </c>
      <c r="H3227" t="s">
        <v>15</v>
      </c>
      <c r="I3227" t="s">
        <v>16</v>
      </c>
      <c r="J3227" s="1">
        <v>44935</v>
      </c>
      <c r="K3227" t="b">
        <v>1</v>
      </c>
    </row>
    <row r="3228" spans="1:11" x14ac:dyDescent="0.25">
      <c r="A3228" t="s">
        <v>3541</v>
      </c>
      <c r="B3228" t="s">
        <v>34</v>
      </c>
      <c r="C3228" t="s">
        <v>23</v>
      </c>
      <c r="D3228" t="s">
        <v>708</v>
      </c>
      <c r="E3228" s="2">
        <v>32</v>
      </c>
      <c r="F3228" s="4">
        <v>4</v>
      </c>
      <c r="G3228" s="2">
        <v>128</v>
      </c>
      <c r="H3228" t="s">
        <v>25</v>
      </c>
      <c r="I3228" t="s">
        <v>16</v>
      </c>
      <c r="J3228" s="1">
        <v>44868</v>
      </c>
      <c r="K3228" t="b">
        <v>0</v>
      </c>
    </row>
    <row r="3229" spans="1:11" x14ac:dyDescent="0.25">
      <c r="A3229" t="s">
        <v>6749</v>
      </c>
      <c r="B3229" t="s">
        <v>43</v>
      </c>
      <c r="C3229" t="s">
        <v>19</v>
      </c>
      <c r="D3229" t="s">
        <v>120</v>
      </c>
      <c r="E3229" s="2">
        <v>32</v>
      </c>
      <c r="F3229" s="4">
        <v>4</v>
      </c>
      <c r="G3229" s="2">
        <v>128</v>
      </c>
      <c r="H3229" t="s">
        <v>45</v>
      </c>
      <c r="I3229" t="s">
        <v>16</v>
      </c>
      <c r="J3229" s="1">
        <v>44882</v>
      </c>
      <c r="K3229" t="b">
        <v>0</v>
      </c>
    </row>
    <row r="3230" spans="1:11" x14ac:dyDescent="0.25">
      <c r="A3230" t="s">
        <v>2941</v>
      </c>
      <c r="B3230" t="s">
        <v>72</v>
      </c>
      <c r="C3230" t="s">
        <v>110</v>
      </c>
      <c r="D3230" t="s">
        <v>282</v>
      </c>
      <c r="E3230" s="2">
        <v>32</v>
      </c>
      <c r="F3230" s="4">
        <v>4</v>
      </c>
      <c r="G3230" s="2">
        <v>128</v>
      </c>
      <c r="H3230" t="s">
        <v>15</v>
      </c>
      <c r="I3230" t="s">
        <v>36</v>
      </c>
      <c r="J3230" s="1">
        <v>44889</v>
      </c>
      <c r="K3230" t="b">
        <v>1</v>
      </c>
    </row>
    <row r="3231" spans="1:11" x14ac:dyDescent="0.25">
      <c r="A3231" t="s">
        <v>6383</v>
      </c>
      <c r="B3231" t="s">
        <v>56</v>
      </c>
      <c r="C3231" t="s">
        <v>23</v>
      </c>
      <c r="D3231" t="s">
        <v>708</v>
      </c>
      <c r="E3231" s="2">
        <v>32</v>
      </c>
      <c r="F3231" s="4">
        <v>4</v>
      </c>
      <c r="G3231" s="2">
        <v>128</v>
      </c>
      <c r="H3231" t="s">
        <v>25</v>
      </c>
      <c r="I3231" t="s">
        <v>16</v>
      </c>
      <c r="J3231" s="1">
        <v>45555</v>
      </c>
      <c r="K3231" t="b">
        <v>0</v>
      </c>
    </row>
    <row r="3232" spans="1:11" x14ac:dyDescent="0.25">
      <c r="A3232" t="s">
        <v>7110</v>
      </c>
      <c r="B3232" t="s">
        <v>69</v>
      </c>
      <c r="C3232" t="s">
        <v>19</v>
      </c>
      <c r="D3232" t="s">
        <v>120</v>
      </c>
      <c r="E3232" s="2">
        <v>32</v>
      </c>
      <c r="F3232" s="4">
        <v>4</v>
      </c>
      <c r="G3232" s="2">
        <v>128</v>
      </c>
      <c r="H3232" t="s">
        <v>45</v>
      </c>
      <c r="I3232" t="s">
        <v>16</v>
      </c>
      <c r="J3232" s="1">
        <v>45033</v>
      </c>
      <c r="K3232" t="b">
        <v>0</v>
      </c>
    </row>
    <row r="3233" spans="1:11" x14ac:dyDescent="0.25">
      <c r="A3233" t="s">
        <v>339</v>
      </c>
      <c r="B3233" t="s">
        <v>30</v>
      </c>
      <c r="C3233" t="s">
        <v>110</v>
      </c>
      <c r="D3233" t="s">
        <v>282</v>
      </c>
      <c r="E3233" s="2">
        <v>32</v>
      </c>
      <c r="F3233" s="4">
        <v>4</v>
      </c>
      <c r="G3233" s="2">
        <v>128</v>
      </c>
      <c r="H3233" t="s">
        <v>45</v>
      </c>
      <c r="I3233" t="s">
        <v>36</v>
      </c>
      <c r="J3233" s="1">
        <v>45634</v>
      </c>
      <c r="K3233" t="b">
        <v>0</v>
      </c>
    </row>
    <row r="3234" spans="1:11" x14ac:dyDescent="0.25">
      <c r="A3234" t="s">
        <v>1592</v>
      </c>
      <c r="B3234" t="s">
        <v>12</v>
      </c>
      <c r="C3234" t="s">
        <v>23</v>
      </c>
      <c r="D3234" t="s">
        <v>708</v>
      </c>
      <c r="E3234" s="2">
        <v>32</v>
      </c>
      <c r="F3234" s="4">
        <v>4</v>
      </c>
      <c r="G3234" s="2">
        <v>128</v>
      </c>
      <c r="H3234" t="s">
        <v>25</v>
      </c>
      <c r="I3234" t="s">
        <v>16</v>
      </c>
      <c r="J3234" s="1">
        <v>44697</v>
      </c>
      <c r="K3234" t="b">
        <v>0</v>
      </c>
    </row>
    <row r="3235" spans="1:11" x14ac:dyDescent="0.25">
      <c r="A3235" t="s">
        <v>1323</v>
      </c>
      <c r="B3235" t="s">
        <v>40</v>
      </c>
      <c r="C3235" t="s">
        <v>59</v>
      </c>
      <c r="D3235" t="s">
        <v>254</v>
      </c>
      <c r="E3235" s="2">
        <v>32</v>
      </c>
      <c r="F3235" s="4">
        <v>4</v>
      </c>
      <c r="G3235" s="2">
        <v>128</v>
      </c>
      <c r="H3235" t="s">
        <v>45</v>
      </c>
      <c r="I3235" t="s">
        <v>16</v>
      </c>
      <c r="J3235" s="1">
        <v>45282</v>
      </c>
      <c r="K3235" t="b">
        <v>0</v>
      </c>
    </row>
    <row r="3236" spans="1:11" x14ac:dyDescent="0.25">
      <c r="A3236" t="s">
        <v>6744</v>
      </c>
      <c r="B3236" t="s">
        <v>51</v>
      </c>
      <c r="C3236" t="s">
        <v>23</v>
      </c>
      <c r="D3236" t="s">
        <v>708</v>
      </c>
      <c r="E3236" s="2">
        <v>32</v>
      </c>
      <c r="F3236" s="4">
        <v>4</v>
      </c>
      <c r="G3236" s="2">
        <v>128</v>
      </c>
      <c r="H3236" t="s">
        <v>15</v>
      </c>
      <c r="I3236" t="s">
        <v>36</v>
      </c>
      <c r="J3236" s="1">
        <v>45445</v>
      </c>
      <c r="K3236" t="b">
        <v>1</v>
      </c>
    </row>
    <row r="3237" spans="1:11" x14ac:dyDescent="0.25">
      <c r="A3237" t="s">
        <v>7581</v>
      </c>
      <c r="B3237" t="s">
        <v>30</v>
      </c>
      <c r="C3237" t="s">
        <v>38</v>
      </c>
      <c r="D3237" t="s">
        <v>123</v>
      </c>
      <c r="E3237" s="2">
        <v>14</v>
      </c>
      <c r="F3237" s="4">
        <v>9</v>
      </c>
      <c r="G3237" s="2">
        <v>126</v>
      </c>
      <c r="H3237" t="s">
        <v>45</v>
      </c>
      <c r="I3237" t="s">
        <v>36</v>
      </c>
      <c r="J3237" s="1">
        <v>45136</v>
      </c>
      <c r="K3237" t="b">
        <v>1</v>
      </c>
    </row>
    <row r="3238" spans="1:11" x14ac:dyDescent="0.25">
      <c r="A3238" t="s">
        <v>648</v>
      </c>
      <c r="B3238" t="s">
        <v>30</v>
      </c>
      <c r="C3238" t="s">
        <v>13</v>
      </c>
      <c r="D3238" t="s">
        <v>151</v>
      </c>
      <c r="E3238" s="2">
        <v>14</v>
      </c>
      <c r="F3238" s="4">
        <v>9</v>
      </c>
      <c r="G3238" s="2">
        <v>126</v>
      </c>
      <c r="H3238" t="s">
        <v>15</v>
      </c>
      <c r="I3238" t="s">
        <v>36</v>
      </c>
      <c r="J3238" s="1">
        <v>44830</v>
      </c>
      <c r="K3238" t="b">
        <v>0</v>
      </c>
    </row>
    <row r="3239" spans="1:11" x14ac:dyDescent="0.25">
      <c r="A3239" t="s">
        <v>839</v>
      </c>
      <c r="B3239" t="s">
        <v>104</v>
      </c>
      <c r="C3239" t="s">
        <v>110</v>
      </c>
      <c r="D3239" t="s">
        <v>176</v>
      </c>
      <c r="E3239" s="2">
        <v>14</v>
      </c>
      <c r="F3239" s="4">
        <v>9</v>
      </c>
      <c r="G3239" s="2">
        <v>126</v>
      </c>
      <c r="H3239" t="s">
        <v>25</v>
      </c>
      <c r="I3239" t="s">
        <v>36</v>
      </c>
      <c r="J3239" s="1">
        <v>45078</v>
      </c>
      <c r="K3239" t="b">
        <v>0</v>
      </c>
    </row>
    <row r="3240" spans="1:11" x14ac:dyDescent="0.25">
      <c r="A3240" t="s">
        <v>2866</v>
      </c>
      <c r="B3240" t="s">
        <v>72</v>
      </c>
      <c r="C3240" t="s">
        <v>27</v>
      </c>
      <c r="D3240" t="s">
        <v>62</v>
      </c>
      <c r="E3240" s="2">
        <v>14</v>
      </c>
      <c r="F3240" s="4">
        <v>9</v>
      </c>
      <c r="G3240" s="2">
        <v>126</v>
      </c>
      <c r="H3240" t="s">
        <v>25</v>
      </c>
      <c r="I3240" t="s">
        <v>36</v>
      </c>
      <c r="J3240" s="1">
        <v>45505</v>
      </c>
      <c r="K3240" t="b">
        <v>1</v>
      </c>
    </row>
    <row r="3241" spans="1:11" x14ac:dyDescent="0.25">
      <c r="A3241" t="s">
        <v>4498</v>
      </c>
      <c r="B3241" t="s">
        <v>72</v>
      </c>
      <c r="C3241" t="s">
        <v>27</v>
      </c>
      <c r="D3241" t="s">
        <v>62</v>
      </c>
      <c r="E3241" s="2">
        <v>14</v>
      </c>
      <c r="F3241" s="4">
        <v>9</v>
      </c>
      <c r="G3241" s="2">
        <v>126</v>
      </c>
      <c r="H3241" t="s">
        <v>15</v>
      </c>
      <c r="I3241" t="s">
        <v>36</v>
      </c>
      <c r="J3241" s="1">
        <v>45521</v>
      </c>
      <c r="K3241" t="b">
        <v>0</v>
      </c>
    </row>
    <row r="3242" spans="1:11" x14ac:dyDescent="0.25">
      <c r="A3242" t="s">
        <v>3709</v>
      </c>
      <c r="B3242" t="s">
        <v>18</v>
      </c>
      <c r="C3242" t="s">
        <v>38</v>
      </c>
      <c r="D3242" t="s">
        <v>123</v>
      </c>
      <c r="E3242" s="2">
        <v>14</v>
      </c>
      <c r="F3242" s="4">
        <v>9</v>
      </c>
      <c r="G3242" s="2">
        <v>126</v>
      </c>
      <c r="H3242" t="s">
        <v>15</v>
      </c>
      <c r="I3242" t="s">
        <v>36</v>
      </c>
      <c r="J3242" s="1">
        <v>45519</v>
      </c>
      <c r="K3242" t="b">
        <v>1</v>
      </c>
    </row>
    <row r="3243" spans="1:11" x14ac:dyDescent="0.25">
      <c r="A3243" t="s">
        <v>4574</v>
      </c>
      <c r="B3243" t="s">
        <v>86</v>
      </c>
      <c r="C3243" t="s">
        <v>27</v>
      </c>
      <c r="D3243" t="s">
        <v>62</v>
      </c>
      <c r="E3243" s="2">
        <v>14</v>
      </c>
      <c r="F3243" s="4">
        <v>9</v>
      </c>
      <c r="G3243" s="2">
        <v>126</v>
      </c>
      <c r="H3243" t="s">
        <v>15</v>
      </c>
      <c r="I3243" t="s">
        <v>16</v>
      </c>
      <c r="J3243" s="1">
        <v>45618</v>
      </c>
      <c r="K3243" t="b">
        <v>1</v>
      </c>
    </row>
    <row r="3244" spans="1:11" x14ac:dyDescent="0.25">
      <c r="A3244" t="s">
        <v>7714</v>
      </c>
      <c r="B3244" t="s">
        <v>93</v>
      </c>
      <c r="C3244" t="s">
        <v>19</v>
      </c>
      <c r="D3244" t="s">
        <v>756</v>
      </c>
      <c r="E3244" s="2">
        <v>14</v>
      </c>
      <c r="F3244" s="4">
        <v>9</v>
      </c>
      <c r="G3244" s="2">
        <v>126</v>
      </c>
      <c r="H3244" t="s">
        <v>15</v>
      </c>
      <c r="I3244" t="s">
        <v>36</v>
      </c>
      <c r="J3244" s="1">
        <v>45478</v>
      </c>
      <c r="K3244" t="b">
        <v>0</v>
      </c>
    </row>
    <row r="3245" spans="1:11" x14ac:dyDescent="0.25">
      <c r="A3245" t="s">
        <v>5123</v>
      </c>
      <c r="B3245" t="s">
        <v>85</v>
      </c>
      <c r="C3245" t="s">
        <v>19</v>
      </c>
      <c r="D3245" t="s">
        <v>756</v>
      </c>
      <c r="E3245" s="2">
        <v>14</v>
      </c>
      <c r="F3245" s="4">
        <v>9</v>
      </c>
      <c r="G3245" s="2">
        <v>126</v>
      </c>
      <c r="H3245" t="s">
        <v>25</v>
      </c>
      <c r="I3245" t="s">
        <v>16</v>
      </c>
      <c r="J3245" s="1">
        <v>44829</v>
      </c>
      <c r="K3245" t="b">
        <v>0</v>
      </c>
    </row>
    <row r="3246" spans="1:11" x14ac:dyDescent="0.25">
      <c r="A3246" t="s">
        <v>252</v>
      </c>
      <c r="B3246" t="s">
        <v>22</v>
      </c>
      <c r="C3246" t="s">
        <v>27</v>
      </c>
      <c r="D3246" t="s">
        <v>62</v>
      </c>
      <c r="E3246" s="2">
        <v>14</v>
      </c>
      <c r="F3246" s="4">
        <v>9</v>
      </c>
      <c r="G3246" s="2">
        <v>126</v>
      </c>
      <c r="H3246" t="s">
        <v>15</v>
      </c>
      <c r="I3246" t="s">
        <v>16</v>
      </c>
      <c r="J3246" s="1">
        <v>44897</v>
      </c>
      <c r="K3246" t="b">
        <v>1</v>
      </c>
    </row>
    <row r="3247" spans="1:11" x14ac:dyDescent="0.25">
      <c r="A3247" t="s">
        <v>4701</v>
      </c>
      <c r="B3247" t="s">
        <v>30</v>
      </c>
      <c r="C3247" t="s">
        <v>19</v>
      </c>
      <c r="D3247" t="s">
        <v>756</v>
      </c>
      <c r="E3247" s="2">
        <v>14</v>
      </c>
      <c r="F3247" s="4">
        <v>9</v>
      </c>
      <c r="G3247" s="2">
        <v>126</v>
      </c>
      <c r="H3247" t="s">
        <v>45</v>
      </c>
      <c r="I3247" t="s">
        <v>16</v>
      </c>
      <c r="J3247" s="1">
        <v>44857</v>
      </c>
      <c r="K3247" t="b">
        <v>1</v>
      </c>
    </row>
    <row r="3248" spans="1:11" x14ac:dyDescent="0.25">
      <c r="A3248" t="s">
        <v>7558</v>
      </c>
      <c r="B3248" t="s">
        <v>56</v>
      </c>
      <c r="C3248" t="s">
        <v>110</v>
      </c>
      <c r="D3248" t="s">
        <v>176</v>
      </c>
      <c r="E3248" s="2">
        <v>14</v>
      </c>
      <c r="F3248" s="4">
        <v>9</v>
      </c>
      <c r="G3248" s="2">
        <v>126</v>
      </c>
      <c r="H3248" t="s">
        <v>15</v>
      </c>
      <c r="I3248" t="s">
        <v>16</v>
      </c>
      <c r="J3248" s="1">
        <v>45271</v>
      </c>
      <c r="K3248" t="b">
        <v>1</v>
      </c>
    </row>
    <row r="3249" spans="1:11" x14ac:dyDescent="0.25">
      <c r="A3249" t="s">
        <v>4362</v>
      </c>
      <c r="B3249" t="s">
        <v>22</v>
      </c>
      <c r="C3249" t="s">
        <v>110</v>
      </c>
      <c r="D3249" t="s">
        <v>176</v>
      </c>
      <c r="E3249" s="2">
        <v>14</v>
      </c>
      <c r="F3249" s="4">
        <v>9</v>
      </c>
      <c r="G3249" s="2">
        <v>126</v>
      </c>
      <c r="H3249" t="s">
        <v>15</v>
      </c>
      <c r="I3249" t="s">
        <v>16</v>
      </c>
      <c r="J3249" s="1">
        <v>45227</v>
      </c>
      <c r="K3249" t="b">
        <v>0</v>
      </c>
    </row>
    <row r="3250" spans="1:11" x14ac:dyDescent="0.25">
      <c r="A3250" t="s">
        <v>3183</v>
      </c>
      <c r="B3250" t="s">
        <v>12</v>
      </c>
      <c r="C3250" t="s">
        <v>19</v>
      </c>
      <c r="D3250" t="s">
        <v>756</v>
      </c>
      <c r="E3250" s="2">
        <v>14</v>
      </c>
      <c r="F3250" s="4">
        <v>9</v>
      </c>
      <c r="G3250" s="2">
        <v>126</v>
      </c>
      <c r="H3250" t="s">
        <v>25</v>
      </c>
      <c r="I3250" t="s">
        <v>16</v>
      </c>
      <c r="J3250" s="1">
        <v>45574</v>
      </c>
      <c r="K3250" t="b">
        <v>0</v>
      </c>
    </row>
    <row r="3251" spans="1:11" x14ac:dyDescent="0.25">
      <c r="A3251" t="s">
        <v>6070</v>
      </c>
      <c r="B3251" t="s">
        <v>18</v>
      </c>
      <c r="C3251" t="s">
        <v>27</v>
      </c>
      <c r="D3251" t="s">
        <v>62</v>
      </c>
      <c r="E3251" s="2">
        <v>14</v>
      </c>
      <c r="F3251" s="4">
        <v>9</v>
      </c>
      <c r="G3251" s="2">
        <v>126</v>
      </c>
      <c r="H3251" t="s">
        <v>45</v>
      </c>
      <c r="I3251" t="s">
        <v>16</v>
      </c>
      <c r="J3251" s="1">
        <v>45422</v>
      </c>
      <c r="K3251" t="b">
        <v>0</v>
      </c>
    </row>
    <row r="3252" spans="1:11" x14ac:dyDescent="0.25">
      <c r="A3252" t="s">
        <v>2859</v>
      </c>
      <c r="B3252" t="s">
        <v>69</v>
      </c>
      <c r="C3252" t="s">
        <v>27</v>
      </c>
      <c r="D3252" t="s">
        <v>62</v>
      </c>
      <c r="E3252" s="2">
        <v>14</v>
      </c>
      <c r="F3252" s="4">
        <v>9</v>
      </c>
      <c r="G3252" s="2">
        <v>126</v>
      </c>
      <c r="H3252" t="s">
        <v>45</v>
      </c>
      <c r="I3252" t="s">
        <v>16</v>
      </c>
      <c r="J3252" s="1">
        <v>45347</v>
      </c>
      <c r="K3252" t="b">
        <v>1</v>
      </c>
    </row>
    <row r="3253" spans="1:11" x14ac:dyDescent="0.25">
      <c r="A3253" t="s">
        <v>7251</v>
      </c>
      <c r="B3253" t="s">
        <v>26</v>
      </c>
      <c r="C3253" t="s">
        <v>13</v>
      </c>
      <c r="D3253" t="s">
        <v>151</v>
      </c>
      <c r="E3253" s="2">
        <v>14</v>
      </c>
      <c r="F3253" s="4">
        <v>9</v>
      </c>
      <c r="G3253" s="2">
        <v>126</v>
      </c>
      <c r="H3253" t="s">
        <v>45</v>
      </c>
      <c r="I3253" t="s">
        <v>16</v>
      </c>
      <c r="J3253" s="1">
        <v>45643</v>
      </c>
      <c r="K3253" t="b">
        <v>0</v>
      </c>
    </row>
    <row r="3254" spans="1:11" x14ac:dyDescent="0.25">
      <c r="A3254" t="s">
        <v>6186</v>
      </c>
      <c r="B3254" t="s">
        <v>58</v>
      </c>
      <c r="C3254" t="s">
        <v>110</v>
      </c>
      <c r="D3254" t="s">
        <v>176</v>
      </c>
      <c r="E3254" s="2">
        <v>14</v>
      </c>
      <c r="F3254" s="4">
        <v>9</v>
      </c>
      <c r="G3254" s="2">
        <v>126</v>
      </c>
      <c r="H3254" t="s">
        <v>25</v>
      </c>
      <c r="I3254" t="s">
        <v>16</v>
      </c>
      <c r="J3254" s="1">
        <v>45282</v>
      </c>
      <c r="K3254" t="b">
        <v>0</v>
      </c>
    </row>
    <row r="3255" spans="1:11" x14ac:dyDescent="0.25">
      <c r="A3255" t="s">
        <v>150</v>
      </c>
      <c r="B3255" t="s">
        <v>37</v>
      </c>
      <c r="C3255" t="s">
        <v>13</v>
      </c>
      <c r="D3255" t="s">
        <v>151</v>
      </c>
      <c r="E3255" s="2">
        <v>14</v>
      </c>
      <c r="F3255" s="4">
        <v>9</v>
      </c>
      <c r="G3255" s="2">
        <v>126</v>
      </c>
      <c r="H3255" t="s">
        <v>15</v>
      </c>
      <c r="I3255" t="s">
        <v>36</v>
      </c>
      <c r="J3255" s="1">
        <v>45669</v>
      </c>
      <c r="K3255" t="b">
        <v>0</v>
      </c>
    </row>
    <row r="3256" spans="1:11" x14ac:dyDescent="0.25">
      <c r="A3256" t="s">
        <v>4974</v>
      </c>
      <c r="B3256" t="s">
        <v>93</v>
      </c>
      <c r="C3256" t="s">
        <v>19</v>
      </c>
      <c r="D3256" t="s">
        <v>756</v>
      </c>
      <c r="E3256" s="2">
        <v>14</v>
      </c>
      <c r="F3256" s="4">
        <v>9</v>
      </c>
      <c r="G3256" s="2">
        <v>126</v>
      </c>
      <c r="H3256" t="s">
        <v>15</v>
      </c>
      <c r="I3256" t="s">
        <v>36</v>
      </c>
      <c r="J3256" s="1">
        <v>45663</v>
      </c>
      <c r="K3256" t="b">
        <v>1</v>
      </c>
    </row>
    <row r="3257" spans="1:11" x14ac:dyDescent="0.25">
      <c r="A3257" t="s">
        <v>2973</v>
      </c>
      <c r="B3257" t="s">
        <v>61</v>
      </c>
      <c r="C3257" t="s">
        <v>31</v>
      </c>
      <c r="D3257" t="s">
        <v>162</v>
      </c>
      <c r="E3257" s="2">
        <v>14</v>
      </c>
      <c r="F3257" s="4">
        <v>9</v>
      </c>
      <c r="G3257" s="2">
        <v>126</v>
      </c>
      <c r="H3257" t="s">
        <v>45</v>
      </c>
      <c r="I3257" t="s">
        <v>36</v>
      </c>
      <c r="J3257" s="1">
        <v>45192</v>
      </c>
      <c r="K3257" t="b">
        <v>1</v>
      </c>
    </row>
    <row r="3258" spans="1:11" x14ac:dyDescent="0.25">
      <c r="A3258" t="s">
        <v>2867</v>
      </c>
      <c r="B3258" t="s">
        <v>100</v>
      </c>
      <c r="C3258" t="s">
        <v>19</v>
      </c>
      <c r="D3258" t="s">
        <v>756</v>
      </c>
      <c r="E3258" s="2">
        <v>14</v>
      </c>
      <c r="F3258" s="4">
        <v>9</v>
      </c>
      <c r="G3258" s="2">
        <v>126</v>
      </c>
      <c r="H3258" t="s">
        <v>45</v>
      </c>
      <c r="I3258" t="s">
        <v>16</v>
      </c>
      <c r="J3258" s="1">
        <v>45048</v>
      </c>
      <c r="K3258" t="b">
        <v>0</v>
      </c>
    </row>
    <row r="3259" spans="1:11" x14ac:dyDescent="0.25">
      <c r="A3259" t="s">
        <v>6903</v>
      </c>
      <c r="B3259" t="s">
        <v>100</v>
      </c>
      <c r="C3259" t="s">
        <v>110</v>
      </c>
      <c r="D3259" t="s">
        <v>176</v>
      </c>
      <c r="E3259" s="2">
        <v>14</v>
      </c>
      <c r="F3259" s="4">
        <v>9</v>
      </c>
      <c r="G3259" s="2">
        <v>126</v>
      </c>
      <c r="H3259" t="s">
        <v>15</v>
      </c>
      <c r="I3259" t="s">
        <v>16</v>
      </c>
      <c r="J3259" s="1">
        <v>44647</v>
      </c>
      <c r="K3259" t="b">
        <v>1</v>
      </c>
    </row>
    <row r="3260" spans="1:11" x14ac:dyDescent="0.25">
      <c r="A3260" t="s">
        <v>7642</v>
      </c>
      <c r="B3260" t="s">
        <v>12</v>
      </c>
      <c r="C3260" t="s">
        <v>19</v>
      </c>
      <c r="D3260" t="s">
        <v>756</v>
      </c>
      <c r="E3260" s="2">
        <v>14</v>
      </c>
      <c r="F3260" s="4">
        <v>9</v>
      </c>
      <c r="G3260" s="2">
        <v>126</v>
      </c>
      <c r="H3260" t="s">
        <v>45</v>
      </c>
      <c r="I3260" t="s">
        <v>36</v>
      </c>
      <c r="J3260" s="1">
        <v>45548</v>
      </c>
      <c r="K3260" t="b">
        <v>1</v>
      </c>
    </row>
    <row r="3261" spans="1:11" x14ac:dyDescent="0.25">
      <c r="A3261" t="s">
        <v>6363</v>
      </c>
      <c r="B3261" t="s">
        <v>43</v>
      </c>
      <c r="C3261" t="s">
        <v>27</v>
      </c>
      <c r="D3261" t="s">
        <v>62</v>
      </c>
      <c r="E3261" s="2">
        <v>14</v>
      </c>
      <c r="F3261" s="4">
        <v>9</v>
      </c>
      <c r="G3261" s="2">
        <v>126</v>
      </c>
      <c r="H3261" t="s">
        <v>25</v>
      </c>
      <c r="I3261" t="s">
        <v>16</v>
      </c>
      <c r="J3261" s="1">
        <v>45518</v>
      </c>
      <c r="K3261" t="b">
        <v>1</v>
      </c>
    </row>
    <row r="3262" spans="1:11" x14ac:dyDescent="0.25">
      <c r="A3262" t="s">
        <v>4344</v>
      </c>
      <c r="B3262" t="s">
        <v>34</v>
      </c>
      <c r="C3262" t="s">
        <v>38</v>
      </c>
      <c r="D3262" t="s">
        <v>123</v>
      </c>
      <c r="E3262" s="2">
        <v>14</v>
      </c>
      <c r="F3262" s="4">
        <v>9</v>
      </c>
      <c r="G3262" s="2">
        <v>126</v>
      </c>
      <c r="H3262" t="s">
        <v>25</v>
      </c>
      <c r="I3262" t="s">
        <v>36</v>
      </c>
      <c r="J3262" s="1">
        <v>45437</v>
      </c>
      <c r="K3262" t="b">
        <v>0</v>
      </c>
    </row>
    <row r="3263" spans="1:11" x14ac:dyDescent="0.25">
      <c r="A3263" t="s">
        <v>247</v>
      </c>
      <c r="B3263" t="s">
        <v>86</v>
      </c>
      <c r="C3263" t="s">
        <v>59</v>
      </c>
      <c r="D3263" t="s">
        <v>248</v>
      </c>
      <c r="E3263" s="2">
        <v>14</v>
      </c>
      <c r="F3263" s="4">
        <v>9</v>
      </c>
      <c r="G3263" s="2">
        <v>126</v>
      </c>
      <c r="H3263" t="s">
        <v>25</v>
      </c>
      <c r="I3263" t="s">
        <v>36</v>
      </c>
      <c r="J3263" s="1">
        <v>45551</v>
      </c>
      <c r="K3263" t="b">
        <v>0</v>
      </c>
    </row>
    <row r="3264" spans="1:11" x14ac:dyDescent="0.25">
      <c r="A3264" t="s">
        <v>1324</v>
      </c>
      <c r="B3264" t="s">
        <v>30</v>
      </c>
      <c r="C3264" t="s">
        <v>19</v>
      </c>
      <c r="D3264" t="s">
        <v>756</v>
      </c>
      <c r="E3264" s="2">
        <v>14</v>
      </c>
      <c r="F3264" s="4">
        <v>9</v>
      </c>
      <c r="G3264" s="2">
        <v>126</v>
      </c>
      <c r="H3264" t="s">
        <v>25</v>
      </c>
      <c r="I3264" t="s">
        <v>16</v>
      </c>
      <c r="J3264" s="1">
        <v>45353</v>
      </c>
      <c r="K3264" t="b">
        <v>1</v>
      </c>
    </row>
    <row r="3265" spans="1:11" x14ac:dyDescent="0.25">
      <c r="A3265" t="s">
        <v>5205</v>
      </c>
      <c r="B3265" t="s">
        <v>34</v>
      </c>
      <c r="C3265" t="s">
        <v>23</v>
      </c>
      <c r="D3265" t="s">
        <v>277</v>
      </c>
      <c r="E3265" s="2">
        <v>14</v>
      </c>
      <c r="F3265" s="4">
        <v>9</v>
      </c>
      <c r="G3265" s="2">
        <v>126</v>
      </c>
      <c r="H3265" t="s">
        <v>45</v>
      </c>
      <c r="I3265" t="s">
        <v>36</v>
      </c>
      <c r="J3265" s="1">
        <v>45349</v>
      </c>
      <c r="K3265" t="b">
        <v>0</v>
      </c>
    </row>
    <row r="3266" spans="1:11" x14ac:dyDescent="0.25">
      <c r="A3266" t="s">
        <v>6945</v>
      </c>
      <c r="B3266" t="s">
        <v>56</v>
      </c>
      <c r="C3266" t="s">
        <v>31</v>
      </c>
      <c r="D3266" t="s">
        <v>162</v>
      </c>
      <c r="E3266" s="2">
        <v>14</v>
      </c>
      <c r="F3266" s="4">
        <v>9</v>
      </c>
      <c r="G3266" s="2">
        <v>126</v>
      </c>
      <c r="H3266" t="s">
        <v>45</v>
      </c>
      <c r="I3266" t="s">
        <v>36</v>
      </c>
      <c r="J3266" s="1">
        <v>45114</v>
      </c>
      <c r="K3266" t="b">
        <v>0</v>
      </c>
    </row>
    <row r="3267" spans="1:11" x14ac:dyDescent="0.25">
      <c r="A3267" t="s">
        <v>894</v>
      </c>
      <c r="B3267" t="s">
        <v>104</v>
      </c>
      <c r="C3267" t="s">
        <v>19</v>
      </c>
      <c r="D3267" t="s">
        <v>756</v>
      </c>
      <c r="E3267" s="2">
        <v>14</v>
      </c>
      <c r="F3267" s="4">
        <v>9</v>
      </c>
      <c r="G3267" s="2">
        <v>126</v>
      </c>
      <c r="H3267" t="s">
        <v>15</v>
      </c>
      <c r="I3267" t="s">
        <v>36</v>
      </c>
      <c r="J3267" s="1">
        <v>44873</v>
      </c>
      <c r="K3267" t="b">
        <v>0</v>
      </c>
    </row>
    <row r="3268" spans="1:11" x14ac:dyDescent="0.25">
      <c r="A3268" t="s">
        <v>4889</v>
      </c>
      <c r="B3268" t="s">
        <v>12</v>
      </c>
      <c r="C3268" t="s">
        <v>19</v>
      </c>
      <c r="D3268" t="s">
        <v>756</v>
      </c>
      <c r="E3268" s="2">
        <v>14</v>
      </c>
      <c r="F3268" s="4">
        <v>9</v>
      </c>
      <c r="G3268" s="2">
        <v>126</v>
      </c>
      <c r="H3268" t="s">
        <v>25</v>
      </c>
      <c r="I3268" t="s">
        <v>16</v>
      </c>
      <c r="J3268" s="1">
        <v>45241</v>
      </c>
      <c r="K3268" t="b">
        <v>1</v>
      </c>
    </row>
    <row r="3269" spans="1:11" x14ac:dyDescent="0.25">
      <c r="A3269" t="s">
        <v>5654</v>
      </c>
      <c r="B3269" t="s">
        <v>26</v>
      </c>
      <c r="C3269" t="s">
        <v>110</v>
      </c>
      <c r="D3269" t="s">
        <v>234</v>
      </c>
      <c r="E3269" s="2">
        <v>12.5</v>
      </c>
      <c r="F3269" s="4">
        <v>10</v>
      </c>
      <c r="G3269" s="2">
        <v>125</v>
      </c>
      <c r="H3269" t="s">
        <v>15</v>
      </c>
      <c r="I3269" t="s">
        <v>36</v>
      </c>
      <c r="J3269" s="1">
        <v>45531</v>
      </c>
      <c r="K3269" t="b">
        <v>0</v>
      </c>
    </row>
    <row r="3270" spans="1:11" x14ac:dyDescent="0.25">
      <c r="A3270" t="s">
        <v>1139</v>
      </c>
      <c r="B3270" t="s">
        <v>86</v>
      </c>
      <c r="C3270" t="s">
        <v>13</v>
      </c>
      <c r="D3270" t="s">
        <v>84</v>
      </c>
      <c r="E3270" s="2">
        <v>12.5</v>
      </c>
      <c r="F3270" s="4">
        <v>10</v>
      </c>
      <c r="G3270" s="2">
        <v>125</v>
      </c>
      <c r="H3270" t="s">
        <v>15</v>
      </c>
      <c r="I3270" t="s">
        <v>16</v>
      </c>
      <c r="J3270" s="1">
        <v>45514</v>
      </c>
      <c r="K3270" t="b">
        <v>0</v>
      </c>
    </row>
    <row r="3271" spans="1:11" x14ac:dyDescent="0.25">
      <c r="A3271" t="s">
        <v>5433</v>
      </c>
      <c r="B3271" t="s">
        <v>12</v>
      </c>
      <c r="C3271" t="s">
        <v>19</v>
      </c>
      <c r="D3271" t="s">
        <v>128</v>
      </c>
      <c r="E3271" s="2">
        <v>12.5</v>
      </c>
      <c r="F3271" s="4">
        <v>10</v>
      </c>
      <c r="G3271" s="2">
        <v>125</v>
      </c>
      <c r="H3271" t="s">
        <v>25</v>
      </c>
      <c r="I3271" t="s">
        <v>36</v>
      </c>
      <c r="J3271" s="1">
        <v>45147</v>
      </c>
      <c r="K3271" t="b">
        <v>1</v>
      </c>
    </row>
    <row r="3272" spans="1:11" x14ac:dyDescent="0.25">
      <c r="A3272" t="s">
        <v>3969</v>
      </c>
      <c r="B3272" t="s">
        <v>93</v>
      </c>
      <c r="C3272" t="s">
        <v>110</v>
      </c>
      <c r="D3272" t="s">
        <v>234</v>
      </c>
      <c r="E3272" s="2">
        <v>12.5</v>
      </c>
      <c r="F3272" s="4">
        <v>10</v>
      </c>
      <c r="G3272" s="2">
        <v>125</v>
      </c>
      <c r="H3272" t="s">
        <v>15</v>
      </c>
      <c r="I3272" t="s">
        <v>16</v>
      </c>
      <c r="J3272" s="1">
        <v>45388</v>
      </c>
      <c r="K3272" t="b">
        <v>0</v>
      </c>
    </row>
    <row r="3273" spans="1:11" x14ac:dyDescent="0.25">
      <c r="A3273" t="s">
        <v>4626</v>
      </c>
      <c r="B3273" t="s">
        <v>77</v>
      </c>
      <c r="C3273" t="s">
        <v>31</v>
      </c>
      <c r="D3273" t="s">
        <v>32</v>
      </c>
      <c r="E3273" s="2">
        <v>12.5</v>
      </c>
      <c r="F3273" s="4">
        <v>10</v>
      </c>
      <c r="G3273" s="2">
        <v>125</v>
      </c>
      <c r="H3273" t="s">
        <v>15</v>
      </c>
      <c r="I3273" t="s">
        <v>36</v>
      </c>
      <c r="J3273" s="1">
        <v>44649</v>
      </c>
      <c r="K3273" t="b">
        <v>0</v>
      </c>
    </row>
    <row r="3274" spans="1:11" x14ac:dyDescent="0.25">
      <c r="A3274" t="s">
        <v>3112</v>
      </c>
      <c r="B3274" t="s">
        <v>72</v>
      </c>
      <c r="C3274" t="s">
        <v>110</v>
      </c>
      <c r="D3274" t="s">
        <v>234</v>
      </c>
      <c r="E3274" s="2">
        <v>12.5</v>
      </c>
      <c r="F3274" s="4">
        <v>10</v>
      </c>
      <c r="G3274" s="2">
        <v>125</v>
      </c>
      <c r="H3274" t="s">
        <v>25</v>
      </c>
      <c r="I3274" t="s">
        <v>16</v>
      </c>
      <c r="J3274" s="1">
        <v>45341</v>
      </c>
      <c r="K3274" t="b">
        <v>0</v>
      </c>
    </row>
    <row r="3275" spans="1:11" x14ac:dyDescent="0.25">
      <c r="A3275" t="s">
        <v>3349</v>
      </c>
      <c r="B3275" t="s">
        <v>37</v>
      </c>
      <c r="C3275" t="s">
        <v>27</v>
      </c>
      <c r="D3275" t="s">
        <v>217</v>
      </c>
      <c r="E3275" s="2">
        <v>12.5</v>
      </c>
      <c r="F3275" s="4">
        <v>10</v>
      </c>
      <c r="G3275" s="2">
        <v>125</v>
      </c>
      <c r="H3275" t="s">
        <v>15</v>
      </c>
      <c r="I3275" t="s">
        <v>36</v>
      </c>
      <c r="J3275" s="1">
        <v>45442</v>
      </c>
      <c r="K3275" t="b">
        <v>0</v>
      </c>
    </row>
    <row r="3276" spans="1:11" x14ac:dyDescent="0.25">
      <c r="A3276" t="s">
        <v>2791</v>
      </c>
      <c r="B3276" t="s">
        <v>40</v>
      </c>
      <c r="C3276" t="s">
        <v>23</v>
      </c>
      <c r="D3276" t="s">
        <v>437</v>
      </c>
      <c r="E3276" s="2">
        <v>12.5</v>
      </c>
      <c r="F3276" s="4">
        <v>10</v>
      </c>
      <c r="G3276" s="2">
        <v>125</v>
      </c>
      <c r="H3276" t="s">
        <v>25</v>
      </c>
      <c r="I3276" t="s">
        <v>16</v>
      </c>
      <c r="J3276" s="1">
        <v>45359</v>
      </c>
      <c r="K3276" t="b">
        <v>1</v>
      </c>
    </row>
    <row r="3277" spans="1:11" x14ac:dyDescent="0.25">
      <c r="A3277" t="s">
        <v>1343</v>
      </c>
      <c r="B3277" t="s">
        <v>30</v>
      </c>
      <c r="C3277" t="s">
        <v>38</v>
      </c>
      <c r="D3277" t="s">
        <v>480</v>
      </c>
      <c r="E3277" s="2">
        <v>12.5</v>
      </c>
      <c r="F3277" s="4">
        <v>10</v>
      </c>
      <c r="G3277" s="2">
        <v>125</v>
      </c>
      <c r="H3277" t="s">
        <v>45</v>
      </c>
      <c r="I3277" t="s">
        <v>16</v>
      </c>
      <c r="J3277" s="1">
        <v>44960</v>
      </c>
      <c r="K3277" t="b">
        <v>1</v>
      </c>
    </row>
    <row r="3278" spans="1:11" x14ac:dyDescent="0.25">
      <c r="A3278" t="s">
        <v>5127</v>
      </c>
      <c r="B3278" t="s">
        <v>56</v>
      </c>
      <c r="C3278" t="s">
        <v>59</v>
      </c>
      <c r="D3278" t="s">
        <v>177</v>
      </c>
      <c r="E3278" s="2">
        <v>12.5</v>
      </c>
      <c r="F3278" s="4">
        <v>10</v>
      </c>
      <c r="G3278" s="2">
        <v>125</v>
      </c>
      <c r="H3278" t="s">
        <v>25</v>
      </c>
      <c r="I3278" t="s">
        <v>16</v>
      </c>
      <c r="J3278" s="1">
        <v>45658</v>
      </c>
      <c r="K3278" t="b">
        <v>1</v>
      </c>
    </row>
    <row r="3279" spans="1:11" x14ac:dyDescent="0.25">
      <c r="A3279" t="s">
        <v>2818</v>
      </c>
      <c r="B3279" t="s">
        <v>56</v>
      </c>
      <c r="C3279" t="s">
        <v>31</v>
      </c>
      <c r="D3279" t="s">
        <v>32</v>
      </c>
      <c r="E3279" s="2">
        <v>12.5</v>
      </c>
      <c r="F3279" s="4">
        <v>10</v>
      </c>
      <c r="G3279" s="2">
        <v>125</v>
      </c>
      <c r="H3279" t="s">
        <v>25</v>
      </c>
      <c r="I3279" t="s">
        <v>16</v>
      </c>
      <c r="J3279" s="1">
        <v>45275</v>
      </c>
      <c r="K3279" t="b">
        <v>1</v>
      </c>
    </row>
    <row r="3280" spans="1:11" x14ac:dyDescent="0.25">
      <c r="A3280" t="s">
        <v>4784</v>
      </c>
      <c r="B3280" t="s">
        <v>77</v>
      </c>
      <c r="C3280" t="s">
        <v>38</v>
      </c>
      <c r="D3280" t="s">
        <v>480</v>
      </c>
      <c r="E3280" s="2">
        <v>12.5</v>
      </c>
      <c r="F3280" s="4">
        <v>10</v>
      </c>
      <c r="G3280" s="2">
        <v>125</v>
      </c>
      <c r="H3280" t="s">
        <v>25</v>
      </c>
      <c r="I3280" t="s">
        <v>16</v>
      </c>
      <c r="J3280" s="1">
        <v>44588</v>
      </c>
      <c r="K3280" t="b">
        <v>0</v>
      </c>
    </row>
    <row r="3281" spans="1:11" x14ac:dyDescent="0.25">
      <c r="A3281" t="s">
        <v>1032</v>
      </c>
      <c r="B3281" t="s">
        <v>40</v>
      </c>
      <c r="C3281" t="s">
        <v>38</v>
      </c>
      <c r="D3281" t="s">
        <v>480</v>
      </c>
      <c r="E3281" s="2">
        <v>12.5</v>
      </c>
      <c r="F3281" s="4">
        <v>10</v>
      </c>
      <c r="G3281" s="2">
        <v>125</v>
      </c>
      <c r="H3281" t="s">
        <v>45</v>
      </c>
      <c r="I3281" t="s">
        <v>36</v>
      </c>
      <c r="J3281" s="1">
        <v>44692</v>
      </c>
      <c r="K3281" t="b">
        <v>1</v>
      </c>
    </row>
    <row r="3282" spans="1:11" x14ac:dyDescent="0.25">
      <c r="A3282" t="s">
        <v>2993</v>
      </c>
      <c r="B3282" t="s">
        <v>142</v>
      </c>
      <c r="C3282" t="s">
        <v>31</v>
      </c>
      <c r="D3282" t="s">
        <v>32</v>
      </c>
      <c r="E3282" s="2">
        <v>12.5</v>
      </c>
      <c r="F3282" s="4">
        <v>10</v>
      </c>
      <c r="G3282" s="2">
        <v>125</v>
      </c>
      <c r="H3282" t="s">
        <v>45</v>
      </c>
      <c r="I3282" t="s">
        <v>16</v>
      </c>
      <c r="J3282" s="1">
        <v>45519</v>
      </c>
      <c r="K3282" t="b">
        <v>0</v>
      </c>
    </row>
    <row r="3283" spans="1:11" x14ac:dyDescent="0.25">
      <c r="A3283" t="s">
        <v>1423</v>
      </c>
      <c r="B3283" t="s">
        <v>12</v>
      </c>
      <c r="C3283" t="s">
        <v>13</v>
      </c>
      <c r="D3283" t="s">
        <v>84</v>
      </c>
      <c r="E3283" s="2">
        <v>12.5</v>
      </c>
      <c r="F3283" s="4">
        <v>10</v>
      </c>
      <c r="G3283" s="2">
        <v>125</v>
      </c>
      <c r="H3283" t="s">
        <v>15</v>
      </c>
      <c r="I3283" t="s">
        <v>16</v>
      </c>
      <c r="J3283" s="1">
        <v>45278</v>
      </c>
      <c r="K3283" t="b">
        <v>1</v>
      </c>
    </row>
    <row r="3284" spans="1:11" x14ac:dyDescent="0.25">
      <c r="A3284" t="s">
        <v>479</v>
      </c>
      <c r="B3284" t="s">
        <v>40</v>
      </c>
      <c r="C3284" t="s">
        <v>38</v>
      </c>
      <c r="D3284" t="s">
        <v>480</v>
      </c>
      <c r="E3284" s="2">
        <v>12.5</v>
      </c>
      <c r="F3284" s="4">
        <v>10</v>
      </c>
      <c r="G3284" s="2">
        <v>125</v>
      </c>
      <c r="H3284" t="s">
        <v>25</v>
      </c>
      <c r="I3284" t="s">
        <v>36</v>
      </c>
      <c r="J3284" s="1">
        <v>44673</v>
      </c>
      <c r="K3284" t="b">
        <v>1</v>
      </c>
    </row>
    <row r="3285" spans="1:11" x14ac:dyDescent="0.25">
      <c r="A3285" t="s">
        <v>4532</v>
      </c>
      <c r="B3285" t="s">
        <v>12</v>
      </c>
      <c r="C3285" t="s">
        <v>38</v>
      </c>
      <c r="D3285" t="s">
        <v>480</v>
      </c>
      <c r="E3285" s="2">
        <v>12.5</v>
      </c>
      <c r="F3285" s="4">
        <v>10</v>
      </c>
      <c r="G3285" s="2">
        <v>125</v>
      </c>
      <c r="H3285" t="s">
        <v>25</v>
      </c>
      <c r="I3285" t="s">
        <v>36</v>
      </c>
      <c r="J3285" s="1">
        <v>45128</v>
      </c>
      <c r="K3285" t="b">
        <v>1</v>
      </c>
    </row>
    <row r="3286" spans="1:11" x14ac:dyDescent="0.25">
      <c r="A3286" t="s">
        <v>2638</v>
      </c>
      <c r="B3286" t="s">
        <v>77</v>
      </c>
      <c r="C3286" t="s">
        <v>59</v>
      </c>
      <c r="D3286" t="s">
        <v>177</v>
      </c>
      <c r="E3286" s="2">
        <v>12.5</v>
      </c>
      <c r="F3286" s="4">
        <v>10</v>
      </c>
      <c r="G3286" s="2">
        <v>125</v>
      </c>
      <c r="H3286" t="s">
        <v>45</v>
      </c>
      <c r="I3286" t="s">
        <v>16</v>
      </c>
      <c r="J3286" s="1">
        <v>45267</v>
      </c>
      <c r="K3286" t="b">
        <v>1</v>
      </c>
    </row>
    <row r="3287" spans="1:11" x14ac:dyDescent="0.25">
      <c r="A3287" t="s">
        <v>6406</v>
      </c>
      <c r="B3287" t="s">
        <v>97</v>
      </c>
      <c r="C3287" t="s">
        <v>23</v>
      </c>
      <c r="D3287" t="s">
        <v>437</v>
      </c>
      <c r="E3287" s="2">
        <v>12.5</v>
      </c>
      <c r="F3287" s="4">
        <v>10</v>
      </c>
      <c r="G3287" s="2">
        <v>125</v>
      </c>
      <c r="H3287" t="s">
        <v>45</v>
      </c>
      <c r="I3287" t="s">
        <v>16</v>
      </c>
      <c r="J3287" s="1">
        <v>45499</v>
      </c>
      <c r="K3287" t="b">
        <v>1</v>
      </c>
    </row>
    <row r="3288" spans="1:11" x14ac:dyDescent="0.25">
      <c r="A3288" t="s">
        <v>5926</v>
      </c>
      <c r="B3288" t="s">
        <v>51</v>
      </c>
      <c r="C3288" t="s">
        <v>31</v>
      </c>
      <c r="D3288" t="s">
        <v>32</v>
      </c>
      <c r="E3288" s="2">
        <v>12.5</v>
      </c>
      <c r="F3288" s="4">
        <v>10</v>
      </c>
      <c r="G3288" s="2">
        <v>125</v>
      </c>
      <c r="H3288" t="s">
        <v>15</v>
      </c>
      <c r="I3288" t="s">
        <v>36</v>
      </c>
      <c r="J3288" s="1">
        <v>45575</v>
      </c>
      <c r="K3288" t="b">
        <v>1</v>
      </c>
    </row>
    <row r="3289" spans="1:11" x14ac:dyDescent="0.25">
      <c r="A3289" t="s">
        <v>4848</v>
      </c>
      <c r="B3289" t="s">
        <v>142</v>
      </c>
      <c r="C3289" t="s">
        <v>27</v>
      </c>
      <c r="D3289" t="s">
        <v>217</v>
      </c>
      <c r="E3289" s="2">
        <v>12.5</v>
      </c>
      <c r="F3289" s="4">
        <v>10</v>
      </c>
      <c r="G3289" s="2">
        <v>125</v>
      </c>
      <c r="H3289" t="s">
        <v>25</v>
      </c>
      <c r="I3289" t="s">
        <v>16</v>
      </c>
      <c r="J3289" s="1">
        <v>45632</v>
      </c>
      <c r="K3289" t="b">
        <v>1</v>
      </c>
    </row>
    <row r="3290" spans="1:11" x14ac:dyDescent="0.25">
      <c r="A3290" t="s">
        <v>5784</v>
      </c>
      <c r="B3290" t="s">
        <v>18</v>
      </c>
      <c r="C3290" t="s">
        <v>31</v>
      </c>
      <c r="D3290" t="s">
        <v>32</v>
      </c>
      <c r="E3290" s="2">
        <v>12.5</v>
      </c>
      <c r="F3290" s="4">
        <v>10</v>
      </c>
      <c r="G3290" s="2">
        <v>125</v>
      </c>
      <c r="H3290" t="s">
        <v>45</v>
      </c>
      <c r="I3290" t="s">
        <v>36</v>
      </c>
      <c r="J3290" s="1">
        <v>44666</v>
      </c>
      <c r="K3290" t="b">
        <v>1</v>
      </c>
    </row>
    <row r="3291" spans="1:11" x14ac:dyDescent="0.25">
      <c r="A3291" t="s">
        <v>5549</v>
      </c>
      <c r="B3291" t="s">
        <v>22</v>
      </c>
      <c r="C3291" t="s">
        <v>110</v>
      </c>
      <c r="D3291" t="s">
        <v>234</v>
      </c>
      <c r="E3291" s="2">
        <v>12.5</v>
      </c>
      <c r="F3291" s="4">
        <v>10</v>
      </c>
      <c r="G3291" s="2">
        <v>125</v>
      </c>
      <c r="H3291" t="s">
        <v>25</v>
      </c>
      <c r="I3291" t="s">
        <v>16</v>
      </c>
      <c r="J3291" s="1">
        <v>45614</v>
      </c>
      <c r="K3291" t="b">
        <v>1</v>
      </c>
    </row>
    <row r="3292" spans="1:11" x14ac:dyDescent="0.25">
      <c r="A3292" t="s">
        <v>6712</v>
      </c>
      <c r="B3292" t="s">
        <v>58</v>
      </c>
      <c r="C3292" t="s">
        <v>27</v>
      </c>
      <c r="D3292" t="s">
        <v>217</v>
      </c>
      <c r="E3292" s="2">
        <v>12.5</v>
      </c>
      <c r="F3292" s="4">
        <v>10</v>
      </c>
      <c r="G3292" s="2">
        <v>125</v>
      </c>
      <c r="H3292" t="s">
        <v>15</v>
      </c>
      <c r="I3292" t="s">
        <v>36</v>
      </c>
      <c r="J3292" s="1">
        <v>45510</v>
      </c>
      <c r="K3292" t="b">
        <v>0</v>
      </c>
    </row>
    <row r="3293" spans="1:11" x14ac:dyDescent="0.25">
      <c r="A3293" t="s">
        <v>2793</v>
      </c>
      <c r="B3293" t="s">
        <v>72</v>
      </c>
      <c r="C3293" t="s">
        <v>38</v>
      </c>
      <c r="D3293" t="s">
        <v>480</v>
      </c>
      <c r="E3293" s="2">
        <v>12.5</v>
      </c>
      <c r="F3293" s="4">
        <v>10</v>
      </c>
      <c r="G3293" s="2">
        <v>125</v>
      </c>
      <c r="H3293" t="s">
        <v>15</v>
      </c>
      <c r="I3293" t="s">
        <v>36</v>
      </c>
      <c r="J3293" s="1">
        <v>45606</v>
      </c>
      <c r="K3293" t="b">
        <v>0</v>
      </c>
    </row>
    <row r="3294" spans="1:11" x14ac:dyDescent="0.25">
      <c r="A3294" t="s">
        <v>2696</v>
      </c>
      <c r="B3294" t="s">
        <v>30</v>
      </c>
      <c r="C3294" t="s">
        <v>38</v>
      </c>
      <c r="D3294" t="s">
        <v>480</v>
      </c>
      <c r="E3294" s="2">
        <v>12.5</v>
      </c>
      <c r="F3294" s="4">
        <v>10</v>
      </c>
      <c r="G3294" s="2">
        <v>125</v>
      </c>
      <c r="H3294" t="s">
        <v>25</v>
      </c>
      <c r="I3294" t="s">
        <v>36</v>
      </c>
      <c r="J3294" s="1">
        <v>45485</v>
      </c>
      <c r="K3294" t="b">
        <v>0</v>
      </c>
    </row>
    <row r="3295" spans="1:11" x14ac:dyDescent="0.25">
      <c r="A3295" t="s">
        <v>885</v>
      </c>
      <c r="B3295" t="s">
        <v>77</v>
      </c>
      <c r="C3295" t="s">
        <v>27</v>
      </c>
      <c r="D3295" t="s">
        <v>217</v>
      </c>
      <c r="E3295" s="2">
        <v>12.5</v>
      </c>
      <c r="F3295" s="4">
        <v>10</v>
      </c>
      <c r="G3295" s="2">
        <v>125</v>
      </c>
      <c r="H3295" t="s">
        <v>25</v>
      </c>
      <c r="I3295" t="s">
        <v>16</v>
      </c>
      <c r="J3295" s="1">
        <v>45282</v>
      </c>
      <c r="K3295" t="b">
        <v>0</v>
      </c>
    </row>
    <row r="3296" spans="1:11" x14ac:dyDescent="0.25">
      <c r="A3296" t="s">
        <v>681</v>
      </c>
      <c r="B3296" t="s">
        <v>34</v>
      </c>
      <c r="C3296" t="s">
        <v>31</v>
      </c>
      <c r="D3296" t="s">
        <v>32</v>
      </c>
      <c r="E3296" s="2">
        <v>12.5</v>
      </c>
      <c r="F3296" s="4">
        <v>10</v>
      </c>
      <c r="G3296" s="2">
        <v>125</v>
      </c>
      <c r="H3296" t="s">
        <v>45</v>
      </c>
      <c r="I3296" t="s">
        <v>36</v>
      </c>
      <c r="J3296" s="1">
        <v>44587</v>
      </c>
      <c r="K3296" t="b">
        <v>0</v>
      </c>
    </row>
    <row r="3297" spans="1:11" x14ac:dyDescent="0.25">
      <c r="A3297" t="s">
        <v>678</v>
      </c>
      <c r="B3297" t="s">
        <v>56</v>
      </c>
      <c r="C3297" t="s">
        <v>13</v>
      </c>
      <c r="D3297" t="s">
        <v>84</v>
      </c>
      <c r="E3297" s="2">
        <v>12.5</v>
      </c>
      <c r="F3297" s="4">
        <v>10</v>
      </c>
      <c r="G3297" s="2">
        <v>125</v>
      </c>
      <c r="H3297" t="s">
        <v>25</v>
      </c>
      <c r="I3297" t="s">
        <v>16</v>
      </c>
      <c r="J3297" s="1">
        <v>45624</v>
      </c>
      <c r="K3297" t="b">
        <v>0</v>
      </c>
    </row>
    <row r="3298" spans="1:11" x14ac:dyDescent="0.25">
      <c r="A3298" t="s">
        <v>5286</v>
      </c>
      <c r="B3298" t="s">
        <v>77</v>
      </c>
      <c r="C3298" t="s">
        <v>38</v>
      </c>
      <c r="D3298" t="s">
        <v>480</v>
      </c>
      <c r="E3298" s="2">
        <v>12.5</v>
      </c>
      <c r="F3298" s="4">
        <v>10</v>
      </c>
      <c r="G3298" s="2">
        <v>125</v>
      </c>
      <c r="H3298" t="s">
        <v>15</v>
      </c>
      <c r="I3298" t="s">
        <v>16</v>
      </c>
      <c r="J3298" s="1">
        <v>45610</v>
      </c>
      <c r="K3298" t="b">
        <v>1</v>
      </c>
    </row>
    <row r="3299" spans="1:11" x14ac:dyDescent="0.25">
      <c r="A3299" t="s">
        <v>1868</v>
      </c>
      <c r="B3299" t="s">
        <v>77</v>
      </c>
      <c r="C3299" t="s">
        <v>23</v>
      </c>
      <c r="D3299" t="s">
        <v>437</v>
      </c>
      <c r="E3299" s="2">
        <v>12.5</v>
      </c>
      <c r="F3299" s="4">
        <v>10</v>
      </c>
      <c r="G3299" s="2">
        <v>125</v>
      </c>
      <c r="H3299" t="s">
        <v>45</v>
      </c>
      <c r="I3299" t="s">
        <v>16</v>
      </c>
      <c r="J3299" s="1">
        <v>44594</v>
      </c>
      <c r="K3299" t="b">
        <v>1</v>
      </c>
    </row>
    <row r="3300" spans="1:11" x14ac:dyDescent="0.25">
      <c r="A3300" t="s">
        <v>2459</v>
      </c>
      <c r="B3300" t="s">
        <v>69</v>
      </c>
      <c r="C3300" t="s">
        <v>27</v>
      </c>
      <c r="D3300" t="s">
        <v>217</v>
      </c>
      <c r="E3300" s="2">
        <v>12.5</v>
      </c>
      <c r="F3300" s="4">
        <v>10</v>
      </c>
      <c r="G3300" s="2">
        <v>125</v>
      </c>
      <c r="H3300" t="s">
        <v>25</v>
      </c>
      <c r="I3300" t="s">
        <v>16</v>
      </c>
      <c r="J3300" s="1">
        <v>44615</v>
      </c>
      <c r="K3300" t="b">
        <v>0</v>
      </c>
    </row>
    <row r="3301" spans="1:11" x14ac:dyDescent="0.25">
      <c r="A3301" t="s">
        <v>2975</v>
      </c>
      <c r="B3301" t="s">
        <v>37</v>
      </c>
      <c r="C3301" t="s">
        <v>31</v>
      </c>
      <c r="D3301" t="s">
        <v>32</v>
      </c>
      <c r="E3301" s="2">
        <v>12.5</v>
      </c>
      <c r="F3301" s="4">
        <v>10</v>
      </c>
      <c r="G3301" s="2">
        <v>125</v>
      </c>
      <c r="H3301" t="s">
        <v>25</v>
      </c>
      <c r="I3301" t="s">
        <v>36</v>
      </c>
      <c r="J3301" s="1">
        <v>45018</v>
      </c>
      <c r="K3301" t="b">
        <v>1</v>
      </c>
    </row>
    <row r="3302" spans="1:11" x14ac:dyDescent="0.25">
      <c r="A3302" t="s">
        <v>2520</v>
      </c>
      <c r="B3302" t="s">
        <v>56</v>
      </c>
      <c r="C3302" t="s">
        <v>13</v>
      </c>
      <c r="D3302" t="s">
        <v>84</v>
      </c>
      <c r="E3302" s="2">
        <v>12.5</v>
      </c>
      <c r="F3302" s="4">
        <v>10</v>
      </c>
      <c r="G3302" s="2">
        <v>125</v>
      </c>
      <c r="H3302" t="s">
        <v>25</v>
      </c>
      <c r="I3302" t="s">
        <v>36</v>
      </c>
      <c r="J3302" s="1">
        <v>45440</v>
      </c>
      <c r="K3302" t="b">
        <v>0</v>
      </c>
    </row>
    <row r="3303" spans="1:11" x14ac:dyDescent="0.25">
      <c r="A3303" t="s">
        <v>1814</v>
      </c>
      <c r="B3303" t="s">
        <v>12</v>
      </c>
      <c r="C3303" t="s">
        <v>110</v>
      </c>
      <c r="D3303" t="s">
        <v>199</v>
      </c>
      <c r="E3303" s="2">
        <v>15.5</v>
      </c>
      <c r="F3303" s="4">
        <v>8</v>
      </c>
      <c r="G3303" s="2">
        <v>124</v>
      </c>
      <c r="H3303" t="s">
        <v>15</v>
      </c>
      <c r="I3303" t="s">
        <v>16</v>
      </c>
      <c r="J3303" s="1">
        <v>45191</v>
      </c>
      <c r="K3303" t="b">
        <v>0</v>
      </c>
    </row>
    <row r="3304" spans="1:11" x14ac:dyDescent="0.25">
      <c r="A3304" t="s">
        <v>4318</v>
      </c>
      <c r="B3304" t="s">
        <v>12</v>
      </c>
      <c r="C3304" t="s">
        <v>59</v>
      </c>
      <c r="D3304" t="s">
        <v>201</v>
      </c>
      <c r="E3304" s="2">
        <v>15.5</v>
      </c>
      <c r="F3304" s="4">
        <v>8</v>
      </c>
      <c r="G3304" s="2">
        <v>124</v>
      </c>
      <c r="H3304" t="s">
        <v>45</v>
      </c>
      <c r="I3304" t="s">
        <v>36</v>
      </c>
      <c r="J3304" s="1">
        <v>45106</v>
      </c>
      <c r="K3304" t="b">
        <v>1</v>
      </c>
    </row>
    <row r="3305" spans="1:11" x14ac:dyDescent="0.25">
      <c r="A3305" t="s">
        <v>6841</v>
      </c>
      <c r="B3305" t="s">
        <v>22</v>
      </c>
      <c r="C3305" t="s">
        <v>38</v>
      </c>
      <c r="D3305" t="s">
        <v>241</v>
      </c>
      <c r="E3305" s="2">
        <v>15.5</v>
      </c>
      <c r="F3305" s="4">
        <v>8</v>
      </c>
      <c r="G3305" s="2">
        <v>124</v>
      </c>
      <c r="H3305" t="s">
        <v>45</v>
      </c>
      <c r="I3305" t="s">
        <v>36</v>
      </c>
      <c r="J3305" s="1">
        <v>44903</v>
      </c>
      <c r="K3305" t="b">
        <v>1</v>
      </c>
    </row>
    <row r="3306" spans="1:11" x14ac:dyDescent="0.25">
      <c r="A3306" t="s">
        <v>5525</v>
      </c>
      <c r="B3306" t="s">
        <v>85</v>
      </c>
      <c r="C3306" t="s">
        <v>38</v>
      </c>
      <c r="D3306" t="s">
        <v>241</v>
      </c>
      <c r="E3306" s="2">
        <v>15.5</v>
      </c>
      <c r="F3306" s="4">
        <v>8</v>
      </c>
      <c r="G3306" s="2">
        <v>124</v>
      </c>
      <c r="H3306" t="s">
        <v>45</v>
      </c>
      <c r="I3306" t="s">
        <v>36</v>
      </c>
      <c r="J3306" s="1">
        <v>44791</v>
      </c>
      <c r="K3306" t="b">
        <v>0</v>
      </c>
    </row>
    <row r="3307" spans="1:11" x14ac:dyDescent="0.25">
      <c r="A3307" t="s">
        <v>5800</v>
      </c>
      <c r="B3307" t="s">
        <v>77</v>
      </c>
      <c r="C3307" t="s">
        <v>38</v>
      </c>
      <c r="D3307" t="s">
        <v>241</v>
      </c>
      <c r="E3307" s="2">
        <v>15.5</v>
      </c>
      <c r="F3307" s="4">
        <v>8</v>
      </c>
      <c r="G3307" s="2">
        <v>124</v>
      </c>
      <c r="H3307" t="s">
        <v>15</v>
      </c>
      <c r="I3307" t="s">
        <v>16</v>
      </c>
      <c r="J3307" s="1">
        <v>44665</v>
      </c>
      <c r="K3307" t="b">
        <v>0</v>
      </c>
    </row>
    <row r="3308" spans="1:11" x14ac:dyDescent="0.25">
      <c r="A3308" t="s">
        <v>1161</v>
      </c>
      <c r="B3308" t="s">
        <v>37</v>
      </c>
      <c r="C3308" t="s">
        <v>38</v>
      </c>
      <c r="D3308" t="s">
        <v>241</v>
      </c>
      <c r="E3308" s="2">
        <v>15.5</v>
      </c>
      <c r="F3308" s="4">
        <v>8</v>
      </c>
      <c r="G3308" s="2">
        <v>124</v>
      </c>
      <c r="H3308" t="s">
        <v>45</v>
      </c>
      <c r="I3308" t="s">
        <v>16</v>
      </c>
      <c r="J3308" s="1">
        <v>44913</v>
      </c>
      <c r="K3308" t="b">
        <v>1</v>
      </c>
    </row>
    <row r="3309" spans="1:11" x14ac:dyDescent="0.25">
      <c r="A3309" t="s">
        <v>6011</v>
      </c>
      <c r="B3309" t="s">
        <v>97</v>
      </c>
      <c r="C3309" t="s">
        <v>59</v>
      </c>
      <c r="D3309" t="s">
        <v>201</v>
      </c>
      <c r="E3309" s="2">
        <v>15.5</v>
      </c>
      <c r="F3309" s="4">
        <v>8</v>
      </c>
      <c r="G3309" s="2">
        <v>124</v>
      </c>
      <c r="H3309" t="s">
        <v>15</v>
      </c>
      <c r="I3309" t="s">
        <v>36</v>
      </c>
      <c r="J3309" s="1">
        <v>45410</v>
      </c>
      <c r="K3309" t="b">
        <v>0</v>
      </c>
    </row>
    <row r="3310" spans="1:11" x14ac:dyDescent="0.25">
      <c r="A3310" t="s">
        <v>3460</v>
      </c>
      <c r="B3310" t="s">
        <v>85</v>
      </c>
      <c r="C3310" t="s">
        <v>110</v>
      </c>
      <c r="D3310" t="s">
        <v>199</v>
      </c>
      <c r="E3310" s="2">
        <v>15.5</v>
      </c>
      <c r="F3310" s="4">
        <v>8</v>
      </c>
      <c r="G3310" s="2">
        <v>124</v>
      </c>
      <c r="H3310" t="s">
        <v>25</v>
      </c>
      <c r="I3310" t="s">
        <v>36</v>
      </c>
      <c r="J3310" s="1">
        <v>44911</v>
      </c>
      <c r="K3310" t="b">
        <v>1</v>
      </c>
    </row>
    <row r="3311" spans="1:11" x14ac:dyDescent="0.25">
      <c r="A3311" t="s">
        <v>1420</v>
      </c>
      <c r="B3311" t="s">
        <v>30</v>
      </c>
      <c r="C3311" t="s">
        <v>59</v>
      </c>
      <c r="D3311" t="s">
        <v>201</v>
      </c>
      <c r="E3311" s="2">
        <v>15.5</v>
      </c>
      <c r="F3311" s="4">
        <v>8</v>
      </c>
      <c r="G3311" s="2">
        <v>124</v>
      </c>
      <c r="H3311" t="s">
        <v>25</v>
      </c>
      <c r="I3311" t="s">
        <v>36</v>
      </c>
      <c r="J3311" s="1">
        <v>45187</v>
      </c>
      <c r="K3311" t="b">
        <v>1</v>
      </c>
    </row>
    <row r="3312" spans="1:11" x14ac:dyDescent="0.25">
      <c r="A3312" t="s">
        <v>7623</v>
      </c>
      <c r="B3312" t="s">
        <v>97</v>
      </c>
      <c r="C3312" t="s">
        <v>23</v>
      </c>
      <c r="D3312" t="s">
        <v>187</v>
      </c>
      <c r="E3312" s="2">
        <v>15.5</v>
      </c>
      <c r="F3312" s="4">
        <v>8</v>
      </c>
      <c r="G3312" s="2">
        <v>124</v>
      </c>
      <c r="H3312" t="s">
        <v>45</v>
      </c>
      <c r="I3312" t="s">
        <v>36</v>
      </c>
      <c r="J3312" s="1">
        <v>45500</v>
      </c>
      <c r="K3312" t="b">
        <v>1</v>
      </c>
    </row>
    <row r="3313" spans="1:11" x14ac:dyDescent="0.25">
      <c r="A3313" t="s">
        <v>2074</v>
      </c>
      <c r="B3313" t="s">
        <v>142</v>
      </c>
      <c r="C3313" t="s">
        <v>23</v>
      </c>
      <c r="D3313" t="s">
        <v>187</v>
      </c>
      <c r="E3313" s="2">
        <v>15.5</v>
      </c>
      <c r="F3313" s="4">
        <v>8</v>
      </c>
      <c r="G3313" s="2">
        <v>124</v>
      </c>
      <c r="H3313" t="s">
        <v>25</v>
      </c>
      <c r="I3313" t="s">
        <v>16</v>
      </c>
      <c r="J3313" s="1">
        <v>44911</v>
      </c>
      <c r="K3313" t="b">
        <v>1</v>
      </c>
    </row>
    <row r="3314" spans="1:11" x14ac:dyDescent="0.25">
      <c r="A3314" t="s">
        <v>3166</v>
      </c>
      <c r="B3314" t="s">
        <v>30</v>
      </c>
      <c r="C3314" t="s">
        <v>38</v>
      </c>
      <c r="D3314" t="s">
        <v>241</v>
      </c>
      <c r="E3314" s="2">
        <v>15.5</v>
      </c>
      <c r="F3314" s="4">
        <v>8</v>
      </c>
      <c r="G3314" s="2">
        <v>124</v>
      </c>
      <c r="H3314" t="s">
        <v>15</v>
      </c>
      <c r="I3314" t="s">
        <v>16</v>
      </c>
      <c r="J3314" s="1">
        <v>44899</v>
      </c>
      <c r="K3314" t="b">
        <v>1</v>
      </c>
    </row>
    <row r="3315" spans="1:11" x14ac:dyDescent="0.25">
      <c r="A3315" t="s">
        <v>4092</v>
      </c>
      <c r="B3315" t="s">
        <v>86</v>
      </c>
      <c r="C3315" t="s">
        <v>19</v>
      </c>
      <c r="D3315" t="s">
        <v>166</v>
      </c>
      <c r="E3315" s="2">
        <v>15.5</v>
      </c>
      <c r="F3315" s="4">
        <v>8</v>
      </c>
      <c r="G3315" s="2">
        <v>124</v>
      </c>
      <c r="H3315" t="s">
        <v>15</v>
      </c>
      <c r="I3315" t="s">
        <v>36</v>
      </c>
      <c r="J3315" s="1">
        <v>45416</v>
      </c>
      <c r="K3315" t="b">
        <v>0</v>
      </c>
    </row>
    <row r="3316" spans="1:11" x14ac:dyDescent="0.25">
      <c r="A3316" t="s">
        <v>4144</v>
      </c>
      <c r="B3316" t="s">
        <v>69</v>
      </c>
      <c r="C3316" t="s">
        <v>13</v>
      </c>
      <c r="D3316" t="s">
        <v>389</v>
      </c>
      <c r="E3316" s="2">
        <v>15.5</v>
      </c>
      <c r="F3316" s="4">
        <v>8</v>
      </c>
      <c r="G3316" s="2">
        <v>124</v>
      </c>
      <c r="H3316" t="s">
        <v>45</v>
      </c>
      <c r="I3316" t="s">
        <v>16</v>
      </c>
      <c r="J3316" s="1">
        <v>44755</v>
      </c>
      <c r="K3316" t="b">
        <v>1</v>
      </c>
    </row>
    <row r="3317" spans="1:11" x14ac:dyDescent="0.25">
      <c r="A3317" t="s">
        <v>7293</v>
      </c>
      <c r="B3317" t="s">
        <v>142</v>
      </c>
      <c r="C3317" t="s">
        <v>59</v>
      </c>
      <c r="D3317" t="s">
        <v>201</v>
      </c>
      <c r="E3317" s="2">
        <v>15.5</v>
      </c>
      <c r="F3317" s="4">
        <v>8</v>
      </c>
      <c r="G3317" s="2">
        <v>124</v>
      </c>
      <c r="H3317" t="s">
        <v>45</v>
      </c>
      <c r="I3317" t="s">
        <v>16</v>
      </c>
      <c r="J3317" s="1">
        <v>44894</v>
      </c>
      <c r="K3317" t="b">
        <v>0</v>
      </c>
    </row>
    <row r="3318" spans="1:11" x14ac:dyDescent="0.25">
      <c r="A3318" t="s">
        <v>3373</v>
      </c>
      <c r="B3318" t="s">
        <v>37</v>
      </c>
      <c r="C3318" t="s">
        <v>27</v>
      </c>
      <c r="D3318" t="s">
        <v>105</v>
      </c>
      <c r="E3318" s="2">
        <v>15.5</v>
      </c>
      <c r="F3318" s="4">
        <v>8</v>
      </c>
      <c r="G3318" s="2">
        <v>124</v>
      </c>
      <c r="H3318" t="s">
        <v>25</v>
      </c>
      <c r="I3318" t="s">
        <v>16</v>
      </c>
      <c r="J3318" s="1">
        <v>44908</v>
      </c>
      <c r="K3318" t="b">
        <v>1</v>
      </c>
    </row>
    <row r="3319" spans="1:11" x14ac:dyDescent="0.25">
      <c r="A3319" t="s">
        <v>6643</v>
      </c>
      <c r="B3319" t="s">
        <v>12</v>
      </c>
      <c r="C3319" t="s">
        <v>27</v>
      </c>
      <c r="D3319" t="s">
        <v>105</v>
      </c>
      <c r="E3319" s="2">
        <v>15.5</v>
      </c>
      <c r="F3319" s="4">
        <v>8</v>
      </c>
      <c r="G3319" s="2">
        <v>124</v>
      </c>
      <c r="H3319" t="s">
        <v>25</v>
      </c>
      <c r="I3319" t="s">
        <v>36</v>
      </c>
      <c r="J3319" s="1">
        <v>44966</v>
      </c>
      <c r="K3319" t="b">
        <v>0</v>
      </c>
    </row>
    <row r="3320" spans="1:11" x14ac:dyDescent="0.25">
      <c r="A3320" t="s">
        <v>4861</v>
      </c>
      <c r="B3320" t="s">
        <v>56</v>
      </c>
      <c r="C3320" t="s">
        <v>19</v>
      </c>
      <c r="D3320" t="s">
        <v>166</v>
      </c>
      <c r="E3320" s="2">
        <v>15.5</v>
      </c>
      <c r="F3320" s="4">
        <v>8</v>
      </c>
      <c r="G3320" s="2">
        <v>124</v>
      </c>
      <c r="H3320" t="s">
        <v>45</v>
      </c>
      <c r="I3320" t="s">
        <v>16</v>
      </c>
      <c r="J3320" s="1">
        <v>45160</v>
      </c>
      <c r="K3320" t="b">
        <v>0</v>
      </c>
    </row>
    <row r="3321" spans="1:11" x14ac:dyDescent="0.25">
      <c r="A3321" t="s">
        <v>3225</v>
      </c>
      <c r="B3321" t="s">
        <v>69</v>
      </c>
      <c r="C3321" t="s">
        <v>59</v>
      </c>
      <c r="D3321" t="s">
        <v>201</v>
      </c>
      <c r="E3321" s="2">
        <v>15.5</v>
      </c>
      <c r="F3321" s="4">
        <v>8</v>
      </c>
      <c r="G3321" s="2">
        <v>124</v>
      </c>
      <c r="H3321" t="s">
        <v>45</v>
      </c>
      <c r="I3321" t="s">
        <v>36</v>
      </c>
      <c r="J3321" s="1">
        <v>45604</v>
      </c>
      <c r="K3321" t="b">
        <v>1</v>
      </c>
    </row>
    <row r="3322" spans="1:11" x14ac:dyDescent="0.25">
      <c r="A3322" t="s">
        <v>7233</v>
      </c>
      <c r="B3322" t="s">
        <v>97</v>
      </c>
      <c r="C3322" t="s">
        <v>59</v>
      </c>
      <c r="D3322" t="s">
        <v>201</v>
      </c>
      <c r="E3322" s="2">
        <v>15.5</v>
      </c>
      <c r="F3322" s="4">
        <v>8</v>
      </c>
      <c r="G3322" s="2">
        <v>124</v>
      </c>
      <c r="H3322" t="s">
        <v>45</v>
      </c>
      <c r="I3322" t="s">
        <v>36</v>
      </c>
      <c r="J3322" s="1">
        <v>45294</v>
      </c>
      <c r="K3322" t="b">
        <v>0</v>
      </c>
    </row>
    <row r="3323" spans="1:11" x14ac:dyDescent="0.25">
      <c r="A3323" t="s">
        <v>4831</v>
      </c>
      <c r="B3323" t="s">
        <v>104</v>
      </c>
      <c r="C3323" t="s">
        <v>19</v>
      </c>
      <c r="D3323" t="s">
        <v>166</v>
      </c>
      <c r="E3323" s="2">
        <v>15.5</v>
      </c>
      <c r="F3323" s="4">
        <v>8</v>
      </c>
      <c r="G3323" s="2">
        <v>124</v>
      </c>
      <c r="H3323" t="s">
        <v>45</v>
      </c>
      <c r="I3323" t="s">
        <v>36</v>
      </c>
      <c r="J3323" s="1">
        <v>45274</v>
      </c>
      <c r="K3323" t="b">
        <v>0</v>
      </c>
    </row>
    <row r="3324" spans="1:11" x14ac:dyDescent="0.25">
      <c r="A3324" t="s">
        <v>7196</v>
      </c>
      <c r="B3324" t="s">
        <v>37</v>
      </c>
      <c r="C3324" t="s">
        <v>59</v>
      </c>
      <c r="D3324" t="s">
        <v>201</v>
      </c>
      <c r="E3324" s="2">
        <v>15.5</v>
      </c>
      <c r="F3324" s="4">
        <v>8</v>
      </c>
      <c r="G3324" s="2">
        <v>124</v>
      </c>
      <c r="H3324" t="s">
        <v>15</v>
      </c>
      <c r="I3324" t="s">
        <v>36</v>
      </c>
      <c r="J3324" s="1">
        <v>45426</v>
      </c>
      <c r="K3324" t="b">
        <v>0</v>
      </c>
    </row>
    <row r="3325" spans="1:11" x14ac:dyDescent="0.25">
      <c r="A3325" t="s">
        <v>7168</v>
      </c>
      <c r="B3325" t="s">
        <v>43</v>
      </c>
      <c r="C3325" t="s">
        <v>23</v>
      </c>
      <c r="D3325" t="s">
        <v>187</v>
      </c>
      <c r="E3325" s="2">
        <v>15.5</v>
      </c>
      <c r="F3325" s="4">
        <v>8</v>
      </c>
      <c r="G3325" s="2">
        <v>124</v>
      </c>
      <c r="H3325" t="s">
        <v>15</v>
      </c>
      <c r="I3325" t="s">
        <v>16</v>
      </c>
      <c r="J3325" s="1">
        <v>45101</v>
      </c>
      <c r="K3325" t="b">
        <v>1</v>
      </c>
    </row>
    <row r="3326" spans="1:11" x14ac:dyDescent="0.25">
      <c r="A3326" t="s">
        <v>5227</v>
      </c>
      <c r="B3326" t="s">
        <v>100</v>
      </c>
      <c r="C3326" t="s">
        <v>13</v>
      </c>
      <c r="D3326" t="s">
        <v>389</v>
      </c>
      <c r="E3326" s="2">
        <v>15.5</v>
      </c>
      <c r="F3326" s="4">
        <v>8</v>
      </c>
      <c r="G3326" s="2">
        <v>124</v>
      </c>
      <c r="H3326" t="s">
        <v>25</v>
      </c>
      <c r="I3326" t="s">
        <v>36</v>
      </c>
      <c r="J3326" s="1">
        <v>45389</v>
      </c>
      <c r="K3326" t="b">
        <v>0</v>
      </c>
    </row>
    <row r="3327" spans="1:11" x14ac:dyDescent="0.25">
      <c r="A3327" t="s">
        <v>6887</v>
      </c>
      <c r="B3327" t="s">
        <v>66</v>
      </c>
      <c r="C3327" t="s">
        <v>59</v>
      </c>
      <c r="D3327" t="s">
        <v>201</v>
      </c>
      <c r="E3327" s="2">
        <v>15.5</v>
      </c>
      <c r="F3327" s="4">
        <v>8</v>
      </c>
      <c r="G3327" s="2">
        <v>124</v>
      </c>
      <c r="H3327" t="s">
        <v>15</v>
      </c>
      <c r="I3327" t="s">
        <v>16</v>
      </c>
      <c r="J3327" s="1">
        <v>44765</v>
      </c>
      <c r="K3327" t="b">
        <v>1</v>
      </c>
    </row>
    <row r="3328" spans="1:11" x14ac:dyDescent="0.25">
      <c r="A3328" t="s">
        <v>2198</v>
      </c>
      <c r="B3328" t="s">
        <v>18</v>
      </c>
      <c r="C3328" t="s">
        <v>110</v>
      </c>
      <c r="D3328" t="s">
        <v>199</v>
      </c>
      <c r="E3328" s="2">
        <v>15.5</v>
      </c>
      <c r="F3328" s="4">
        <v>8</v>
      </c>
      <c r="G3328" s="2">
        <v>124</v>
      </c>
      <c r="H3328" t="s">
        <v>45</v>
      </c>
      <c r="I3328" t="s">
        <v>16</v>
      </c>
      <c r="J3328" s="1">
        <v>44568</v>
      </c>
      <c r="K3328" t="b">
        <v>1</v>
      </c>
    </row>
    <row r="3329" spans="1:11" x14ac:dyDescent="0.25">
      <c r="A3329" t="s">
        <v>4008</v>
      </c>
      <c r="B3329" t="s">
        <v>104</v>
      </c>
      <c r="C3329" t="s">
        <v>59</v>
      </c>
      <c r="D3329" t="s">
        <v>201</v>
      </c>
      <c r="E3329" s="2">
        <v>15.5</v>
      </c>
      <c r="F3329" s="4">
        <v>8</v>
      </c>
      <c r="G3329" s="2">
        <v>124</v>
      </c>
      <c r="H3329" t="s">
        <v>45</v>
      </c>
      <c r="I3329" t="s">
        <v>36</v>
      </c>
      <c r="J3329" s="1">
        <v>44806</v>
      </c>
      <c r="K3329" t="b">
        <v>1</v>
      </c>
    </row>
    <row r="3330" spans="1:11" x14ac:dyDescent="0.25">
      <c r="A3330" t="s">
        <v>6529</v>
      </c>
      <c r="B3330" t="s">
        <v>43</v>
      </c>
      <c r="C3330" t="s">
        <v>13</v>
      </c>
      <c r="D3330" t="s">
        <v>389</v>
      </c>
      <c r="E3330" s="2">
        <v>15.5</v>
      </c>
      <c r="F3330" s="4">
        <v>8</v>
      </c>
      <c r="G3330" s="2">
        <v>124</v>
      </c>
      <c r="H3330" t="s">
        <v>25</v>
      </c>
      <c r="I3330" t="s">
        <v>36</v>
      </c>
      <c r="J3330" s="1">
        <v>45647</v>
      </c>
      <c r="K3330" t="b">
        <v>1</v>
      </c>
    </row>
    <row r="3331" spans="1:11" x14ac:dyDescent="0.25">
      <c r="A3331" t="s">
        <v>6266</v>
      </c>
      <c r="B3331" t="s">
        <v>93</v>
      </c>
      <c r="C3331" t="s">
        <v>13</v>
      </c>
      <c r="D3331" t="s">
        <v>389</v>
      </c>
      <c r="E3331" s="2">
        <v>15.5</v>
      </c>
      <c r="F3331" s="4">
        <v>8</v>
      </c>
      <c r="G3331" s="2">
        <v>124</v>
      </c>
      <c r="H3331" t="s">
        <v>25</v>
      </c>
      <c r="I3331" t="s">
        <v>16</v>
      </c>
      <c r="J3331" s="1">
        <v>44797</v>
      </c>
      <c r="K3331" t="b">
        <v>0</v>
      </c>
    </row>
    <row r="3332" spans="1:11" x14ac:dyDescent="0.25">
      <c r="A3332" t="s">
        <v>2083</v>
      </c>
      <c r="B3332" t="s">
        <v>142</v>
      </c>
      <c r="C3332" t="s">
        <v>38</v>
      </c>
      <c r="D3332" t="s">
        <v>241</v>
      </c>
      <c r="E3332" s="2">
        <v>15.5</v>
      </c>
      <c r="F3332" s="4">
        <v>8</v>
      </c>
      <c r="G3332" s="2">
        <v>124</v>
      </c>
      <c r="H3332" t="s">
        <v>45</v>
      </c>
      <c r="I3332" t="s">
        <v>16</v>
      </c>
      <c r="J3332" s="1">
        <v>44916</v>
      </c>
      <c r="K3332" t="b">
        <v>1</v>
      </c>
    </row>
    <row r="3333" spans="1:11" x14ac:dyDescent="0.25">
      <c r="A3333" t="s">
        <v>5506</v>
      </c>
      <c r="B3333" t="s">
        <v>100</v>
      </c>
      <c r="C3333" t="s">
        <v>19</v>
      </c>
      <c r="D3333" t="s">
        <v>166</v>
      </c>
      <c r="E3333" s="2">
        <v>15.5</v>
      </c>
      <c r="F3333" s="4">
        <v>8</v>
      </c>
      <c r="G3333" s="2">
        <v>124</v>
      </c>
      <c r="H3333" t="s">
        <v>15</v>
      </c>
      <c r="I3333" t="s">
        <v>16</v>
      </c>
      <c r="J3333" s="1">
        <v>44570</v>
      </c>
      <c r="K3333" t="b">
        <v>0</v>
      </c>
    </row>
    <row r="3334" spans="1:11" x14ac:dyDescent="0.25">
      <c r="A3334" t="s">
        <v>6496</v>
      </c>
      <c r="B3334" t="s">
        <v>18</v>
      </c>
      <c r="C3334" t="s">
        <v>27</v>
      </c>
      <c r="D3334" t="s">
        <v>105</v>
      </c>
      <c r="E3334" s="2">
        <v>15.5</v>
      </c>
      <c r="F3334" s="4">
        <v>8</v>
      </c>
      <c r="G3334" s="2">
        <v>124</v>
      </c>
      <c r="H3334" t="s">
        <v>15</v>
      </c>
      <c r="I3334" t="s">
        <v>36</v>
      </c>
      <c r="J3334" s="1">
        <v>44650</v>
      </c>
      <c r="K3334" t="b">
        <v>1</v>
      </c>
    </row>
    <row r="3335" spans="1:11" x14ac:dyDescent="0.25">
      <c r="A3335" t="s">
        <v>2634</v>
      </c>
      <c r="B3335" t="s">
        <v>43</v>
      </c>
      <c r="C3335" t="s">
        <v>59</v>
      </c>
      <c r="D3335" t="s">
        <v>201</v>
      </c>
      <c r="E3335" s="2">
        <v>15.5</v>
      </c>
      <c r="F3335" s="4">
        <v>8</v>
      </c>
      <c r="G3335" s="2">
        <v>124</v>
      </c>
      <c r="H3335" t="s">
        <v>15</v>
      </c>
      <c r="I3335" t="s">
        <v>16</v>
      </c>
      <c r="J3335" s="1">
        <v>44673</v>
      </c>
      <c r="K3335" t="b">
        <v>0</v>
      </c>
    </row>
    <row r="3336" spans="1:11" x14ac:dyDescent="0.25">
      <c r="A3336" t="s">
        <v>7604</v>
      </c>
      <c r="B3336" t="s">
        <v>18</v>
      </c>
      <c r="C3336" t="s">
        <v>23</v>
      </c>
      <c r="D3336" t="s">
        <v>187</v>
      </c>
      <c r="E3336" s="2">
        <v>15.5</v>
      </c>
      <c r="F3336" s="4">
        <v>8</v>
      </c>
      <c r="G3336" s="2">
        <v>124</v>
      </c>
      <c r="H3336" t="s">
        <v>45</v>
      </c>
      <c r="I3336" t="s">
        <v>16</v>
      </c>
      <c r="J3336" s="1">
        <v>45004</v>
      </c>
      <c r="K3336" t="b">
        <v>0</v>
      </c>
    </row>
    <row r="3337" spans="1:11" x14ac:dyDescent="0.25">
      <c r="A3337" t="s">
        <v>4705</v>
      </c>
      <c r="B3337" t="s">
        <v>30</v>
      </c>
      <c r="C3337" t="s">
        <v>23</v>
      </c>
      <c r="D3337" t="s">
        <v>187</v>
      </c>
      <c r="E3337" s="2">
        <v>15.5</v>
      </c>
      <c r="F3337" s="4">
        <v>8</v>
      </c>
      <c r="G3337" s="2">
        <v>124</v>
      </c>
      <c r="H3337" t="s">
        <v>45</v>
      </c>
      <c r="I3337" t="s">
        <v>16</v>
      </c>
      <c r="J3337" s="1">
        <v>45103</v>
      </c>
      <c r="K3337" t="b">
        <v>1</v>
      </c>
    </row>
    <row r="3338" spans="1:11" x14ac:dyDescent="0.25">
      <c r="A3338" t="s">
        <v>6348</v>
      </c>
      <c r="B3338" t="s">
        <v>58</v>
      </c>
      <c r="C3338" t="s">
        <v>23</v>
      </c>
      <c r="D3338" t="s">
        <v>187</v>
      </c>
      <c r="E3338" s="2">
        <v>15.5</v>
      </c>
      <c r="F3338" s="4">
        <v>8</v>
      </c>
      <c r="G3338" s="2">
        <v>124</v>
      </c>
      <c r="H3338" t="s">
        <v>25</v>
      </c>
      <c r="I3338" t="s">
        <v>36</v>
      </c>
      <c r="J3338" s="1">
        <v>44610</v>
      </c>
      <c r="K3338" t="b">
        <v>0</v>
      </c>
    </row>
    <row r="3339" spans="1:11" x14ac:dyDescent="0.25">
      <c r="A3339" t="s">
        <v>1428</v>
      </c>
      <c r="B3339" t="s">
        <v>77</v>
      </c>
      <c r="C3339" t="s">
        <v>27</v>
      </c>
      <c r="D3339" t="s">
        <v>105</v>
      </c>
      <c r="E3339" s="2">
        <v>15.5</v>
      </c>
      <c r="F3339" s="4">
        <v>8</v>
      </c>
      <c r="G3339" s="2">
        <v>124</v>
      </c>
      <c r="H3339" t="s">
        <v>15</v>
      </c>
      <c r="I3339" t="s">
        <v>16</v>
      </c>
      <c r="J3339" s="1">
        <v>44799</v>
      </c>
      <c r="K3339" t="b">
        <v>0</v>
      </c>
    </row>
    <row r="3340" spans="1:11" x14ac:dyDescent="0.25">
      <c r="A3340" t="s">
        <v>6394</v>
      </c>
      <c r="B3340" t="s">
        <v>93</v>
      </c>
      <c r="C3340" t="s">
        <v>110</v>
      </c>
      <c r="D3340" t="s">
        <v>199</v>
      </c>
      <c r="E3340" s="2">
        <v>15.5</v>
      </c>
      <c r="F3340" s="4">
        <v>8</v>
      </c>
      <c r="G3340" s="2">
        <v>124</v>
      </c>
      <c r="H3340" t="s">
        <v>45</v>
      </c>
      <c r="I3340" t="s">
        <v>16</v>
      </c>
      <c r="J3340" s="1">
        <v>44581</v>
      </c>
      <c r="K3340" t="b">
        <v>1</v>
      </c>
    </row>
    <row r="3341" spans="1:11" x14ac:dyDescent="0.25">
      <c r="A3341" t="s">
        <v>1943</v>
      </c>
      <c r="B3341" t="s">
        <v>66</v>
      </c>
      <c r="C3341" t="s">
        <v>31</v>
      </c>
      <c r="D3341" t="s">
        <v>286</v>
      </c>
      <c r="E3341" s="2">
        <v>41</v>
      </c>
      <c r="F3341" s="4">
        <v>3</v>
      </c>
      <c r="G3341" s="2">
        <v>123</v>
      </c>
      <c r="H3341" t="s">
        <v>45</v>
      </c>
      <c r="I3341" t="s">
        <v>36</v>
      </c>
      <c r="J3341" s="1">
        <v>45239</v>
      </c>
      <c r="K3341" t="b">
        <v>0</v>
      </c>
    </row>
    <row r="3342" spans="1:11" x14ac:dyDescent="0.25">
      <c r="A3342" t="s">
        <v>301</v>
      </c>
      <c r="B3342" t="s">
        <v>30</v>
      </c>
      <c r="C3342" t="s">
        <v>23</v>
      </c>
      <c r="D3342" t="s">
        <v>302</v>
      </c>
      <c r="E3342" s="2">
        <v>41</v>
      </c>
      <c r="F3342" s="4">
        <v>3</v>
      </c>
      <c r="G3342" s="2">
        <v>123</v>
      </c>
      <c r="H3342" t="s">
        <v>25</v>
      </c>
      <c r="I3342" t="s">
        <v>16</v>
      </c>
      <c r="J3342" s="1">
        <v>45571</v>
      </c>
      <c r="K3342" t="b">
        <v>1</v>
      </c>
    </row>
    <row r="3343" spans="1:11" x14ac:dyDescent="0.25">
      <c r="A3343" t="s">
        <v>5232</v>
      </c>
      <c r="B3343" t="s">
        <v>97</v>
      </c>
      <c r="C3343" t="s">
        <v>31</v>
      </c>
      <c r="D3343" t="s">
        <v>286</v>
      </c>
      <c r="E3343" s="2">
        <v>41</v>
      </c>
      <c r="F3343" s="4">
        <v>3</v>
      </c>
      <c r="G3343" s="2">
        <v>123</v>
      </c>
      <c r="H3343" t="s">
        <v>25</v>
      </c>
      <c r="I3343" t="s">
        <v>36</v>
      </c>
      <c r="J3343" s="1">
        <v>45485</v>
      </c>
      <c r="K3343" t="b">
        <v>1</v>
      </c>
    </row>
    <row r="3344" spans="1:11" x14ac:dyDescent="0.25">
      <c r="A3344" t="s">
        <v>4133</v>
      </c>
      <c r="B3344" t="s">
        <v>142</v>
      </c>
      <c r="C3344" t="s">
        <v>59</v>
      </c>
      <c r="D3344" t="s">
        <v>325</v>
      </c>
      <c r="E3344" s="2">
        <v>41</v>
      </c>
      <c r="F3344" s="4">
        <v>3</v>
      </c>
      <c r="G3344" s="2">
        <v>123</v>
      </c>
      <c r="H3344" t="s">
        <v>45</v>
      </c>
      <c r="I3344" t="s">
        <v>36</v>
      </c>
      <c r="J3344" s="1">
        <v>45225</v>
      </c>
      <c r="K3344" t="b">
        <v>1</v>
      </c>
    </row>
    <row r="3345" spans="1:11" x14ac:dyDescent="0.25">
      <c r="A3345" t="s">
        <v>7234</v>
      </c>
      <c r="B3345" t="s">
        <v>85</v>
      </c>
      <c r="C3345" t="s">
        <v>38</v>
      </c>
      <c r="D3345" t="s">
        <v>75</v>
      </c>
      <c r="E3345" s="2">
        <v>41</v>
      </c>
      <c r="F3345" s="4">
        <v>3</v>
      </c>
      <c r="G3345" s="2">
        <v>123</v>
      </c>
      <c r="H3345" t="s">
        <v>25</v>
      </c>
      <c r="I3345" t="s">
        <v>16</v>
      </c>
      <c r="J3345" s="1">
        <v>44925</v>
      </c>
      <c r="K3345" t="b">
        <v>1</v>
      </c>
    </row>
    <row r="3346" spans="1:11" x14ac:dyDescent="0.25">
      <c r="A3346" t="s">
        <v>5850</v>
      </c>
      <c r="B3346" t="s">
        <v>26</v>
      </c>
      <c r="C3346" t="s">
        <v>23</v>
      </c>
      <c r="D3346" t="s">
        <v>302</v>
      </c>
      <c r="E3346" s="2">
        <v>41</v>
      </c>
      <c r="F3346" s="4">
        <v>3</v>
      </c>
      <c r="G3346" s="2">
        <v>123</v>
      </c>
      <c r="H3346" t="s">
        <v>45</v>
      </c>
      <c r="I3346" t="s">
        <v>16</v>
      </c>
      <c r="J3346" s="1">
        <v>44613</v>
      </c>
      <c r="K3346" t="b">
        <v>0</v>
      </c>
    </row>
    <row r="3347" spans="1:11" x14ac:dyDescent="0.25">
      <c r="A3347" t="s">
        <v>5908</v>
      </c>
      <c r="B3347" t="s">
        <v>34</v>
      </c>
      <c r="C3347" t="s">
        <v>27</v>
      </c>
      <c r="D3347" t="s">
        <v>89</v>
      </c>
      <c r="E3347" s="2">
        <v>41</v>
      </c>
      <c r="F3347" s="4">
        <v>3</v>
      </c>
      <c r="G3347" s="2">
        <v>123</v>
      </c>
      <c r="H3347" t="s">
        <v>45</v>
      </c>
      <c r="I3347" t="s">
        <v>16</v>
      </c>
      <c r="J3347" s="1">
        <v>45614</v>
      </c>
      <c r="K3347" t="b">
        <v>1</v>
      </c>
    </row>
    <row r="3348" spans="1:11" x14ac:dyDescent="0.25">
      <c r="A3348" t="s">
        <v>1684</v>
      </c>
      <c r="B3348" t="s">
        <v>58</v>
      </c>
      <c r="C3348" t="s">
        <v>38</v>
      </c>
      <c r="D3348" t="s">
        <v>75</v>
      </c>
      <c r="E3348" s="2">
        <v>41</v>
      </c>
      <c r="F3348" s="4">
        <v>3</v>
      </c>
      <c r="G3348" s="2">
        <v>123</v>
      </c>
      <c r="H3348" t="s">
        <v>45</v>
      </c>
      <c r="I3348" t="s">
        <v>36</v>
      </c>
      <c r="J3348" s="1">
        <v>45130</v>
      </c>
      <c r="K3348" t="b">
        <v>1</v>
      </c>
    </row>
    <row r="3349" spans="1:11" x14ac:dyDescent="0.25">
      <c r="A3349" t="s">
        <v>5510</v>
      </c>
      <c r="B3349" t="s">
        <v>43</v>
      </c>
      <c r="C3349" t="s">
        <v>38</v>
      </c>
      <c r="D3349" t="s">
        <v>75</v>
      </c>
      <c r="E3349" s="2">
        <v>41</v>
      </c>
      <c r="F3349" s="4">
        <v>3</v>
      </c>
      <c r="G3349" s="2">
        <v>123</v>
      </c>
      <c r="H3349" t="s">
        <v>15</v>
      </c>
      <c r="I3349" t="s">
        <v>16</v>
      </c>
      <c r="J3349" s="1">
        <v>44584</v>
      </c>
      <c r="K3349" t="b">
        <v>1</v>
      </c>
    </row>
    <row r="3350" spans="1:11" x14ac:dyDescent="0.25">
      <c r="A3350" t="s">
        <v>1827</v>
      </c>
      <c r="B3350" t="s">
        <v>69</v>
      </c>
      <c r="C3350" t="s">
        <v>13</v>
      </c>
      <c r="D3350" t="s">
        <v>161</v>
      </c>
      <c r="E3350" s="2">
        <v>41</v>
      </c>
      <c r="F3350" s="4">
        <v>3</v>
      </c>
      <c r="G3350" s="2">
        <v>123</v>
      </c>
      <c r="H3350" t="s">
        <v>25</v>
      </c>
      <c r="I3350" t="s">
        <v>16</v>
      </c>
      <c r="J3350" s="1">
        <v>45621</v>
      </c>
      <c r="K3350" t="b">
        <v>1</v>
      </c>
    </row>
    <row r="3351" spans="1:11" x14ac:dyDescent="0.25">
      <c r="A3351" t="s">
        <v>6196</v>
      </c>
      <c r="B3351" t="s">
        <v>142</v>
      </c>
      <c r="C3351" t="s">
        <v>31</v>
      </c>
      <c r="D3351" t="s">
        <v>286</v>
      </c>
      <c r="E3351" s="2">
        <v>41</v>
      </c>
      <c r="F3351" s="4">
        <v>3</v>
      </c>
      <c r="G3351" s="2">
        <v>123</v>
      </c>
      <c r="H3351" t="s">
        <v>25</v>
      </c>
      <c r="I3351" t="s">
        <v>36</v>
      </c>
      <c r="J3351" s="1">
        <v>45105</v>
      </c>
      <c r="K3351" t="b">
        <v>0</v>
      </c>
    </row>
    <row r="3352" spans="1:11" x14ac:dyDescent="0.25">
      <c r="A3352" t="s">
        <v>2965</v>
      </c>
      <c r="B3352" t="s">
        <v>77</v>
      </c>
      <c r="C3352" t="s">
        <v>38</v>
      </c>
      <c r="D3352" t="s">
        <v>75</v>
      </c>
      <c r="E3352" s="2">
        <v>41</v>
      </c>
      <c r="F3352" s="4">
        <v>3</v>
      </c>
      <c r="G3352" s="2">
        <v>123</v>
      </c>
      <c r="H3352" t="s">
        <v>45</v>
      </c>
      <c r="I3352" t="s">
        <v>16</v>
      </c>
      <c r="J3352" s="1">
        <v>45487</v>
      </c>
      <c r="K3352" t="b">
        <v>0</v>
      </c>
    </row>
    <row r="3353" spans="1:11" x14ac:dyDescent="0.25">
      <c r="A3353" t="s">
        <v>3910</v>
      </c>
      <c r="B3353" t="s">
        <v>93</v>
      </c>
      <c r="C3353" t="s">
        <v>31</v>
      </c>
      <c r="D3353" t="s">
        <v>286</v>
      </c>
      <c r="E3353" s="2">
        <v>41</v>
      </c>
      <c r="F3353" s="4">
        <v>3</v>
      </c>
      <c r="G3353" s="2">
        <v>123</v>
      </c>
      <c r="H3353" t="s">
        <v>15</v>
      </c>
      <c r="I3353" t="s">
        <v>16</v>
      </c>
      <c r="J3353" s="1">
        <v>45391</v>
      </c>
      <c r="K3353" t="b">
        <v>1</v>
      </c>
    </row>
    <row r="3354" spans="1:11" x14ac:dyDescent="0.25">
      <c r="A3354" t="s">
        <v>6540</v>
      </c>
      <c r="B3354" t="s">
        <v>85</v>
      </c>
      <c r="C3354" t="s">
        <v>38</v>
      </c>
      <c r="D3354" t="s">
        <v>75</v>
      </c>
      <c r="E3354" s="2">
        <v>41</v>
      </c>
      <c r="F3354" s="4">
        <v>3</v>
      </c>
      <c r="G3354" s="2">
        <v>123</v>
      </c>
      <c r="H3354" t="s">
        <v>25</v>
      </c>
      <c r="I3354" t="s">
        <v>16</v>
      </c>
      <c r="J3354" s="1">
        <v>45378</v>
      </c>
      <c r="K3354" t="b">
        <v>1</v>
      </c>
    </row>
    <row r="3355" spans="1:11" x14ac:dyDescent="0.25">
      <c r="A3355" t="s">
        <v>4482</v>
      </c>
      <c r="B3355" t="s">
        <v>66</v>
      </c>
      <c r="C3355" t="s">
        <v>38</v>
      </c>
      <c r="D3355" t="s">
        <v>75</v>
      </c>
      <c r="E3355" s="2">
        <v>41</v>
      </c>
      <c r="F3355" s="4">
        <v>3</v>
      </c>
      <c r="G3355" s="2">
        <v>123</v>
      </c>
      <c r="H3355" t="s">
        <v>45</v>
      </c>
      <c r="I3355" t="s">
        <v>16</v>
      </c>
      <c r="J3355" s="1">
        <v>44784</v>
      </c>
      <c r="K3355" t="b">
        <v>1</v>
      </c>
    </row>
    <row r="3356" spans="1:11" x14ac:dyDescent="0.25">
      <c r="A3356" t="s">
        <v>786</v>
      </c>
      <c r="B3356" t="s">
        <v>30</v>
      </c>
      <c r="C3356" t="s">
        <v>19</v>
      </c>
      <c r="D3356" t="s">
        <v>787</v>
      </c>
      <c r="E3356" s="2">
        <v>41</v>
      </c>
      <c r="F3356" s="4">
        <v>3</v>
      </c>
      <c r="G3356" s="2">
        <v>123</v>
      </c>
      <c r="H3356" t="s">
        <v>15</v>
      </c>
      <c r="I3356" t="s">
        <v>36</v>
      </c>
      <c r="J3356" s="1">
        <v>45122</v>
      </c>
      <c r="K3356" t="b">
        <v>0</v>
      </c>
    </row>
    <row r="3357" spans="1:11" x14ac:dyDescent="0.25">
      <c r="A3357" t="s">
        <v>3194</v>
      </c>
      <c r="B3357" t="s">
        <v>63</v>
      </c>
      <c r="C3357" t="s">
        <v>23</v>
      </c>
      <c r="D3357" t="s">
        <v>302</v>
      </c>
      <c r="E3357" s="2">
        <v>41</v>
      </c>
      <c r="F3357" s="4">
        <v>3</v>
      </c>
      <c r="G3357" s="2">
        <v>123</v>
      </c>
      <c r="H3357" t="s">
        <v>15</v>
      </c>
      <c r="I3357" t="s">
        <v>16</v>
      </c>
      <c r="J3357" s="1">
        <v>44860</v>
      </c>
      <c r="K3357" t="b">
        <v>0</v>
      </c>
    </row>
    <row r="3358" spans="1:11" x14ac:dyDescent="0.25">
      <c r="A3358" t="s">
        <v>6311</v>
      </c>
      <c r="B3358" t="s">
        <v>85</v>
      </c>
      <c r="C3358" t="s">
        <v>23</v>
      </c>
      <c r="D3358" t="s">
        <v>302</v>
      </c>
      <c r="E3358" s="2">
        <v>41</v>
      </c>
      <c r="F3358" s="4">
        <v>3</v>
      </c>
      <c r="G3358" s="2">
        <v>123</v>
      </c>
      <c r="H3358" t="s">
        <v>25</v>
      </c>
      <c r="I3358" t="s">
        <v>36</v>
      </c>
      <c r="J3358" s="1">
        <v>44994</v>
      </c>
      <c r="K3358" t="b">
        <v>1</v>
      </c>
    </row>
    <row r="3359" spans="1:11" x14ac:dyDescent="0.25">
      <c r="A3359" t="s">
        <v>1639</v>
      </c>
      <c r="B3359" t="s">
        <v>56</v>
      </c>
      <c r="C3359" t="s">
        <v>23</v>
      </c>
      <c r="D3359" t="s">
        <v>302</v>
      </c>
      <c r="E3359" s="2">
        <v>41</v>
      </c>
      <c r="F3359" s="4">
        <v>3</v>
      </c>
      <c r="G3359" s="2">
        <v>123</v>
      </c>
      <c r="H3359" t="s">
        <v>45</v>
      </c>
      <c r="I3359" t="s">
        <v>16</v>
      </c>
      <c r="J3359" s="1">
        <v>45072</v>
      </c>
      <c r="K3359" t="b">
        <v>0</v>
      </c>
    </row>
    <row r="3360" spans="1:11" x14ac:dyDescent="0.25">
      <c r="A3360" t="s">
        <v>3285</v>
      </c>
      <c r="B3360" t="s">
        <v>100</v>
      </c>
      <c r="C3360" t="s">
        <v>59</v>
      </c>
      <c r="D3360" t="s">
        <v>325</v>
      </c>
      <c r="E3360" s="2">
        <v>41</v>
      </c>
      <c r="F3360" s="4">
        <v>3</v>
      </c>
      <c r="G3360" s="2">
        <v>123</v>
      </c>
      <c r="H3360" t="s">
        <v>45</v>
      </c>
      <c r="I3360" t="s">
        <v>16</v>
      </c>
      <c r="J3360" s="1">
        <v>44673</v>
      </c>
      <c r="K3360" t="b">
        <v>0</v>
      </c>
    </row>
    <row r="3361" spans="1:11" x14ac:dyDescent="0.25">
      <c r="A3361" t="s">
        <v>1553</v>
      </c>
      <c r="B3361" t="s">
        <v>97</v>
      </c>
      <c r="C3361" t="s">
        <v>59</v>
      </c>
      <c r="D3361" t="s">
        <v>325</v>
      </c>
      <c r="E3361" s="2">
        <v>41</v>
      </c>
      <c r="F3361" s="4">
        <v>3</v>
      </c>
      <c r="G3361" s="2">
        <v>123</v>
      </c>
      <c r="H3361" t="s">
        <v>15</v>
      </c>
      <c r="I3361" t="s">
        <v>16</v>
      </c>
      <c r="J3361" s="1">
        <v>45526</v>
      </c>
      <c r="K3361" t="b">
        <v>0</v>
      </c>
    </row>
    <row r="3362" spans="1:11" x14ac:dyDescent="0.25">
      <c r="A3362" t="s">
        <v>312</v>
      </c>
      <c r="B3362" t="s">
        <v>86</v>
      </c>
      <c r="C3362" t="s">
        <v>31</v>
      </c>
      <c r="D3362" t="s">
        <v>286</v>
      </c>
      <c r="E3362" s="2">
        <v>41</v>
      </c>
      <c r="F3362" s="4">
        <v>3</v>
      </c>
      <c r="G3362" s="2">
        <v>123</v>
      </c>
      <c r="H3362" t="s">
        <v>25</v>
      </c>
      <c r="I3362" t="s">
        <v>36</v>
      </c>
      <c r="J3362" s="1">
        <v>44647</v>
      </c>
      <c r="K3362" t="b">
        <v>0</v>
      </c>
    </row>
    <row r="3363" spans="1:11" x14ac:dyDescent="0.25">
      <c r="A3363" t="s">
        <v>6285</v>
      </c>
      <c r="B3363" t="s">
        <v>12</v>
      </c>
      <c r="C3363" t="s">
        <v>110</v>
      </c>
      <c r="D3363" t="s">
        <v>185</v>
      </c>
      <c r="E3363" s="2">
        <v>41</v>
      </c>
      <c r="F3363" s="4">
        <v>3</v>
      </c>
      <c r="G3363" s="2">
        <v>123</v>
      </c>
      <c r="H3363" t="s">
        <v>45</v>
      </c>
      <c r="I3363" t="s">
        <v>36</v>
      </c>
      <c r="J3363" s="1">
        <v>45511</v>
      </c>
      <c r="K3363" t="b">
        <v>0</v>
      </c>
    </row>
    <row r="3364" spans="1:11" x14ac:dyDescent="0.25">
      <c r="A3364" t="s">
        <v>1259</v>
      </c>
      <c r="B3364" t="s">
        <v>97</v>
      </c>
      <c r="C3364" t="s">
        <v>31</v>
      </c>
      <c r="D3364" t="s">
        <v>286</v>
      </c>
      <c r="E3364" s="2">
        <v>41</v>
      </c>
      <c r="F3364" s="4">
        <v>3</v>
      </c>
      <c r="G3364" s="2">
        <v>123</v>
      </c>
      <c r="H3364" t="s">
        <v>25</v>
      </c>
      <c r="I3364" t="s">
        <v>36</v>
      </c>
      <c r="J3364" s="1">
        <v>45247</v>
      </c>
      <c r="K3364" t="b">
        <v>0</v>
      </c>
    </row>
    <row r="3365" spans="1:11" x14ac:dyDescent="0.25">
      <c r="A3365" t="s">
        <v>6613</v>
      </c>
      <c r="B3365" t="s">
        <v>56</v>
      </c>
      <c r="C3365" t="s">
        <v>27</v>
      </c>
      <c r="D3365" t="s">
        <v>89</v>
      </c>
      <c r="E3365" s="2">
        <v>41</v>
      </c>
      <c r="F3365" s="4">
        <v>3</v>
      </c>
      <c r="G3365" s="2">
        <v>123</v>
      </c>
      <c r="H3365" t="s">
        <v>15</v>
      </c>
      <c r="I3365" t="s">
        <v>16</v>
      </c>
      <c r="J3365" s="1">
        <v>44975</v>
      </c>
      <c r="K3365" t="b">
        <v>1</v>
      </c>
    </row>
    <row r="3366" spans="1:11" x14ac:dyDescent="0.25">
      <c r="A3366" t="s">
        <v>3579</v>
      </c>
      <c r="B3366" t="s">
        <v>58</v>
      </c>
      <c r="C3366" t="s">
        <v>27</v>
      </c>
      <c r="D3366" t="s">
        <v>89</v>
      </c>
      <c r="E3366" s="2">
        <v>41</v>
      </c>
      <c r="F3366" s="4">
        <v>3</v>
      </c>
      <c r="G3366" s="2">
        <v>123</v>
      </c>
      <c r="H3366" t="s">
        <v>25</v>
      </c>
      <c r="I3366" t="s">
        <v>36</v>
      </c>
      <c r="J3366" s="1">
        <v>45442</v>
      </c>
      <c r="K3366" t="b">
        <v>0</v>
      </c>
    </row>
    <row r="3367" spans="1:11" x14ac:dyDescent="0.25">
      <c r="A3367" t="s">
        <v>4220</v>
      </c>
      <c r="B3367" t="s">
        <v>63</v>
      </c>
      <c r="C3367" t="s">
        <v>38</v>
      </c>
      <c r="D3367" t="s">
        <v>75</v>
      </c>
      <c r="E3367" s="2">
        <v>41</v>
      </c>
      <c r="F3367" s="4">
        <v>3</v>
      </c>
      <c r="G3367" s="2">
        <v>123</v>
      </c>
      <c r="H3367" t="s">
        <v>45</v>
      </c>
      <c r="I3367" t="s">
        <v>16</v>
      </c>
      <c r="J3367" s="1">
        <v>45333</v>
      </c>
      <c r="K3367" t="b">
        <v>1</v>
      </c>
    </row>
    <row r="3368" spans="1:11" x14ac:dyDescent="0.25">
      <c r="A3368" t="s">
        <v>978</v>
      </c>
      <c r="B3368" t="s">
        <v>22</v>
      </c>
      <c r="C3368" t="s">
        <v>31</v>
      </c>
      <c r="D3368" t="s">
        <v>286</v>
      </c>
      <c r="E3368" s="2">
        <v>41</v>
      </c>
      <c r="F3368" s="4">
        <v>3</v>
      </c>
      <c r="G3368" s="2">
        <v>123</v>
      </c>
      <c r="H3368" t="s">
        <v>15</v>
      </c>
      <c r="I3368" t="s">
        <v>36</v>
      </c>
      <c r="J3368" s="1">
        <v>45188</v>
      </c>
      <c r="K3368" t="b">
        <v>1</v>
      </c>
    </row>
    <row r="3369" spans="1:11" x14ac:dyDescent="0.25">
      <c r="A3369" t="s">
        <v>3316</v>
      </c>
      <c r="B3369" t="s">
        <v>37</v>
      </c>
      <c r="C3369" t="s">
        <v>23</v>
      </c>
      <c r="D3369" t="s">
        <v>302</v>
      </c>
      <c r="E3369" s="2">
        <v>41</v>
      </c>
      <c r="F3369" s="4">
        <v>3</v>
      </c>
      <c r="G3369" s="2">
        <v>123</v>
      </c>
      <c r="H3369" t="s">
        <v>45</v>
      </c>
      <c r="I3369" t="s">
        <v>36</v>
      </c>
      <c r="J3369" s="1">
        <v>45583</v>
      </c>
      <c r="K3369" t="b">
        <v>0</v>
      </c>
    </row>
    <row r="3370" spans="1:11" x14ac:dyDescent="0.25">
      <c r="A3370" t="s">
        <v>501</v>
      </c>
      <c r="B3370" t="s">
        <v>142</v>
      </c>
      <c r="C3370" t="s">
        <v>31</v>
      </c>
      <c r="D3370" t="s">
        <v>286</v>
      </c>
      <c r="E3370" s="2">
        <v>41</v>
      </c>
      <c r="F3370" s="4">
        <v>3</v>
      </c>
      <c r="G3370" s="2">
        <v>123</v>
      </c>
      <c r="H3370" t="s">
        <v>45</v>
      </c>
      <c r="I3370" t="s">
        <v>16</v>
      </c>
      <c r="J3370" s="1">
        <v>45287</v>
      </c>
      <c r="K3370" t="b">
        <v>1</v>
      </c>
    </row>
    <row r="3371" spans="1:11" x14ac:dyDescent="0.25">
      <c r="A3371" t="s">
        <v>3239</v>
      </c>
      <c r="B3371" t="s">
        <v>97</v>
      </c>
      <c r="C3371" t="s">
        <v>23</v>
      </c>
      <c r="D3371" t="s">
        <v>302</v>
      </c>
      <c r="E3371" s="2">
        <v>41</v>
      </c>
      <c r="F3371" s="4">
        <v>3</v>
      </c>
      <c r="G3371" s="2">
        <v>123</v>
      </c>
      <c r="H3371" t="s">
        <v>15</v>
      </c>
      <c r="I3371" t="s">
        <v>16</v>
      </c>
      <c r="J3371" s="1">
        <v>44606</v>
      </c>
      <c r="K3371" t="b">
        <v>0</v>
      </c>
    </row>
    <row r="3372" spans="1:11" x14ac:dyDescent="0.25">
      <c r="A3372" t="s">
        <v>6033</v>
      </c>
      <c r="B3372" t="s">
        <v>26</v>
      </c>
      <c r="C3372" t="s">
        <v>38</v>
      </c>
      <c r="D3372" t="s">
        <v>75</v>
      </c>
      <c r="E3372" s="2">
        <v>41</v>
      </c>
      <c r="F3372" s="4">
        <v>3</v>
      </c>
      <c r="G3372" s="2">
        <v>123</v>
      </c>
      <c r="H3372" t="s">
        <v>25</v>
      </c>
      <c r="I3372" t="s">
        <v>36</v>
      </c>
      <c r="J3372" s="1">
        <v>45652</v>
      </c>
      <c r="K3372" t="b">
        <v>0</v>
      </c>
    </row>
    <row r="3373" spans="1:11" x14ac:dyDescent="0.25">
      <c r="A3373" t="s">
        <v>5756</v>
      </c>
      <c r="B3373" t="s">
        <v>72</v>
      </c>
      <c r="C3373" t="s">
        <v>59</v>
      </c>
      <c r="D3373" t="s">
        <v>325</v>
      </c>
      <c r="E3373" s="2">
        <v>41</v>
      </c>
      <c r="F3373" s="4">
        <v>3</v>
      </c>
      <c r="G3373" s="2">
        <v>123</v>
      </c>
      <c r="H3373" t="s">
        <v>45</v>
      </c>
      <c r="I3373" t="s">
        <v>16</v>
      </c>
      <c r="J3373" s="1">
        <v>45148</v>
      </c>
      <c r="K3373" t="b">
        <v>1</v>
      </c>
    </row>
    <row r="3374" spans="1:11" x14ac:dyDescent="0.25">
      <c r="A3374" t="s">
        <v>4041</v>
      </c>
      <c r="B3374" t="s">
        <v>86</v>
      </c>
      <c r="C3374" t="s">
        <v>38</v>
      </c>
      <c r="D3374" t="s">
        <v>75</v>
      </c>
      <c r="E3374" s="2">
        <v>41</v>
      </c>
      <c r="F3374" s="4">
        <v>3</v>
      </c>
      <c r="G3374" s="2">
        <v>123</v>
      </c>
      <c r="H3374" t="s">
        <v>15</v>
      </c>
      <c r="I3374" t="s">
        <v>36</v>
      </c>
      <c r="J3374" s="1">
        <v>44844</v>
      </c>
      <c r="K3374" t="b">
        <v>0</v>
      </c>
    </row>
    <row r="3375" spans="1:11" x14ac:dyDescent="0.25">
      <c r="A3375" t="s">
        <v>3747</v>
      </c>
      <c r="B3375" t="s">
        <v>72</v>
      </c>
      <c r="C3375" t="s">
        <v>27</v>
      </c>
      <c r="D3375" t="s">
        <v>89</v>
      </c>
      <c r="E3375" s="2">
        <v>41</v>
      </c>
      <c r="F3375" s="4">
        <v>3</v>
      </c>
      <c r="G3375" s="2">
        <v>123</v>
      </c>
      <c r="H3375" t="s">
        <v>15</v>
      </c>
      <c r="I3375" t="s">
        <v>16</v>
      </c>
      <c r="J3375" s="1">
        <v>45495</v>
      </c>
      <c r="K3375" t="b">
        <v>1</v>
      </c>
    </row>
    <row r="3376" spans="1:11" x14ac:dyDescent="0.25">
      <c r="A3376" t="s">
        <v>5245</v>
      </c>
      <c r="B3376" t="s">
        <v>72</v>
      </c>
      <c r="C3376" t="s">
        <v>31</v>
      </c>
      <c r="D3376" t="s">
        <v>286</v>
      </c>
      <c r="E3376" s="2">
        <v>41</v>
      </c>
      <c r="F3376" s="4">
        <v>3</v>
      </c>
      <c r="G3376" s="2">
        <v>123</v>
      </c>
      <c r="H3376" t="s">
        <v>45</v>
      </c>
      <c r="I3376" t="s">
        <v>36</v>
      </c>
      <c r="J3376" s="1">
        <v>44794</v>
      </c>
      <c r="K3376" t="b">
        <v>0</v>
      </c>
    </row>
    <row r="3377" spans="1:11" x14ac:dyDescent="0.25">
      <c r="A3377" t="s">
        <v>7680</v>
      </c>
      <c r="B3377" t="s">
        <v>104</v>
      </c>
      <c r="C3377" t="s">
        <v>13</v>
      </c>
      <c r="D3377" t="s">
        <v>161</v>
      </c>
      <c r="E3377" s="2">
        <v>41</v>
      </c>
      <c r="F3377" s="4">
        <v>3</v>
      </c>
      <c r="G3377" s="2">
        <v>123</v>
      </c>
      <c r="H3377" t="s">
        <v>45</v>
      </c>
      <c r="I3377" t="s">
        <v>36</v>
      </c>
      <c r="J3377" s="1">
        <v>44835</v>
      </c>
      <c r="K3377" t="b">
        <v>0</v>
      </c>
    </row>
    <row r="3378" spans="1:11" x14ac:dyDescent="0.25">
      <c r="A3378" t="s">
        <v>2605</v>
      </c>
      <c r="B3378" t="s">
        <v>22</v>
      </c>
      <c r="C3378" t="s">
        <v>59</v>
      </c>
      <c r="D3378" t="s">
        <v>325</v>
      </c>
      <c r="E3378" s="2">
        <v>41</v>
      </c>
      <c r="F3378" s="4">
        <v>3</v>
      </c>
      <c r="G3378" s="2">
        <v>123</v>
      </c>
      <c r="H3378" t="s">
        <v>45</v>
      </c>
      <c r="I3378" t="s">
        <v>16</v>
      </c>
      <c r="J3378" s="1">
        <v>45475</v>
      </c>
      <c r="K3378" t="b">
        <v>0</v>
      </c>
    </row>
    <row r="3379" spans="1:11" x14ac:dyDescent="0.25">
      <c r="A3379" t="s">
        <v>832</v>
      </c>
      <c r="B3379" t="s">
        <v>40</v>
      </c>
      <c r="C3379" t="s">
        <v>31</v>
      </c>
      <c r="D3379" t="s">
        <v>286</v>
      </c>
      <c r="E3379" s="2">
        <v>41</v>
      </c>
      <c r="F3379" s="4">
        <v>3</v>
      </c>
      <c r="G3379" s="2">
        <v>123</v>
      </c>
      <c r="H3379" t="s">
        <v>15</v>
      </c>
      <c r="I3379" t="s">
        <v>36</v>
      </c>
      <c r="J3379" s="1">
        <v>45559</v>
      </c>
      <c r="K3379" t="b">
        <v>0</v>
      </c>
    </row>
    <row r="3380" spans="1:11" x14ac:dyDescent="0.25">
      <c r="A3380" t="s">
        <v>475</v>
      </c>
      <c r="B3380" t="s">
        <v>12</v>
      </c>
      <c r="C3380" t="s">
        <v>38</v>
      </c>
      <c r="D3380" t="s">
        <v>75</v>
      </c>
      <c r="E3380" s="2">
        <v>41</v>
      </c>
      <c r="F3380" s="4">
        <v>3</v>
      </c>
      <c r="G3380" s="2">
        <v>123</v>
      </c>
      <c r="H3380" t="s">
        <v>25</v>
      </c>
      <c r="I3380" t="s">
        <v>16</v>
      </c>
      <c r="J3380" s="1">
        <v>45467</v>
      </c>
      <c r="K3380" t="b">
        <v>1</v>
      </c>
    </row>
    <row r="3381" spans="1:11" x14ac:dyDescent="0.25">
      <c r="A3381" t="s">
        <v>2449</v>
      </c>
      <c r="B3381" t="s">
        <v>142</v>
      </c>
      <c r="C3381" t="s">
        <v>31</v>
      </c>
      <c r="D3381" t="s">
        <v>286</v>
      </c>
      <c r="E3381" s="2">
        <v>41</v>
      </c>
      <c r="F3381" s="4">
        <v>3</v>
      </c>
      <c r="G3381" s="2">
        <v>123</v>
      </c>
      <c r="H3381" t="s">
        <v>15</v>
      </c>
      <c r="I3381" t="s">
        <v>36</v>
      </c>
      <c r="J3381" s="1">
        <v>45442</v>
      </c>
      <c r="K3381" t="b">
        <v>0</v>
      </c>
    </row>
    <row r="3382" spans="1:11" x14ac:dyDescent="0.25">
      <c r="A3382" t="s">
        <v>3985</v>
      </c>
      <c r="B3382" t="s">
        <v>58</v>
      </c>
      <c r="C3382" t="s">
        <v>110</v>
      </c>
      <c r="D3382" t="s">
        <v>185</v>
      </c>
      <c r="E3382" s="2">
        <v>41</v>
      </c>
      <c r="F3382" s="4">
        <v>3</v>
      </c>
      <c r="G3382" s="2">
        <v>123</v>
      </c>
      <c r="H3382" t="s">
        <v>45</v>
      </c>
      <c r="I3382" t="s">
        <v>36</v>
      </c>
      <c r="J3382" s="1">
        <v>44808</v>
      </c>
      <c r="K3382" t="b">
        <v>0</v>
      </c>
    </row>
    <row r="3383" spans="1:11" x14ac:dyDescent="0.25">
      <c r="A3383" t="s">
        <v>285</v>
      </c>
      <c r="B3383" t="s">
        <v>85</v>
      </c>
      <c r="C3383" t="s">
        <v>31</v>
      </c>
      <c r="D3383" t="s">
        <v>286</v>
      </c>
      <c r="E3383" s="2">
        <v>41</v>
      </c>
      <c r="F3383" s="4">
        <v>3</v>
      </c>
      <c r="G3383" s="2">
        <v>123</v>
      </c>
      <c r="H3383" t="s">
        <v>15</v>
      </c>
      <c r="I3383" t="s">
        <v>36</v>
      </c>
      <c r="J3383" s="1">
        <v>45036</v>
      </c>
      <c r="K3383" t="b">
        <v>0</v>
      </c>
    </row>
    <row r="3384" spans="1:11" x14ac:dyDescent="0.25">
      <c r="A3384" t="s">
        <v>3621</v>
      </c>
      <c r="B3384" t="s">
        <v>43</v>
      </c>
      <c r="C3384" t="s">
        <v>13</v>
      </c>
      <c r="D3384" t="s">
        <v>161</v>
      </c>
      <c r="E3384" s="2">
        <v>41</v>
      </c>
      <c r="F3384" s="4">
        <v>3</v>
      </c>
      <c r="G3384" s="2">
        <v>123</v>
      </c>
      <c r="H3384" t="s">
        <v>15</v>
      </c>
      <c r="I3384" t="s">
        <v>36</v>
      </c>
      <c r="J3384" s="1">
        <v>45586</v>
      </c>
      <c r="K3384" t="b">
        <v>1</v>
      </c>
    </row>
    <row r="3385" spans="1:11" x14ac:dyDescent="0.25">
      <c r="A3385" t="s">
        <v>4987</v>
      </c>
      <c r="B3385" t="s">
        <v>97</v>
      </c>
      <c r="C3385" t="s">
        <v>59</v>
      </c>
      <c r="D3385" t="s">
        <v>325</v>
      </c>
      <c r="E3385" s="2">
        <v>41</v>
      </c>
      <c r="F3385" s="4">
        <v>3</v>
      </c>
      <c r="G3385" s="2">
        <v>123</v>
      </c>
      <c r="H3385" t="s">
        <v>25</v>
      </c>
      <c r="I3385" t="s">
        <v>16</v>
      </c>
      <c r="J3385" s="1">
        <v>45650</v>
      </c>
      <c r="K3385" t="b">
        <v>0</v>
      </c>
    </row>
    <row r="3386" spans="1:11" x14ac:dyDescent="0.25">
      <c r="A3386" t="s">
        <v>6187</v>
      </c>
      <c r="B3386" t="s">
        <v>30</v>
      </c>
      <c r="C3386" t="s">
        <v>38</v>
      </c>
      <c r="D3386" t="s">
        <v>75</v>
      </c>
      <c r="E3386" s="2">
        <v>41</v>
      </c>
      <c r="F3386" s="4">
        <v>3</v>
      </c>
      <c r="G3386" s="2">
        <v>123</v>
      </c>
      <c r="H3386" t="s">
        <v>15</v>
      </c>
      <c r="I3386" t="s">
        <v>16</v>
      </c>
      <c r="J3386" s="1">
        <v>44984</v>
      </c>
      <c r="K3386" t="b">
        <v>1</v>
      </c>
    </row>
    <row r="3387" spans="1:11" x14ac:dyDescent="0.25">
      <c r="A3387" t="s">
        <v>6852</v>
      </c>
      <c r="B3387" t="s">
        <v>104</v>
      </c>
      <c r="C3387" t="s">
        <v>23</v>
      </c>
      <c r="D3387" t="s">
        <v>302</v>
      </c>
      <c r="E3387" s="2">
        <v>41</v>
      </c>
      <c r="F3387" s="4">
        <v>3</v>
      </c>
      <c r="G3387" s="2">
        <v>123</v>
      </c>
      <c r="H3387" t="s">
        <v>25</v>
      </c>
      <c r="I3387" t="s">
        <v>36</v>
      </c>
      <c r="J3387" s="1">
        <v>44779</v>
      </c>
      <c r="K3387" t="b">
        <v>1</v>
      </c>
    </row>
    <row r="3388" spans="1:11" x14ac:dyDescent="0.25">
      <c r="A3388" t="s">
        <v>7490</v>
      </c>
      <c r="B3388" t="s">
        <v>100</v>
      </c>
      <c r="C3388" t="s">
        <v>27</v>
      </c>
      <c r="D3388" t="s">
        <v>170</v>
      </c>
      <c r="E3388" s="2">
        <v>24.5</v>
      </c>
      <c r="F3388" s="4">
        <v>5</v>
      </c>
      <c r="G3388" s="2">
        <v>122.5</v>
      </c>
      <c r="H3388" t="s">
        <v>25</v>
      </c>
      <c r="I3388" t="s">
        <v>36</v>
      </c>
      <c r="J3388" s="1">
        <v>45626</v>
      </c>
      <c r="K3388" t="b">
        <v>0</v>
      </c>
    </row>
    <row r="3389" spans="1:11" x14ac:dyDescent="0.25">
      <c r="A3389" t="s">
        <v>1140</v>
      </c>
      <c r="B3389" t="s">
        <v>51</v>
      </c>
      <c r="C3389" t="s">
        <v>38</v>
      </c>
      <c r="D3389" t="s">
        <v>70</v>
      </c>
      <c r="E3389" s="2">
        <v>24.5</v>
      </c>
      <c r="F3389" s="4">
        <v>5</v>
      </c>
      <c r="G3389" s="2">
        <v>122.5</v>
      </c>
      <c r="H3389" t="s">
        <v>15</v>
      </c>
      <c r="I3389" t="s">
        <v>36</v>
      </c>
      <c r="J3389" s="1">
        <v>45314</v>
      </c>
      <c r="K3389" t="b">
        <v>1</v>
      </c>
    </row>
    <row r="3390" spans="1:11" x14ac:dyDescent="0.25">
      <c r="A3390" t="s">
        <v>4139</v>
      </c>
      <c r="B3390" t="s">
        <v>30</v>
      </c>
      <c r="C3390" t="s">
        <v>13</v>
      </c>
      <c r="D3390" t="s">
        <v>139</v>
      </c>
      <c r="E3390" s="2">
        <v>24.5</v>
      </c>
      <c r="F3390" s="4">
        <v>5</v>
      </c>
      <c r="G3390" s="2">
        <v>122.5</v>
      </c>
      <c r="H3390" t="s">
        <v>15</v>
      </c>
      <c r="I3390" t="s">
        <v>36</v>
      </c>
      <c r="J3390" s="1">
        <v>45631</v>
      </c>
      <c r="K3390" t="b">
        <v>0</v>
      </c>
    </row>
    <row r="3391" spans="1:11" x14ac:dyDescent="0.25">
      <c r="A3391" t="s">
        <v>4981</v>
      </c>
      <c r="B3391" t="s">
        <v>72</v>
      </c>
      <c r="C3391" t="s">
        <v>27</v>
      </c>
      <c r="D3391" t="s">
        <v>170</v>
      </c>
      <c r="E3391" s="2">
        <v>24.5</v>
      </c>
      <c r="F3391" s="4">
        <v>5</v>
      </c>
      <c r="G3391" s="2">
        <v>122.5</v>
      </c>
      <c r="H3391" t="s">
        <v>45</v>
      </c>
      <c r="I3391" t="s">
        <v>16</v>
      </c>
      <c r="J3391" s="1">
        <v>45367</v>
      </c>
      <c r="K3391" t="b">
        <v>1</v>
      </c>
    </row>
    <row r="3392" spans="1:11" x14ac:dyDescent="0.25">
      <c r="A3392" t="s">
        <v>2544</v>
      </c>
      <c r="B3392" t="s">
        <v>72</v>
      </c>
      <c r="C3392" t="s">
        <v>31</v>
      </c>
      <c r="D3392" t="s">
        <v>78</v>
      </c>
      <c r="E3392" s="2">
        <v>24.5</v>
      </c>
      <c r="F3392" s="4">
        <v>5</v>
      </c>
      <c r="G3392" s="2">
        <v>122.5</v>
      </c>
      <c r="H3392" t="s">
        <v>15</v>
      </c>
      <c r="I3392" t="s">
        <v>36</v>
      </c>
      <c r="J3392" s="1">
        <v>45262</v>
      </c>
      <c r="K3392" t="b">
        <v>1</v>
      </c>
    </row>
    <row r="3393" spans="1:11" x14ac:dyDescent="0.25">
      <c r="A3393" t="s">
        <v>908</v>
      </c>
      <c r="B3393" t="s">
        <v>72</v>
      </c>
      <c r="C3393" t="s">
        <v>27</v>
      </c>
      <c r="D3393" t="s">
        <v>170</v>
      </c>
      <c r="E3393" s="2">
        <v>24.5</v>
      </c>
      <c r="F3393" s="4">
        <v>5</v>
      </c>
      <c r="G3393" s="2">
        <v>122.5</v>
      </c>
      <c r="H3393" t="s">
        <v>45</v>
      </c>
      <c r="I3393" t="s">
        <v>16</v>
      </c>
      <c r="J3393" s="1">
        <v>44696</v>
      </c>
      <c r="K3393" t="b">
        <v>1</v>
      </c>
    </row>
    <row r="3394" spans="1:11" x14ac:dyDescent="0.25">
      <c r="A3394" t="s">
        <v>4706</v>
      </c>
      <c r="B3394" t="s">
        <v>26</v>
      </c>
      <c r="C3394" t="s">
        <v>59</v>
      </c>
      <c r="D3394" t="s">
        <v>1513</v>
      </c>
      <c r="E3394" s="2">
        <v>24.5</v>
      </c>
      <c r="F3394" s="4">
        <v>5</v>
      </c>
      <c r="G3394" s="2">
        <v>122.5</v>
      </c>
      <c r="H3394" t="s">
        <v>25</v>
      </c>
      <c r="I3394" t="s">
        <v>16</v>
      </c>
      <c r="J3394" s="1">
        <v>45547</v>
      </c>
      <c r="K3394" t="b">
        <v>1</v>
      </c>
    </row>
    <row r="3395" spans="1:11" x14ac:dyDescent="0.25">
      <c r="A3395" t="s">
        <v>7041</v>
      </c>
      <c r="B3395" t="s">
        <v>93</v>
      </c>
      <c r="C3395" t="s">
        <v>27</v>
      </c>
      <c r="D3395" t="s">
        <v>170</v>
      </c>
      <c r="E3395" s="2">
        <v>24.5</v>
      </c>
      <c r="F3395" s="4">
        <v>5</v>
      </c>
      <c r="G3395" s="2">
        <v>122.5</v>
      </c>
      <c r="H3395" t="s">
        <v>25</v>
      </c>
      <c r="I3395" t="s">
        <v>36</v>
      </c>
      <c r="J3395" s="1">
        <v>44956</v>
      </c>
      <c r="K3395" t="b">
        <v>1</v>
      </c>
    </row>
    <row r="3396" spans="1:11" x14ac:dyDescent="0.25">
      <c r="A3396" t="s">
        <v>4176</v>
      </c>
      <c r="B3396" t="s">
        <v>72</v>
      </c>
      <c r="C3396" t="s">
        <v>31</v>
      </c>
      <c r="D3396" t="s">
        <v>78</v>
      </c>
      <c r="E3396" s="2">
        <v>24.5</v>
      </c>
      <c r="F3396" s="4">
        <v>5</v>
      </c>
      <c r="G3396" s="2">
        <v>122.5</v>
      </c>
      <c r="H3396" t="s">
        <v>15</v>
      </c>
      <c r="I3396" t="s">
        <v>36</v>
      </c>
      <c r="J3396" s="1">
        <v>45255</v>
      </c>
      <c r="K3396" t="b">
        <v>1</v>
      </c>
    </row>
    <row r="3397" spans="1:11" x14ac:dyDescent="0.25">
      <c r="A3397" t="s">
        <v>971</v>
      </c>
      <c r="B3397" t="s">
        <v>40</v>
      </c>
      <c r="C3397" t="s">
        <v>27</v>
      </c>
      <c r="D3397" t="s">
        <v>170</v>
      </c>
      <c r="E3397" s="2">
        <v>24.5</v>
      </c>
      <c r="F3397" s="4">
        <v>5</v>
      </c>
      <c r="G3397" s="2">
        <v>122.5</v>
      </c>
      <c r="H3397" t="s">
        <v>15</v>
      </c>
      <c r="I3397" t="s">
        <v>16</v>
      </c>
      <c r="J3397" s="1">
        <v>44577</v>
      </c>
      <c r="K3397" t="b">
        <v>1</v>
      </c>
    </row>
    <row r="3398" spans="1:11" x14ac:dyDescent="0.25">
      <c r="A3398" t="s">
        <v>1286</v>
      </c>
      <c r="B3398" t="s">
        <v>51</v>
      </c>
      <c r="C3398" t="s">
        <v>27</v>
      </c>
      <c r="D3398" t="s">
        <v>170</v>
      </c>
      <c r="E3398" s="2">
        <v>24.5</v>
      </c>
      <c r="F3398" s="4">
        <v>5</v>
      </c>
      <c r="G3398" s="2">
        <v>122.5</v>
      </c>
      <c r="H3398" t="s">
        <v>45</v>
      </c>
      <c r="I3398" t="s">
        <v>16</v>
      </c>
      <c r="J3398" s="1">
        <v>44726</v>
      </c>
      <c r="K3398" t="b">
        <v>0</v>
      </c>
    </row>
    <row r="3399" spans="1:11" x14ac:dyDescent="0.25">
      <c r="A3399" t="s">
        <v>1117</v>
      </c>
      <c r="B3399" t="s">
        <v>22</v>
      </c>
      <c r="C3399" t="s">
        <v>19</v>
      </c>
      <c r="D3399" t="s">
        <v>487</v>
      </c>
      <c r="E3399" s="2">
        <v>24.5</v>
      </c>
      <c r="F3399" s="4">
        <v>5</v>
      </c>
      <c r="G3399" s="2">
        <v>122.5</v>
      </c>
      <c r="H3399" t="s">
        <v>45</v>
      </c>
      <c r="I3399" t="s">
        <v>16</v>
      </c>
      <c r="J3399" s="1">
        <v>44619</v>
      </c>
      <c r="K3399" t="b">
        <v>0</v>
      </c>
    </row>
    <row r="3400" spans="1:11" x14ac:dyDescent="0.25">
      <c r="A3400" t="s">
        <v>760</v>
      </c>
      <c r="B3400" t="s">
        <v>34</v>
      </c>
      <c r="C3400" t="s">
        <v>27</v>
      </c>
      <c r="D3400" t="s">
        <v>170</v>
      </c>
      <c r="E3400" s="2">
        <v>24.5</v>
      </c>
      <c r="F3400" s="4">
        <v>5</v>
      </c>
      <c r="G3400" s="2">
        <v>122.5</v>
      </c>
      <c r="H3400" t="s">
        <v>25</v>
      </c>
      <c r="I3400" t="s">
        <v>16</v>
      </c>
      <c r="J3400" s="1">
        <v>44714</v>
      </c>
      <c r="K3400" t="b">
        <v>1</v>
      </c>
    </row>
    <row r="3401" spans="1:11" x14ac:dyDescent="0.25">
      <c r="A3401" t="s">
        <v>5537</v>
      </c>
      <c r="B3401" t="s">
        <v>22</v>
      </c>
      <c r="C3401" t="s">
        <v>23</v>
      </c>
      <c r="D3401" t="s">
        <v>430</v>
      </c>
      <c r="E3401" s="2">
        <v>24.5</v>
      </c>
      <c r="F3401" s="4">
        <v>5</v>
      </c>
      <c r="G3401" s="2">
        <v>122.5</v>
      </c>
      <c r="H3401" t="s">
        <v>45</v>
      </c>
      <c r="I3401" t="s">
        <v>16</v>
      </c>
      <c r="J3401" s="1">
        <v>45409</v>
      </c>
      <c r="K3401" t="b">
        <v>0</v>
      </c>
    </row>
    <row r="3402" spans="1:11" x14ac:dyDescent="0.25">
      <c r="A3402" t="s">
        <v>3936</v>
      </c>
      <c r="B3402" t="s">
        <v>30</v>
      </c>
      <c r="C3402" t="s">
        <v>110</v>
      </c>
      <c r="D3402" t="s">
        <v>253</v>
      </c>
      <c r="E3402" s="2">
        <v>24.5</v>
      </c>
      <c r="F3402" s="4">
        <v>5</v>
      </c>
      <c r="G3402" s="2">
        <v>122.5</v>
      </c>
      <c r="H3402" t="s">
        <v>25</v>
      </c>
      <c r="I3402" t="s">
        <v>16</v>
      </c>
      <c r="J3402" s="1">
        <v>45388</v>
      </c>
      <c r="K3402" t="b">
        <v>1</v>
      </c>
    </row>
    <row r="3403" spans="1:11" x14ac:dyDescent="0.25">
      <c r="A3403" t="s">
        <v>1333</v>
      </c>
      <c r="B3403" t="s">
        <v>97</v>
      </c>
      <c r="C3403" t="s">
        <v>13</v>
      </c>
      <c r="D3403" t="s">
        <v>139</v>
      </c>
      <c r="E3403" s="2">
        <v>24.5</v>
      </c>
      <c r="F3403" s="4">
        <v>5</v>
      </c>
      <c r="G3403" s="2">
        <v>122.5</v>
      </c>
      <c r="H3403" t="s">
        <v>45</v>
      </c>
      <c r="I3403" t="s">
        <v>36</v>
      </c>
      <c r="J3403" s="1">
        <v>45087</v>
      </c>
      <c r="K3403" t="b">
        <v>1</v>
      </c>
    </row>
    <row r="3404" spans="1:11" x14ac:dyDescent="0.25">
      <c r="A3404" t="s">
        <v>2720</v>
      </c>
      <c r="B3404" t="s">
        <v>85</v>
      </c>
      <c r="C3404" t="s">
        <v>31</v>
      </c>
      <c r="D3404" t="s">
        <v>78</v>
      </c>
      <c r="E3404" s="2">
        <v>24.5</v>
      </c>
      <c r="F3404" s="4">
        <v>5</v>
      </c>
      <c r="G3404" s="2">
        <v>122.5</v>
      </c>
      <c r="H3404" t="s">
        <v>25</v>
      </c>
      <c r="I3404" t="s">
        <v>16</v>
      </c>
      <c r="J3404" s="1">
        <v>45056</v>
      </c>
      <c r="K3404" t="b">
        <v>1</v>
      </c>
    </row>
    <row r="3405" spans="1:11" x14ac:dyDescent="0.25">
      <c r="A3405" t="s">
        <v>2415</v>
      </c>
      <c r="B3405" t="s">
        <v>61</v>
      </c>
      <c r="C3405" t="s">
        <v>110</v>
      </c>
      <c r="D3405" t="s">
        <v>253</v>
      </c>
      <c r="E3405" s="2">
        <v>24.5</v>
      </c>
      <c r="F3405" s="4">
        <v>5</v>
      </c>
      <c r="G3405" s="2">
        <v>122.5</v>
      </c>
      <c r="H3405" t="s">
        <v>25</v>
      </c>
      <c r="I3405" t="s">
        <v>16</v>
      </c>
      <c r="J3405" s="1">
        <v>44720</v>
      </c>
      <c r="K3405" t="b">
        <v>1</v>
      </c>
    </row>
    <row r="3406" spans="1:11" x14ac:dyDescent="0.25">
      <c r="A3406" t="s">
        <v>5209</v>
      </c>
      <c r="B3406" t="s">
        <v>37</v>
      </c>
      <c r="C3406" t="s">
        <v>31</v>
      </c>
      <c r="D3406" t="s">
        <v>78</v>
      </c>
      <c r="E3406" s="2">
        <v>24.5</v>
      </c>
      <c r="F3406" s="4">
        <v>5</v>
      </c>
      <c r="G3406" s="2">
        <v>122.5</v>
      </c>
      <c r="H3406" t="s">
        <v>25</v>
      </c>
      <c r="I3406" t="s">
        <v>36</v>
      </c>
      <c r="J3406" s="1">
        <v>44661</v>
      </c>
      <c r="K3406" t="b">
        <v>0</v>
      </c>
    </row>
    <row r="3407" spans="1:11" x14ac:dyDescent="0.25">
      <c r="A3407" t="s">
        <v>4058</v>
      </c>
      <c r="B3407" t="s">
        <v>104</v>
      </c>
      <c r="C3407" t="s">
        <v>27</v>
      </c>
      <c r="D3407" t="s">
        <v>170</v>
      </c>
      <c r="E3407" s="2">
        <v>24.5</v>
      </c>
      <c r="F3407" s="4">
        <v>5</v>
      </c>
      <c r="G3407" s="2">
        <v>122.5</v>
      </c>
      <c r="H3407" t="s">
        <v>15</v>
      </c>
      <c r="I3407" t="s">
        <v>16</v>
      </c>
      <c r="J3407" s="1">
        <v>44926</v>
      </c>
      <c r="K3407" t="b">
        <v>0</v>
      </c>
    </row>
    <row r="3408" spans="1:11" x14ac:dyDescent="0.25">
      <c r="A3408" t="s">
        <v>5727</v>
      </c>
      <c r="B3408" t="s">
        <v>63</v>
      </c>
      <c r="C3408" t="s">
        <v>31</v>
      </c>
      <c r="D3408" t="s">
        <v>78</v>
      </c>
      <c r="E3408" s="2">
        <v>24.5</v>
      </c>
      <c r="F3408" s="4">
        <v>5</v>
      </c>
      <c r="G3408" s="2">
        <v>122.5</v>
      </c>
      <c r="H3408" t="s">
        <v>45</v>
      </c>
      <c r="I3408" t="s">
        <v>16</v>
      </c>
      <c r="J3408" s="1">
        <v>45098</v>
      </c>
      <c r="K3408" t="b">
        <v>1</v>
      </c>
    </row>
    <row r="3409" spans="1:11" x14ac:dyDescent="0.25">
      <c r="A3409" t="s">
        <v>2166</v>
      </c>
      <c r="B3409" t="s">
        <v>22</v>
      </c>
      <c r="C3409" t="s">
        <v>13</v>
      </c>
      <c r="D3409" t="s">
        <v>139</v>
      </c>
      <c r="E3409" s="2">
        <v>24.5</v>
      </c>
      <c r="F3409" s="4">
        <v>5</v>
      </c>
      <c r="G3409" s="2">
        <v>122.5</v>
      </c>
      <c r="H3409" t="s">
        <v>45</v>
      </c>
      <c r="I3409" t="s">
        <v>16</v>
      </c>
      <c r="J3409" s="1">
        <v>45506</v>
      </c>
      <c r="K3409" t="b">
        <v>0</v>
      </c>
    </row>
    <row r="3410" spans="1:11" x14ac:dyDescent="0.25">
      <c r="A3410" t="s">
        <v>2239</v>
      </c>
      <c r="B3410" t="s">
        <v>30</v>
      </c>
      <c r="C3410" t="s">
        <v>23</v>
      </c>
      <c r="D3410" t="s">
        <v>430</v>
      </c>
      <c r="E3410" s="2">
        <v>24.5</v>
      </c>
      <c r="F3410" s="4">
        <v>5</v>
      </c>
      <c r="G3410" s="2">
        <v>122.5</v>
      </c>
      <c r="H3410" t="s">
        <v>15</v>
      </c>
      <c r="I3410" t="s">
        <v>16</v>
      </c>
      <c r="J3410" s="1">
        <v>45413</v>
      </c>
      <c r="K3410" t="b">
        <v>1</v>
      </c>
    </row>
    <row r="3411" spans="1:11" x14ac:dyDescent="0.25">
      <c r="A3411" t="s">
        <v>6382</v>
      </c>
      <c r="B3411" t="s">
        <v>12</v>
      </c>
      <c r="C3411" t="s">
        <v>27</v>
      </c>
      <c r="D3411" t="s">
        <v>170</v>
      </c>
      <c r="E3411" s="2">
        <v>24.5</v>
      </c>
      <c r="F3411" s="4">
        <v>5</v>
      </c>
      <c r="G3411" s="2">
        <v>122.5</v>
      </c>
      <c r="H3411" t="s">
        <v>25</v>
      </c>
      <c r="I3411" t="s">
        <v>16</v>
      </c>
      <c r="J3411" s="1">
        <v>44668</v>
      </c>
      <c r="K3411" t="b">
        <v>1</v>
      </c>
    </row>
    <row r="3412" spans="1:11" x14ac:dyDescent="0.25">
      <c r="A3412" t="s">
        <v>6734</v>
      </c>
      <c r="B3412" t="s">
        <v>30</v>
      </c>
      <c r="C3412" t="s">
        <v>13</v>
      </c>
      <c r="D3412" t="s">
        <v>139</v>
      </c>
      <c r="E3412" s="2">
        <v>24.5</v>
      </c>
      <c r="F3412" s="4">
        <v>5</v>
      </c>
      <c r="G3412" s="2">
        <v>122.5</v>
      </c>
      <c r="H3412" t="s">
        <v>15</v>
      </c>
      <c r="I3412" t="s">
        <v>16</v>
      </c>
      <c r="J3412" s="1">
        <v>44744</v>
      </c>
      <c r="K3412" t="b">
        <v>0</v>
      </c>
    </row>
    <row r="3413" spans="1:11" x14ac:dyDescent="0.25">
      <c r="A3413" t="s">
        <v>2225</v>
      </c>
      <c r="B3413" t="s">
        <v>142</v>
      </c>
      <c r="C3413" t="s">
        <v>31</v>
      </c>
      <c r="D3413" t="s">
        <v>78</v>
      </c>
      <c r="E3413" s="2">
        <v>24.5</v>
      </c>
      <c r="F3413" s="4">
        <v>5</v>
      </c>
      <c r="G3413" s="2">
        <v>122.5</v>
      </c>
      <c r="H3413" t="s">
        <v>45</v>
      </c>
      <c r="I3413" t="s">
        <v>16</v>
      </c>
      <c r="J3413" s="1">
        <v>44653</v>
      </c>
      <c r="K3413" t="b">
        <v>1</v>
      </c>
    </row>
    <row r="3414" spans="1:11" x14ac:dyDescent="0.25">
      <c r="A3414" t="s">
        <v>6175</v>
      </c>
      <c r="B3414" t="s">
        <v>30</v>
      </c>
      <c r="C3414" t="s">
        <v>31</v>
      </c>
      <c r="D3414" t="s">
        <v>78</v>
      </c>
      <c r="E3414" s="2">
        <v>24.5</v>
      </c>
      <c r="F3414" s="4">
        <v>5</v>
      </c>
      <c r="G3414" s="2">
        <v>122.5</v>
      </c>
      <c r="H3414" t="s">
        <v>45</v>
      </c>
      <c r="I3414" t="s">
        <v>36</v>
      </c>
      <c r="J3414" s="1">
        <v>45593</v>
      </c>
      <c r="K3414" t="b">
        <v>1</v>
      </c>
    </row>
    <row r="3415" spans="1:11" x14ac:dyDescent="0.25">
      <c r="A3415" t="s">
        <v>2451</v>
      </c>
      <c r="B3415" t="s">
        <v>40</v>
      </c>
      <c r="C3415" t="s">
        <v>59</v>
      </c>
      <c r="D3415" t="s">
        <v>1513</v>
      </c>
      <c r="E3415" s="2">
        <v>24.5</v>
      </c>
      <c r="F3415" s="4">
        <v>5</v>
      </c>
      <c r="G3415" s="2">
        <v>122.5</v>
      </c>
      <c r="H3415" t="s">
        <v>25</v>
      </c>
      <c r="I3415" t="s">
        <v>36</v>
      </c>
      <c r="J3415" s="1">
        <v>45124</v>
      </c>
      <c r="K3415" t="b">
        <v>1</v>
      </c>
    </row>
    <row r="3416" spans="1:11" x14ac:dyDescent="0.25">
      <c r="A3416" t="s">
        <v>3182</v>
      </c>
      <c r="B3416" t="s">
        <v>34</v>
      </c>
      <c r="C3416" t="s">
        <v>31</v>
      </c>
      <c r="D3416" t="s">
        <v>78</v>
      </c>
      <c r="E3416" s="2">
        <v>24.5</v>
      </c>
      <c r="F3416" s="4">
        <v>5</v>
      </c>
      <c r="G3416" s="2">
        <v>122.5</v>
      </c>
      <c r="H3416" t="s">
        <v>15</v>
      </c>
      <c r="I3416" t="s">
        <v>16</v>
      </c>
      <c r="J3416" s="1">
        <v>45062</v>
      </c>
      <c r="K3416" t="b">
        <v>0</v>
      </c>
    </row>
    <row r="3417" spans="1:11" x14ac:dyDescent="0.25">
      <c r="A3417" t="s">
        <v>1138</v>
      </c>
      <c r="B3417" t="s">
        <v>58</v>
      </c>
      <c r="C3417" t="s">
        <v>27</v>
      </c>
      <c r="D3417" t="s">
        <v>170</v>
      </c>
      <c r="E3417" s="2">
        <v>24.5</v>
      </c>
      <c r="F3417" s="4">
        <v>5</v>
      </c>
      <c r="G3417" s="2">
        <v>122.5</v>
      </c>
      <c r="H3417" t="s">
        <v>25</v>
      </c>
      <c r="I3417" t="s">
        <v>36</v>
      </c>
      <c r="J3417" s="1">
        <v>45118</v>
      </c>
      <c r="K3417" t="b">
        <v>0</v>
      </c>
    </row>
    <row r="3418" spans="1:11" x14ac:dyDescent="0.25">
      <c r="A3418" t="s">
        <v>1963</v>
      </c>
      <c r="B3418" t="s">
        <v>104</v>
      </c>
      <c r="C3418" t="s">
        <v>27</v>
      </c>
      <c r="D3418" t="s">
        <v>170</v>
      </c>
      <c r="E3418" s="2">
        <v>24.5</v>
      </c>
      <c r="F3418" s="4">
        <v>5</v>
      </c>
      <c r="G3418" s="2">
        <v>122.5</v>
      </c>
      <c r="H3418" t="s">
        <v>25</v>
      </c>
      <c r="I3418" t="s">
        <v>16</v>
      </c>
      <c r="J3418" s="1">
        <v>44706</v>
      </c>
      <c r="K3418" t="b">
        <v>1</v>
      </c>
    </row>
    <row r="3419" spans="1:11" x14ac:dyDescent="0.25">
      <c r="A3419" t="s">
        <v>4025</v>
      </c>
      <c r="B3419" t="s">
        <v>104</v>
      </c>
      <c r="C3419" t="s">
        <v>19</v>
      </c>
      <c r="D3419" t="s">
        <v>487</v>
      </c>
      <c r="E3419" s="2">
        <v>24.5</v>
      </c>
      <c r="F3419" s="4">
        <v>5</v>
      </c>
      <c r="G3419" s="2">
        <v>122.5</v>
      </c>
      <c r="H3419" t="s">
        <v>45</v>
      </c>
      <c r="I3419" t="s">
        <v>36</v>
      </c>
      <c r="J3419" s="1">
        <v>45220</v>
      </c>
      <c r="K3419" t="b">
        <v>0</v>
      </c>
    </row>
    <row r="3420" spans="1:11" x14ac:dyDescent="0.25">
      <c r="A3420" t="s">
        <v>429</v>
      </c>
      <c r="B3420" t="s">
        <v>63</v>
      </c>
      <c r="C3420" t="s">
        <v>23</v>
      </c>
      <c r="D3420" t="s">
        <v>430</v>
      </c>
      <c r="E3420" s="2">
        <v>24.5</v>
      </c>
      <c r="F3420" s="4">
        <v>5</v>
      </c>
      <c r="G3420" s="2">
        <v>122.5</v>
      </c>
      <c r="H3420" t="s">
        <v>15</v>
      </c>
      <c r="I3420" t="s">
        <v>16</v>
      </c>
      <c r="J3420" s="1">
        <v>45346</v>
      </c>
      <c r="K3420" t="b">
        <v>0</v>
      </c>
    </row>
    <row r="3421" spans="1:11" x14ac:dyDescent="0.25">
      <c r="A3421" t="s">
        <v>5870</v>
      </c>
      <c r="B3421" t="s">
        <v>63</v>
      </c>
      <c r="C3421" t="s">
        <v>31</v>
      </c>
      <c r="D3421" t="s">
        <v>144</v>
      </c>
      <c r="E3421" s="2">
        <v>30.5</v>
      </c>
      <c r="F3421" s="4">
        <v>4</v>
      </c>
      <c r="G3421" s="2">
        <v>122</v>
      </c>
      <c r="H3421" t="s">
        <v>45</v>
      </c>
      <c r="I3421" t="s">
        <v>16</v>
      </c>
      <c r="J3421" s="1">
        <v>45255</v>
      </c>
      <c r="K3421" t="b">
        <v>1</v>
      </c>
    </row>
    <row r="3422" spans="1:11" x14ac:dyDescent="0.25">
      <c r="A3422" t="s">
        <v>7582</v>
      </c>
      <c r="B3422" t="s">
        <v>18</v>
      </c>
      <c r="C3422" t="s">
        <v>31</v>
      </c>
      <c r="D3422" t="s">
        <v>144</v>
      </c>
      <c r="E3422" s="2">
        <v>30.5</v>
      </c>
      <c r="F3422" s="4">
        <v>4</v>
      </c>
      <c r="G3422" s="2">
        <v>122</v>
      </c>
      <c r="H3422" t="s">
        <v>15</v>
      </c>
      <c r="I3422" t="s">
        <v>36</v>
      </c>
      <c r="J3422" s="1">
        <v>44888</v>
      </c>
      <c r="K3422" t="b">
        <v>0</v>
      </c>
    </row>
    <row r="3423" spans="1:11" x14ac:dyDescent="0.25">
      <c r="A3423" t="s">
        <v>2504</v>
      </c>
      <c r="B3423" t="s">
        <v>58</v>
      </c>
      <c r="C3423" t="s">
        <v>19</v>
      </c>
      <c r="D3423" t="s">
        <v>474</v>
      </c>
      <c r="E3423" s="2">
        <v>30.5</v>
      </c>
      <c r="F3423" s="4">
        <v>4</v>
      </c>
      <c r="G3423" s="2">
        <v>122</v>
      </c>
      <c r="H3423" t="s">
        <v>25</v>
      </c>
      <c r="I3423" t="s">
        <v>36</v>
      </c>
      <c r="J3423" s="1">
        <v>45650</v>
      </c>
      <c r="K3423" t="b">
        <v>1</v>
      </c>
    </row>
    <row r="3424" spans="1:11" x14ac:dyDescent="0.25">
      <c r="A3424" t="s">
        <v>4107</v>
      </c>
      <c r="B3424" t="s">
        <v>22</v>
      </c>
      <c r="C3424" t="s">
        <v>59</v>
      </c>
      <c r="D3424" t="s">
        <v>676</v>
      </c>
      <c r="E3424" s="2">
        <v>30.5</v>
      </c>
      <c r="F3424" s="4">
        <v>4</v>
      </c>
      <c r="G3424" s="2">
        <v>122</v>
      </c>
      <c r="H3424" t="s">
        <v>25</v>
      </c>
      <c r="I3424" t="s">
        <v>36</v>
      </c>
      <c r="J3424" s="1">
        <v>45156</v>
      </c>
      <c r="K3424" t="b">
        <v>0</v>
      </c>
    </row>
    <row r="3425" spans="1:11" x14ac:dyDescent="0.25">
      <c r="A3425" t="s">
        <v>4490</v>
      </c>
      <c r="B3425" t="s">
        <v>97</v>
      </c>
      <c r="C3425" t="s">
        <v>27</v>
      </c>
      <c r="D3425" t="s">
        <v>524</v>
      </c>
      <c r="E3425" s="2">
        <v>30.5</v>
      </c>
      <c r="F3425" s="4">
        <v>4</v>
      </c>
      <c r="G3425" s="2">
        <v>122</v>
      </c>
      <c r="H3425" t="s">
        <v>25</v>
      </c>
      <c r="I3425" t="s">
        <v>16</v>
      </c>
      <c r="J3425" s="1">
        <v>45540</v>
      </c>
      <c r="K3425" t="b">
        <v>1</v>
      </c>
    </row>
    <row r="3426" spans="1:11" x14ac:dyDescent="0.25">
      <c r="A3426" t="s">
        <v>1133</v>
      </c>
      <c r="B3426" t="s">
        <v>56</v>
      </c>
      <c r="C3426" t="s">
        <v>38</v>
      </c>
      <c r="D3426" t="s">
        <v>780</v>
      </c>
      <c r="E3426" s="2">
        <v>30.5</v>
      </c>
      <c r="F3426" s="4">
        <v>4</v>
      </c>
      <c r="G3426" s="2">
        <v>122</v>
      </c>
      <c r="H3426" t="s">
        <v>25</v>
      </c>
      <c r="I3426" t="s">
        <v>16</v>
      </c>
      <c r="J3426" s="1">
        <v>44922</v>
      </c>
      <c r="K3426" t="b">
        <v>1</v>
      </c>
    </row>
    <row r="3427" spans="1:11" x14ac:dyDescent="0.25">
      <c r="A3427" t="s">
        <v>5793</v>
      </c>
      <c r="B3427" t="s">
        <v>22</v>
      </c>
      <c r="C3427" t="s">
        <v>59</v>
      </c>
      <c r="D3427" t="s">
        <v>676</v>
      </c>
      <c r="E3427" s="2">
        <v>30.5</v>
      </c>
      <c r="F3427" s="4">
        <v>4</v>
      </c>
      <c r="G3427" s="2">
        <v>122</v>
      </c>
      <c r="H3427" t="s">
        <v>45</v>
      </c>
      <c r="I3427" t="s">
        <v>36</v>
      </c>
      <c r="J3427" s="1">
        <v>45596</v>
      </c>
      <c r="K3427" t="b">
        <v>0</v>
      </c>
    </row>
    <row r="3428" spans="1:11" x14ac:dyDescent="0.25">
      <c r="A3428" t="s">
        <v>222</v>
      </c>
      <c r="B3428" t="s">
        <v>18</v>
      </c>
      <c r="C3428" t="s">
        <v>23</v>
      </c>
      <c r="D3428" t="s">
        <v>223</v>
      </c>
      <c r="E3428" s="2">
        <v>30.5</v>
      </c>
      <c r="F3428" s="4">
        <v>4</v>
      </c>
      <c r="G3428" s="2">
        <v>122</v>
      </c>
      <c r="H3428" t="s">
        <v>15</v>
      </c>
      <c r="I3428" t="s">
        <v>16</v>
      </c>
      <c r="J3428" s="1">
        <v>44726</v>
      </c>
      <c r="K3428" t="b">
        <v>1</v>
      </c>
    </row>
    <row r="3429" spans="1:11" x14ac:dyDescent="0.25">
      <c r="A3429" t="s">
        <v>1676</v>
      </c>
      <c r="B3429" t="s">
        <v>97</v>
      </c>
      <c r="C3429" t="s">
        <v>19</v>
      </c>
      <c r="D3429" t="s">
        <v>474</v>
      </c>
      <c r="E3429" s="2">
        <v>30.5</v>
      </c>
      <c r="F3429" s="4">
        <v>4</v>
      </c>
      <c r="G3429" s="2">
        <v>122</v>
      </c>
      <c r="H3429" t="s">
        <v>25</v>
      </c>
      <c r="I3429" t="s">
        <v>16</v>
      </c>
      <c r="J3429" s="1">
        <v>45642</v>
      </c>
      <c r="K3429" t="b">
        <v>0</v>
      </c>
    </row>
    <row r="3430" spans="1:11" x14ac:dyDescent="0.25">
      <c r="A3430" t="s">
        <v>4715</v>
      </c>
      <c r="B3430" t="s">
        <v>12</v>
      </c>
      <c r="C3430" t="s">
        <v>31</v>
      </c>
      <c r="D3430" t="s">
        <v>144</v>
      </c>
      <c r="E3430" s="2">
        <v>30.5</v>
      </c>
      <c r="F3430" s="4">
        <v>4</v>
      </c>
      <c r="G3430" s="2">
        <v>122</v>
      </c>
      <c r="H3430" t="s">
        <v>25</v>
      </c>
      <c r="I3430" t="s">
        <v>16</v>
      </c>
      <c r="J3430" s="1">
        <v>45541</v>
      </c>
      <c r="K3430" t="b">
        <v>0</v>
      </c>
    </row>
    <row r="3431" spans="1:11" x14ac:dyDescent="0.25">
      <c r="A3431" t="s">
        <v>1340</v>
      </c>
      <c r="B3431" t="s">
        <v>37</v>
      </c>
      <c r="C3431" t="s">
        <v>13</v>
      </c>
      <c r="D3431" t="s">
        <v>1016</v>
      </c>
      <c r="E3431" s="2">
        <v>30.5</v>
      </c>
      <c r="F3431" s="4">
        <v>4</v>
      </c>
      <c r="G3431" s="2">
        <v>122</v>
      </c>
      <c r="H3431" t="s">
        <v>15</v>
      </c>
      <c r="I3431" t="s">
        <v>16</v>
      </c>
      <c r="J3431" s="1">
        <v>45095</v>
      </c>
      <c r="K3431" t="b">
        <v>0</v>
      </c>
    </row>
    <row r="3432" spans="1:11" x14ac:dyDescent="0.25">
      <c r="A3432" t="s">
        <v>4935</v>
      </c>
      <c r="B3432" t="s">
        <v>142</v>
      </c>
      <c r="C3432" t="s">
        <v>110</v>
      </c>
      <c r="D3432" t="s">
        <v>256</v>
      </c>
      <c r="E3432" s="2">
        <v>30.5</v>
      </c>
      <c r="F3432" s="4">
        <v>4</v>
      </c>
      <c r="G3432" s="2">
        <v>122</v>
      </c>
      <c r="H3432" t="s">
        <v>45</v>
      </c>
      <c r="I3432" t="s">
        <v>16</v>
      </c>
      <c r="J3432" s="1">
        <v>44574</v>
      </c>
      <c r="K3432" t="b">
        <v>1</v>
      </c>
    </row>
    <row r="3433" spans="1:11" x14ac:dyDescent="0.25">
      <c r="A3433" t="s">
        <v>2585</v>
      </c>
      <c r="B3433" t="s">
        <v>12</v>
      </c>
      <c r="C3433" t="s">
        <v>19</v>
      </c>
      <c r="D3433" t="s">
        <v>474</v>
      </c>
      <c r="E3433" s="2">
        <v>30.5</v>
      </c>
      <c r="F3433" s="4">
        <v>4</v>
      </c>
      <c r="G3433" s="2">
        <v>122</v>
      </c>
      <c r="H3433" t="s">
        <v>25</v>
      </c>
      <c r="I3433" t="s">
        <v>16</v>
      </c>
      <c r="J3433" s="1">
        <v>45459</v>
      </c>
      <c r="K3433" t="b">
        <v>1</v>
      </c>
    </row>
    <row r="3434" spans="1:11" x14ac:dyDescent="0.25">
      <c r="A3434" t="s">
        <v>1736</v>
      </c>
      <c r="B3434" t="s">
        <v>18</v>
      </c>
      <c r="C3434" t="s">
        <v>13</v>
      </c>
      <c r="D3434" t="s">
        <v>1016</v>
      </c>
      <c r="E3434" s="2">
        <v>30.5</v>
      </c>
      <c r="F3434" s="4">
        <v>4</v>
      </c>
      <c r="G3434" s="2">
        <v>122</v>
      </c>
      <c r="H3434" t="s">
        <v>25</v>
      </c>
      <c r="I3434" t="s">
        <v>36</v>
      </c>
      <c r="J3434" s="1">
        <v>44622</v>
      </c>
      <c r="K3434" t="b">
        <v>0</v>
      </c>
    </row>
    <row r="3435" spans="1:11" x14ac:dyDescent="0.25">
      <c r="A3435" t="s">
        <v>6340</v>
      </c>
      <c r="B3435" t="s">
        <v>58</v>
      </c>
      <c r="C3435" t="s">
        <v>31</v>
      </c>
      <c r="D3435" t="s">
        <v>144</v>
      </c>
      <c r="E3435" s="2">
        <v>30.5</v>
      </c>
      <c r="F3435" s="4">
        <v>4</v>
      </c>
      <c r="G3435" s="2">
        <v>122</v>
      </c>
      <c r="H3435" t="s">
        <v>15</v>
      </c>
      <c r="I3435" t="s">
        <v>36</v>
      </c>
      <c r="J3435" s="1">
        <v>45411</v>
      </c>
      <c r="K3435" t="b">
        <v>0</v>
      </c>
    </row>
    <row r="3436" spans="1:11" x14ac:dyDescent="0.25">
      <c r="A3436" t="s">
        <v>2589</v>
      </c>
      <c r="B3436" t="s">
        <v>66</v>
      </c>
      <c r="C3436" t="s">
        <v>13</v>
      </c>
      <c r="D3436" t="s">
        <v>1016</v>
      </c>
      <c r="E3436" s="2">
        <v>30.5</v>
      </c>
      <c r="F3436" s="4">
        <v>4</v>
      </c>
      <c r="G3436" s="2">
        <v>122</v>
      </c>
      <c r="H3436" t="s">
        <v>25</v>
      </c>
      <c r="I3436" t="s">
        <v>16</v>
      </c>
      <c r="J3436" s="1">
        <v>45446</v>
      </c>
      <c r="K3436" t="b">
        <v>1</v>
      </c>
    </row>
    <row r="3437" spans="1:11" x14ac:dyDescent="0.25">
      <c r="A3437" t="s">
        <v>4506</v>
      </c>
      <c r="B3437" t="s">
        <v>93</v>
      </c>
      <c r="C3437" t="s">
        <v>23</v>
      </c>
      <c r="D3437" t="s">
        <v>223</v>
      </c>
      <c r="E3437" s="2">
        <v>30.5</v>
      </c>
      <c r="F3437" s="4">
        <v>4</v>
      </c>
      <c r="G3437" s="2">
        <v>122</v>
      </c>
      <c r="H3437" t="s">
        <v>45</v>
      </c>
      <c r="I3437" t="s">
        <v>36</v>
      </c>
      <c r="J3437" s="1">
        <v>44930</v>
      </c>
      <c r="K3437" t="b">
        <v>0</v>
      </c>
    </row>
    <row r="3438" spans="1:11" x14ac:dyDescent="0.25">
      <c r="A3438" t="s">
        <v>6464</v>
      </c>
      <c r="B3438" t="s">
        <v>43</v>
      </c>
      <c r="C3438" t="s">
        <v>13</v>
      </c>
      <c r="D3438" t="s">
        <v>1016</v>
      </c>
      <c r="E3438" s="2">
        <v>30.5</v>
      </c>
      <c r="F3438" s="4">
        <v>4</v>
      </c>
      <c r="G3438" s="2">
        <v>122</v>
      </c>
      <c r="H3438" t="s">
        <v>45</v>
      </c>
      <c r="I3438" t="s">
        <v>36</v>
      </c>
      <c r="J3438" s="1">
        <v>44945</v>
      </c>
      <c r="K3438" t="b">
        <v>0</v>
      </c>
    </row>
    <row r="3439" spans="1:11" x14ac:dyDescent="0.25">
      <c r="A3439" t="s">
        <v>7033</v>
      </c>
      <c r="B3439" t="s">
        <v>97</v>
      </c>
      <c r="C3439" t="s">
        <v>19</v>
      </c>
      <c r="D3439" t="s">
        <v>474</v>
      </c>
      <c r="E3439" s="2">
        <v>30.5</v>
      </c>
      <c r="F3439" s="4">
        <v>4</v>
      </c>
      <c r="G3439" s="2">
        <v>122</v>
      </c>
      <c r="H3439" t="s">
        <v>45</v>
      </c>
      <c r="I3439" t="s">
        <v>16</v>
      </c>
      <c r="J3439" s="1">
        <v>44698</v>
      </c>
      <c r="K3439" t="b">
        <v>1</v>
      </c>
    </row>
    <row r="3440" spans="1:11" x14ac:dyDescent="0.25">
      <c r="A3440" t="s">
        <v>3565</v>
      </c>
      <c r="B3440" t="s">
        <v>86</v>
      </c>
      <c r="C3440" t="s">
        <v>27</v>
      </c>
      <c r="D3440" t="s">
        <v>524</v>
      </c>
      <c r="E3440" s="2">
        <v>30.5</v>
      </c>
      <c r="F3440" s="4">
        <v>4</v>
      </c>
      <c r="G3440" s="2">
        <v>122</v>
      </c>
      <c r="H3440" t="s">
        <v>25</v>
      </c>
      <c r="I3440" t="s">
        <v>16</v>
      </c>
      <c r="J3440" s="1">
        <v>45449</v>
      </c>
      <c r="K3440" t="b">
        <v>1</v>
      </c>
    </row>
    <row r="3441" spans="1:11" x14ac:dyDescent="0.25">
      <c r="A3441" t="s">
        <v>7004</v>
      </c>
      <c r="B3441" t="s">
        <v>30</v>
      </c>
      <c r="C3441" t="s">
        <v>31</v>
      </c>
      <c r="D3441" t="s">
        <v>144</v>
      </c>
      <c r="E3441" s="2">
        <v>30.5</v>
      </c>
      <c r="F3441" s="4">
        <v>4</v>
      </c>
      <c r="G3441" s="2">
        <v>122</v>
      </c>
      <c r="H3441" t="s">
        <v>45</v>
      </c>
      <c r="I3441" t="s">
        <v>36</v>
      </c>
      <c r="J3441" s="1">
        <v>44626</v>
      </c>
      <c r="K3441" t="b">
        <v>1</v>
      </c>
    </row>
    <row r="3442" spans="1:11" x14ac:dyDescent="0.25">
      <c r="A3442" t="s">
        <v>5845</v>
      </c>
      <c r="B3442" t="s">
        <v>34</v>
      </c>
      <c r="C3442" t="s">
        <v>19</v>
      </c>
      <c r="D3442" t="s">
        <v>474</v>
      </c>
      <c r="E3442" s="2">
        <v>30.5</v>
      </c>
      <c r="F3442" s="4">
        <v>4</v>
      </c>
      <c r="G3442" s="2">
        <v>122</v>
      </c>
      <c r="H3442" t="s">
        <v>25</v>
      </c>
      <c r="I3442" t="s">
        <v>16</v>
      </c>
      <c r="J3442" s="1">
        <v>45444</v>
      </c>
      <c r="K3442" t="b">
        <v>0</v>
      </c>
    </row>
    <row r="3443" spans="1:11" x14ac:dyDescent="0.25">
      <c r="A3443" t="s">
        <v>4514</v>
      </c>
      <c r="B3443" t="s">
        <v>34</v>
      </c>
      <c r="C3443" t="s">
        <v>31</v>
      </c>
      <c r="D3443" t="s">
        <v>144</v>
      </c>
      <c r="E3443" s="2">
        <v>30.5</v>
      </c>
      <c r="F3443" s="4">
        <v>4</v>
      </c>
      <c r="G3443" s="2">
        <v>122</v>
      </c>
      <c r="H3443" t="s">
        <v>15</v>
      </c>
      <c r="I3443" t="s">
        <v>16</v>
      </c>
      <c r="J3443" s="1">
        <v>45331</v>
      </c>
      <c r="K3443" t="b">
        <v>0</v>
      </c>
    </row>
    <row r="3444" spans="1:11" x14ac:dyDescent="0.25">
      <c r="A3444" t="s">
        <v>5588</v>
      </c>
      <c r="B3444" t="s">
        <v>97</v>
      </c>
      <c r="C3444" t="s">
        <v>19</v>
      </c>
      <c r="D3444" t="s">
        <v>474</v>
      </c>
      <c r="E3444" s="2">
        <v>30.5</v>
      </c>
      <c r="F3444" s="4">
        <v>4</v>
      </c>
      <c r="G3444" s="2">
        <v>122</v>
      </c>
      <c r="H3444" t="s">
        <v>15</v>
      </c>
      <c r="I3444" t="s">
        <v>36</v>
      </c>
      <c r="J3444" s="1">
        <v>45413</v>
      </c>
      <c r="K3444" t="b">
        <v>0</v>
      </c>
    </row>
    <row r="3445" spans="1:11" x14ac:dyDescent="0.25">
      <c r="A3445" t="s">
        <v>2207</v>
      </c>
      <c r="B3445" t="s">
        <v>100</v>
      </c>
      <c r="C3445" t="s">
        <v>19</v>
      </c>
      <c r="D3445" t="s">
        <v>474</v>
      </c>
      <c r="E3445" s="2">
        <v>30.5</v>
      </c>
      <c r="F3445" s="4">
        <v>4</v>
      </c>
      <c r="G3445" s="2">
        <v>122</v>
      </c>
      <c r="H3445" t="s">
        <v>45</v>
      </c>
      <c r="I3445" t="s">
        <v>16</v>
      </c>
      <c r="J3445" s="1">
        <v>44778</v>
      </c>
      <c r="K3445" t="b">
        <v>0</v>
      </c>
    </row>
    <row r="3446" spans="1:11" x14ac:dyDescent="0.25">
      <c r="A3446" t="s">
        <v>143</v>
      </c>
      <c r="B3446" t="s">
        <v>97</v>
      </c>
      <c r="C3446" t="s">
        <v>31</v>
      </c>
      <c r="D3446" t="s">
        <v>144</v>
      </c>
      <c r="E3446" s="2">
        <v>30.5</v>
      </c>
      <c r="F3446" s="4">
        <v>4</v>
      </c>
      <c r="G3446" s="2">
        <v>122</v>
      </c>
      <c r="H3446" t="s">
        <v>25</v>
      </c>
      <c r="I3446" t="s">
        <v>16</v>
      </c>
      <c r="J3446" s="1">
        <v>44833</v>
      </c>
      <c r="K3446" t="b">
        <v>1</v>
      </c>
    </row>
    <row r="3447" spans="1:11" x14ac:dyDescent="0.25">
      <c r="A3447" t="s">
        <v>3832</v>
      </c>
      <c r="B3447" t="s">
        <v>12</v>
      </c>
      <c r="C3447" t="s">
        <v>38</v>
      </c>
      <c r="D3447" t="s">
        <v>159</v>
      </c>
      <c r="E3447" s="2">
        <v>20</v>
      </c>
      <c r="F3447" s="4">
        <v>6</v>
      </c>
      <c r="G3447" s="2">
        <v>120</v>
      </c>
      <c r="H3447" t="s">
        <v>45</v>
      </c>
      <c r="I3447" t="s">
        <v>16</v>
      </c>
      <c r="J3447" s="1">
        <v>45231</v>
      </c>
      <c r="K3447" t="b">
        <v>1</v>
      </c>
    </row>
    <row r="3448" spans="1:11" x14ac:dyDescent="0.25">
      <c r="A3448" t="s">
        <v>7312</v>
      </c>
      <c r="B3448" t="s">
        <v>104</v>
      </c>
      <c r="C3448" t="s">
        <v>19</v>
      </c>
      <c r="D3448" t="s">
        <v>228</v>
      </c>
      <c r="E3448" s="2">
        <v>20</v>
      </c>
      <c r="F3448" s="4">
        <v>6</v>
      </c>
      <c r="G3448" s="2">
        <v>120</v>
      </c>
      <c r="H3448" t="s">
        <v>45</v>
      </c>
      <c r="I3448" t="s">
        <v>16</v>
      </c>
      <c r="J3448" s="1">
        <v>45580</v>
      </c>
      <c r="K3448" t="b">
        <v>1</v>
      </c>
    </row>
    <row r="3449" spans="1:11" x14ac:dyDescent="0.25">
      <c r="A3449" t="s">
        <v>6793</v>
      </c>
      <c r="B3449" t="s">
        <v>22</v>
      </c>
      <c r="C3449" t="s">
        <v>13</v>
      </c>
      <c r="D3449" t="s">
        <v>113</v>
      </c>
      <c r="E3449" s="2">
        <v>20</v>
      </c>
      <c r="F3449" s="4">
        <v>6</v>
      </c>
      <c r="G3449" s="2">
        <v>120</v>
      </c>
      <c r="H3449" t="s">
        <v>15</v>
      </c>
      <c r="I3449" t="s">
        <v>36</v>
      </c>
      <c r="J3449" s="1">
        <v>45292</v>
      </c>
      <c r="K3449" t="b">
        <v>0</v>
      </c>
    </row>
    <row r="3450" spans="1:11" x14ac:dyDescent="0.25">
      <c r="A3450" t="s">
        <v>473</v>
      </c>
      <c r="B3450" t="s">
        <v>69</v>
      </c>
      <c r="C3450" t="s">
        <v>31</v>
      </c>
      <c r="D3450" t="s">
        <v>82</v>
      </c>
      <c r="E3450" s="2">
        <v>20</v>
      </c>
      <c r="F3450" s="4">
        <v>6</v>
      </c>
      <c r="G3450" s="2">
        <v>120</v>
      </c>
      <c r="H3450" t="s">
        <v>15</v>
      </c>
      <c r="I3450" t="s">
        <v>16</v>
      </c>
      <c r="J3450" s="1">
        <v>45516</v>
      </c>
      <c r="K3450" t="b">
        <v>0</v>
      </c>
    </row>
    <row r="3451" spans="1:11" x14ac:dyDescent="0.25">
      <c r="A3451" t="s">
        <v>2553</v>
      </c>
      <c r="B3451" t="s">
        <v>97</v>
      </c>
      <c r="C3451" t="s">
        <v>38</v>
      </c>
      <c r="D3451" t="s">
        <v>159</v>
      </c>
      <c r="E3451" s="2">
        <v>20</v>
      </c>
      <c r="F3451" s="4">
        <v>6</v>
      </c>
      <c r="G3451" s="2">
        <v>120</v>
      </c>
      <c r="H3451" t="s">
        <v>25</v>
      </c>
      <c r="I3451" t="s">
        <v>36</v>
      </c>
      <c r="J3451" s="1">
        <v>44880</v>
      </c>
      <c r="K3451" t="b">
        <v>0</v>
      </c>
    </row>
    <row r="3452" spans="1:11" x14ac:dyDescent="0.25">
      <c r="A3452" t="s">
        <v>4138</v>
      </c>
      <c r="B3452" t="s">
        <v>85</v>
      </c>
      <c r="C3452" t="s">
        <v>27</v>
      </c>
      <c r="D3452" t="s">
        <v>95</v>
      </c>
      <c r="E3452" s="2">
        <v>20</v>
      </c>
      <c r="F3452" s="4">
        <v>6</v>
      </c>
      <c r="G3452" s="2">
        <v>120</v>
      </c>
      <c r="H3452" t="s">
        <v>25</v>
      </c>
      <c r="I3452" t="s">
        <v>36</v>
      </c>
      <c r="J3452" s="1">
        <v>45092</v>
      </c>
      <c r="K3452" t="b">
        <v>1</v>
      </c>
    </row>
    <row r="3453" spans="1:11" x14ac:dyDescent="0.25">
      <c r="A3453" t="s">
        <v>1627</v>
      </c>
      <c r="B3453" t="s">
        <v>72</v>
      </c>
      <c r="C3453" t="s">
        <v>19</v>
      </c>
      <c r="D3453" t="s">
        <v>228</v>
      </c>
      <c r="E3453" s="2">
        <v>20</v>
      </c>
      <c r="F3453" s="4">
        <v>6</v>
      </c>
      <c r="G3453" s="2">
        <v>120</v>
      </c>
      <c r="H3453" t="s">
        <v>15</v>
      </c>
      <c r="I3453" t="s">
        <v>36</v>
      </c>
      <c r="J3453" s="1">
        <v>45210</v>
      </c>
      <c r="K3453" t="b">
        <v>0</v>
      </c>
    </row>
    <row r="3454" spans="1:11" x14ac:dyDescent="0.25">
      <c r="A3454" t="s">
        <v>6981</v>
      </c>
      <c r="B3454" t="s">
        <v>93</v>
      </c>
      <c r="C3454" t="s">
        <v>19</v>
      </c>
      <c r="D3454" t="s">
        <v>228</v>
      </c>
      <c r="E3454" s="2">
        <v>20</v>
      </c>
      <c r="F3454" s="4">
        <v>6</v>
      </c>
      <c r="G3454" s="2">
        <v>120</v>
      </c>
      <c r="H3454" t="s">
        <v>25</v>
      </c>
      <c r="I3454" t="s">
        <v>36</v>
      </c>
      <c r="J3454" s="1">
        <v>44827</v>
      </c>
      <c r="K3454" t="b">
        <v>0</v>
      </c>
    </row>
    <row r="3455" spans="1:11" x14ac:dyDescent="0.25">
      <c r="A3455" t="s">
        <v>1769</v>
      </c>
      <c r="B3455" t="s">
        <v>69</v>
      </c>
      <c r="C3455" t="s">
        <v>27</v>
      </c>
      <c r="D3455" t="s">
        <v>95</v>
      </c>
      <c r="E3455" s="2">
        <v>20</v>
      </c>
      <c r="F3455" s="4">
        <v>6</v>
      </c>
      <c r="G3455" s="2">
        <v>120</v>
      </c>
      <c r="H3455" t="s">
        <v>45</v>
      </c>
      <c r="I3455" t="s">
        <v>36</v>
      </c>
      <c r="J3455" s="1">
        <v>45285</v>
      </c>
      <c r="K3455" t="b">
        <v>1</v>
      </c>
    </row>
    <row r="3456" spans="1:11" x14ac:dyDescent="0.25">
      <c r="A3456" t="s">
        <v>5212</v>
      </c>
      <c r="B3456" t="s">
        <v>40</v>
      </c>
      <c r="C3456" t="s">
        <v>31</v>
      </c>
      <c r="D3456" t="s">
        <v>82</v>
      </c>
      <c r="E3456" s="2">
        <v>20</v>
      </c>
      <c r="F3456" s="4">
        <v>6</v>
      </c>
      <c r="G3456" s="2">
        <v>120</v>
      </c>
      <c r="H3456" t="s">
        <v>25</v>
      </c>
      <c r="I3456" t="s">
        <v>16</v>
      </c>
      <c r="J3456" s="1">
        <v>45533</v>
      </c>
      <c r="K3456" t="b">
        <v>1</v>
      </c>
    </row>
    <row r="3457" spans="1:11" x14ac:dyDescent="0.25">
      <c r="A3457" t="s">
        <v>3344</v>
      </c>
      <c r="B3457" t="s">
        <v>51</v>
      </c>
      <c r="C3457" t="s">
        <v>13</v>
      </c>
      <c r="D3457" t="s">
        <v>113</v>
      </c>
      <c r="E3457" s="2">
        <v>20</v>
      </c>
      <c r="F3457" s="4">
        <v>6</v>
      </c>
      <c r="G3457" s="2">
        <v>120</v>
      </c>
      <c r="H3457" t="s">
        <v>15</v>
      </c>
      <c r="I3457" t="s">
        <v>16</v>
      </c>
      <c r="J3457" s="1">
        <v>44867</v>
      </c>
      <c r="K3457" t="b">
        <v>1</v>
      </c>
    </row>
    <row r="3458" spans="1:11" x14ac:dyDescent="0.25">
      <c r="A3458" t="s">
        <v>4039</v>
      </c>
      <c r="B3458" t="s">
        <v>77</v>
      </c>
      <c r="C3458" t="s">
        <v>23</v>
      </c>
      <c r="D3458" t="s">
        <v>666</v>
      </c>
      <c r="E3458" s="2">
        <v>20</v>
      </c>
      <c r="F3458" s="4">
        <v>6</v>
      </c>
      <c r="G3458" s="2">
        <v>120</v>
      </c>
      <c r="H3458" t="s">
        <v>15</v>
      </c>
      <c r="I3458" t="s">
        <v>36</v>
      </c>
      <c r="J3458" s="1">
        <v>44972</v>
      </c>
      <c r="K3458" t="b">
        <v>1</v>
      </c>
    </row>
    <row r="3459" spans="1:11" x14ac:dyDescent="0.25">
      <c r="A3459" t="s">
        <v>729</v>
      </c>
      <c r="B3459" t="s">
        <v>34</v>
      </c>
      <c r="C3459" t="s">
        <v>38</v>
      </c>
      <c r="D3459" t="s">
        <v>159</v>
      </c>
      <c r="E3459" s="2">
        <v>20</v>
      </c>
      <c r="F3459" s="4">
        <v>6</v>
      </c>
      <c r="G3459" s="2">
        <v>120</v>
      </c>
      <c r="H3459" t="s">
        <v>15</v>
      </c>
      <c r="I3459" t="s">
        <v>16</v>
      </c>
      <c r="J3459" s="1">
        <v>44598</v>
      </c>
      <c r="K3459" t="b">
        <v>0</v>
      </c>
    </row>
    <row r="3460" spans="1:11" x14ac:dyDescent="0.25">
      <c r="A3460" t="s">
        <v>5220</v>
      </c>
      <c r="B3460" t="s">
        <v>86</v>
      </c>
      <c r="C3460" t="s">
        <v>38</v>
      </c>
      <c r="D3460" t="s">
        <v>159</v>
      </c>
      <c r="E3460" s="2">
        <v>20</v>
      </c>
      <c r="F3460" s="4">
        <v>6</v>
      </c>
      <c r="G3460" s="2">
        <v>120</v>
      </c>
      <c r="H3460" t="s">
        <v>15</v>
      </c>
      <c r="I3460" t="s">
        <v>36</v>
      </c>
      <c r="J3460" s="1">
        <v>44685</v>
      </c>
      <c r="K3460" t="b">
        <v>1</v>
      </c>
    </row>
    <row r="3461" spans="1:11" x14ac:dyDescent="0.25">
      <c r="A3461" t="s">
        <v>381</v>
      </c>
      <c r="B3461" t="s">
        <v>58</v>
      </c>
      <c r="C3461" t="s">
        <v>110</v>
      </c>
      <c r="D3461" t="s">
        <v>263</v>
      </c>
      <c r="E3461" s="2">
        <v>20</v>
      </c>
      <c r="F3461" s="4">
        <v>6</v>
      </c>
      <c r="G3461" s="2">
        <v>120</v>
      </c>
      <c r="H3461" t="s">
        <v>25</v>
      </c>
      <c r="I3461" t="s">
        <v>36</v>
      </c>
      <c r="J3461" s="1">
        <v>45093</v>
      </c>
      <c r="K3461" t="b">
        <v>1</v>
      </c>
    </row>
    <row r="3462" spans="1:11" x14ac:dyDescent="0.25">
      <c r="A3462" t="s">
        <v>1309</v>
      </c>
      <c r="B3462" t="s">
        <v>63</v>
      </c>
      <c r="C3462" t="s">
        <v>31</v>
      </c>
      <c r="D3462" t="s">
        <v>82</v>
      </c>
      <c r="E3462" s="2">
        <v>20</v>
      </c>
      <c r="F3462" s="4">
        <v>6</v>
      </c>
      <c r="G3462" s="2">
        <v>120</v>
      </c>
      <c r="H3462" t="s">
        <v>15</v>
      </c>
      <c r="I3462" t="s">
        <v>36</v>
      </c>
      <c r="J3462" s="1">
        <v>44624</v>
      </c>
      <c r="K3462" t="b">
        <v>1</v>
      </c>
    </row>
    <row r="3463" spans="1:11" x14ac:dyDescent="0.25">
      <c r="A3463" t="s">
        <v>6916</v>
      </c>
      <c r="B3463" t="s">
        <v>85</v>
      </c>
      <c r="C3463" t="s">
        <v>27</v>
      </c>
      <c r="D3463" t="s">
        <v>95</v>
      </c>
      <c r="E3463" s="2">
        <v>20</v>
      </c>
      <c r="F3463" s="4">
        <v>6</v>
      </c>
      <c r="G3463" s="2">
        <v>120</v>
      </c>
      <c r="H3463" t="s">
        <v>45</v>
      </c>
      <c r="I3463" t="s">
        <v>16</v>
      </c>
      <c r="J3463" s="1">
        <v>44687</v>
      </c>
      <c r="K3463" t="b">
        <v>1</v>
      </c>
    </row>
    <row r="3464" spans="1:11" x14ac:dyDescent="0.25">
      <c r="A3464" t="s">
        <v>4753</v>
      </c>
      <c r="B3464" t="s">
        <v>142</v>
      </c>
      <c r="C3464" t="s">
        <v>31</v>
      </c>
      <c r="D3464" t="s">
        <v>82</v>
      </c>
      <c r="E3464" s="2">
        <v>20</v>
      </c>
      <c r="F3464" s="4">
        <v>6</v>
      </c>
      <c r="G3464" s="2">
        <v>120</v>
      </c>
      <c r="H3464" t="s">
        <v>15</v>
      </c>
      <c r="I3464" t="s">
        <v>16</v>
      </c>
      <c r="J3464" s="1">
        <v>45039</v>
      </c>
      <c r="K3464" t="b">
        <v>0</v>
      </c>
    </row>
    <row r="3465" spans="1:11" x14ac:dyDescent="0.25">
      <c r="A3465" t="s">
        <v>1443</v>
      </c>
      <c r="B3465" t="s">
        <v>37</v>
      </c>
      <c r="C3465" t="s">
        <v>13</v>
      </c>
      <c r="D3465" t="s">
        <v>113</v>
      </c>
      <c r="E3465" s="2">
        <v>20</v>
      </c>
      <c r="F3465" s="4">
        <v>6</v>
      </c>
      <c r="G3465" s="2">
        <v>120</v>
      </c>
      <c r="H3465" t="s">
        <v>15</v>
      </c>
      <c r="I3465" t="s">
        <v>16</v>
      </c>
      <c r="J3465" s="1">
        <v>44862</v>
      </c>
      <c r="K3465" t="b">
        <v>0</v>
      </c>
    </row>
    <row r="3466" spans="1:11" x14ac:dyDescent="0.25">
      <c r="A3466" t="s">
        <v>2599</v>
      </c>
      <c r="B3466" t="s">
        <v>43</v>
      </c>
      <c r="C3466" t="s">
        <v>23</v>
      </c>
      <c r="D3466" t="s">
        <v>666</v>
      </c>
      <c r="E3466" s="2">
        <v>20</v>
      </c>
      <c r="F3466" s="4">
        <v>6</v>
      </c>
      <c r="G3466" s="2">
        <v>120</v>
      </c>
      <c r="H3466" t="s">
        <v>45</v>
      </c>
      <c r="I3466" t="s">
        <v>16</v>
      </c>
      <c r="J3466" s="1">
        <v>44895</v>
      </c>
      <c r="K3466" t="b">
        <v>1</v>
      </c>
    </row>
    <row r="3467" spans="1:11" x14ac:dyDescent="0.25">
      <c r="A3467" t="s">
        <v>227</v>
      </c>
      <c r="B3467" t="s">
        <v>97</v>
      </c>
      <c r="C3467" t="s">
        <v>19</v>
      </c>
      <c r="D3467" t="s">
        <v>228</v>
      </c>
      <c r="E3467" s="2">
        <v>20</v>
      </c>
      <c r="F3467" s="4">
        <v>6</v>
      </c>
      <c r="G3467" s="2">
        <v>120</v>
      </c>
      <c r="H3467" t="s">
        <v>25</v>
      </c>
      <c r="I3467" t="s">
        <v>16</v>
      </c>
      <c r="J3467" s="1">
        <v>45491</v>
      </c>
      <c r="K3467" t="b">
        <v>1</v>
      </c>
    </row>
    <row r="3468" spans="1:11" x14ac:dyDescent="0.25">
      <c r="A3468" t="s">
        <v>2421</v>
      </c>
      <c r="B3468" t="s">
        <v>77</v>
      </c>
      <c r="C3468" t="s">
        <v>23</v>
      </c>
      <c r="D3468" t="s">
        <v>666</v>
      </c>
      <c r="E3468" s="2">
        <v>20</v>
      </c>
      <c r="F3468" s="4">
        <v>6</v>
      </c>
      <c r="G3468" s="2">
        <v>120</v>
      </c>
      <c r="H3468" t="s">
        <v>15</v>
      </c>
      <c r="I3468" t="s">
        <v>16</v>
      </c>
      <c r="J3468" s="1">
        <v>44624</v>
      </c>
      <c r="K3468" t="b">
        <v>1</v>
      </c>
    </row>
    <row r="3469" spans="1:11" x14ac:dyDescent="0.25">
      <c r="A3469" t="s">
        <v>3627</v>
      </c>
      <c r="B3469" t="s">
        <v>86</v>
      </c>
      <c r="C3469" t="s">
        <v>38</v>
      </c>
      <c r="D3469" t="s">
        <v>159</v>
      </c>
      <c r="E3469" s="2">
        <v>20</v>
      </c>
      <c r="F3469" s="4">
        <v>6</v>
      </c>
      <c r="G3469" s="2">
        <v>120</v>
      </c>
      <c r="H3469" t="s">
        <v>25</v>
      </c>
      <c r="I3469" t="s">
        <v>16</v>
      </c>
      <c r="J3469" s="1">
        <v>45174</v>
      </c>
      <c r="K3469" t="b">
        <v>0</v>
      </c>
    </row>
    <row r="3470" spans="1:11" x14ac:dyDescent="0.25">
      <c r="A3470" t="s">
        <v>180</v>
      </c>
      <c r="B3470" t="s">
        <v>37</v>
      </c>
      <c r="C3470" t="s">
        <v>31</v>
      </c>
      <c r="D3470" t="s">
        <v>82</v>
      </c>
      <c r="E3470" s="2">
        <v>20</v>
      </c>
      <c r="F3470" s="4">
        <v>6</v>
      </c>
      <c r="G3470" s="2">
        <v>120</v>
      </c>
      <c r="H3470" t="s">
        <v>45</v>
      </c>
      <c r="I3470" t="s">
        <v>16</v>
      </c>
      <c r="J3470" s="1">
        <v>44590</v>
      </c>
      <c r="K3470" t="b">
        <v>1</v>
      </c>
    </row>
    <row r="3471" spans="1:11" x14ac:dyDescent="0.25">
      <c r="A3471" t="s">
        <v>974</v>
      </c>
      <c r="B3471" t="s">
        <v>51</v>
      </c>
      <c r="C3471" t="s">
        <v>110</v>
      </c>
      <c r="D3471" t="s">
        <v>263</v>
      </c>
      <c r="E3471" s="2">
        <v>20</v>
      </c>
      <c r="F3471" s="4">
        <v>6</v>
      </c>
      <c r="G3471" s="2">
        <v>120</v>
      </c>
      <c r="H3471" t="s">
        <v>15</v>
      </c>
      <c r="I3471" t="s">
        <v>16</v>
      </c>
      <c r="J3471" s="1">
        <v>45092</v>
      </c>
      <c r="K3471" t="b">
        <v>1</v>
      </c>
    </row>
    <row r="3472" spans="1:11" x14ac:dyDescent="0.25">
      <c r="A3472" t="s">
        <v>2923</v>
      </c>
      <c r="B3472" t="s">
        <v>142</v>
      </c>
      <c r="C3472" t="s">
        <v>31</v>
      </c>
      <c r="D3472" t="s">
        <v>82</v>
      </c>
      <c r="E3472" s="2">
        <v>20</v>
      </c>
      <c r="F3472" s="4">
        <v>6</v>
      </c>
      <c r="G3472" s="2">
        <v>120</v>
      </c>
      <c r="H3472" t="s">
        <v>15</v>
      </c>
      <c r="I3472" t="s">
        <v>16</v>
      </c>
      <c r="J3472" s="1">
        <v>45433</v>
      </c>
      <c r="K3472" t="b">
        <v>0</v>
      </c>
    </row>
    <row r="3473" spans="1:11" x14ac:dyDescent="0.25">
      <c r="A3473" t="s">
        <v>1882</v>
      </c>
      <c r="B3473" t="s">
        <v>61</v>
      </c>
      <c r="C3473" t="s">
        <v>31</v>
      </c>
      <c r="D3473" t="s">
        <v>82</v>
      </c>
      <c r="E3473" s="2">
        <v>20</v>
      </c>
      <c r="F3473" s="4">
        <v>6</v>
      </c>
      <c r="G3473" s="2">
        <v>120</v>
      </c>
      <c r="H3473" t="s">
        <v>25</v>
      </c>
      <c r="I3473" t="s">
        <v>16</v>
      </c>
      <c r="J3473" s="1">
        <v>44657</v>
      </c>
      <c r="K3473" t="b">
        <v>0</v>
      </c>
    </row>
    <row r="3474" spans="1:11" x14ac:dyDescent="0.25">
      <c r="A3474" t="s">
        <v>3515</v>
      </c>
      <c r="B3474" t="s">
        <v>51</v>
      </c>
      <c r="C3474" t="s">
        <v>110</v>
      </c>
      <c r="D3474" t="s">
        <v>263</v>
      </c>
      <c r="E3474" s="2">
        <v>20</v>
      </c>
      <c r="F3474" s="4">
        <v>6</v>
      </c>
      <c r="G3474" s="2">
        <v>120</v>
      </c>
      <c r="H3474" t="s">
        <v>45</v>
      </c>
      <c r="I3474" t="s">
        <v>36</v>
      </c>
      <c r="J3474" s="1">
        <v>44585</v>
      </c>
      <c r="K3474" t="b">
        <v>1</v>
      </c>
    </row>
    <row r="3475" spans="1:11" x14ac:dyDescent="0.25">
      <c r="A3475" t="s">
        <v>5520</v>
      </c>
      <c r="B3475" t="s">
        <v>58</v>
      </c>
      <c r="C3475" t="s">
        <v>31</v>
      </c>
      <c r="D3475" t="s">
        <v>82</v>
      </c>
      <c r="E3475" s="2">
        <v>20</v>
      </c>
      <c r="F3475" s="4">
        <v>6</v>
      </c>
      <c r="G3475" s="2">
        <v>120</v>
      </c>
      <c r="H3475" t="s">
        <v>25</v>
      </c>
      <c r="I3475" t="s">
        <v>36</v>
      </c>
      <c r="J3475" s="1">
        <v>44865</v>
      </c>
      <c r="K3475" t="b">
        <v>0</v>
      </c>
    </row>
    <row r="3476" spans="1:11" x14ac:dyDescent="0.25">
      <c r="A3476" t="s">
        <v>4283</v>
      </c>
      <c r="B3476" t="s">
        <v>58</v>
      </c>
      <c r="C3476" t="s">
        <v>31</v>
      </c>
      <c r="D3476" t="s">
        <v>82</v>
      </c>
      <c r="E3476" s="2">
        <v>20</v>
      </c>
      <c r="F3476" s="4">
        <v>6</v>
      </c>
      <c r="G3476" s="2">
        <v>120</v>
      </c>
      <c r="H3476" t="s">
        <v>45</v>
      </c>
      <c r="I3476" t="s">
        <v>36</v>
      </c>
      <c r="J3476" s="1">
        <v>44917</v>
      </c>
      <c r="K3476" t="b">
        <v>1</v>
      </c>
    </row>
    <row r="3477" spans="1:11" x14ac:dyDescent="0.25">
      <c r="A3477" t="s">
        <v>6770</v>
      </c>
      <c r="B3477" t="s">
        <v>61</v>
      </c>
      <c r="C3477" t="s">
        <v>31</v>
      </c>
      <c r="D3477" t="s">
        <v>82</v>
      </c>
      <c r="E3477" s="2">
        <v>20</v>
      </c>
      <c r="F3477" s="4">
        <v>6</v>
      </c>
      <c r="G3477" s="2">
        <v>120</v>
      </c>
      <c r="H3477" t="s">
        <v>15</v>
      </c>
      <c r="I3477" t="s">
        <v>16</v>
      </c>
      <c r="J3477" s="1">
        <v>45638</v>
      </c>
      <c r="K3477" t="b">
        <v>1</v>
      </c>
    </row>
    <row r="3478" spans="1:11" x14ac:dyDescent="0.25">
      <c r="A3478" t="s">
        <v>5644</v>
      </c>
      <c r="B3478" t="s">
        <v>93</v>
      </c>
      <c r="C3478" t="s">
        <v>23</v>
      </c>
      <c r="D3478" t="s">
        <v>666</v>
      </c>
      <c r="E3478" s="2">
        <v>20</v>
      </c>
      <c r="F3478" s="4">
        <v>6</v>
      </c>
      <c r="G3478" s="2">
        <v>120</v>
      </c>
      <c r="H3478" t="s">
        <v>45</v>
      </c>
      <c r="I3478" t="s">
        <v>16</v>
      </c>
      <c r="J3478" s="1">
        <v>45090</v>
      </c>
      <c r="K3478" t="b">
        <v>1</v>
      </c>
    </row>
    <row r="3479" spans="1:11" x14ac:dyDescent="0.25">
      <c r="A3479" t="s">
        <v>4120</v>
      </c>
      <c r="B3479" t="s">
        <v>69</v>
      </c>
      <c r="C3479" t="s">
        <v>38</v>
      </c>
      <c r="D3479" t="s">
        <v>159</v>
      </c>
      <c r="E3479" s="2">
        <v>20</v>
      </c>
      <c r="F3479" s="4">
        <v>6</v>
      </c>
      <c r="G3479" s="2">
        <v>120</v>
      </c>
      <c r="H3479" t="s">
        <v>25</v>
      </c>
      <c r="I3479" t="s">
        <v>36</v>
      </c>
      <c r="J3479" s="1">
        <v>45104</v>
      </c>
      <c r="K3479" t="b">
        <v>1</v>
      </c>
    </row>
    <row r="3480" spans="1:11" x14ac:dyDescent="0.25">
      <c r="A3480" t="s">
        <v>623</v>
      </c>
      <c r="B3480" t="s">
        <v>72</v>
      </c>
      <c r="C3480" t="s">
        <v>110</v>
      </c>
      <c r="D3480" t="s">
        <v>263</v>
      </c>
      <c r="E3480" s="2">
        <v>20</v>
      </c>
      <c r="F3480" s="4">
        <v>6</v>
      </c>
      <c r="G3480" s="2">
        <v>120</v>
      </c>
      <c r="H3480" t="s">
        <v>25</v>
      </c>
      <c r="I3480" t="s">
        <v>16</v>
      </c>
      <c r="J3480" s="1">
        <v>44769</v>
      </c>
      <c r="K3480" t="b">
        <v>1</v>
      </c>
    </row>
    <row r="3481" spans="1:11" x14ac:dyDescent="0.25">
      <c r="A3481" t="s">
        <v>5574</v>
      </c>
      <c r="B3481" t="s">
        <v>72</v>
      </c>
      <c r="C3481" t="s">
        <v>27</v>
      </c>
      <c r="D3481" t="s">
        <v>95</v>
      </c>
      <c r="E3481" s="2">
        <v>20</v>
      </c>
      <c r="F3481" s="4">
        <v>6</v>
      </c>
      <c r="G3481" s="2">
        <v>120</v>
      </c>
      <c r="H3481" t="s">
        <v>15</v>
      </c>
      <c r="I3481" t="s">
        <v>16</v>
      </c>
      <c r="J3481" s="1">
        <v>45436</v>
      </c>
      <c r="K3481" t="b">
        <v>1</v>
      </c>
    </row>
    <row r="3482" spans="1:11" x14ac:dyDescent="0.25">
      <c r="A3482" t="s">
        <v>7473</v>
      </c>
      <c r="B3482" t="s">
        <v>18</v>
      </c>
      <c r="C3482" t="s">
        <v>38</v>
      </c>
      <c r="D3482" t="s">
        <v>159</v>
      </c>
      <c r="E3482" s="2">
        <v>20</v>
      </c>
      <c r="F3482" s="4">
        <v>6</v>
      </c>
      <c r="G3482" s="2">
        <v>120</v>
      </c>
      <c r="H3482" t="s">
        <v>45</v>
      </c>
      <c r="I3482" t="s">
        <v>36</v>
      </c>
      <c r="J3482" s="1">
        <v>45328</v>
      </c>
      <c r="K3482" t="b">
        <v>0</v>
      </c>
    </row>
    <row r="3483" spans="1:11" x14ac:dyDescent="0.25">
      <c r="A3483" t="s">
        <v>3310</v>
      </c>
      <c r="B3483" t="s">
        <v>69</v>
      </c>
      <c r="C3483" t="s">
        <v>19</v>
      </c>
      <c r="D3483" t="s">
        <v>228</v>
      </c>
      <c r="E3483" s="2">
        <v>20</v>
      </c>
      <c r="F3483" s="4">
        <v>6</v>
      </c>
      <c r="G3483" s="2">
        <v>120</v>
      </c>
      <c r="H3483" t="s">
        <v>45</v>
      </c>
      <c r="I3483" t="s">
        <v>36</v>
      </c>
      <c r="J3483" s="1">
        <v>44937</v>
      </c>
      <c r="K3483" t="b">
        <v>1</v>
      </c>
    </row>
    <row r="3484" spans="1:11" x14ac:dyDescent="0.25">
      <c r="A3484" t="s">
        <v>6574</v>
      </c>
      <c r="B3484" t="s">
        <v>66</v>
      </c>
      <c r="C3484" t="s">
        <v>23</v>
      </c>
      <c r="D3484" t="s">
        <v>666</v>
      </c>
      <c r="E3484" s="2">
        <v>20</v>
      </c>
      <c r="F3484" s="4">
        <v>6</v>
      </c>
      <c r="G3484" s="2">
        <v>120</v>
      </c>
      <c r="H3484" t="s">
        <v>15</v>
      </c>
      <c r="I3484" t="s">
        <v>16</v>
      </c>
      <c r="J3484" s="1">
        <v>44715</v>
      </c>
      <c r="K3484" t="b">
        <v>0</v>
      </c>
    </row>
    <row r="3485" spans="1:11" x14ac:dyDescent="0.25">
      <c r="A3485" t="s">
        <v>6944</v>
      </c>
      <c r="B3485" t="s">
        <v>104</v>
      </c>
      <c r="C3485" t="s">
        <v>59</v>
      </c>
      <c r="D3485" t="s">
        <v>365</v>
      </c>
      <c r="E3485" s="2">
        <v>20</v>
      </c>
      <c r="F3485" s="4">
        <v>6</v>
      </c>
      <c r="G3485" s="2">
        <v>120</v>
      </c>
      <c r="H3485" t="s">
        <v>15</v>
      </c>
      <c r="I3485" t="s">
        <v>16</v>
      </c>
      <c r="J3485" s="1">
        <v>45378</v>
      </c>
      <c r="K3485" t="b">
        <v>1</v>
      </c>
    </row>
    <row r="3486" spans="1:11" x14ac:dyDescent="0.25">
      <c r="A3486" t="s">
        <v>4268</v>
      </c>
      <c r="B3486" t="s">
        <v>22</v>
      </c>
      <c r="C3486" t="s">
        <v>59</v>
      </c>
      <c r="D3486" t="s">
        <v>365</v>
      </c>
      <c r="E3486" s="2">
        <v>20</v>
      </c>
      <c r="F3486" s="4">
        <v>6</v>
      </c>
      <c r="G3486" s="2">
        <v>120</v>
      </c>
      <c r="H3486" t="s">
        <v>45</v>
      </c>
      <c r="I3486" t="s">
        <v>36</v>
      </c>
      <c r="J3486" s="1">
        <v>45109</v>
      </c>
      <c r="K3486" t="b">
        <v>1</v>
      </c>
    </row>
    <row r="3487" spans="1:11" x14ac:dyDescent="0.25">
      <c r="A3487" t="s">
        <v>4963</v>
      </c>
      <c r="B3487" t="s">
        <v>30</v>
      </c>
      <c r="C3487" t="s">
        <v>19</v>
      </c>
      <c r="D3487" t="s">
        <v>228</v>
      </c>
      <c r="E3487" s="2">
        <v>20</v>
      </c>
      <c r="F3487" s="4">
        <v>6</v>
      </c>
      <c r="G3487" s="2">
        <v>120</v>
      </c>
      <c r="H3487" t="s">
        <v>45</v>
      </c>
      <c r="I3487" t="s">
        <v>36</v>
      </c>
      <c r="J3487" s="1">
        <v>45110</v>
      </c>
      <c r="K3487" t="b">
        <v>1</v>
      </c>
    </row>
    <row r="3488" spans="1:11" x14ac:dyDescent="0.25">
      <c r="A3488" t="s">
        <v>4810</v>
      </c>
      <c r="B3488" t="s">
        <v>61</v>
      </c>
      <c r="C3488" t="s">
        <v>38</v>
      </c>
      <c r="D3488" t="s">
        <v>159</v>
      </c>
      <c r="E3488" s="2">
        <v>20</v>
      </c>
      <c r="F3488" s="4">
        <v>6</v>
      </c>
      <c r="G3488" s="2">
        <v>120</v>
      </c>
      <c r="H3488" t="s">
        <v>15</v>
      </c>
      <c r="I3488" t="s">
        <v>16</v>
      </c>
      <c r="J3488" s="1">
        <v>45481</v>
      </c>
      <c r="K3488" t="b">
        <v>1</v>
      </c>
    </row>
    <row r="3489" spans="1:11" x14ac:dyDescent="0.25">
      <c r="A3489" t="s">
        <v>4239</v>
      </c>
      <c r="B3489" t="s">
        <v>72</v>
      </c>
      <c r="C3489" t="s">
        <v>110</v>
      </c>
      <c r="D3489" t="s">
        <v>263</v>
      </c>
      <c r="E3489" s="2">
        <v>20</v>
      </c>
      <c r="F3489" s="4">
        <v>6</v>
      </c>
      <c r="G3489" s="2">
        <v>120</v>
      </c>
      <c r="H3489" t="s">
        <v>15</v>
      </c>
      <c r="I3489" t="s">
        <v>36</v>
      </c>
      <c r="J3489" s="1">
        <v>45525</v>
      </c>
      <c r="K3489" t="b">
        <v>1</v>
      </c>
    </row>
    <row r="3490" spans="1:11" x14ac:dyDescent="0.25">
      <c r="A3490" t="s">
        <v>5688</v>
      </c>
      <c r="B3490" t="s">
        <v>63</v>
      </c>
      <c r="C3490" t="s">
        <v>13</v>
      </c>
      <c r="D3490" t="s">
        <v>113</v>
      </c>
      <c r="E3490" s="2">
        <v>20</v>
      </c>
      <c r="F3490" s="4">
        <v>6</v>
      </c>
      <c r="G3490" s="2">
        <v>120</v>
      </c>
      <c r="H3490" t="s">
        <v>25</v>
      </c>
      <c r="I3490" t="s">
        <v>16</v>
      </c>
      <c r="J3490" s="1">
        <v>44588</v>
      </c>
      <c r="K3490" t="b">
        <v>1</v>
      </c>
    </row>
    <row r="3491" spans="1:11" x14ac:dyDescent="0.25">
      <c r="A3491" t="s">
        <v>1118</v>
      </c>
      <c r="B3491" t="s">
        <v>58</v>
      </c>
      <c r="C3491" t="s">
        <v>27</v>
      </c>
      <c r="D3491" t="s">
        <v>95</v>
      </c>
      <c r="E3491" s="2">
        <v>20</v>
      </c>
      <c r="F3491" s="4">
        <v>6</v>
      </c>
      <c r="G3491" s="2">
        <v>120</v>
      </c>
      <c r="H3491" t="s">
        <v>25</v>
      </c>
      <c r="I3491" t="s">
        <v>16</v>
      </c>
      <c r="J3491" s="1">
        <v>45406</v>
      </c>
      <c r="K3491" t="b">
        <v>0</v>
      </c>
    </row>
    <row r="3492" spans="1:11" x14ac:dyDescent="0.25">
      <c r="A3492" t="s">
        <v>1384</v>
      </c>
      <c r="B3492" t="s">
        <v>77</v>
      </c>
      <c r="C3492" t="s">
        <v>31</v>
      </c>
      <c r="D3492" t="s">
        <v>82</v>
      </c>
      <c r="E3492" s="2">
        <v>20</v>
      </c>
      <c r="F3492" s="4">
        <v>6</v>
      </c>
      <c r="G3492" s="2">
        <v>120</v>
      </c>
      <c r="H3492" t="s">
        <v>25</v>
      </c>
      <c r="I3492" t="s">
        <v>36</v>
      </c>
      <c r="J3492" s="1">
        <v>44754</v>
      </c>
      <c r="K3492" t="b">
        <v>0</v>
      </c>
    </row>
    <row r="3493" spans="1:11" x14ac:dyDescent="0.25">
      <c r="A3493" t="s">
        <v>1912</v>
      </c>
      <c r="B3493" t="s">
        <v>40</v>
      </c>
      <c r="C3493" t="s">
        <v>23</v>
      </c>
      <c r="D3493" t="s">
        <v>666</v>
      </c>
      <c r="E3493" s="2">
        <v>20</v>
      </c>
      <c r="F3493" s="4">
        <v>6</v>
      </c>
      <c r="G3493" s="2">
        <v>120</v>
      </c>
      <c r="H3493" t="s">
        <v>15</v>
      </c>
      <c r="I3493" t="s">
        <v>36</v>
      </c>
      <c r="J3493" s="1">
        <v>45391</v>
      </c>
      <c r="K3493" t="b">
        <v>1</v>
      </c>
    </row>
    <row r="3494" spans="1:11" x14ac:dyDescent="0.25">
      <c r="A3494" t="s">
        <v>7303</v>
      </c>
      <c r="B3494" t="s">
        <v>69</v>
      </c>
      <c r="C3494" t="s">
        <v>110</v>
      </c>
      <c r="D3494" t="s">
        <v>263</v>
      </c>
      <c r="E3494" s="2">
        <v>20</v>
      </c>
      <c r="F3494" s="4">
        <v>6</v>
      </c>
      <c r="G3494" s="2">
        <v>120</v>
      </c>
      <c r="H3494" t="s">
        <v>25</v>
      </c>
      <c r="I3494" t="s">
        <v>36</v>
      </c>
      <c r="J3494" s="1">
        <v>45467</v>
      </c>
      <c r="K3494" t="b">
        <v>1</v>
      </c>
    </row>
    <row r="3495" spans="1:11" x14ac:dyDescent="0.25">
      <c r="A3495" t="s">
        <v>2332</v>
      </c>
      <c r="B3495" t="s">
        <v>142</v>
      </c>
      <c r="C3495" t="s">
        <v>31</v>
      </c>
      <c r="D3495" t="s">
        <v>82</v>
      </c>
      <c r="E3495" s="2">
        <v>20</v>
      </c>
      <c r="F3495" s="4">
        <v>6</v>
      </c>
      <c r="G3495" s="2">
        <v>120</v>
      </c>
      <c r="H3495" t="s">
        <v>45</v>
      </c>
      <c r="I3495" t="s">
        <v>36</v>
      </c>
      <c r="J3495" s="1">
        <v>45603</v>
      </c>
      <c r="K3495" t="b">
        <v>1</v>
      </c>
    </row>
    <row r="3496" spans="1:11" x14ac:dyDescent="0.25">
      <c r="A3496" t="s">
        <v>5287</v>
      </c>
      <c r="B3496" t="s">
        <v>40</v>
      </c>
      <c r="C3496" t="s">
        <v>110</v>
      </c>
      <c r="D3496" t="s">
        <v>327</v>
      </c>
      <c r="E3496" s="2">
        <v>17</v>
      </c>
      <c r="F3496" s="4">
        <v>7</v>
      </c>
      <c r="G3496" s="2">
        <v>119</v>
      </c>
      <c r="H3496" t="s">
        <v>45</v>
      </c>
      <c r="I3496" t="s">
        <v>16</v>
      </c>
      <c r="J3496" s="1">
        <v>45600</v>
      </c>
      <c r="K3496" t="b">
        <v>1</v>
      </c>
    </row>
    <row r="3497" spans="1:11" x14ac:dyDescent="0.25">
      <c r="A3497" t="s">
        <v>764</v>
      </c>
      <c r="B3497" t="s">
        <v>58</v>
      </c>
      <c r="C3497" t="s">
        <v>31</v>
      </c>
      <c r="D3497" t="s">
        <v>195</v>
      </c>
      <c r="E3497" s="2">
        <v>17</v>
      </c>
      <c r="F3497" s="4">
        <v>7</v>
      </c>
      <c r="G3497" s="2">
        <v>119</v>
      </c>
      <c r="H3497" t="s">
        <v>15</v>
      </c>
      <c r="I3497" t="s">
        <v>36</v>
      </c>
      <c r="J3497" s="1">
        <v>44590</v>
      </c>
      <c r="K3497" t="b">
        <v>0</v>
      </c>
    </row>
    <row r="3498" spans="1:11" x14ac:dyDescent="0.25">
      <c r="A3498" t="s">
        <v>933</v>
      </c>
      <c r="B3498" t="s">
        <v>142</v>
      </c>
      <c r="C3498" t="s">
        <v>31</v>
      </c>
      <c r="D3498" t="s">
        <v>195</v>
      </c>
      <c r="E3498" s="2">
        <v>17</v>
      </c>
      <c r="F3498" s="4">
        <v>7</v>
      </c>
      <c r="G3498" s="2">
        <v>119</v>
      </c>
      <c r="H3498" t="s">
        <v>25</v>
      </c>
      <c r="I3498" t="s">
        <v>36</v>
      </c>
      <c r="J3498" s="1">
        <v>45109</v>
      </c>
      <c r="K3498" t="b">
        <v>0</v>
      </c>
    </row>
    <row r="3499" spans="1:11" x14ac:dyDescent="0.25">
      <c r="A3499" t="s">
        <v>2848</v>
      </c>
      <c r="B3499" t="s">
        <v>40</v>
      </c>
      <c r="C3499" t="s">
        <v>27</v>
      </c>
      <c r="D3499" t="s">
        <v>763</v>
      </c>
      <c r="E3499" s="2">
        <v>17</v>
      </c>
      <c r="F3499" s="4">
        <v>7</v>
      </c>
      <c r="G3499" s="2">
        <v>119</v>
      </c>
      <c r="H3499" t="s">
        <v>45</v>
      </c>
      <c r="I3499" t="s">
        <v>16</v>
      </c>
      <c r="J3499" s="1">
        <v>44608</v>
      </c>
      <c r="K3499" t="b">
        <v>0</v>
      </c>
    </row>
    <row r="3500" spans="1:11" x14ac:dyDescent="0.25">
      <c r="A3500" t="s">
        <v>1723</v>
      </c>
      <c r="B3500" t="s">
        <v>93</v>
      </c>
      <c r="C3500" t="s">
        <v>13</v>
      </c>
      <c r="D3500" t="s">
        <v>380</v>
      </c>
      <c r="E3500" s="2">
        <v>17</v>
      </c>
      <c r="F3500" s="4">
        <v>7</v>
      </c>
      <c r="G3500" s="2">
        <v>119</v>
      </c>
      <c r="H3500" t="s">
        <v>45</v>
      </c>
      <c r="I3500" t="s">
        <v>16</v>
      </c>
      <c r="J3500" s="1">
        <v>44968</v>
      </c>
      <c r="K3500" t="b">
        <v>0</v>
      </c>
    </row>
    <row r="3501" spans="1:11" x14ac:dyDescent="0.25">
      <c r="A3501" t="s">
        <v>701</v>
      </c>
      <c r="B3501" t="s">
        <v>22</v>
      </c>
      <c r="C3501" t="s">
        <v>13</v>
      </c>
      <c r="D3501" t="s">
        <v>380</v>
      </c>
      <c r="E3501" s="2">
        <v>17</v>
      </c>
      <c r="F3501" s="4">
        <v>7</v>
      </c>
      <c r="G3501" s="2">
        <v>119</v>
      </c>
      <c r="H3501" t="s">
        <v>25</v>
      </c>
      <c r="I3501" t="s">
        <v>36</v>
      </c>
      <c r="J3501" s="1">
        <v>45194</v>
      </c>
      <c r="K3501" t="b">
        <v>0</v>
      </c>
    </row>
    <row r="3502" spans="1:11" x14ac:dyDescent="0.25">
      <c r="A3502" t="s">
        <v>4416</v>
      </c>
      <c r="B3502" t="s">
        <v>69</v>
      </c>
      <c r="C3502" t="s">
        <v>110</v>
      </c>
      <c r="D3502" t="s">
        <v>327</v>
      </c>
      <c r="E3502" s="2">
        <v>17</v>
      </c>
      <c r="F3502" s="4">
        <v>7</v>
      </c>
      <c r="G3502" s="2">
        <v>119</v>
      </c>
      <c r="H3502" t="s">
        <v>45</v>
      </c>
      <c r="I3502" t="s">
        <v>36</v>
      </c>
      <c r="J3502" s="1">
        <v>44950</v>
      </c>
      <c r="K3502" t="b">
        <v>0</v>
      </c>
    </row>
    <row r="3503" spans="1:11" x14ac:dyDescent="0.25">
      <c r="A3503" t="s">
        <v>3218</v>
      </c>
      <c r="B3503" t="s">
        <v>30</v>
      </c>
      <c r="C3503" t="s">
        <v>31</v>
      </c>
      <c r="D3503" t="s">
        <v>195</v>
      </c>
      <c r="E3503" s="2">
        <v>17</v>
      </c>
      <c r="F3503" s="4">
        <v>7</v>
      </c>
      <c r="G3503" s="2">
        <v>119</v>
      </c>
      <c r="H3503" t="s">
        <v>15</v>
      </c>
      <c r="I3503" t="s">
        <v>36</v>
      </c>
      <c r="J3503" s="1">
        <v>44917</v>
      </c>
      <c r="K3503" t="b">
        <v>1</v>
      </c>
    </row>
    <row r="3504" spans="1:11" x14ac:dyDescent="0.25">
      <c r="A3504" t="s">
        <v>194</v>
      </c>
      <c r="B3504" t="s">
        <v>77</v>
      </c>
      <c r="C3504" t="s">
        <v>31</v>
      </c>
      <c r="D3504" t="s">
        <v>195</v>
      </c>
      <c r="E3504" s="2">
        <v>17</v>
      </c>
      <c r="F3504" s="4">
        <v>7</v>
      </c>
      <c r="G3504" s="2">
        <v>119</v>
      </c>
      <c r="H3504" t="s">
        <v>45</v>
      </c>
      <c r="I3504" t="s">
        <v>36</v>
      </c>
      <c r="J3504" s="1">
        <v>45599</v>
      </c>
      <c r="K3504" t="b">
        <v>0</v>
      </c>
    </row>
    <row r="3505" spans="1:11" x14ac:dyDescent="0.25">
      <c r="A3505" t="s">
        <v>7578</v>
      </c>
      <c r="B3505" t="s">
        <v>100</v>
      </c>
      <c r="C3505" t="s">
        <v>13</v>
      </c>
      <c r="D3505" t="s">
        <v>380</v>
      </c>
      <c r="E3505" s="2">
        <v>17</v>
      </c>
      <c r="F3505" s="4">
        <v>7</v>
      </c>
      <c r="G3505" s="2">
        <v>119</v>
      </c>
      <c r="H3505" t="s">
        <v>45</v>
      </c>
      <c r="I3505" t="s">
        <v>16</v>
      </c>
      <c r="J3505" s="1">
        <v>45105</v>
      </c>
      <c r="K3505" t="b">
        <v>1</v>
      </c>
    </row>
    <row r="3506" spans="1:11" x14ac:dyDescent="0.25">
      <c r="A3506" t="s">
        <v>7317</v>
      </c>
      <c r="B3506" t="s">
        <v>61</v>
      </c>
      <c r="C3506" t="s">
        <v>59</v>
      </c>
      <c r="D3506" t="s">
        <v>655</v>
      </c>
      <c r="E3506" s="2">
        <v>17</v>
      </c>
      <c r="F3506" s="4">
        <v>7</v>
      </c>
      <c r="G3506" s="2">
        <v>119</v>
      </c>
      <c r="H3506" t="s">
        <v>15</v>
      </c>
      <c r="I3506" t="s">
        <v>36</v>
      </c>
      <c r="J3506" s="1">
        <v>45270</v>
      </c>
      <c r="K3506" t="b">
        <v>1</v>
      </c>
    </row>
    <row r="3507" spans="1:11" x14ac:dyDescent="0.25">
      <c r="A3507" t="s">
        <v>6154</v>
      </c>
      <c r="B3507" t="s">
        <v>22</v>
      </c>
      <c r="C3507" t="s">
        <v>110</v>
      </c>
      <c r="D3507" t="s">
        <v>327</v>
      </c>
      <c r="E3507" s="2">
        <v>17</v>
      </c>
      <c r="F3507" s="4">
        <v>7</v>
      </c>
      <c r="G3507" s="2">
        <v>119</v>
      </c>
      <c r="H3507" t="s">
        <v>45</v>
      </c>
      <c r="I3507" t="s">
        <v>36</v>
      </c>
      <c r="J3507" s="1">
        <v>45361</v>
      </c>
      <c r="K3507" t="b">
        <v>1</v>
      </c>
    </row>
    <row r="3508" spans="1:11" x14ac:dyDescent="0.25">
      <c r="A3508" t="s">
        <v>4046</v>
      </c>
      <c r="B3508" t="s">
        <v>26</v>
      </c>
      <c r="C3508" t="s">
        <v>31</v>
      </c>
      <c r="D3508" t="s">
        <v>195</v>
      </c>
      <c r="E3508" s="2">
        <v>17</v>
      </c>
      <c r="F3508" s="4">
        <v>7</v>
      </c>
      <c r="G3508" s="2">
        <v>119</v>
      </c>
      <c r="H3508" t="s">
        <v>25</v>
      </c>
      <c r="I3508" t="s">
        <v>16</v>
      </c>
      <c r="J3508" s="1">
        <v>44874</v>
      </c>
      <c r="K3508" t="b">
        <v>0</v>
      </c>
    </row>
    <row r="3509" spans="1:11" x14ac:dyDescent="0.25">
      <c r="A3509" t="s">
        <v>7785</v>
      </c>
      <c r="B3509" t="s">
        <v>43</v>
      </c>
      <c r="C3509" t="s">
        <v>31</v>
      </c>
      <c r="D3509" t="s">
        <v>195</v>
      </c>
      <c r="E3509" s="2">
        <v>17</v>
      </c>
      <c r="F3509" s="4">
        <v>7</v>
      </c>
      <c r="G3509" s="2">
        <v>119</v>
      </c>
      <c r="H3509" t="s">
        <v>25</v>
      </c>
      <c r="I3509" t="s">
        <v>16</v>
      </c>
      <c r="J3509" s="1">
        <v>44898</v>
      </c>
      <c r="K3509" t="b">
        <v>0</v>
      </c>
    </row>
    <row r="3510" spans="1:11" x14ac:dyDescent="0.25">
      <c r="A3510" t="s">
        <v>1786</v>
      </c>
      <c r="B3510" t="s">
        <v>72</v>
      </c>
      <c r="C3510" t="s">
        <v>59</v>
      </c>
      <c r="D3510" t="s">
        <v>655</v>
      </c>
      <c r="E3510" s="2">
        <v>17</v>
      </c>
      <c r="F3510" s="4">
        <v>7</v>
      </c>
      <c r="G3510" s="2">
        <v>119</v>
      </c>
      <c r="H3510" t="s">
        <v>15</v>
      </c>
      <c r="I3510" t="s">
        <v>16</v>
      </c>
      <c r="J3510" s="1">
        <v>44912</v>
      </c>
      <c r="K3510" t="b">
        <v>1</v>
      </c>
    </row>
    <row r="3511" spans="1:11" x14ac:dyDescent="0.25">
      <c r="A3511" t="s">
        <v>1611</v>
      </c>
      <c r="B3511" t="s">
        <v>61</v>
      </c>
      <c r="C3511" t="s">
        <v>110</v>
      </c>
      <c r="D3511" t="s">
        <v>327</v>
      </c>
      <c r="E3511" s="2">
        <v>17</v>
      </c>
      <c r="F3511" s="4">
        <v>7</v>
      </c>
      <c r="G3511" s="2">
        <v>119</v>
      </c>
      <c r="H3511" t="s">
        <v>45</v>
      </c>
      <c r="I3511" t="s">
        <v>16</v>
      </c>
      <c r="J3511" s="1">
        <v>45152</v>
      </c>
      <c r="K3511" t="b">
        <v>1</v>
      </c>
    </row>
    <row r="3512" spans="1:11" x14ac:dyDescent="0.25">
      <c r="A3512" t="s">
        <v>3267</v>
      </c>
      <c r="B3512" t="s">
        <v>104</v>
      </c>
      <c r="C3512" t="s">
        <v>13</v>
      </c>
      <c r="D3512" t="s">
        <v>380</v>
      </c>
      <c r="E3512" s="2">
        <v>17</v>
      </c>
      <c r="F3512" s="4">
        <v>7</v>
      </c>
      <c r="G3512" s="2">
        <v>119</v>
      </c>
      <c r="H3512" t="s">
        <v>25</v>
      </c>
      <c r="I3512" t="s">
        <v>16</v>
      </c>
      <c r="J3512" s="1">
        <v>44841</v>
      </c>
      <c r="K3512" t="b">
        <v>1</v>
      </c>
    </row>
    <row r="3513" spans="1:11" x14ac:dyDescent="0.25">
      <c r="A3513" t="s">
        <v>4078</v>
      </c>
      <c r="B3513" t="s">
        <v>22</v>
      </c>
      <c r="C3513" t="s">
        <v>38</v>
      </c>
      <c r="D3513" t="s">
        <v>444</v>
      </c>
      <c r="E3513" s="2">
        <v>17</v>
      </c>
      <c r="F3513" s="4">
        <v>7</v>
      </c>
      <c r="G3513" s="2">
        <v>119</v>
      </c>
      <c r="H3513" t="s">
        <v>25</v>
      </c>
      <c r="I3513" t="s">
        <v>16</v>
      </c>
      <c r="J3513" s="1">
        <v>44702</v>
      </c>
      <c r="K3513" t="b">
        <v>1</v>
      </c>
    </row>
    <row r="3514" spans="1:11" x14ac:dyDescent="0.25">
      <c r="A3514" t="s">
        <v>7524</v>
      </c>
      <c r="B3514" t="s">
        <v>66</v>
      </c>
      <c r="C3514" t="s">
        <v>59</v>
      </c>
      <c r="D3514" t="s">
        <v>655</v>
      </c>
      <c r="E3514" s="2">
        <v>17</v>
      </c>
      <c r="F3514" s="4">
        <v>7</v>
      </c>
      <c r="G3514" s="2">
        <v>119</v>
      </c>
      <c r="H3514" t="s">
        <v>45</v>
      </c>
      <c r="I3514" t="s">
        <v>16</v>
      </c>
      <c r="J3514" s="1">
        <v>45537</v>
      </c>
      <c r="K3514" t="b">
        <v>0</v>
      </c>
    </row>
    <row r="3515" spans="1:11" x14ac:dyDescent="0.25">
      <c r="A3515" t="s">
        <v>4638</v>
      </c>
      <c r="B3515" t="s">
        <v>37</v>
      </c>
      <c r="C3515" t="s">
        <v>31</v>
      </c>
      <c r="D3515" t="s">
        <v>195</v>
      </c>
      <c r="E3515" s="2">
        <v>17</v>
      </c>
      <c r="F3515" s="4">
        <v>7</v>
      </c>
      <c r="G3515" s="2">
        <v>119</v>
      </c>
      <c r="H3515" t="s">
        <v>45</v>
      </c>
      <c r="I3515" t="s">
        <v>16</v>
      </c>
      <c r="J3515" s="1">
        <v>45607</v>
      </c>
      <c r="K3515" t="b">
        <v>1</v>
      </c>
    </row>
    <row r="3516" spans="1:11" x14ac:dyDescent="0.25">
      <c r="A3516" t="s">
        <v>5687</v>
      </c>
      <c r="B3516" t="s">
        <v>12</v>
      </c>
      <c r="C3516" t="s">
        <v>31</v>
      </c>
      <c r="D3516" t="s">
        <v>195</v>
      </c>
      <c r="E3516" s="2">
        <v>17</v>
      </c>
      <c r="F3516" s="4">
        <v>7</v>
      </c>
      <c r="G3516" s="2">
        <v>119</v>
      </c>
      <c r="H3516" t="s">
        <v>25</v>
      </c>
      <c r="I3516" t="s">
        <v>36</v>
      </c>
      <c r="J3516" s="1">
        <v>45456</v>
      </c>
      <c r="K3516" t="b">
        <v>1</v>
      </c>
    </row>
    <row r="3517" spans="1:11" x14ac:dyDescent="0.25">
      <c r="A3517" t="s">
        <v>3618</v>
      </c>
      <c r="B3517" t="s">
        <v>18</v>
      </c>
      <c r="C3517" t="s">
        <v>110</v>
      </c>
      <c r="D3517" t="s">
        <v>327</v>
      </c>
      <c r="E3517" s="2">
        <v>17</v>
      </c>
      <c r="F3517" s="4">
        <v>7</v>
      </c>
      <c r="G3517" s="2">
        <v>119</v>
      </c>
      <c r="H3517" t="s">
        <v>15</v>
      </c>
      <c r="I3517" t="s">
        <v>16</v>
      </c>
      <c r="J3517" s="1">
        <v>45315</v>
      </c>
      <c r="K3517" t="b">
        <v>0</v>
      </c>
    </row>
    <row r="3518" spans="1:11" x14ac:dyDescent="0.25">
      <c r="A3518" t="s">
        <v>5102</v>
      </c>
      <c r="B3518" t="s">
        <v>58</v>
      </c>
      <c r="C3518" t="s">
        <v>110</v>
      </c>
      <c r="D3518" t="s">
        <v>327</v>
      </c>
      <c r="E3518" s="2">
        <v>17</v>
      </c>
      <c r="F3518" s="4">
        <v>7</v>
      </c>
      <c r="G3518" s="2">
        <v>119</v>
      </c>
      <c r="H3518" t="s">
        <v>15</v>
      </c>
      <c r="I3518" t="s">
        <v>16</v>
      </c>
      <c r="J3518" s="1">
        <v>45274</v>
      </c>
      <c r="K3518" t="b">
        <v>0</v>
      </c>
    </row>
    <row r="3519" spans="1:11" x14ac:dyDescent="0.25">
      <c r="A3519" t="s">
        <v>7179</v>
      </c>
      <c r="B3519" t="s">
        <v>40</v>
      </c>
      <c r="C3519" t="s">
        <v>59</v>
      </c>
      <c r="D3519" t="s">
        <v>655</v>
      </c>
      <c r="E3519" s="2">
        <v>17</v>
      </c>
      <c r="F3519" s="4">
        <v>7</v>
      </c>
      <c r="G3519" s="2">
        <v>119</v>
      </c>
      <c r="H3519" t="s">
        <v>45</v>
      </c>
      <c r="I3519" t="s">
        <v>36</v>
      </c>
      <c r="J3519" s="1">
        <v>45450</v>
      </c>
      <c r="K3519" t="b">
        <v>0</v>
      </c>
    </row>
    <row r="3520" spans="1:11" x14ac:dyDescent="0.25">
      <c r="A3520" t="s">
        <v>1773</v>
      </c>
      <c r="B3520" t="s">
        <v>30</v>
      </c>
      <c r="C3520" t="s">
        <v>31</v>
      </c>
      <c r="D3520" t="s">
        <v>195</v>
      </c>
      <c r="E3520" s="2">
        <v>17</v>
      </c>
      <c r="F3520" s="4">
        <v>7</v>
      </c>
      <c r="G3520" s="2">
        <v>119</v>
      </c>
      <c r="H3520" t="s">
        <v>25</v>
      </c>
      <c r="I3520" t="s">
        <v>16</v>
      </c>
      <c r="J3520" s="1">
        <v>45068</v>
      </c>
      <c r="K3520" t="b">
        <v>1</v>
      </c>
    </row>
    <row r="3521" spans="1:11" x14ac:dyDescent="0.25">
      <c r="A3521" t="s">
        <v>5154</v>
      </c>
      <c r="B3521" t="s">
        <v>66</v>
      </c>
      <c r="C3521" t="s">
        <v>27</v>
      </c>
      <c r="D3521" t="s">
        <v>763</v>
      </c>
      <c r="E3521" s="2">
        <v>17</v>
      </c>
      <c r="F3521" s="4">
        <v>7</v>
      </c>
      <c r="G3521" s="2">
        <v>119</v>
      </c>
      <c r="H3521" t="s">
        <v>25</v>
      </c>
      <c r="I3521" t="s">
        <v>16</v>
      </c>
      <c r="J3521" s="1">
        <v>44946</v>
      </c>
      <c r="K3521" t="b">
        <v>0</v>
      </c>
    </row>
    <row r="3522" spans="1:11" x14ac:dyDescent="0.25">
      <c r="A3522" t="s">
        <v>2244</v>
      </c>
      <c r="B3522" t="s">
        <v>86</v>
      </c>
      <c r="C3522" t="s">
        <v>110</v>
      </c>
      <c r="D3522" t="s">
        <v>327</v>
      </c>
      <c r="E3522" s="2">
        <v>17</v>
      </c>
      <c r="F3522" s="4">
        <v>7</v>
      </c>
      <c r="G3522" s="2">
        <v>119</v>
      </c>
      <c r="H3522" t="s">
        <v>25</v>
      </c>
      <c r="I3522" t="s">
        <v>16</v>
      </c>
      <c r="J3522" s="1">
        <v>45197</v>
      </c>
      <c r="K3522" t="b">
        <v>0</v>
      </c>
    </row>
    <row r="3523" spans="1:11" x14ac:dyDescent="0.25">
      <c r="A3523" t="s">
        <v>1798</v>
      </c>
      <c r="B3523" t="s">
        <v>51</v>
      </c>
      <c r="C3523" t="s">
        <v>13</v>
      </c>
      <c r="D3523" t="s">
        <v>380</v>
      </c>
      <c r="E3523" s="2">
        <v>17</v>
      </c>
      <c r="F3523" s="4">
        <v>7</v>
      </c>
      <c r="G3523" s="2">
        <v>119</v>
      </c>
      <c r="H3523" t="s">
        <v>25</v>
      </c>
      <c r="I3523" t="s">
        <v>36</v>
      </c>
      <c r="J3523" s="1">
        <v>44951</v>
      </c>
      <c r="K3523" t="b">
        <v>0</v>
      </c>
    </row>
    <row r="3524" spans="1:11" x14ac:dyDescent="0.25">
      <c r="A3524" t="s">
        <v>5519</v>
      </c>
      <c r="B3524" t="s">
        <v>12</v>
      </c>
      <c r="C3524" t="s">
        <v>27</v>
      </c>
      <c r="D3524" t="s">
        <v>763</v>
      </c>
      <c r="E3524" s="2">
        <v>17</v>
      </c>
      <c r="F3524" s="4">
        <v>7</v>
      </c>
      <c r="G3524" s="2">
        <v>119</v>
      </c>
      <c r="H3524" t="s">
        <v>45</v>
      </c>
      <c r="I3524" t="s">
        <v>16</v>
      </c>
      <c r="J3524" s="1">
        <v>44608</v>
      </c>
      <c r="K3524" t="b">
        <v>0</v>
      </c>
    </row>
    <row r="3525" spans="1:11" x14ac:dyDescent="0.25">
      <c r="A3525" t="s">
        <v>2971</v>
      </c>
      <c r="B3525" t="s">
        <v>93</v>
      </c>
      <c r="C3525" t="s">
        <v>59</v>
      </c>
      <c r="D3525" t="s">
        <v>655</v>
      </c>
      <c r="E3525" s="2">
        <v>17</v>
      </c>
      <c r="F3525" s="4">
        <v>7</v>
      </c>
      <c r="G3525" s="2">
        <v>119</v>
      </c>
      <c r="H3525" t="s">
        <v>45</v>
      </c>
      <c r="I3525" t="s">
        <v>36</v>
      </c>
      <c r="J3525" s="1">
        <v>44609</v>
      </c>
      <c r="K3525" t="b">
        <v>0</v>
      </c>
    </row>
    <row r="3526" spans="1:11" x14ac:dyDescent="0.25">
      <c r="A3526" t="s">
        <v>7797</v>
      </c>
      <c r="B3526" t="s">
        <v>26</v>
      </c>
      <c r="C3526" t="s">
        <v>110</v>
      </c>
      <c r="D3526" t="s">
        <v>327</v>
      </c>
      <c r="E3526" s="2">
        <v>17</v>
      </c>
      <c r="F3526" s="4">
        <v>7</v>
      </c>
      <c r="G3526" s="2">
        <v>119</v>
      </c>
      <c r="H3526" t="s">
        <v>45</v>
      </c>
      <c r="I3526" t="s">
        <v>16</v>
      </c>
      <c r="J3526" s="1">
        <v>45003</v>
      </c>
      <c r="K3526" t="b">
        <v>0</v>
      </c>
    </row>
    <row r="3527" spans="1:11" x14ac:dyDescent="0.25">
      <c r="A3527" t="s">
        <v>5711</v>
      </c>
      <c r="B3527" t="s">
        <v>69</v>
      </c>
      <c r="C3527" t="s">
        <v>19</v>
      </c>
      <c r="D3527" t="s">
        <v>220</v>
      </c>
      <c r="E3527" s="2">
        <v>39.5</v>
      </c>
      <c r="F3527" s="4">
        <v>3</v>
      </c>
      <c r="G3527" s="2">
        <v>118.5</v>
      </c>
      <c r="H3527" t="s">
        <v>25</v>
      </c>
      <c r="I3527" t="s">
        <v>36</v>
      </c>
      <c r="J3527" s="1">
        <v>45391</v>
      </c>
      <c r="K3527" t="b">
        <v>1</v>
      </c>
    </row>
    <row r="3528" spans="1:11" x14ac:dyDescent="0.25">
      <c r="A3528" t="s">
        <v>5352</v>
      </c>
      <c r="B3528" t="s">
        <v>37</v>
      </c>
      <c r="C3528" t="s">
        <v>38</v>
      </c>
      <c r="D3528" t="s">
        <v>165</v>
      </c>
      <c r="E3528" s="2">
        <v>39.5</v>
      </c>
      <c r="F3528" s="4">
        <v>3</v>
      </c>
      <c r="G3528" s="2">
        <v>118.5</v>
      </c>
      <c r="H3528" t="s">
        <v>15</v>
      </c>
      <c r="I3528" t="s">
        <v>16</v>
      </c>
      <c r="J3528" s="1">
        <v>45548</v>
      </c>
      <c r="K3528" t="b">
        <v>1</v>
      </c>
    </row>
    <row r="3529" spans="1:11" x14ac:dyDescent="0.25">
      <c r="A3529" t="s">
        <v>4103</v>
      </c>
      <c r="B3529" t="s">
        <v>85</v>
      </c>
      <c r="C3529" t="s">
        <v>19</v>
      </c>
      <c r="D3529" t="s">
        <v>220</v>
      </c>
      <c r="E3529" s="2">
        <v>39.5</v>
      </c>
      <c r="F3529" s="4">
        <v>3</v>
      </c>
      <c r="G3529" s="2">
        <v>118.5</v>
      </c>
      <c r="H3529" t="s">
        <v>15</v>
      </c>
      <c r="I3529" t="s">
        <v>16</v>
      </c>
      <c r="J3529" s="1">
        <v>44695</v>
      </c>
      <c r="K3529" t="b">
        <v>1</v>
      </c>
    </row>
    <row r="3530" spans="1:11" x14ac:dyDescent="0.25">
      <c r="A3530" t="s">
        <v>6139</v>
      </c>
      <c r="B3530" t="s">
        <v>86</v>
      </c>
      <c r="C3530" t="s">
        <v>38</v>
      </c>
      <c r="D3530" t="s">
        <v>165</v>
      </c>
      <c r="E3530" s="2">
        <v>39.5</v>
      </c>
      <c r="F3530" s="4">
        <v>3</v>
      </c>
      <c r="G3530" s="2">
        <v>118.5</v>
      </c>
      <c r="H3530" t="s">
        <v>15</v>
      </c>
      <c r="I3530" t="s">
        <v>36</v>
      </c>
      <c r="J3530" s="1">
        <v>45612</v>
      </c>
      <c r="K3530" t="b">
        <v>1</v>
      </c>
    </row>
    <row r="3531" spans="1:11" x14ac:dyDescent="0.25">
      <c r="A3531" t="s">
        <v>5372</v>
      </c>
      <c r="B3531" t="s">
        <v>93</v>
      </c>
      <c r="C3531" t="s">
        <v>31</v>
      </c>
      <c r="D3531" t="s">
        <v>212</v>
      </c>
      <c r="E3531" s="2">
        <v>39.5</v>
      </c>
      <c r="F3531" s="4">
        <v>3</v>
      </c>
      <c r="G3531" s="2">
        <v>118.5</v>
      </c>
      <c r="H3531" t="s">
        <v>15</v>
      </c>
      <c r="I3531" t="s">
        <v>16</v>
      </c>
      <c r="J3531" s="1">
        <v>45331</v>
      </c>
      <c r="K3531" t="b">
        <v>0</v>
      </c>
    </row>
    <row r="3532" spans="1:11" x14ac:dyDescent="0.25">
      <c r="A3532" t="s">
        <v>1328</v>
      </c>
      <c r="B3532" t="s">
        <v>142</v>
      </c>
      <c r="C3532" t="s">
        <v>13</v>
      </c>
      <c r="D3532" t="s">
        <v>52</v>
      </c>
      <c r="E3532" s="2">
        <v>39.5</v>
      </c>
      <c r="F3532" s="4">
        <v>3</v>
      </c>
      <c r="G3532" s="2">
        <v>118.5</v>
      </c>
      <c r="H3532" t="s">
        <v>45</v>
      </c>
      <c r="I3532" t="s">
        <v>16</v>
      </c>
      <c r="J3532" s="1">
        <v>44632</v>
      </c>
      <c r="K3532" t="b">
        <v>0</v>
      </c>
    </row>
    <row r="3533" spans="1:11" x14ac:dyDescent="0.25">
      <c r="A3533" t="s">
        <v>2651</v>
      </c>
      <c r="B3533" t="s">
        <v>56</v>
      </c>
      <c r="C3533" t="s">
        <v>38</v>
      </c>
      <c r="D3533" t="s">
        <v>165</v>
      </c>
      <c r="E3533" s="2">
        <v>39.5</v>
      </c>
      <c r="F3533" s="4">
        <v>3</v>
      </c>
      <c r="G3533" s="2">
        <v>118.5</v>
      </c>
      <c r="H3533" t="s">
        <v>45</v>
      </c>
      <c r="I3533" t="s">
        <v>36</v>
      </c>
      <c r="J3533" s="1">
        <v>45379</v>
      </c>
      <c r="K3533" t="b">
        <v>1</v>
      </c>
    </row>
    <row r="3534" spans="1:11" x14ac:dyDescent="0.25">
      <c r="A3534" t="s">
        <v>1451</v>
      </c>
      <c r="B3534" t="s">
        <v>30</v>
      </c>
      <c r="C3534" t="s">
        <v>38</v>
      </c>
      <c r="D3534" t="s">
        <v>165</v>
      </c>
      <c r="E3534" s="2">
        <v>39.5</v>
      </c>
      <c r="F3534" s="4">
        <v>3</v>
      </c>
      <c r="G3534" s="2">
        <v>118.5</v>
      </c>
      <c r="H3534" t="s">
        <v>25</v>
      </c>
      <c r="I3534" t="s">
        <v>16</v>
      </c>
      <c r="J3534" s="1">
        <v>45501</v>
      </c>
      <c r="K3534" t="b">
        <v>0</v>
      </c>
    </row>
    <row r="3535" spans="1:11" x14ac:dyDescent="0.25">
      <c r="A3535" t="s">
        <v>3532</v>
      </c>
      <c r="B3535" t="s">
        <v>97</v>
      </c>
      <c r="C3535" t="s">
        <v>13</v>
      </c>
      <c r="D3535" t="s">
        <v>52</v>
      </c>
      <c r="E3535" s="2">
        <v>39.5</v>
      </c>
      <c r="F3535" s="4">
        <v>3</v>
      </c>
      <c r="G3535" s="2">
        <v>118.5</v>
      </c>
      <c r="H3535" t="s">
        <v>25</v>
      </c>
      <c r="I3535" t="s">
        <v>16</v>
      </c>
      <c r="J3535" s="1">
        <v>45610</v>
      </c>
      <c r="K3535" t="b">
        <v>1</v>
      </c>
    </row>
    <row r="3536" spans="1:11" x14ac:dyDescent="0.25">
      <c r="A3536" t="s">
        <v>3476</v>
      </c>
      <c r="B3536" t="s">
        <v>30</v>
      </c>
      <c r="C3536" t="s">
        <v>27</v>
      </c>
      <c r="D3536" t="s">
        <v>482</v>
      </c>
      <c r="E3536" s="2">
        <v>39.5</v>
      </c>
      <c r="F3536" s="4">
        <v>3</v>
      </c>
      <c r="G3536" s="2">
        <v>118.5</v>
      </c>
      <c r="H3536" t="s">
        <v>45</v>
      </c>
      <c r="I3536" t="s">
        <v>16</v>
      </c>
      <c r="J3536" s="1">
        <v>45230</v>
      </c>
      <c r="K3536" t="b">
        <v>1</v>
      </c>
    </row>
    <row r="3537" spans="1:11" x14ac:dyDescent="0.25">
      <c r="A3537" t="s">
        <v>407</v>
      </c>
      <c r="B3537" t="s">
        <v>77</v>
      </c>
      <c r="C3537" t="s">
        <v>19</v>
      </c>
      <c r="D3537" t="s">
        <v>220</v>
      </c>
      <c r="E3537" s="2">
        <v>39.5</v>
      </c>
      <c r="F3537" s="4">
        <v>3</v>
      </c>
      <c r="G3537" s="2">
        <v>118.5</v>
      </c>
      <c r="H3537" t="s">
        <v>25</v>
      </c>
      <c r="I3537" t="s">
        <v>16</v>
      </c>
      <c r="J3537" s="1">
        <v>45216</v>
      </c>
      <c r="K3537" t="b">
        <v>1</v>
      </c>
    </row>
    <row r="3538" spans="1:11" x14ac:dyDescent="0.25">
      <c r="A3538" t="s">
        <v>4823</v>
      </c>
      <c r="B3538" t="s">
        <v>69</v>
      </c>
      <c r="C3538" t="s">
        <v>31</v>
      </c>
      <c r="D3538" t="s">
        <v>212</v>
      </c>
      <c r="E3538" s="2">
        <v>39.5</v>
      </c>
      <c r="F3538" s="4">
        <v>3</v>
      </c>
      <c r="G3538" s="2">
        <v>118.5</v>
      </c>
      <c r="H3538" t="s">
        <v>25</v>
      </c>
      <c r="I3538" t="s">
        <v>36</v>
      </c>
      <c r="J3538" s="1">
        <v>44669</v>
      </c>
      <c r="K3538" t="b">
        <v>0</v>
      </c>
    </row>
    <row r="3539" spans="1:11" x14ac:dyDescent="0.25">
      <c r="A3539" t="s">
        <v>4266</v>
      </c>
      <c r="B3539" t="s">
        <v>97</v>
      </c>
      <c r="C3539" t="s">
        <v>13</v>
      </c>
      <c r="D3539" t="s">
        <v>52</v>
      </c>
      <c r="E3539" s="2">
        <v>39.5</v>
      </c>
      <c r="F3539" s="4">
        <v>3</v>
      </c>
      <c r="G3539" s="2">
        <v>118.5</v>
      </c>
      <c r="H3539" t="s">
        <v>45</v>
      </c>
      <c r="I3539" t="s">
        <v>16</v>
      </c>
      <c r="J3539" s="1">
        <v>44737</v>
      </c>
      <c r="K3539" t="b">
        <v>1</v>
      </c>
    </row>
    <row r="3540" spans="1:11" x14ac:dyDescent="0.25">
      <c r="A3540" t="s">
        <v>3413</v>
      </c>
      <c r="B3540" t="s">
        <v>34</v>
      </c>
      <c r="C3540" t="s">
        <v>38</v>
      </c>
      <c r="D3540" t="s">
        <v>165</v>
      </c>
      <c r="E3540" s="2">
        <v>39.5</v>
      </c>
      <c r="F3540" s="4">
        <v>3</v>
      </c>
      <c r="G3540" s="2">
        <v>118.5</v>
      </c>
      <c r="H3540" t="s">
        <v>15</v>
      </c>
      <c r="I3540" t="s">
        <v>16</v>
      </c>
      <c r="J3540" s="1">
        <v>44599</v>
      </c>
      <c r="K3540" t="b">
        <v>1</v>
      </c>
    </row>
    <row r="3541" spans="1:11" x14ac:dyDescent="0.25">
      <c r="A3541" t="s">
        <v>1209</v>
      </c>
      <c r="B3541" t="s">
        <v>30</v>
      </c>
      <c r="C3541" t="s">
        <v>13</v>
      </c>
      <c r="D3541" t="s">
        <v>52</v>
      </c>
      <c r="E3541" s="2">
        <v>39.5</v>
      </c>
      <c r="F3541" s="4">
        <v>3</v>
      </c>
      <c r="G3541" s="2">
        <v>118.5</v>
      </c>
      <c r="H3541" t="s">
        <v>25</v>
      </c>
      <c r="I3541" t="s">
        <v>36</v>
      </c>
      <c r="J3541" s="1">
        <v>44831</v>
      </c>
      <c r="K3541" t="b">
        <v>1</v>
      </c>
    </row>
    <row r="3542" spans="1:11" x14ac:dyDescent="0.25">
      <c r="A3542" t="s">
        <v>3275</v>
      </c>
      <c r="B3542" t="s">
        <v>69</v>
      </c>
      <c r="C3542" t="s">
        <v>38</v>
      </c>
      <c r="D3542" t="s">
        <v>165</v>
      </c>
      <c r="E3542" s="2">
        <v>39.5</v>
      </c>
      <c r="F3542" s="4">
        <v>3</v>
      </c>
      <c r="G3542" s="2">
        <v>118.5</v>
      </c>
      <c r="H3542" t="s">
        <v>25</v>
      </c>
      <c r="I3542" t="s">
        <v>36</v>
      </c>
      <c r="J3542" s="1">
        <v>45447</v>
      </c>
      <c r="K3542" t="b">
        <v>0</v>
      </c>
    </row>
    <row r="3543" spans="1:11" x14ac:dyDescent="0.25">
      <c r="A3543" t="s">
        <v>3676</v>
      </c>
      <c r="B3543" t="s">
        <v>18</v>
      </c>
      <c r="C3543" t="s">
        <v>38</v>
      </c>
      <c r="D3543" t="s">
        <v>165</v>
      </c>
      <c r="E3543" s="2">
        <v>39.5</v>
      </c>
      <c r="F3543" s="4">
        <v>3</v>
      </c>
      <c r="G3543" s="2">
        <v>118.5</v>
      </c>
      <c r="H3543" t="s">
        <v>25</v>
      </c>
      <c r="I3543" t="s">
        <v>36</v>
      </c>
      <c r="J3543" s="1">
        <v>45594</v>
      </c>
      <c r="K3543" t="b">
        <v>0</v>
      </c>
    </row>
    <row r="3544" spans="1:11" x14ac:dyDescent="0.25">
      <c r="A3544" t="s">
        <v>4174</v>
      </c>
      <c r="B3544" t="s">
        <v>34</v>
      </c>
      <c r="C3544" t="s">
        <v>38</v>
      </c>
      <c r="D3544" t="s">
        <v>165</v>
      </c>
      <c r="E3544" s="2">
        <v>39.5</v>
      </c>
      <c r="F3544" s="4">
        <v>3</v>
      </c>
      <c r="G3544" s="2">
        <v>118.5</v>
      </c>
      <c r="H3544" t="s">
        <v>15</v>
      </c>
      <c r="I3544" t="s">
        <v>16</v>
      </c>
      <c r="J3544" s="1">
        <v>45591</v>
      </c>
      <c r="K3544" t="b">
        <v>1</v>
      </c>
    </row>
    <row r="3545" spans="1:11" x14ac:dyDescent="0.25">
      <c r="A3545" t="s">
        <v>719</v>
      </c>
      <c r="B3545" t="s">
        <v>100</v>
      </c>
      <c r="C3545" t="s">
        <v>27</v>
      </c>
      <c r="D3545" t="s">
        <v>482</v>
      </c>
      <c r="E3545" s="2">
        <v>39.5</v>
      </c>
      <c r="F3545" s="4">
        <v>3</v>
      </c>
      <c r="G3545" s="2">
        <v>118.5</v>
      </c>
      <c r="H3545" t="s">
        <v>15</v>
      </c>
      <c r="I3545" t="s">
        <v>16</v>
      </c>
      <c r="J3545" s="1">
        <v>44744</v>
      </c>
      <c r="K3545" t="b">
        <v>1</v>
      </c>
    </row>
    <row r="3546" spans="1:11" x14ac:dyDescent="0.25">
      <c r="A3546" t="s">
        <v>4494</v>
      </c>
      <c r="B3546" t="s">
        <v>56</v>
      </c>
      <c r="C3546" t="s">
        <v>38</v>
      </c>
      <c r="D3546" t="s">
        <v>165</v>
      </c>
      <c r="E3546" s="2">
        <v>39.5</v>
      </c>
      <c r="F3546" s="4">
        <v>3</v>
      </c>
      <c r="G3546" s="2">
        <v>118.5</v>
      </c>
      <c r="H3546" t="s">
        <v>45</v>
      </c>
      <c r="I3546" t="s">
        <v>36</v>
      </c>
      <c r="J3546" s="1">
        <v>45344</v>
      </c>
      <c r="K3546" t="b">
        <v>0</v>
      </c>
    </row>
    <row r="3547" spans="1:11" x14ac:dyDescent="0.25">
      <c r="A3547" t="s">
        <v>3748</v>
      </c>
      <c r="B3547" t="s">
        <v>22</v>
      </c>
      <c r="C3547" t="s">
        <v>38</v>
      </c>
      <c r="D3547" t="s">
        <v>165</v>
      </c>
      <c r="E3547" s="2">
        <v>39.5</v>
      </c>
      <c r="F3547" s="4">
        <v>3</v>
      </c>
      <c r="G3547" s="2">
        <v>118.5</v>
      </c>
      <c r="H3547" t="s">
        <v>15</v>
      </c>
      <c r="I3547" t="s">
        <v>16</v>
      </c>
      <c r="J3547" s="1">
        <v>44730</v>
      </c>
      <c r="K3547" t="b">
        <v>1</v>
      </c>
    </row>
    <row r="3548" spans="1:11" x14ac:dyDescent="0.25">
      <c r="A3548" t="s">
        <v>3250</v>
      </c>
      <c r="B3548" t="s">
        <v>69</v>
      </c>
      <c r="C3548" t="s">
        <v>23</v>
      </c>
      <c r="D3548" t="s">
        <v>103</v>
      </c>
      <c r="E3548" s="2">
        <v>39.5</v>
      </c>
      <c r="F3548" s="4">
        <v>3</v>
      </c>
      <c r="G3548" s="2">
        <v>118.5</v>
      </c>
      <c r="H3548" t="s">
        <v>15</v>
      </c>
      <c r="I3548" t="s">
        <v>36</v>
      </c>
      <c r="J3548" s="1">
        <v>45533</v>
      </c>
      <c r="K3548" t="b">
        <v>0</v>
      </c>
    </row>
    <row r="3549" spans="1:11" x14ac:dyDescent="0.25">
      <c r="A3549" t="s">
        <v>406</v>
      </c>
      <c r="B3549" t="s">
        <v>40</v>
      </c>
      <c r="C3549" t="s">
        <v>38</v>
      </c>
      <c r="D3549" t="s">
        <v>165</v>
      </c>
      <c r="E3549" s="2">
        <v>39.5</v>
      </c>
      <c r="F3549" s="4">
        <v>3</v>
      </c>
      <c r="G3549" s="2">
        <v>118.5</v>
      </c>
      <c r="H3549" t="s">
        <v>25</v>
      </c>
      <c r="I3549" t="s">
        <v>16</v>
      </c>
      <c r="J3549" s="1">
        <v>44996</v>
      </c>
      <c r="K3549" t="b">
        <v>1</v>
      </c>
    </row>
    <row r="3550" spans="1:11" x14ac:dyDescent="0.25">
      <c r="A3550" t="s">
        <v>2187</v>
      </c>
      <c r="B3550" t="s">
        <v>34</v>
      </c>
      <c r="C3550" t="s">
        <v>38</v>
      </c>
      <c r="D3550" t="s">
        <v>165</v>
      </c>
      <c r="E3550" s="2">
        <v>39.5</v>
      </c>
      <c r="F3550" s="4">
        <v>3</v>
      </c>
      <c r="G3550" s="2">
        <v>118.5</v>
      </c>
      <c r="H3550" t="s">
        <v>25</v>
      </c>
      <c r="I3550" t="s">
        <v>16</v>
      </c>
      <c r="J3550" s="1">
        <v>45188</v>
      </c>
      <c r="K3550" t="b">
        <v>0</v>
      </c>
    </row>
    <row r="3551" spans="1:11" x14ac:dyDescent="0.25">
      <c r="A3551" t="s">
        <v>3073</v>
      </c>
      <c r="B3551" t="s">
        <v>93</v>
      </c>
      <c r="C3551" t="s">
        <v>13</v>
      </c>
      <c r="D3551" t="s">
        <v>55</v>
      </c>
      <c r="E3551" s="2">
        <v>29</v>
      </c>
      <c r="F3551" s="4">
        <v>4</v>
      </c>
      <c r="G3551" s="2">
        <v>116</v>
      </c>
      <c r="H3551" t="s">
        <v>45</v>
      </c>
      <c r="I3551" t="s">
        <v>36</v>
      </c>
      <c r="J3551" s="1">
        <v>44867</v>
      </c>
      <c r="K3551" t="b">
        <v>0</v>
      </c>
    </row>
    <row r="3552" spans="1:11" x14ac:dyDescent="0.25">
      <c r="A3552" t="s">
        <v>6830</v>
      </c>
      <c r="B3552" t="s">
        <v>26</v>
      </c>
      <c r="C3552" t="s">
        <v>13</v>
      </c>
      <c r="D3552" t="s">
        <v>55</v>
      </c>
      <c r="E3552" s="2">
        <v>29</v>
      </c>
      <c r="F3552" s="4">
        <v>4</v>
      </c>
      <c r="G3552" s="2">
        <v>116</v>
      </c>
      <c r="H3552" t="s">
        <v>15</v>
      </c>
      <c r="I3552" t="s">
        <v>36</v>
      </c>
      <c r="J3552" s="1">
        <v>44650</v>
      </c>
      <c r="K3552" t="b">
        <v>1</v>
      </c>
    </row>
    <row r="3553" spans="1:11" x14ac:dyDescent="0.25">
      <c r="A3553" t="s">
        <v>1355</v>
      </c>
      <c r="B3553" t="s">
        <v>97</v>
      </c>
      <c r="C3553" t="s">
        <v>31</v>
      </c>
      <c r="D3553" t="s">
        <v>372</v>
      </c>
      <c r="E3553" s="2">
        <v>29</v>
      </c>
      <c r="F3553" s="4">
        <v>4</v>
      </c>
      <c r="G3553" s="2">
        <v>116</v>
      </c>
      <c r="H3553" t="s">
        <v>15</v>
      </c>
      <c r="I3553" t="s">
        <v>36</v>
      </c>
      <c r="J3553" s="1">
        <v>44833</v>
      </c>
      <c r="K3553" t="b">
        <v>0</v>
      </c>
    </row>
    <row r="3554" spans="1:11" x14ac:dyDescent="0.25">
      <c r="A3554" t="s">
        <v>2472</v>
      </c>
      <c r="B3554" t="s">
        <v>72</v>
      </c>
      <c r="C3554" t="s">
        <v>31</v>
      </c>
      <c r="D3554" t="s">
        <v>372</v>
      </c>
      <c r="E3554" s="2">
        <v>29</v>
      </c>
      <c r="F3554" s="4">
        <v>4</v>
      </c>
      <c r="G3554" s="2">
        <v>116</v>
      </c>
      <c r="H3554" t="s">
        <v>25</v>
      </c>
      <c r="I3554" t="s">
        <v>36</v>
      </c>
      <c r="J3554" s="1">
        <v>44779</v>
      </c>
      <c r="K3554" t="b">
        <v>0</v>
      </c>
    </row>
    <row r="3555" spans="1:11" x14ac:dyDescent="0.25">
      <c r="A3555" t="s">
        <v>4894</v>
      </c>
      <c r="B3555" t="s">
        <v>40</v>
      </c>
      <c r="C3555" t="s">
        <v>13</v>
      </c>
      <c r="D3555" t="s">
        <v>55</v>
      </c>
      <c r="E3555" s="2">
        <v>29</v>
      </c>
      <c r="F3555" s="4">
        <v>4</v>
      </c>
      <c r="G3555" s="2">
        <v>116</v>
      </c>
      <c r="H3555" t="s">
        <v>15</v>
      </c>
      <c r="I3555" t="s">
        <v>16</v>
      </c>
      <c r="J3555" s="1">
        <v>44996</v>
      </c>
      <c r="K3555" t="b">
        <v>0</v>
      </c>
    </row>
    <row r="3556" spans="1:11" x14ac:dyDescent="0.25">
      <c r="A3556" t="s">
        <v>5922</v>
      </c>
      <c r="B3556" t="s">
        <v>63</v>
      </c>
      <c r="C3556" t="s">
        <v>31</v>
      </c>
      <c r="D3556" t="s">
        <v>372</v>
      </c>
      <c r="E3556" s="2">
        <v>29</v>
      </c>
      <c r="F3556" s="4">
        <v>4</v>
      </c>
      <c r="G3556" s="2">
        <v>116</v>
      </c>
      <c r="H3556" t="s">
        <v>25</v>
      </c>
      <c r="I3556" t="s">
        <v>36</v>
      </c>
      <c r="J3556" s="1">
        <v>45535</v>
      </c>
      <c r="K3556" t="b">
        <v>1</v>
      </c>
    </row>
    <row r="3557" spans="1:11" x14ac:dyDescent="0.25">
      <c r="A3557" t="s">
        <v>1153</v>
      </c>
      <c r="B3557" t="s">
        <v>72</v>
      </c>
      <c r="C3557" t="s">
        <v>59</v>
      </c>
      <c r="D3557" t="s">
        <v>297</v>
      </c>
      <c r="E3557" s="2">
        <v>29</v>
      </c>
      <c r="F3557" s="4">
        <v>4</v>
      </c>
      <c r="G3557" s="2">
        <v>116</v>
      </c>
      <c r="H3557" t="s">
        <v>45</v>
      </c>
      <c r="I3557" t="s">
        <v>16</v>
      </c>
      <c r="J3557" s="1">
        <v>44807</v>
      </c>
      <c r="K3557" t="b">
        <v>1</v>
      </c>
    </row>
    <row r="3558" spans="1:11" x14ac:dyDescent="0.25">
      <c r="A3558" t="s">
        <v>2219</v>
      </c>
      <c r="B3558" t="s">
        <v>12</v>
      </c>
      <c r="C3558" t="s">
        <v>31</v>
      </c>
      <c r="D3558" t="s">
        <v>372</v>
      </c>
      <c r="E3558" s="2">
        <v>29</v>
      </c>
      <c r="F3558" s="4">
        <v>4</v>
      </c>
      <c r="G3558" s="2">
        <v>116</v>
      </c>
      <c r="H3558" t="s">
        <v>45</v>
      </c>
      <c r="I3558" t="s">
        <v>36</v>
      </c>
      <c r="J3558" s="1">
        <v>45015</v>
      </c>
      <c r="K3558" t="b">
        <v>0</v>
      </c>
    </row>
    <row r="3559" spans="1:11" x14ac:dyDescent="0.25">
      <c r="A3559" t="s">
        <v>6729</v>
      </c>
      <c r="B3559" t="s">
        <v>18</v>
      </c>
      <c r="C3559" t="s">
        <v>13</v>
      </c>
      <c r="D3559" t="s">
        <v>55</v>
      </c>
      <c r="E3559" s="2">
        <v>29</v>
      </c>
      <c r="F3559" s="4">
        <v>4</v>
      </c>
      <c r="G3559" s="2">
        <v>116</v>
      </c>
      <c r="H3559" t="s">
        <v>45</v>
      </c>
      <c r="I3559" t="s">
        <v>36</v>
      </c>
      <c r="J3559" s="1">
        <v>44574</v>
      </c>
      <c r="K3559" t="b">
        <v>1</v>
      </c>
    </row>
    <row r="3560" spans="1:11" x14ac:dyDescent="0.25">
      <c r="A3560" t="s">
        <v>2683</v>
      </c>
      <c r="B3560" t="s">
        <v>86</v>
      </c>
      <c r="C3560" t="s">
        <v>27</v>
      </c>
      <c r="D3560" t="s">
        <v>421</v>
      </c>
      <c r="E3560" s="2">
        <v>29</v>
      </c>
      <c r="F3560" s="4">
        <v>4</v>
      </c>
      <c r="G3560" s="2">
        <v>116</v>
      </c>
      <c r="H3560" t="s">
        <v>25</v>
      </c>
      <c r="I3560" t="s">
        <v>16</v>
      </c>
      <c r="J3560" s="1">
        <v>45630</v>
      </c>
      <c r="K3560" t="b">
        <v>1</v>
      </c>
    </row>
    <row r="3561" spans="1:11" x14ac:dyDescent="0.25">
      <c r="A3561" t="s">
        <v>7274</v>
      </c>
      <c r="B3561" t="s">
        <v>63</v>
      </c>
      <c r="C3561" t="s">
        <v>19</v>
      </c>
      <c r="D3561" t="s">
        <v>20</v>
      </c>
      <c r="E3561" s="2">
        <v>29</v>
      </c>
      <c r="F3561" s="4">
        <v>4</v>
      </c>
      <c r="G3561" s="2">
        <v>116</v>
      </c>
      <c r="H3561" t="s">
        <v>45</v>
      </c>
      <c r="I3561" t="s">
        <v>16</v>
      </c>
      <c r="J3561" s="1">
        <v>44897</v>
      </c>
      <c r="K3561" t="b">
        <v>1</v>
      </c>
    </row>
    <row r="3562" spans="1:11" x14ac:dyDescent="0.25">
      <c r="A3562" t="s">
        <v>5539</v>
      </c>
      <c r="B3562" t="s">
        <v>58</v>
      </c>
      <c r="C3562" t="s">
        <v>31</v>
      </c>
      <c r="D3562" t="s">
        <v>372</v>
      </c>
      <c r="E3562" s="2">
        <v>29</v>
      </c>
      <c r="F3562" s="4">
        <v>4</v>
      </c>
      <c r="G3562" s="2">
        <v>116</v>
      </c>
      <c r="H3562" t="s">
        <v>15</v>
      </c>
      <c r="I3562" t="s">
        <v>16</v>
      </c>
      <c r="J3562" s="1">
        <v>44809</v>
      </c>
      <c r="K3562" t="b">
        <v>0</v>
      </c>
    </row>
    <row r="3563" spans="1:11" x14ac:dyDescent="0.25">
      <c r="A3563" t="s">
        <v>6612</v>
      </c>
      <c r="B3563" t="s">
        <v>100</v>
      </c>
      <c r="C3563" t="s">
        <v>110</v>
      </c>
      <c r="D3563" t="s">
        <v>386</v>
      </c>
      <c r="E3563" s="2">
        <v>29</v>
      </c>
      <c r="F3563" s="4">
        <v>4</v>
      </c>
      <c r="G3563" s="2">
        <v>116</v>
      </c>
      <c r="H3563" t="s">
        <v>15</v>
      </c>
      <c r="I3563" t="s">
        <v>16</v>
      </c>
      <c r="J3563" s="1">
        <v>44952</v>
      </c>
      <c r="K3563" t="b">
        <v>0</v>
      </c>
    </row>
    <row r="3564" spans="1:11" x14ac:dyDescent="0.25">
      <c r="A3564" t="s">
        <v>6456</v>
      </c>
      <c r="B3564" t="s">
        <v>93</v>
      </c>
      <c r="C3564" t="s">
        <v>27</v>
      </c>
      <c r="D3564" t="s">
        <v>421</v>
      </c>
      <c r="E3564" s="2">
        <v>29</v>
      </c>
      <c r="F3564" s="4">
        <v>4</v>
      </c>
      <c r="G3564" s="2">
        <v>116</v>
      </c>
      <c r="H3564" t="s">
        <v>15</v>
      </c>
      <c r="I3564" t="s">
        <v>16</v>
      </c>
      <c r="J3564" s="1">
        <v>45552</v>
      </c>
      <c r="K3564" t="b">
        <v>1</v>
      </c>
    </row>
    <row r="3565" spans="1:11" x14ac:dyDescent="0.25">
      <c r="A3565" t="s">
        <v>1647</v>
      </c>
      <c r="B3565" t="s">
        <v>142</v>
      </c>
      <c r="C3565" t="s">
        <v>13</v>
      </c>
      <c r="D3565" t="s">
        <v>55</v>
      </c>
      <c r="E3565" s="2">
        <v>29</v>
      </c>
      <c r="F3565" s="4">
        <v>4</v>
      </c>
      <c r="G3565" s="2">
        <v>116</v>
      </c>
      <c r="H3565" t="s">
        <v>45</v>
      </c>
      <c r="I3565" t="s">
        <v>16</v>
      </c>
      <c r="J3565" s="1">
        <v>44868</v>
      </c>
      <c r="K3565" t="b">
        <v>0</v>
      </c>
    </row>
    <row r="3566" spans="1:11" x14ac:dyDescent="0.25">
      <c r="A3566" t="s">
        <v>7018</v>
      </c>
      <c r="B3566" t="s">
        <v>85</v>
      </c>
      <c r="C3566" t="s">
        <v>27</v>
      </c>
      <c r="D3566" t="s">
        <v>421</v>
      </c>
      <c r="E3566" s="2">
        <v>29</v>
      </c>
      <c r="F3566" s="4">
        <v>4</v>
      </c>
      <c r="G3566" s="2">
        <v>116</v>
      </c>
      <c r="H3566" t="s">
        <v>45</v>
      </c>
      <c r="I3566" t="s">
        <v>36</v>
      </c>
      <c r="J3566" s="1">
        <v>45353</v>
      </c>
      <c r="K3566" t="b">
        <v>0</v>
      </c>
    </row>
    <row r="3567" spans="1:11" x14ac:dyDescent="0.25">
      <c r="A3567" t="s">
        <v>2062</v>
      </c>
      <c r="B3567" t="s">
        <v>40</v>
      </c>
      <c r="C3567" t="s">
        <v>38</v>
      </c>
      <c r="D3567" t="s">
        <v>267</v>
      </c>
      <c r="E3567" s="2">
        <v>29</v>
      </c>
      <c r="F3567" s="4">
        <v>4</v>
      </c>
      <c r="G3567" s="2">
        <v>116</v>
      </c>
      <c r="H3567" t="s">
        <v>25</v>
      </c>
      <c r="I3567" t="s">
        <v>36</v>
      </c>
      <c r="J3567" s="1">
        <v>45426</v>
      </c>
      <c r="K3567" t="b">
        <v>1</v>
      </c>
    </row>
    <row r="3568" spans="1:11" x14ac:dyDescent="0.25">
      <c r="A3568" t="s">
        <v>556</v>
      </c>
      <c r="B3568" t="s">
        <v>86</v>
      </c>
      <c r="C3568" t="s">
        <v>59</v>
      </c>
      <c r="D3568" t="s">
        <v>297</v>
      </c>
      <c r="E3568" s="2">
        <v>29</v>
      </c>
      <c r="F3568" s="4">
        <v>4</v>
      </c>
      <c r="G3568" s="2">
        <v>116</v>
      </c>
      <c r="H3568" t="s">
        <v>15</v>
      </c>
      <c r="I3568" t="s">
        <v>36</v>
      </c>
      <c r="J3568" s="1">
        <v>44794</v>
      </c>
      <c r="K3568" t="b">
        <v>1</v>
      </c>
    </row>
    <row r="3569" spans="1:11" x14ac:dyDescent="0.25">
      <c r="A3569" t="s">
        <v>3695</v>
      </c>
      <c r="B3569" t="s">
        <v>12</v>
      </c>
      <c r="C3569" t="s">
        <v>13</v>
      </c>
      <c r="D3569" t="s">
        <v>55</v>
      </c>
      <c r="E3569" s="2">
        <v>29</v>
      </c>
      <c r="F3569" s="4">
        <v>4</v>
      </c>
      <c r="G3569" s="2">
        <v>116</v>
      </c>
      <c r="H3569" t="s">
        <v>15</v>
      </c>
      <c r="I3569" t="s">
        <v>36</v>
      </c>
      <c r="J3569" s="1">
        <v>45009</v>
      </c>
      <c r="K3569" t="b">
        <v>1</v>
      </c>
    </row>
    <row r="3570" spans="1:11" x14ac:dyDescent="0.25">
      <c r="A3570" t="s">
        <v>1068</v>
      </c>
      <c r="B3570" t="s">
        <v>142</v>
      </c>
      <c r="C3570" t="s">
        <v>13</v>
      </c>
      <c r="D3570" t="s">
        <v>55</v>
      </c>
      <c r="E3570" s="2">
        <v>29</v>
      </c>
      <c r="F3570" s="4">
        <v>4</v>
      </c>
      <c r="G3570" s="2">
        <v>116</v>
      </c>
      <c r="H3570" t="s">
        <v>45</v>
      </c>
      <c r="I3570" t="s">
        <v>36</v>
      </c>
      <c r="J3570" s="1">
        <v>45050</v>
      </c>
      <c r="K3570" t="b">
        <v>1</v>
      </c>
    </row>
    <row r="3571" spans="1:11" x14ac:dyDescent="0.25">
      <c r="A3571" t="s">
        <v>1142</v>
      </c>
      <c r="B3571" t="s">
        <v>22</v>
      </c>
      <c r="C3571" t="s">
        <v>59</v>
      </c>
      <c r="D3571" t="s">
        <v>297</v>
      </c>
      <c r="E3571" s="2">
        <v>29</v>
      </c>
      <c r="F3571" s="4">
        <v>4</v>
      </c>
      <c r="G3571" s="2">
        <v>116</v>
      </c>
      <c r="H3571" t="s">
        <v>45</v>
      </c>
      <c r="I3571" t="s">
        <v>16</v>
      </c>
      <c r="J3571" s="1">
        <v>44850</v>
      </c>
      <c r="K3571" t="b">
        <v>0</v>
      </c>
    </row>
    <row r="3572" spans="1:11" x14ac:dyDescent="0.25">
      <c r="A3572" t="s">
        <v>1840</v>
      </c>
      <c r="B3572" t="s">
        <v>37</v>
      </c>
      <c r="C3572" t="s">
        <v>13</v>
      </c>
      <c r="D3572" t="s">
        <v>55</v>
      </c>
      <c r="E3572" s="2">
        <v>29</v>
      </c>
      <c r="F3572" s="4">
        <v>4</v>
      </c>
      <c r="G3572" s="2">
        <v>116</v>
      </c>
      <c r="H3572" t="s">
        <v>25</v>
      </c>
      <c r="I3572" t="s">
        <v>36</v>
      </c>
      <c r="J3572" s="1">
        <v>45372</v>
      </c>
      <c r="K3572" t="b">
        <v>1</v>
      </c>
    </row>
    <row r="3573" spans="1:11" x14ac:dyDescent="0.25">
      <c r="A3573" t="s">
        <v>3487</v>
      </c>
      <c r="B3573" t="s">
        <v>12</v>
      </c>
      <c r="C3573" t="s">
        <v>13</v>
      </c>
      <c r="D3573" t="s">
        <v>55</v>
      </c>
      <c r="E3573" s="2">
        <v>29</v>
      </c>
      <c r="F3573" s="4">
        <v>4</v>
      </c>
      <c r="G3573" s="2">
        <v>116</v>
      </c>
      <c r="H3573" t="s">
        <v>15</v>
      </c>
      <c r="I3573" t="s">
        <v>36</v>
      </c>
      <c r="J3573" s="1">
        <v>45195</v>
      </c>
      <c r="K3573" t="b">
        <v>0</v>
      </c>
    </row>
    <row r="3574" spans="1:11" x14ac:dyDescent="0.25">
      <c r="A3574" t="s">
        <v>6346</v>
      </c>
      <c r="B3574" t="s">
        <v>66</v>
      </c>
      <c r="C3574" t="s">
        <v>27</v>
      </c>
      <c r="D3574" t="s">
        <v>421</v>
      </c>
      <c r="E3574" s="2">
        <v>29</v>
      </c>
      <c r="F3574" s="4">
        <v>4</v>
      </c>
      <c r="G3574" s="2">
        <v>116</v>
      </c>
      <c r="H3574" t="s">
        <v>45</v>
      </c>
      <c r="I3574" t="s">
        <v>36</v>
      </c>
      <c r="J3574" s="1">
        <v>44690</v>
      </c>
      <c r="K3574" t="b">
        <v>0</v>
      </c>
    </row>
    <row r="3575" spans="1:11" x14ac:dyDescent="0.25">
      <c r="A3575" t="s">
        <v>5150</v>
      </c>
      <c r="B3575" t="s">
        <v>26</v>
      </c>
      <c r="C3575" t="s">
        <v>110</v>
      </c>
      <c r="D3575" t="s">
        <v>386</v>
      </c>
      <c r="E3575" s="2">
        <v>29</v>
      </c>
      <c r="F3575" s="4">
        <v>4</v>
      </c>
      <c r="G3575" s="2">
        <v>116</v>
      </c>
      <c r="H3575" t="s">
        <v>45</v>
      </c>
      <c r="I3575" t="s">
        <v>16</v>
      </c>
      <c r="J3575" s="1">
        <v>44938</v>
      </c>
      <c r="K3575" t="b">
        <v>1</v>
      </c>
    </row>
    <row r="3576" spans="1:11" x14ac:dyDescent="0.25">
      <c r="A3576" t="s">
        <v>5115</v>
      </c>
      <c r="B3576" t="s">
        <v>22</v>
      </c>
      <c r="C3576" t="s">
        <v>31</v>
      </c>
      <c r="D3576" t="s">
        <v>372</v>
      </c>
      <c r="E3576" s="2">
        <v>29</v>
      </c>
      <c r="F3576" s="4">
        <v>4</v>
      </c>
      <c r="G3576" s="2">
        <v>116</v>
      </c>
      <c r="H3576" t="s">
        <v>25</v>
      </c>
      <c r="I3576" t="s">
        <v>36</v>
      </c>
      <c r="J3576" s="1">
        <v>45200</v>
      </c>
      <c r="K3576" t="b">
        <v>0</v>
      </c>
    </row>
    <row r="3577" spans="1:11" x14ac:dyDescent="0.25">
      <c r="A3577" t="s">
        <v>4748</v>
      </c>
      <c r="B3577" t="s">
        <v>66</v>
      </c>
      <c r="C3577" t="s">
        <v>110</v>
      </c>
      <c r="D3577" t="s">
        <v>386</v>
      </c>
      <c r="E3577" s="2">
        <v>29</v>
      </c>
      <c r="F3577" s="4">
        <v>4</v>
      </c>
      <c r="G3577" s="2">
        <v>116</v>
      </c>
      <c r="H3577" t="s">
        <v>45</v>
      </c>
      <c r="I3577" t="s">
        <v>16</v>
      </c>
      <c r="J3577" s="1">
        <v>44833</v>
      </c>
      <c r="K3577" t="b">
        <v>0</v>
      </c>
    </row>
    <row r="3578" spans="1:11" x14ac:dyDescent="0.25">
      <c r="A3578" t="s">
        <v>296</v>
      </c>
      <c r="B3578" t="s">
        <v>93</v>
      </c>
      <c r="C3578" t="s">
        <v>59</v>
      </c>
      <c r="D3578" t="s">
        <v>297</v>
      </c>
      <c r="E3578" s="2">
        <v>29</v>
      </c>
      <c r="F3578" s="4">
        <v>4</v>
      </c>
      <c r="G3578" s="2">
        <v>116</v>
      </c>
      <c r="H3578" t="s">
        <v>45</v>
      </c>
      <c r="I3578" t="s">
        <v>16</v>
      </c>
      <c r="J3578" s="1">
        <v>44707</v>
      </c>
      <c r="K3578" t="b">
        <v>0</v>
      </c>
    </row>
    <row r="3579" spans="1:11" x14ac:dyDescent="0.25">
      <c r="A3579" t="s">
        <v>3077</v>
      </c>
      <c r="B3579" t="s">
        <v>58</v>
      </c>
      <c r="C3579" t="s">
        <v>31</v>
      </c>
      <c r="D3579" t="s">
        <v>372</v>
      </c>
      <c r="E3579" s="2">
        <v>29</v>
      </c>
      <c r="F3579" s="4">
        <v>4</v>
      </c>
      <c r="G3579" s="2">
        <v>116</v>
      </c>
      <c r="H3579" t="s">
        <v>45</v>
      </c>
      <c r="I3579" t="s">
        <v>16</v>
      </c>
      <c r="J3579" s="1">
        <v>45615</v>
      </c>
      <c r="K3579" t="b">
        <v>1</v>
      </c>
    </row>
    <row r="3580" spans="1:11" x14ac:dyDescent="0.25">
      <c r="A3580" t="s">
        <v>883</v>
      </c>
      <c r="B3580" t="s">
        <v>72</v>
      </c>
      <c r="C3580" t="s">
        <v>27</v>
      </c>
      <c r="D3580" t="s">
        <v>421</v>
      </c>
      <c r="E3580" s="2">
        <v>29</v>
      </c>
      <c r="F3580" s="4">
        <v>4</v>
      </c>
      <c r="G3580" s="2">
        <v>116</v>
      </c>
      <c r="H3580" t="s">
        <v>15</v>
      </c>
      <c r="I3580" t="s">
        <v>16</v>
      </c>
      <c r="J3580" s="1">
        <v>44851</v>
      </c>
      <c r="K3580" t="b">
        <v>0</v>
      </c>
    </row>
    <row r="3581" spans="1:11" x14ac:dyDescent="0.25">
      <c r="A3581" t="s">
        <v>7161</v>
      </c>
      <c r="B3581" t="s">
        <v>85</v>
      </c>
      <c r="C3581" t="s">
        <v>23</v>
      </c>
      <c r="D3581" t="s">
        <v>352</v>
      </c>
      <c r="E3581" s="2">
        <v>29</v>
      </c>
      <c r="F3581" s="4">
        <v>4</v>
      </c>
      <c r="G3581" s="2">
        <v>116</v>
      </c>
      <c r="H3581" t="s">
        <v>15</v>
      </c>
      <c r="I3581" t="s">
        <v>36</v>
      </c>
      <c r="J3581" s="1">
        <v>45154</v>
      </c>
      <c r="K3581" t="b">
        <v>0</v>
      </c>
    </row>
    <row r="3582" spans="1:11" x14ac:dyDescent="0.25">
      <c r="A3582" t="s">
        <v>7003</v>
      </c>
      <c r="B3582" t="s">
        <v>43</v>
      </c>
      <c r="C3582" t="s">
        <v>19</v>
      </c>
      <c r="D3582" t="s">
        <v>20</v>
      </c>
      <c r="E3582" s="2">
        <v>29</v>
      </c>
      <c r="F3582" s="4">
        <v>4</v>
      </c>
      <c r="G3582" s="2">
        <v>116</v>
      </c>
      <c r="H3582" t="s">
        <v>45</v>
      </c>
      <c r="I3582" t="s">
        <v>36</v>
      </c>
      <c r="J3582" s="1">
        <v>45485</v>
      </c>
      <c r="K3582" t="b">
        <v>0</v>
      </c>
    </row>
    <row r="3583" spans="1:11" x14ac:dyDescent="0.25">
      <c r="A3583" t="s">
        <v>2471</v>
      </c>
      <c r="B3583" t="s">
        <v>12</v>
      </c>
      <c r="C3583" t="s">
        <v>38</v>
      </c>
      <c r="D3583" t="s">
        <v>267</v>
      </c>
      <c r="E3583" s="2">
        <v>29</v>
      </c>
      <c r="F3583" s="4">
        <v>4</v>
      </c>
      <c r="G3583" s="2">
        <v>116</v>
      </c>
      <c r="H3583" t="s">
        <v>45</v>
      </c>
      <c r="I3583" t="s">
        <v>16</v>
      </c>
      <c r="J3583" s="1">
        <v>45385</v>
      </c>
      <c r="K3583" t="b">
        <v>1</v>
      </c>
    </row>
    <row r="3584" spans="1:11" x14ac:dyDescent="0.25">
      <c r="A3584" t="s">
        <v>4388</v>
      </c>
      <c r="B3584" t="s">
        <v>104</v>
      </c>
      <c r="C3584" t="s">
        <v>31</v>
      </c>
      <c r="D3584" t="s">
        <v>372</v>
      </c>
      <c r="E3584" s="2">
        <v>29</v>
      </c>
      <c r="F3584" s="4">
        <v>4</v>
      </c>
      <c r="G3584" s="2">
        <v>116</v>
      </c>
      <c r="H3584" t="s">
        <v>45</v>
      </c>
      <c r="I3584" t="s">
        <v>36</v>
      </c>
      <c r="J3584" s="1">
        <v>45281</v>
      </c>
      <c r="K3584" t="b">
        <v>0</v>
      </c>
    </row>
    <row r="3585" spans="1:11" x14ac:dyDescent="0.25">
      <c r="A3585" t="s">
        <v>7792</v>
      </c>
      <c r="B3585" t="s">
        <v>12</v>
      </c>
      <c r="C3585" t="s">
        <v>31</v>
      </c>
      <c r="D3585" t="s">
        <v>361</v>
      </c>
      <c r="E3585" s="2">
        <v>23</v>
      </c>
      <c r="F3585" s="4">
        <v>5</v>
      </c>
      <c r="G3585" s="2">
        <v>115</v>
      </c>
      <c r="H3585" t="s">
        <v>25</v>
      </c>
      <c r="I3585" t="s">
        <v>16</v>
      </c>
      <c r="J3585" s="1">
        <v>45592</v>
      </c>
      <c r="K3585" t="b">
        <v>0</v>
      </c>
    </row>
    <row r="3586" spans="1:11" x14ac:dyDescent="0.25">
      <c r="A3586" t="s">
        <v>7527</v>
      </c>
      <c r="B3586" t="s">
        <v>104</v>
      </c>
      <c r="C3586" t="s">
        <v>59</v>
      </c>
      <c r="D3586" t="s">
        <v>60</v>
      </c>
      <c r="E3586" s="2">
        <v>23</v>
      </c>
      <c r="F3586" s="4">
        <v>5</v>
      </c>
      <c r="G3586" s="2">
        <v>115</v>
      </c>
      <c r="H3586" t="s">
        <v>15</v>
      </c>
      <c r="I3586" t="s">
        <v>16</v>
      </c>
      <c r="J3586" s="1">
        <v>45620</v>
      </c>
      <c r="K3586" t="b">
        <v>0</v>
      </c>
    </row>
    <row r="3587" spans="1:11" x14ac:dyDescent="0.25">
      <c r="A3587" t="s">
        <v>5984</v>
      </c>
      <c r="B3587" t="s">
        <v>97</v>
      </c>
      <c r="C3587" t="s">
        <v>31</v>
      </c>
      <c r="D3587" t="s">
        <v>361</v>
      </c>
      <c r="E3587" s="2">
        <v>23</v>
      </c>
      <c r="F3587" s="4">
        <v>5</v>
      </c>
      <c r="G3587" s="2">
        <v>115</v>
      </c>
      <c r="H3587" t="s">
        <v>25</v>
      </c>
      <c r="I3587" t="s">
        <v>16</v>
      </c>
      <c r="J3587" s="1">
        <v>44868</v>
      </c>
      <c r="K3587" t="b">
        <v>0</v>
      </c>
    </row>
    <row r="3588" spans="1:11" x14ac:dyDescent="0.25">
      <c r="A3588" t="s">
        <v>5511</v>
      </c>
      <c r="B3588" t="s">
        <v>93</v>
      </c>
      <c r="C3588" t="s">
        <v>19</v>
      </c>
      <c r="D3588" t="s">
        <v>400</v>
      </c>
      <c r="E3588" s="2">
        <v>23</v>
      </c>
      <c r="F3588" s="4">
        <v>5</v>
      </c>
      <c r="G3588" s="2">
        <v>115</v>
      </c>
      <c r="H3588" t="s">
        <v>25</v>
      </c>
      <c r="I3588" t="s">
        <v>16</v>
      </c>
      <c r="J3588" s="1">
        <v>44726</v>
      </c>
      <c r="K3588" t="b">
        <v>0</v>
      </c>
    </row>
    <row r="3589" spans="1:11" x14ac:dyDescent="0.25">
      <c r="A3589" t="s">
        <v>6493</v>
      </c>
      <c r="B3589" t="s">
        <v>69</v>
      </c>
      <c r="C3589" t="s">
        <v>13</v>
      </c>
      <c r="D3589" t="s">
        <v>292</v>
      </c>
      <c r="E3589" s="2">
        <v>23</v>
      </c>
      <c r="F3589" s="4">
        <v>5</v>
      </c>
      <c r="G3589" s="2">
        <v>115</v>
      </c>
      <c r="H3589" t="s">
        <v>25</v>
      </c>
      <c r="I3589" t="s">
        <v>16</v>
      </c>
      <c r="J3589" s="1">
        <v>45526</v>
      </c>
      <c r="K3589" t="b">
        <v>1</v>
      </c>
    </row>
    <row r="3590" spans="1:11" x14ac:dyDescent="0.25">
      <c r="A3590" t="s">
        <v>6647</v>
      </c>
      <c r="B3590" t="s">
        <v>26</v>
      </c>
      <c r="C3590" t="s">
        <v>19</v>
      </c>
      <c r="D3590" t="s">
        <v>400</v>
      </c>
      <c r="E3590" s="2">
        <v>23</v>
      </c>
      <c r="F3590" s="4">
        <v>5</v>
      </c>
      <c r="G3590" s="2">
        <v>115</v>
      </c>
      <c r="H3590" t="s">
        <v>45</v>
      </c>
      <c r="I3590" t="s">
        <v>36</v>
      </c>
      <c r="J3590" s="1">
        <v>45481</v>
      </c>
      <c r="K3590" t="b">
        <v>0</v>
      </c>
    </row>
    <row r="3591" spans="1:11" x14ac:dyDescent="0.25">
      <c r="A3591" t="s">
        <v>5533</v>
      </c>
      <c r="B3591" t="s">
        <v>51</v>
      </c>
      <c r="C3591" t="s">
        <v>59</v>
      </c>
      <c r="D3591" t="s">
        <v>60</v>
      </c>
      <c r="E3591" s="2">
        <v>23</v>
      </c>
      <c r="F3591" s="4">
        <v>5</v>
      </c>
      <c r="G3591" s="2">
        <v>115</v>
      </c>
      <c r="H3591" t="s">
        <v>25</v>
      </c>
      <c r="I3591" t="s">
        <v>16</v>
      </c>
      <c r="J3591" s="1">
        <v>45233</v>
      </c>
      <c r="K3591" t="b">
        <v>1</v>
      </c>
    </row>
    <row r="3592" spans="1:11" x14ac:dyDescent="0.25">
      <c r="A3592" t="s">
        <v>5595</v>
      </c>
      <c r="B3592" t="s">
        <v>66</v>
      </c>
      <c r="C3592" t="s">
        <v>19</v>
      </c>
      <c r="D3592" t="s">
        <v>400</v>
      </c>
      <c r="E3592" s="2">
        <v>23</v>
      </c>
      <c r="F3592" s="4">
        <v>5</v>
      </c>
      <c r="G3592" s="2">
        <v>115</v>
      </c>
      <c r="H3592" t="s">
        <v>45</v>
      </c>
      <c r="I3592" t="s">
        <v>16</v>
      </c>
      <c r="J3592" s="1">
        <v>45303</v>
      </c>
      <c r="K3592" t="b">
        <v>0</v>
      </c>
    </row>
    <row r="3593" spans="1:11" x14ac:dyDescent="0.25">
      <c r="A3593" t="s">
        <v>6755</v>
      </c>
      <c r="B3593" t="s">
        <v>30</v>
      </c>
      <c r="C3593" t="s">
        <v>19</v>
      </c>
      <c r="D3593" t="s">
        <v>400</v>
      </c>
      <c r="E3593" s="2">
        <v>23</v>
      </c>
      <c r="F3593" s="4">
        <v>5</v>
      </c>
      <c r="G3593" s="2">
        <v>115</v>
      </c>
      <c r="H3593" t="s">
        <v>45</v>
      </c>
      <c r="I3593" t="s">
        <v>16</v>
      </c>
      <c r="J3593" s="1">
        <v>44711</v>
      </c>
      <c r="K3593" t="b">
        <v>0</v>
      </c>
    </row>
    <row r="3594" spans="1:11" x14ac:dyDescent="0.25">
      <c r="A3594" t="s">
        <v>4804</v>
      </c>
      <c r="B3594" t="s">
        <v>58</v>
      </c>
      <c r="C3594" t="s">
        <v>23</v>
      </c>
      <c r="D3594" t="s">
        <v>244</v>
      </c>
      <c r="E3594" s="2">
        <v>23</v>
      </c>
      <c r="F3594" s="4">
        <v>5</v>
      </c>
      <c r="G3594" s="2">
        <v>115</v>
      </c>
      <c r="H3594" t="s">
        <v>45</v>
      </c>
      <c r="I3594" t="s">
        <v>16</v>
      </c>
      <c r="J3594" s="1">
        <v>45187</v>
      </c>
      <c r="K3594" t="b">
        <v>0</v>
      </c>
    </row>
    <row r="3595" spans="1:11" x14ac:dyDescent="0.25">
      <c r="A3595" t="s">
        <v>7285</v>
      </c>
      <c r="B3595" t="s">
        <v>142</v>
      </c>
      <c r="C3595" t="s">
        <v>31</v>
      </c>
      <c r="D3595" t="s">
        <v>361</v>
      </c>
      <c r="E3595" s="2">
        <v>23</v>
      </c>
      <c r="F3595" s="4">
        <v>5</v>
      </c>
      <c r="G3595" s="2">
        <v>115</v>
      </c>
      <c r="H3595" t="s">
        <v>25</v>
      </c>
      <c r="I3595" t="s">
        <v>36</v>
      </c>
      <c r="J3595" s="1">
        <v>45658</v>
      </c>
      <c r="K3595" t="b">
        <v>1</v>
      </c>
    </row>
    <row r="3596" spans="1:11" x14ac:dyDescent="0.25">
      <c r="A3596" t="s">
        <v>4809</v>
      </c>
      <c r="B3596" t="s">
        <v>77</v>
      </c>
      <c r="C3596" t="s">
        <v>59</v>
      </c>
      <c r="D3596" t="s">
        <v>60</v>
      </c>
      <c r="E3596" s="2">
        <v>23</v>
      </c>
      <c r="F3596" s="4">
        <v>5</v>
      </c>
      <c r="G3596" s="2">
        <v>115</v>
      </c>
      <c r="H3596" t="s">
        <v>45</v>
      </c>
      <c r="I3596" t="s">
        <v>36</v>
      </c>
      <c r="J3596" s="1">
        <v>45266</v>
      </c>
      <c r="K3596" t="b">
        <v>1</v>
      </c>
    </row>
    <row r="3597" spans="1:11" x14ac:dyDescent="0.25">
      <c r="A3597" t="s">
        <v>3236</v>
      </c>
      <c r="B3597" t="s">
        <v>72</v>
      </c>
      <c r="C3597" t="s">
        <v>19</v>
      </c>
      <c r="D3597" t="s">
        <v>400</v>
      </c>
      <c r="E3597" s="2">
        <v>23</v>
      </c>
      <c r="F3597" s="4">
        <v>5</v>
      </c>
      <c r="G3597" s="2">
        <v>115</v>
      </c>
      <c r="H3597" t="s">
        <v>25</v>
      </c>
      <c r="I3597" t="s">
        <v>36</v>
      </c>
      <c r="J3597" s="1">
        <v>45324</v>
      </c>
      <c r="K3597" t="b">
        <v>1</v>
      </c>
    </row>
    <row r="3598" spans="1:11" x14ac:dyDescent="0.25">
      <c r="A3598" t="s">
        <v>2763</v>
      </c>
      <c r="B3598" t="s">
        <v>26</v>
      </c>
      <c r="C3598" t="s">
        <v>31</v>
      </c>
      <c r="D3598" t="s">
        <v>361</v>
      </c>
      <c r="E3598" s="2">
        <v>23</v>
      </c>
      <c r="F3598" s="4">
        <v>5</v>
      </c>
      <c r="G3598" s="2">
        <v>115</v>
      </c>
      <c r="H3598" t="s">
        <v>45</v>
      </c>
      <c r="I3598" t="s">
        <v>36</v>
      </c>
      <c r="J3598" s="1">
        <v>44987</v>
      </c>
      <c r="K3598" t="b">
        <v>1</v>
      </c>
    </row>
    <row r="3599" spans="1:11" x14ac:dyDescent="0.25">
      <c r="A3599" t="s">
        <v>1067</v>
      </c>
      <c r="B3599" t="s">
        <v>69</v>
      </c>
      <c r="C3599" t="s">
        <v>13</v>
      </c>
      <c r="D3599" t="s">
        <v>292</v>
      </c>
      <c r="E3599" s="2">
        <v>23</v>
      </c>
      <c r="F3599" s="4">
        <v>5</v>
      </c>
      <c r="G3599" s="2">
        <v>115</v>
      </c>
      <c r="H3599" t="s">
        <v>15</v>
      </c>
      <c r="I3599" t="s">
        <v>36</v>
      </c>
      <c r="J3599" s="1">
        <v>45264</v>
      </c>
      <c r="K3599" t="b">
        <v>0</v>
      </c>
    </row>
    <row r="3600" spans="1:11" x14ac:dyDescent="0.25">
      <c r="A3600" t="s">
        <v>5651</v>
      </c>
      <c r="B3600" t="s">
        <v>43</v>
      </c>
      <c r="C3600" t="s">
        <v>19</v>
      </c>
      <c r="D3600" t="s">
        <v>400</v>
      </c>
      <c r="E3600" s="2">
        <v>23</v>
      </c>
      <c r="F3600" s="4">
        <v>5</v>
      </c>
      <c r="G3600" s="2">
        <v>115</v>
      </c>
      <c r="H3600" t="s">
        <v>45</v>
      </c>
      <c r="I3600" t="s">
        <v>36</v>
      </c>
      <c r="J3600" s="1">
        <v>44853</v>
      </c>
      <c r="K3600" t="b">
        <v>1</v>
      </c>
    </row>
    <row r="3601" spans="1:11" x14ac:dyDescent="0.25">
      <c r="A3601" t="s">
        <v>7351</v>
      </c>
      <c r="B3601" t="s">
        <v>30</v>
      </c>
      <c r="C3601" t="s">
        <v>23</v>
      </c>
      <c r="D3601" t="s">
        <v>244</v>
      </c>
      <c r="E3601" s="2">
        <v>23</v>
      </c>
      <c r="F3601" s="4">
        <v>5</v>
      </c>
      <c r="G3601" s="2">
        <v>115</v>
      </c>
      <c r="H3601" t="s">
        <v>25</v>
      </c>
      <c r="I3601" t="s">
        <v>36</v>
      </c>
      <c r="J3601" s="1">
        <v>45447</v>
      </c>
      <c r="K3601" t="b">
        <v>1</v>
      </c>
    </row>
    <row r="3602" spans="1:11" x14ac:dyDescent="0.25">
      <c r="A3602" t="s">
        <v>759</v>
      </c>
      <c r="B3602" t="s">
        <v>30</v>
      </c>
      <c r="C3602" t="s">
        <v>59</v>
      </c>
      <c r="D3602" t="s">
        <v>60</v>
      </c>
      <c r="E3602" s="2">
        <v>23</v>
      </c>
      <c r="F3602" s="4">
        <v>5</v>
      </c>
      <c r="G3602" s="2">
        <v>115</v>
      </c>
      <c r="H3602" t="s">
        <v>45</v>
      </c>
      <c r="I3602" t="s">
        <v>36</v>
      </c>
      <c r="J3602" s="1">
        <v>45300</v>
      </c>
      <c r="K3602" t="b">
        <v>0</v>
      </c>
    </row>
    <row r="3603" spans="1:11" x14ac:dyDescent="0.25">
      <c r="A3603" t="s">
        <v>1113</v>
      </c>
      <c r="B3603" t="s">
        <v>142</v>
      </c>
      <c r="C3603" t="s">
        <v>59</v>
      </c>
      <c r="D3603" t="s">
        <v>60</v>
      </c>
      <c r="E3603" s="2">
        <v>23</v>
      </c>
      <c r="F3603" s="4">
        <v>5</v>
      </c>
      <c r="G3603" s="2">
        <v>115</v>
      </c>
      <c r="H3603" t="s">
        <v>15</v>
      </c>
      <c r="I3603" t="s">
        <v>36</v>
      </c>
      <c r="J3603" s="1">
        <v>45029</v>
      </c>
      <c r="K3603" t="b">
        <v>0</v>
      </c>
    </row>
    <row r="3604" spans="1:11" x14ac:dyDescent="0.25">
      <c r="A3604" t="s">
        <v>6823</v>
      </c>
      <c r="B3604" t="s">
        <v>58</v>
      </c>
      <c r="C3604" t="s">
        <v>110</v>
      </c>
      <c r="D3604" t="s">
        <v>232</v>
      </c>
      <c r="E3604" s="2">
        <v>23</v>
      </c>
      <c r="F3604" s="4">
        <v>5</v>
      </c>
      <c r="G3604" s="2">
        <v>115</v>
      </c>
      <c r="H3604" t="s">
        <v>45</v>
      </c>
      <c r="I3604" t="s">
        <v>36</v>
      </c>
      <c r="J3604" s="1">
        <v>45396</v>
      </c>
      <c r="K3604" t="b">
        <v>1</v>
      </c>
    </row>
    <row r="3605" spans="1:11" x14ac:dyDescent="0.25">
      <c r="A3605" t="s">
        <v>360</v>
      </c>
      <c r="B3605" t="s">
        <v>93</v>
      </c>
      <c r="C3605" t="s">
        <v>31</v>
      </c>
      <c r="D3605" t="s">
        <v>361</v>
      </c>
      <c r="E3605" s="2">
        <v>23</v>
      </c>
      <c r="F3605" s="4">
        <v>5</v>
      </c>
      <c r="G3605" s="2">
        <v>115</v>
      </c>
      <c r="H3605" t="s">
        <v>45</v>
      </c>
      <c r="I3605" t="s">
        <v>36</v>
      </c>
      <c r="J3605" s="1">
        <v>45365</v>
      </c>
      <c r="K3605" t="b">
        <v>0</v>
      </c>
    </row>
    <row r="3606" spans="1:11" x14ac:dyDescent="0.25">
      <c r="A3606" t="s">
        <v>3525</v>
      </c>
      <c r="B3606" t="s">
        <v>22</v>
      </c>
      <c r="C3606" t="s">
        <v>110</v>
      </c>
      <c r="D3606" t="s">
        <v>232</v>
      </c>
      <c r="E3606" s="2">
        <v>23</v>
      </c>
      <c r="F3606" s="4">
        <v>5</v>
      </c>
      <c r="G3606" s="2">
        <v>115</v>
      </c>
      <c r="H3606" t="s">
        <v>15</v>
      </c>
      <c r="I3606" t="s">
        <v>36</v>
      </c>
      <c r="J3606" s="1">
        <v>45302</v>
      </c>
      <c r="K3606" t="b">
        <v>1</v>
      </c>
    </row>
    <row r="3607" spans="1:11" x14ac:dyDescent="0.25">
      <c r="A3607" t="s">
        <v>2883</v>
      </c>
      <c r="B3607" t="s">
        <v>100</v>
      </c>
      <c r="C3607" t="s">
        <v>110</v>
      </c>
      <c r="D3607" t="s">
        <v>232</v>
      </c>
      <c r="E3607" s="2">
        <v>23</v>
      </c>
      <c r="F3607" s="4">
        <v>5</v>
      </c>
      <c r="G3607" s="2">
        <v>115</v>
      </c>
      <c r="H3607" t="s">
        <v>25</v>
      </c>
      <c r="I3607" t="s">
        <v>16</v>
      </c>
      <c r="J3607" s="1">
        <v>44931</v>
      </c>
      <c r="K3607" t="b">
        <v>0</v>
      </c>
    </row>
    <row r="3608" spans="1:11" x14ac:dyDescent="0.25">
      <c r="A3608" t="s">
        <v>422</v>
      </c>
      <c r="B3608" t="s">
        <v>58</v>
      </c>
      <c r="C3608" t="s">
        <v>23</v>
      </c>
      <c r="D3608" t="s">
        <v>244</v>
      </c>
      <c r="E3608" s="2">
        <v>23</v>
      </c>
      <c r="F3608" s="4">
        <v>5</v>
      </c>
      <c r="G3608" s="2">
        <v>115</v>
      </c>
      <c r="H3608" t="s">
        <v>25</v>
      </c>
      <c r="I3608" t="s">
        <v>16</v>
      </c>
      <c r="J3608" s="1">
        <v>44792</v>
      </c>
      <c r="K3608" t="b">
        <v>1</v>
      </c>
    </row>
    <row r="3609" spans="1:11" x14ac:dyDescent="0.25">
      <c r="A3609" t="s">
        <v>7406</v>
      </c>
      <c r="B3609" t="s">
        <v>100</v>
      </c>
      <c r="C3609" t="s">
        <v>59</v>
      </c>
      <c r="D3609" t="s">
        <v>60</v>
      </c>
      <c r="E3609" s="2">
        <v>23</v>
      </c>
      <c r="F3609" s="4">
        <v>5</v>
      </c>
      <c r="G3609" s="2">
        <v>115</v>
      </c>
      <c r="H3609" t="s">
        <v>45</v>
      </c>
      <c r="I3609" t="s">
        <v>16</v>
      </c>
      <c r="J3609" s="1">
        <v>45319</v>
      </c>
      <c r="K3609" t="b">
        <v>0</v>
      </c>
    </row>
    <row r="3610" spans="1:11" x14ac:dyDescent="0.25">
      <c r="A3610" t="s">
        <v>3694</v>
      </c>
      <c r="B3610" t="s">
        <v>37</v>
      </c>
      <c r="C3610" t="s">
        <v>31</v>
      </c>
      <c r="D3610" t="s">
        <v>361</v>
      </c>
      <c r="E3610" s="2">
        <v>23</v>
      </c>
      <c r="F3610" s="4">
        <v>5</v>
      </c>
      <c r="G3610" s="2">
        <v>115</v>
      </c>
      <c r="H3610" t="s">
        <v>45</v>
      </c>
      <c r="I3610" t="s">
        <v>16</v>
      </c>
      <c r="J3610" s="1">
        <v>45006</v>
      </c>
      <c r="K3610" t="b">
        <v>0</v>
      </c>
    </row>
    <row r="3611" spans="1:11" x14ac:dyDescent="0.25">
      <c r="A3611" t="s">
        <v>4264</v>
      </c>
      <c r="B3611" t="s">
        <v>22</v>
      </c>
      <c r="C3611" t="s">
        <v>31</v>
      </c>
      <c r="D3611" t="s">
        <v>361</v>
      </c>
      <c r="E3611" s="2">
        <v>23</v>
      </c>
      <c r="F3611" s="4">
        <v>5</v>
      </c>
      <c r="G3611" s="2">
        <v>115</v>
      </c>
      <c r="H3611" t="s">
        <v>15</v>
      </c>
      <c r="I3611" t="s">
        <v>36</v>
      </c>
      <c r="J3611" s="1">
        <v>45067</v>
      </c>
      <c r="K3611" t="b">
        <v>1</v>
      </c>
    </row>
    <row r="3612" spans="1:11" x14ac:dyDescent="0.25">
      <c r="A3612" t="s">
        <v>3948</v>
      </c>
      <c r="B3612" t="s">
        <v>58</v>
      </c>
      <c r="C3612" t="s">
        <v>23</v>
      </c>
      <c r="D3612" t="s">
        <v>244</v>
      </c>
      <c r="E3612" s="2">
        <v>23</v>
      </c>
      <c r="F3612" s="4">
        <v>5</v>
      </c>
      <c r="G3612" s="2">
        <v>115</v>
      </c>
      <c r="H3612" t="s">
        <v>25</v>
      </c>
      <c r="I3612" t="s">
        <v>16</v>
      </c>
      <c r="J3612" s="1">
        <v>45309</v>
      </c>
      <c r="K3612" t="b">
        <v>0</v>
      </c>
    </row>
    <row r="3613" spans="1:11" x14ac:dyDescent="0.25">
      <c r="A3613" t="s">
        <v>5158</v>
      </c>
      <c r="B3613" t="s">
        <v>34</v>
      </c>
      <c r="C3613" t="s">
        <v>110</v>
      </c>
      <c r="D3613" t="s">
        <v>232</v>
      </c>
      <c r="E3613" s="2">
        <v>23</v>
      </c>
      <c r="F3613" s="4">
        <v>5</v>
      </c>
      <c r="G3613" s="2">
        <v>115</v>
      </c>
      <c r="H3613" t="s">
        <v>15</v>
      </c>
      <c r="I3613" t="s">
        <v>36</v>
      </c>
      <c r="J3613" s="1">
        <v>44821</v>
      </c>
      <c r="K3613" t="b">
        <v>1</v>
      </c>
    </row>
    <row r="3614" spans="1:11" x14ac:dyDescent="0.25">
      <c r="A3614" t="s">
        <v>4867</v>
      </c>
      <c r="B3614" t="s">
        <v>12</v>
      </c>
      <c r="C3614" t="s">
        <v>31</v>
      </c>
      <c r="D3614" t="s">
        <v>361</v>
      </c>
      <c r="E3614" s="2">
        <v>23</v>
      </c>
      <c r="F3614" s="4">
        <v>5</v>
      </c>
      <c r="G3614" s="2">
        <v>115</v>
      </c>
      <c r="H3614" t="s">
        <v>15</v>
      </c>
      <c r="I3614" t="s">
        <v>16</v>
      </c>
      <c r="J3614" s="1">
        <v>44619</v>
      </c>
      <c r="K3614" t="b">
        <v>0</v>
      </c>
    </row>
    <row r="3615" spans="1:11" x14ac:dyDescent="0.25">
      <c r="A3615" t="s">
        <v>5634</v>
      </c>
      <c r="B3615" t="s">
        <v>26</v>
      </c>
      <c r="C3615" t="s">
        <v>23</v>
      </c>
      <c r="D3615" t="s">
        <v>98</v>
      </c>
      <c r="E3615" s="2">
        <v>38</v>
      </c>
      <c r="F3615" s="4">
        <v>3</v>
      </c>
      <c r="G3615" s="2">
        <v>114</v>
      </c>
      <c r="H3615" t="s">
        <v>45</v>
      </c>
      <c r="I3615" t="s">
        <v>36</v>
      </c>
      <c r="J3615" s="1">
        <v>45441</v>
      </c>
      <c r="K3615" t="b">
        <v>1</v>
      </c>
    </row>
    <row r="3616" spans="1:11" x14ac:dyDescent="0.25">
      <c r="A3616" t="s">
        <v>6180</v>
      </c>
      <c r="B3616" t="s">
        <v>69</v>
      </c>
      <c r="C3616" t="s">
        <v>110</v>
      </c>
      <c r="D3616" t="s">
        <v>534</v>
      </c>
      <c r="E3616" s="2">
        <v>38</v>
      </c>
      <c r="F3616" s="4">
        <v>3</v>
      </c>
      <c r="G3616" s="2">
        <v>114</v>
      </c>
      <c r="H3616" t="s">
        <v>15</v>
      </c>
      <c r="I3616" t="s">
        <v>16</v>
      </c>
      <c r="J3616" s="1">
        <v>45530</v>
      </c>
      <c r="K3616" t="b">
        <v>1</v>
      </c>
    </row>
    <row r="3617" spans="1:11" x14ac:dyDescent="0.25">
      <c r="A3617" t="s">
        <v>2296</v>
      </c>
      <c r="B3617" t="s">
        <v>30</v>
      </c>
      <c r="C3617" t="s">
        <v>23</v>
      </c>
      <c r="D3617" t="s">
        <v>98</v>
      </c>
      <c r="E3617" s="2">
        <v>38</v>
      </c>
      <c r="F3617" s="4">
        <v>3</v>
      </c>
      <c r="G3617" s="2">
        <v>114</v>
      </c>
      <c r="H3617" t="s">
        <v>15</v>
      </c>
      <c r="I3617" t="s">
        <v>16</v>
      </c>
      <c r="J3617" s="1">
        <v>45583</v>
      </c>
      <c r="K3617" t="b">
        <v>0</v>
      </c>
    </row>
    <row r="3618" spans="1:11" x14ac:dyDescent="0.25">
      <c r="A3618" t="s">
        <v>7272</v>
      </c>
      <c r="B3618" t="s">
        <v>43</v>
      </c>
      <c r="C3618" t="s">
        <v>31</v>
      </c>
      <c r="D3618" t="s">
        <v>91</v>
      </c>
      <c r="E3618" s="2">
        <v>38</v>
      </c>
      <c r="F3618" s="4">
        <v>3</v>
      </c>
      <c r="G3618" s="2">
        <v>114</v>
      </c>
      <c r="H3618" t="s">
        <v>25</v>
      </c>
      <c r="I3618" t="s">
        <v>16</v>
      </c>
      <c r="J3618" s="1">
        <v>45307</v>
      </c>
      <c r="K3618" t="b">
        <v>1</v>
      </c>
    </row>
    <row r="3619" spans="1:11" x14ac:dyDescent="0.25">
      <c r="A3619" t="s">
        <v>6731</v>
      </c>
      <c r="B3619" t="s">
        <v>51</v>
      </c>
      <c r="C3619" t="s">
        <v>19</v>
      </c>
      <c r="D3619" t="s">
        <v>203</v>
      </c>
      <c r="E3619" s="2">
        <v>38</v>
      </c>
      <c r="F3619" s="4">
        <v>3</v>
      </c>
      <c r="G3619" s="2">
        <v>114</v>
      </c>
      <c r="H3619" t="s">
        <v>15</v>
      </c>
      <c r="I3619" t="s">
        <v>16</v>
      </c>
      <c r="J3619" s="1">
        <v>44828</v>
      </c>
      <c r="K3619" t="b">
        <v>0</v>
      </c>
    </row>
    <row r="3620" spans="1:11" x14ac:dyDescent="0.25">
      <c r="A3620" t="s">
        <v>2635</v>
      </c>
      <c r="B3620" t="s">
        <v>85</v>
      </c>
      <c r="C3620" t="s">
        <v>23</v>
      </c>
      <c r="D3620" t="s">
        <v>98</v>
      </c>
      <c r="E3620" s="2">
        <v>38</v>
      </c>
      <c r="F3620" s="4">
        <v>3</v>
      </c>
      <c r="G3620" s="2">
        <v>114</v>
      </c>
      <c r="H3620" t="s">
        <v>25</v>
      </c>
      <c r="I3620" t="s">
        <v>36</v>
      </c>
      <c r="J3620" s="1">
        <v>44825</v>
      </c>
      <c r="K3620" t="b">
        <v>1</v>
      </c>
    </row>
    <row r="3621" spans="1:11" x14ac:dyDescent="0.25">
      <c r="A3621" t="s">
        <v>4643</v>
      </c>
      <c r="B3621" t="s">
        <v>58</v>
      </c>
      <c r="C3621" t="s">
        <v>110</v>
      </c>
      <c r="D3621" t="s">
        <v>534</v>
      </c>
      <c r="E3621" s="2">
        <v>38</v>
      </c>
      <c r="F3621" s="4">
        <v>3</v>
      </c>
      <c r="G3621" s="2">
        <v>114</v>
      </c>
      <c r="H3621" t="s">
        <v>45</v>
      </c>
      <c r="I3621" t="s">
        <v>16</v>
      </c>
      <c r="J3621" s="1">
        <v>44994</v>
      </c>
      <c r="K3621" t="b">
        <v>0</v>
      </c>
    </row>
    <row r="3622" spans="1:11" x14ac:dyDescent="0.25">
      <c r="A3622" t="s">
        <v>5301</v>
      </c>
      <c r="B3622" t="s">
        <v>100</v>
      </c>
      <c r="C3622" t="s">
        <v>27</v>
      </c>
      <c r="D3622" t="s">
        <v>205</v>
      </c>
      <c r="E3622" s="2">
        <v>38</v>
      </c>
      <c r="F3622" s="4">
        <v>3</v>
      </c>
      <c r="G3622" s="2">
        <v>114</v>
      </c>
      <c r="H3622" t="s">
        <v>45</v>
      </c>
      <c r="I3622" t="s">
        <v>36</v>
      </c>
      <c r="J3622" s="1">
        <v>45465</v>
      </c>
      <c r="K3622" t="b">
        <v>0</v>
      </c>
    </row>
    <row r="3623" spans="1:11" x14ac:dyDescent="0.25">
      <c r="A3623" t="s">
        <v>4977</v>
      </c>
      <c r="B3623" t="s">
        <v>30</v>
      </c>
      <c r="C3623" t="s">
        <v>23</v>
      </c>
      <c r="D3623" t="s">
        <v>98</v>
      </c>
      <c r="E3623" s="2">
        <v>38</v>
      </c>
      <c r="F3623" s="4">
        <v>3</v>
      </c>
      <c r="G3623" s="2">
        <v>114</v>
      </c>
      <c r="H3623" t="s">
        <v>25</v>
      </c>
      <c r="I3623" t="s">
        <v>16</v>
      </c>
      <c r="J3623" s="1">
        <v>44665</v>
      </c>
      <c r="K3623" t="b">
        <v>1</v>
      </c>
    </row>
    <row r="3624" spans="1:11" x14ac:dyDescent="0.25">
      <c r="A3624" t="s">
        <v>1842</v>
      </c>
      <c r="B3624" t="s">
        <v>85</v>
      </c>
      <c r="C3624" t="s">
        <v>110</v>
      </c>
      <c r="D3624" t="s">
        <v>534</v>
      </c>
      <c r="E3624" s="2">
        <v>38</v>
      </c>
      <c r="F3624" s="4">
        <v>3</v>
      </c>
      <c r="G3624" s="2">
        <v>114</v>
      </c>
      <c r="H3624" t="s">
        <v>15</v>
      </c>
      <c r="I3624" t="s">
        <v>16</v>
      </c>
      <c r="J3624" s="1">
        <v>45434</v>
      </c>
      <c r="K3624" t="b">
        <v>1</v>
      </c>
    </row>
    <row r="3625" spans="1:11" x14ac:dyDescent="0.25">
      <c r="A3625" t="s">
        <v>5408</v>
      </c>
      <c r="B3625" t="s">
        <v>30</v>
      </c>
      <c r="C3625" t="s">
        <v>23</v>
      </c>
      <c r="D3625" t="s">
        <v>98</v>
      </c>
      <c r="E3625" s="2">
        <v>38</v>
      </c>
      <c r="F3625" s="4">
        <v>3</v>
      </c>
      <c r="G3625" s="2">
        <v>114</v>
      </c>
      <c r="H3625" t="s">
        <v>15</v>
      </c>
      <c r="I3625" t="s">
        <v>16</v>
      </c>
      <c r="J3625" s="1">
        <v>45514</v>
      </c>
      <c r="K3625" t="b">
        <v>1</v>
      </c>
    </row>
    <row r="3626" spans="1:11" x14ac:dyDescent="0.25">
      <c r="A3626" t="s">
        <v>3930</v>
      </c>
      <c r="B3626" t="s">
        <v>26</v>
      </c>
      <c r="C3626" t="s">
        <v>23</v>
      </c>
      <c r="D3626" t="s">
        <v>98</v>
      </c>
      <c r="E3626" s="2">
        <v>38</v>
      </c>
      <c r="F3626" s="4">
        <v>3</v>
      </c>
      <c r="G3626" s="2">
        <v>114</v>
      </c>
      <c r="H3626" t="s">
        <v>25</v>
      </c>
      <c r="I3626" t="s">
        <v>16</v>
      </c>
      <c r="J3626" s="1">
        <v>44878</v>
      </c>
      <c r="K3626" t="b">
        <v>0</v>
      </c>
    </row>
    <row r="3627" spans="1:11" x14ac:dyDescent="0.25">
      <c r="A3627" t="s">
        <v>3231</v>
      </c>
      <c r="B3627" t="s">
        <v>100</v>
      </c>
      <c r="C3627" t="s">
        <v>27</v>
      </c>
      <c r="D3627" t="s">
        <v>205</v>
      </c>
      <c r="E3627" s="2">
        <v>38</v>
      </c>
      <c r="F3627" s="4">
        <v>3</v>
      </c>
      <c r="G3627" s="2">
        <v>114</v>
      </c>
      <c r="H3627" t="s">
        <v>45</v>
      </c>
      <c r="I3627" t="s">
        <v>16</v>
      </c>
      <c r="J3627" s="1">
        <v>45119</v>
      </c>
      <c r="K3627" t="b">
        <v>1</v>
      </c>
    </row>
    <row r="3628" spans="1:11" x14ac:dyDescent="0.25">
      <c r="A3628" t="s">
        <v>3638</v>
      </c>
      <c r="B3628" t="s">
        <v>69</v>
      </c>
      <c r="C3628" t="s">
        <v>59</v>
      </c>
      <c r="D3628" t="s">
        <v>275</v>
      </c>
      <c r="E3628" s="2">
        <v>38</v>
      </c>
      <c r="F3628" s="4">
        <v>3</v>
      </c>
      <c r="G3628" s="2">
        <v>114</v>
      </c>
      <c r="H3628" t="s">
        <v>25</v>
      </c>
      <c r="I3628" t="s">
        <v>36</v>
      </c>
      <c r="J3628" s="1">
        <v>45250</v>
      </c>
      <c r="K3628" t="b">
        <v>0</v>
      </c>
    </row>
    <row r="3629" spans="1:11" x14ac:dyDescent="0.25">
      <c r="A3629" t="s">
        <v>3993</v>
      </c>
      <c r="B3629" t="s">
        <v>63</v>
      </c>
      <c r="C3629" t="s">
        <v>23</v>
      </c>
      <c r="D3629" t="s">
        <v>98</v>
      </c>
      <c r="E3629" s="2">
        <v>38</v>
      </c>
      <c r="F3629" s="4">
        <v>3</v>
      </c>
      <c r="G3629" s="2">
        <v>114</v>
      </c>
      <c r="H3629" t="s">
        <v>25</v>
      </c>
      <c r="I3629" t="s">
        <v>36</v>
      </c>
      <c r="J3629" s="1">
        <v>44938</v>
      </c>
      <c r="K3629" t="b">
        <v>0</v>
      </c>
    </row>
    <row r="3630" spans="1:11" x14ac:dyDescent="0.25">
      <c r="A3630" t="s">
        <v>5159</v>
      </c>
      <c r="B3630" t="s">
        <v>93</v>
      </c>
      <c r="C3630" t="s">
        <v>59</v>
      </c>
      <c r="D3630" t="s">
        <v>275</v>
      </c>
      <c r="E3630" s="2">
        <v>38</v>
      </c>
      <c r="F3630" s="4">
        <v>3</v>
      </c>
      <c r="G3630" s="2">
        <v>114</v>
      </c>
      <c r="H3630" t="s">
        <v>45</v>
      </c>
      <c r="I3630" t="s">
        <v>36</v>
      </c>
      <c r="J3630" s="1">
        <v>45585</v>
      </c>
      <c r="K3630" t="b">
        <v>0</v>
      </c>
    </row>
    <row r="3631" spans="1:11" x14ac:dyDescent="0.25">
      <c r="A3631" t="s">
        <v>7134</v>
      </c>
      <c r="B3631" t="s">
        <v>56</v>
      </c>
      <c r="C3631" t="s">
        <v>23</v>
      </c>
      <c r="D3631" t="s">
        <v>98</v>
      </c>
      <c r="E3631" s="2">
        <v>38</v>
      </c>
      <c r="F3631" s="4">
        <v>3</v>
      </c>
      <c r="G3631" s="2">
        <v>114</v>
      </c>
      <c r="H3631" t="s">
        <v>15</v>
      </c>
      <c r="I3631" t="s">
        <v>16</v>
      </c>
      <c r="J3631" s="1">
        <v>45570</v>
      </c>
      <c r="K3631" t="b">
        <v>1</v>
      </c>
    </row>
    <row r="3632" spans="1:11" x14ac:dyDescent="0.25">
      <c r="A3632" t="s">
        <v>4254</v>
      </c>
      <c r="B3632" t="s">
        <v>93</v>
      </c>
      <c r="C3632" t="s">
        <v>59</v>
      </c>
      <c r="D3632" t="s">
        <v>275</v>
      </c>
      <c r="E3632" s="2">
        <v>38</v>
      </c>
      <c r="F3632" s="4">
        <v>3</v>
      </c>
      <c r="G3632" s="2">
        <v>114</v>
      </c>
      <c r="H3632" t="s">
        <v>15</v>
      </c>
      <c r="I3632" t="s">
        <v>16</v>
      </c>
      <c r="J3632" s="1">
        <v>45049</v>
      </c>
      <c r="K3632" t="b">
        <v>1</v>
      </c>
    </row>
    <row r="3633" spans="1:11" x14ac:dyDescent="0.25">
      <c r="A3633" t="s">
        <v>4942</v>
      </c>
      <c r="B3633" t="s">
        <v>69</v>
      </c>
      <c r="C3633" t="s">
        <v>38</v>
      </c>
      <c r="D3633" t="s">
        <v>122</v>
      </c>
      <c r="E3633" s="2">
        <v>38</v>
      </c>
      <c r="F3633" s="4">
        <v>3</v>
      </c>
      <c r="G3633" s="2">
        <v>114</v>
      </c>
      <c r="H3633" t="s">
        <v>25</v>
      </c>
      <c r="I3633" t="s">
        <v>16</v>
      </c>
      <c r="J3633" s="1">
        <v>45665</v>
      </c>
      <c r="K3633" t="b">
        <v>1</v>
      </c>
    </row>
    <row r="3634" spans="1:11" x14ac:dyDescent="0.25">
      <c r="A3634" t="s">
        <v>3824</v>
      </c>
      <c r="B3634" t="s">
        <v>86</v>
      </c>
      <c r="C3634" t="s">
        <v>59</v>
      </c>
      <c r="D3634" t="s">
        <v>275</v>
      </c>
      <c r="E3634" s="2">
        <v>38</v>
      </c>
      <c r="F3634" s="4">
        <v>3</v>
      </c>
      <c r="G3634" s="2">
        <v>114</v>
      </c>
      <c r="H3634" t="s">
        <v>45</v>
      </c>
      <c r="I3634" t="s">
        <v>16</v>
      </c>
      <c r="J3634" s="1">
        <v>44826</v>
      </c>
      <c r="K3634" t="b">
        <v>1</v>
      </c>
    </row>
    <row r="3635" spans="1:11" x14ac:dyDescent="0.25">
      <c r="A3635" t="s">
        <v>1096</v>
      </c>
      <c r="B3635" t="s">
        <v>66</v>
      </c>
      <c r="C3635" t="s">
        <v>19</v>
      </c>
      <c r="D3635" t="s">
        <v>203</v>
      </c>
      <c r="E3635" s="2">
        <v>38</v>
      </c>
      <c r="F3635" s="4">
        <v>3</v>
      </c>
      <c r="G3635" s="2">
        <v>114</v>
      </c>
      <c r="H3635" t="s">
        <v>15</v>
      </c>
      <c r="I3635" t="s">
        <v>36</v>
      </c>
      <c r="J3635" s="1">
        <v>45499</v>
      </c>
      <c r="K3635" t="b">
        <v>1</v>
      </c>
    </row>
    <row r="3636" spans="1:11" x14ac:dyDescent="0.25">
      <c r="A3636" t="s">
        <v>4088</v>
      </c>
      <c r="B3636" t="s">
        <v>34</v>
      </c>
      <c r="C3636" t="s">
        <v>38</v>
      </c>
      <c r="D3636" t="s">
        <v>122</v>
      </c>
      <c r="E3636" s="2">
        <v>38</v>
      </c>
      <c r="F3636" s="4">
        <v>3</v>
      </c>
      <c r="G3636" s="2">
        <v>114</v>
      </c>
      <c r="H3636" t="s">
        <v>45</v>
      </c>
      <c r="I3636" t="s">
        <v>36</v>
      </c>
      <c r="J3636" s="1">
        <v>44771</v>
      </c>
      <c r="K3636" t="b">
        <v>0</v>
      </c>
    </row>
    <row r="3637" spans="1:11" x14ac:dyDescent="0.25">
      <c r="A3637" t="s">
        <v>566</v>
      </c>
      <c r="B3637" t="s">
        <v>51</v>
      </c>
      <c r="C3637" t="s">
        <v>13</v>
      </c>
      <c r="D3637" t="s">
        <v>567</v>
      </c>
      <c r="E3637" s="2">
        <v>38</v>
      </c>
      <c r="F3637" s="4">
        <v>3</v>
      </c>
      <c r="G3637" s="2">
        <v>114</v>
      </c>
      <c r="H3637" t="s">
        <v>15</v>
      </c>
      <c r="I3637" t="s">
        <v>16</v>
      </c>
      <c r="J3637" s="1">
        <v>44676</v>
      </c>
      <c r="K3637" t="b">
        <v>0</v>
      </c>
    </row>
    <row r="3638" spans="1:11" x14ac:dyDescent="0.25">
      <c r="A3638" t="s">
        <v>6691</v>
      </c>
      <c r="B3638" t="s">
        <v>22</v>
      </c>
      <c r="C3638" t="s">
        <v>27</v>
      </c>
      <c r="D3638" t="s">
        <v>205</v>
      </c>
      <c r="E3638" s="2">
        <v>38</v>
      </c>
      <c r="F3638" s="4">
        <v>3</v>
      </c>
      <c r="G3638" s="2">
        <v>114</v>
      </c>
      <c r="H3638" t="s">
        <v>15</v>
      </c>
      <c r="I3638" t="s">
        <v>36</v>
      </c>
      <c r="J3638" s="1">
        <v>44746</v>
      </c>
      <c r="K3638" t="b">
        <v>0</v>
      </c>
    </row>
    <row r="3639" spans="1:11" x14ac:dyDescent="0.25">
      <c r="A3639" t="s">
        <v>4872</v>
      </c>
      <c r="B3639" t="s">
        <v>97</v>
      </c>
      <c r="C3639" t="s">
        <v>23</v>
      </c>
      <c r="D3639" t="s">
        <v>98</v>
      </c>
      <c r="E3639" s="2">
        <v>38</v>
      </c>
      <c r="F3639" s="4">
        <v>3</v>
      </c>
      <c r="G3639" s="2">
        <v>114</v>
      </c>
      <c r="H3639" t="s">
        <v>25</v>
      </c>
      <c r="I3639" t="s">
        <v>36</v>
      </c>
      <c r="J3639" s="1">
        <v>45434</v>
      </c>
      <c r="K3639" t="b">
        <v>1</v>
      </c>
    </row>
    <row r="3640" spans="1:11" x14ac:dyDescent="0.25">
      <c r="A3640" t="s">
        <v>4783</v>
      </c>
      <c r="B3640" t="s">
        <v>56</v>
      </c>
      <c r="C3640" t="s">
        <v>23</v>
      </c>
      <c r="D3640" t="s">
        <v>98</v>
      </c>
      <c r="E3640" s="2">
        <v>38</v>
      </c>
      <c r="F3640" s="4">
        <v>3</v>
      </c>
      <c r="G3640" s="2">
        <v>114</v>
      </c>
      <c r="H3640" t="s">
        <v>15</v>
      </c>
      <c r="I3640" t="s">
        <v>36</v>
      </c>
      <c r="J3640" s="1">
        <v>45301</v>
      </c>
      <c r="K3640" t="b">
        <v>1</v>
      </c>
    </row>
    <row r="3641" spans="1:11" x14ac:dyDescent="0.25">
      <c r="A3641" t="s">
        <v>3615</v>
      </c>
      <c r="B3641" t="s">
        <v>86</v>
      </c>
      <c r="C3641" t="s">
        <v>13</v>
      </c>
      <c r="D3641" t="s">
        <v>567</v>
      </c>
      <c r="E3641" s="2">
        <v>38</v>
      </c>
      <c r="F3641" s="4">
        <v>3</v>
      </c>
      <c r="G3641" s="2">
        <v>114</v>
      </c>
      <c r="H3641" t="s">
        <v>45</v>
      </c>
      <c r="I3641" t="s">
        <v>36</v>
      </c>
      <c r="J3641" s="1">
        <v>45409</v>
      </c>
      <c r="K3641" t="b">
        <v>1</v>
      </c>
    </row>
    <row r="3642" spans="1:11" x14ac:dyDescent="0.25">
      <c r="A3642" t="s">
        <v>5416</v>
      </c>
      <c r="B3642" t="s">
        <v>104</v>
      </c>
      <c r="C3642" t="s">
        <v>23</v>
      </c>
      <c r="D3642" t="s">
        <v>98</v>
      </c>
      <c r="E3642" s="2">
        <v>38</v>
      </c>
      <c r="F3642" s="4">
        <v>3</v>
      </c>
      <c r="G3642" s="2">
        <v>114</v>
      </c>
      <c r="H3642" t="s">
        <v>45</v>
      </c>
      <c r="I3642" t="s">
        <v>16</v>
      </c>
      <c r="J3642" s="1">
        <v>44573</v>
      </c>
      <c r="K3642" t="b">
        <v>1</v>
      </c>
    </row>
    <row r="3643" spans="1:11" x14ac:dyDescent="0.25">
      <c r="A3643" t="s">
        <v>3464</v>
      </c>
      <c r="B3643" t="s">
        <v>26</v>
      </c>
      <c r="C3643" t="s">
        <v>23</v>
      </c>
      <c r="D3643" t="s">
        <v>98</v>
      </c>
      <c r="E3643" s="2">
        <v>38</v>
      </c>
      <c r="F3643" s="4">
        <v>3</v>
      </c>
      <c r="G3643" s="2">
        <v>114</v>
      </c>
      <c r="H3643" t="s">
        <v>45</v>
      </c>
      <c r="I3643" t="s">
        <v>36</v>
      </c>
      <c r="J3643" s="1">
        <v>44860</v>
      </c>
      <c r="K3643" t="b">
        <v>1</v>
      </c>
    </row>
    <row r="3644" spans="1:11" x14ac:dyDescent="0.25">
      <c r="A3644" t="s">
        <v>6042</v>
      </c>
      <c r="B3644" t="s">
        <v>18</v>
      </c>
      <c r="C3644" t="s">
        <v>38</v>
      </c>
      <c r="D3644" t="s">
        <v>122</v>
      </c>
      <c r="E3644" s="2">
        <v>38</v>
      </c>
      <c r="F3644" s="4">
        <v>3</v>
      </c>
      <c r="G3644" s="2">
        <v>114</v>
      </c>
      <c r="H3644" t="s">
        <v>25</v>
      </c>
      <c r="I3644" t="s">
        <v>36</v>
      </c>
      <c r="J3644" s="1">
        <v>45409</v>
      </c>
      <c r="K3644" t="b">
        <v>0</v>
      </c>
    </row>
    <row r="3645" spans="1:11" x14ac:dyDescent="0.25">
      <c r="A3645" t="s">
        <v>6862</v>
      </c>
      <c r="B3645" t="s">
        <v>97</v>
      </c>
      <c r="C3645" t="s">
        <v>13</v>
      </c>
      <c r="D3645" t="s">
        <v>567</v>
      </c>
      <c r="E3645" s="2">
        <v>38</v>
      </c>
      <c r="F3645" s="4">
        <v>3</v>
      </c>
      <c r="G3645" s="2">
        <v>114</v>
      </c>
      <c r="H3645" t="s">
        <v>25</v>
      </c>
      <c r="I3645" t="s">
        <v>36</v>
      </c>
      <c r="J3645" s="1">
        <v>45351</v>
      </c>
      <c r="K3645" t="b">
        <v>1</v>
      </c>
    </row>
    <row r="3646" spans="1:11" x14ac:dyDescent="0.25">
      <c r="A3646" t="s">
        <v>2749</v>
      </c>
      <c r="B3646" t="s">
        <v>86</v>
      </c>
      <c r="C3646" t="s">
        <v>23</v>
      </c>
      <c r="D3646" t="s">
        <v>98</v>
      </c>
      <c r="E3646" s="2">
        <v>38</v>
      </c>
      <c r="F3646" s="4">
        <v>3</v>
      </c>
      <c r="G3646" s="2">
        <v>114</v>
      </c>
      <c r="H3646" t="s">
        <v>25</v>
      </c>
      <c r="I3646" t="s">
        <v>16</v>
      </c>
      <c r="J3646" s="1">
        <v>45410</v>
      </c>
      <c r="K3646" t="b">
        <v>1</v>
      </c>
    </row>
    <row r="3647" spans="1:11" x14ac:dyDescent="0.25">
      <c r="A3647" t="s">
        <v>730</v>
      </c>
      <c r="B3647" t="s">
        <v>34</v>
      </c>
      <c r="C3647" t="s">
        <v>59</v>
      </c>
      <c r="D3647" t="s">
        <v>275</v>
      </c>
      <c r="E3647" s="2">
        <v>38</v>
      </c>
      <c r="F3647" s="4">
        <v>3</v>
      </c>
      <c r="G3647" s="2">
        <v>114</v>
      </c>
      <c r="H3647" t="s">
        <v>45</v>
      </c>
      <c r="I3647" t="s">
        <v>16</v>
      </c>
      <c r="J3647" s="1">
        <v>44855</v>
      </c>
      <c r="K3647" t="b">
        <v>1</v>
      </c>
    </row>
    <row r="3648" spans="1:11" x14ac:dyDescent="0.25">
      <c r="A3648" t="s">
        <v>6539</v>
      </c>
      <c r="B3648" t="s">
        <v>18</v>
      </c>
      <c r="C3648" t="s">
        <v>27</v>
      </c>
      <c r="D3648" t="s">
        <v>205</v>
      </c>
      <c r="E3648" s="2">
        <v>38</v>
      </c>
      <c r="F3648" s="4">
        <v>3</v>
      </c>
      <c r="G3648" s="2">
        <v>114</v>
      </c>
      <c r="H3648" t="s">
        <v>45</v>
      </c>
      <c r="I3648" t="s">
        <v>16</v>
      </c>
      <c r="J3648" s="1">
        <v>44936</v>
      </c>
      <c r="K3648" t="b">
        <v>1</v>
      </c>
    </row>
    <row r="3649" spans="1:11" x14ac:dyDescent="0.25">
      <c r="A3649" t="s">
        <v>2608</v>
      </c>
      <c r="B3649" t="s">
        <v>43</v>
      </c>
      <c r="C3649" t="s">
        <v>23</v>
      </c>
      <c r="D3649" t="s">
        <v>98</v>
      </c>
      <c r="E3649" s="2">
        <v>38</v>
      </c>
      <c r="F3649" s="4">
        <v>3</v>
      </c>
      <c r="G3649" s="2">
        <v>114</v>
      </c>
      <c r="H3649" t="s">
        <v>25</v>
      </c>
      <c r="I3649" t="s">
        <v>36</v>
      </c>
      <c r="J3649" s="1">
        <v>45411</v>
      </c>
      <c r="K3649" t="b">
        <v>0</v>
      </c>
    </row>
    <row r="3650" spans="1:11" x14ac:dyDescent="0.25">
      <c r="A3650" t="s">
        <v>1651</v>
      </c>
      <c r="B3650" t="s">
        <v>93</v>
      </c>
      <c r="C3650" t="s">
        <v>19</v>
      </c>
      <c r="D3650" t="s">
        <v>203</v>
      </c>
      <c r="E3650" s="2">
        <v>38</v>
      </c>
      <c r="F3650" s="4">
        <v>3</v>
      </c>
      <c r="G3650" s="2">
        <v>114</v>
      </c>
      <c r="H3650" t="s">
        <v>25</v>
      </c>
      <c r="I3650" t="s">
        <v>16</v>
      </c>
      <c r="J3650" s="1">
        <v>45527</v>
      </c>
      <c r="K3650" t="b">
        <v>1</v>
      </c>
    </row>
    <row r="3651" spans="1:11" x14ac:dyDescent="0.25">
      <c r="A3651" t="s">
        <v>1356</v>
      </c>
      <c r="B3651" t="s">
        <v>22</v>
      </c>
      <c r="C3651" t="s">
        <v>23</v>
      </c>
      <c r="D3651" t="s">
        <v>98</v>
      </c>
      <c r="E3651" s="2">
        <v>38</v>
      </c>
      <c r="F3651" s="4">
        <v>3</v>
      </c>
      <c r="G3651" s="2">
        <v>114</v>
      </c>
      <c r="H3651" t="s">
        <v>15</v>
      </c>
      <c r="I3651" t="s">
        <v>16</v>
      </c>
      <c r="J3651" s="1">
        <v>45072</v>
      </c>
      <c r="K3651" t="b">
        <v>1</v>
      </c>
    </row>
    <row r="3652" spans="1:11" x14ac:dyDescent="0.25">
      <c r="A3652" t="s">
        <v>7414</v>
      </c>
      <c r="B3652" t="s">
        <v>51</v>
      </c>
      <c r="C3652" t="s">
        <v>59</v>
      </c>
      <c r="D3652" t="s">
        <v>177</v>
      </c>
      <c r="E3652" s="2">
        <v>12.5</v>
      </c>
      <c r="F3652" s="4">
        <v>9</v>
      </c>
      <c r="G3652" s="2">
        <v>112.5</v>
      </c>
      <c r="H3652" t="s">
        <v>15</v>
      </c>
      <c r="I3652" t="s">
        <v>16</v>
      </c>
      <c r="J3652" s="1">
        <v>45642</v>
      </c>
      <c r="K3652" t="b">
        <v>0</v>
      </c>
    </row>
    <row r="3653" spans="1:11" x14ac:dyDescent="0.25">
      <c r="A3653" t="s">
        <v>4503</v>
      </c>
      <c r="B3653" t="s">
        <v>69</v>
      </c>
      <c r="C3653" t="s">
        <v>110</v>
      </c>
      <c r="D3653" t="s">
        <v>234</v>
      </c>
      <c r="E3653" s="2">
        <v>12.5</v>
      </c>
      <c r="F3653" s="4">
        <v>9</v>
      </c>
      <c r="G3653" s="2">
        <v>112.5</v>
      </c>
      <c r="H3653" t="s">
        <v>25</v>
      </c>
      <c r="I3653" t="s">
        <v>16</v>
      </c>
      <c r="J3653" s="1">
        <v>44846</v>
      </c>
      <c r="K3653" t="b">
        <v>1</v>
      </c>
    </row>
    <row r="3654" spans="1:11" x14ac:dyDescent="0.25">
      <c r="A3654" t="s">
        <v>3753</v>
      </c>
      <c r="B3654" t="s">
        <v>66</v>
      </c>
      <c r="C3654" t="s">
        <v>38</v>
      </c>
      <c r="D3654" t="s">
        <v>480</v>
      </c>
      <c r="E3654" s="2">
        <v>12.5</v>
      </c>
      <c r="F3654" s="4">
        <v>9</v>
      </c>
      <c r="G3654" s="2">
        <v>112.5</v>
      </c>
      <c r="H3654" t="s">
        <v>15</v>
      </c>
      <c r="I3654" t="s">
        <v>36</v>
      </c>
      <c r="J3654" s="1">
        <v>45204</v>
      </c>
      <c r="K3654" t="b">
        <v>0</v>
      </c>
    </row>
    <row r="3655" spans="1:11" x14ac:dyDescent="0.25">
      <c r="A3655" t="s">
        <v>6689</v>
      </c>
      <c r="B3655" t="s">
        <v>142</v>
      </c>
      <c r="C3655" t="s">
        <v>38</v>
      </c>
      <c r="D3655" t="s">
        <v>480</v>
      </c>
      <c r="E3655" s="2">
        <v>12.5</v>
      </c>
      <c r="F3655" s="4">
        <v>9</v>
      </c>
      <c r="G3655" s="2">
        <v>112.5</v>
      </c>
      <c r="H3655" t="s">
        <v>45</v>
      </c>
      <c r="I3655" t="s">
        <v>16</v>
      </c>
      <c r="J3655" s="1">
        <v>45466</v>
      </c>
      <c r="K3655" t="b">
        <v>0</v>
      </c>
    </row>
    <row r="3656" spans="1:11" x14ac:dyDescent="0.25">
      <c r="A3656" t="s">
        <v>6149</v>
      </c>
      <c r="B3656" t="s">
        <v>85</v>
      </c>
      <c r="C3656" t="s">
        <v>19</v>
      </c>
      <c r="D3656" t="s">
        <v>128</v>
      </c>
      <c r="E3656" s="2">
        <v>12.5</v>
      </c>
      <c r="F3656" s="4">
        <v>9</v>
      </c>
      <c r="G3656" s="2">
        <v>112.5</v>
      </c>
      <c r="H3656" t="s">
        <v>45</v>
      </c>
      <c r="I3656" t="s">
        <v>16</v>
      </c>
      <c r="J3656" s="1">
        <v>45499</v>
      </c>
      <c r="K3656" t="b">
        <v>1</v>
      </c>
    </row>
    <row r="3657" spans="1:11" x14ac:dyDescent="0.25">
      <c r="A3657" t="s">
        <v>2211</v>
      </c>
      <c r="B3657" t="s">
        <v>86</v>
      </c>
      <c r="C3657" t="s">
        <v>59</v>
      </c>
      <c r="D3657" t="s">
        <v>177</v>
      </c>
      <c r="E3657" s="2">
        <v>12.5</v>
      </c>
      <c r="F3657" s="4">
        <v>9</v>
      </c>
      <c r="G3657" s="2">
        <v>112.5</v>
      </c>
      <c r="H3657" t="s">
        <v>15</v>
      </c>
      <c r="I3657" t="s">
        <v>16</v>
      </c>
      <c r="J3657" s="1">
        <v>44684</v>
      </c>
      <c r="K3657" t="b">
        <v>1</v>
      </c>
    </row>
    <row r="3658" spans="1:11" x14ac:dyDescent="0.25">
      <c r="A3658" t="s">
        <v>6099</v>
      </c>
      <c r="B3658" t="s">
        <v>34</v>
      </c>
      <c r="C3658" t="s">
        <v>38</v>
      </c>
      <c r="D3658" t="s">
        <v>480</v>
      </c>
      <c r="E3658" s="2">
        <v>12.5</v>
      </c>
      <c r="F3658" s="4">
        <v>9</v>
      </c>
      <c r="G3658" s="2">
        <v>112.5</v>
      </c>
      <c r="H3658" t="s">
        <v>15</v>
      </c>
      <c r="I3658" t="s">
        <v>16</v>
      </c>
      <c r="J3658" s="1">
        <v>45106</v>
      </c>
      <c r="K3658" t="b">
        <v>1</v>
      </c>
    </row>
    <row r="3659" spans="1:11" x14ac:dyDescent="0.25">
      <c r="A3659" t="s">
        <v>3298</v>
      </c>
      <c r="B3659" t="s">
        <v>37</v>
      </c>
      <c r="C3659" t="s">
        <v>23</v>
      </c>
      <c r="D3659" t="s">
        <v>437</v>
      </c>
      <c r="E3659" s="2">
        <v>12.5</v>
      </c>
      <c r="F3659" s="4">
        <v>9</v>
      </c>
      <c r="G3659" s="2">
        <v>112.5</v>
      </c>
      <c r="H3659" t="s">
        <v>15</v>
      </c>
      <c r="I3659" t="s">
        <v>16</v>
      </c>
      <c r="J3659" s="1">
        <v>45456</v>
      </c>
      <c r="K3659" t="b">
        <v>1</v>
      </c>
    </row>
    <row r="3660" spans="1:11" x14ac:dyDescent="0.25">
      <c r="A3660" t="s">
        <v>4653</v>
      </c>
      <c r="B3660" t="s">
        <v>93</v>
      </c>
      <c r="C3660" t="s">
        <v>23</v>
      </c>
      <c r="D3660" t="s">
        <v>437</v>
      </c>
      <c r="E3660" s="2">
        <v>12.5</v>
      </c>
      <c r="F3660" s="4">
        <v>9</v>
      </c>
      <c r="G3660" s="2">
        <v>112.5</v>
      </c>
      <c r="H3660" t="s">
        <v>45</v>
      </c>
      <c r="I3660" t="s">
        <v>16</v>
      </c>
      <c r="J3660" s="1">
        <v>44996</v>
      </c>
      <c r="K3660" t="b">
        <v>1</v>
      </c>
    </row>
    <row r="3661" spans="1:11" x14ac:dyDescent="0.25">
      <c r="A3661" t="s">
        <v>1574</v>
      </c>
      <c r="B3661" t="s">
        <v>37</v>
      </c>
      <c r="C3661" t="s">
        <v>31</v>
      </c>
      <c r="D3661" t="s">
        <v>32</v>
      </c>
      <c r="E3661" s="2">
        <v>12.5</v>
      </c>
      <c r="F3661" s="4">
        <v>9</v>
      </c>
      <c r="G3661" s="2">
        <v>112.5</v>
      </c>
      <c r="H3661" t="s">
        <v>25</v>
      </c>
      <c r="I3661" t="s">
        <v>36</v>
      </c>
      <c r="J3661" s="1">
        <v>45160</v>
      </c>
      <c r="K3661" t="b">
        <v>0</v>
      </c>
    </row>
    <row r="3662" spans="1:11" x14ac:dyDescent="0.25">
      <c r="A3662" t="s">
        <v>7796</v>
      </c>
      <c r="B3662" t="s">
        <v>85</v>
      </c>
      <c r="C3662" t="s">
        <v>31</v>
      </c>
      <c r="D3662" t="s">
        <v>32</v>
      </c>
      <c r="E3662" s="2">
        <v>12.5</v>
      </c>
      <c r="F3662" s="4">
        <v>9</v>
      </c>
      <c r="G3662" s="2">
        <v>112.5</v>
      </c>
      <c r="H3662" t="s">
        <v>45</v>
      </c>
      <c r="I3662" t="s">
        <v>16</v>
      </c>
      <c r="J3662" s="1">
        <v>45367</v>
      </c>
      <c r="K3662" t="b">
        <v>0</v>
      </c>
    </row>
    <row r="3663" spans="1:11" x14ac:dyDescent="0.25">
      <c r="A3663" t="s">
        <v>3508</v>
      </c>
      <c r="B3663" t="s">
        <v>69</v>
      </c>
      <c r="C3663" t="s">
        <v>19</v>
      </c>
      <c r="D3663" t="s">
        <v>128</v>
      </c>
      <c r="E3663" s="2">
        <v>12.5</v>
      </c>
      <c r="F3663" s="4">
        <v>9</v>
      </c>
      <c r="G3663" s="2">
        <v>112.5</v>
      </c>
      <c r="H3663" t="s">
        <v>45</v>
      </c>
      <c r="I3663" t="s">
        <v>16</v>
      </c>
      <c r="J3663" s="1">
        <v>45173</v>
      </c>
      <c r="K3663" t="b">
        <v>0</v>
      </c>
    </row>
    <row r="3664" spans="1:11" x14ac:dyDescent="0.25">
      <c r="A3664" t="s">
        <v>4811</v>
      </c>
      <c r="B3664" t="s">
        <v>18</v>
      </c>
      <c r="C3664" t="s">
        <v>59</v>
      </c>
      <c r="D3664" t="s">
        <v>177</v>
      </c>
      <c r="E3664" s="2">
        <v>12.5</v>
      </c>
      <c r="F3664" s="4">
        <v>9</v>
      </c>
      <c r="G3664" s="2">
        <v>112.5</v>
      </c>
      <c r="H3664" t="s">
        <v>45</v>
      </c>
      <c r="I3664" t="s">
        <v>16</v>
      </c>
      <c r="J3664" s="1">
        <v>45431</v>
      </c>
      <c r="K3664" t="b">
        <v>0</v>
      </c>
    </row>
    <row r="3665" spans="1:11" x14ac:dyDescent="0.25">
      <c r="A3665" t="s">
        <v>6893</v>
      </c>
      <c r="B3665" t="s">
        <v>69</v>
      </c>
      <c r="C3665" t="s">
        <v>31</v>
      </c>
      <c r="D3665" t="s">
        <v>32</v>
      </c>
      <c r="E3665" s="2">
        <v>12.5</v>
      </c>
      <c r="F3665" s="4">
        <v>9</v>
      </c>
      <c r="G3665" s="2">
        <v>112.5</v>
      </c>
      <c r="H3665" t="s">
        <v>15</v>
      </c>
      <c r="I3665" t="s">
        <v>36</v>
      </c>
      <c r="J3665" s="1">
        <v>45350</v>
      </c>
      <c r="K3665" t="b">
        <v>0</v>
      </c>
    </row>
    <row r="3666" spans="1:11" x14ac:dyDescent="0.25">
      <c r="A3666" t="s">
        <v>3904</v>
      </c>
      <c r="B3666" t="s">
        <v>61</v>
      </c>
      <c r="C3666" t="s">
        <v>31</v>
      </c>
      <c r="D3666" t="s">
        <v>32</v>
      </c>
      <c r="E3666" s="2">
        <v>12.5</v>
      </c>
      <c r="F3666" s="4">
        <v>9</v>
      </c>
      <c r="G3666" s="2">
        <v>112.5</v>
      </c>
      <c r="H3666" t="s">
        <v>25</v>
      </c>
      <c r="I3666" t="s">
        <v>16</v>
      </c>
      <c r="J3666" s="1">
        <v>45300</v>
      </c>
      <c r="K3666" t="b">
        <v>0</v>
      </c>
    </row>
    <row r="3667" spans="1:11" x14ac:dyDescent="0.25">
      <c r="A3667" t="s">
        <v>4134</v>
      </c>
      <c r="B3667" t="s">
        <v>43</v>
      </c>
      <c r="C3667" t="s">
        <v>110</v>
      </c>
      <c r="D3667" t="s">
        <v>234</v>
      </c>
      <c r="E3667" s="2">
        <v>12.5</v>
      </c>
      <c r="F3667" s="4">
        <v>9</v>
      </c>
      <c r="G3667" s="2">
        <v>112.5</v>
      </c>
      <c r="H3667" t="s">
        <v>45</v>
      </c>
      <c r="I3667" t="s">
        <v>36</v>
      </c>
      <c r="J3667" s="1">
        <v>45267</v>
      </c>
      <c r="K3667" t="b">
        <v>0</v>
      </c>
    </row>
    <row r="3668" spans="1:11" x14ac:dyDescent="0.25">
      <c r="A3668" t="s">
        <v>3058</v>
      </c>
      <c r="B3668" t="s">
        <v>77</v>
      </c>
      <c r="C3668" t="s">
        <v>38</v>
      </c>
      <c r="D3668" t="s">
        <v>480</v>
      </c>
      <c r="E3668" s="2">
        <v>12.5</v>
      </c>
      <c r="F3668" s="4">
        <v>9</v>
      </c>
      <c r="G3668" s="2">
        <v>112.5</v>
      </c>
      <c r="H3668" t="s">
        <v>25</v>
      </c>
      <c r="I3668" t="s">
        <v>36</v>
      </c>
      <c r="J3668" s="1">
        <v>45205</v>
      </c>
      <c r="K3668" t="b">
        <v>1</v>
      </c>
    </row>
    <row r="3669" spans="1:11" x14ac:dyDescent="0.25">
      <c r="A3669" t="s">
        <v>436</v>
      </c>
      <c r="B3669" t="s">
        <v>77</v>
      </c>
      <c r="C3669" t="s">
        <v>23</v>
      </c>
      <c r="D3669" t="s">
        <v>437</v>
      </c>
      <c r="E3669" s="2">
        <v>12.5</v>
      </c>
      <c r="F3669" s="4">
        <v>9</v>
      </c>
      <c r="G3669" s="2">
        <v>112.5</v>
      </c>
      <c r="H3669" t="s">
        <v>45</v>
      </c>
      <c r="I3669" t="s">
        <v>16</v>
      </c>
      <c r="J3669" s="1">
        <v>44786</v>
      </c>
      <c r="K3669" t="b">
        <v>0</v>
      </c>
    </row>
    <row r="3670" spans="1:11" x14ac:dyDescent="0.25">
      <c r="A3670" t="s">
        <v>1918</v>
      </c>
      <c r="B3670" t="s">
        <v>72</v>
      </c>
      <c r="C3670" t="s">
        <v>38</v>
      </c>
      <c r="D3670" t="s">
        <v>480</v>
      </c>
      <c r="E3670" s="2">
        <v>12.5</v>
      </c>
      <c r="F3670" s="4">
        <v>9</v>
      </c>
      <c r="G3670" s="2">
        <v>112.5</v>
      </c>
      <c r="H3670" t="s">
        <v>45</v>
      </c>
      <c r="I3670" t="s">
        <v>16</v>
      </c>
      <c r="J3670" s="1">
        <v>45488</v>
      </c>
      <c r="K3670" t="b">
        <v>0</v>
      </c>
    </row>
    <row r="3671" spans="1:11" x14ac:dyDescent="0.25">
      <c r="A3671" t="s">
        <v>5531</v>
      </c>
      <c r="B3671" t="s">
        <v>72</v>
      </c>
      <c r="C3671" t="s">
        <v>19</v>
      </c>
      <c r="D3671" t="s">
        <v>128</v>
      </c>
      <c r="E3671" s="2">
        <v>12.5</v>
      </c>
      <c r="F3671" s="4">
        <v>9</v>
      </c>
      <c r="G3671" s="2">
        <v>112.5</v>
      </c>
      <c r="H3671" t="s">
        <v>25</v>
      </c>
      <c r="I3671" t="s">
        <v>36</v>
      </c>
      <c r="J3671" s="1">
        <v>45648</v>
      </c>
      <c r="K3671" t="b">
        <v>1</v>
      </c>
    </row>
    <row r="3672" spans="1:11" x14ac:dyDescent="0.25">
      <c r="A3672" t="s">
        <v>758</v>
      </c>
      <c r="B3672" t="s">
        <v>40</v>
      </c>
      <c r="C3672" t="s">
        <v>23</v>
      </c>
      <c r="D3672" t="s">
        <v>437</v>
      </c>
      <c r="E3672" s="2">
        <v>12.5</v>
      </c>
      <c r="F3672" s="4">
        <v>9</v>
      </c>
      <c r="G3672" s="2">
        <v>112.5</v>
      </c>
      <c r="H3672" t="s">
        <v>45</v>
      </c>
      <c r="I3672" t="s">
        <v>36</v>
      </c>
      <c r="J3672" s="1">
        <v>44817</v>
      </c>
      <c r="K3672" t="b">
        <v>0</v>
      </c>
    </row>
    <row r="3673" spans="1:11" x14ac:dyDescent="0.25">
      <c r="A3673" t="s">
        <v>5555</v>
      </c>
      <c r="B3673" t="s">
        <v>30</v>
      </c>
      <c r="C3673" t="s">
        <v>110</v>
      </c>
      <c r="D3673" t="s">
        <v>234</v>
      </c>
      <c r="E3673" s="2">
        <v>12.5</v>
      </c>
      <c r="F3673" s="4">
        <v>9</v>
      </c>
      <c r="G3673" s="2">
        <v>112.5</v>
      </c>
      <c r="H3673" t="s">
        <v>45</v>
      </c>
      <c r="I3673" t="s">
        <v>16</v>
      </c>
      <c r="J3673" s="1">
        <v>44591</v>
      </c>
      <c r="K3673" t="b">
        <v>1</v>
      </c>
    </row>
    <row r="3674" spans="1:11" x14ac:dyDescent="0.25">
      <c r="A3674" t="s">
        <v>605</v>
      </c>
      <c r="B3674" t="s">
        <v>58</v>
      </c>
      <c r="C3674" t="s">
        <v>38</v>
      </c>
      <c r="D3674" t="s">
        <v>480</v>
      </c>
      <c r="E3674" s="2">
        <v>12.5</v>
      </c>
      <c r="F3674" s="4">
        <v>9</v>
      </c>
      <c r="G3674" s="2">
        <v>112.5</v>
      </c>
      <c r="H3674" t="s">
        <v>25</v>
      </c>
      <c r="I3674" t="s">
        <v>36</v>
      </c>
      <c r="J3674" s="1">
        <v>45437</v>
      </c>
      <c r="K3674" t="b">
        <v>0</v>
      </c>
    </row>
    <row r="3675" spans="1:11" x14ac:dyDescent="0.25">
      <c r="A3675" t="s">
        <v>4065</v>
      </c>
      <c r="B3675" t="s">
        <v>77</v>
      </c>
      <c r="C3675" t="s">
        <v>31</v>
      </c>
      <c r="D3675" t="s">
        <v>32</v>
      </c>
      <c r="E3675" s="2">
        <v>12.5</v>
      </c>
      <c r="F3675" s="4">
        <v>9</v>
      </c>
      <c r="G3675" s="2">
        <v>112.5</v>
      </c>
      <c r="H3675" t="s">
        <v>15</v>
      </c>
      <c r="I3675" t="s">
        <v>36</v>
      </c>
      <c r="J3675" s="1">
        <v>44871</v>
      </c>
      <c r="K3675" t="b">
        <v>0</v>
      </c>
    </row>
    <row r="3676" spans="1:11" x14ac:dyDescent="0.25">
      <c r="A3676" t="s">
        <v>4226</v>
      </c>
      <c r="B3676" t="s">
        <v>97</v>
      </c>
      <c r="C3676" t="s">
        <v>31</v>
      </c>
      <c r="D3676" t="s">
        <v>32</v>
      </c>
      <c r="E3676" s="2">
        <v>12.5</v>
      </c>
      <c r="F3676" s="4">
        <v>9</v>
      </c>
      <c r="G3676" s="2">
        <v>112.5</v>
      </c>
      <c r="H3676" t="s">
        <v>45</v>
      </c>
      <c r="I3676" t="s">
        <v>16</v>
      </c>
      <c r="J3676" s="1">
        <v>44767</v>
      </c>
      <c r="K3676" t="b">
        <v>0</v>
      </c>
    </row>
    <row r="3677" spans="1:11" x14ac:dyDescent="0.25">
      <c r="A3677" t="s">
        <v>6323</v>
      </c>
      <c r="B3677" t="s">
        <v>104</v>
      </c>
      <c r="C3677" t="s">
        <v>23</v>
      </c>
      <c r="D3677" t="s">
        <v>437</v>
      </c>
      <c r="E3677" s="2">
        <v>12.5</v>
      </c>
      <c r="F3677" s="4">
        <v>9</v>
      </c>
      <c r="G3677" s="2">
        <v>112.5</v>
      </c>
      <c r="H3677" t="s">
        <v>25</v>
      </c>
      <c r="I3677" t="s">
        <v>36</v>
      </c>
      <c r="J3677" s="1">
        <v>44628</v>
      </c>
      <c r="K3677" t="b">
        <v>1</v>
      </c>
    </row>
    <row r="3678" spans="1:11" x14ac:dyDescent="0.25">
      <c r="A3678" t="s">
        <v>5148</v>
      </c>
      <c r="B3678" t="s">
        <v>77</v>
      </c>
      <c r="C3678" t="s">
        <v>31</v>
      </c>
      <c r="D3678" t="s">
        <v>32</v>
      </c>
      <c r="E3678" s="2">
        <v>12.5</v>
      </c>
      <c r="F3678" s="4">
        <v>9</v>
      </c>
      <c r="G3678" s="2">
        <v>112.5</v>
      </c>
      <c r="H3678" t="s">
        <v>25</v>
      </c>
      <c r="I3678" t="s">
        <v>36</v>
      </c>
      <c r="J3678" s="1">
        <v>45362</v>
      </c>
      <c r="K3678" t="b">
        <v>0</v>
      </c>
    </row>
    <row r="3679" spans="1:11" x14ac:dyDescent="0.25">
      <c r="A3679" t="s">
        <v>2011</v>
      </c>
      <c r="B3679" t="s">
        <v>86</v>
      </c>
      <c r="C3679" t="s">
        <v>59</v>
      </c>
      <c r="D3679" t="s">
        <v>177</v>
      </c>
      <c r="E3679" s="2">
        <v>12.5</v>
      </c>
      <c r="F3679" s="4">
        <v>9</v>
      </c>
      <c r="G3679" s="2">
        <v>112.5</v>
      </c>
      <c r="H3679" t="s">
        <v>15</v>
      </c>
      <c r="I3679" t="s">
        <v>16</v>
      </c>
      <c r="J3679" s="1">
        <v>45661</v>
      </c>
      <c r="K3679" t="b">
        <v>0</v>
      </c>
    </row>
    <row r="3680" spans="1:11" x14ac:dyDescent="0.25">
      <c r="A3680" t="s">
        <v>4150</v>
      </c>
      <c r="B3680" t="s">
        <v>58</v>
      </c>
      <c r="C3680" t="s">
        <v>13</v>
      </c>
      <c r="D3680" t="s">
        <v>84</v>
      </c>
      <c r="E3680" s="2">
        <v>12.5</v>
      </c>
      <c r="F3680" s="4">
        <v>9</v>
      </c>
      <c r="G3680" s="2">
        <v>112.5</v>
      </c>
      <c r="H3680" t="s">
        <v>45</v>
      </c>
      <c r="I3680" t="s">
        <v>36</v>
      </c>
      <c r="J3680" s="1">
        <v>44894</v>
      </c>
      <c r="K3680" t="b">
        <v>1</v>
      </c>
    </row>
    <row r="3681" spans="1:11" x14ac:dyDescent="0.25">
      <c r="A3681" t="s">
        <v>4012</v>
      </c>
      <c r="B3681" t="s">
        <v>37</v>
      </c>
      <c r="C3681" t="s">
        <v>38</v>
      </c>
      <c r="D3681" t="s">
        <v>480</v>
      </c>
      <c r="E3681" s="2">
        <v>12.5</v>
      </c>
      <c r="F3681" s="4">
        <v>9</v>
      </c>
      <c r="G3681" s="2">
        <v>112.5</v>
      </c>
      <c r="H3681" t="s">
        <v>15</v>
      </c>
      <c r="I3681" t="s">
        <v>16</v>
      </c>
      <c r="J3681" s="1">
        <v>45570</v>
      </c>
      <c r="K3681" t="b">
        <v>1</v>
      </c>
    </row>
    <row r="3682" spans="1:11" x14ac:dyDescent="0.25">
      <c r="A3682" t="s">
        <v>1892</v>
      </c>
      <c r="B3682" t="s">
        <v>77</v>
      </c>
      <c r="C3682" t="s">
        <v>19</v>
      </c>
      <c r="D3682" t="s">
        <v>128</v>
      </c>
      <c r="E3682" s="2">
        <v>12.5</v>
      </c>
      <c r="F3682" s="4">
        <v>9</v>
      </c>
      <c r="G3682" s="2">
        <v>112.5</v>
      </c>
      <c r="H3682" t="s">
        <v>25</v>
      </c>
      <c r="I3682" t="s">
        <v>16</v>
      </c>
      <c r="J3682" s="1">
        <v>45015</v>
      </c>
      <c r="K3682" t="b">
        <v>1</v>
      </c>
    </row>
    <row r="3683" spans="1:11" x14ac:dyDescent="0.25">
      <c r="A3683" t="s">
        <v>7071</v>
      </c>
      <c r="B3683" t="s">
        <v>26</v>
      </c>
      <c r="C3683" t="s">
        <v>110</v>
      </c>
      <c r="D3683" t="s">
        <v>234</v>
      </c>
      <c r="E3683" s="2">
        <v>12.5</v>
      </c>
      <c r="F3683" s="4">
        <v>9</v>
      </c>
      <c r="G3683" s="2">
        <v>112.5</v>
      </c>
      <c r="H3683" t="s">
        <v>15</v>
      </c>
      <c r="I3683" t="s">
        <v>16</v>
      </c>
      <c r="J3683" s="1">
        <v>45121</v>
      </c>
      <c r="K3683" t="b">
        <v>0</v>
      </c>
    </row>
    <row r="3684" spans="1:11" x14ac:dyDescent="0.25">
      <c r="A3684" t="s">
        <v>4652</v>
      </c>
      <c r="B3684" t="s">
        <v>69</v>
      </c>
      <c r="C3684" t="s">
        <v>19</v>
      </c>
      <c r="D3684" t="s">
        <v>128</v>
      </c>
      <c r="E3684" s="2">
        <v>12.5</v>
      </c>
      <c r="F3684" s="4">
        <v>9</v>
      </c>
      <c r="G3684" s="2">
        <v>112.5</v>
      </c>
      <c r="H3684" t="s">
        <v>25</v>
      </c>
      <c r="I3684" t="s">
        <v>36</v>
      </c>
      <c r="J3684" s="1">
        <v>45407</v>
      </c>
      <c r="K3684" t="b">
        <v>1</v>
      </c>
    </row>
    <row r="3685" spans="1:11" x14ac:dyDescent="0.25">
      <c r="A3685" t="s">
        <v>6544</v>
      </c>
      <c r="B3685" t="s">
        <v>69</v>
      </c>
      <c r="C3685" t="s">
        <v>19</v>
      </c>
      <c r="D3685" t="s">
        <v>128</v>
      </c>
      <c r="E3685" s="2">
        <v>12.5</v>
      </c>
      <c r="F3685" s="4">
        <v>9</v>
      </c>
      <c r="G3685" s="2">
        <v>112.5</v>
      </c>
      <c r="H3685" t="s">
        <v>45</v>
      </c>
      <c r="I3685" t="s">
        <v>16</v>
      </c>
      <c r="J3685" s="1">
        <v>45564</v>
      </c>
      <c r="K3685" t="b">
        <v>0</v>
      </c>
    </row>
    <row r="3686" spans="1:11" x14ac:dyDescent="0.25">
      <c r="A3686" t="s">
        <v>6449</v>
      </c>
      <c r="B3686" t="s">
        <v>77</v>
      </c>
      <c r="C3686" t="s">
        <v>23</v>
      </c>
      <c r="D3686" t="s">
        <v>437</v>
      </c>
      <c r="E3686" s="2">
        <v>12.5</v>
      </c>
      <c r="F3686" s="4">
        <v>9</v>
      </c>
      <c r="G3686" s="2">
        <v>112.5</v>
      </c>
      <c r="H3686" t="s">
        <v>45</v>
      </c>
      <c r="I3686" t="s">
        <v>36</v>
      </c>
      <c r="J3686" s="1">
        <v>44767</v>
      </c>
      <c r="K3686" t="b">
        <v>1</v>
      </c>
    </row>
    <row r="3687" spans="1:11" x14ac:dyDescent="0.25">
      <c r="A3687" t="s">
        <v>5745</v>
      </c>
      <c r="B3687" t="s">
        <v>22</v>
      </c>
      <c r="C3687" t="s">
        <v>19</v>
      </c>
      <c r="D3687" t="s">
        <v>128</v>
      </c>
      <c r="E3687" s="2">
        <v>12.5</v>
      </c>
      <c r="F3687" s="4">
        <v>9</v>
      </c>
      <c r="G3687" s="2">
        <v>112.5</v>
      </c>
      <c r="H3687" t="s">
        <v>45</v>
      </c>
      <c r="I3687" t="s">
        <v>16</v>
      </c>
      <c r="J3687" s="1">
        <v>44742</v>
      </c>
      <c r="K3687" t="b">
        <v>0</v>
      </c>
    </row>
    <row r="3688" spans="1:11" x14ac:dyDescent="0.25">
      <c r="A3688" t="s">
        <v>3036</v>
      </c>
      <c r="B3688" t="s">
        <v>97</v>
      </c>
      <c r="C3688" t="s">
        <v>110</v>
      </c>
      <c r="D3688" t="s">
        <v>234</v>
      </c>
      <c r="E3688" s="2">
        <v>12.5</v>
      </c>
      <c r="F3688" s="4">
        <v>9</v>
      </c>
      <c r="G3688" s="2">
        <v>112.5</v>
      </c>
      <c r="H3688" t="s">
        <v>15</v>
      </c>
      <c r="I3688" t="s">
        <v>36</v>
      </c>
      <c r="J3688" s="1">
        <v>45273</v>
      </c>
      <c r="K3688" t="b">
        <v>0</v>
      </c>
    </row>
    <row r="3689" spans="1:11" x14ac:dyDescent="0.25">
      <c r="A3689" t="s">
        <v>1619</v>
      </c>
      <c r="B3689" t="s">
        <v>69</v>
      </c>
      <c r="C3689" t="s">
        <v>23</v>
      </c>
      <c r="D3689" t="s">
        <v>437</v>
      </c>
      <c r="E3689" s="2">
        <v>12.5</v>
      </c>
      <c r="F3689" s="4">
        <v>9</v>
      </c>
      <c r="G3689" s="2">
        <v>112.5</v>
      </c>
      <c r="H3689" t="s">
        <v>15</v>
      </c>
      <c r="I3689" t="s">
        <v>16</v>
      </c>
      <c r="J3689" s="1">
        <v>45345</v>
      </c>
      <c r="K3689" t="b">
        <v>1</v>
      </c>
    </row>
    <row r="3690" spans="1:11" x14ac:dyDescent="0.25">
      <c r="A3690" t="s">
        <v>718</v>
      </c>
      <c r="B3690" t="s">
        <v>69</v>
      </c>
      <c r="C3690" t="s">
        <v>31</v>
      </c>
      <c r="D3690" t="s">
        <v>32</v>
      </c>
      <c r="E3690" s="2">
        <v>12.5</v>
      </c>
      <c r="F3690" s="4">
        <v>9</v>
      </c>
      <c r="G3690" s="2">
        <v>112.5</v>
      </c>
      <c r="H3690" t="s">
        <v>25</v>
      </c>
      <c r="I3690" t="s">
        <v>36</v>
      </c>
      <c r="J3690" s="1">
        <v>45293</v>
      </c>
      <c r="K3690" t="b">
        <v>1</v>
      </c>
    </row>
    <row r="3691" spans="1:11" x14ac:dyDescent="0.25">
      <c r="A3691" t="s">
        <v>6162</v>
      </c>
      <c r="B3691" t="s">
        <v>77</v>
      </c>
      <c r="C3691" t="s">
        <v>13</v>
      </c>
      <c r="D3691" t="s">
        <v>151</v>
      </c>
      <c r="E3691" s="2">
        <v>14</v>
      </c>
      <c r="F3691" s="4">
        <v>8</v>
      </c>
      <c r="G3691" s="2">
        <v>112</v>
      </c>
      <c r="H3691" t="s">
        <v>45</v>
      </c>
      <c r="I3691" t="s">
        <v>16</v>
      </c>
      <c r="J3691" s="1">
        <v>45072</v>
      </c>
      <c r="K3691" t="b">
        <v>1</v>
      </c>
    </row>
    <row r="3692" spans="1:11" x14ac:dyDescent="0.25">
      <c r="A3692" t="s">
        <v>4971</v>
      </c>
      <c r="B3692" t="s">
        <v>72</v>
      </c>
      <c r="C3692" t="s">
        <v>27</v>
      </c>
      <c r="D3692" t="s">
        <v>62</v>
      </c>
      <c r="E3692" s="2">
        <v>14</v>
      </c>
      <c r="F3692" s="4">
        <v>8</v>
      </c>
      <c r="G3692" s="2">
        <v>112</v>
      </c>
      <c r="H3692" t="s">
        <v>25</v>
      </c>
      <c r="I3692" t="s">
        <v>16</v>
      </c>
      <c r="J3692" s="1">
        <v>45618</v>
      </c>
      <c r="K3692" t="b">
        <v>0</v>
      </c>
    </row>
    <row r="3693" spans="1:11" x14ac:dyDescent="0.25">
      <c r="A3693" t="s">
        <v>6557</v>
      </c>
      <c r="B3693" t="s">
        <v>85</v>
      </c>
      <c r="C3693" t="s">
        <v>31</v>
      </c>
      <c r="D3693" t="s">
        <v>162</v>
      </c>
      <c r="E3693" s="2">
        <v>14</v>
      </c>
      <c r="F3693" s="4">
        <v>8</v>
      </c>
      <c r="G3693" s="2">
        <v>112</v>
      </c>
      <c r="H3693" t="s">
        <v>25</v>
      </c>
      <c r="I3693" t="s">
        <v>36</v>
      </c>
      <c r="J3693" s="1">
        <v>45498</v>
      </c>
      <c r="K3693" t="b">
        <v>0</v>
      </c>
    </row>
    <row r="3694" spans="1:11" x14ac:dyDescent="0.25">
      <c r="A3694" t="s">
        <v>7333</v>
      </c>
      <c r="B3694" t="s">
        <v>58</v>
      </c>
      <c r="C3694" t="s">
        <v>13</v>
      </c>
      <c r="D3694" t="s">
        <v>151</v>
      </c>
      <c r="E3694" s="2">
        <v>14</v>
      </c>
      <c r="F3694" s="4">
        <v>8</v>
      </c>
      <c r="G3694" s="2">
        <v>112</v>
      </c>
      <c r="H3694" t="s">
        <v>45</v>
      </c>
      <c r="I3694" t="s">
        <v>16</v>
      </c>
      <c r="J3694" s="1">
        <v>45597</v>
      </c>
      <c r="K3694" t="b">
        <v>1</v>
      </c>
    </row>
    <row r="3695" spans="1:11" x14ac:dyDescent="0.25">
      <c r="A3695" t="s">
        <v>5431</v>
      </c>
      <c r="B3695" t="s">
        <v>77</v>
      </c>
      <c r="C3695" t="s">
        <v>13</v>
      </c>
      <c r="D3695" t="s">
        <v>151</v>
      </c>
      <c r="E3695" s="2">
        <v>14</v>
      </c>
      <c r="F3695" s="4">
        <v>8</v>
      </c>
      <c r="G3695" s="2">
        <v>112</v>
      </c>
      <c r="H3695" t="s">
        <v>45</v>
      </c>
      <c r="I3695" t="s">
        <v>16</v>
      </c>
      <c r="J3695" s="1">
        <v>44938</v>
      </c>
      <c r="K3695" t="b">
        <v>1</v>
      </c>
    </row>
    <row r="3696" spans="1:11" x14ac:dyDescent="0.25">
      <c r="A3696" t="s">
        <v>1459</v>
      </c>
      <c r="B3696" t="s">
        <v>40</v>
      </c>
      <c r="C3696" t="s">
        <v>23</v>
      </c>
      <c r="D3696" t="s">
        <v>277</v>
      </c>
      <c r="E3696" s="2">
        <v>14</v>
      </c>
      <c r="F3696" s="4">
        <v>8</v>
      </c>
      <c r="G3696" s="2">
        <v>112</v>
      </c>
      <c r="H3696" t="s">
        <v>15</v>
      </c>
      <c r="I3696" t="s">
        <v>36</v>
      </c>
      <c r="J3696" s="1">
        <v>45553</v>
      </c>
      <c r="K3696" t="b">
        <v>1</v>
      </c>
    </row>
    <row r="3697" spans="1:11" x14ac:dyDescent="0.25">
      <c r="A3697" t="s">
        <v>1308</v>
      </c>
      <c r="B3697" t="s">
        <v>37</v>
      </c>
      <c r="C3697" t="s">
        <v>27</v>
      </c>
      <c r="D3697" t="s">
        <v>62</v>
      </c>
      <c r="E3697" s="2">
        <v>14</v>
      </c>
      <c r="F3697" s="4">
        <v>8</v>
      </c>
      <c r="G3697" s="2">
        <v>112</v>
      </c>
      <c r="H3697" t="s">
        <v>25</v>
      </c>
      <c r="I3697" t="s">
        <v>36</v>
      </c>
      <c r="J3697" s="1">
        <v>45254</v>
      </c>
      <c r="K3697" t="b">
        <v>1</v>
      </c>
    </row>
    <row r="3698" spans="1:11" x14ac:dyDescent="0.25">
      <c r="A3698" t="s">
        <v>2173</v>
      </c>
      <c r="B3698" t="s">
        <v>85</v>
      </c>
      <c r="C3698" t="s">
        <v>38</v>
      </c>
      <c r="D3698" t="s">
        <v>123</v>
      </c>
      <c r="E3698" s="2">
        <v>14</v>
      </c>
      <c r="F3698" s="4">
        <v>8</v>
      </c>
      <c r="G3698" s="2">
        <v>112</v>
      </c>
      <c r="H3698" t="s">
        <v>15</v>
      </c>
      <c r="I3698" t="s">
        <v>16</v>
      </c>
      <c r="J3698" s="1">
        <v>45165</v>
      </c>
      <c r="K3698" t="b">
        <v>0</v>
      </c>
    </row>
    <row r="3699" spans="1:11" x14ac:dyDescent="0.25">
      <c r="A3699" t="s">
        <v>7360</v>
      </c>
      <c r="B3699" t="s">
        <v>86</v>
      </c>
      <c r="C3699" t="s">
        <v>38</v>
      </c>
      <c r="D3699" t="s">
        <v>123</v>
      </c>
      <c r="E3699" s="2">
        <v>14</v>
      </c>
      <c r="F3699" s="4">
        <v>8</v>
      </c>
      <c r="G3699" s="2">
        <v>112</v>
      </c>
      <c r="H3699" t="s">
        <v>45</v>
      </c>
      <c r="I3699" t="s">
        <v>36</v>
      </c>
      <c r="J3699" s="1">
        <v>44990</v>
      </c>
      <c r="K3699" t="b">
        <v>0</v>
      </c>
    </row>
    <row r="3700" spans="1:11" x14ac:dyDescent="0.25">
      <c r="A3700" t="s">
        <v>744</v>
      </c>
      <c r="B3700" t="s">
        <v>77</v>
      </c>
      <c r="C3700" t="s">
        <v>38</v>
      </c>
      <c r="D3700" t="s">
        <v>123</v>
      </c>
      <c r="E3700" s="2">
        <v>14</v>
      </c>
      <c r="F3700" s="4">
        <v>8</v>
      </c>
      <c r="G3700" s="2">
        <v>112</v>
      </c>
      <c r="H3700" t="s">
        <v>25</v>
      </c>
      <c r="I3700" t="s">
        <v>16</v>
      </c>
      <c r="J3700" s="1">
        <v>45004</v>
      </c>
      <c r="K3700" t="b">
        <v>0</v>
      </c>
    </row>
    <row r="3701" spans="1:11" x14ac:dyDescent="0.25">
      <c r="A3701" t="s">
        <v>1980</v>
      </c>
      <c r="B3701" t="s">
        <v>77</v>
      </c>
      <c r="C3701" t="s">
        <v>19</v>
      </c>
      <c r="D3701" t="s">
        <v>756</v>
      </c>
      <c r="E3701" s="2">
        <v>14</v>
      </c>
      <c r="F3701" s="4">
        <v>8</v>
      </c>
      <c r="G3701" s="2">
        <v>112</v>
      </c>
      <c r="H3701" t="s">
        <v>15</v>
      </c>
      <c r="I3701" t="s">
        <v>16</v>
      </c>
      <c r="J3701" s="1">
        <v>45019</v>
      </c>
      <c r="K3701" t="b">
        <v>0</v>
      </c>
    </row>
    <row r="3702" spans="1:11" x14ac:dyDescent="0.25">
      <c r="A3702" t="s">
        <v>7083</v>
      </c>
      <c r="B3702" t="s">
        <v>63</v>
      </c>
      <c r="C3702" t="s">
        <v>19</v>
      </c>
      <c r="D3702" t="s">
        <v>756</v>
      </c>
      <c r="E3702" s="2">
        <v>14</v>
      </c>
      <c r="F3702" s="4">
        <v>8</v>
      </c>
      <c r="G3702" s="2">
        <v>112</v>
      </c>
      <c r="H3702" t="s">
        <v>25</v>
      </c>
      <c r="I3702" t="s">
        <v>16</v>
      </c>
      <c r="J3702" s="1">
        <v>44677</v>
      </c>
      <c r="K3702" t="b">
        <v>0</v>
      </c>
    </row>
    <row r="3703" spans="1:11" x14ac:dyDescent="0.25">
      <c r="A3703" t="s">
        <v>6822</v>
      </c>
      <c r="B3703" t="s">
        <v>51</v>
      </c>
      <c r="C3703" t="s">
        <v>110</v>
      </c>
      <c r="D3703" t="s">
        <v>176</v>
      </c>
      <c r="E3703" s="2">
        <v>14</v>
      </c>
      <c r="F3703" s="4">
        <v>8</v>
      </c>
      <c r="G3703" s="2">
        <v>112</v>
      </c>
      <c r="H3703" t="s">
        <v>45</v>
      </c>
      <c r="I3703" t="s">
        <v>36</v>
      </c>
      <c r="J3703" s="1">
        <v>45068</v>
      </c>
      <c r="K3703" t="b">
        <v>0</v>
      </c>
    </row>
    <row r="3704" spans="1:11" x14ac:dyDescent="0.25">
      <c r="A3704" t="s">
        <v>5326</v>
      </c>
      <c r="B3704" t="s">
        <v>12</v>
      </c>
      <c r="C3704" t="s">
        <v>38</v>
      </c>
      <c r="D3704" t="s">
        <v>123</v>
      </c>
      <c r="E3704" s="2">
        <v>14</v>
      </c>
      <c r="F3704" s="4">
        <v>8</v>
      </c>
      <c r="G3704" s="2">
        <v>112</v>
      </c>
      <c r="H3704" t="s">
        <v>15</v>
      </c>
      <c r="I3704" t="s">
        <v>16</v>
      </c>
      <c r="J3704" s="1">
        <v>45504</v>
      </c>
      <c r="K3704" t="b">
        <v>0</v>
      </c>
    </row>
    <row r="3705" spans="1:11" x14ac:dyDescent="0.25">
      <c r="A3705" t="s">
        <v>7155</v>
      </c>
      <c r="B3705" t="s">
        <v>66</v>
      </c>
      <c r="C3705" t="s">
        <v>19</v>
      </c>
      <c r="D3705" t="s">
        <v>756</v>
      </c>
      <c r="E3705" s="2">
        <v>14</v>
      </c>
      <c r="F3705" s="4">
        <v>8</v>
      </c>
      <c r="G3705" s="2">
        <v>112</v>
      </c>
      <c r="H3705" t="s">
        <v>15</v>
      </c>
      <c r="I3705" t="s">
        <v>36</v>
      </c>
      <c r="J3705" s="1">
        <v>44981</v>
      </c>
      <c r="K3705" t="b">
        <v>1</v>
      </c>
    </row>
    <row r="3706" spans="1:11" x14ac:dyDescent="0.25">
      <c r="A3706" t="s">
        <v>865</v>
      </c>
      <c r="B3706" t="s">
        <v>12</v>
      </c>
      <c r="C3706" t="s">
        <v>31</v>
      </c>
      <c r="D3706" t="s">
        <v>162</v>
      </c>
      <c r="E3706" s="2">
        <v>14</v>
      </c>
      <c r="F3706" s="4">
        <v>8</v>
      </c>
      <c r="G3706" s="2">
        <v>112</v>
      </c>
      <c r="H3706" t="s">
        <v>15</v>
      </c>
      <c r="I3706" t="s">
        <v>16</v>
      </c>
      <c r="J3706" s="1">
        <v>44896</v>
      </c>
      <c r="K3706" t="b">
        <v>0</v>
      </c>
    </row>
    <row r="3707" spans="1:11" x14ac:dyDescent="0.25">
      <c r="A3707" t="s">
        <v>4022</v>
      </c>
      <c r="B3707" t="s">
        <v>93</v>
      </c>
      <c r="C3707" t="s">
        <v>13</v>
      </c>
      <c r="D3707" t="s">
        <v>151</v>
      </c>
      <c r="E3707" s="2">
        <v>14</v>
      </c>
      <c r="F3707" s="4">
        <v>8</v>
      </c>
      <c r="G3707" s="2">
        <v>112</v>
      </c>
      <c r="H3707" t="s">
        <v>25</v>
      </c>
      <c r="I3707" t="s">
        <v>16</v>
      </c>
      <c r="J3707" s="1">
        <v>44661</v>
      </c>
      <c r="K3707" t="b">
        <v>1</v>
      </c>
    </row>
    <row r="3708" spans="1:11" x14ac:dyDescent="0.25">
      <c r="A3708" t="s">
        <v>5775</v>
      </c>
      <c r="B3708" t="s">
        <v>63</v>
      </c>
      <c r="C3708" t="s">
        <v>38</v>
      </c>
      <c r="D3708" t="s">
        <v>123</v>
      </c>
      <c r="E3708" s="2">
        <v>14</v>
      </c>
      <c r="F3708" s="4">
        <v>8</v>
      </c>
      <c r="G3708" s="2">
        <v>112</v>
      </c>
      <c r="H3708" t="s">
        <v>15</v>
      </c>
      <c r="I3708" t="s">
        <v>36</v>
      </c>
      <c r="J3708" s="1">
        <v>45216</v>
      </c>
      <c r="K3708" t="b">
        <v>0</v>
      </c>
    </row>
    <row r="3709" spans="1:11" x14ac:dyDescent="0.25">
      <c r="A3709" t="s">
        <v>1249</v>
      </c>
      <c r="B3709" t="s">
        <v>37</v>
      </c>
      <c r="C3709" t="s">
        <v>19</v>
      </c>
      <c r="D3709" t="s">
        <v>756</v>
      </c>
      <c r="E3709" s="2">
        <v>14</v>
      </c>
      <c r="F3709" s="4">
        <v>8</v>
      </c>
      <c r="G3709" s="2">
        <v>112</v>
      </c>
      <c r="H3709" t="s">
        <v>25</v>
      </c>
      <c r="I3709" t="s">
        <v>36</v>
      </c>
      <c r="J3709" s="1">
        <v>45277</v>
      </c>
      <c r="K3709" t="b">
        <v>1</v>
      </c>
    </row>
    <row r="3710" spans="1:11" x14ac:dyDescent="0.25">
      <c r="A3710" t="s">
        <v>3406</v>
      </c>
      <c r="B3710" t="s">
        <v>51</v>
      </c>
      <c r="C3710" t="s">
        <v>27</v>
      </c>
      <c r="D3710" t="s">
        <v>62</v>
      </c>
      <c r="E3710" s="2">
        <v>14</v>
      </c>
      <c r="F3710" s="4">
        <v>8</v>
      </c>
      <c r="G3710" s="2">
        <v>112</v>
      </c>
      <c r="H3710" t="s">
        <v>25</v>
      </c>
      <c r="I3710" t="s">
        <v>16</v>
      </c>
      <c r="J3710" s="1">
        <v>44620</v>
      </c>
      <c r="K3710" t="b">
        <v>0</v>
      </c>
    </row>
    <row r="3711" spans="1:11" x14ac:dyDescent="0.25">
      <c r="A3711" t="s">
        <v>3536</v>
      </c>
      <c r="B3711" t="s">
        <v>69</v>
      </c>
      <c r="C3711" t="s">
        <v>23</v>
      </c>
      <c r="D3711" t="s">
        <v>277</v>
      </c>
      <c r="E3711" s="2">
        <v>14</v>
      </c>
      <c r="F3711" s="4">
        <v>8</v>
      </c>
      <c r="G3711" s="2">
        <v>112</v>
      </c>
      <c r="H3711" t="s">
        <v>45</v>
      </c>
      <c r="I3711" t="s">
        <v>16</v>
      </c>
      <c r="J3711" s="1">
        <v>44732</v>
      </c>
      <c r="K3711" t="b">
        <v>1</v>
      </c>
    </row>
    <row r="3712" spans="1:11" x14ac:dyDescent="0.25">
      <c r="A3712" t="s">
        <v>3437</v>
      </c>
      <c r="B3712" t="s">
        <v>56</v>
      </c>
      <c r="C3712" t="s">
        <v>19</v>
      </c>
      <c r="D3712" t="s">
        <v>756</v>
      </c>
      <c r="E3712" s="2">
        <v>14</v>
      </c>
      <c r="F3712" s="4">
        <v>8</v>
      </c>
      <c r="G3712" s="2">
        <v>112</v>
      </c>
      <c r="H3712" t="s">
        <v>25</v>
      </c>
      <c r="I3712" t="s">
        <v>36</v>
      </c>
      <c r="J3712" s="1">
        <v>44890</v>
      </c>
      <c r="K3712" t="b">
        <v>0</v>
      </c>
    </row>
    <row r="3713" spans="1:11" x14ac:dyDescent="0.25">
      <c r="A3713" t="s">
        <v>5302</v>
      </c>
      <c r="B3713" t="s">
        <v>142</v>
      </c>
      <c r="C3713" t="s">
        <v>38</v>
      </c>
      <c r="D3713" t="s">
        <v>123</v>
      </c>
      <c r="E3713" s="2">
        <v>14</v>
      </c>
      <c r="F3713" s="4">
        <v>8</v>
      </c>
      <c r="G3713" s="2">
        <v>112</v>
      </c>
      <c r="H3713" t="s">
        <v>25</v>
      </c>
      <c r="I3713" t="s">
        <v>36</v>
      </c>
      <c r="J3713" s="1">
        <v>45140</v>
      </c>
      <c r="K3713" t="b">
        <v>1</v>
      </c>
    </row>
    <row r="3714" spans="1:11" x14ac:dyDescent="0.25">
      <c r="A3714" t="s">
        <v>821</v>
      </c>
      <c r="B3714" t="s">
        <v>61</v>
      </c>
      <c r="C3714" t="s">
        <v>19</v>
      </c>
      <c r="D3714" t="s">
        <v>756</v>
      </c>
      <c r="E3714" s="2">
        <v>14</v>
      </c>
      <c r="F3714" s="4">
        <v>8</v>
      </c>
      <c r="G3714" s="2">
        <v>112</v>
      </c>
      <c r="H3714" t="s">
        <v>15</v>
      </c>
      <c r="I3714" t="s">
        <v>16</v>
      </c>
      <c r="J3714" s="1">
        <v>45276</v>
      </c>
      <c r="K3714" t="b">
        <v>0</v>
      </c>
    </row>
    <row r="3715" spans="1:11" x14ac:dyDescent="0.25">
      <c r="A3715" t="s">
        <v>3519</v>
      </c>
      <c r="B3715" t="s">
        <v>93</v>
      </c>
      <c r="C3715" t="s">
        <v>13</v>
      </c>
      <c r="D3715" t="s">
        <v>151</v>
      </c>
      <c r="E3715" s="2">
        <v>14</v>
      </c>
      <c r="F3715" s="4">
        <v>8</v>
      </c>
      <c r="G3715" s="2">
        <v>112</v>
      </c>
      <c r="H3715" t="s">
        <v>45</v>
      </c>
      <c r="I3715" t="s">
        <v>16</v>
      </c>
      <c r="J3715" s="1">
        <v>44601</v>
      </c>
      <c r="K3715" t="b">
        <v>0</v>
      </c>
    </row>
    <row r="3716" spans="1:11" x14ac:dyDescent="0.25">
      <c r="A3716" t="s">
        <v>1216</v>
      </c>
      <c r="B3716" t="s">
        <v>93</v>
      </c>
      <c r="C3716" t="s">
        <v>31</v>
      </c>
      <c r="D3716" t="s">
        <v>162</v>
      </c>
      <c r="E3716" s="2">
        <v>14</v>
      </c>
      <c r="F3716" s="4">
        <v>8</v>
      </c>
      <c r="G3716" s="2">
        <v>112</v>
      </c>
      <c r="H3716" t="s">
        <v>15</v>
      </c>
      <c r="I3716" t="s">
        <v>16</v>
      </c>
      <c r="J3716" s="1">
        <v>44705</v>
      </c>
      <c r="K3716" t="b">
        <v>1</v>
      </c>
    </row>
    <row r="3717" spans="1:11" x14ac:dyDescent="0.25">
      <c r="A3717" t="s">
        <v>1998</v>
      </c>
      <c r="B3717" t="s">
        <v>22</v>
      </c>
      <c r="C3717" t="s">
        <v>38</v>
      </c>
      <c r="D3717" t="s">
        <v>123</v>
      </c>
      <c r="E3717" s="2">
        <v>14</v>
      </c>
      <c r="F3717" s="4">
        <v>8</v>
      </c>
      <c r="G3717" s="2">
        <v>112</v>
      </c>
      <c r="H3717" t="s">
        <v>25</v>
      </c>
      <c r="I3717" t="s">
        <v>16</v>
      </c>
      <c r="J3717" s="1">
        <v>45184</v>
      </c>
      <c r="K3717" t="b">
        <v>1</v>
      </c>
    </row>
    <row r="3718" spans="1:11" x14ac:dyDescent="0.25">
      <c r="A3718" t="s">
        <v>3246</v>
      </c>
      <c r="B3718" t="s">
        <v>18</v>
      </c>
      <c r="C3718" t="s">
        <v>19</v>
      </c>
      <c r="D3718" t="s">
        <v>756</v>
      </c>
      <c r="E3718" s="2">
        <v>14</v>
      </c>
      <c r="F3718" s="4">
        <v>8</v>
      </c>
      <c r="G3718" s="2">
        <v>112</v>
      </c>
      <c r="H3718" t="s">
        <v>25</v>
      </c>
      <c r="I3718" t="s">
        <v>16</v>
      </c>
      <c r="J3718" s="1">
        <v>45503</v>
      </c>
      <c r="K3718" t="b">
        <v>0</v>
      </c>
    </row>
    <row r="3719" spans="1:11" x14ac:dyDescent="0.25">
      <c r="A3719" t="s">
        <v>7359</v>
      </c>
      <c r="B3719" t="s">
        <v>61</v>
      </c>
      <c r="C3719" t="s">
        <v>110</v>
      </c>
      <c r="D3719" t="s">
        <v>189</v>
      </c>
      <c r="E3719" s="2">
        <v>18.5</v>
      </c>
      <c r="F3719" s="4">
        <v>6</v>
      </c>
      <c r="G3719" s="2">
        <v>111</v>
      </c>
      <c r="H3719" t="s">
        <v>25</v>
      </c>
      <c r="I3719" t="s">
        <v>16</v>
      </c>
      <c r="J3719" s="1">
        <v>45348</v>
      </c>
      <c r="K3719" t="b">
        <v>0</v>
      </c>
    </row>
    <row r="3720" spans="1:11" x14ac:dyDescent="0.25">
      <c r="A3720" t="s">
        <v>802</v>
      </c>
      <c r="B3720" t="s">
        <v>85</v>
      </c>
      <c r="C3720" t="s">
        <v>31</v>
      </c>
      <c r="D3720" t="s">
        <v>67</v>
      </c>
      <c r="E3720" s="2">
        <v>18.5</v>
      </c>
      <c r="F3720" s="4">
        <v>6</v>
      </c>
      <c r="G3720" s="2">
        <v>111</v>
      </c>
      <c r="H3720" t="s">
        <v>15</v>
      </c>
      <c r="I3720" t="s">
        <v>16</v>
      </c>
      <c r="J3720" s="1">
        <v>44875</v>
      </c>
      <c r="K3720" t="b">
        <v>1</v>
      </c>
    </row>
    <row r="3721" spans="1:11" x14ac:dyDescent="0.25">
      <c r="A3721" t="s">
        <v>5766</v>
      </c>
      <c r="B3721" t="s">
        <v>12</v>
      </c>
      <c r="C3721" t="s">
        <v>27</v>
      </c>
      <c r="D3721" t="s">
        <v>384</v>
      </c>
      <c r="E3721" s="2">
        <v>18.5</v>
      </c>
      <c r="F3721" s="4">
        <v>6</v>
      </c>
      <c r="G3721" s="2">
        <v>111</v>
      </c>
      <c r="H3721" t="s">
        <v>45</v>
      </c>
      <c r="I3721" t="s">
        <v>36</v>
      </c>
      <c r="J3721" s="1">
        <v>45188</v>
      </c>
      <c r="K3721" t="b">
        <v>1</v>
      </c>
    </row>
    <row r="3722" spans="1:11" x14ac:dyDescent="0.25">
      <c r="A3722" t="s">
        <v>4251</v>
      </c>
      <c r="B3722" t="s">
        <v>86</v>
      </c>
      <c r="C3722" t="s">
        <v>38</v>
      </c>
      <c r="D3722" t="s">
        <v>94</v>
      </c>
      <c r="E3722" s="2">
        <v>18.5</v>
      </c>
      <c r="F3722" s="4">
        <v>6</v>
      </c>
      <c r="G3722" s="2">
        <v>111</v>
      </c>
      <c r="H3722" t="s">
        <v>45</v>
      </c>
      <c r="I3722" t="s">
        <v>36</v>
      </c>
      <c r="J3722" s="1">
        <v>45021</v>
      </c>
      <c r="K3722" t="b">
        <v>1</v>
      </c>
    </row>
    <row r="3723" spans="1:11" x14ac:dyDescent="0.25">
      <c r="A3723" t="s">
        <v>4884</v>
      </c>
      <c r="B3723" t="s">
        <v>72</v>
      </c>
      <c r="C3723" t="s">
        <v>59</v>
      </c>
      <c r="D3723" t="s">
        <v>102</v>
      </c>
      <c r="E3723" s="2">
        <v>18.5</v>
      </c>
      <c r="F3723" s="4">
        <v>6</v>
      </c>
      <c r="G3723" s="2">
        <v>111</v>
      </c>
      <c r="H3723" t="s">
        <v>25</v>
      </c>
      <c r="I3723" t="s">
        <v>36</v>
      </c>
      <c r="J3723" s="1">
        <v>45241</v>
      </c>
      <c r="K3723" t="b">
        <v>0</v>
      </c>
    </row>
    <row r="3724" spans="1:11" x14ac:dyDescent="0.25">
      <c r="A3724" t="s">
        <v>2516</v>
      </c>
      <c r="B3724" t="s">
        <v>34</v>
      </c>
      <c r="C3724" t="s">
        <v>38</v>
      </c>
      <c r="D3724" t="s">
        <v>94</v>
      </c>
      <c r="E3724" s="2">
        <v>18.5</v>
      </c>
      <c r="F3724" s="4">
        <v>6</v>
      </c>
      <c r="G3724" s="2">
        <v>111</v>
      </c>
      <c r="H3724" t="s">
        <v>25</v>
      </c>
      <c r="I3724" t="s">
        <v>16</v>
      </c>
      <c r="J3724" s="1">
        <v>45161</v>
      </c>
      <c r="K3724" t="b">
        <v>0</v>
      </c>
    </row>
    <row r="3725" spans="1:11" x14ac:dyDescent="0.25">
      <c r="A3725" t="s">
        <v>6385</v>
      </c>
      <c r="B3725" t="s">
        <v>86</v>
      </c>
      <c r="C3725" t="s">
        <v>31</v>
      </c>
      <c r="D3725" t="s">
        <v>67</v>
      </c>
      <c r="E3725" s="2">
        <v>18.5</v>
      </c>
      <c r="F3725" s="4">
        <v>6</v>
      </c>
      <c r="G3725" s="2">
        <v>111</v>
      </c>
      <c r="H3725" t="s">
        <v>25</v>
      </c>
      <c r="I3725" t="s">
        <v>16</v>
      </c>
      <c r="J3725" s="1">
        <v>44981</v>
      </c>
      <c r="K3725" t="b">
        <v>0</v>
      </c>
    </row>
    <row r="3726" spans="1:11" x14ac:dyDescent="0.25">
      <c r="A3726" t="s">
        <v>3304</v>
      </c>
      <c r="B3726" t="s">
        <v>142</v>
      </c>
      <c r="C3726" t="s">
        <v>110</v>
      </c>
      <c r="D3726" t="s">
        <v>189</v>
      </c>
      <c r="E3726" s="2">
        <v>18.5</v>
      </c>
      <c r="F3726" s="4">
        <v>6</v>
      </c>
      <c r="G3726" s="2">
        <v>111</v>
      </c>
      <c r="H3726" t="s">
        <v>45</v>
      </c>
      <c r="I3726" t="s">
        <v>36</v>
      </c>
      <c r="J3726" s="1">
        <v>44867</v>
      </c>
      <c r="K3726" t="b">
        <v>0</v>
      </c>
    </row>
    <row r="3727" spans="1:11" x14ac:dyDescent="0.25">
      <c r="A3727" t="s">
        <v>6957</v>
      </c>
      <c r="B3727" t="s">
        <v>34</v>
      </c>
      <c r="C3727" t="s">
        <v>110</v>
      </c>
      <c r="D3727" t="s">
        <v>189</v>
      </c>
      <c r="E3727" s="2">
        <v>18.5</v>
      </c>
      <c r="F3727" s="4">
        <v>6</v>
      </c>
      <c r="G3727" s="2">
        <v>111</v>
      </c>
      <c r="H3727" t="s">
        <v>45</v>
      </c>
      <c r="I3727" t="s">
        <v>36</v>
      </c>
      <c r="J3727" s="1">
        <v>45182</v>
      </c>
      <c r="K3727" t="b">
        <v>1</v>
      </c>
    </row>
    <row r="3728" spans="1:11" x14ac:dyDescent="0.25">
      <c r="A3728" t="s">
        <v>7741</v>
      </c>
      <c r="B3728" t="s">
        <v>61</v>
      </c>
      <c r="C3728" t="s">
        <v>38</v>
      </c>
      <c r="D3728" t="s">
        <v>94</v>
      </c>
      <c r="E3728" s="2">
        <v>18.5</v>
      </c>
      <c r="F3728" s="4">
        <v>6</v>
      </c>
      <c r="G3728" s="2">
        <v>111</v>
      </c>
      <c r="H3728" t="s">
        <v>25</v>
      </c>
      <c r="I3728" t="s">
        <v>16</v>
      </c>
      <c r="J3728" s="1">
        <v>44596</v>
      </c>
      <c r="K3728" t="b">
        <v>0</v>
      </c>
    </row>
    <row r="3729" spans="1:11" x14ac:dyDescent="0.25">
      <c r="A3729" t="s">
        <v>7404</v>
      </c>
      <c r="B3729" t="s">
        <v>142</v>
      </c>
      <c r="C3729" t="s">
        <v>59</v>
      </c>
      <c r="D3729" t="s">
        <v>102</v>
      </c>
      <c r="E3729" s="2">
        <v>18.5</v>
      </c>
      <c r="F3729" s="4">
        <v>6</v>
      </c>
      <c r="G3729" s="2">
        <v>111</v>
      </c>
      <c r="H3729" t="s">
        <v>45</v>
      </c>
      <c r="I3729" t="s">
        <v>16</v>
      </c>
      <c r="J3729" s="1">
        <v>44773</v>
      </c>
      <c r="K3729" t="b">
        <v>0</v>
      </c>
    </row>
    <row r="3730" spans="1:11" x14ac:dyDescent="0.25">
      <c r="A3730" t="s">
        <v>1419</v>
      </c>
      <c r="B3730" t="s">
        <v>30</v>
      </c>
      <c r="C3730" t="s">
        <v>59</v>
      </c>
      <c r="D3730" t="s">
        <v>102</v>
      </c>
      <c r="E3730" s="2">
        <v>18.5</v>
      </c>
      <c r="F3730" s="4">
        <v>6</v>
      </c>
      <c r="G3730" s="2">
        <v>111</v>
      </c>
      <c r="H3730" t="s">
        <v>25</v>
      </c>
      <c r="I3730" t="s">
        <v>16</v>
      </c>
      <c r="J3730" s="1">
        <v>45428</v>
      </c>
      <c r="K3730" t="b">
        <v>0</v>
      </c>
    </row>
    <row r="3731" spans="1:11" x14ac:dyDescent="0.25">
      <c r="A3731" t="s">
        <v>2782</v>
      </c>
      <c r="B3731" t="s">
        <v>12</v>
      </c>
      <c r="C3731" t="s">
        <v>38</v>
      </c>
      <c r="D3731" t="s">
        <v>94</v>
      </c>
      <c r="E3731" s="2">
        <v>18.5</v>
      </c>
      <c r="F3731" s="4">
        <v>6</v>
      </c>
      <c r="G3731" s="2">
        <v>111</v>
      </c>
      <c r="H3731" t="s">
        <v>45</v>
      </c>
      <c r="I3731" t="s">
        <v>36</v>
      </c>
      <c r="J3731" s="1">
        <v>44607</v>
      </c>
      <c r="K3731" t="b">
        <v>1</v>
      </c>
    </row>
    <row r="3732" spans="1:11" x14ac:dyDescent="0.25">
      <c r="A3732" t="s">
        <v>1565</v>
      </c>
      <c r="B3732" t="s">
        <v>85</v>
      </c>
      <c r="C3732" t="s">
        <v>110</v>
      </c>
      <c r="D3732" t="s">
        <v>189</v>
      </c>
      <c r="E3732" s="2">
        <v>18.5</v>
      </c>
      <c r="F3732" s="4">
        <v>6</v>
      </c>
      <c r="G3732" s="2">
        <v>111</v>
      </c>
      <c r="H3732" t="s">
        <v>15</v>
      </c>
      <c r="I3732" t="s">
        <v>36</v>
      </c>
      <c r="J3732" s="1">
        <v>45457</v>
      </c>
      <c r="K3732" t="b">
        <v>1</v>
      </c>
    </row>
    <row r="3733" spans="1:11" x14ac:dyDescent="0.25">
      <c r="A3733" t="s">
        <v>2265</v>
      </c>
      <c r="B3733" t="s">
        <v>37</v>
      </c>
      <c r="C3733" t="s">
        <v>110</v>
      </c>
      <c r="D3733" t="s">
        <v>189</v>
      </c>
      <c r="E3733" s="2">
        <v>18.5</v>
      </c>
      <c r="F3733" s="4">
        <v>6</v>
      </c>
      <c r="G3733" s="2">
        <v>111</v>
      </c>
      <c r="H3733" t="s">
        <v>15</v>
      </c>
      <c r="I3733" t="s">
        <v>16</v>
      </c>
      <c r="J3733" s="1">
        <v>44989</v>
      </c>
      <c r="K3733" t="b">
        <v>1</v>
      </c>
    </row>
    <row r="3734" spans="1:11" x14ac:dyDescent="0.25">
      <c r="A3734" t="s">
        <v>4308</v>
      </c>
      <c r="B3734" t="s">
        <v>26</v>
      </c>
      <c r="C3734" t="s">
        <v>110</v>
      </c>
      <c r="D3734" t="s">
        <v>189</v>
      </c>
      <c r="E3734" s="2">
        <v>18.5</v>
      </c>
      <c r="F3734" s="4">
        <v>6</v>
      </c>
      <c r="G3734" s="2">
        <v>111</v>
      </c>
      <c r="H3734" t="s">
        <v>25</v>
      </c>
      <c r="I3734" t="s">
        <v>16</v>
      </c>
      <c r="J3734" s="1">
        <v>45321</v>
      </c>
      <c r="K3734" t="b">
        <v>0</v>
      </c>
    </row>
    <row r="3735" spans="1:11" x14ac:dyDescent="0.25">
      <c r="A3735" t="s">
        <v>5398</v>
      </c>
      <c r="B3735" t="s">
        <v>66</v>
      </c>
      <c r="C3735" t="s">
        <v>23</v>
      </c>
      <c r="D3735" t="s">
        <v>771</v>
      </c>
      <c r="E3735" s="2">
        <v>18.5</v>
      </c>
      <c r="F3735" s="4">
        <v>6</v>
      </c>
      <c r="G3735" s="2">
        <v>111</v>
      </c>
      <c r="H3735" t="s">
        <v>45</v>
      </c>
      <c r="I3735" t="s">
        <v>36</v>
      </c>
      <c r="J3735" s="1">
        <v>45456</v>
      </c>
      <c r="K3735" t="b">
        <v>0</v>
      </c>
    </row>
    <row r="3736" spans="1:11" x14ac:dyDescent="0.25">
      <c r="A3736" t="s">
        <v>4396</v>
      </c>
      <c r="B3736" t="s">
        <v>51</v>
      </c>
      <c r="C3736" t="s">
        <v>59</v>
      </c>
      <c r="D3736" t="s">
        <v>102</v>
      </c>
      <c r="E3736" s="2">
        <v>18.5</v>
      </c>
      <c r="F3736" s="4">
        <v>6</v>
      </c>
      <c r="G3736" s="2">
        <v>111</v>
      </c>
      <c r="H3736" t="s">
        <v>25</v>
      </c>
      <c r="I3736" t="s">
        <v>16</v>
      </c>
      <c r="J3736" s="1">
        <v>44859</v>
      </c>
      <c r="K3736" t="b">
        <v>0</v>
      </c>
    </row>
    <row r="3737" spans="1:11" x14ac:dyDescent="0.25">
      <c r="A3737" t="s">
        <v>1460</v>
      </c>
      <c r="B3737" t="s">
        <v>56</v>
      </c>
      <c r="C3737" t="s">
        <v>31</v>
      </c>
      <c r="D3737" t="s">
        <v>67</v>
      </c>
      <c r="E3737" s="2">
        <v>18.5</v>
      </c>
      <c r="F3737" s="4">
        <v>6</v>
      </c>
      <c r="G3737" s="2">
        <v>111</v>
      </c>
      <c r="H3737" t="s">
        <v>25</v>
      </c>
      <c r="I3737" t="s">
        <v>16</v>
      </c>
      <c r="J3737" s="1">
        <v>45162</v>
      </c>
      <c r="K3737" t="b">
        <v>1</v>
      </c>
    </row>
    <row r="3738" spans="1:11" x14ac:dyDescent="0.25">
      <c r="A3738" t="s">
        <v>1571</v>
      </c>
      <c r="B3738" t="s">
        <v>72</v>
      </c>
      <c r="C3738" t="s">
        <v>59</v>
      </c>
      <c r="D3738" t="s">
        <v>102</v>
      </c>
      <c r="E3738" s="2">
        <v>18.5</v>
      </c>
      <c r="F3738" s="4">
        <v>6</v>
      </c>
      <c r="G3738" s="2">
        <v>111</v>
      </c>
      <c r="H3738" t="s">
        <v>45</v>
      </c>
      <c r="I3738" t="s">
        <v>16</v>
      </c>
      <c r="J3738" s="1">
        <v>45210</v>
      </c>
      <c r="K3738" t="b">
        <v>0</v>
      </c>
    </row>
    <row r="3739" spans="1:11" x14ac:dyDescent="0.25">
      <c r="A3739" t="s">
        <v>2770</v>
      </c>
      <c r="B3739" t="s">
        <v>104</v>
      </c>
      <c r="C3739" t="s">
        <v>31</v>
      </c>
      <c r="D3739" t="s">
        <v>67</v>
      </c>
      <c r="E3739" s="2">
        <v>18.5</v>
      </c>
      <c r="F3739" s="4">
        <v>6</v>
      </c>
      <c r="G3739" s="2">
        <v>111</v>
      </c>
      <c r="H3739" t="s">
        <v>45</v>
      </c>
      <c r="I3739" t="s">
        <v>16</v>
      </c>
      <c r="J3739" s="1">
        <v>45090</v>
      </c>
      <c r="K3739" t="b">
        <v>0</v>
      </c>
    </row>
    <row r="3740" spans="1:11" x14ac:dyDescent="0.25">
      <c r="A3740" t="s">
        <v>3297</v>
      </c>
      <c r="B3740" t="s">
        <v>61</v>
      </c>
      <c r="C3740" t="s">
        <v>59</v>
      </c>
      <c r="D3740" t="s">
        <v>347</v>
      </c>
      <c r="E3740" s="2">
        <v>11</v>
      </c>
      <c r="F3740" s="4">
        <v>10</v>
      </c>
      <c r="G3740" s="2">
        <v>110</v>
      </c>
      <c r="H3740" t="s">
        <v>15</v>
      </c>
      <c r="I3740" t="s">
        <v>36</v>
      </c>
      <c r="J3740" s="1">
        <v>44684</v>
      </c>
      <c r="K3740" t="b">
        <v>0</v>
      </c>
    </row>
    <row r="3741" spans="1:11" x14ac:dyDescent="0.25">
      <c r="A3741" t="s">
        <v>5080</v>
      </c>
      <c r="B3741" t="s">
        <v>51</v>
      </c>
      <c r="C3741" t="s">
        <v>59</v>
      </c>
      <c r="D3741" t="s">
        <v>347</v>
      </c>
      <c r="E3741" s="2">
        <v>11</v>
      </c>
      <c r="F3741" s="4">
        <v>10</v>
      </c>
      <c r="G3741" s="2">
        <v>110</v>
      </c>
      <c r="H3741" t="s">
        <v>25</v>
      </c>
      <c r="I3741" t="s">
        <v>16</v>
      </c>
      <c r="J3741" s="1">
        <v>45150</v>
      </c>
      <c r="K3741" t="b">
        <v>0</v>
      </c>
    </row>
    <row r="3742" spans="1:11" x14ac:dyDescent="0.25">
      <c r="A3742" t="s">
        <v>5868</v>
      </c>
      <c r="B3742" t="s">
        <v>61</v>
      </c>
      <c r="C3742" t="s">
        <v>59</v>
      </c>
      <c r="D3742" t="s">
        <v>347</v>
      </c>
      <c r="E3742" s="2">
        <v>11</v>
      </c>
      <c r="F3742" s="4">
        <v>10</v>
      </c>
      <c r="G3742" s="2">
        <v>110</v>
      </c>
      <c r="H3742" t="s">
        <v>45</v>
      </c>
      <c r="I3742" t="s">
        <v>16</v>
      </c>
      <c r="J3742" s="1">
        <v>45008</v>
      </c>
      <c r="K3742" t="b">
        <v>1</v>
      </c>
    </row>
    <row r="3743" spans="1:11" x14ac:dyDescent="0.25">
      <c r="A3743" t="s">
        <v>7702</v>
      </c>
      <c r="B3743" t="s">
        <v>97</v>
      </c>
      <c r="C3743" t="s">
        <v>19</v>
      </c>
      <c r="D3743" t="s">
        <v>53</v>
      </c>
      <c r="E3743" s="2">
        <v>27.5</v>
      </c>
      <c r="F3743" s="4">
        <v>4</v>
      </c>
      <c r="G3743" s="2">
        <v>110</v>
      </c>
      <c r="H3743" t="s">
        <v>25</v>
      </c>
      <c r="I3743" t="s">
        <v>16</v>
      </c>
      <c r="J3743" s="1">
        <v>45455</v>
      </c>
      <c r="K3743" t="b">
        <v>1</v>
      </c>
    </row>
    <row r="3744" spans="1:11" x14ac:dyDescent="0.25">
      <c r="A3744" t="s">
        <v>4642</v>
      </c>
      <c r="B3744" t="s">
        <v>104</v>
      </c>
      <c r="C3744" t="s">
        <v>19</v>
      </c>
      <c r="D3744" t="s">
        <v>53</v>
      </c>
      <c r="E3744" s="2">
        <v>27.5</v>
      </c>
      <c r="F3744" s="4">
        <v>4</v>
      </c>
      <c r="G3744" s="2">
        <v>110</v>
      </c>
      <c r="H3744" t="s">
        <v>45</v>
      </c>
      <c r="I3744" t="s">
        <v>16</v>
      </c>
      <c r="J3744" s="1">
        <v>45667</v>
      </c>
      <c r="K3744" t="b">
        <v>1</v>
      </c>
    </row>
    <row r="3745" spans="1:11" x14ac:dyDescent="0.25">
      <c r="A3745" t="s">
        <v>3205</v>
      </c>
      <c r="B3745" t="s">
        <v>104</v>
      </c>
      <c r="C3745" t="s">
        <v>13</v>
      </c>
      <c r="D3745" t="s">
        <v>183</v>
      </c>
      <c r="E3745" s="2">
        <v>27.5</v>
      </c>
      <c r="F3745" s="4">
        <v>4</v>
      </c>
      <c r="G3745" s="2">
        <v>110</v>
      </c>
      <c r="H3745" t="s">
        <v>45</v>
      </c>
      <c r="I3745" t="s">
        <v>16</v>
      </c>
      <c r="J3745" s="1">
        <v>44691</v>
      </c>
      <c r="K3745" t="b">
        <v>1</v>
      </c>
    </row>
    <row r="3746" spans="1:11" x14ac:dyDescent="0.25">
      <c r="A3746" t="s">
        <v>2172</v>
      </c>
      <c r="B3746" t="s">
        <v>104</v>
      </c>
      <c r="C3746" t="s">
        <v>38</v>
      </c>
      <c r="D3746" t="s">
        <v>193</v>
      </c>
      <c r="E3746" s="2">
        <v>11</v>
      </c>
      <c r="F3746" s="4">
        <v>10</v>
      </c>
      <c r="G3746" s="2">
        <v>110</v>
      </c>
      <c r="H3746" t="s">
        <v>15</v>
      </c>
      <c r="I3746" t="s">
        <v>16</v>
      </c>
      <c r="J3746" s="1">
        <v>45465</v>
      </c>
      <c r="K3746" t="b">
        <v>0</v>
      </c>
    </row>
    <row r="3747" spans="1:11" x14ac:dyDescent="0.25">
      <c r="A3747" t="s">
        <v>6328</v>
      </c>
      <c r="B3747" t="s">
        <v>63</v>
      </c>
      <c r="C3747" t="s">
        <v>110</v>
      </c>
      <c r="D3747" t="s">
        <v>118</v>
      </c>
      <c r="E3747" s="2">
        <v>11</v>
      </c>
      <c r="F3747" s="4">
        <v>10</v>
      </c>
      <c r="G3747" s="2">
        <v>110</v>
      </c>
      <c r="H3747" t="s">
        <v>25</v>
      </c>
      <c r="I3747" t="s">
        <v>36</v>
      </c>
      <c r="J3747" s="1">
        <v>45276</v>
      </c>
      <c r="K3747" t="b">
        <v>1</v>
      </c>
    </row>
    <row r="3748" spans="1:11" x14ac:dyDescent="0.25">
      <c r="A3748" t="s">
        <v>1112</v>
      </c>
      <c r="B3748" t="s">
        <v>61</v>
      </c>
      <c r="C3748" t="s">
        <v>38</v>
      </c>
      <c r="D3748" t="s">
        <v>41</v>
      </c>
      <c r="E3748" s="2">
        <v>27.5</v>
      </c>
      <c r="F3748" s="4">
        <v>4</v>
      </c>
      <c r="G3748" s="2">
        <v>110</v>
      </c>
      <c r="H3748" t="s">
        <v>25</v>
      </c>
      <c r="I3748" t="s">
        <v>36</v>
      </c>
      <c r="J3748" s="1">
        <v>45593</v>
      </c>
      <c r="K3748" t="b">
        <v>0</v>
      </c>
    </row>
    <row r="3749" spans="1:11" x14ac:dyDescent="0.25">
      <c r="A3749" t="s">
        <v>6667</v>
      </c>
      <c r="B3749" t="s">
        <v>18</v>
      </c>
      <c r="C3749" t="s">
        <v>19</v>
      </c>
      <c r="D3749" t="s">
        <v>53</v>
      </c>
      <c r="E3749" s="2">
        <v>27.5</v>
      </c>
      <c r="F3749" s="4">
        <v>4</v>
      </c>
      <c r="G3749" s="2">
        <v>110</v>
      </c>
      <c r="H3749" t="s">
        <v>45</v>
      </c>
      <c r="I3749" t="s">
        <v>16</v>
      </c>
      <c r="J3749" s="1">
        <v>45021</v>
      </c>
      <c r="K3749" t="b">
        <v>1</v>
      </c>
    </row>
    <row r="3750" spans="1:11" x14ac:dyDescent="0.25">
      <c r="A3750" t="s">
        <v>1299</v>
      </c>
      <c r="B3750" t="s">
        <v>66</v>
      </c>
      <c r="C3750" t="s">
        <v>13</v>
      </c>
      <c r="D3750" t="s">
        <v>183</v>
      </c>
      <c r="E3750" s="2">
        <v>27.5</v>
      </c>
      <c r="F3750" s="4">
        <v>4</v>
      </c>
      <c r="G3750" s="2">
        <v>110</v>
      </c>
      <c r="H3750" t="s">
        <v>45</v>
      </c>
      <c r="I3750" t="s">
        <v>16</v>
      </c>
      <c r="J3750" s="1">
        <v>44775</v>
      </c>
      <c r="K3750" t="b">
        <v>1</v>
      </c>
    </row>
    <row r="3751" spans="1:11" x14ac:dyDescent="0.25">
      <c r="A3751" t="s">
        <v>2302</v>
      </c>
      <c r="B3751" t="s">
        <v>40</v>
      </c>
      <c r="C3751" t="s">
        <v>23</v>
      </c>
      <c r="D3751" t="s">
        <v>115</v>
      </c>
      <c r="E3751" s="2">
        <v>27.5</v>
      </c>
      <c r="F3751" s="4">
        <v>4</v>
      </c>
      <c r="G3751" s="2">
        <v>110</v>
      </c>
      <c r="H3751" t="s">
        <v>15</v>
      </c>
      <c r="I3751" t="s">
        <v>16</v>
      </c>
      <c r="J3751" s="1">
        <v>44940</v>
      </c>
      <c r="K3751" t="b">
        <v>1</v>
      </c>
    </row>
    <row r="3752" spans="1:11" x14ac:dyDescent="0.25">
      <c r="A3752" t="s">
        <v>825</v>
      </c>
      <c r="B3752" t="s">
        <v>97</v>
      </c>
      <c r="C3752" t="s">
        <v>31</v>
      </c>
      <c r="D3752" t="s">
        <v>318</v>
      </c>
      <c r="E3752" s="2">
        <v>11</v>
      </c>
      <c r="F3752" s="4">
        <v>10</v>
      </c>
      <c r="G3752" s="2">
        <v>110</v>
      </c>
      <c r="H3752" t="s">
        <v>45</v>
      </c>
      <c r="I3752" t="s">
        <v>36</v>
      </c>
      <c r="J3752" s="1">
        <v>45184</v>
      </c>
      <c r="K3752" t="b">
        <v>0</v>
      </c>
    </row>
    <row r="3753" spans="1:11" x14ac:dyDescent="0.25">
      <c r="A3753" t="s">
        <v>5258</v>
      </c>
      <c r="B3753" t="s">
        <v>12</v>
      </c>
      <c r="C3753" t="s">
        <v>59</v>
      </c>
      <c r="D3753" t="s">
        <v>347</v>
      </c>
      <c r="E3753" s="2">
        <v>11</v>
      </c>
      <c r="F3753" s="4">
        <v>10</v>
      </c>
      <c r="G3753" s="2">
        <v>110</v>
      </c>
      <c r="H3753" t="s">
        <v>25</v>
      </c>
      <c r="I3753" t="s">
        <v>36</v>
      </c>
      <c r="J3753" s="1">
        <v>45359</v>
      </c>
      <c r="K3753" t="b">
        <v>0</v>
      </c>
    </row>
    <row r="3754" spans="1:11" x14ac:dyDescent="0.25">
      <c r="A3754" t="s">
        <v>2411</v>
      </c>
      <c r="B3754" t="s">
        <v>104</v>
      </c>
      <c r="C3754" t="s">
        <v>38</v>
      </c>
      <c r="D3754" t="s">
        <v>41</v>
      </c>
      <c r="E3754" s="2">
        <v>27.5</v>
      </c>
      <c r="F3754" s="4">
        <v>4</v>
      </c>
      <c r="G3754" s="2">
        <v>110</v>
      </c>
      <c r="H3754" t="s">
        <v>25</v>
      </c>
      <c r="I3754" t="s">
        <v>16</v>
      </c>
      <c r="J3754" s="1">
        <v>45512</v>
      </c>
      <c r="K3754" t="b">
        <v>1</v>
      </c>
    </row>
    <row r="3755" spans="1:11" x14ac:dyDescent="0.25">
      <c r="A3755" t="s">
        <v>1204</v>
      </c>
      <c r="B3755" t="s">
        <v>56</v>
      </c>
      <c r="C3755" t="s">
        <v>19</v>
      </c>
      <c r="D3755" t="s">
        <v>53</v>
      </c>
      <c r="E3755" s="2">
        <v>27.5</v>
      </c>
      <c r="F3755" s="4">
        <v>4</v>
      </c>
      <c r="G3755" s="2">
        <v>110</v>
      </c>
      <c r="H3755" t="s">
        <v>25</v>
      </c>
      <c r="I3755" t="s">
        <v>36</v>
      </c>
      <c r="J3755" s="1">
        <v>44824</v>
      </c>
      <c r="K3755" t="b">
        <v>0</v>
      </c>
    </row>
    <row r="3756" spans="1:11" x14ac:dyDescent="0.25">
      <c r="A3756" t="s">
        <v>2049</v>
      </c>
      <c r="B3756" t="s">
        <v>51</v>
      </c>
      <c r="C3756" t="s">
        <v>19</v>
      </c>
      <c r="D3756" t="s">
        <v>53</v>
      </c>
      <c r="E3756" s="2">
        <v>27.5</v>
      </c>
      <c r="F3756" s="4">
        <v>4</v>
      </c>
      <c r="G3756" s="2">
        <v>110</v>
      </c>
      <c r="H3756" t="s">
        <v>45</v>
      </c>
      <c r="I3756" t="s">
        <v>16</v>
      </c>
      <c r="J3756" s="1">
        <v>45265</v>
      </c>
      <c r="K3756" t="b">
        <v>0</v>
      </c>
    </row>
    <row r="3757" spans="1:11" x14ac:dyDescent="0.25">
      <c r="A3757" t="s">
        <v>4873</v>
      </c>
      <c r="B3757" t="s">
        <v>30</v>
      </c>
      <c r="C3757" t="s">
        <v>27</v>
      </c>
      <c r="D3757" t="s">
        <v>28</v>
      </c>
      <c r="E3757" s="2">
        <v>27.5</v>
      </c>
      <c r="F3757" s="4">
        <v>4</v>
      </c>
      <c r="G3757" s="2">
        <v>110</v>
      </c>
      <c r="H3757" t="s">
        <v>25</v>
      </c>
      <c r="I3757" t="s">
        <v>36</v>
      </c>
      <c r="J3757" s="1">
        <v>45637</v>
      </c>
      <c r="K3757" t="b">
        <v>0</v>
      </c>
    </row>
    <row r="3758" spans="1:11" x14ac:dyDescent="0.25">
      <c r="A3758" t="s">
        <v>1549</v>
      </c>
      <c r="B3758" t="s">
        <v>37</v>
      </c>
      <c r="C3758" t="s">
        <v>19</v>
      </c>
      <c r="D3758" t="s">
        <v>53</v>
      </c>
      <c r="E3758" s="2">
        <v>27.5</v>
      </c>
      <c r="F3758" s="4">
        <v>4</v>
      </c>
      <c r="G3758" s="2">
        <v>110</v>
      </c>
      <c r="H3758" t="s">
        <v>45</v>
      </c>
      <c r="I3758" t="s">
        <v>36</v>
      </c>
      <c r="J3758" s="1">
        <v>45589</v>
      </c>
      <c r="K3758" t="b">
        <v>1</v>
      </c>
    </row>
    <row r="3759" spans="1:11" x14ac:dyDescent="0.25">
      <c r="A3759" t="s">
        <v>3762</v>
      </c>
      <c r="B3759" t="s">
        <v>66</v>
      </c>
      <c r="C3759" t="s">
        <v>38</v>
      </c>
      <c r="D3759" t="s">
        <v>193</v>
      </c>
      <c r="E3759" s="2">
        <v>11</v>
      </c>
      <c r="F3759" s="4">
        <v>10</v>
      </c>
      <c r="G3759" s="2">
        <v>110</v>
      </c>
      <c r="H3759" t="s">
        <v>15</v>
      </c>
      <c r="I3759" t="s">
        <v>16</v>
      </c>
      <c r="J3759" s="1">
        <v>45334</v>
      </c>
      <c r="K3759" t="b">
        <v>0</v>
      </c>
    </row>
    <row r="3760" spans="1:11" x14ac:dyDescent="0.25">
      <c r="A3760" t="s">
        <v>5921</v>
      </c>
      <c r="B3760" t="s">
        <v>93</v>
      </c>
      <c r="C3760" t="s">
        <v>23</v>
      </c>
      <c r="D3760" t="s">
        <v>410</v>
      </c>
      <c r="E3760" s="2">
        <v>11</v>
      </c>
      <c r="F3760" s="4">
        <v>10</v>
      </c>
      <c r="G3760" s="2">
        <v>110</v>
      </c>
      <c r="H3760" t="s">
        <v>15</v>
      </c>
      <c r="I3760" t="s">
        <v>16</v>
      </c>
      <c r="J3760" s="1">
        <v>45079</v>
      </c>
      <c r="K3760" t="b">
        <v>0</v>
      </c>
    </row>
    <row r="3761" spans="1:11" x14ac:dyDescent="0.25">
      <c r="A3761" t="s">
        <v>972</v>
      </c>
      <c r="B3761" t="s">
        <v>72</v>
      </c>
      <c r="C3761" t="s">
        <v>59</v>
      </c>
      <c r="D3761" t="s">
        <v>347</v>
      </c>
      <c r="E3761" s="2">
        <v>11</v>
      </c>
      <c r="F3761" s="4">
        <v>10</v>
      </c>
      <c r="G3761" s="2">
        <v>110</v>
      </c>
      <c r="H3761" t="s">
        <v>15</v>
      </c>
      <c r="I3761" t="s">
        <v>16</v>
      </c>
      <c r="J3761" s="1">
        <v>44670</v>
      </c>
      <c r="K3761" t="b">
        <v>1</v>
      </c>
    </row>
    <row r="3762" spans="1:11" x14ac:dyDescent="0.25">
      <c r="A3762" t="s">
        <v>3732</v>
      </c>
      <c r="B3762" t="s">
        <v>104</v>
      </c>
      <c r="C3762" t="s">
        <v>27</v>
      </c>
      <c r="D3762" t="s">
        <v>28</v>
      </c>
      <c r="E3762" s="2">
        <v>27.5</v>
      </c>
      <c r="F3762" s="4">
        <v>4</v>
      </c>
      <c r="G3762" s="2">
        <v>110</v>
      </c>
      <c r="H3762" t="s">
        <v>45</v>
      </c>
      <c r="I3762" t="s">
        <v>16</v>
      </c>
      <c r="J3762" s="1">
        <v>44960</v>
      </c>
      <c r="K3762" t="b">
        <v>0</v>
      </c>
    </row>
    <row r="3763" spans="1:11" x14ac:dyDescent="0.25">
      <c r="A3763" t="s">
        <v>5335</v>
      </c>
      <c r="B3763" t="s">
        <v>66</v>
      </c>
      <c r="C3763" t="s">
        <v>23</v>
      </c>
      <c r="D3763" t="s">
        <v>115</v>
      </c>
      <c r="E3763" s="2">
        <v>27.5</v>
      </c>
      <c r="F3763" s="4">
        <v>4</v>
      </c>
      <c r="G3763" s="2">
        <v>110</v>
      </c>
      <c r="H3763" t="s">
        <v>25</v>
      </c>
      <c r="I3763" t="s">
        <v>16</v>
      </c>
      <c r="J3763" s="1">
        <v>45139</v>
      </c>
      <c r="K3763" t="b">
        <v>1</v>
      </c>
    </row>
    <row r="3764" spans="1:11" x14ac:dyDescent="0.25">
      <c r="A3764" t="s">
        <v>7310</v>
      </c>
      <c r="B3764" t="s">
        <v>77</v>
      </c>
      <c r="C3764" t="s">
        <v>110</v>
      </c>
      <c r="D3764" t="s">
        <v>111</v>
      </c>
      <c r="E3764" s="2">
        <v>27.5</v>
      </c>
      <c r="F3764" s="4">
        <v>4</v>
      </c>
      <c r="G3764" s="2">
        <v>110</v>
      </c>
      <c r="H3764" t="s">
        <v>25</v>
      </c>
      <c r="I3764" t="s">
        <v>36</v>
      </c>
      <c r="J3764" s="1">
        <v>44676</v>
      </c>
      <c r="K3764" t="b">
        <v>1</v>
      </c>
    </row>
    <row r="3765" spans="1:11" x14ac:dyDescent="0.25">
      <c r="A3765" t="s">
        <v>3141</v>
      </c>
      <c r="B3765" t="s">
        <v>18</v>
      </c>
      <c r="C3765" t="s">
        <v>38</v>
      </c>
      <c r="D3765" t="s">
        <v>41</v>
      </c>
      <c r="E3765" s="2">
        <v>27.5</v>
      </c>
      <c r="F3765" s="4">
        <v>4</v>
      </c>
      <c r="G3765" s="2">
        <v>110</v>
      </c>
      <c r="H3765" t="s">
        <v>15</v>
      </c>
      <c r="I3765" t="s">
        <v>36</v>
      </c>
      <c r="J3765" s="1">
        <v>45123</v>
      </c>
      <c r="K3765" t="b">
        <v>1</v>
      </c>
    </row>
    <row r="3766" spans="1:11" x14ac:dyDescent="0.25">
      <c r="A3766" t="s">
        <v>2054</v>
      </c>
      <c r="B3766" t="s">
        <v>12</v>
      </c>
      <c r="C3766" t="s">
        <v>110</v>
      </c>
      <c r="D3766" t="s">
        <v>111</v>
      </c>
      <c r="E3766" s="2">
        <v>27.5</v>
      </c>
      <c r="F3766" s="4">
        <v>4</v>
      </c>
      <c r="G3766" s="2">
        <v>110</v>
      </c>
      <c r="H3766" t="s">
        <v>25</v>
      </c>
      <c r="I3766" t="s">
        <v>16</v>
      </c>
      <c r="J3766" s="1">
        <v>45120</v>
      </c>
      <c r="K3766" t="b">
        <v>1</v>
      </c>
    </row>
    <row r="3767" spans="1:11" x14ac:dyDescent="0.25">
      <c r="A3767" t="s">
        <v>5600</v>
      </c>
      <c r="B3767" t="s">
        <v>18</v>
      </c>
      <c r="C3767" t="s">
        <v>19</v>
      </c>
      <c r="D3767" t="s">
        <v>53</v>
      </c>
      <c r="E3767" s="2">
        <v>27.5</v>
      </c>
      <c r="F3767" s="4">
        <v>4</v>
      </c>
      <c r="G3767" s="2">
        <v>110</v>
      </c>
      <c r="H3767" t="s">
        <v>45</v>
      </c>
      <c r="I3767" t="s">
        <v>16</v>
      </c>
      <c r="J3767" s="1">
        <v>45384</v>
      </c>
      <c r="K3767" t="b">
        <v>1</v>
      </c>
    </row>
    <row r="3768" spans="1:11" x14ac:dyDescent="0.25">
      <c r="A3768" t="s">
        <v>7479</v>
      </c>
      <c r="B3768" t="s">
        <v>69</v>
      </c>
      <c r="C3768" t="s">
        <v>13</v>
      </c>
      <c r="D3768" t="s">
        <v>183</v>
      </c>
      <c r="E3768" s="2">
        <v>27.5</v>
      </c>
      <c r="F3768" s="4">
        <v>4</v>
      </c>
      <c r="G3768" s="2">
        <v>110</v>
      </c>
      <c r="H3768" t="s">
        <v>45</v>
      </c>
      <c r="I3768" t="s">
        <v>16</v>
      </c>
      <c r="J3768" s="1">
        <v>44924</v>
      </c>
      <c r="K3768" t="b">
        <v>0</v>
      </c>
    </row>
    <row r="3769" spans="1:11" x14ac:dyDescent="0.25">
      <c r="A3769" t="s">
        <v>4928</v>
      </c>
      <c r="B3769" t="s">
        <v>51</v>
      </c>
      <c r="C3769" t="s">
        <v>31</v>
      </c>
      <c r="D3769" t="s">
        <v>1456</v>
      </c>
      <c r="E3769" s="2">
        <v>27.5</v>
      </c>
      <c r="F3769" s="4">
        <v>4</v>
      </c>
      <c r="G3769" s="2">
        <v>110</v>
      </c>
      <c r="H3769" t="s">
        <v>15</v>
      </c>
      <c r="I3769" t="s">
        <v>36</v>
      </c>
      <c r="J3769" s="1">
        <v>45174</v>
      </c>
      <c r="K3769" t="b">
        <v>0</v>
      </c>
    </row>
    <row r="3770" spans="1:11" x14ac:dyDescent="0.25">
      <c r="A3770" t="s">
        <v>7804</v>
      </c>
      <c r="B3770" t="s">
        <v>34</v>
      </c>
      <c r="C3770" t="s">
        <v>23</v>
      </c>
      <c r="D3770" t="s">
        <v>410</v>
      </c>
      <c r="E3770" s="2">
        <v>11</v>
      </c>
      <c r="F3770" s="4">
        <v>10</v>
      </c>
      <c r="G3770" s="2">
        <v>110</v>
      </c>
      <c r="H3770" t="s">
        <v>25</v>
      </c>
      <c r="I3770" t="s">
        <v>16</v>
      </c>
      <c r="J3770" s="1">
        <v>44864</v>
      </c>
      <c r="K3770" t="b">
        <v>0</v>
      </c>
    </row>
    <row r="3771" spans="1:11" x14ac:dyDescent="0.25">
      <c r="A3771" t="s">
        <v>4260</v>
      </c>
      <c r="B3771" t="s">
        <v>18</v>
      </c>
      <c r="C3771" t="s">
        <v>27</v>
      </c>
      <c r="D3771" t="s">
        <v>28</v>
      </c>
      <c r="E3771" s="2">
        <v>27.5</v>
      </c>
      <c r="F3771" s="4">
        <v>4</v>
      </c>
      <c r="G3771" s="2">
        <v>110</v>
      </c>
      <c r="H3771" t="s">
        <v>45</v>
      </c>
      <c r="I3771" t="s">
        <v>36</v>
      </c>
      <c r="J3771" s="1">
        <v>45041</v>
      </c>
      <c r="K3771" t="b">
        <v>1</v>
      </c>
    </row>
    <row r="3772" spans="1:11" x14ac:dyDescent="0.25">
      <c r="A3772" t="s">
        <v>4442</v>
      </c>
      <c r="B3772" t="s">
        <v>51</v>
      </c>
      <c r="C3772" t="s">
        <v>38</v>
      </c>
      <c r="D3772" t="s">
        <v>193</v>
      </c>
      <c r="E3772" s="2">
        <v>11</v>
      </c>
      <c r="F3772" s="4">
        <v>10</v>
      </c>
      <c r="G3772" s="2">
        <v>110</v>
      </c>
      <c r="H3772" t="s">
        <v>25</v>
      </c>
      <c r="I3772" t="s">
        <v>36</v>
      </c>
      <c r="J3772" s="1">
        <v>45457</v>
      </c>
      <c r="K3772" t="b">
        <v>0</v>
      </c>
    </row>
    <row r="3773" spans="1:11" x14ac:dyDescent="0.25">
      <c r="A3773" t="s">
        <v>6176</v>
      </c>
      <c r="B3773" t="s">
        <v>93</v>
      </c>
      <c r="C3773" t="s">
        <v>13</v>
      </c>
      <c r="D3773" t="s">
        <v>183</v>
      </c>
      <c r="E3773" s="2">
        <v>27.5</v>
      </c>
      <c r="F3773" s="4">
        <v>4</v>
      </c>
      <c r="G3773" s="2">
        <v>110</v>
      </c>
      <c r="H3773" t="s">
        <v>25</v>
      </c>
      <c r="I3773" t="s">
        <v>36</v>
      </c>
      <c r="J3773" s="1">
        <v>45272</v>
      </c>
      <c r="K3773" t="b">
        <v>1</v>
      </c>
    </row>
    <row r="3774" spans="1:11" x14ac:dyDescent="0.25">
      <c r="A3774" t="s">
        <v>1864</v>
      </c>
      <c r="B3774" t="s">
        <v>37</v>
      </c>
      <c r="C3774" t="s">
        <v>31</v>
      </c>
      <c r="D3774" t="s">
        <v>318</v>
      </c>
      <c r="E3774" s="2">
        <v>11</v>
      </c>
      <c r="F3774" s="4">
        <v>10</v>
      </c>
      <c r="G3774" s="2">
        <v>110</v>
      </c>
      <c r="H3774" t="s">
        <v>45</v>
      </c>
      <c r="I3774" t="s">
        <v>16</v>
      </c>
      <c r="J3774" s="1">
        <v>44786</v>
      </c>
      <c r="K3774" t="b">
        <v>1</v>
      </c>
    </row>
    <row r="3775" spans="1:11" x14ac:dyDescent="0.25">
      <c r="A3775" t="s">
        <v>4576</v>
      </c>
      <c r="B3775" t="s">
        <v>43</v>
      </c>
      <c r="C3775" t="s">
        <v>59</v>
      </c>
      <c r="D3775" t="s">
        <v>272</v>
      </c>
      <c r="E3775" s="2">
        <v>27.5</v>
      </c>
      <c r="F3775" s="4">
        <v>4</v>
      </c>
      <c r="G3775" s="2">
        <v>110</v>
      </c>
      <c r="H3775" t="s">
        <v>15</v>
      </c>
      <c r="I3775" t="s">
        <v>36</v>
      </c>
      <c r="J3775" s="1">
        <v>45193</v>
      </c>
      <c r="K3775" t="b">
        <v>0</v>
      </c>
    </row>
    <row r="3776" spans="1:11" x14ac:dyDescent="0.25">
      <c r="A3776" t="s">
        <v>3555</v>
      </c>
      <c r="B3776" t="s">
        <v>61</v>
      </c>
      <c r="C3776" t="s">
        <v>38</v>
      </c>
      <c r="D3776" t="s">
        <v>193</v>
      </c>
      <c r="E3776" s="2">
        <v>11</v>
      </c>
      <c r="F3776" s="4">
        <v>10</v>
      </c>
      <c r="G3776" s="2">
        <v>110</v>
      </c>
      <c r="H3776" t="s">
        <v>15</v>
      </c>
      <c r="I3776" t="s">
        <v>36</v>
      </c>
      <c r="J3776" s="1">
        <v>44939</v>
      </c>
      <c r="K3776" t="b">
        <v>1</v>
      </c>
    </row>
    <row r="3777" spans="1:11" x14ac:dyDescent="0.25">
      <c r="A3777" t="s">
        <v>5642</v>
      </c>
      <c r="B3777" t="s">
        <v>22</v>
      </c>
      <c r="C3777" t="s">
        <v>59</v>
      </c>
      <c r="D3777" t="s">
        <v>347</v>
      </c>
      <c r="E3777" s="2">
        <v>11</v>
      </c>
      <c r="F3777" s="4">
        <v>10</v>
      </c>
      <c r="G3777" s="2">
        <v>110</v>
      </c>
      <c r="H3777" t="s">
        <v>45</v>
      </c>
      <c r="I3777" t="s">
        <v>16</v>
      </c>
      <c r="J3777" s="1">
        <v>45530</v>
      </c>
      <c r="K3777" t="b">
        <v>1</v>
      </c>
    </row>
    <row r="3778" spans="1:11" x14ac:dyDescent="0.25">
      <c r="A3778" t="s">
        <v>6834</v>
      </c>
      <c r="B3778" t="s">
        <v>58</v>
      </c>
      <c r="C3778" t="s">
        <v>38</v>
      </c>
      <c r="D3778" t="s">
        <v>41</v>
      </c>
      <c r="E3778" s="2">
        <v>27.5</v>
      </c>
      <c r="F3778" s="4">
        <v>4</v>
      </c>
      <c r="G3778" s="2">
        <v>110</v>
      </c>
      <c r="H3778" t="s">
        <v>15</v>
      </c>
      <c r="I3778" t="s">
        <v>36</v>
      </c>
      <c r="J3778" s="1">
        <v>44593</v>
      </c>
      <c r="K3778" t="b">
        <v>0</v>
      </c>
    </row>
    <row r="3779" spans="1:11" x14ac:dyDescent="0.25">
      <c r="A3779" t="s">
        <v>1637</v>
      </c>
      <c r="B3779" t="s">
        <v>61</v>
      </c>
      <c r="C3779" t="s">
        <v>23</v>
      </c>
      <c r="D3779" t="s">
        <v>410</v>
      </c>
      <c r="E3779" s="2">
        <v>11</v>
      </c>
      <c r="F3779" s="4">
        <v>10</v>
      </c>
      <c r="G3779" s="2">
        <v>110</v>
      </c>
      <c r="H3779" t="s">
        <v>15</v>
      </c>
      <c r="I3779" t="s">
        <v>36</v>
      </c>
      <c r="J3779" s="1">
        <v>45257</v>
      </c>
      <c r="K3779" t="b">
        <v>1</v>
      </c>
    </row>
    <row r="3780" spans="1:11" x14ac:dyDescent="0.25">
      <c r="A3780" t="s">
        <v>3786</v>
      </c>
      <c r="B3780" t="s">
        <v>58</v>
      </c>
      <c r="C3780" t="s">
        <v>31</v>
      </c>
      <c r="D3780" t="s">
        <v>1456</v>
      </c>
      <c r="E3780" s="2">
        <v>27.5</v>
      </c>
      <c r="F3780" s="4">
        <v>4</v>
      </c>
      <c r="G3780" s="2">
        <v>110</v>
      </c>
      <c r="H3780" t="s">
        <v>45</v>
      </c>
      <c r="I3780" t="s">
        <v>16</v>
      </c>
      <c r="J3780" s="1">
        <v>45297</v>
      </c>
      <c r="K3780" t="b">
        <v>0</v>
      </c>
    </row>
    <row r="3781" spans="1:11" x14ac:dyDescent="0.25">
      <c r="A3781" t="s">
        <v>817</v>
      </c>
      <c r="B3781" t="s">
        <v>18</v>
      </c>
      <c r="C3781" t="s">
        <v>110</v>
      </c>
      <c r="D3781" t="s">
        <v>118</v>
      </c>
      <c r="E3781" s="2">
        <v>11</v>
      </c>
      <c r="F3781" s="4">
        <v>10</v>
      </c>
      <c r="G3781" s="2">
        <v>110</v>
      </c>
      <c r="H3781" t="s">
        <v>25</v>
      </c>
      <c r="I3781" t="s">
        <v>16</v>
      </c>
      <c r="J3781" s="1">
        <v>45187</v>
      </c>
      <c r="K3781" t="b">
        <v>0</v>
      </c>
    </row>
    <row r="3782" spans="1:11" x14ac:dyDescent="0.25">
      <c r="A3782" t="s">
        <v>5917</v>
      </c>
      <c r="B3782" t="s">
        <v>61</v>
      </c>
      <c r="C3782" t="s">
        <v>110</v>
      </c>
      <c r="D3782" t="s">
        <v>118</v>
      </c>
      <c r="E3782" s="2">
        <v>11</v>
      </c>
      <c r="F3782" s="4">
        <v>10</v>
      </c>
      <c r="G3782" s="2">
        <v>110</v>
      </c>
      <c r="H3782" t="s">
        <v>45</v>
      </c>
      <c r="I3782" t="s">
        <v>16</v>
      </c>
      <c r="J3782" s="1">
        <v>45548</v>
      </c>
      <c r="K3782" t="b">
        <v>0</v>
      </c>
    </row>
    <row r="3783" spans="1:11" x14ac:dyDescent="0.25">
      <c r="A3783" t="s">
        <v>604</v>
      </c>
      <c r="B3783" t="s">
        <v>43</v>
      </c>
      <c r="C3783" t="s">
        <v>23</v>
      </c>
      <c r="D3783" t="s">
        <v>115</v>
      </c>
      <c r="E3783" s="2">
        <v>27.5</v>
      </c>
      <c r="F3783" s="4">
        <v>4</v>
      </c>
      <c r="G3783" s="2">
        <v>110</v>
      </c>
      <c r="H3783" t="s">
        <v>15</v>
      </c>
      <c r="I3783" t="s">
        <v>36</v>
      </c>
      <c r="J3783" s="1">
        <v>44696</v>
      </c>
      <c r="K3783" t="b">
        <v>0</v>
      </c>
    </row>
    <row r="3784" spans="1:11" x14ac:dyDescent="0.25">
      <c r="A3784" t="s">
        <v>6746</v>
      </c>
      <c r="B3784" t="s">
        <v>85</v>
      </c>
      <c r="C3784" t="s">
        <v>59</v>
      </c>
      <c r="D3784" t="s">
        <v>272</v>
      </c>
      <c r="E3784" s="2">
        <v>27.5</v>
      </c>
      <c r="F3784" s="4">
        <v>4</v>
      </c>
      <c r="G3784" s="2">
        <v>110</v>
      </c>
      <c r="H3784" t="s">
        <v>15</v>
      </c>
      <c r="I3784" t="s">
        <v>16</v>
      </c>
      <c r="J3784" s="1">
        <v>45451</v>
      </c>
      <c r="K3784" t="b">
        <v>0</v>
      </c>
    </row>
    <row r="3785" spans="1:11" x14ac:dyDescent="0.25">
      <c r="A3785" t="s">
        <v>6846</v>
      </c>
      <c r="B3785" t="s">
        <v>30</v>
      </c>
      <c r="C3785" t="s">
        <v>38</v>
      </c>
      <c r="D3785" t="s">
        <v>41</v>
      </c>
      <c r="E3785" s="2">
        <v>27.5</v>
      </c>
      <c r="F3785" s="4">
        <v>4</v>
      </c>
      <c r="G3785" s="2">
        <v>110</v>
      </c>
      <c r="H3785" t="s">
        <v>25</v>
      </c>
      <c r="I3785" t="s">
        <v>36</v>
      </c>
      <c r="J3785" s="1">
        <v>44643</v>
      </c>
      <c r="K3785" t="b">
        <v>1</v>
      </c>
    </row>
    <row r="3786" spans="1:11" x14ac:dyDescent="0.25">
      <c r="A3786" t="s">
        <v>7461</v>
      </c>
      <c r="B3786" t="s">
        <v>104</v>
      </c>
      <c r="C3786" t="s">
        <v>13</v>
      </c>
      <c r="D3786" t="s">
        <v>183</v>
      </c>
      <c r="E3786" s="2">
        <v>27.5</v>
      </c>
      <c r="F3786" s="4">
        <v>4</v>
      </c>
      <c r="G3786" s="2">
        <v>110</v>
      </c>
      <c r="H3786" t="s">
        <v>45</v>
      </c>
      <c r="I3786" t="s">
        <v>16</v>
      </c>
      <c r="J3786" s="1">
        <v>45365</v>
      </c>
      <c r="K3786" t="b">
        <v>0</v>
      </c>
    </row>
    <row r="3787" spans="1:11" x14ac:dyDescent="0.25">
      <c r="A3787" t="s">
        <v>7212</v>
      </c>
      <c r="B3787" t="s">
        <v>22</v>
      </c>
      <c r="C3787" t="s">
        <v>31</v>
      </c>
      <c r="D3787" t="s">
        <v>1456</v>
      </c>
      <c r="E3787" s="2">
        <v>27.5</v>
      </c>
      <c r="F3787" s="4">
        <v>4</v>
      </c>
      <c r="G3787" s="2">
        <v>110</v>
      </c>
      <c r="H3787" t="s">
        <v>45</v>
      </c>
      <c r="I3787" t="s">
        <v>16</v>
      </c>
      <c r="J3787" s="1">
        <v>44830</v>
      </c>
      <c r="K3787" t="b">
        <v>1</v>
      </c>
    </row>
    <row r="3788" spans="1:11" x14ac:dyDescent="0.25">
      <c r="A3788" t="s">
        <v>470</v>
      </c>
      <c r="B3788" t="s">
        <v>61</v>
      </c>
      <c r="C3788" t="s">
        <v>13</v>
      </c>
      <c r="D3788" t="s">
        <v>471</v>
      </c>
      <c r="E3788" s="2">
        <v>11</v>
      </c>
      <c r="F3788" s="4">
        <v>10</v>
      </c>
      <c r="G3788" s="2">
        <v>110</v>
      </c>
      <c r="H3788" t="s">
        <v>45</v>
      </c>
      <c r="I3788" t="s">
        <v>36</v>
      </c>
      <c r="J3788" s="1">
        <v>45590</v>
      </c>
      <c r="K3788" t="b">
        <v>1</v>
      </c>
    </row>
    <row r="3789" spans="1:11" x14ac:dyDescent="0.25">
      <c r="A3789" t="s">
        <v>5033</v>
      </c>
      <c r="B3789" t="s">
        <v>86</v>
      </c>
      <c r="C3789" t="s">
        <v>27</v>
      </c>
      <c r="D3789" t="s">
        <v>28</v>
      </c>
      <c r="E3789" s="2">
        <v>27.5</v>
      </c>
      <c r="F3789" s="4">
        <v>4</v>
      </c>
      <c r="G3789" s="2">
        <v>110</v>
      </c>
      <c r="H3789" t="s">
        <v>45</v>
      </c>
      <c r="I3789" t="s">
        <v>16</v>
      </c>
      <c r="J3789" s="1">
        <v>44925</v>
      </c>
      <c r="K3789" t="b">
        <v>1</v>
      </c>
    </row>
    <row r="3790" spans="1:11" x14ac:dyDescent="0.25">
      <c r="A3790" t="s">
        <v>7765</v>
      </c>
      <c r="B3790" t="s">
        <v>51</v>
      </c>
      <c r="C3790" t="s">
        <v>38</v>
      </c>
      <c r="D3790" t="s">
        <v>41</v>
      </c>
      <c r="E3790" s="2">
        <v>27.5</v>
      </c>
      <c r="F3790" s="4">
        <v>4</v>
      </c>
      <c r="G3790" s="2">
        <v>110</v>
      </c>
      <c r="H3790" t="s">
        <v>45</v>
      </c>
      <c r="I3790" t="s">
        <v>36</v>
      </c>
      <c r="J3790" s="1">
        <v>44968</v>
      </c>
      <c r="K3790" t="b">
        <v>0</v>
      </c>
    </row>
    <row r="3791" spans="1:11" x14ac:dyDescent="0.25">
      <c r="A3791" t="s">
        <v>3550</v>
      </c>
      <c r="B3791" t="s">
        <v>18</v>
      </c>
      <c r="C3791" t="s">
        <v>27</v>
      </c>
      <c r="D3791" t="s">
        <v>28</v>
      </c>
      <c r="E3791" s="2">
        <v>27.5</v>
      </c>
      <c r="F3791" s="4">
        <v>4</v>
      </c>
      <c r="G3791" s="2">
        <v>110</v>
      </c>
      <c r="H3791" t="s">
        <v>45</v>
      </c>
      <c r="I3791" t="s">
        <v>36</v>
      </c>
      <c r="J3791" s="1">
        <v>44610</v>
      </c>
      <c r="K3791" t="b">
        <v>1</v>
      </c>
    </row>
    <row r="3792" spans="1:11" x14ac:dyDescent="0.25">
      <c r="A3792" t="s">
        <v>7399</v>
      </c>
      <c r="B3792" t="s">
        <v>77</v>
      </c>
      <c r="C3792" t="s">
        <v>31</v>
      </c>
      <c r="D3792" t="s">
        <v>318</v>
      </c>
      <c r="E3792" s="2">
        <v>11</v>
      </c>
      <c r="F3792" s="4">
        <v>10</v>
      </c>
      <c r="G3792" s="2">
        <v>110</v>
      </c>
      <c r="H3792" t="s">
        <v>25</v>
      </c>
      <c r="I3792" t="s">
        <v>36</v>
      </c>
      <c r="J3792" s="1">
        <v>45529</v>
      </c>
      <c r="K3792" t="b">
        <v>0</v>
      </c>
    </row>
    <row r="3793" spans="1:11" x14ac:dyDescent="0.25">
      <c r="A3793" t="s">
        <v>5712</v>
      </c>
      <c r="B3793" t="s">
        <v>56</v>
      </c>
      <c r="C3793" t="s">
        <v>19</v>
      </c>
      <c r="D3793" t="s">
        <v>53</v>
      </c>
      <c r="E3793" s="2">
        <v>27.5</v>
      </c>
      <c r="F3793" s="4">
        <v>4</v>
      </c>
      <c r="G3793" s="2">
        <v>110</v>
      </c>
      <c r="H3793" t="s">
        <v>25</v>
      </c>
      <c r="I3793" t="s">
        <v>36</v>
      </c>
      <c r="J3793" s="1">
        <v>45416</v>
      </c>
      <c r="K3793" t="b">
        <v>0</v>
      </c>
    </row>
    <row r="3794" spans="1:11" x14ac:dyDescent="0.25">
      <c r="A3794" t="s">
        <v>973</v>
      </c>
      <c r="B3794" t="s">
        <v>56</v>
      </c>
      <c r="C3794" t="s">
        <v>27</v>
      </c>
      <c r="D3794" t="s">
        <v>101</v>
      </c>
      <c r="E3794" s="2">
        <v>36.5</v>
      </c>
      <c r="F3794" s="4">
        <v>3</v>
      </c>
      <c r="G3794" s="2">
        <v>109.5</v>
      </c>
      <c r="H3794" t="s">
        <v>45</v>
      </c>
      <c r="I3794" t="s">
        <v>36</v>
      </c>
      <c r="J3794" s="1">
        <v>45658</v>
      </c>
      <c r="K3794" t="b">
        <v>1</v>
      </c>
    </row>
    <row r="3795" spans="1:11" x14ac:dyDescent="0.25">
      <c r="A3795" t="s">
        <v>3606</v>
      </c>
      <c r="B3795" t="s">
        <v>51</v>
      </c>
      <c r="C3795" t="s">
        <v>59</v>
      </c>
      <c r="D3795" t="s">
        <v>290</v>
      </c>
      <c r="E3795" s="2">
        <v>36.5</v>
      </c>
      <c r="F3795" s="4">
        <v>3</v>
      </c>
      <c r="G3795" s="2">
        <v>109.5</v>
      </c>
      <c r="H3795" t="s">
        <v>15</v>
      </c>
      <c r="I3795" t="s">
        <v>16</v>
      </c>
      <c r="J3795" s="1">
        <v>45183</v>
      </c>
      <c r="K3795" t="b">
        <v>0</v>
      </c>
    </row>
    <row r="3796" spans="1:11" x14ac:dyDescent="0.25">
      <c r="A3796" t="s">
        <v>2042</v>
      </c>
      <c r="B3796" t="s">
        <v>77</v>
      </c>
      <c r="C3796" t="s">
        <v>31</v>
      </c>
      <c r="D3796" t="s">
        <v>136</v>
      </c>
      <c r="E3796" s="2">
        <v>36.5</v>
      </c>
      <c r="F3796" s="4">
        <v>3</v>
      </c>
      <c r="G3796" s="2">
        <v>109.5</v>
      </c>
      <c r="H3796" t="s">
        <v>15</v>
      </c>
      <c r="I3796" t="s">
        <v>36</v>
      </c>
      <c r="J3796" s="1">
        <v>45364</v>
      </c>
      <c r="K3796" t="b">
        <v>0</v>
      </c>
    </row>
    <row r="3797" spans="1:11" x14ac:dyDescent="0.25">
      <c r="A3797" t="s">
        <v>4337</v>
      </c>
      <c r="B3797" t="s">
        <v>43</v>
      </c>
      <c r="C3797" t="s">
        <v>23</v>
      </c>
      <c r="D3797" t="s">
        <v>44</v>
      </c>
      <c r="E3797" s="2">
        <v>36.5</v>
      </c>
      <c r="F3797" s="4">
        <v>3</v>
      </c>
      <c r="G3797" s="2">
        <v>109.5</v>
      </c>
      <c r="H3797" t="s">
        <v>15</v>
      </c>
      <c r="I3797" t="s">
        <v>16</v>
      </c>
      <c r="J3797" s="1">
        <v>44967</v>
      </c>
      <c r="K3797" t="b">
        <v>0</v>
      </c>
    </row>
    <row r="3798" spans="1:11" x14ac:dyDescent="0.25">
      <c r="A3798" t="s">
        <v>7098</v>
      </c>
      <c r="B3798" t="s">
        <v>104</v>
      </c>
      <c r="C3798" t="s">
        <v>23</v>
      </c>
      <c r="D3798" t="s">
        <v>44</v>
      </c>
      <c r="E3798" s="2">
        <v>36.5</v>
      </c>
      <c r="F3798" s="4">
        <v>3</v>
      </c>
      <c r="G3798" s="2">
        <v>109.5</v>
      </c>
      <c r="H3798" t="s">
        <v>45</v>
      </c>
      <c r="I3798" t="s">
        <v>36</v>
      </c>
      <c r="J3798" s="1">
        <v>45216</v>
      </c>
      <c r="K3798" t="b">
        <v>1</v>
      </c>
    </row>
    <row r="3799" spans="1:11" x14ac:dyDescent="0.25">
      <c r="A3799" t="s">
        <v>960</v>
      </c>
      <c r="B3799" t="s">
        <v>56</v>
      </c>
      <c r="C3799" t="s">
        <v>23</v>
      </c>
      <c r="D3799" t="s">
        <v>44</v>
      </c>
      <c r="E3799" s="2">
        <v>36.5</v>
      </c>
      <c r="F3799" s="4">
        <v>3</v>
      </c>
      <c r="G3799" s="2">
        <v>109.5</v>
      </c>
      <c r="H3799" t="s">
        <v>15</v>
      </c>
      <c r="I3799" t="s">
        <v>36</v>
      </c>
      <c r="J3799" s="1">
        <v>45092</v>
      </c>
      <c r="K3799" t="b">
        <v>1</v>
      </c>
    </row>
    <row r="3800" spans="1:11" x14ac:dyDescent="0.25">
      <c r="A3800" t="s">
        <v>42</v>
      </c>
      <c r="B3800" t="s">
        <v>43</v>
      </c>
      <c r="C3800" t="s">
        <v>23</v>
      </c>
      <c r="D3800" t="s">
        <v>44</v>
      </c>
      <c r="E3800" s="2">
        <v>36.5</v>
      </c>
      <c r="F3800" s="4">
        <v>3</v>
      </c>
      <c r="G3800" s="2">
        <v>109.5</v>
      </c>
      <c r="H3800" t="s">
        <v>45</v>
      </c>
      <c r="I3800" t="s">
        <v>16</v>
      </c>
      <c r="J3800" s="1">
        <v>45365</v>
      </c>
      <c r="K3800" t="b">
        <v>0</v>
      </c>
    </row>
    <row r="3801" spans="1:11" x14ac:dyDescent="0.25">
      <c r="A3801" t="s">
        <v>1279</v>
      </c>
      <c r="B3801" t="s">
        <v>72</v>
      </c>
      <c r="C3801" t="s">
        <v>38</v>
      </c>
      <c r="D3801" t="s">
        <v>149</v>
      </c>
      <c r="E3801" s="2">
        <v>36.5</v>
      </c>
      <c r="F3801" s="4">
        <v>3</v>
      </c>
      <c r="G3801" s="2">
        <v>109.5</v>
      </c>
      <c r="H3801" t="s">
        <v>25</v>
      </c>
      <c r="I3801" t="s">
        <v>16</v>
      </c>
      <c r="J3801" s="1">
        <v>45204</v>
      </c>
      <c r="K3801" t="b">
        <v>0</v>
      </c>
    </row>
    <row r="3802" spans="1:11" x14ac:dyDescent="0.25">
      <c r="A3802" t="s">
        <v>2290</v>
      </c>
      <c r="B3802" t="s">
        <v>85</v>
      </c>
      <c r="C3802" t="s">
        <v>59</v>
      </c>
      <c r="D3802" t="s">
        <v>290</v>
      </c>
      <c r="E3802" s="2">
        <v>36.5</v>
      </c>
      <c r="F3802" s="4">
        <v>3</v>
      </c>
      <c r="G3802" s="2">
        <v>109.5</v>
      </c>
      <c r="H3802" t="s">
        <v>15</v>
      </c>
      <c r="I3802" t="s">
        <v>16</v>
      </c>
      <c r="J3802" s="1">
        <v>45432</v>
      </c>
      <c r="K3802" t="b">
        <v>0</v>
      </c>
    </row>
    <row r="3803" spans="1:11" x14ac:dyDescent="0.25">
      <c r="A3803" t="s">
        <v>6229</v>
      </c>
      <c r="B3803" t="s">
        <v>66</v>
      </c>
      <c r="C3803" t="s">
        <v>19</v>
      </c>
      <c r="D3803" t="s">
        <v>412</v>
      </c>
      <c r="E3803" s="2">
        <v>36.5</v>
      </c>
      <c r="F3803" s="4">
        <v>3</v>
      </c>
      <c r="G3803" s="2">
        <v>109.5</v>
      </c>
      <c r="H3803" t="s">
        <v>15</v>
      </c>
      <c r="I3803" t="s">
        <v>16</v>
      </c>
      <c r="J3803" s="1">
        <v>45599</v>
      </c>
      <c r="K3803" t="b">
        <v>1</v>
      </c>
    </row>
    <row r="3804" spans="1:11" x14ac:dyDescent="0.25">
      <c r="A3804" t="s">
        <v>3145</v>
      </c>
      <c r="B3804" t="s">
        <v>56</v>
      </c>
      <c r="C3804" t="s">
        <v>19</v>
      </c>
      <c r="D3804" t="s">
        <v>412</v>
      </c>
      <c r="E3804" s="2">
        <v>36.5</v>
      </c>
      <c r="F3804" s="4">
        <v>3</v>
      </c>
      <c r="G3804" s="2">
        <v>109.5</v>
      </c>
      <c r="H3804" t="s">
        <v>45</v>
      </c>
      <c r="I3804" t="s">
        <v>16</v>
      </c>
      <c r="J3804" s="1">
        <v>45261</v>
      </c>
      <c r="K3804" t="b">
        <v>1</v>
      </c>
    </row>
    <row r="3805" spans="1:11" x14ac:dyDescent="0.25">
      <c r="A3805" t="s">
        <v>1260</v>
      </c>
      <c r="B3805" t="s">
        <v>93</v>
      </c>
      <c r="C3805" t="s">
        <v>19</v>
      </c>
      <c r="D3805" t="s">
        <v>412</v>
      </c>
      <c r="E3805" s="2">
        <v>36.5</v>
      </c>
      <c r="F3805" s="4">
        <v>3</v>
      </c>
      <c r="G3805" s="2">
        <v>109.5</v>
      </c>
      <c r="H3805" t="s">
        <v>25</v>
      </c>
      <c r="I3805" t="s">
        <v>16</v>
      </c>
      <c r="J3805" s="1">
        <v>45439</v>
      </c>
      <c r="K3805" t="b">
        <v>0</v>
      </c>
    </row>
    <row r="3806" spans="1:11" x14ac:dyDescent="0.25">
      <c r="A3806" t="s">
        <v>1296</v>
      </c>
      <c r="B3806" t="s">
        <v>12</v>
      </c>
      <c r="C3806" t="s">
        <v>23</v>
      </c>
      <c r="D3806" t="s">
        <v>44</v>
      </c>
      <c r="E3806" s="2">
        <v>36.5</v>
      </c>
      <c r="F3806" s="4">
        <v>3</v>
      </c>
      <c r="G3806" s="2">
        <v>109.5</v>
      </c>
      <c r="H3806" t="s">
        <v>45</v>
      </c>
      <c r="I3806" t="s">
        <v>36</v>
      </c>
      <c r="J3806" s="1">
        <v>45331</v>
      </c>
      <c r="K3806" t="b">
        <v>0</v>
      </c>
    </row>
    <row r="3807" spans="1:11" x14ac:dyDescent="0.25">
      <c r="A3807" t="s">
        <v>5594</v>
      </c>
      <c r="B3807" t="s">
        <v>69</v>
      </c>
      <c r="C3807" t="s">
        <v>27</v>
      </c>
      <c r="D3807" t="s">
        <v>101</v>
      </c>
      <c r="E3807" s="2">
        <v>36.5</v>
      </c>
      <c r="F3807" s="4">
        <v>3</v>
      </c>
      <c r="G3807" s="2">
        <v>109.5</v>
      </c>
      <c r="H3807" t="s">
        <v>45</v>
      </c>
      <c r="I3807" t="s">
        <v>36</v>
      </c>
      <c r="J3807" s="1">
        <v>45140</v>
      </c>
      <c r="K3807" t="b">
        <v>0</v>
      </c>
    </row>
    <row r="3808" spans="1:11" x14ac:dyDescent="0.25">
      <c r="A3808" t="s">
        <v>4336</v>
      </c>
      <c r="B3808" t="s">
        <v>66</v>
      </c>
      <c r="C3808" t="s">
        <v>110</v>
      </c>
      <c r="D3808" t="s">
        <v>134</v>
      </c>
      <c r="E3808" s="2">
        <v>36.5</v>
      </c>
      <c r="F3808" s="4">
        <v>3</v>
      </c>
      <c r="G3808" s="2">
        <v>109.5</v>
      </c>
      <c r="H3808" t="s">
        <v>15</v>
      </c>
      <c r="I3808" t="s">
        <v>16</v>
      </c>
      <c r="J3808" s="1">
        <v>44703</v>
      </c>
      <c r="K3808" t="b">
        <v>1</v>
      </c>
    </row>
    <row r="3809" spans="1:11" x14ac:dyDescent="0.25">
      <c r="A3809" t="s">
        <v>4493</v>
      </c>
      <c r="B3809" t="s">
        <v>34</v>
      </c>
      <c r="C3809" t="s">
        <v>110</v>
      </c>
      <c r="D3809" t="s">
        <v>134</v>
      </c>
      <c r="E3809" s="2">
        <v>36.5</v>
      </c>
      <c r="F3809" s="4">
        <v>3</v>
      </c>
      <c r="G3809" s="2">
        <v>109.5</v>
      </c>
      <c r="H3809" t="s">
        <v>15</v>
      </c>
      <c r="I3809" t="s">
        <v>36</v>
      </c>
      <c r="J3809" s="1">
        <v>45558</v>
      </c>
      <c r="K3809" t="b">
        <v>0</v>
      </c>
    </row>
    <row r="3810" spans="1:11" x14ac:dyDescent="0.25">
      <c r="A3810" t="s">
        <v>3062</v>
      </c>
      <c r="B3810" t="s">
        <v>72</v>
      </c>
      <c r="C3810" t="s">
        <v>13</v>
      </c>
      <c r="D3810" t="s">
        <v>80</v>
      </c>
      <c r="E3810" s="2">
        <v>36.5</v>
      </c>
      <c r="F3810" s="4">
        <v>3</v>
      </c>
      <c r="G3810" s="2">
        <v>109.5</v>
      </c>
      <c r="H3810" t="s">
        <v>45</v>
      </c>
      <c r="I3810" t="s">
        <v>36</v>
      </c>
      <c r="J3810" s="1">
        <v>45594</v>
      </c>
      <c r="K3810" t="b">
        <v>1</v>
      </c>
    </row>
    <row r="3811" spans="1:11" x14ac:dyDescent="0.25">
      <c r="A3811" t="s">
        <v>2561</v>
      </c>
      <c r="B3811" t="s">
        <v>58</v>
      </c>
      <c r="C3811" t="s">
        <v>27</v>
      </c>
      <c r="D3811" t="s">
        <v>101</v>
      </c>
      <c r="E3811" s="2">
        <v>36.5</v>
      </c>
      <c r="F3811" s="4">
        <v>3</v>
      </c>
      <c r="G3811" s="2">
        <v>109.5</v>
      </c>
      <c r="H3811" t="s">
        <v>25</v>
      </c>
      <c r="I3811" t="s">
        <v>36</v>
      </c>
      <c r="J3811" s="1">
        <v>45656</v>
      </c>
      <c r="K3811" t="b">
        <v>0</v>
      </c>
    </row>
    <row r="3812" spans="1:11" x14ac:dyDescent="0.25">
      <c r="A3812" t="s">
        <v>5967</v>
      </c>
      <c r="B3812" t="s">
        <v>69</v>
      </c>
      <c r="C3812" t="s">
        <v>13</v>
      </c>
      <c r="D3812" t="s">
        <v>80</v>
      </c>
      <c r="E3812" s="2">
        <v>36.5</v>
      </c>
      <c r="F3812" s="4">
        <v>3</v>
      </c>
      <c r="G3812" s="2">
        <v>109.5</v>
      </c>
      <c r="H3812" t="s">
        <v>15</v>
      </c>
      <c r="I3812" t="s">
        <v>36</v>
      </c>
      <c r="J3812" s="1">
        <v>45571</v>
      </c>
      <c r="K3812" t="b">
        <v>1</v>
      </c>
    </row>
    <row r="3813" spans="1:11" x14ac:dyDescent="0.25">
      <c r="A3813" t="s">
        <v>2294</v>
      </c>
      <c r="B3813" t="s">
        <v>18</v>
      </c>
      <c r="C3813" t="s">
        <v>19</v>
      </c>
      <c r="D3813" t="s">
        <v>412</v>
      </c>
      <c r="E3813" s="2">
        <v>36.5</v>
      </c>
      <c r="F3813" s="4">
        <v>3</v>
      </c>
      <c r="G3813" s="2">
        <v>109.5</v>
      </c>
      <c r="H3813" t="s">
        <v>25</v>
      </c>
      <c r="I3813" t="s">
        <v>36</v>
      </c>
      <c r="J3813" s="1">
        <v>44957</v>
      </c>
      <c r="K3813" t="b">
        <v>0</v>
      </c>
    </row>
    <row r="3814" spans="1:11" x14ac:dyDescent="0.25">
      <c r="A3814" t="s">
        <v>1509</v>
      </c>
      <c r="B3814" t="s">
        <v>77</v>
      </c>
      <c r="C3814" t="s">
        <v>59</v>
      </c>
      <c r="D3814" t="s">
        <v>290</v>
      </c>
      <c r="E3814" s="2">
        <v>36.5</v>
      </c>
      <c r="F3814" s="4">
        <v>3</v>
      </c>
      <c r="G3814" s="2">
        <v>109.5</v>
      </c>
      <c r="H3814" t="s">
        <v>25</v>
      </c>
      <c r="I3814" t="s">
        <v>16</v>
      </c>
      <c r="J3814" s="1">
        <v>44607</v>
      </c>
      <c r="K3814" t="b">
        <v>0</v>
      </c>
    </row>
    <row r="3815" spans="1:11" x14ac:dyDescent="0.25">
      <c r="A3815" t="s">
        <v>3402</v>
      </c>
      <c r="B3815" t="s">
        <v>56</v>
      </c>
      <c r="C3815" t="s">
        <v>19</v>
      </c>
      <c r="D3815" t="s">
        <v>412</v>
      </c>
      <c r="E3815" s="2">
        <v>36.5</v>
      </c>
      <c r="F3815" s="4">
        <v>3</v>
      </c>
      <c r="G3815" s="2">
        <v>109.5</v>
      </c>
      <c r="H3815" t="s">
        <v>15</v>
      </c>
      <c r="I3815" t="s">
        <v>16</v>
      </c>
      <c r="J3815" s="1">
        <v>44750</v>
      </c>
      <c r="K3815" t="b">
        <v>0</v>
      </c>
    </row>
    <row r="3816" spans="1:11" x14ac:dyDescent="0.25">
      <c r="A3816" t="s">
        <v>1207</v>
      </c>
      <c r="B3816" t="s">
        <v>72</v>
      </c>
      <c r="C3816" t="s">
        <v>110</v>
      </c>
      <c r="D3816" t="s">
        <v>134</v>
      </c>
      <c r="E3816" s="2">
        <v>36.5</v>
      </c>
      <c r="F3816" s="4">
        <v>3</v>
      </c>
      <c r="G3816" s="2">
        <v>109.5</v>
      </c>
      <c r="H3816" t="s">
        <v>15</v>
      </c>
      <c r="I3816" t="s">
        <v>36</v>
      </c>
      <c r="J3816" s="1">
        <v>45430</v>
      </c>
      <c r="K3816" t="b">
        <v>1</v>
      </c>
    </row>
    <row r="3817" spans="1:11" x14ac:dyDescent="0.25">
      <c r="A3817" t="s">
        <v>4769</v>
      </c>
      <c r="B3817" t="s">
        <v>30</v>
      </c>
      <c r="C3817" t="s">
        <v>23</v>
      </c>
      <c r="D3817" t="s">
        <v>44</v>
      </c>
      <c r="E3817" s="2">
        <v>36.5</v>
      </c>
      <c r="F3817" s="4">
        <v>3</v>
      </c>
      <c r="G3817" s="2">
        <v>109.5</v>
      </c>
      <c r="H3817" t="s">
        <v>45</v>
      </c>
      <c r="I3817" t="s">
        <v>36</v>
      </c>
      <c r="J3817" s="1">
        <v>44564</v>
      </c>
      <c r="K3817" t="b">
        <v>1</v>
      </c>
    </row>
    <row r="3818" spans="1:11" x14ac:dyDescent="0.25">
      <c r="A3818" t="s">
        <v>7260</v>
      </c>
      <c r="B3818" t="s">
        <v>77</v>
      </c>
      <c r="C3818" t="s">
        <v>110</v>
      </c>
      <c r="D3818" t="s">
        <v>134</v>
      </c>
      <c r="E3818" s="2">
        <v>36.5</v>
      </c>
      <c r="F3818" s="4">
        <v>3</v>
      </c>
      <c r="G3818" s="2">
        <v>109.5</v>
      </c>
      <c r="H3818" t="s">
        <v>25</v>
      </c>
      <c r="I3818" t="s">
        <v>16</v>
      </c>
      <c r="J3818" s="1">
        <v>44717</v>
      </c>
      <c r="K3818" t="b">
        <v>1</v>
      </c>
    </row>
    <row r="3819" spans="1:11" x14ac:dyDescent="0.25">
      <c r="A3819" t="s">
        <v>7356</v>
      </c>
      <c r="B3819" t="s">
        <v>85</v>
      </c>
      <c r="C3819" t="s">
        <v>19</v>
      </c>
      <c r="D3819" t="s">
        <v>412</v>
      </c>
      <c r="E3819" s="2">
        <v>36.5</v>
      </c>
      <c r="F3819" s="4">
        <v>3</v>
      </c>
      <c r="G3819" s="2">
        <v>109.5</v>
      </c>
      <c r="H3819" t="s">
        <v>15</v>
      </c>
      <c r="I3819" t="s">
        <v>16</v>
      </c>
      <c r="J3819" s="1">
        <v>45130</v>
      </c>
      <c r="K3819" t="b">
        <v>0</v>
      </c>
    </row>
    <row r="3820" spans="1:11" x14ac:dyDescent="0.25">
      <c r="A3820" t="s">
        <v>4188</v>
      </c>
      <c r="B3820" t="s">
        <v>104</v>
      </c>
      <c r="C3820" t="s">
        <v>19</v>
      </c>
      <c r="D3820" t="s">
        <v>412</v>
      </c>
      <c r="E3820" s="2">
        <v>36.5</v>
      </c>
      <c r="F3820" s="4">
        <v>3</v>
      </c>
      <c r="G3820" s="2">
        <v>109.5</v>
      </c>
      <c r="H3820" t="s">
        <v>15</v>
      </c>
      <c r="I3820" t="s">
        <v>36</v>
      </c>
      <c r="J3820" s="1">
        <v>45221</v>
      </c>
      <c r="K3820" t="b">
        <v>0</v>
      </c>
    </row>
    <row r="3821" spans="1:11" x14ac:dyDescent="0.25">
      <c r="A3821" t="s">
        <v>6562</v>
      </c>
      <c r="B3821" t="s">
        <v>100</v>
      </c>
      <c r="C3821" t="s">
        <v>19</v>
      </c>
      <c r="D3821" t="s">
        <v>412</v>
      </c>
      <c r="E3821" s="2">
        <v>36.5</v>
      </c>
      <c r="F3821" s="4">
        <v>3</v>
      </c>
      <c r="G3821" s="2">
        <v>109.5</v>
      </c>
      <c r="H3821" t="s">
        <v>15</v>
      </c>
      <c r="I3821" t="s">
        <v>36</v>
      </c>
      <c r="J3821" s="1">
        <v>45529</v>
      </c>
      <c r="K3821" t="b">
        <v>0</v>
      </c>
    </row>
    <row r="3822" spans="1:11" x14ac:dyDescent="0.25">
      <c r="A3822" t="s">
        <v>3954</v>
      </c>
      <c r="B3822" t="s">
        <v>40</v>
      </c>
      <c r="C3822" t="s">
        <v>19</v>
      </c>
      <c r="D3822" t="s">
        <v>412</v>
      </c>
      <c r="E3822" s="2">
        <v>36.5</v>
      </c>
      <c r="F3822" s="4">
        <v>3</v>
      </c>
      <c r="G3822" s="2">
        <v>109.5</v>
      </c>
      <c r="H3822" t="s">
        <v>15</v>
      </c>
      <c r="I3822" t="s">
        <v>36</v>
      </c>
      <c r="J3822" s="1">
        <v>45264</v>
      </c>
      <c r="K3822" t="b">
        <v>0</v>
      </c>
    </row>
    <row r="3823" spans="1:11" x14ac:dyDescent="0.25">
      <c r="A3823" t="s">
        <v>1877</v>
      </c>
      <c r="B3823" t="s">
        <v>97</v>
      </c>
      <c r="C3823" t="s">
        <v>23</v>
      </c>
      <c r="D3823" t="s">
        <v>44</v>
      </c>
      <c r="E3823" s="2">
        <v>36.5</v>
      </c>
      <c r="F3823" s="4">
        <v>3</v>
      </c>
      <c r="G3823" s="2">
        <v>109.5</v>
      </c>
      <c r="H3823" t="s">
        <v>25</v>
      </c>
      <c r="I3823" t="s">
        <v>16</v>
      </c>
      <c r="J3823" s="1">
        <v>45124</v>
      </c>
      <c r="K3823" t="b">
        <v>1</v>
      </c>
    </row>
    <row r="3824" spans="1:11" x14ac:dyDescent="0.25">
      <c r="A3824" t="s">
        <v>1064</v>
      </c>
      <c r="B3824" t="s">
        <v>40</v>
      </c>
      <c r="C3824" t="s">
        <v>13</v>
      </c>
      <c r="D3824" t="s">
        <v>80</v>
      </c>
      <c r="E3824" s="2">
        <v>36.5</v>
      </c>
      <c r="F3824" s="4">
        <v>3</v>
      </c>
      <c r="G3824" s="2">
        <v>109.5</v>
      </c>
      <c r="H3824" t="s">
        <v>15</v>
      </c>
      <c r="I3824" t="s">
        <v>16</v>
      </c>
      <c r="J3824" s="1">
        <v>45265</v>
      </c>
      <c r="K3824" t="b">
        <v>1</v>
      </c>
    </row>
    <row r="3825" spans="1:11" x14ac:dyDescent="0.25">
      <c r="A3825" t="s">
        <v>3527</v>
      </c>
      <c r="B3825" t="s">
        <v>30</v>
      </c>
      <c r="C3825" t="s">
        <v>23</v>
      </c>
      <c r="D3825" t="s">
        <v>44</v>
      </c>
      <c r="E3825" s="2">
        <v>36.5</v>
      </c>
      <c r="F3825" s="4">
        <v>3</v>
      </c>
      <c r="G3825" s="2">
        <v>109.5</v>
      </c>
      <c r="H3825" t="s">
        <v>15</v>
      </c>
      <c r="I3825" t="s">
        <v>16</v>
      </c>
      <c r="J3825" s="1">
        <v>45556</v>
      </c>
      <c r="K3825" t="b">
        <v>0</v>
      </c>
    </row>
    <row r="3826" spans="1:11" x14ac:dyDescent="0.25">
      <c r="A3826" t="s">
        <v>3408</v>
      </c>
      <c r="B3826" t="s">
        <v>97</v>
      </c>
      <c r="C3826" t="s">
        <v>31</v>
      </c>
      <c r="D3826" t="s">
        <v>136</v>
      </c>
      <c r="E3826" s="2">
        <v>36.5</v>
      </c>
      <c r="F3826" s="4">
        <v>3</v>
      </c>
      <c r="G3826" s="2">
        <v>109.5</v>
      </c>
      <c r="H3826" t="s">
        <v>45</v>
      </c>
      <c r="I3826" t="s">
        <v>36</v>
      </c>
      <c r="J3826" s="1">
        <v>44562</v>
      </c>
      <c r="K3826" t="b">
        <v>0</v>
      </c>
    </row>
    <row r="3827" spans="1:11" x14ac:dyDescent="0.25">
      <c r="A3827" t="s">
        <v>1240</v>
      </c>
      <c r="B3827" t="s">
        <v>56</v>
      </c>
      <c r="C3827" t="s">
        <v>19</v>
      </c>
      <c r="D3827" t="s">
        <v>166</v>
      </c>
      <c r="E3827" s="2">
        <v>15.5</v>
      </c>
      <c r="F3827" s="4">
        <v>7</v>
      </c>
      <c r="G3827" s="2">
        <v>108.5</v>
      </c>
      <c r="H3827" t="s">
        <v>25</v>
      </c>
      <c r="I3827" t="s">
        <v>36</v>
      </c>
      <c r="J3827" s="1">
        <v>45574</v>
      </c>
      <c r="K3827" t="b">
        <v>1</v>
      </c>
    </row>
    <row r="3828" spans="1:11" x14ac:dyDescent="0.25">
      <c r="A3828" t="s">
        <v>645</v>
      </c>
      <c r="B3828" t="s">
        <v>40</v>
      </c>
      <c r="C3828" t="s">
        <v>110</v>
      </c>
      <c r="D3828" t="s">
        <v>199</v>
      </c>
      <c r="E3828" s="2">
        <v>15.5</v>
      </c>
      <c r="F3828" s="4">
        <v>7</v>
      </c>
      <c r="G3828" s="2">
        <v>108.5</v>
      </c>
      <c r="H3828" t="s">
        <v>15</v>
      </c>
      <c r="I3828" t="s">
        <v>36</v>
      </c>
      <c r="J3828" s="1">
        <v>45070</v>
      </c>
      <c r="K3828" t="b">
        <v>1</v>
      </c>
    </row>
    <row r="3829" spans="1:11" x14ac:dyDescent="0.25">
      <c r="A3829" t="s">
        <v>1160</v>
      </c>
      <c r="B3829" t="s">
        <v>69</v>
      </c>
      <c r="C3829" t="s">
        <v>59</v>
      </c>
      <c r="D3829" t="s">
        <v>201</v>
      </c>
      <c r="E3829" s="2">
        <v>15.5</v>
      </c>
      <c r="F3829" s="4">
        <v>7</v>
      </c>
      <c r="G3829" s="2">
        <v>108.5</v>
      </c>
      <c r="H3829" t="s">
        <v>15</v>
      </c>
      <c r="I3829" t="s">
        <v>16</v>
      </c>
      <c r="J3829" s="1">
        <v>44773</v>
      </c>
      <c r="K3829" t="b">
        <v>1</v>
      </c>
    </row>
    <row r="3830" spans="1:11" x14ac:dyDescent="0.25">
      <c r="A3830" t="s">
        <v>3269</v>
      </c>
      <c r="B3830" t="s">
        <v>63</v>
      </c>
      <c r="C3830" t="s">
        <v>19</v>
      </c>
      <c r="D3830" t="s">
        <v>166</v>
      </c>
      <c r="E3830" s="2">
        <v>15.5</v>
      </c>
      <c r="F3830" s="4">
        <v>7</v>
      </c>
      <c r="G3830" s="2">
        <v>108.5</v>
      </c>
      <c r="H3830" t="s">
        <v>45</v>
      </c>
      <c r="I3830" t="s">
        <v>36</v>
      </c>
      <c r="J3830" s="1">
        <v>45122</v>
      </c>
      <c r="K3830" t="b">
        <v>0</v>
      </c>
    </row>
    <row r="3831" spans="1:11" x14ac:dyDescent="0.25">
      <c r="A3831" t="s">
        <v>5074</v>
      </c>
      <c r="B3831" t="s">
        <v>72</v>
      </c>
      <c r="C3831" t="s">
        <v>19</v>
      </c>
      <c r="D3831" t="s">
        <v>166</v>
      </c>
      <c r="E3831" s="2">
        <v>15.5</v>
      </c>
      <c r="F3831" s="4">
        <v>7</v>
      </c>
      <c r="G3831" s="2">
        <v>108.5</v>
      </c>
      <c r="H3831" t="s">
        <v>45</v>
      </c>
      <c r="I3831" t="s">
        <v>16</v>
      </c>
      <c r="J3831" s="1">
        <v>44758</v>
      </c>
      <c r="K3831" t="b">
        <v>0</v>
      </c>
    </row>
    <row r="3832" spans="1:11" x14ac:dyDescent="0.25">
      <c r="A3832" t="s">
        <v>4431</v>
      </c>
      <c r="B3832" t="s">
        <v>97</v>
      </c>
      <c r="C3832" t="s">
        <v>19</v>
      </c>
      <c r="D3832" t="s">
        <v>166</v>
      </c>
      <c r="E3832" s="2">
        <v>15.5</v>
      </c>
      <c r="F3832" s="4">
        <v>7</v>
      </c>
      <c r="G3832" s="2">
        <v>108.5</v>
      </c>
      <c r="H3832" t="s">
        <v>25</v>
      </c>
      <c r="I3832" t="s">
        <v>16</v>
      </c>
      <c r="J3832" s="1">
        <v>45470</v>
      </c>
      <c r="K3832" t="b">
        <v>1</v>
      </c>
    </row>
    <row r="3833" spans="1:11" x14ac:dyDescent="0.25">
      <c r="A3833" t="s">
        <v>5344</v>
      </c>
      <c r="B3833" t="s">
        <v>58</v>
      </c>
      <c r="C3833" t="s">
        <v>13</v>
      </c>
      <c r="D3833" t="s">
        <v>389</v>
      </c>
      <c r="E3833" s="2">
        <v>15.5</v>
      </c>
      <c r="F3833" s="4">
        <v>7</v>
      </c>
      <c r="G3833" s="2">
        <v>108.5</v>
      </c>
      <c r="H3833" t="s">
        <v>15</v>
      </c>
      <c r="I3833" t="s">
        <v>16</v>
      </c>
      <c r="J3833" s="1">
        <v>45498</v>
      </c>
      <c r="K3833" t="b">
        <v>1</v>
      </c>
    </row>
    <row r="3834" spans="1:11" x14ac:dyDescent="0.25">
      <c r="A3834" t="s">
        <v>7150</v>
      </c>
      <c r="B3834" t="s">
        <v>61</v>
      </c>
      <c r="C3834" t="s">
        <v>110</v>
      </c>
      <c r="D3834" t="s">
        <v>199</v>
      </c>
      <c r="E3834" s="2">
        <v>15.5</v>
      </c>
      <c r="F3834" s="4">
        <v>7</v>
      </c>
      <c r="G3834" s="2">
        <v>108.5</v>
      </c>
      <c r="H3834" t="s">
        <v>15</v>
      </c>
      <c r="I3834" t="s">
        <v>36</v>
      </c>
      <c r="J3834" s="1">
        <v>45040</v>
      </c>
      <c r="K3834" t="b">
        <v>0</v>
      </c>
    </row>
    <row r="3835" spans="1:11" x14ac:dyDescent="0.25">
      <c r="A3835" t="s">
        <v>827</v>
      </c>
      <c r="B3835" t="s">
        <v>22</v>
      </c>
      <c r="C3835" t="s">
        <v>27</v>
      </c>
      <c r="D3835" t="s">
        <v>105</v>
      </c>
      <c r="E3835" s="2">
        <v>15.5</v>
      </c>
      <c r="F3835" s="4">
        <v>7</v>
      </c>
      <c r="G3835" s="2">
        <v>108.5</v>
      </c>
      <c r="H3835" t="s">
        <v>25</v>
      </c>
      <c r="I3835" t="s">
        <v>16</v>
      </c>
      <c r="J3835" s="1">
        <v>45533</v>
      </c>
      <c r="K3835" t="b">
        <v>1</v>
      </c>
    </row>
    <row r="3836" spans="1:11" x14ac:dyDescent="0.25">
      <c r="A3836" t="s">
        <v>2348</v>
      </c>
      <c r="B3836" t="s">
        <v>100</v>
      </c>
      <c r="C3836" t="s">
        <v>27</v>
      </c>
      <c r="D3836" t="s">
        <v>105</v>
      </c>
      <c r="E3836" s="2">
        <v>15.5</v>
      </c>
      <c r="F3836" s="4">
        <v>7</v>
      </c>
      <c r="G3836" s="2">
        <v>108.5</v>
      </c>
      <c r="H3836" t="s">
        <v>15</v>
      </c>
      <c r="I3836" t="s">
        <v>16</v>
      </c>
      <c r="J3836" s="1">
        <v>45652</v>
      </c>
      <c r="K3836" t="b">
        <v>0</v>
      </c>
    </row>
    <row r="3837" spans="1:11" x14ac:dyDescent="0.25">
      <c r="A3837" t="s">
        <v>3416</v>
      </c>
      <c r="B3837" t="s">
        <v>12</v>
      </c>
      <c r="C3837" t="s">
        <v>59</v>
      </c>
      <c r="D3837" t="s">
        <v>201</v>
      </c>
      <c r="E3837" s="2">
        <v>15.5</v>
      </c>
      <c r="F3837" s="4">
        <v>7</v>
      </c>
      <c r="G3837" s="2">
        <v>108.5</v>
      </c>
      <c r="H3837" t="s">
        <v>25</v>
      </c>
      <c r="I3837" t="s">
        <v>16</v>
      </c>
      <c r="J3837" s="1">
        <v>44669</v>
      </c>
      <c r="K3837" t="b">
        <v>0</v>
      </c>
    </row>
    <row r="3838" spans="1:11" x14ac:dyDescent="0.25">
      <c r="A3838" t="s">
        <v>3210</v>
      </c>
      <c r="B3838" t="s">
        <v>66</v>
      </c>
      <c r="C3838" t="s">
        <v>38</v>
      </c>
      <c r="D3838" t="s">
        <v>241</v>
      </c>
      <c r="E3838" s="2">
        <v>15.5</v>
      </c>
      <c r="F3838" s="4">
        <v>7</v>
      </c>
      <c r="G3838" s="2">
        <v>108.5</v>
      </c>
      <c r="H3838" t="s">
        <v>15</v>
      </c>
      <c r="I3838" t="s">
        <v>36</v>
      </c>
      <c r="J3838" s="1">
        <v>45096</v>
      </c>
      <c r="K3838" t="b">
        <v>1</v>
      </c>
    </row>
    <row r="3839" spans="1:11" x14ac:dyDescent="0.25">
      <c r="A3839" t="s">
        <v>4170</v>
      </c>
      <c r="B3839" t="s">
        <v>18</v>
      </c>
      <c r="C3839" t="s">
        <v>27</v>
      </c>
      <c r="D3839" t="s">
        <v>105</v>
      </c>
      <c r="E3839" s="2">
        <v>15.5</v>
      </c>
      <c r="F3839" s="4">
        <v>7</v>
      </c>
      <c r="G3839" s="2">
        <v>108.5</v>
      </c>
      <c r="H3839" t="s">
        <v>45</v>
      </c>
      <c r="I3839" t="s">
        <v>36</v>
      </c>
      <c r="J3839" s="1">
        <v>45443</v>
      </c>
      <c r="K3839" t="b">
        <v>1</v>
      </c>
    </row>
    <row r="3840" spans="1:11" x14ac:dyDescent="0.25">
      <c r="A3840" t="s">
        <v>2757</v>
      </c>
      <c r="B3840" t="s">
        <v>93</v>
      </c>
      <c r="C3840" t="s">
        <v>38</v>
      </c>
      <c r="D3840" t="s">
        <v>241</v>
      </c>
      <c r="E3840" s="2">
        <v>15.5</v>
      </c>
      <c r="F3840" s="4">
        <v>7</v>
      </c>
      <c r="G3840" s="2">
        <v>108.5</v>
      </c>
      <c r="H3840" t="s">
        <v>15</v>
      </c>
      <c r="I3840" t="s">
        <v>36</v>
      </c>
      <c r="J3840" s="1">
        <v>44568</v>
      </c>
      <c r="K3840" t="b">
        <v>1</v>
      </c>
    </row>
    <row r="3841" spans="1:11" x14ac:dyDescent="0.25">
      <c r="A3841" t="s">
        <v>1642</v>
      </c>
      <c r="B3841" t="s">
        <v>61</v>
      </c>
      <c r="C3841" t="s">
        <v>27</v>
      </c>
      <c r="D3841" t="s">
        <v>105</v>
      </c>
      <c r="E3841" s="2">
        <v>15.5</v>
      </c>
      <c r="F3841" s="4">
        <v>7</v>
      </c>
      <c r="G3841" s="2">
        <v>108.5</v>
      </c>
      <c r="H3841" t="s">
        <v>15</v>
      </c>
      <c r="I3841" t="s">
        <v>36</v>
      </c>
      <c r="J3841" s="1">
        <v>45056</v>
      </c>
      <c r="K3841" t="b">
        <v>1</v>
      </c>
    </row>
    <row r="3842" spans="1:11" x14ac:dyDescent="0.25">
      <c r="A3842" t="s">
        <v>2245</v>
      </c>
      <c r="B3842" t="s">
        <v>51</v>
      </c>
      <c r="C3842" t="s">
        <v>13</v>
      </c>
      <c r="D3842" t="s">
        <v>389</v>
      </c>
      <c r="E3842" s="2">
        <v>15.5</v>
      </c>
      <c r="F3842" s="4">
        <v>7</v>
      </c>
      <c r="G3842" s="2">
        <v>108.5</v>
      </c>
      <c r="H3842" t="s">
        <v>45</v>
      </c>
      <c r="I3842" t="s">
        <v>16</v>
      </c>
      <c r="J3842" s="1">
        <v>45339</v>
      </c>
      <c r="K3842" t="b">
        <v>1</v>
      </c>
    </row>
    <row r="3843" spans="1:11" x14ac:dyDescent="0.25">
      <c r="A3843" t="s">
        <v>1732</v>
      </c>
      <c r="B3843" t="s">
        <v>63</v>
      </c>
      <c r="C3843" t="s">
        <v>110</v>
      </c>
      <c r="D3843" t="s">
        <v>199</v>
      </c>
      <c r="E3843" s="2">
        <v>15.5</v>
      </c>
      <c r="F3843" s="4">
        <v>7</v>
      </c>
      <c r="G3843" s="2">
        <v>108.5</v>
      </c>
      <c r="H3843" t="s">
        <v>45</v>
      </c>
      <c r="I3843" t="s">
        <v>36</v>
      </c>
      <c r="J3843" s="1">
        <v>45492</v>
      </c>
      <c r="K3843" t="b">
        <v>0</v>
      </c>
    </row>
    <row r="3844" spans="1:11" x14ac:dyDescent="0.25">
      <c r="A3844" t="s">
        <v>5526</v>
      </c>
      <c r="B3844" t="s">
        <v>43</v>
      </c>
      <c r="C3844" t="s">
        <v>27</v>
      </c>
      <c r="D3844" t="s">
        <v>105</v>
      </c>
      <c r="E3844" s="2">
        <v>15.5</v>
      </c>
      <c r="F3844" s="4">
        <v>7</v>
      </c>
      <c r="G3844" s="2">
        <v>108.5</v>
      </c>
      <c r="H3844" t="s">
        <v>45</v>
      </c>
      <c r="I3844" t="s">
        <v>36</v>
      </c>
      <c r="J3844" s="1">
        <v>44803</v>
      </c>
      <c r="K3844" t="b">
        <v>1</v>
      </c>
    </row>
    <row r="3845" spans="1:11" x14ac:dyDescent="0.25">
      <c r="A3845" t="s">
        <v>2626</v>
      </c>
      <c r="B3845" t="s">
        <v>37</v>
      </c>
      <c r="C3845" t="s">
        <v>27</v>
      </c>
      <c r="D3845" t="s">
        <v>105</v>
      </c>
      <c r="E3845" s="2">
        <v>15.5</v>
      </c>
      <c r="F3845" s="4">
        <v>7</v>
      </c>
      <c r="G3845" s="2">
        <v>108.5</v>
      </c>
      <c r="H3845" t="s">
        <v>25</v>
      </c>
      <c r="I3845" t="s">
        <v>36</v>
      </c>
      <c r="J3845" s="1">
        <v>45638</v>
      </c>
      <c r="K3845" t="b">
        <v>1</v>
      </c>
    </row>
    <row r="3846" spans="1:11" x14ac:dyDescent="0.25">
      <c r="A3846" t="s">
        <v>3909</v>
      </c>
      <c r="B3846" t="s">
        <v>22</v>
      </c>
      <c r="C3846" t="s">
        <v>110</v>
      </c>
      <c r="D3846" t="s">
        <v>199</v>
      </c>
      <c r="E3846" s="2">
        <v>15.5</v>
      </c>
      <c r="F3846" s="4">
        <v>7</v>
      </c>
      <c r="G3846" s="2">
        <v>108.5</v>
      </c>
      <c r="H3846" t="s">
        <v>25</v>
      </c>
      <c r="I3846" t="s">
        <v>16</v>
      </c>
      <c r="J3846" s="1">
        <v>45388</v>
      </c>
      <c r="K3846" t="b">
        <v>1</v>
      </c>
    </row>
    <row r="3847" spans="1:11" x14ac:dyDescent="0.25">
      <c r="A3847" t="s">
        <v>4999</v>
      </c>
      <c r="B3847" t="s">
        <v>142</v>
      </c>
      <c r="C3847" t="s">
        <v>27</v>
      </c>
      <c r="D3847" t="s">
        <v>105</v>
      </c>
      <c r="E3847" s="2">
        <v>15.5</v>
      </c>
      <c r="F3847" s="4">
        <v>7</v>
      </c>
      <c r="G3847" s="2">
        <v>108.5</v>
      </c>
      <c r="H3847" t="s">
        <v>45</v>
      </c>
      <c r="I3847" t="s">
        <v>16</v>
      </c>
      <c r="J3847" s="1">
        <v>44644</v>
      </c>
      <c r="K3847" t="b">
        <v>1</v>
      </c>
    </row>
    <row r="3848" spans="1:11" x14ac:dyDescent="0.25">
      <c r="A3848" t="s">
        <v>2533</v>
      </c>
      <c r="B3848" t="s">
        <v>100</v>
      </c>
      <c r="C3848" t="s">
        <v>59</v>
      </c>
      <c r="D3848" t="s">
        <v>201</v>
      </c>
      <c r="E3848" s="2">
        <v>15.5</v>
      </c>
      <c r="F3848" s="4">
        <v>7</v>
      </c>
      <c r="G3848" s="2">
        <v>108.5</v>
      </c>
      <c r="H3848" t="s">
        <v>45</v>
      </c>
      <c r="I3848" t="s">
        <v>16</v>
      </c>
      <c r="J3848" s="1">
        <v>44632</v>
      </c>
      <c r="K3848" t="b">
        <v>1</v>
      </c>
    </row>
    <row r="3849" spans="1:11" x14ac:dyDescent="0.25">
      <c r="A3849" t="s">
        <v>5441</v>
      </c>
      <c r="B3849" t="s">
        <v>26</v>
      </c>
      <c r="C3849" t="s">
        <v>59</v>
      </c>
      <c r="D3849" t="s">
        <v>201</v>
      </c>
      <c r="E3849" s="2">
        <v>15.5</v>
      </c>
      <c r="F3849" s="4">
        <v>7</v>
      </c>
      <c r="G3849" s="2">
        <v>108.5</v>
      </c>
      <c r="H3849" t="s">
        <v>45</v>
      </c>
      <c r="I3849" t="s">
        <v>16</v>
      </c>
      <c r="J3849" s="1">
        <v>44816</v>
      </c>
      <c r="K3849" t="b">
        <v>1</v>
      </c>
    </row>
    <row r="3850" spans="1:11" x14ac:dyDescent="0.25">
      <c r="A3850" t="s">
        <v>5300</v>
      </c>
      <c r="B3850" t="s">
        <v>37</v>
      </c>
      <c r="C3850" t="s">
        <v>27</v>
      </c>
      <c r="D3850" t="s">
        <v>105</v>
      </c>
      <c r="E3850" s="2">
        <v>15.5</v>
      </c>
      <c r="F3850" s="4">
        <v>7</v>
      </c>
      <c r="G3850" s="2">
        <v>108.5</v>
      </c>
      <c r="H3850" t="s">
        <v>15</v>
      </c>
      <c r="I3850" t="s">
        <v>36</v>
      </c>
      <c r="J3850" s="1">
        <v>44711</v>
      </c>
      <c r="K3850" t="b">
        <v>1</v>
      </c>
    </row>
    <row r="3851" spans="1:11" x14ac:dyDescent="0.25">
      <c r="A3851" t="s">
        <v>1879</v>
      </c>
      <c r="B3851" t="s">
        <v>37</v>
      </c>
      <c r="C3851" t="s">
        <v>27</v>
      </c>
      <c r="D3851" t="s">
        <v>105</v>
      </c>
      <c r="E3851" s="2">
        <v>15.5</v>
      </c>
      <c r="F3851" s="4">
        <v>7</v>
      </c>
      <c r="G3851" s="2">
        <v>108.5</v>
      </c>
      <c r="H3851" t="s">
        <v>15</v>
      </c>
      <c r="I3851" t="s">
        <v>16</v>
      </c>
      <c r="J3851" s="1">
        <v>45450</v>
      </c>
      <c r="K3851" t="b">
        <v>0</v>
      </c>
    </row>
    <row r="3852" spans="1:11" x14ac:dyDescent="0.25">
      <c r="A3852" t="s">
        <v>4394</v>
      </c>
      <c r="B3852" t="s">
        <v>51</v>
      </c>
      <c r="C3852" t="s">
        <v>59</v>
      </c>
      <c r="D3852" t="s">
        <v>201</v>
      </c>
      <c r="E3852" s="2">
        <v>15.5</v>
      </c>
      <c r="F3852" s="4">
        <v>7</v>
      </c>
      <c r="G3852" s="2">
        <v>108.5</v>
      </c>
      <c r="H3852" t="s">
        <v>25</v>
      </c>
      <c r="I3852" t="s">
        <v>36</v>
      </c>
      <c r="J3852" s="1">
        <v>44870</v>
      </c>
      <c r="K3852" t="b">
        <v>0</v>
      </c>
    </row>
    <row r="3853" spans="1:11" x14ac:dyDescent="0.25">
      <c r="A3853" t="s">
        <v>7114</v>
      </c>
      <c r="B3853" t="s">
        <v>26</v>
      </c>
      <c r="C3853" t="s">
        <v>27</v>
      </c>
      <c r="D3853" t="s">
        <v>105</v>
      </c>
      <c r="E3853" s="2">
        <v>15.5</v>
      </c>
      <c r="F3853" s="4">
        <v>7</v>
      </c>
      <c r="G3853" s="2">
        <v>108.5</v>
      </c>
      <c r="H3853" t="s">
        <v>45</v>
      </c>
      <c r="I3853" t="s">
        <v>36</v>
      </c>
      <c r="J3853" s="1">
        <v>45248</v>
      </c>
      <c r="K3853" t="b">
        <v>1</v>
      </c>
    </row>
    <row r="3854" spans="1:11" x14ac:dyDescent="0.25">
      <c r="A3854" t="s">
        <v>2711</v>
      </c>
      <c r="B3854" t="s">
        <v>93</v>
      </c>
      <c r="C3854" t="s">
        <v>59</v>
      </c>
      <c r="D3854" t="s">
        <v>201</v>
      </c>
      <c r="E3854" s="2">
        <v>15.5</v>
      </c>
      <c r="F3854" s="4">
        <v>7</v>
      </c>
      <c r="G3854" s="2">
        <v>108.5</v>
      </c>
      <c r="H3854" t="s">
        <v>25</v>
      </c>
      <c r="I3854" t="s">
        <v>16</v>
      </c>
      <c r="J3854" s="1">
        <v>45623</v>
      </c>
      <c r="K3854" t="b">
        <v>0</v>
      </c>
    </row>
    <row r="3855" spans="1:11" x14ac:dyDescent="0.25">
      <c r="A3855" t="s">
        <v>5167</v>
      </c>
      <c r="B3855" t="s">
        <v>97</v>
      </c>
      <c r="C3855" t="s">
        <v>38</v>
      </c>
      <c r="D3855" t="s">
        <v>241</v>
      </c>
      <c r="E3855" s="2">
        <v>15.5</v>
      </c>
      <c r="F3855" s="4">
        <v>7</v>
      </c>
      <c r="G3855" s="2">
        <v>108.5</v>
      </c>
      <c r="H3855" t="s">
        <v>15</v>
      </c>
      <c r="I3855" t="s">
        <v>36</v>
      </c>
      <c r="J3855" s="1">
        <v>45475</v>
      </c>
      <c r="K3855" t="b">
        <v>1</v>
      </c>
    </row>
    <row r="3856" spans="1:11" x14ac:dyDescent="0.25">
      <c r="A3856" t="s">
        <v>5032</v>
      </c>
      <c r="B3856" t="s">
        <v>22</v>
      </c>
      <c r="C3856" t="s">
        <v>27</v>
      </c>
      <c r="D3856" t="s">
        <v>105</v>
      </c>
      <c r="E3856" s="2">
        <v>15.5</v>
      </c>
      <c r="F3856" s="4">
        <v>7</v>
      </c>
      <c r="G3856" s="2">
        <v>108.5</v>
      </c>
      <c r="H3856" t="s">
        <v>15</v>
      </c>
      <c r="I3856" t="s">
        <v>36</v>
      </c>
      <c r="J3856" s="1">
        <v>44786</v>
      </c>
      <c r="K3856" t="b">
        <v>0</v>
      </c>
    </row>
    <row r="3857" spans="1:11" x14ac:dyDescent="0.25">
      <c r="A3857" t="s">
        <v>2195</v>
      </c>
      <c r="B3857" t="s">
        <v>77</v>
      </c>
      <c r="C3857" t="s">
        <v>27</v>
      </c>
      <c r="D3857" t="s">
        <v>105</v>
      </c>
      <c r="E3857" s="2">
        <v>15.5</v>
      </c>
      <c r="F3857" s="4">
        <v>7</v>
      </c>
      <c r="G3857" s="2">
        <v>108.5</v>
      </c>
      <c r="H3857" t="s">
        <v>25</v>
      </c>
      <c r="I3857" t="s">
        <v>36</v>
      </c>
      <c r="J3857" s="1">
        <v>44638</v>
      </c>
      <c r="K3857" t="b">
        <v>0</v>
      </c>
    </row>
    <row r="3858" spans="1:11" x14ac:dyDescent="0.25">
      <c r="A3858" t="s">
        <v>2961</v>
      </c>
      <c r="B3858" t="s">
        <v>77</v>
      </c>
      <c r="C3858" t="s">
        <v>27</v>
      </c>
      <c r="D3858" t="s">
        <v>105</v>
      </c>
      <c r="E3858" s="2">
        <v>15.5</v>
      </c>
      <c r="F3858" s="4">
        <v>7</v>
      </c>
      <c r="G3858" s="2">
        <v>108.5</v>
      </c>
      <c r="H3858" t="s">
        <v>15</v>
      </c>
      <c r="I3858" t="s">
        <v>36</v>
      </c>
      <c r="J3858" s="1">
        <v>44958</v>
      </c>
      <c r="K3858" t="b">
        <v>0</v>
      </c>
    </row>
    <row r="3859" spans="1:11" x14ac:dyDescent="0.25">
      <c r="A3859" t="s">
        <v>2499</v>
      </c>
      <c r="B3859" t="s">
        <v>34</v>
      </c>
      <c r="C3859" t="s">
        <v>23</v>
      </c>
      <c r="D3859" t="s">
        <v>187</v>
      </c>
      <c r="E3859" s="2">
        <v>15.5</v>
      </c>
      <c r="F3859" s="4">
        <v>7</v>
      </c>
      <c r="G3859" s="2">
        <v>108.5</v>
      </c>
      <c r="H3859" t="s">
        <v>45</v>
      </c>
      <c r="I3859" t="s">
        <v>16</v>
      </c>
      <c r="J3859" s="1">
        <v>44842</v>
      </c>
      <c r="K3859" t="b">
        <v>0</v>
      </c>
    </row>
    <row r="3860" spans="1:11" x14ac:dyDescent="0.25">
      <c r="A3860" t="s">
        <v>814</v>
      </c>
      <c r="B3860" t="s">
        <v>63</v>
      </c>
      <c r="C3860" t="s">
        <v>38</v>
      </c>
      <c r="D3860" t="s">
        <v>241</v>
      </c>
      <c r="E3860" s="2">
        <v>15.5</v>
      </c>
      <c r="F3860" s="4">
        <v>7</v>
      </c>
      <c r="G3860" s="2">
        <v>108.5</v>
      </c>
      <c r="H3860" t="s">
        <v>25</v>
      </c>
      <c r="I3860" t="s">
        <v>16</v>
      </c>
      <c r="J3860" s="1">
        <v>45214</v>
      </c>
      <c r="K3860" t="b">
        <v>1</v>
      </c>
    </row>
    <row r="3861" spans="1:11" x14ac:dyDescent="0.25">
      <c r="A3861" t="s">
        <v>425</v>
      </c>
      <c r="B3861" t="s">
        <v>100</v>
      </c>
      <c r="C3861" t="s">
        <v>13</v>
      </c>
      <c r="D3861" t="s">
        <v>389</v>
      </c>
      <c r="E3861" s="2">
        <v>15.5</v>
      </c>
      <c r="F3861" s="4">
        <v>7</v>
      </c>
      <c r="G3861" s="2">
        <v>108.5</v>
      </c>
      <c r="H3861" t="s">
        <v>45</v>
      </c>
      <c r="I3861" t="s">
        <v>36</v>
      </c>
      <c r="J3861" s="1">
        <v>45132</v>
      </c>
      <c r="K3861" t="b">
        <v>1</v>
      </c>
    </row>
    <row r="3862" spans="1:11" x14ac:dyDescent="0.25">
      <c r="A3862" t="s">
        <v>1110</v>
      </c>
      <c r="B3862" t="s">
        <v>26</v>
      </c>
      <c r="C3862" t="s">
        <v>110</v>
      </c>
      <c r="D3862" t="s">
        <v>199</v>
      </c>
      <c r="E3862" s="2">
        <v>15.5</v>
      </c>
      <c r="F3862" s="4">
        <v>7</v>
      </c>
      <c r="G3862" s="2">
        <v>108.5</v>
      </c>
      <c r="H3862" t="s">
        <v>25</v>
      </c>
      <c r="I3862" t="s">
        <v>16</v>
      </c>
      <c r="J3862" s="1">
        <v>45194</v>
      </c>
      <c r="K3862" t="b">
        <v>1</v>
      </c>
    </row>
    <row r="3863" spans="1:11" x14ac:dyDescent="0.25">
      <c r="A3863" t="s">
        <v>7645</v>
      </c>
      <c r="B3863" t="s">
        <v>51</v>
      </c>
      <c r="C3863" t="s">
        <v>13</v>
      </c>
      <c r="D3863" t="s">
        <v>389</v>
      </c>
      <c r="E3863" s="2">
        <v>15.5</v>
      </c>
      <c r="F3863" s="4">
        <v>7</v>
      </c>
      <c r="G3863" s="2">
        <v>108.5</v>
      </c>
      <c r="H3863" t="s">
        <v>45</v>
      </c>
      <c r="I3863" t="s">
        <v>16</v>
      </c>
      <c r="J3863" s="1">
        <v>45600</v>
      </c>
      <c r="K3863" t="b">
        <v>1</v>
      </c>
    </row>
    <row r="3864" spans="1:11" x14ac:dyDescent="0.25">
      <c r="A3864" t="s">
        <v>7726</v>
      </c>
      <c r="B3864" t="s">
        <v>26</v>
      </c>
      <c r="C3864" t="s">
        <v>38</v>
      </c>
      <c r="D3864" t="s">
        <v>241</v>
      </c>
      <c r="E3864" s="2">
        <v>15.5</v>
      </c>
      <c r="F3864" s="4">
        <v>7</v>
      </c>
      <c r="G3864" s="2">
        <v>108.5</v>
      </c>
      <c r="H3864" t="s">
        <v>25</v>
      </c>
      <c r="I3864" t="s">
        <v>36</v>
      </c>
      <c r="J3864" s="1">
        <v>45639</v>
      </c>
      <c r="K3864" t="b">
        <v>0</v>
      </c>
    </row>
    <row r="3865" spans="1:11" x14ac:dyDescent="0.25">
      <c r="A3865" t="s">
        <v>1749</v>
      </c>
      <c r="B3865" t="s">
        <v>56</v>
      </c>
      <c r="C3865" t="s">
        <v>13</v>
      </c>
      <c r="D3865" t="s">
        <v>389</v>
      </c>
      <c r="E3865" s="2">
        <v>15.5</v>
      </c>
      <c r="F3865" s="4">
        <v>7</v>
      </c>
      <c r="G3865" s="2">
        <v>108.5</v>
      </c>
      <c r="H3865" t="s">
        <v>45</v>
      </c>
      <c r="I3865" t="s">
        <v>16</v>
      </c>
      <c r="J3865" s="1">
        <v>44803</v>
      </c>
      <c r="K3865" t="b">
        <v>0</v>
      </c>
    </row>
    <row r="3866" spans="1:11" x14ac:dyDescent="0.25">
      <c r="A3866" t="s">
        <v>1394</v>
      </c>
      <c r="B3866" t="s">
        <v>142</v>
      </c>
      <c r="C3866" t="s">
        <v>13</v>
      </c>
      <c r="D3866" t="s">
        <v>389</v>
      </c>
      <c r="E3866" s="2">
        <v>15.5</v>
      </c>
      <c r="F3866" s="4">
        <v>7</v>
      </c>
      <c r="G3866" s="2">
        <v>108.5</v>
      </c>
      <c r="H3866" t="s">
        <v>25</v>
      </c>
      <c r="I3866" t="s">
        <v>36</v>
      </c>
      <c r="J3866" s="1">
        <v>44949</v>
      </c>
      <c r="K3866" t="b">
        <v>0</v>
      </c>
    </row>
    <row r="3867" spans="1:11" x14ac:dyDescent="0.25">
      <c r="A3867" t="s">
        <v>5485</v>
      </c>
      <c r="B3867" t="s">
        <v>69</v>
      </c>
      <c r="C3867" t="s">
        <v>13</v>
      </c>
      <c r="D3867" t="s">
        <v>389</v>
      </c>
      <c r="E3867" s="2">
        <v>15.5</v>
      </c>
      <c r="F3867" s="4">
        <v>7</v>
      </c>
      <c r="G3867" s="2">
        <v>108.5</v>
      </c>
      <c r="H3867" t="s">
        <v>45</v>
      </c>
      <c r="I3867" t="s">
        <v>16</v>
      </c>
      <c r="J3867" s="1">
        <v>44870</v>
      </c>
      <c r="K3867" t="b">
        <v>1</v>
      </c>
    </row>
    <row r="3868" spans="1:11" x14ac:dyDescent="0.25">
      <c r="A3868" t="s">
        <v>4175</v>
      </c>
      <c r="B3868" t="s">
        <v>30</v>
      </c>
      <c r="C3868" t="s">
        <v>27</v>
      </c>
      <c r="D3868" t="s">
        <v>105</v>
      </c>
      <c r="E3868" s="2">
        <v>15.5</v>
      </c>
      <c r="F3868" s="4">
        <v>7</v>
      </c>
      <c r="G3868" s="2">
        <v>108.5</v>
      </c>
      <c r="H3868" t="s">
        <v>15</v>
      </c>
      <c r="I3868" t="s">
        <v>16</v>
      </c>
      <c r="J3868" s="1">
        <v>44841</v>
      </c>
      <c r="K3868" t="b">
        <v>0</v>
      </c>
    </row>
    <row r="3869" spans="1:11" x14ac:dyDescent="0.25">
      <c r="A3869" t="s">
        <v>869</v>
      </c>
      <c r="B3869" t="s">
        <v>100</v>
      </c>
      <c r="C3869" t="s">
        <v>19</v>
      </c>
      <c r="D3869" t="s">
        <v>166</v>
      </c>
      <c r="E3869" s="2">
        <v>15.5</v>
      </c>
      <c r="F3869" s="4">
        <v>7</v>
      </c>
      <c r="G3869" s="2">
        <v>108.5</v>
      </c>
      <c r="H3869" t="s">
        <v>45</v>
      </c>
      <c r="I3869" t="s">
        <v>36</v>
      </c>
      <c r="J3869" s="1">
        <v>45465</v>
      </c>
      <c r="K3869" t="b">
        <v>1</v>
      </c>
    </row>
    <row r="3870" spans="1:11" x14ac:dyDescent="0.25">
      <c r="A3870" t="s">
        <v>930</v>
      </c>
      <c r="B3870" t="s">
        <v>56</v>
      </c>
      <c r="C3870" t="s">
        <v>31</v>
      </c>
      <c r="D3870" t="s">
        <v>585</v>
      </c>
      <c r="E3870" s="2">
        <v>15.5</v>
      </c>
      <c r="F3870" s="4">
        <v>7</v>
      </c>
      <c r="G3870" s="2">
        <v>108.5</v>
      </c>
      <c r="H3870" t="s">
        <v>15</v>
      </c>
      <c r="I3870" t="s">
        <v>16</v>
      </c>
      <c r="J3870" s="1">
        <v>45014</v>
      </c>
      <c r="K3870" t="b">
        <v>1</v>
      </c>
    </row>
    <row r="3871" spans="1:11" x14ac:dyDescent="0.25">
      <c r="A3871" t="s">
        <v>5178</v>
      </c>
      <c r="B3871" t="s">
        <v>43</v>
      </c>
      <c r="C3871" t="s">
        <v>31</v>
      </c>
      <c r="D3871" t="s">
        <v>108</v>
      </c>
      <c r="E3871" s="2">
        <v>21.5</v>
      </c>
      <c r="F3871" s="4">
        <v>5</v>
      </c>
      <c r="G3871" s="2">
        <v>107.5</v>
      </c>
      <c r="H3871" t="s">
        <v>45</v>
      </c>
      <c r="I3871" t="s">
        <v>16</v>
      </c>
      <c r="J3871" s="1">
        <v>45410</v>
      </c>
      <c r="K3871" t="b">
        <v>1</v>
      </c>
    </row>
    <row r="3872" spans="1:11" x14ac:dyDescent="0.25">
      <c r="A3872" t="s">
        <v>1874</v>
      </c>
      <c r="B3872" t="s">
        <v>22</v>
      </c>
      <c r="C3872" t="s">
        <v>23</v>
      </c>
      <c r="D3872" t="s">
        <v>24</v>
      </c>
      <c r="E3872" s="2">
        <v>21.5</v>
      </c>
      <c r="F3872" s="4">
        <v>5</v>
      </c>
      <c r="G3872" s="2">
        <v>107.5</v>
      </c>
      <c r="H3872" t="s">
        <v>15</v>
      </c>
      <c r="I3872" t="s">
        <v>16</v>
      </c>
      <c r="J3872" s="1">
        <v>44593</v>
      </c>
      <c r="K3872" t="b">
        <v>1</v>
      </c>
    </row>
    <row r="3873" spans="1:11" x14ac:dyDescent="0.25">
      <c r="A3873" t="s">
        <v>3028</v>
      </c>
      <c r="B3873" t="s">
        <v>100</v>
      </c>
      <c r="C3873" t="s">
        <v>13</v>
      </c>
      <c r="D3873" t="s">
        <v>141</v>
      </c>
      <c r="E3873" s="2">
        <v>21.5</v>
      </c>
      <c r="F3873" s="4">
        <v>5</v>
      </c>
      <c r="G3873" s="2">
        <v>107.5</v>
      </c>
      <c r="H3873" t="s">
        <v>25</v>
      </c>
      <c r="I3873" t="s">
        <v>16</v>
      </c>
      <c r="J3873" s="1">
        <v>45091</v>
      </c>
      <c r="K3873" t="b">
        <v>1</v>
      </c>
    </row>
    <row r="3874" spans="1:11" x14ac:dyDescent="0.25">
      <c r="A3874" t="s">
        <v>6984</v>
      </c>
      <c r="B3874" t="s">
        <v>77</v>
      </c>
      <c r="C3874" t="s">
        <v>110</v>
      </c>
      <c r="D3874" t="s">
        <v>451</v>
      </c>
      <c r="E3874" s="2">
        <v>21.5</v>
      </c>
      <c r="F3874" s="4">
        <v>5</v>
      </c>
      <c r="G3874" s="2">
        <v>107.5</v>
      </c>
      <c r="H3874" t="s">
        <v>45</v>
      </c>
      <c r="I3874" t="s">
        <v>36</v>
      </c>
      <c r="J3874" s="1">
        <v>45550</v>
      </c>
      <c r="K3874" t="b">
        <v>1</v>
      </c>
    </row>
    <row r="3875" spans="1:11" x14ac:dyDescent="0.25">
      <c r="A3875" t="s">
        <v>1671</v>
      </c>
      <c r="B3875" t="s">
        <v>34</v>
      </c>
      <c r="C3875" t="s">
        <v>23</v>
      </c>
      <c r="D3875" t="s">
        <v>24</v>
      </c>
      <c r="E3875" s="2">
        <v>21.5</v>
      </c>
      <c r="F3875" s="4">
        <v>5</v>
      </c>
      <c r="G3875" s="2">
        <v>107.5</v>
      </c>
      <c r="H3875" t="s">
        <v>25</v>
      </c>
      <c r="I3875" t="s">
        <v>16</v>
      </c>
      <c r="J3875" s="1">
        <v>44641</v>
      </c>
      <c r="K3875" t="b">
        <v>1</v>
      </c>
    </row>
    <row r="3876" spans="1:11" x14ac:dyDescent="0.25">
      <c r="A3876" t="s">
        <v>837</v>
      </c>
      <c r="B3876" t="s">
        <v>56</v>
      </c>
      <c r="C3876" t="s">
        <v>110</v>
      </c>
      <c r="D3876" t="s">
        <v>451</v>
      </c>
      <c r="E3876" s="2">
        <v>21.5</v>
      </c>
      <c r="F3876" s="4">
        <v>5</v>
      </c>
      <c r="G3876" s="2">
        <v>107.5</v>
      </c>
      <c r="H3876" t="s">
        <v>15</v>
      </c>
      <c r="I3876" t="s">
        <v>16</v>
      </c>
      <c r="J3876" s="1">
        <v>45496</v>
      </c>
      <c r="K3876" t="b">
        <v>1</v>
      </c>
    </row>
    <row r="3877" spans="1:11" x14ac:dyDescent="0.25">
      <c r="A3877" t="s">
        <v>5812</v>
      </c>
      <c r="B3877" t="s">
        <v>34</v>
      </c>
      <c r="C3877" t="s">
        <v>19</v>
      </c>
      <c r="D3877" t="s">
        <v>1410</v>
      </c>
      <c r="E3877" s="2">
        <v>21.5</v>
      </c>
      <c r="F3877" s="4">
        <v>5</v>
      </c>
      <c r="G3877" s="2">
        <v>107.5</v>
      </c>
      <c r="H3877" t="s">
        <v>45</v>
      </c>
      <c r="I3877" t="s">
        <v>36</v>
      </c>
      <c r="J3877" s="1">
        <v>45383</v>
      </c>
      <c r="K3877" t="b">
        <v>0</v>
      </c>
    </row>
    <row r="3878" spans="1:11" x14ac:dyDescent="0.25">
      <c r="A3878" t="s">
        <v>3363</v>
      </c>
      <c r="B3878" t="s">
        <v>12</v>
      </c>
      <c r="C3878" t="s">
        <v>110</v>
      </c>
      <c r="D3878" t="s">
        <v>451</v>
      </c>
      <c r="E3878" s="2">
        <v>21.5</v>
      </c>
      <c r="F3878" s="4">
        <v>5</v>
      </c>
      <c r="G3878" s="2">
        <v>107.5</v>
      </c>
      <c r="H3878" t="s">
        <v>45</v>
      </c>
      <c r="I3878" t="s">
        <v>36</v>
      </c>
      <c r="J3878" s="1">
        <v>45293</v>
      </c>
      <c r="K3878" t="b">
        <v>1</v>
      </c>
    </row>
    <row r="3879" spans="1:11" x14ac:dyDescent="0.25">
      <c r="A3879" t="s">
        <v>3783</v>
      </c>
      <c r="B3879" t="s">
        <v>58</v>
      </c>
      <c r="C3879" t="s">
        <v>23</v>
      </c>
      <c r="D3879" t="s">
        <v>24</v>
      </c>
      <c r="E3879" s="2">
        <v>21.5</v>
      </c>
      <c r="F3879" s="4">
        <v>5</v>
      </c>
      <c r="G3879" s="2">
        <v>107.5</v>
      </c>
      <c r="H3879" t="s">
        <v>25</v>
      </c>
      <c r="I3879" t="s">
        <v>16</v>
      </c>
      <c r="J3879" s="1">
        <v>45367</v>
      </c>
      <c r="K3879" t="b">
        <v>1</v>
      </c>
    </row>
    <row r="3880" spans="1:11" x14ac:dyDescent="0.25">
      <c r="A3880" t="s">
        <v>4301</v>
      </c>
      <c r="B3880" t="s">
        <v>100</v>
      </c>
      <c r="C3880" t="s">
        <v>13</v>
      </c>
      <c r="D3880" t="s">
        <v>141</v>
      </c>
      <c r="E3880" s="2">
        <v>21.5</v>
      </c>
      <c r="F3880" s="4">
        <v>5</v>
      </c>
      <c r="G3880" s="2">
        <v>107.5</v>
      </c>
      <c r="H3880" t="s">
        <v>45</v>
      </c>
      <c r="I3880" t="s">
        <v>36</v>
      </c>
      <c r="J3880" s="1">
        <v>45493</v>
      </c>
      <c r="K3880" t="b">
        <v>1</v>
      </c>
    </row>
    <row r="3881" spans="1:11" x14ac:dyDescent="0.25">
      <c r="A3881" t="s">
        <v>6991</v>
      </c>
      <c r="B3881" t="s">
        <v>22</v>
      </c>
      <c r="C3881" t="s">
        <v>23</v>
      </c>
      <c r="D3881" t="s">
        <v>24</v>
      </c>
      <c r="E3881" s="2">
        <v>21.5</v>
      </c>
      <c r="F3881" s="4">
        <v>5</v>
      </c>
      <c r="G3881" s="2">
        <v>107.5</v>
      </c>
      <c r="H3881" t="s">
        <v>25</v>
      </c>
      <c r="I3881" t="s">
        <v>16</v>
      </c>
      <c r="J3881" s="1">
        <v>45303</v>
      </c>
      <c r="K3881" t="b">
        <v>0</v>
      </c>
    </row>
    <row r="3882" spans="1:11" x14ac:dyDescent="0.25">
      <c r="A3882" t="s">
        <v>580</v>
      </c>
      <c r="B3882" t="s">
        <v>86</v>
      </c>
      <c r="C3882" t="s">
        <v>38</v>
      </c>
      <c r="D3882" t="s">
        <v>509</v>
      </c>
      <c r="E3882" s="2">
        <v>21.5</v>
      </c>
      <c r="F3882" s="4">
        <v>5</v>
      </c>
      <c r="G3882" s="2">
        <v>107.5</v>
      </c>
      <c r="H3882" t="s">
        <v>45</v>
      </c>
      <c r="I3882" t="s">
        <v>16</v>
      </c>
      <c r="J3882" s="1">
        <v>45288</v>
      </c>
      <c r="K3882" t="b">
        <v>1</v>
      </c>
    </row>
    <row r="3883" spans="1:11" x14ac:dyDescent="0.25">
      <c r="A3883" t="s">
        <v>5723</v>
      </c>
      <c r="B3883" t="s">
        <v>142</v>
      </c>
      <c r="C3883" t="s">
        <v>59</v>
      </c>
      <c r="D3883" t="s">
        <v>288</v>
      </c>
      <c r="E3883" s="2">
        <v>21.5</v>
      </c>
      <c r="F3883" s="4">
        <v>5</v>
      </c>
      <c r="G3883" s="2">
        <v>107.5</v>
      </c>
      <c r="H3883" t="s">
        <v>15</v>
      </c>
      <c r="I3883" t="s">
        <v>16</v>
      </c>
      <c r="J3883" s="1">
        <v>45188</v>
      </c>
      <c r="K3883" t="b">
        <v>1</v>
      </c>
    </row>
    <row r="3884" spans="1:11" x14ac:dyDescent="0.25">
      <c r="A3884" t="s">
        <v>7092</v>
      </c>
      <c r="B3884" t="s">
        <v>86</v>
      </c>
      <c r="C3884" t="s">
        <v>110</v>
      </c>
      <c r="D3884" t="s">
        <v>451</v>
      </c>
      <c r="E3884" s="2">
        <v>21.5</v>
      </c>
      <c r="F3884" s="4">
        <v>5</v>
      </c>
      <c r="G3884" s="2">
        <v>107.5</v>
      </c>
      <c r="H3884" t="s">
        <v>45</v>
      </c>
      <c r="I3884" t="s">
        <v>36</v>
      </c>
      <c r="J3884" s="1">
        <v>44929</v>
      </c>
      <c r="K3884" t="b">
        <v>0</v>
      </c>
    </row>
    <row r="3885" spans="1:11" x14ac:dyDescent="0.25">
      <c r="A3885" t="s">
        <v>504</v>
      </c>
      <c r="B3885" t="s">
        <v>100</v>
      </c>
      <c r="C3885" t="s">
        <v>13</v>
      </c>
      <c r="D3885" t="s">
        <v>141</v>
      </c>
      <c r="E3885" s="2">
        <v>21.5</v>
      </c>
      <c r="F3885" s="4">
        <v>5</v>
      </c>
      <c r="G3885" s="2">
        <v>107.5</v>
      </c>
      <c r="H3885" t="s">
        <v>15</v>
      </c>
      <c r="I3885" t="s">
        <v>16</v>
      </c>
      <c r="J3885" s="1">
        <v>45060</v>
      </c>
      <c r="K3885" t="b">
        <v>1</v>
      </c>
    </row>
    <row r="3886" spans="1:11" x14ac:dyDescent="0.25">
      <c r="A3886" t="s">
        <v>2408</v>
      </c>
      <c r="B3886" t="s">
        <v>69</v>
      </c>
      <c r="C3886" t="s">
        <v>31</v>
      </c>
      <c r="D3886" t="s">
        <v>108</v>
      </c>
      <c r="E3886" s="2">
        <v>21.5</v>
      </c>
      <c r="F3886" s="4">
        <v>5</v>
      </c>
      <c r="G3886" s="2">
        <v>107.5</v>
      </c>
      <c r="H3886" t="s">
        <v>15</v>
      </c>
      <c r="I3886" t="s">
        <v>16</v>
      </c>
      <c r="J3886" s="1">
        <v>45552</v>
      </c>
      <c r="K3886" t="b">
        <v>1</v>
      </c>
    </row>
    <row r="3887" spans="1:11" x14ac:dyDescent="0.25">
      <c r="A3887" t="s">
        <v>3053</v>
      </c>
      <c r="B3887" t="s">
        <v>30</v>
      </c>
      <c r="C3887" t="s">
        <v>59</v>
      </c>
      <c r="D3887" t="s">
        <v>288</v>
      </c>
      <c r="E3887" s="2">
        <v>21.5</v>
      </c>
      <c r="F3887" s="4">
        <v>5</v>
      </c>
      <c r="G3887" s="2">
        <v>107.5</v>
      </c>
      <c r="H3887" t="s">
        <v>15</v>
      </c>
      <c r="I3887" t="s">
        <v>36</v>
      </c>
      <c r="J3887" s="1">
        <v>44828</v>
      </c>
      <c r="K3887" t="b">
        <v>0</v>
      </c>
    </row>
    <row r="3888" spans="1:11" x14ac:dyDescent="0.25">
      <c r="A3888" t="s">
        <v>4166</v>
      </c>
      <c r="B3888" t="s">
        <v>34</v>
      </c>
      <c r="C3888" t="s">
        <v>13</v>
      </c>
      <c r="D3888" t="s">
        <v>141</v>
      </c>
      <c r="E3888" s="2">
        <v>21.5</v>
      </c>
      <c r="F3888" s="4">
        <v>5</v>
      </c>
      <c r="G3888" s="2">
        <v>107.5</v>
      </c>
      <c r="H3888" t="s">
        <v>25</v>
      </c>
      <c r="I3888" t="s">
        <v>16</v>
      </c>
      <c r="J3888" s="1">
        <v>45160</v>
      </c>
      <c r="K3888" t="b">
        <v>1</v>
      </c>
    </row>
    <row r="3889" spans="1:11" x14ac:dyDescent="0.25">
      <c r="A3889" t="s">
        <v>6189</v>
      </c>
      <c r="B3889" t="s">
        <v>51</v>
      </c>
      <c r="C3889" t="s">
        <v>13</v>
      </c>
      <c r="D3889" t="s">
        <v>141</v>
      </c>
      <c r="E3889" s="2">
        <v>21.5</v>
      </c>
      <c r="F3889" s="4">
        <v>5</v>
      </c>
      <c r="G3889" s="2">
        <v>107.5</v>
      </c>
      <c r="H3889" t="s">
        <v>25</v>
      </c>
      <c r="I3889" t="s">
        <v>16</v>
      </c>
      <c r="J3889" s="1">
        <v>45044</v>
      </c>
      <c r="K3889" t="b">
        <v>0</v>
      </c>
    </row>
    <row r="3890" spans="1:11" x14ac:dyDescent="0.25">
      <c r="A3890" t="s">
        <v>833</v>
      </c>
      <c r="B3890" t="s">
        <v>93</v>
      </c>
      <c r="C3890" t="s">
        <v>31</v>
      </c>
      <c r="D3890" t="s">
        <v>108</v>
      </c>
      <c r="E3890" s="2">
        <v>21.5</v>
      </c>
      <c r="F3890" s="4">
        <v>5</v>
      </c>
      <c r="G3890" s="2">
        <v>107.5</v>
      </c>
      <c r="H3890" t="s">
        <v>45</v>
      </c>
      <c r="I3890" t="s">
        <v>16</v>
      </c>
      <c r="J3890" s="1">
        <v>45048</v>
      </c>
      <c r="K3890" t="b">
        <v>0</v>
      </c>
    </row>
    <row r="3891" spans="1:11" x14ac:dyDescent="0.25">
      <c r="A3891" t="s">
        <v>565</v>
      </c>
      <c r="B3891" t="s">
        <v>61</v>
      </c>
      <c r="C3891" t="s">
        <v>23</v>
      </c>
      <c r="D3891" t="s">
        <v>24</v>
      </c>
      <c r="E3891" s="2">
        <v>21.5</v>
      </c>
      <c r="F3891" s="4">
        <v>5</v>
      </c>
      <c r="G3891" s="2">
        <v>107.5</v>
      </c>
      <c r="H3891" t="s">
        <v>45</v>
      </c>
      <c r="I3891" t="s">
        <v>36</v>
      </c>
      <c r="J3891" s="1">
        <v>44637</v>
      </c>
      <c r="K3891" t="b">
        <v>1</v>
      </c>
    </row>
    <row r="3892" spans="1:11" x14ac:dyDescent="0.25">
      <c r="A3892" t="s">
        <v>2145</v>
      </c>
      <c r="B3892" t="s">
        <v>30</v>
      </c>
      <c r="C3892" t="s">
        <v>23</v>
      </c>
      <c r="D3892" t="s">
        <v>24</v>
      </c>
      <c r="E3892" s="2">
        <v>21.5</v>
      </c>
      <c r="F3892" s="4">
        <v>5</v>
      </c>
      <c r="G3892" s="2">
        <v>107.5</v>
      </c>
      <c r="H3892" t="s">
        <v>25</v>
      </c>
      <c r="I3892" t="s">
        <v>36</v>
      </c>
      <c r="J3892" s="1">
        <v>44707</v>
      </c>
      <c r="K3892" t="b">
        <v>0</v>
      </c>
    </row>
    <row r="3893" spans="1:11" x14ac:dyDescent="0.25">
      <c r="A3893" t="s">
        <v>5657</v>
      </c>
      <c r="B3893" t="s">
        <v>61</v>
      </c>
      <c r="C3893" t="s">
        <v>110</v>
      </c>
      <c r="D3893" t="s">
        <v>451</v>
      </c>
      <c r="E3893" s="2">
        <v>21.5</v>
      </c>
      <c r="F3893" s="4">
        <v>5</v>
      </c>
      <c r="G3893" s="2">
        <v>107.5</v>
      </c>
      <c r="H3893" t="s">
        <v>15</v>
      </c>
      <c r="I3893" t="s">
        <v>36</v>
      </c>
      <c r="J3893" s="1">
        <v>45445</v>
      </c>
      <c r="K3893" t="b">
        <v>0</v>
      </c>
    </row>
    <row r="3894" spans="1:11" x14ac:dyDescent="0.25">
      <c r="A3894" t="s">
        <v>6530</v>
      </c>
      <c r="B3894" t="s">
        <v>100</v>
      </c>
      <c r="C3894" t="s">
        <v>13</v>
      </c>
      <c r="D3894" t="s">
        <v>141</v>
      </c>
      <c r="E3894" s="2">
        <v>21.5</v>
      </c>
      <c r="F3894" s="4">
        <v>5</v>
      </c>
      <c r="G3894" s="2">
        <v>107.5</v>
      </c>
      <c r="H3894" t="s">
        <v>25</v>
      </c>
      <c r="I3894" t="s">
        <v>36</v>
      </c>
      <c r="J3894" s="1">
        <v>45223</v>
      </c>
      <c r="K3894" t="b">
        <v>0</v>
      </c>
    </row>
    <row r="3895" spans="1:11" x14ac:dyDescent="0.25">
      <c r="A3895" t="s">
        <v>1495</v>
      </c>
      <c r="B3895" t="s">
        <v>63</v>
      </c>
      <c r="C3895" t="s">
        <v>13</v>
      </c>
      <c r="D3895" t="s">
        <v>141</v>
      </c>
      <c r="E3895" s="2">
        <v>21.5</v>
      </c>
      <c r="F3895" s="4">
        <v>5</v>
      </c>
      <c r="G3895" s="2">
        <v>107.5</v>
      </c>
      <c r="H3895" t="s">
        <v>45</v>
      </c>
      <c r="I3895" t="s">
        <v>36</v>
      </c>
      <c r="J3895" s="1">
        <v>44657</v>
      </c>
      <c r="K3895" t="b">
        <v>0</v>
      </c>
    </row>
    <row r="3896" spans="1:11" x14ac:dyDescent="0.25">
      <c r="A3896" t="s">
        <v>7685</v>
      </c>
      <c r="B3896" t="s">
        <v>93</v>
      </c>
      <c r="C3896" t="s">
        <v>23</v>
      </c>
      <c r="D3896" t="s">
        <v>24</v>
      </c>
      <c r="E3896" s="2">
        <v>21.5</v>
      </c>
      <c r="F3896" s="4">
        <v>5</v>
      </c>
      <c r="G3896" s="2">
        <v>107.5</v>
      </c>
      <c r="H3896" t="s">
        <v>25</v>
      </c>
      <c r="I3896" t="s">
        <v>16</v>
      </c>
      <c r="J3896" s="1">
        <v>45624</v>
      </c>
      <c r="K3896" t="b">
        <v>0</v>
      </c>
    </row>
    <row r="3897" spans="1:11" x14ac:dyDescent="0.25">
      <c r="A3897" t="s">
        <v>5792</v>
      </c>
      <c r="B3897" t="s">
        <v>97</v>
      </c>
      <c r="C3897" t="s">
        <v>23</v>
      </c>
      <c r="D3897" t="s">
        <v>24</v>
      </c>
      <c r="E3897" s="2">
        <v>21.5</v>
      </c>
      <c r="F3897" s="4">
        <v>5</v>
      </c>
      <c r="G3897" s="2">
        <v>107.5</v>
      </c>
      <c r="H3897" t="s">
        <v>25</v>
      </c>
      <c r="I3897" t="s">
        <v>36</v>
      </c>
      <c r="J3897" s="1">
        <v>44777</v>
      </c>
      <c r="K3897" t="b">
        <v>0</v>
      </c>
    </row>
    <row r="3898" spans="1:11" x14ac:dyDescent="0.25">
      <c r="A3898" t="s">
        <v>5330</v>
      </c>
      <c r="B3898" t="s">
        <v>26</v>
      </c>
      <c r="C3898" t="s">
        <v>31</v>
      </c>
      <c r="D3898" t="s">
        <v>108</v>
      </c>
      <c r="E3898" s="2">
        <v>21.5</v>
      </c>
      <c r="F3898" s="4">
        <v>5</v>
      </c>
      <c r="G3898" s="2">
        <v>107.5</v>
      </c>
      <c r="H3898" t="s">
        <v>45</v>
      </c>
      <c r="I3898" t="s">
        <v>16</v>
      </c>
      <c r="J3898" s="1">
        <v>44761</v>
      </c>
      <c r="K3898" t="b">
        <v>0</v>
      </c>
    </row>
    <row r="3899" spans="1:11" x14ac:dyDescent="0.25">
      <c r="A3899" t="s">
        <v>1616</v>
      </c>
      <c r="B3899" t="s">
        <v>22</v>
      </c>
      <c r="C3899" t="s">
        <v>13</v>
      </c>
      <c r="D3899" t="s">
        <v>141</v>
      </c>
      <c r="E3899" s="2">
        <v>21.5</v>
      </c>
      <c r="F3899" s="4">
        <v>5</v>
      </c>
      <c r="G3899" s="2">
        <v>107.5</v>
      </c>
      <c r="H3899" t="s">
        <v>15</v>
      </c>
      <c r="I3899" t="s">
        <v>16</v>
      </c>
      <c r="J3899" s="1">
        <v>44678</v>
      </c>
      <c r="K3899" t="b">
        <v>1</v>
      </c>
    </row>
    <row r="3900" spans="1:11" x14ac:dyDescent="0.25">
      <c r="A3900" t="s">
        <v>2587</v>
      </c>
      <c r="B3900" t="s">
        <v>56</v>
      </c>
      <c r="C3900" t="s">
        <v>31</v>
      </c>
      <c r="D3900" t="s">
        <v>108</v>
      </c>
      <c r="E3900" s="2">
        <v>21.5</v>
      </c>
      <c r="F3900" s="4">
        <v>5</v>
      </c>
      <c r="G3900" s="2">
        <v>107.5</v>
      </c>
      <c r="H3900" t="s">
        <v>45</v>
      </c>
      <c r="I3900" t="s">
        <v>16</v>
      </c>
      <c r="J3900" s="1">
        <v>45578</v>
      </c>
      <c r="K3900" t="b">
        <v>0</v>
      </c>
    </row>
    <row r="3901" spans="1:11" x14ac:dyDescent="0.25">
      <c r="A3901" t="s">
        <v>5656</v>
      </c>
      <c r="B3901" t="s">
        <v>61</v>
      </c>
      <c r="C3901" t="s">
        <v>19</v>
      </c>
      <c r="D3901" t="s">
        <v>1410</v>
      </c>
      <c r="E3901" s="2">
        <v>21.5</v>
      </c>
      <c r="F3901" s="4">
        <v>5</v>
      </c>
      <c r="G3901" s="2">
        <v>107.5</v>
      </c>
      <c r="H3901" t="s">
        <v>25</v>
      </c>
      <c r="I3901" t="s">
        <v>16</v>
      </c>
      <c r="J3901" s="1">
        <v>45437</v>
      </c>
      <c r="K3901" t="b">
        <v>0</v>
      </c>
    </row>
    <row r="3902" spans="1:11" x14ac:dyDescent="0.25">
      <c r="A3902" t="s">
        <v>3401</v>
      </c>
      <c r="B3902" t="s">
        <v>43</v>
      </c>
      <c r="C3902" t="s">
        <v>27</v>
      </c>
      <c r="D3902" t="s">
        <v>315</v>
      </c>
      <c r="E3902" s="2">
        <v>21.5</v>
      </c>
      <c r="F3902" s="4">
        <v>5</v>
      </c>
      <c r="G3902" s="2">
        <v>107.5</v>
      </c>
      <c r="H3902" t="s">
        <v>15</v>
      </c>
      <c r="I3902" t="s">
        <v>36</v>
      </c>
      <c r="J3902" s="1">
        <v>44981</v>
      </c>
      <c r="K3902" t="b">
        <v>0</v>
      </c>
    </row>
    <row r="3903" spans="1:11" x14ac:dyDescent="0.25">
      <c r="A3903" t="s">
        <v>6888</v>
      </c>
      <c r="B3903" t="s">
        <v>43</v>
      </c>
      <c r="C3903" t="s">
        <v>23</v>
      </c>
      <c r="D3903" t="s">
        <v>24</v>
      </c>
      <c r="E3903" s="2">
        <v>21.5</v>
      </c>
      <c r="F3903" s="4">
        <v>5</v>
      </c>
      <c r="G3903" s="2">
        <v>107.5</v>
      </c>
      <c r="H3903" t="s">
        <v>25</v>
      </c>
      <c r="I3903" t="s">
        <v>16</v>
      </c>
      <c r="J3903" s="1">
        <v>45444</v>
      </c>
      <c r="K3903" t="b">
        <v>1</v>
      </c>
    </row>
    <row r="3904" spans="1:11" x14ac:dyDescent="0.25">
      <c r="A3904" t="s">
        <v>4121</v>
      </c>
      <c r="B3904" t="s">
        <v>12</v>
      </c>
      <c r="C3904" t="s">
        <v>27</v>
      </c>
      <c r="D3904" t="s">
        <v>315</v>
      </c>
      <c r="E3904" s="2">
        <v>21.5</v>
      </c>
      <c r="F3904" s="4">
        <v>5</v>
      </c>
      <c r="G3904" s="2">
        <v>107.5</v>
      </c>
      <c r="H3904" t="s">
        <v>45</v>
      </c>
      <c r="I3904" t="s">
        <v>16</v>
      </c>
      <c r="J3904" s="1">
        <v>45252</v>
      </c>
      <c r="K3904" t="b">
        <v>1</v>
      </c>
    </row>
    <row r="3905" spans="1:11" x14ac:dyDescent="0.25">
      <c r="A3905" t="s">
        <v>5339</v>
      </c>
      <c r="B3905" t="s">
        <v>22</v>
      </c>
      <c r="C3905" t="s">
        <v>59</v>
      </c>
      <c r="D3905" t="s">
        <v>288</v>
      </c>
      <c r="E3905" s="2">
        <v>21.5</v>
      </c>
      <c r="F3905" s="4">
        <v>5</v>
      </c>
      <c r="G3905" s="2">
        <v>107.5</v>
      </c>
      <c r="H3905" t="s">
        <v>45</v>
      </c>
      <c r="I3905" t="s">
        <v>36</v>
      </c>
      <c r="J3905" s="1">
        <v>45099</v>
      </c>
      <c r="K3905" t="b">
        <v>0</v>
      </c>
    </row>
    <row r="3906" spans="1:11" x14ac:dyDescent="0.25">
      <c r="A3906" t="s">
        <v>826</v>
      </c>
      <c r="B3906" t="s">
        <v>104</v>
      </c>
      <c r="C3906" t="s">
        <v>13</v>
      </c>
      <c r="D3906" t="s">
        <v>141</v>
      </c>
      <c r="E3906" s="2">
        <v>21.5</v>
      </c>
      <c r="F3906" s="4">
        <v>5</v>
      </c>
      <c r="G3906" s="2">
        <v>107.5</v>
      </c>
      <c r="H3906" t="s">
        <v>45</v>
      </c>
      <c r="I3906" t="s">
        <v>16</v>
      </c>
      <c r="J3906" s="1">
        <v>45659</v>
      </c>
      <c r="K3906" t="b">
        <v>0</v>
      </c>
    </row>
    <row r="3907" spans="1:11" x14ac:dyDescent="0.25">
      <c r="A3907" t="s">
        <v>107</v>
      </c>
      <c r="B3907" t="s">
        <v>85</v>
      </c>
      <c r="C3907" t="s">
        <v>31</v>
      </c>
      <c r="D3907" t="s">
        <v>108</v>
      </c>
      <c r="E3907" s="2">
        <v>21.5</v>
      </c>
      <c r="F3907" s="4">
        <v>5</v>
      </c>
      <c r="G3907" s="2">
        <v>107.5</v>
      </c>
      <c r="H3907" t="s">
        <v>15</v>
      </c>
      <c r="I3907" t="s">
        <v>16</v>
      </c>
      <c r="J3907" s="1">
        <v>44985</v>
      </c>
      <c r="K3907" t="b">
        <v>1</v>
      </c>
    </row>
    <row r="3908" spans="1:11" x14ac:dyDescent="0.25">
      <c r="A3908" t="s">
        <v>1701</v>
      </c>
      <c r="B3908" t="s">
        <v>22</v>
      </c>
      <c r="C3908" t="s">
        <v>110</v>
      </c>
      <c r="D3908" t="s">
        <v>451</v>
      </c>
      <c r="E3908" s="2">
        <v>21.5</v>
      </c>
      <c r="F3908" s="4">
        <v>5</v>
      </c>
      <c r="G3908" s="2">
        <v>107.5</v>
      </c>
      <c r="H3908" t="s">
        <v>15</v>
      </c>
      <c r="I3908" t="s">
        <v>36</v>
      </c>
      <c r="J3908" s="1">
        <v>45661</v>
      </c>
      <c r="K3908" t="b">
        <v>0</v>
      </c>
    </row>
    <row r="3909" spans="1:11" x14ac:dyDescent="0.25">
      <c r="A3909" t="s">
        <v>7682</v>
      </c>
      <c r="B3909" t="s">
        <v>77</v>
      </c>
      <c r="C3909" t="s">
        <v>59</v>
      </c>
      <c r="D3909" t="s">
        <v>87</v>
      </c>
      <c r="E3909" s="2">
        <v>35</v>
      </c>
      <c r="F3909" s="4">
        <v>3</v>
      </c>
      <c r="G3909" s="2">
        <v>105</v>
      </c>
      <c r="H3909" t="s">
        <v>45</v>
      </c>
      <c r="I3909" t="s">
        <v>16</v>
      </c>
      <c r="J3909" s="1">
        <v>45378</v>
      </c>
      <c r="K3909" t="b">
        <v>1</v>
      </c>
    </row>
    <row r="3910" spans="1:11" x14ac:dyDescent="0.25">
      <c r="A3910" t="s">
        <v>5633</v>
      </c>
      <c r="B3910" t="s">
        <v>104</v>
      </c>
      <c r="C3910" t="s">
        <v>27</v>
      </c>
      <c r="D3910" t="s">
        <v>240</v>
      </c>
      <c r="E3910" s="2">
        <v>35</v>
      </c>
      <c r="F3910" s="4">
        <v>3</v>
      </c>
      <c r="G3910" s="2">
        <v>105</v>
      </c>
      <c r="H3910" t="s">
        <v>45</v>
      </c>
      <c r="I3910" t="s">
        <v>16</v>
      </c>
      <c r="J3910" s="1">
        <v>44872</v>
      </c>
      <c r="K3910" t="b">
        <v>1</v>
      </c>
    </row>
    <row r="3911" spans="1:11" x14ac:dyDescent="0.25">
      <c r="A3911" t="s">
        <v>5829</v>
      </c>
      <c r="B3911" t="s">
        <v>40</v>
      </c>
      <c r="C3911" t="s">
        <v>110</v>
      </c>
      <c r="D3911" t="s">
        <v>197</v>
      </c>
      <c r="E3911" s="2">
        <v>35</v>
      </c>
      <c r="F3911" s="4">
        <v>3</v>
      </c>
      <c r="G3911" s="2">
        <v>105</v>
      </c>
      <c r="H3911" t="s">
        <v>15</v>
      </c>
      <c r="I3911" t="s">
        <v>36</v>
      </c>
      <c r="J3911" s="1">
        <v>45623</v>
      </c>
      <c r="K3911" t="b">
        <v>1</v>
      </c>
    </row>
    <row r="3912" spans="1:11" x14ac:dyDescent="0.25">
      <c r="A3912" t="s">
        <v>2721</v>
      </c>
      <c r="B3912" t="s">
        <v>30</v>
      </c>
      <c r="C3912" t="s">
        <v>38</v>
      </c>
      <c r="D3912" t="s">
        <v>163</v>
      </c>
      <c r="E3912" s="2">
        <v>35</v>
      </c>
      <c r="F3912" s="4">
        <v>3</v>
      </c>
      <c r="G3912" s="2">
        <v>105</v>
      </c>
      <c r="H3912" t="s">
        <v>45</v>
      </c>
      <c r="I3912" t="s">
        <v>16</v>
      </c>
      <c r="J3912" s="1">
        <v>45547</v>
      </c>
      <c r="K3912" t="b">
        <v>1</v>
      </c>
    </row>
    <row r="3913" spans="1:11" x14ac:dyDescent="0.25">
      <c r="A3913" t="s">
        <v>1568</v>
      </c>
      <c r="B3913" t="s">
        <v>22</v>
      </c>
      <c r="C3913" t="s">
        <v>31</v>
      </c>
      <c r="D3913" t="s">
        <v>905</v>
      </c>
      <c r="E3913" s="2">
        <v>35</v>
      </c>
      <c r="F3913" s="4">
        <v>3</v>
      </c>
      <c r="G3913" s="2">
        <v>105</v>
      </c>
      <c r="H3913" t="s">
        <v>45</v>
      </c>
      <c r="I3913" t="s">
        <v>36</v>
      </c>
      <c r="J3913" s="1">
        <v>45112</v>
      </c>
      <c r="K3913" t="b">
        <v>1</v>
      </c>
    </row>
    <row r="3914" spans="1:11" x14ac:dyDescent="0.25">
      <c r="A3914" t="s">
        <v>6130</v>
      </c>
      <c r="B3914" t="s">
        <v>12</v>
      </c>
      <c r="C3914" t="s">
        <v>27</v>
      </c>
      <c r="D3914" t="s">
        <v>240</v>
      </c>
      <c r="E3914" s="2">
        <v>35</v>
      </c>
      <c r="F3914" s="4">
        <v>3</v>
      </c>
      <c r="G3914" s="2">
        <v>105</v>
      </c>
      <c r="H3914" t="s">
        <v>45</v>
      </c>
      <c r="I3914" t="s">
        <v>36</v>
      </c>
      <c r="J3914" s="1">
        <v>45240</v>
      </c>
      <c r="K3914" t="b">
        <v>1</v>
      </c>
    </row>
    <row r="3915" spans="1:11" x14ac:dyDescent="0.25">
      <c r="A3915" t="s">
        <v>7739</v>
      </c>
      <c r="B3915" t="s">
        <v>72</v>
      </c>
      <c r="C3915" t="s">
        <v>59</v>
      </c>
      <c r="D3915" t="s">
        <v>87</v>
      </c>
      <c r="E3915" s="2">
        <v>35</v>
      </c>
      <c r="F3915" s="4">
        <v>3</v>
      </c>
      <c r="G3915" s="2">
        <v>105</v>
      </c>
      <c r="H3915" t="s">
        <v>25</v>
      </c>
      <c r="I3915" t="s">
        <v>16</v>
      </c>
      <c r="J3915" s="1">
        <v>44594</v>
      </c>
      <c r="K3915" t="b">
        <v>0</v>
      </c>
    </row>
    <row r="3916" spans="1:11" x14ac:dyDescent="0.25">
      <c r="A3916" t="s">
        <v>6028</v>
      </c>
      <c r="B3916" t="s">
        <v>12</v>
      </c>
      <c r="C3916" t="s">
        <v>110</v>
      </c>
      <c r="D3916" t="s">
        <v>197</v>
      </c>
      <c r="E3916" s="2">
        <v>35</v>
      </c>
      <c r="F3916" s="4">
        <v>3</v>
      </c>
      <c r="G3916" s="2">
        <v>105</v>
      </c>
      <c r="H3916" t="s">
        <v>25</v>
      </c>
      <c r="I3916" t="s">
        <v>36</v>
      </c>
      <c r="J3916" s="1">
        <v>44661</v>
      </c>
      <c r="K3916" t="b">
        <v>1</v>
      </c>
    </row>
    <row r="3917" spans="1:11" x14ac:dyDescent="0.25">
      <c r="A3917" t="s">
        <v>932</v>
      </c>
      <c r="B3917" t="s">
        <v>104</v>
      </c>
      <c r="C3917" t="s">
        <v>31</v>
      </c>
      <c r="D3917" t="s">
        <v>905</v>
      </c>
      <c r="E3917" s="2">
        <v>35</v>
      </c>
      <c r="F3917" s="4">
        <v>3</v>
      </c>
      <c r="G3917" s="2">
        <v>105</v>
      </c>
      <c r="H3917" t="s">
        <v>15</v>
      </c>
      <c r="I3917" t="s">
        <v>36</v>
      </c>
      <c r="J3917" s="1">
        <v>45118</v>
      </c>
      <c r="K3917" t="b">
        <v>1</v>
      </c>
    </row>
    <row r="3918" spans="1:11" x14ac:dyDescent="0.25">
      <c r="A3918" t="s">
        <v>6389</v>
      </c>
      <c r="B3918" t="s">
        <v>56</v>
      </c>
      <c r="C3918" t="s">
        <v>59</v>
      </c>
      <c r="D3918" t="s">
        <v>87</v>
      </c>
      <c r="E3918" s="2">
        <v>35</v>
      </c>
      <c r="F3918" s="4">
        <v>3</v>
      </c>
      <c r="G3918" s="2">
        <v>105</v>
      </c>
      <c r="H3918" t="s">
        <v>15</v>
      </c>
      <c r="I3918" t="s">
        <v>16</v>
      </c>
      <c r="J3918" s="1">
        <v>44904</v>
      </c>
      <c r="K3918" t="b">
        <v>1</v>
      </c>
    </row>
    <row r="3919" spans="1:11" x14ac:dyDescent="0.25">
      <c r="A3919" t="s">
        <v>1699</v>
      </c>
      <c r="B3919" t="s">
        <v>18</v>
      </c>
      <c r="C3919" t="s">
        <v>59</v>
      </c>
      <c r="D3919" t="s">
        <v>87</v>
      </c>
      <c r="E3919" s="2">
        <v>35</v>
      </c>
      <c r="F3919" s="4">
        <v>3</v>
      </c>
      <c r="G3919" s="2">
        <v>105</v>
      </c>
      <c r="H3919" t="s">
        <v>15</v>
      </c>
      <c r="I3919" t="s">
        <v>16</v>
      </c>
      <c r="J3919" s="1">
        <v>45522</v>
      </c>
      <c r="K3919" t="b">
        <v>0</v>
      </c>
    </row>
    <row r="3920" spans="1:11" x14ac:dyDescent="0.25">
      <c r="A3920" t="s">
        <v>7243</v>
      </c>
      <c r="B3920" t="s">
        <v>69</v>
      </c>
      <c r="C3920" t="s">
        <v>110</v>
      </c>
      <c r="D3920" t="s">
        <v>197</v>
      </c>
      <c r="E3920" s="2">
        <v>35</v>
      </c>
      <c r="F3920" s="4">
        <v>3</v>
      </c>
      <c r="G3920" s="2">
        <v>105</v>
      </c>
      <c r="H3920" t="s">
        <v>45</v>
      </c>
      <c r="I3920" t="s">
        <v>16</v>
      </c>
      <c r="J3920" s="1">
        <v>45137</v>
      </c>
      <c r="K3920" t="b">
        <v>0</v>
      </c>
    </row>
    <row r="3921" spans="1:11" x14ac:dyDescent="0.25">
      <c r="A3921" t="s">
        <v>5304</v>
      </c>
      <c r="B3921" t="s">
        <v>22</v>
      </c>
      <c r="C3921" t="s">
        <v>27</v>
      </c>
      <c r="D3921" t="s">
        <v>240</v>
      </c>
      <c r="E3921" s="2">
        <v>35</v>
      </c>
      <c r="F3921" s="4">
        <v>3</v>
      </c>
      <c r="G3921" s="2">
        <v>105</v>
      </c>
      <c r="H3921" t="s">
        <v>25</v>
      </c>
      <c r="I3921" t="s">
        <v>36</v>
      </c>
      <c r="J3921" s="1">
        <v>45587</v>
      </c>
      <c r="K3921" t="b">
        <v>1</v>
      </c>
    </row>
    <row r="3922" spans="1:11" x14ac:dyDescent="0.25">
      <c r="A3922" t="s">
        <v>2739</v>
      </c>
      <c r="B3922" t="s">
        <v>85</v>
      </c>
      <c r="C3922" t="s">
        <v>27</v>
      </c>
      <c r="D3922" t="s">
        <v>240</v>
      </c>
      <c r="E3922" s="2">
        <v>35</v>
      </c>
      <c r="F3922" s="4">
        <v>3</v>
      </c>
      <c r="G3922" s="2">
        <v>105</v>
      </c>
      <c r="H3922" t="s">
        <v>45</v>
      </c>
      <c r="I3922" t="s">
        <v>36</v>
      </c>
      <c r="J3922" s="1">
        <v>44776</v>
      </c>
      <c r="K3922" t="b">
        <v>0</v>
      </c>
    </row>
    <row r="3923" spans="1:11" x14ac:dyDescent="0.25">
      <c r="A3923" t="s">
        <v>6199</v>
      </c>
      <c r="B3923" t="s">
        <v>93</v>
      </c>
      <c r="C3923" t="s">
        <v>23</v>
      </c>
      <c r="D3923" t="s">
        <v>179</v>
      </c>
      <c r="E3923" s="2">
        <v>35</v>
      </c>
      <c r="F3923" s="4">
        <v>3</v>
      </c>
      <c r="G3923" s="2">
        <v>105</v>
      </c>
      <c r="H3923" t="s">
        <v>25</v>
      </c>
      <c r="I3923" t="s">
        <v>36</v>
      </c>
      <c r="J3923" s="1">
        <v>44844</v>
      </c>
      <c r="K3923" t="b">
        <v>1</v>
      </c>
    </row>
    <row r="3924" spans="1:11" x14ac:dyDescent="0.25">
      <c r="A3924" t="s">
        <v>319</v>
      </c>
      <c r="B3924" t="s">
        <v>86</v>
      </c>
      <c r="C3924" t="s">
        <v>59</v>
      </c>
      <c r="D3924" t="s">
        <v>87</v>
      </c>
      <c r="E3924" s="2">
        <v>35</v>
      </c>
      <c r="F3924" s="4">
        <v>3</v>
      </c>
      <c r="G3924" s="2">
        <v>105</v>
      </c>
      <c r="H3924" t="s">
        <v>25</v>
      </c>
      <c r="I3924" t="s">
        <v>16</v>
      </c>
      <c r="J3924" s="1">
        <v>44909</v>
      </c>
      <c r="K3924" t="b">
        <v>1</v>
      </c>
    </row>
    <row r="3925" spans="1:11" x14ac:dyDescent="0.25">
      <c r="A3925" t="s">
        <v>2123</v>
      </c>
      <c r="B3925" t="s">
        <v>100</v>
      </c>
      <c r="C3925" t="s">
        <v>38</v>
      </c>
      <c r="D3925" t="s">
        <v>163</v>
      </c>
      <c r="E3925" s="2">
        <v>35</v>
      </c>
      <c r="F3925" s="4">
        <v>3</v>
      </c>
      <c r="G3925" s="2">
        <v>105</v>
      </c>
      <c r="H3925" t="s">
        <v>25</v>
      </c>
      <c r="I3925" t="s">
        <v>36</v>
      </c>
      <c r="J3925" s="1">
        <v>45407</v>
      </c>
      <c r="K3925" t="b">
        <v>1</v>
      </c>
    </row>
    <row r="3926" spans="1:11" x14ac:dyDescent="0.25">
      <c r="A3926" t="s">
        <v>4167</v>
      </c>
      <c r="B3926" t="s">
        <v>100</v>
      </c>
      <c r="C3926" t="s">
        <v>59</v>
      </c>
      <c r="D3926" t="s">
        <v>87</v>
      </c>
      <c r="E3926" s="2">
        <v>35</v>
      </c>
      <c r="F3926" s="4">
        <v>3</v>
      </c>
      <c r="G3926" s="2">
        <v>105</v>
      </c>
      <c r="H3926" t="s">
        <v>45</v>
      </c>
      <c r="I3926" t="s">
        <v>16</v>
      </c>
      <c r="J3926" s="1">
        <v>44976</v>
      </c>
      <c r="K3926" t="b">
        <v>0</v>
      </c>
    </row>
    <row r="3927" spans="1:11" x14ac:dyDescent="0.25">
      <c r="A3927" t="s">
        <v>1801</v>
      </c>
      <c r="B3927" t="s">
        <v>56</v>
      </c>
      <c r="C3927" t="s">
        <v>23</v>
      </c>
      <c r="D3927" t="s">
        <v>853</v>
      </c>
      <c r="E3927" s="2">
        <v>26</v>
      </c>
      <c r="F3927" s="4">
        <v>4</v>
      </c>
      <c r="G3927" s="2">
        <v>104</v>
      </c>
      <c r="H3927" t="s">
        <v>45</v>
      </c>
      <c r="I3927" t="s">
        <v>16</v>
      </c>
      <c r="J3927" s="1">
        <v>44883</v>
      </c>
      <c r="K3927" t="b">
        <v>0</v>
      </c>
    </row>
    <row r="3928" spans="1:11" x14ac:dyDescent="0.25">
      <c r="A3928" t="s">
        <v>5137</v>
      </c>
      <c r="B3928" t="s">
        <v>51</v>
      </c>
      <c r="C3928" t="s">
        <v>27</v>
      </c>
      <c r="D3928" t="s">
        <v>620</v>
      </c>
      <c r="E3928" s="2">
        <v>26</v>
      </c>
      <c r="F3928" s="4">
        <v>4</v>
      </c>
      <c r="G3928" s="2">
        <v>104</v>
      </c>
      <c r="H3928" t="s">
        <v>45</v>
      </c>
      <c r="I3928" t="s">
        <v>36</v>
      </c>
      <c r="J3928" s="1">
        <v>45431</v>
      </c>
      <c r="K3928" t="b">
        <v>1</v>
      </c>
    </row>
    <row r="3929" spans="1:11" x14ac:dyDescent="0.25">
      <c r="A3929" t="s">
        <v>2144</v>
      </c>
      <c r="B3929" t="s">
        <v>142</v>
      </c>
      <c r="C3929" t="s">
        <v>38</v>
      </c>
      <c r="D3929" t="s">
        <v>341</v>
      </c>
      <c r="E3929" s="2">
        <v>26</v>
      </c>
      <c r="F3929" s="4">
        <v>4</v>
      </c>
      <c r="G3929" s="2">
        <v>104</v>
      </c>
      <c r="H3929" t="s">
        <v>45</v>
      </c>
      <c r="I3929" t="s">
        <v>16</v>
      </c>
      <c r="J3929" s="1">
        <v>44941</v>
      </c>
      <c r="K3929" t="b">
        <v>0</v>
      </c>
    </row>
    <row r="3930" spans="1:11" x14ac:dyDescent="0.25">
      <c r="A3930" t="s">
        <v>4654</v>
      </c>
      <c r="B3930" t="s">
        <v>77</v>
      </c>
      <c r="C3930" t="s">
        <v>110</v>
      </c>
      <c r="D3930" t="s">
        <v>126</v>
      </c>
      <c r="E3930" s="2">
        <v>26</v>
      </c>
      <c r="F3930" s="4">
        <v>4</v>
      </c>
      <c r="G3930" s="2">
        <v>104</v>
      </c>
      <c r="H3930" t="s">
        <v>15</v>
      </c>
      <c r="I3930" t="s">
        <v>36</v>
      </c>
      <c r="J3930" s="1">
        <v>44738</v>
      </c>
      <c r="K3930" t="b">
        <v>1</v>
      </c>
    </row>
    <row r="3931" spans="1:11" x14ac:dyDescent="0.25">
      <c r="A3931" t="s">
        <v>7813</v>
      </c>
      <c r="B3931" t="s">
        <v>43</v>
      </c>
      <c r="C3931" t="s">
        <v>110</v>
      </c>
      <c r="D3931" t="s">
        <v>126</v>
      </c>
      <c r="E3931" s="2">
        <v>26</v>
      </c>
      <c r="F3931" s="4">
        <v>4</v>
      </c>
      <c r="G3931" s="2">
        <v>104</v>
      </c>
      <c r="H3931" t="s">
        <v>25</v>
      </c>
      <c r="I3931" t="s">
        <v>16</v>
      </c>
      <c r="J3931" s="1">
        <v>44983</v>
      </c>
      <c r="K3931" t="b">
        <v>1</v>
      </c>
    </row>
    <row r="3932" spans="1:11" x14ac:dyDescent="0.25">
      <c r="A3932" t="s">
        <v>6228</v>
      </c>
      <c r="B3932" t="s">
        <v>22</v>
      </c>
      <c r="C3932" t="s">
        <v>27</v>
      </c>
      <c r="D3932" t="s">
        <v>620</v>
      </c>
      <c r="E3932" s="2">
        <v>26</v>
      </c>
      <c r="F3932" s="4">
        <v>4</v>
      </c>
      <c r="G3932" s="2">
        <v>104</v>
      </c>
      <c r="H3932" t="s">
        <v>15</v>
      </c>
      <c r="I3932" t="s">
        <v>16</v>
      </c>
      <c r="J3932" s="1">
        <v>44809</v>
      </c>
      <c r="K3932" t="b">
        <v>0</v>
      </c>
    </row>
    <row r="3933" spans="1:11" x14ac:dyDescent="0.25">
      <c r="A3933" t="s">
        <v>2577</v>
      </c>
      <c r="B3933" t="s">
        <v>18</v>
      </c>
      <c r="C3933" t="s">
        <v>23</v>
      </c>
      <c r="D3933" t="s">
        <v>853</v>
      </c>
      <c r="E3933" s="2">
        <v>26</v>
      </c>
      <c r="F3933" s="4">
        <v>4</v>
      </c>
      <c r="G3933" s="2">
        <v>104</v>
      </c>
      <c r="H3933" t="s">
        <v>15</v>
      </c>
      <c r="I3933" t="s">
        <v>16</v>
      </c>
      <c r="J3933" s="1">
        <v>45594</v>
      </c>
      <c r="K3933" t="b">
        <v>1</v>
      </c>
    </row>
    <row r="3934" spans="1:11" x14ac:dyDescent="0.25">
      <c r="A3934" t="s">
        <v>586</v>
      </c>
      <c r="B3934" t="s">
        <v>40</v>
      </c>
      <c r="C3934" t="s">
        <v>110</v>
      </c>
      <c r="D3934" t="s">
        <v>126</v>
      </c>
      <c r="E3934" s="2">
        <v>26</v>
      </c>
      <c r="F3934" s="4">
        <v>4</v>
      </c>
      <c r="G3934" s="2">
        <v>104</v>
      </c>
      <c r="H3934" t="s">
        <v>15</v>
      </c>
      <c r="I3934" t="s">
        <v>36</v>
      </c>
      <c r="J3934" s="1">
        <v>45546</v>
      </c>
      <c r="K3934" t="b">
        <v>1</v>
      </c>
    </row>
    <row r="3935" spans="1:11" x14ac:dyDescent="0.25">
      <c r="A3935" t="s">
        <v>3724</v>
      </c>
      <c r="B3935" t="s">
        <v>34</v>
      </c>
      <c r="C3935" t="s">
        <v>110</v>
      </c>
      <c r="D3935" t="s">
        <v>126</v>
      </c>
      <c r="E3935" s="2">
        <v>26</v>
      </c>
      <c r="F3935" s="4">
        <v>4</v>
      </c>
      <c r="G3935" s="2">
        <v>104</v>
      </c>
      <c r="H3935" t="s">
        <v>25</v>
      </c>
      <c r="I3935" t="s">
        <v>36</v>
      </c>
      <c r="J3935" s="1">
        <v>44696</v>
      </c>
      <c r="K3935" t="b">
        <v>1</v>
      </c>
    </row>
    <row r="3936" spans="1:11" x14ac:dyDescent="0.25">
      <c r="A3936" t="s">
        <v>5275</v>
      </c>
      <c r="B3936" t="s">
        <v>69</v>
      </c>
      <c r="C3936" t="s">
        <v>110</v>
      </c>
      <c r="D3936" t="s">
        <v>126</v>
      </c>
      <c r="E3936" s="2">
        <v>26</v>
      </c>
      <c r="F3936" s="4">
        <v>4</v>
      </c>
      <c r="G3936" s="2">
        <v>104</v>
      </c>
      <c r="H3936" t="s">
        <v>15</v>
      </c>
      <c r="I3936" t="s">
        <v>36</v>
      </c>
      <c r="J3936" s="1">
        <v>45259</v>
      </c>
      <c r="K3936" t="b">
        <v>0</v>
      </c>
    </row>
    <row r="3937" spans="1:11" x14ac:dyDescent="0.25">
      <c r="A3937" t="s">
        <v>6235</v>
      </c>
      <c r="B3937" t="s">
        <v>142</v>
      </c>
      <c r="C3937" t="s">
        <v>59</v>
      </c>
      <c r="D3937" t="s">
        <v>463</v>
      </c>
      <c r="E3937" s="2">
        <v>26</v>
      </c>
      <c r="F3937" s="4">
        <v>4</v>
      </c>
      <c r="G3937" s="2">
        <v>104</v>
      </c>
      <c r="H3937" t="s">
        <v>25</v>
      </c>
      <c r="I3937" t="s">
        <v>36</v>
      </c>
      <c r="J3937" s="1">
        <v>45579</v>
      </c>
      <c r="K3937" t="b">
        <v>1</v>
      </c>
    </row>
    <row r="3938" spans="1:11" x14ac:dyDescent="0.25">
      <c r="A3938" t="s">
        <v>1095</v>
      </c>
      <c r="B3938" t="s">
        <v>51</v>
      </c>
      <c r="C3938" t="s">
        <v>13</v>
      </c>
      <c r="D3938" t="s">
        <v>343</v>
      </c>
      <c r="E3938" s="2">
        <v>26</v>
      </c>
      <c r="F3938" s="4">
        <v>4</v>
      </c>
      <c r="G3938" s="2">
        <v>104</v>
      </c>
      <c r="H3938" t="s">
        <v>45</v>
      </c>
      <c r="I3938" t="s">
        <v>16</v>
      </c>
      <c r="J3938" s="1">
        <v>44784</v>
      </c>
      <c r="K3938" t="b">
        <v>1</v>
      </c>
    </row>
    <row r="3939" spans="1:11" x14ac:dyDescent="0.25">
      <c r="A3939" t="s">
        <v>5107</v>
      </c>
      <c r="B3939" t="s">
        <v>37</v>
      </c>
      <c r="C3939" t="s">
        <v>59</v>
      </c>
      <c r="D3939" t="s">
        <v>463</v>
      </c>
      <c r="E3939" s="2">
        <v>26</v>
      </c>
      <c r="F3939" s="4">
        <v>4</v>
      </c>
      <c r="G3939" s="2">
        <v>104</v>
      </c>
      <c r="H3939" t="s">
        <v>45</v>
      </c>
      <c r="I3939" t="s">
        <v>16</v>
      </c>
      <c r="J3939" s="1">
        <v>45055</v>
      </c>
      <c r="K3939" t="b">
        <v>0</v>
      </c>
    </row>
    <row r="3940" spans="1:11" x14ac:dyDescent="0.25">
      <c r="A3940" t="s">
        <v>1860</v>
      </c>
      <c r="B3940" t="s">
        <v>142</v>
      </c>
      <c r="C3940" t="s">
        <v>13</v>
      </c>
      <c r="D3940" t="s">
        <v>343</v>
      </c>
      <c r="E3940" s="2">
        <v>26</v>
      </c>
      <c r="F3940" s="4">
        <v>4</v>
      </c>
      <c r="G3940" s="2">
        <v>104</v>
      </c>
      <c r="H3940" t="s">
        <v>15</v>
      </c>
      <c r="I3940" t="s">
        <v>36</v>
      </c>
      <c r="J3940" s="1">
        <v>45233</v>
      </c>
      <c r="K3940" t="b">
        <v>1</v>
      </c>
    </row>
    <row r="3941" spans="1:11" x14ac:dyDescent="0.25">
      <c r="A3941" t="s">
        <v>4467</v>
      </c>
      <c r="B3941" t="s">
        <v>104</v>
      </c>
      <c r="C3941" t="s">
        <v>23</v>
      </c>
      <c r="D3941" t="s">
        <v>853</v>
      </c>
      <c r="E3941" s="2">
        <v>26</v>
      </c>
      <c r="F3941" s="4">
        <v>4</v>
      </c>
      <c r="G3941" s="2">
        <v>104</v>
      </c>
      <c r="H3941" t="s">
        <v>45</v>
      </c>
      <c r="I3941" t="s">
        <v>36</v>
      </c>
      <c r="J3941" s="1">
        <v>45509</v>
      </c>
      <c r="K3941" t="b">
        <v>0</v>
      </c>
    </row>
    <row r="3942" spans="1:11" x14ac:dyDescent="0.25">
      <c r="A3942" t="s">
        <v>7279</v>
      </c>
      <c r="B3942" t="s">
        <v>26</v>
      </c>
      <c r="C3942" t="s">
        <v>59</v>
      </c>
      <c r="D3942" t="s">
        <v>463</v>
      </c>
      <c r="E3942" s="2">
        <v>26</v>
      </c>
      <c r="F3942" s="4">
        <v>4</v>
      </c>
      <c r="G3942" s="2">
        <v>104</v>
      </c>
      <c r="H3942" t="s">
        <v>15</v>
      </c>
      <c r="I3942" t="s">
        <v>16</v>
      </c>
      <c r="J3942" s="1">
        <v>45188</v>
      </c>
      <c r="K3942" t="b">
        <v>0</v>
      </c>
    </row>
    <row r="3943" spans="1:11" x14ac:dyDescent="0.25">
      <c r="A3943" t="s">
        <v>4678</v>
      </c>
      <c r="B3943" t="s">
        <v>72</v>
      </c>
      <c r="C3943" t="s">
        <v>23</v>
      </c>
      <c r="D3943" t="s">
        <v>853</v>
      </c>
      <c r="E3943" s="2">
        <v>26</v>
      </c>
      <c r="F3943" s="4">
        <v>4</v>
      </c>
      <c r="G3943" s="2">
        <v>104</v>
      </c>
      <c r="H3943" t="s">
        <v>45</v>
      </c>
      <c r="I3943" t="s">
        <v>16</v>
      </c>
      <c r="J3943" s="1">
        <v>44858</v>
      </c>
      <c r="K3943" t="b">
        <v>1</v>
      </c>
    </row>
    <row r="3944" spans="1:11" x14ac:dyDescent="0.25">
      <c r="A3944" t="s">
        <v>6818</v>
      </c>
      <c r="B3944" t="s">
        <v>97</v>
      </c>
      <c r="C3944" t="s">
        <v>23</v>
      </c>
      <c r="D3944" t="s">
        <v>853</v>
      </c>
      <c r="E3944" s="2">
        <v>26</v>
      </c>
      <c r="F3944" s="4">
        <v>4</v>
      </c>
      <c r="G3944" s="2">
        <v>104</v>
      </c>
      <c r="H3944" t="s">
        <v>25</v>
      </c>
      <c r="I3944" t="s">
        <v>36</v>
      </c>
      <c r="J3944" s="1">
        <v>44985</v>
      </c>
      <c r="K3944" t="b">
        <v>1</v>
      </c>
    </row>
    <row r="3945" spans="1:11" x14ac:dyDescent="0.25">
      <c r="A3945" t="s">
        <v>4988</v>
      </c>
      <c r="B3945" t="s">
        <v>51</v>
      </c>
      <c r="C3945" t="s">
        <v>19</v>
      </c>
      <c r="D3945" t="s">
        <v>268</v>
      </c>
      <c r="E3945" s="2">
        <v>26</v>
      </c>
      <c r="F3945" s="4">
        <v>4</v>
      </c>
      <c r="G3945" s="2">
        <v>104</v>
      </c>
      <c r="H3945" t="s">
        <v>15</v>
      </c>
      <c r="I3945" t="s">
        <v>36</v>
      </c>
      <c r="J3945" s="1">
        <v>44897</v>
      </c>
      <c r="K3945" t="b">
        <v>0</v>
      </c>
    </row>
    <row r="3946" spans="1:11" x14ac:dyDescent="0.25">
      <c r="A3946" t="s">
        <v>6314</v>
      </c>
      <c r="B3946" t="s">
        <v>93</v>
      </c>
      <c r="C3946" t="s">
        <v>110</v>
      </c>
      <c r="D3946" t="s">
        <v>126</v>
      </c>
      <c r="E3946" s="2">
        <v>26</v>
      </c>
      <c r="F3946" s="4">
        <v>4</v>
      </c>
      <c r="G3946" s="2">
        <v>104</v>
      </c>
      <c r="H3946" t="s">
        <v>25</v>
      </c>
      <c r="I3946" t="s">
        <v>36</v>
      </c>
      <c r="J3946" s="1">
        <v>44589</v>
      </c>
      <c r="K3946" t="b">
        <v>0</v>
      </c>
    </row>
    <row r="3947" spans="1:11" x14ac:dyDescent="0.25">
      <c r="A3947" t="s">
        <v>578</v>
      </c>
      <c r="B3947" t="s">
        <v>56</v>
      </c>
      <c r="C3947" t="s">
        <v>31</v>
      </c>
      <c r="D3947" t="s">
        <v>579</v>
      </c>
      <c r="E3947" s="2">
        <v>26</v>
      </c>
      <c r="F3947" s="4">
        <v>4</v>
      </c>
      <c r="G3947" s="2">
        <v>104</v>
      </c>
      <c r="H3947" t="s">
        <v>45</v>
      </c>
      <c r="I3947" t="s">
        <v>16</v>
      </c>
      <c r="J3947" s="1">
        <v>44728</v>
      </c>
      <c r="K3947" t="b">
        <v>1</v>
      </c>
    </row>
    <row r="3948" spans="1:11" x14ac:dyDescent="0.25">
      <c r="A3948" t="s">
        <v>5434</v>
      </c>
      <c r="B3948" t="s">
        <v>43</v>
      </c>
      <c r="C3948" t="s">
        <v>59</v>
      </c>
      <c r="D3948" t="s">
        <v>463</v>
      </c>
      <c r="E3948" s="2">
        <v>26</v>
      </c>
      <c r="F3948" s="4">
        <v>4</v>
      </c>
      <c r="G3948" s="2">
        <v>104</v>
      </c>
      <c r="H3948" t="s">
        <v>15</v>
      </c>
      <c r="I3948" t="s">
        <v>36</v>
      </c>
      <c r="J3948" s="1">
        <v>44830</v>
      </c>
      <c r="K3948" t="b">
        <v>1</v>
      </c>
    </row>
    <row r="3949" spans="1:11" x14ac:dyDescent="0.25">
      <c r="A3949" t="s">
        <v>5163</v>
      </c>
      <c r="B3949" t="s">
        <v>63</v>
      </c>
      <c r="C3949" t="s">
        <v>110</v>
      </c>
      <c r="D3949" t="s">
        <v>126</v>
      </c>
      <c r="E3949" s="2">
        <v>26</v>
      </c>
      <c r="F3949" s="4">
        <v>4</v>
      </c>
      <c r="G3949" s="2">
        <v>104</v>
      </c>
      <c r="H3949" t="s">
        <v>25</v>
      </c>
      <c r="I3949" t="s">
        <v>36</v>
      </c>
      <c r="J3949" s="1">
        <v>45454</v>
      </c>
      <c r="K3949" t="b">
        <v>1</v>
      </c>
    </row>
    <row r="3950" spans="1:11" x14ac:dyDescent="0.25">
      <c r="A3950" t="s">
        <v>7472</v>
      </c>
      <c r="B3950" t="s">
        <v>58</v>
      </c>
      <c r="C3950" t="s">
        <v>31</v>
      </c>
      <c r="D3950" t="s">
        <v>195</v>
      </c>
      <c r="E3950" s="2">
        <v>17</v>
      </c>
      <c r="F3950" s="4">
        <v>6</v>
      </c>
      <c r="G3950" s="2">
        <v>102</v>
      </c>
      <c r="H3950" t="s">
        <v>45</v>
      </c>
      <c r="I3950" t="s">
        <v>36</v>
      </c>
      <c r="J3950" s="1">
        <v>45390</v>
      </c>
      <c r="K3950" t="b">
        <v>0</v>
      </c>
    </row>
    <row r="3951" spans="1:11" x14ac:dyDescent="0.25">
      <c r="A3951" t="s">
        <v>5379</v>
      </c>
      <c r="B3951" t="s">
        <v>66</v>
      </c>
      <c r="C3951" t="s">
        <v>27</v>
      </c>
      <c r="D3951" t="s">
        <v>763</v>
      </c>
      <c r="E3951" s="2">
        <v>17</v>
      </c>
      <c r="F3951" s="4">
        <v>6</v>
      </c>
      <c r="G3951" s="2">
        <v>102</v>
      </c>
      <c r="H3951" t="s">
        <v>25</v>
      </c>
      <c r="I3951" t="s">
        <v>16</v>
      </c>
      <c r="J3951" s="1">
        <v>44667</v>
      </c>
      <c r="K3951" t="b">
        <v>0</v>
      </c>
    </row>
    <row r="3952" spans="1:11" x14ac:dyDescent="0.25">
      <c r="A3952" t="s">
        <v>7268</v>
      </c>
      <c r="B3952" t="s">
        <v>142</v>
      </c>
      <c r="C3952" t="s">
        <v>27</v>
      </c>
      <c r="D3952" t="s">
        <v>763</v>
      </c>
      <c r="E3952" s="2">
        <v>17</v>
      </c>
      <c r="F3952" s="4">
        <v>6</v>
      </c>
      <c r="G3952" s="2">
        <v>102</v>
      </c>
      <c r="H3952" t="s">
        <v>25</v>
      </c>
      <c r="I3952" t="s">
        <v>36</v>
      </c>
      <c r="J3952" s="1">
        <v>44596</v>
      </c>
      <c r="K3952" t="b">
        <v>1</v>
      </c>
    </row>
    <row r="3953" spans="1:11" x14ac:dyDescent="0.25">
      <c r="A3953" t="s">
        <v>2356</v>
      </c>
      <c r="B3953" t="s">
        <v>56</v>
      </c>
      <c r="C3953" t="s">
        <v>23</v>
      </c>
      <c r="D3953" t="s">
        <v>2357</v>
      </c>
      <c r="E3953" s="2">
        <v>17</v>
      </c>
      <c r="F3953" s="4">
        <v>6</v>
      </c>
      <c r="G3953" s="2">
        <v>102</v>
      </c>
      <c r="H3953" t="s">
        <v>15</v>
      </c>
      <c r="I3953" t="s">
        <v>16</v>
      </c>
      <c r="J3953" s="1">
        <v>45223</v>
      </c>
      <c r="K3953" t="b">
        <v>1</v>
      </c>
    </row>
    <row r="3954" spans="1:11" x14ac:dyDescent="0.25">
      <c r="A3954" t="s">
        <v>2005</v>
      </c>
      <c r="B3954" t="s">
        <v>22</v>
      </c>
      <c r="C3954" t="s">
        <v>110</v>
      </c>
      <c r="D3954" t="s">
        <v>327</v>
      </c>
      <c r="E3954" s="2">
        <v>17</v>
      </c>
      <c r="F3954" s="4">
        <v>6</v>
      </c>
      <c r="G3954" s="2">
        <v>102</v>
      </c>
      <c r="H3954" t="s">
        <v>25</v>
      </c>
      <c r="I3954" t="s">
        <v>16</v>
      </c>
      <c r="J3954" s="1">
        <v>45352</v>
      </c>
      <c r="K3954" t="b">
        <v>1</v>
      </c>
    </row>
    <row r="3955" spans="1:11" x14ac:dyDescent="0.25">
      <c r="A3955" t="s">
        <v>7557</v>
      </c>
      <c r="B3955" t="s">
        <v>26</v>
      </c>
      <c r="C3955" t="s">
        <v>13</v>
      </c>
      <c r="D3955" t="s">
        <v>380</v>
      </c>
      <c r="E3955" s="2">
        <v>17</v>
      </c>
      <c r="F3955" s="4">
        <v>6</v>
      </c>
      <c r="G3955" s="2">
        <v>102</v>
      </c>
      <c r="H3955" t="s">
        <v>15</v>
      </c>
      <c r="I3955" t="s">
        <v>16</v>
      </c>
      <c r="J3955" s="1">
        <v>45177</v>
      </c>
      <c r="K3955" t="b">
        <v>0</v>
      </c>
    </row>
    <row r="3956" spans="1:11" x14ac:dyDescent="0.25">
      <c r="A3956" t="s">
        <v>4740</v>
      </c>
      <c r="B3956" t="s">
        <v>72</v>
      </c>
      <c r="C3956" t="s">
        <v>110</v>
      </c>
      <c r="D3956" t="s">
        <v>327</v>
      </c>
      <c r="E3956" s="2">
        <v>17</v>
      </c>
      <c r="F3956" s="4">
        <v>6</v>
      </c>
      <c r="G3956" s="2">
        <v>102</v>
      </c>
      <c r="H3956" t="s">
        <v>25</v>
      </c>
      <c r="I3956" t="s">
        <v>36</v>
      </c>
      <c r="J3956" s="1">
        <v>44639</v>
      </c>
      <c r="K3956" t="b">
        <v>1</v>
      </c>
    </row>
    <row r="3957" spans="1:11" x14ac:dyDescent="0.25">
      <c r="A3957" t="s">
        <v>7561</v>
      </c>
      <c r="B3957" t="s">
        <v>100</v>
      </c>
      <c r="C3957" t="s">
        <v>13</v>
      </c>
      <c r="D3957" t="s">
        <v>380</v>
      </c>
      <c r="E3957" s="2">
        <v>17</v>
      </c>
      <c r="F3957" s="4">
        <v>6</v>
      </c>
      <c r="G3957" s="2">
        <v>102</v>
      </c>
      <c r="H3957" t="s">
        <v>15</v>
      </c>
      <c r="I3957" t="s">
        <v>36</v>
      </c>
      <c r="J3957" s="1">
        <v>45574</v>
      </c>
      <c r="K3957" t="b">
        <v>0</v>
      </c>
    </row>
    <row r="3958" spans="1:11" x14ac:dyDescent="0.25">
      <c r="A3958" t="s">
        <v>4223</v>
      </c>
      <c r="B3958" t="s">
        <v>37</v>
      </c>
      <c r="C3958" t="s">
        <v>13</v>
      </c>
      <c r="D3958" t="s">
        <v>380</v>
      </c>
      <c r="E3958" s="2">
        <v>17</v>
      </c>
      <c r="F3958" s="4">
        <v>6</v>
      </c>
      <c r="G3958" s="2">
        <v>102</v>
      </c>
      <c r="H3958" t="s">
        <v>45</v>
      </c>
      <c r="I3958" t="s">
        <v>16</v>
      </c>
      <c r="J3958" s="1">
        <v>45640</v>
      </c>
      <c r="K3958" t="b">
        <v>0</v>
      </c>
    </row>
    <row r="3959" spans="1:11" x14ac:dyDescent="0.25">
      <c r="A3959" t="s">
        <v>3558</v>
      </c>
      <c r="B3959" t="s">
        <v>61</v>
      </c>
      <c r="C3959" t="s">
        <v>38</v>
      </c>
      <c r="D3959" t="s">
        <v>444</v>
      </c>
      <c r="E3959" s="2">
        <v>17</v>
      </c>
      <c r="F3959" s="4">
        <v>6</v>
      </c>
      <c r="G3959" s="2">
        <v>102</v>
      </c>
      <c r="H3959" t="s">
        <v>15</v>
      </c>
      <c r="I3959" t="s">
        <v>36</v>
      </c>
      <c r="J3959" s="1">
        <v>45622</v>
      </c>
      <c r="K3959" t="b">
        <v>1</v>
      </c>
    </row>
    <row r="3960" spans="1:11" x14ac:dyDescent="0.25">
      <c r="A3960" t="s">
        <v>6966</v>
      </c>
      <c r="B3960" t="s">
        <v>77</v>
      </c>
      <c r="C3960" t="s">
        <v>27</v>
      </c>
      <c r="D3960" t="s">
        <v>763</v>
      </c>
      <c r="E3960" s="2">
        <v>17</v>
      </c>
      <c r="F3960" s="4">
        <v>6</v>
      </c>
      <c r="G3960" s="2">
        <v>102</v>
      </c>
      <c r="H3960" t="s">
        <v>45</v>
      </c>
      <c r="I3960" t="s">
        <v>36</v>
      </c>
      <c r="J3960" s="1">
        <v>44933</v>
      </c>
      <c r="K3960" t="b">
        <v>1</v>
      </c>
    </row>
    <row r="3961" spans="1:11" x14ac:dyDescent="0.25">
      <c r="A3961" t="s">
        <v>5444</v>
      </c>
      <c r="B3961" t="s">
        <v>34</v>
      </c>
      <c r="C3961" t="s">
        <v>31</v>
      </c>
      <c r="D3961" t="s">
        <v>195</v>
      </c>
      <c r="E3961" s="2">
        <v>17</v>
      </c>
      <c r="F3961" s="4">
        <v>6</v>
      </c>
      <c r="G3961" s="2">
        <v>102</v>
      </c>
      <c r="H3961" t="s">
        <v>15</v>
      </c>
      <c r="I3961" t="s">
        <v>16</v>
      </c>
      <c r="J3961" s="1">
        <v>45291</v>
      </c>
      <c r="K3961" t="b">
        <v>0</v>
      </c>
    </row>
    <row r="3962" spans="1:11" x14ac:dyDescent="0.25">
      <c r="A3962" t="s">
        <v>4979</v>
      </c>
      <c r="B3962" t="s">
        <v>86</v>
      </c>
      <c r="C3962" t="s">
        <v>110</v>
      </c>
      <c r="D3962" t="s">
        <v>327</v>
      </c>
      <c r="E3962" s="2">
        <v>17</v>
      </c>
      <c r="F3962" s="4">
        <v>6</v>
      </c>
      <c r="G3962" s="2">
        <v>102</v>
      </c>
      <c r="H3962" t="s">
        <v>45</v>
      </c>
      <c r="I3962" t="s">
        <v>36</v>
      </c>
      <c r="J3962" s="1">
        <v>45038</v>
      </c>
      <c r="K3962" t="b">
        <v>0</v>
      </c>
    </row>
    <row r="3963" spans="1:11" x14ac:dyDescent="0.25">
      <c r="A3963" t="s">
        <v>2286</v>
      </c>
      <c r="B3963" t="s">
        <v>63</v>
      </c>
      <c r="C3963" t="s">
        <v>38</v>
      </c>
      <c r="D3963" t="s">
        <v>444</v>
      </c>
      <c r="E3963" s="2">
        <v>17</v>
      </c>
      <c r="F3963" s="4">
        <v>6</v>
      </c>
      <c r="G3963" s="2">
        <v>102</v>
      </c>
      <c r="H3963" t="s">
        <v>15</v>
      </c>
      <c r="I3963" t="s">
        <v>36</v>
      </c>
      <c r="J3963" s="1">
        <v>45090</v>
      </c>
      <c r="K3963" t="b">
        <v>0</v>
      </c>
    </row>
    <row r="3964" spans="1:11" x14ac:dyDescent="0.25">
      <c r="A3964" t="s">
        <v>4924</v>
      </c>
      <c r="B3964" t="s">
        <v>86</v>
      </c>
      <c r="C3964" t="s">
        <v>31</v>
      </c>
      <c r="D3964" t="s">
        <v>195</v>
      </c>
      <c r="E3964" s="2">
        <v>17</v>
      </c>
      <c r="F3964" s="4">
        <v>6</v>
      </c>
      <c r="G3964" s="2">
        <v>102</v>
      </c>
      <c r="H3964" t="s">
        <v>25</v>
      </c>
      <c r="I3964" t="s">
        <v>36</v>
      </c>
      <c r="J3964" s="1">
        <v>44606</v>
      </c>
      <c r="K3964" t="b">
        <v>1</v>
      </c>
    </row>
    <row r="3965" spans="1:11" x14ac:dyDescent="0.25">
      <c r="A3965" t="s">
        <v>6626</v>
      </c>
      <c r="B3965" t="s">
        <v>77</v>
      </c>
      <c r="C3965" t="s">
        <v>31</v>
      </c>
      <c r="D3965" t="s">
        <v>195</v>
      </c>
      <c r="E3965" s="2">
        <v>17</v>
      </c>
      <c r="F3965" s="4">
        <v>6</v>
      </c>
      <c r="G3965" s="2">
        <v>102</v>
      </c>
      <c r="H3965" t="s">
        <v>15</v>
      </c>
      <c r="I3965" t="s">
        <v>16</v>
      </c>
      <c r="J3965" s="1">
        <v>45383</v>
      </c>
      <c r="K3965" t="b">
        <v>1</v>
      </c>
    </row>
    <row r="3966" spans="1:11" x14ac:dyDescent="0.25">
      <c r="A3966" t="s">
        <v>7314</v>
      </c>
      <c r="B3966" t="s">
        <v>22</v>
      </c>
      <c r="C3966" t="s">
        <v>13</v>
      </c>
      <c r="D3966" t="s">
        <v>380</v>
      </c>
      <c r="E3966" s="2">
        <v>17</v>
      </c>
      <c r="F3966" s="4">
        <v>6</v>
      </c>
      <c r="G3966" s="2">
        <v>102</v>
      </c>
      <c r="H3966" t="s">
        <v>45</v>
      </c>
      <c r="I3966" t="s">
        <v>36</v>
      </c>
      <c r="J3966" s="1">
        <v>45127</v>
      </c>
      <c r="K3966" t="b">
        <v>0</v>
      </c>
    </row>
    <row r="3967" spans="1:11" x14ac:dyDescent="0.25">
      <c r="A3967" t="s">
        <v>7695</v>
      </c>
      <c r="B3967" t="s">
        <v>58</v>
      </c>
      <c r="C3967" t="s">
        <v>13</v>
      </c>
      <c r="D3967" t="s">
        <v>380</v>
      </c>
      <c r="E3967" s="2">
        <v>17</v>
      </c>
      <c r="F3967" s="4">
        <v>6</v>
      </c>
      <c r="G3967" s="2">
        <v>102</v>
      </c>
      <c r="H3967" t="s">
        <v>45</v>
      </c>
      <c r="I3967" t="s">
        <v>16</v>
      </c>
      <c r="J3967" s="1">
        <v>44998</v>
      </c>
      <c r="K3967" t="b">
        <v>0</v>
      </c>
    </row>
    <row r="3968" spans="1:11" x14ac:dyDescent="0.25">
      <c r="A3968" t="s">
        <v>6372</v>
      </c>
      <c r="B3968" t="s">
        <v>72</v>
      </c>
      <c r="C3968" t="s">
        <v>13</v>
      </c>
      <c r="D3968" t="s">
        <v>375</v>
      </c>
      <c r="E3968" s="2">
        <v>33.5</v>
      </c>
      <c r="F3968" s="4">
        <v>3</v>
      </c>
      <c r="G3968" s="2">
        <v>100.5</v>
      </c>
      <c r="H3968" t="s">
        <v>15</v>
      </c>
      <c r="I3968" t="s">
        <v>36</v>
      </c>
      <c r="J3968" s="1">
        <v>45464</v>
      </c>
      <c r="K3968" t="b">
        <v>1</v>
      </c>
    </row>
    <row r="3969" spans="1:11" x14ac:dyDescent="0.25">
      <c r="A3969" t="s">
        <v>2535</v>
      </c>
      <c r="B3969" t="s">
        <v>37</v>
      </c>
      <c r="C3969" t="s">
        <v>13</v>
      </c>
      <c r="D3969" t="s">
        <v>375</v>
      </c>
      <c r="E3969" s="2">
        <v>33.5</v>
      </c>
      <c r="F3969" s="4">
        <v>3</v>
      </c>
      <c r="G3969" s="2">
        <v>100.5</v>
      </c>
      <c r="H3969" t="s">
        <v>45</v>
      </c>
      <c r="I3969" t="s">
        <v>36</v>
      </c>
      <c r="J3969" s="1">
        <v>45500</v>
      </c>
      <c r="K3969" t="b">
        <v>1</v>
      </c>
    </row>
    <row r="3970" spans="1:11" x14ac:dyDescent="0.25">
      <c r="A3970" t="s">
        <v>4772</v>
      </c>
      <c r="B3970" t="s">
        <v>100</v>
      </c>
      <c r="C3970" t="s">
        <v>59</v>
      </c>
      <c r="D3970" t="s">
        <v>270</v>
      </c>
      <c r="E3970" s="2">
        <v>33.5</v>
      </c>
      <c r="F3970" s="4">
        <v>3</v>
      </c>
      <c r="G3970" s="2">
        <v>100.5</v>
      </c>
      <c r="H3970" t="s">
        <v>15</v>
      </c>
      <c r="I3970" t="s">
        <v>16</v>
      </c>
      <c r="J3970" s="1">
        <v>44716</v>
      </c>
      <c r="K3970" t="b">
        <v>1</v>
      </c>
    </row>
    <row r="3971" spans="1:11" x14ac:dyDescent="0.25">
      <c r="A3971" t="s">
        <v>4835</v>
      </c>
      <c r="B3971" t="s">
        <v>66</v>
      </c>
      <c r="C3971" t="s">
        <v>59</v>
      </c>
      <c r="D3971" t="s">
        <v>270</v>
      </c>
      <c r="E3971" s="2">
        <v>33.5</v>
      </c>
      <c r="F3971" s="4">
        <v>3</v>
      </c>
      <c r="G3971" s="2">
        <v>100.5</v>
      </c>
      <c r="H3971" t="s">
        <v>25</v>
      </c>
      <c r="I3971" t="s">
        <v>36</v>
      </c>
      <c r="J3971" s="1">
        <v>45071</v>
      </c>
      <c r="K3971" t="b">
        <v>1</v>
      </c>
    </row>
    <row r="3972" spans="1:11" x14ac:dyDescent="0.25">
      <c r="A3972" t="s">
        <v>2751</v>
      </c>
      <c r="B3972" t="s">
        <v>12</v>
      </c>
      <c r="C3972" t="s">
        <v>13</v>
      </c>
      <c r="D3972" t="s">
        <v>375</v>
      </c>
      <c r="E3972" s="2">
        <v>33.5</v>
      </c>
      <c r="F3972" s="4">
        <v>3</v>
      </c>
      <c r="G3972" s="2">
        <v>100.5</v>
      </c>
      <c r="H3972" t="s">
        <v>15</v>
      </c>
      <c r="I3972" t="s">
        <v>36</v>
      </c>
      <c r="J3972" s="1">
        <v>44785</v>
      </c>
      <c r="K3972" t="b">
        <v>0</v>
      </c>
    </row>
    <row r="3973" spans="1:11" x14ac:dyDescent="0.25">
      <c r="A3973" t="s">
        <v>2565</v>
      </c>
      <c r="B3973" t="s">
        <v>85</v>
      </c>
      <c r="C3973" t="s">
        <v>31</v>
      </c>
      <c r="D3973" t="s">
        <v>155</v>
      </c>
      <c r="E3973" s="2">
        <v>33.5</v>
      </c>
      <c r="F3973" s="4">
        <v>3</v>
      </c>
      <c r="G3973" s="2">
        <v>100.5</v>
      </c>
      <c r="H3973" t="s">
        <v>25</v>
      </c>
      <c r="I3973" t="s">
        <v>16</v>
      </c>
      <c r="J3973" s="1">
        <v>44811</v>
      </c>
      <c r="K3973" t="b">
        <v>1</v>
      </c>
    </row>
    <row r="3974" spans="1:11" x14ac:dyDescent="0.25">
      <c r="A3974" t="s">
        <v>6344</v>
      </c>
      <c r="B3974" t="s">
        <v>69</v>
      </c>
      <c r="C3974" t="s">
        <v>38</v>
      </c>
      <c r="D3974" t="s">
        <v>434</v>
      </c>
      <c r="E3974" s="2">
        <v>33.5</v>
      </c>
      <c r="F3974" s="4">
        <v>3</v>
      </c>
      <c r="G3974" s="2">
        <v>100.5</v>
      </c>
      <c r="H3974" t="s">
        <v>45</v>
      </c>
      <c r="I3974" t="s">
        <v>36</v>
      </c>
      <c r="J3974" s="1">
        <v>44736</v>
      </c>
      <c r="K3974" t="b">
        <v>0</v>
      </c>
    </row>
    <row r="3975" spans="1:11" x14ac:dyDescent="0.25">
      <c r="A3975" t="s">
        <v>2764</v>
      </c>
      <c r="B3975" t="s">
        <v>26</v>
      </c>
      <c r="C3975" t="s">
        <v>27</v>
      </c>
      <c r="D3975" t="s">
        <v>209</v>
      </c>
      <c r="E3975" s="2">
        <v>33.5</v>
      </c>
      <c r="F3975" s="4">
        <v>3</v>
      </c>
      <c r="G3975" s="2">
        <v>100.5</v>
      </c>
      <c r="H3975" t="s">
        <v>45</v>
      </c>
      <c r="I3975" t="s">
        <v>36</v>
      </c>
      <c r="J3975" s="1">
        <v>45049</v>
      </c>
      <c r="K3975" t="b">
        <v>0</v>
      </c>
    </row>
    <row r="3976" spans="1:11" x14ac:dyDescent="0.25">
      <c r="A3976" t="s">
        <v>7767</v>
      </c>
      <c r="B3976" t="s">
        <v>86</v>
      </c>
      <c r="C3976" t="s">
        <v>31</v>
      </c>
      <c r="D3976" t="s">
        <v>155</v>
      </c>
      <c r="E3976" s="2">
        <v>33.5</v>
      </c>
      <c r="F3976" s="4">
        <v>3</v>
      </c>
      <c r="G3976" s="2">
        <v>100.5</v>
      </c>
      <c r="H3976" t="s">
        <v>25</v>
      </c>
      <c r="I3976" t="s">
        <v>36</v>
      </c>
      <c r="J3976" s="1">
        <v>45607</v>
      </c>
      <c r="K3976" t="b">
        <v>1</v>
      </c>
    </row>
    <row r="3977" spans="1:11" x14ac:dyDescent="0.25">
      <c r="A3977" t="s">
        <v>6922</v>
      </c>
      <c r="B3977" t="s">
        <v>30</v>
      </c>
      <c r="C3977" t="s">
        <v>110</v>
      </c>
      <c r="D3977" t="s">
        <v>154</v>
      </c>
      <c r="E3977" s="2">
        <v>33.5</v>
      </c>
      <c r="F3977" s="4">
        <v>3</v>
      </c>
      <c r="G3977" s="2">
        <v>100.5</v>
      </c>
      <c r="H3977" t="s">
        <v>15</v>
      </c>
      <c r="I3977" t="s">
        <v>16</v>
      </c>
      <c r="J3977" s="1">
        <v>45510</v>
      </c>
      <c r="K3977" t="b">
        <v>1</v>
      </c>
    </row>
    <row r="3978" spans="1:11" x14ac:dyDescent="0.25">
      <c r="A3978" t="s">
        <v>3611</v>
      </c>
      <c r="B3978" t="s">
        <v>77</v>
      </c>
      <c r="C3978" t="s">
        <v>31</v>
      </c>
      <c r="D3978" t="s">
        <v>155</v>
      </c>
      <c r="E3978" s="2">
        <v>33.5</v>
      </c>
      <c r="F3978" s="4">
        <v>3</v>
      </c>
      <c r="G3978" s="2">
        <v>100.5</v>
      </c>
      <c r="H3978" t="s">
        <v>25</v>
      </c>
      <c r="I3978" t="s">
        <v>16</v>
      </c>
      <c r="J3978" s="1">
        <v>45347</v>
      </c>
      <c r="K3978" t="b">
        <v>0</v>
      </c>
    </row>
    <row r="3979" spans="1:11" x14ac:dyDescent="0.25">
      <c r="A3979" t="s">
        <v>7182</v>
      </c>
      <c r="B3979" t="s">
        <v>69</v>
      </c>
      <c r="C3979" t="s">
        <v>13</v>
      </c>
      <c r="D3979" t="s">
        <v>375</v>
      </c>
      <c r="E3979" s="2">
        <v>33.5</v>
      </c>
      <c r="F3979" s="4">
        <v>3</v>
      </c>
      <c r="G3979" s="2">
        <v>100.5</v>
      </c>
      <c r="H3979" t="s">
        <v>45</v>
      </c>
      <c r="I3979" t="s">
        <v>36</v>
      </c>
      <c r="J3979" s="1">
        <v>44949</v>
      </c>
      <c r="K3979" t="b">
        <v>0</v>
      </c>
    </row>
    <row r="3980" spans="1:11" x14ac:dyDescent="0.25">
      <c r="A3980" t="s">
        <v>6251</v>
      </c>
      <c r="B3980" t="s">
        <v>12</v>
      </c>
      <c r="C3980" t="s">
        <v>110</v>
      </c>
      <c r="D3980" t="s">
        <v>154</v>
      </c>
      <c r="E3980" s="2">
        <v>33.5</v>
      </c>
      <c r="F3980" s="4">
        <v>3</v>
      </c>
      <c r="G3980" s="2">
        <v>100.5</v>
      </c>
      <c r="H3980" t="s">
        <v>45</v>
      </c>
      <c r="I3980" t="s">
        <v>16</v>
      </c>
      <c r="J3980" s="1">
        <v>45339</v>
      </c>
      <c r="K3980" t="b">
        <v>1</v>
      </c>
    </row>
    <row r="3981" spans="1:11" x14ac:dyDescent="0.25">
      <c r="A3981" t="s">
        <v>6010</v>
      </c>
      <c r="B3981" t="s">
        <v>43</v>
      </c>
      <c r="C3981" t="s">
        <v>31</v>
      </c>
      <c r="D3981" t="s">
        <v>155</v>
      </c>
      <c r="E3981" s="2">
        <v>33.5</v>
      </c>
      <c r="F3981" s="4">
        <v>3</v>
      </c>
      <c r="G3981" s="2">
        <v>100.5</v>
      </c>
      <c r="H3981" t="s">
        <v>25</v>
      </c>
      <c r="I3981" t="s">
        <v>36</v>
      </c>
      <c r="J3981" s="1">
        <v>45358</v>
      </c>
      <c r="K3981" t="b">
        <v>1</v>
      </c>
    </row>
    <row r="3982" spans="1:11" x14ac:dyDescent="0.25">
      <c r="A3982" t="s">
        <v>6904</v>
      </c>
      <c r="B3982" t="s">
        <v>37</v>
      </c>
      <c r="C3982" t="s">
        <v>38</v>
      </c>
      <c r="D3982" t="s">
        <v>434</v>
      </c>
      <c r="E3982" s="2">
        <v>33.5</v>
      </c>
      <c r="F3982" s="4">
        <v>3</v>
      </c>
      <c r="G3982" s="2">
        <v>100.5</v>
      </c>
      <c r="H3982" t="s">
        <v>45</v>
      </c>
      <c r="I3982" t="s">
        <v>36</v>
      </c>
      <c r="J3982" s="1">
        <v>44588</v>
      </c>
      <c r="K3982" t="b">
        <v>0</v>
      </c>
    </row>
    <row r="3983" spans="1:11" x14ac:dyDescent="0.25">
      <c r="A3983" t="s">
        <v>1174</v>
      </c>
      <c r="B3983" t="s">
        <v>85</v>
      </c>
      <c r="C3983" t="s">
        <v>38</v>
      </c>
      <c r="D3983" t="s">
        <v>434</v>
      </c>
      <c r="E3983" s="2">
        <v>33.5</v>
      </c>
      <c r="F3983" s="4">
        <v>3</v>
      </c>
      <c r="G3983" s="2">
        <v>100.5</v>
      </c>
      <c r="H3983" t="s">
        <v>45</v>
      </c>
      <c r="I3983" t="s">
        <v>16</v>
      </c>
      <c r="J3983" s="1">
        <v>45306</v>
      </c>
      <c r="K3983" t="b">
        <v>1</v>
      </c>
    </row>
    <row r="3984" spans="1:11" x14ac:dyDescent="0.25">
      <c r="A3984" t="s">
        <v>6471</v>
      </c>
      <c r="B3984" t="s">
        <v>100</v>
      </c>
      <c r="C3984" t="s">
        <v>59</v>
      </c>
      <c r="D3984" t="s">
        <v>270</v>
      </c>
      <c r="E3984" s="2">
        <v>33.5</v>
      </c>
      <c r="F3984" s="4">
        <v>3</v>
      </c>
      <c r="G3984" s="2">
        <v>100.5</v>
      </c>
      <c r="H3984" t="s">
        <v>45</v>
      </c>
      <c r="I3984" t="s">
        <v>16</v>
      </c>
      <c r="J3984" s="1">
        <v>45448</v>
      </c>
      <c r="K3984" t="b">
        <v>0</v>
      </c>
    </row>
    <row r="3985" spans="1:11" x14ac:dyDescent="0.25">
      <c r="A3985" t="s">
        <v>6942</v>
      </c>
      <c r="B3985" t="s">
        <v>97</v>
      </c>
      <c r="C3985" t="s">
        <v>38</v>
      </c>
      <c r="D3985" t="s">
        <v>434</v>
      </c>
      <c r="E3985" s="2">
        <v>33.5</v>
      </c>
      <c r="F3985" s="4">
        <v>3</v>
      </c>
      <c r="G3985" s="2">
        <v>100.5</v>
      </c>
      <c r="H3985" t="s">
        <v>25</v>
      </c>
      <c r="I3985" t="s">
        <v>16</v>
      </c>
      <c r="J3985" s="1">
        <v>45056</v>
      </c>
      <c r="K3985" t="b">
        <v>1</v>
      </c>
    </row>
    <row r="3986" spans="1:11" x14ac:dyDescent="0.25">
      <c r="A3986" t="s">
        <v>1125</v>
      </c>
      <c r="B3986" t="s">
        <v>104</v>
      </c>
      <c r="C3986" t="s">
        <v>110</v>
      </c>
      <c r="D3986" t="s">
        <v>154</v>
      </c>
      <c r="E3986" s="2">
        <v>33.5</v>
      </c>
      <c r="F3986" s="4">
        <v>3</v>
      </c>
      <c r="G3986" s="2">
        <v>100.5</v>
      </c>
      <c r="H3986" t="s">
        <v>25</v>
      </c>
      <c r="I3986" t="s">
        <v>36</v>
      </c>
      <c r="J3986" s="1">
        <v>45105</v>
      </c>
      <c r="K3986" t="b">
        <v>1</v>
      </c>
    </row>
    <row r="3987" spans="1:11" x14ac:dyDescent="0.25">
      <c r="A3987" t="s">
        <v>5176</v>
      </c>
      <c r="B3987" t="s">
        <v>18</v>
      </c>
      <c r="C3987" t="s">
        <v>31</v>
      </c>
      <c r="D3987" t="s">
        <v>155</v>
      </c>
      <c r="E3987" s="2">
        <v>33.5</v>
      </c>
      <c r="F3987" s="4">
        <v>3</v>
      </c>
      <c r="G3987" s="2">
        <v>100.5</v>
      </c>
      <c r="H3987" t="s">
        <v>45</v>
      </c>
      <c r="I3987" t="s">
        <v>36</v>
      </c>
      <c r="J3987" s="1">
        <v>45672</v>
      </c>
      <c r="K3987" t="b">
        <v>0</v>
      </c>
    </row>
    <row r="3988" spans="1:11" x14ac:dyDescent="0.25">
      <c r="A3988" t="s">
        <v>3653</v>
      </c>
      <c r="B3988" t="s">
        <v>34</v>
      </c>
      <c r="C3988" t="s">
        <v>23</v>
      </c>
      <c r="D3988" t="s">
        <v>73</v>
      </c>
      <c r="E3988" s="2">
        <v>33.5</v>
      </c>
      <c r="F3988" s="4">
        <v>3</v>
      </c>
      <c r="G3988" s="2">
        <v>100.5</v>
      </c>
      <c r="H3988" t="s">
        <v>45</v>
      </c>
      <c r="I3988" t="s">
        <v>36</v>
      </c>
      <c r="J3988" s="1">
        <v>44673</v>
      </c>
      <c r="K3988" t="b">
        <v>0</v>
      </c>
    </row>
    <row r="3989" spans="1:11" x14ac:dyDescent="0.25">
      <c r="A3989" t="s">
        <v>2774</v>
      </c>
      <c r="B3989" t="s">
        <v>34</v>
      </c>
      <c r="C3989" t="s">
        <v>59</v>
      </c>
      <c r="D3989" t="s">
        <v>270</v>
      </c>
      <c r="E3989" s="2">
        <v>33.5</v>
      </c>
      <c r="F3989" s="4">
        <v>3</v>
      </c>
      <c r="G3989" s="2">
        <v>100.5</v>
      </c>
      <c r="H3989" t="s">
        <v>25</v>
      </c>
      <c r="I3989" t="s">
        <v>16</v>
      </c>
      <c r="J3989" s="1">
        <v>45102</v>
      </c>
      <c r="K3989" t="b">
        <v>1</v>
      </c>
    </row>
    <row r="3990" spans="1:11" x14ac:dyDescent="0.25">
      <c r="A3990" t="s">
        <v>3674</v>
      </c>
      <c r="B3990" t="s">
        <v>61</v>
      </c>
      <c r="C3990" t="s">
        <v>110</v>
      </c>
      <c r="D3990" t="s">
        <v>154</v>
      </c>
      <c r="E3990" s="2">
        <v>33.5</v>
      </c>
      <c r="F3990" s="4">
        <v>3</v>
      </c>
      <c r="G3990" s="2">
        <v>100.5</v>
      </c>
      <c r="H3990" t="s">
        <v>25</v>
      </c>
      <c r="I3990" t="s">
        <v>16</v>
      </c>
      <c r="J3990" s="1">
        <v>45340</v>
      </c>
      <c r="K3990" t="b">
        <v>1</v>
      </c>
    </row>
    <row r="3991" spans="1:11" x14ac:dyDescent="0.25">
      <c r="A3991" t="s">
        <v>4224</v>
      </c>
      <c r="B3991" t="s">
        <v>34</v>
      </c>
      <c r="C3991" t="s">
        <v>59</v>
      </c>
      <c r="D3991" t="s">
        <v>270</v>
      </c>
      <c r="E3991" s="2">
        <v>33.5</v>
      </c>
      <c r="F3991" s="4">
        <v>3</v>
      </c>
      <c r="G3991" s="2">
        <v>100.5</v>
      </c>
      <c r="H3991" t="s">
        <v>25</v>
      </c>
      <c r="I3991" t="s">
        <v>36</v>
      </c>
      <c r="J3991" s="1">
        <v>45047</v>
      </c>
      <c r="K3991" t="b">
        <v>1</v>
      </c>
    </row>
    <row r="3992" spans="1:11" x14ac:dyDescent="0.25">
      <c r="A3992" t="s">
        <v>7783</v>
      </c>
      <c r="B3992" t="s">
        <v>77</v>
      </c>
      <c r="C3992" t="s">
        <v>27</v>
      </c>
      <c r="D3992" t="s">
        <v>209</v>
      </c>
      <c r="E3992" s="2">
        <v>33.5</v>
      </c>
      <c r="F3992" s="4">
        <v>3</v>
      </c>
      <c r="G3992" s="2">
        <v>100.5</v>
      </c>
      <c r="H3992" t="s">
        <v>45</v>
      </c>
      <c r="I3992" t="s">
        <v>36</v>
      </c>
      <c r="J3992" s="1">
        <v>45514</v>
      </c>
      <c r="K3992" t="b">
        <v>0</v>
      </c>
    </row>
    <row r="3993" spans="1:11" x14ac:dyDescent="0.25">
      <c r="A3993" t="s">
        <v>3761</v>
      </c>
      <c r="B3993" t="s">
        <v>22</v>
      </c>
      <c r="C3993" t="s">
        <v>19</v>
      </c>
      <c r="D3993" t="s">
        <v>626</v>
      </c>
      <c r="E3993" s="2">
        <v>33.5</v>
      </c>
      <c r="F3993" s="4">
        <v>3</v>
      </c>
      <c r="G3993" s="2">
        <v>100.5</v>
      </c>
      <c r="H3993" t="s">
        <v>15</v>
      </c>
      <c r="I3993" t="s">
        <v>16</v>
      </c>
      <c r="J3993" s="1">
        <v>45203</v>
      </c>
      <c r="K3993" t="b">
        <v>0</v>
      </c>
    </row>
    <row r="3994" spans="1:11" x14ac:dyDescent="0.25">
      <c r="A3994" t="s">
        <v>3774</v>
      </c>
      <c r="B3994" t="s">
        <v>22</v>
      </c>
      <c r="C3994" t="s">
        <v>13</v>
      </c>
      <c r="D3994" t="s">
        <v>375</v>
      </c>
      <c r="E3994" s="2">
        <v>33.5</v>
      </c>
      <c r="F3994" s="4">
        <v>3</v>
      </c>
      <c r="G3994" s="2">
        <v>100.5</v>
      </c>
      <c r="H3994" t="s">
        <v>15</v>
      </c>
      <c r="I3994" t="s">
        <v>16</v>
      </c>
      <c r="J3994" s="1">
        <v>45670</v>
      </c>
      <c r="K3994" t="b">
        <v>1</v>
      </c>
    </row>
    <row r="3995" spans="1:11" x14ac:dyDescent="0.25">
      <c r="A3995" t="s">
        <v>931</v>
      </c>
      <c r="B3995" t="s">
        <v>34</v>
      </c>
      <c r="C3995" t="s">
        <v>110</v>
      </c>
      <c r="D3995" t="s">
        <v>154</v>
      </c>
      <c r="E3995" s="2">
        <v>33.5</v>
      </c>
      <c r="F3995" s="4">
        <v>3</v>
      </c>
      <c r="G3995" s="2">
        <v>100.5</v>
      </c>
      <c r="H3995" t="s">
        <v>25</v>
      </c>
      <c r="I3995" t="s">
        <v>16</v>
      </c>
      <c r="J3995" s="1">
        <v>44645</v>
      </c>
      <c r="K3995" t="b">
        <v>1</v>
      </c>
    </row>
    <row r="3996" spans="1:11" x14ac:dyDescent="0.25">
      <c r="A3996" t="s">
        <v>3382</v>
      </c>
      <c r="B3996" t="s">
        <v>69</v>
      </c>
      <c r="C3996" t="s">
        <v>38</v>
      </c>
      <c r="D3996" t="s">
        <v>434</v>
      </c>
      <c r="E3996" s="2">
        <v>33.5</v>
      </c>
      <c r="F3996" s="4">
        <v>3</v>
      </c>
      <c r="G3996" s="2">
        <v>100.5</v>
      </c>
      <c r="H3996" t="s">
        <v>15</v>
      </c>
      <c r="I3996" t="s">
        <v>36</v>
      </c>
      <c r="J3996" s="1">
        <v>45328</v>
      </c>
      <c r="K3996" t="b">
        <v>0</v>
      </c>
    </row>
    <row r="3997" spans="1:11" x14ac:dyDescent="0.25">
      <c r="A3997" t="s">
        <v>2956</v>
      </c>
      <c r="B3997" t="s">
        <v>93</v>
      </c>
      <c r="C3997" t="s">
        <v>59</v>
      </c>
      <c r="D3997" t="s">
        <v>270</v>
      </c>
      <c r="E3997" s="2">
        <v>33.5</v>
      </c>
      <c r="F3997" s="4">
        <v>3</v>
      </c>
      <c r="G3997" s="2">
        <v>100.5</v>
      </c>
      <c r="H3997" t="s">
        <v>15</v>
      </c>
      <c r="I3997" t="s">
        <v>36</v>
      </c>
      <c r="J3997" s="1">
        <v>45612</v>
      </c>
      <c r="K3997" t="b">
        <v>1</v>
      </c>
    </row>
    <row r="3998" spans="1:11" x14ac:dyDescent="0.25">
      <c r="A3998" t="s">
        <v>4904</v>
      </c>
      <c r="B3998" t="s">
        <v>40</v>
      </c>
      <c r="C3998" t="s">
        <v>59</v>
      </c>
      <c r="D3998" t="s">
        <v>270</v>
      </c>
      <c r="E3998" s="2">
        <v>33.5</v>
      </c>
      <c r="F3998" s="4">
        <v>3</v>
      </c>
      <c r="G3998" s="2">
        <v>100.5</v>
      </c>
      <c r="H3998" t="s">
        <v>45</v>
      </c>
      <c r="I3998" t="s">
        <v>36</v>
      </c>
      <c r="J3998" s="1">
        <v>44993</v>
      </c>
      <c r="K3998" t="b">
        <v>0</v>
      </c>
    </row>
    <row r="3999" spans="1:11" x14ac:dyDescent="0.25">
      <c r="A3999" t="s">
        <v>7188</v>
      </c>
      <c r="B3999" t="s">
        <v>43</v>
      </c>
      <c r="C3999" t="s">
        <v>38</v>
      </c>
      <c r="D3999" t="s">
        <v>434</v>
      </c>
      <c r="E3999" s="2">
        <v>33.5</v>
      </c>
      <c r="F3999" s="4">
        <v>3</v>
      </c>
      <c r="G3999" s="2">
        <v>100.5</v>
      </c>
      <c r="H3999" t="s">
        <v>15</v>
      </c>
      <c r="I3999" t="s">
        <v>16</v>
      </c>
      <c r="J3999" s="1">
        <v>44731</v>
      </c>
      <c r="K3999" t="b">
        <v>1</v>
      </c>
    </row>
    <row r="4000" spans="1:11" x14ac:dyDescent="0.25">
      <c r="A4000" t="s">
        <v>5040</v>
      </c>
      <c r="B4000" t="s">
        <v>104</v>
      </c>
      <c r="C4000" t="s">
        <v>59</v>
      </c>
      <c r="D4000" t="s">
        <v>270</v>
      </c>
      <c r="E4000" s="2">
        <v>33.5</v>
      </c>
      <c r="F4000" s="4">
        <v>3</v>
      </c>
      <c r="G4000" s="2">
        <v>100.5</v>
      </c>
      <c r="H4000" t="s">
        <v>25</v>
      </c>
      <c r="I4000" t="s">
        <v>16</v>
      </c>
      <c r="J4000" s="1">
        <v>45533</v>
      </c>
      <c r="K4000" t="b">
        <v>0</v>
      </c>
    </row>
    <row r="4001" spans="1:11" x14ac:dyDescent="0.25">
      <c r="A4001" t="s">
        <v>5909</v>
      </c>
      <c r="B4001" t="s">
        <v>12</v>
      </c>
      <c r="C4001" t="s">
        <v>23</v>
      </c>
      <c r="D4001" t="s">
        <v>73</v>
      </c>
      <c r="E4001" s="2">
        <v>33.5</v>
      </c>
      <c r="F4001" s="4">
        <v>3</v>
      </c>
      <c r="G4001" s="2">
        <v>100.5</v>
      </c>
      <c r="H4001" t="s">
        <v>45</v>
      </c>
      <c r="I4001" t="s">
        <v>16</v>
      </c>
      <c r="J4001" s="1">
        <v>45484</v>
      </c>
      <c r="K4001" t="b">
        <v>0</v>
      </c>
    </row>
    <row r="4002" spans="1:11" x14ac:dyDescent="0.25">
      <c r="A4002" t="s">
        <v>1777</v>
      </c>
      <c r="B4002" t="s">
        <v>43</v>
      </c>
      <c r="C4002" t="s">
        <v>23</v>
      </c>
      <c r="D4002" t="s">
        <v>73</v>
      </c>
      <c r="E4002" s="2">
        <v>33.5</v>
      </c>
      <c r="F4002" s="4">
        <v>3</v>
      </c>
      <c r="G4002" s="2">
        <v>100.5</v>
      </c>
      <c r="H4002" t="s">
        <v>15</v>
      </c>
      <c r="I4002" t="s">
        <v>16</v>
      </c>
      <c r="J4002" s="1">
        <v>45416</v>
      </c>
      <c r="K4002" t="b">
        <v>1</v>
      </c>
    </row>
    <row r="4003" spans="1:11" x14ac:dyDescent="0.25">
      <c r="A4003" t="s">
        <v>2316</v>
      </c>
      <c r="B4003" t="s">
        <v>22</v>
      </c>
      <c r="C4003" t="s">
        <v>27</v>
      </c>
      <c r="D4003" t="s">
        <v>209</v>
      </c>
      <c r="E4003" s="2">
        <v>33.5</v>
      </c>
      <c r="F4003" s="4">
        <v>3</v>
      </c>
      <c r="G4003" s="2">
        <v>100.5</v>
      </c>
      <c r="H4003" t="s">
        <v>15</v>
      </c>
      <c r="I4003" t="s">
        <v>36</v>
      </c>
      <c r="J4003" s="1">
        <v>44927</v>
      </c>
      <c r="K4003" t="b">
        <v>0</v>
      </c>
    </row>
    <row r="4004" spans="1:11" x14ac:dyDescent="0.25">
      <c r="A4004" t="s">
        <v>4072</v>
      </c>
      <c r="B4004" t="s">
        <v>86</v>
      </c>
      <c r="C4004" t="s">
        <v>23</v>
      </c>
      <c r="D4004" t="s">
        <v>73</v>
      </c>
      <c r="E4004" s="2">
        <v>33.5</v>
      </c>
      <c r="F4004" s="4">
        <v>3</v>
      </c>
      <c r="G4004" s="2">
        <v>100.5</v>
      </c>
      <c r="H4004" t="s">
        <v>15</v>
      </c>
      <c r="I4004" t="s">
        <v>36</v>
      </c>
      <c r="J4004" s="1">
        <v>45659</v>
      </c>
      <c r="K4004" t="b">
        <v>1</v>
      </c>
    </row>
    <row r="4005" spans="1:11" x14ac:dyDescent="0.25">
      <c r="A4005" t="s">
        <v>6307</v>
      </c>
      <c r="B4005" t="s">
        <v>26</v>
      </c>
      <c r="C4005" t="s">
        <v>31</v>
      </c>
      <c r="D4005" t="s">
        <v>155</v>
      </c>
      <c r="E4005" s="2">
        <v>33.5</v>
      </c>
      <c r="F4005" s="4">
        <v>3</v>
      </c>
      <c r="G4005" s="2">
        <v>100.5</v>
      </c>
      <c r="H4005" t="s">
        <v>25</v>
      </c>
      <c r="I4005" t="s">
        <v>16</v>
      </c>
      <c r="J4005" s="1">
        <v>44987</v>
      </c>
      <c r="K4005" t="b">
        <v>1</v>
      </c>
    </row>
    <row r="4006" spans="1:11" x14ac:dyDescent="0.25">
      <c r="A4006" t="s">
        <v>6856</v>
      </c>
      <c r="B4006" t="s">
        <v>51</v>
      </c>
      <c r="C4006" t="s">
        <v>19</v>
      </c>
      <c r="D4006" t="s">
        <v>626</v>
      </c>
      <c r="E4006" s="2">
        <v>33.5</v>
      </c>
      <c r="F4006" s="4">
        <v>3</v>
      </c>
      <c r="G4006" s="2">
        <v>100.5</v>
      </c>
      <c r="H4006" t="s">
        <v>15</v>
      </c>
      <c r="I4006" t="s">
        <v>36</v>
      </c>
      <c r="J4006" s="1">
        <v>45032</v>
      </c>
      <c r="K4006" t="b">
        <v>0</v>
      </c>
    </row>
    <row r="4007" spans="1:11" x14ac:dyDescent="0.25">
      <c r="A4007" t="s">
        <v>7670</v>
      </c>
      <c r="B4007" t="s">
        <v>97</v>
      </c>
      <c r="C4007" t="s">
        <v>110</v>
      </c>
      <c r="D4007" t="s">
        <v>154</v>
      </c>
      <c r="E4007" s="2">
        <v>33.5</v>
      </c>
      <c r="F4007" s="4">
        <v>3</v>
      </c>
      <c r="G4007" s="2">
        <v>100.5</v>
      </c>
      <c r="H4007" t="s">
        <v>15</v>
      </c>
      <c r="I4007" t="s">
        <v>16</v>
      </c>
      <c r="J4007" s="1">
        <v>45464</v>
      </c>
      <c r="K4007" t="b">
        <v>0</v>
      </c>
    </row>
    <row r="4008" spans="1:11" x14ac:dyDescent="0.25">
      <c r="A4008" t="s">
        <v>269</v>
      </c>
      <c r="B4008" t="s">
        <v>63</v>
      </c>
      <c r="C4008" t="s">
        <v>59</v>
      </c>
      <c r="D4008" t="s">
        <v>270</v>
      </c>
      <c r="E4008" s="2">
        <v>33.5</v>
      </c>
      <c r="F4008" s="4">
        <v>3</v>
      </c>
      <c r="G4008" s="2">
        <v>100.5</v>
      </c>
      <c r="H4008" t="s">
        <v>15</v>
      </c>
      <c r="I4008" t="s">
        <v>16</v>
      </c>
      <c r="J4008" s="1">
        <v>44924</v>
      </c>
      <c r="K4008" t="b">
        <v>1</v>
      </c>
    </row>
    <row r="4009" spans="1:11" x14ac:dyDescent="0.25">
      <c r="A4009" t="s">
        <v>3234</v>
      </c>
      <c r="B4009" t="s">
        <v>30</v>
      </c>
      <c r="C4009" t="s">
        <v>19</v>
      </c>
      <c r="D4009" t="s">
        <v>228</v>
      </c>
      <c r="E4009" s="2">
        <v>20</v>
      </c>
      <c r="F4009" s="4">
        <v>5</v>
      </c>
      <c r="G4009" s="2">
        <v>100</v>
      </c>
      <c r="H4009" t="s">
        <v>15</v>
      </c>
      <c r="I4009" t="s">
        <v>16</v>
      </c>
      <c r="J4009" s="1">
        <v>45064</v>
      </c>
      <c r="K4009" t="b">
        <v>0</v>
      </c>
    </row>
    <row r="4010" spans="1:11" x14ac:dyDescent="0.25">
      <c r="A4010" t="s">
        <v>6929</v>
      </c>
      <c r="B4010" t="s">
        <v>51</v>
      </c>
      <c r="C4010" t="s">
        <v>110</v>
      </c>
      <c r="D4010" t="s">
        <v>263</v>
      </c>
      <c r="E4010" s="2">
        <v>20</v>
      </c>
      <c r="F4010" s="4">
        <v>5</v>
      </c>
      <c r="G4010" s="2">
        <v>100</v>
      </c>
      <c r="H4010" t="s">
        <v>25</v>
      </c>
      <c r="I4010" t="s">
        <v>16</v>
      </c>
      <c r="J4010" s="1">
        <v>44778</v>
      </c>
      <c r="K4010" t="b">
        <v>0</v>
      </c>
    </row>
    <row r="4011" spans="1:11" x14ac:dyDescent="0.25">
      <c r="A4011" t="s">
        <v>6313</v>
      </c>
      <c r="B4011" t="s">
        <v>18</v>
      </c>
      <c r="C4011" t="s">
        <v>19</v>
      </c>
      <c r="D4011" t="s">
        <v>128</v>
      </c>
      <c r="E4011" s="2">
        <v>12.5</v>
      </c>
      <c r="F4011" s="4">
        <v>8</v>
      </c>
      <c r="G4011" s="2">
        <v>100</v>
      </c>
      <c r="H4011" t="s">
        <v>15</v>
      </c>
      <c r="I4011" t="s">
        <v>16</v>
      </c>
      <c r="J4011" s="1">
        <v>44720</v>
      </c>
      <c r="K4011" t="b">
        <v>0</v>
      </c>
    </row>
    <row r="4012" spans="1:11" x14ac:dyDescent="0.25">
      <c r="A4012" t="s">
        <v>646</v>
      </c>
      <c r="B4012" t="s">
        <v>18</v>
      </c>
      <c r="C4012" t="s">
        <v>27</v>
      </c>
      <c r="D4012" t="s">
        <v>217</v>
      </c>
      <c r="E4012" s="2">
        <v>12.5</v>
      </c>
      <c r="F4012" s="4">
        <v>8</v>
      </c>
      <c r="G4012" s="2">
        <v>100</v>
      </c>
      <c r="H4012" t="s">
        <v>15</v>
      </c>
      <c r="I4012" t="s">
        <v>16</v>
      </c>
      <c r="J4012" s="1">
        <v>45331</v>
      </c>
      <c r="K4012" t="b">
        <v>1</v>
      </c>
    </row>
    <row r="4013" spans="1:11" x14ac:dyDescent="0.25">
      <c r="A4013" t="s">
        <v>3279</v>
      </c>
      <c r="B4013" t="s">
        <v>86</v>
      </c>
      <c r="C4013" t="s">
        <v>59</v>
      </c>
      <c r="D4013" t="s">
        <v>365</v>
      </c>
      <c r="E4013" s="2">
        <v>20</v>
      </c>
      <c r="F4013" s="4">
        <v>5</v>
      </c>
      <c r="G4013" s="2">
        <v>100</v>
      </c>
      <c r="H4013" t="s">
        <v>15</v>
      </c>
      <c r="I4013" t="s">
        <v>36</v>
      </c>
      <c r="J4013" s="1">
        <v>45320</v>
      </c>
      <c r="K4013" t="b">
        <v>1</v>
      </c>
    </row>
    <row r="4014" spans="1:11" x14ac:dyDescent="0.25">
      <c r="A4014" t="s">
        <v>3486</v>
      </c>
      <c r="B4014" t="s">
        <v>86</v>
      </c>
      <c r="C4014" t="s">
        <v>19</v>
      </c>
      <c r="D4014" t="s">
        <v>128</v>
      </c>
      <c r="E4014" s="2">
        <v>12.5</v>
      </c>
      <c r="F4014" s="4">
        <v>8</v>
      </c>
      <c r="G4014" s="2">
        <v>100</v>
      </c>
      <c r="H4014" t="s">
        <v>45</v>
      </c>
      <c r="I4014" t="s">
        <v>36</v>
      </c>
      <c r="J4014" s="1">
        <v>44756</v>
      </c>
      <c r="K4014" t="b">
        <v>1</v>
      </c>
    </row>
    <row r="4015" spans="1:11" x14ac:dyDescent="0.25">
      <c r="A4015" t="s">
        <v>3085</v>
      </c>
      <c r="B4015" t="s">
        <v>100</v>
      </c>
      <c r="C4015" t="s">
        <v>110</v>
      </c>
      <c r="D4015" t="s">
        <v>234</v>
      </c>
      <c r="E4015" s="2">
        <v>12.5</v>
      </c>
      <c r="F4015" s="4">
        <v>8</v>
      </c>
      <c r="G4015" s="2">
        <v>100</v>
      </c>
      <c r="H4015" t="s">
        <v>15</v>
      </c>
      <c r="I4015" t="s">
        <v>36</v>
      </c>
      <c r="J4015" s="1">
        <v>45653</v>
      </c>
      <c r="K4015" t="b">
        <v>1</v>
      </c>
    </row>
    <row r="4016" spans="1:11" x14ac:dyDescent="0.25">
      <c r="A4016" t="s">
        <v>2537</v>
      </c>
      <c r="B4016" t="s">
        <v>97</v>
      </c>
      <c r="C4016" t="s">
        <v>23</v>
      </c>
      <c r="D4016" t="s">
        <v>437</v>
      </c>
      <c r="E4016" s="2">
        <v>12.5</v>
      </c>
      <c r="F4016" s="4">
        <v>8</v>
      </c>
      <c r="G4016" s="2">
        <v>100</v>
      </c>
      <c r="H4016" t="s">
        <v>45</v>
      </c>
      <c r="I4016" t="s">
        <v>36</v>
      </c>
      <c r="J4016" s="1">
        <v>44995</v>
      </c>
      <c r="K4016" t="b">
        <v>1</v>
      </c>
    </row>
    <row r="4017" spans="1:11" x14ac:dyDescent="0.25">
      <c r="A4017" t="s">
        <v>5490</v>
      </c>
      <c r="B4017" t="s">
        <v>18</v>
      </c>
      <c r="C4017" t="s">
        <v>27</v>
      </c>
      <c r="D4017" t="s">
        <v>95</v>
      </c>
      <c r="E4017" s="2">
        <v>20</v>
      </c>
      <c r="F4017" s="4">
        <v>5</v>
      </c>
      <c r="G4017" s="2">
        <v>100</v>
      </c>
      <c r="H4017" t="s">
        <v>25</v>
      </c>
      <c r="I4017" t="s">
        <v>36</v>
      </c>
      <c r="J4017" s="1">
        <v>45425</v>
      </c>
      <c r="K4017" t="b">
        <v>1</v>
      </c>
    </row>
    <row r="4018" spans="1:11" x14ac:dyDescent="0.25">
      <c r="A4018" t="s">
        <v>1745</v>
      </c>
      <c r="B4018" t="s">
        <v>34</v>
      </c>
      <c r="C4018" t="s">
        <v>59</v>
      </c>
      <c r="D4018" t="s">
        <v>177</v>
      </c>
      <c r="E4018" s="2">
        <v>12.5</v>
      </c>
      <c r="F4018" s="4">
        <v>8</v>
      </c>
      <c r="G4018" s="2">
        <v>100</v>
      </c>
      <c r="H4018" t="s">
        <v>25</v>
      </c>
      <c r="I4018" t="s">
        <v>16</v>
      </c>
      <c r="J4018" s="1">
        <v>45245</v>
      </c>
      <c r="K4018" t="b">
        <v>0</v>
      </c>
    </row>
    <row r="4019" spans="1:11" x14ac:dyDescent="0.25">
      <c r="A4019" t="s">
        <v>7433</v>
      </c>
      <c r="B4019" t="s">
        <v>100</v>
      </c>
      <c r="C4019" t="s">
        <v>19</v>
      </c>
      <c r="D4019" t="s">
        <v>228</v>
      </c>
      <c r="E4019" s="2">
        <v>20</v>
      </c>
      <c r="F4019" s="4">
        <v>5</v>
      </c>
      <c r="G4019" s="2">
        <v>100</v>
      </c>
      <c r="H4019" t="s">
        <v>15</v>
      </c>
      <c r="I4019" t="s">
        <v>36</v>
      </c>
      <c r="J4019" s="1">
        <v>44626</v>
      </c>
      <c r="K4019" t="b">
        <v>0</v>
      </c>
    </row>
    <row r="4020" spans="1:11" x14ac:dyDescent="0.25">
      <c r="A4020" t="s">
        <v>4567</v>
      </c>
      <c r="B4020" t="s">
        <v>86</v>
      </c>
      <c r="C4020" t="s">
        <v>13</v>
      </c>
      <c r="D4020" t="s">
        <v>113</v>
      </c>
      <c r="E4020" s="2">
        <v>20</v>
      </c>
      <c r="F4020" s="4">
        <v>5</v>
      </c>
      <c r="G4020" s="2">
        <v>100</v>
      </c>
      <c r="H4020" t="s">
        <v>25</v>
      </c>
      <c r="I4020" t="s">
        <v>36</v>
      </c>
      <c r="J4020" s="1">
        <v>45477</v>
      </c>
      <c r="K4020" t="b">
        <v>1</v>
      </c>
    </row>
    <row r="4021" spans="1:11" x14ac:dyDescent="0.25">
      <c r="A4021" t="s">
        <v>6408</v>
      </c>
      <c r="B4021" t="s">
        <v>93</v>
      </c>
      <c r="C4021" t="s">
        <v>19</v>
      </c>
      <c r="D4021" t="s">
        <v>228</v>
      </c>
      <c r="E4021" s="2">
        <v>20</v>
      </c>
      <c r="F4021" s="4">
        <v>5</v>
      </c>
      <c r="G4021" s="2">
        <v>100</v>
      </c>
      <c r="H4021" t="s">
        <v>15</v>
      </c>
      <c r="I4021" t="s">
        <v>16</v>
      </c>
      <c r="J4021" s="1">
        <v>45228</v>
      </c>
      <c r="K4021" t="b">
        <v>1</v>
      </c>
    </row>
    <row r="4022" spans="1:11" x14ac:dyDescent="0.25">
      <c r="A4022" t="s">
        <v>6879</v>
      </c>
      <c r="B4022" t="s">
        <v>72</v>
      </c>
      <c r="C4022" t="s">
        <v>19</v>
      </c>
      <c r="D4022" t="s">
        <v>128</v>
      </c>
      <c r="E4022" s="2">
        <v>12.5</v>
      </c>
      <c r="F4022" s="4">
        <v>8</v>
      </c>
      <c r="G4022" s="2">
        <v>100</v>
      </c>
      <c r="H4022" t="s">
        <v>45</v>
      </c>
      <c r="I4022" t="s">
        <v>16</v>
      </c>
      <c r="J4022" s="1">
        <v>44575</v>
      </c>
      <c r="K4022" t="b">
        <v>1</v>
      </c>
    </row>
    <row r="4023" spans="1:11" x14ac:dyDescent="0.25">
      <c r="A4023" t="s">
        <v>711</v>
      </c>
      <c r="B4023" t="s">
        <v>85</v>
      </c>
      <c r="C4023" t="s">
        <v>13</v>
      </c>
      <c r="D4023" t="s">
        <v>113</v>
      </c>
      <c r="E4023" s="2">
        <v>20</v>
      </c>
      <c r="F4023" s="4">
        <v>5</v>
      </c>
      <c r="G4023" s="2">
        <v>100</v>
      </c>
      <c r="H4023" t="s">
        <v>45</v>
      </c>
      <c r="I4023" t="s">
        <v>36</v>
      </c>
      <c r="J4023" s="1">
        <v>45419</v>
      </c>
      <c r="K4023" t="b">
        <v>0</v>
      </c>
    </row>
    <row r="4024" spans="1:11" x14ac:dyDescent="0.25">
      <c r="A4024" t="s">
        <v>1942</v>
      </c>
      <c r="B4024" t="s">
        <v>85</v>
      </c>
      <c r="C4024" t="s">
        <v>110</v>
      </c>
      <c r="D4024" t="s">
        <v>263</v>
      </c>
      <c r="E4024" s="2">
        <v>20</v>
      </c>
      <c r="F4024" s="4">
        <v>5</v>
      </c>
      <c r="G4024" s="2">
        <v>100</v>
      </c>
      <c r="H4024" t="s">
        <v>25</v>
      </c>
      <c r="I4024" t="s">
        <v>16</v>
      </c>
      <c r="J4024" s="1">
        <v>45566</v>
      </c>
      <c r="K4024" t="b">
        <v>0</v>
      </c>
    </row>
    <row r="4025" spans="1:11" x14ac:dyDescent="0.25">
      <c r="A4025" t="s">
        <v>1577</v>
      </c>
      <c r="B4025" t="s">
        <v>100</v>
      </c>
      <c r="C4025" t="s">
        <v>13</v>
      </c>
      <c r="D4025" t="s">
        <v>113</v>
      </c>
      <c r="E4025" s="2">
        <v>20</v>
      </c>
      <c r="F4025" s="4">
        <v>5</v>
      </c>
      <c r="G4025" s="2">
        <v>100</v>
      </c>
      <c r="H4025" t="s">
        <v>45</v>
      </c>
      <c r="I4025" t="s">
        <v>16</v>
      </c>
      <c r="J4025" s="1">
        <v>44825</v>
      </c>
      <c r="K4025" t="b">
        <v>0</v>
      </c>
    </row>
    <row r="4026" spans="1:11" x14ac:dyDescent="0.25">
      <c r="A4026" t="s">
        <v>5083</v>
      </c>
      <c r="B4026" t="s">
        <v>61</v>
      </c>
      <c r="C4026" t="s">
        <v>19</v>
      </c>
      <c r="D4026" t="s">
        <v>228</v>
      </c>
      <c r="E4026" s="2">
        <v>20</v>
      </c>
      <c r="F4026" s="4">
        <v>5</v>
      </c>
      <c r="G4026" s="2">
        <v>100</v>
      </c>
      <c r="H4026" t="s">
        <v>25</v>
      </c>
      <c r="I4026" t="s">
        <v>16</v>
      </c>
      <c r="J4026" s="1">
        <v>45118</v>
      </c>
      <c r="K4026" t="b">
        <v>0</v>
      </c>
    </row>
    <row r="4027" spans="1:11" x14ac:dyDescent="0.25">
      <c r="A4027" t="s">
        <v>83</v>
      </c>
      <c r="B4027" t="s">
        <v>18</v>
      </c>
      <c r="C4027" t="s">
        <v>13</v>
      </c>
      <c r="D4027" t="s">
        <v>84</v>
      </c>
      <c r="E4027" s="2">
        <v>12.5</v>
      </c>
      <c r="F4027" s="4">
        <v>8</v>
      </c>
      <c r="G4027" s="2">
        <v>100</v>
      </c>
      <c r="H4027" t="s">
        <v>25</v>
      </c>
      <c r="I4027" t="s">
        <v>16</v>
      </c>
      <c r="J4027" s="1">
        <v>44656</v>
      </c>
      <c r="K4027" t="b">
        <v>1</v>
      </c>
    </row>
    <row r="4028" spans="1:11" x14ac:dyDescent="0.25">
      <c r="A4028" t="s">
        <v>4179</v>
      </c>
      <c r="B4028" t="s">
        <v>40</v>
      </c>
      <c r="C4028" t="s">
        <v>110</v>
      </c>
      <c r="D4028" t="s">
        <v>234</v>
      </c>
      <c r="E4028" s="2">
        <v>12.5</v>
      </c>
      <c r="F4028" s="4">
        <v>8</v>
      </c>
      <c r="G4028" s="2">
        <v>100</v>
      </c>
      <c r="H4028" t="s">
        <v>45</v>
      </c>
      <c r="I4028" t="s">
        <v>16</v>
      </c>
      <c r="J4028" s="1">
        <v>45254</v>
      </c>
      <c r="K4028" t="b">
        <v>1</v>
      </c>
    </row>
    <row r="4029" spans="1:11" x14ac:dyDescent="0.25">
      <c r="A4029" t="s">
        <v>3799</v>
      </c>
      <c r="B4029" t="s">
        <v>97</v>
      </c>
      <c r="C4029" t="s">
        <v>31</v>
      </c>
      <c r="D4029" t="s">
        <v>32</v>
      </c>
      <c r="E4029" s="2">
        <v>12.5</v>
      </c>
      <c r="F4029" s="4">
        <v>8</v>
      </c>
      <c r="G4029" s="2">
        <v>100</v>
      </c>
      <c r="H4029" t="s">
        <v>45</v>
      </c>
      <c r="I4029" t="s">
        <v>36</v>
      </c>
      <c r="J4029" s="1">
        <v>45563</v>
      </c>
      <c r="K4029" t="b">
        <v>1</v>
      </c>
    </row>
    <row r="4030" spans="1:11" x14ac:dyDescent="0.25">
      <c r="A4030" t="s">
        <v>4602</v>
      </c>
      <c r="B4030" t="s">
        <v>51</v>
      </c>
      <c r="C4030" t="s">
        <v>13</v>
      </c>
      <c r="D4030" t="s">
        <v>113</v>
      </c>
      <c r="E4030" s="2">
        <v>20</v>
      </c>
      <c r="F4030" s="4">
        <v>5</v>
      </c>
      <c r="G4030" s="2">
        <v>100</v>
      </c>
      <c r="H4030" t="s">
        <v>15</v>
      </c>
      <c r="I4030" t="s">
        <v>16</v>
      </c>
      <c r="J4030" s="1">
        <v>45087</v>
      </c>
      <c r="K4030" t="b">
        <v>0</v>
      </c>
    </row>
    <row r="4031" spans="1:11" x14ac:dyDescent="0.25">
      <c r="A4031" t="s">
        <v>6553</v>
      </c>
      <c r="B4031" t="s">
        <v>18</v>
      </c>
      <c r="C4031" t="s">
        <v>31</v>
      </c>
      <c r="D4031" t="s">
        <v>32</v>
      </c>
      <c r="E4031" s="2">
        <v>12.5</v>
      </c>
      <c r="F4031" s="4">
        <v>8</v>
      </c>
      <c r="G4031" s="2">
        <v>100</v>
      </c>
      <c r="H4031" t="s">
        <v>15</v>
      </c>
      <c r="I4031" t="s">
        <v>16</v>
      </c>
      <c r="J4031" s="1">
        <v>45276</v>
      </c>
      <c r="K4031" t="b">
        <v>1</v>
      </c>
    </row>
    <row r="4032" spans="1:11" x14ac:dyDescent="0.25">
      <c r="A4032" t="s">
        <v>4389</v>
      </c>
      <c r="B4032" t="s">
        <v>40</v>
      </c>
      <c r="C4032" t="s">
        <v>59</v>
      </c>
      <c r="D4032" t="s">
        <v>177</v>
      </c>
      <c r="E4032" s="2">
        <v>12.5</v>
      </c>
      <c r="F4032" s="4">
        <v>8</v>
      </c>
      <c r="G4032" s="2">
        <v>100</v>
      </c>
      <c r="H4032" t="s">
        <v>45</v>
      </c>
      <c r="I4032" t="s">
        <v>36</v>
      </c>
      <c r="J4032" s="1">
        <v>44612</v>
      </c>
      <c r="K4032" t="b">
        <v>0</v>
      </c>
    </row>
    <row r="4033" spans="1:11" x14ac:dyDescent="0.25">
      <c r="A4033" t="s">
        <v>4879</v>
      </c>
      <c r="B4033" t="s">
        <v>63</v>
      </c>
      <c r="C4033" t="s">
        <v>19</v>
      </c>
      <c r="D4033" t="s">
        <v>128</v>
      </c>
      <c r="E4033" s="2">
        <v>12.5</v>
      </c>
      <c r="F4033" s="4">
        <v>8</v>
      </c>
      <c r="G4033" s="2">
        <v>100</v>
      </c>
      <c r="H4033" t="s">
        <v>45</v>
      </c>
      <c r="I4033" t="s">
        <v>36</v>
      </c>
      <c r="J4033" s="1">
        <v>45131</v>
      </c>
      <c r="K4033" t="b">
        <v>0</v>
      </c>
    </row>
    <row r="4034" spans="1:11" x14ac:dyDescent="0.25">
      <c r="A4034" t="s">
        <v>4221</v>
      </c>
      <c r="B4034" t="s">
        <v>58</v>
      </c>
      <c r="C4034" t="s">
        <v>19</v>
      </c>
      <c r="D4034" t="s">
        <v>128</v>
      </c>
      <c r="E4034" s="2">
        <v>12.5</v>
      </c>
      <c r="F4034" s="4">
        <v>8</v>
      </c>
      <c r="G4034" s="2">
        <v>100</v>
      </c>
      <c r="H4034" t="s">
        <v>25</v>
      </c>
      <c r="I4034" t="s">
        <v>16</v>
      </c>
      <c r="J4034" s="1">
        <v>45286</v>
      </c>
      <c r="K4034" t="b">
        <v>0</v>
      </c>
    </row>
    <row r="4035" spans="1:11" x14ac:dyDescent="0.25">
      <c r="A4035" t="s">
        <v>4779</v>
      </c>
      <c r="B4035" t="s">
        <v>34</v>
      </c>
      <c r="C4035" t="s">
        <v>13</v>
      </c>
      <c r="D4035" t="s">
        <v>113</v>
      </c>
      <c r="E4035" s="2">
        <v>20</v>
      </c>
      <c r="F4035" s="4">
        <v>5</v>
      </c>
      <c r="G4035" s="2">
        <v>100</v>
      </c>
      <c r="H4035" t="s">
        <v>15</v>
      </c>
      <c r="I4035" t="s">
        <v>16</v>
      </c>
      <c r="J4035" s="1">
        <v>45333</v>
      </c>
      <c r="K4035" t="b">
        <v>0</v>
      </c>
    </row>
    <row r="4036" spans="1:11" x14ac:dyDescent="0.25">
      <c r="A4036" t="s">
        <v>7428</v>
      </c>
      <c r="B4036" t="s">
        <v>51</v>
      </c>
      <c r="C4036" t="s">
        <v>13</v>
      </c>
      <c r="D4036" t="s">
        <v>113</v>
      </c>
      <c r="E4036" s="2">
        <v>20</v>
      </c>
      <c r="F4036" s="4">
        <v>5</v>
      </c>
      <c r="G4036" s="2">
        <v>100</v>
      </c>
      <c r="H4036" t="s">
        <v>15</v>
      </c>
      <c r="I4036" t="s">
        <v>36</v>
      </c>
      <c r="J4036" s="1">
        <v>45348</v>
      </c>
      <c r="K4036" t="b">
        <v>0</v>
      </c>
    </row>
    <row r="4037" spans="1:11" x14ac:dyDescent="0.25">
      <c r="A4037" t="s">
        <v>829</v>
      </c>
      <c r="B4037" t="s">
        <v>142</v>
      </c>
      <c r="C4037" t="s">
        <v>31</v>
      </c>
      <c r="D4037" t="s">
        <v>32</v>
      </c>
      <c r="E4037" s="2">
        <v>12.5</v>
      </c>
      <c r="F4037" s="4">
        <v>8</v>
      </c>
      <c r="G4037" s="2">
        <v>100</v>
      </c>
      <c r="H4037" t="s">
        <v>45</v>
      </c>
      <c r="I4037" t="s">
        <v>16</v>
      </c>
      <c r="J4037" s="1">
        <v>45254</v>
      </c>
      <c r="K4037" t="b">
        <v>1</v>
      </c>
    </row>
    <row r="4038" spans="1:11" x14ac:dyDescent="0.25">
      <c r="A4038" t="s">
        <v>5740</v>
      </c>
      <c r="B4038" t="s">
        <v>72</v>
      </c>
      <c r="C4038" t="s">
        <v>59</v>
      </c>
      <c r="D4038" t="s">
        <v>177</v>
      </c>
      <c r="E4038" s="2">
        <v>12.5</v>
      </c>
      <c r="F4038" s="4">
        <v>8</v>
      </c>
      <c r="G4038" s="2">
        <v>100</v>
      </c>
      <c r="H4038" t="s">
        <v>45</v>
      </c>
      <c r="I4038" t="s">
        <v>16</v>
      </c>
      <c r="J4038" s="1">
        <v>45660</v>
      </c>
      <c r="K4038" t="b">
        <v>0</v>
      </c>
    </row>
    <row r="4039" spans="1:11" x14ac:dyDescent="0.25">
      <c r="A4039" t="s">
        <v>3484</v>
      </c>
      <c r="B4039" t="s">
        <v>12</v>
      </c>
      <c r="C4039" t="s">
        <v>13</v>
      </c>
      <c r="D4039" t="s">
        <v>84</v>
      </c>
      <c r="E4039" s="2">
        <v>12.5</v>
      </c>
      <c r="F4039" s="4">
        <v>8</v>
      </c>
      <c r="G4039" s="2">
        <v>100</v>
      </c>
      <c r="H4039" t="s">
        <v>45</v>
      </c>
      <c r="I4039" t="s">
        <v>16</v>
      </c>
      <c r="J4039" s="1">
        <v>45052</v>
      </c>
      <c r="K4039" t="b">
        <v>1</v>
      </c>
    </row>
    <row r="4040" spans="1:11" x14ac:dyDescent="0.25">
      <c r="A4040" t="s">
        <v>1672</v>
      </c>
      <c r="B4040" t="s">
        <v>85</v>
      </c>
      <c r="C4040" t="s">
        <v>13</v>
      </c>
      <c r="D4040" t="s">
        <v>113</v>
      </c>
      <c r="E4040" s="2">
        <v>20</v>
      </c>
      <c r="F4040" s="4">
        <v>5</v>
      </c>
      <c r="G4040" s="2">
        <v>100</v>
      </c>
      <c r="H4040" t="s">
        <v>15</v>
      </c>
      <c r="I4040" t="s">
        <v>36</v>
      </c>
      <c r="J4040" s="1">
        <v>44744</v>
      </c>
      <c r="K4040" t="b">
        <v>0</v>
      </c>
    </row>
    <row r="4041" spans="1:11" x14ac:dyDescent="0.25">
      <c r="A4041" t="s">
        <v>3377</v>
      </c>
      <c r="B4041" t="s">
        <v>61</v>
      </c>
      <c r="C4041" t="s">
        <v>110</v>
      </c>
      <c r="D4041" t="s">
        <v>234</v>
      </c>
      <c r="E4041" s="2">
        <v>12.5</v>
      </c>
      <c r="F4041" s="4">
        <v>8</v>
      </c>
      <c r="G4041" s="2">
        <v>100</v>
      </c>
      <c r="H4041" t="s">
        <v>15</v>
      </c>
      <c r="I4041" t="s">
        <v>16</v>
      </c>
      <c r="J4041" s="1">
        <v>44923</v>
      </c>
      <c r="K4041" t="b">
        <v>0</v>
      </c>
    </row>
    <row r="4042" spans="1:11" x14ac:dyDescent="0.25">
      <c r="A4042" t="s">
        <v>4031</v>
      </c>
      <c r="B4042" t="s">
        <v>63</v>
      </c>
      <c r="C4042" t="s">
        <v>13</v>
      </c>
      <c r="D4042" t="s">
        <v>84</v>
      </c>
      <c r="E4042" s="2">
        <v>12.5</v>
      </c>
      <c r="F4042" s="4">
        <v>8</v>
      </c>
      <c r="G4042" s="2">
        <v>100</v>
      </c>
      <c r="H4042" t="s">
        <v>25</v>
      </c>
      <c r="I4042" t="s">
        <v>36</v>
      </c>
      <c r="J4042" s="1">
        <v>45264</v>
      </c>
      <c r="K4042" t="b">
        <v>0</v>
      </c>
    </row>
    <row r="4043" spans="1:11" x14ac:dyDescent="0.25">
      <c r="A4043" t="s">
        <v>1227</v>
      </c>
      <c r="B4043" t="s">
        <v>37</v>
      </c>
      <c r="C4043" t="s">
        <v>59</v>
      </c>
      <c r="D4043" t="s">
        <v>365</v>
      </c>
      <c r="E4043" s="2">
        <v>20</v>
      </c>
      <c r="F4043" s="4">
        <v>5</v>
      </c>
      <c r="G4043" s="2">
        <v>100</v>
      </c>
      <c r="H4043" t="s">
        <v>15</v>
      </c>
      <c r="I4043" t="s">
        <v>36</v>
      </c>
      <c r="J4043" s="1">
        <v>44695</v>
      </c>
      <c r="K4043" t="b">
        <v>0</v>
      </c>
    </row>
    <row r="4044" spans="1:11" x14ac:dyDescent="0.25">
      <c r="A4044" t="s">
        <v>5620</v>
      </c>
      <c r="B4044" t="s">
        <v>86</v>
      </c>
      <c r="C4044" t="s">
        <v>59</v>
      </c>
      <c r="D4044" t="s">
        <v>365</v>
      </c>
      <c r="E4044" s="2">
        <v>20</v>
      </c>
      <c r="F4044" s="4">
        <v>5</v>
      </c>
      <c r="G4044" s="2">
        <v>100</v>
      </c>
      <c r="H4044" t="s">
        <v>25</v>
      </c>
      <c r="I4044" t="s">
        <v>36</v>
      </c>
      <c r="J4044" s="1">
        <v>45101</v>
      </c>
      <c r="K4044" t="b">
        <v>0</v>
      </c>
    </row>
    <row r="4045" spans="1:11" x14ac:dyDescent="0.25">
      <c r="A4045" t="s">
        <v>5386</v>
      </c>
      <c r="B4045" t="s">
        <v>61</v>
      </c>
      <c r="C4045" t="s">
        <v>59</v>
      </c>
      <c r="D4045" t="s">
        <v>177</v>
      </c>
      <c r="E4045" s="2">
        <v>12.5</v>
      </c>
      <c r="F4045" s="4">
        <v>8</v>
      </c>
      <c r="G4045" s="2">
        <v>100</v>
      </c>
      <c r="H4045" t="s">
        <v>15</v>
      </c>
      <c r="I4045" t="s">
        <v>16</v>
      </c>
      <c r="J4045" s="1">
        <v>44680</v>
      </c>
      <c r="K4045" t="b">
        <v>0</v>
      </c>
    </row>
    <row r="4046" spans="1:11" x14ac:dyDescent="0.25">
      <c r="A4046" t="s">
        <v>2698</v>
      </c>
      <c r="B4046" t="s">
        <v>18</v>
      </c>
      <c r="C4046" t="s">
        <v>19</v>
      </c>
      <c r="D4046" t="s">
        <v>128</v>
      </c>
      <c r="E4046" s="2">
        <v>12.5</v>
      </c>
      <c r="F4046" s="4">
        <v>8</v>
      </c>
      <c r="G4046" s="2">
        <v>100</v>
      </c>
      <c r="H4046" t="s">
        <v>15</v>
      </c>
      <c r="I4046" t="s">
        <v>16</v>
      </c>
      <c r="J4046" s="1">
        <v>44619</v>
      </c>
      <c r="K4046" t="b">
        <v>0</v>
      </c>
    </row>
    <row r="4047" spans="1:11" x14ac:dyDescent="0.25">
      <c r="A4047" t="s">
        <v>5601</v>
      </c>
      <c r="B4047" t="s">
        <v>66</v>
      </c>
      <c r="C4047" t="s">
        <v>38</v>
      </c>
      <c r="D4047" t="s">
        <v>159</v>
      </c>
      <c r="E4047" s="2">
        <v>20</v>
      </c>
      <c r="F4047" s="4">
        <v>5</v>
      </c>
      <c r="G4047" s="2">
        <v>100</v>
      </c>
      <c r="H4047" t="s">
        <v>45</v>
      </c>
      <c r="I4047" t="s">
        <v>16</v>
      </c>
      <c r="J4047" s="1">
        <v>45296</v>
      </c>
      <c r="K4047" t="b">
        <v>1</v>
      </c>
    </row>
    <row r="4048" spans="1:11" x14ac:dyDescent="0.25">
      <c r="A4048" t="s">
        <v>3828</v>
      </c>
      <c r="B4048" t="s">
        <v>43</v>
      </c>
      <c r="C4048" t="s">
        <v>27</v>
      </c>
      <c r="D4048" t="s">
        <v>95</v>
      </c>
      <c r="E4048" s="2">
        <v>20</v>
      </c>
      <c r="F4048" s="4">
        <v>5</v>
      </c>
      <c r="G4048" s="2">
        <v>100</v>
      </c>
      <c r="H4048" t="s">
        <v>25</v>
      </c>
      <c r="I4048" t="s">
        <v>16</v>
      </c>
      <c r="J4048" s="1">
        <v>44604</v>
      </c>
      <c r="K4048" t="b">
        <v>1</v>
      </c>
    </row>
    <row r="4049" spans="1:11" x14ac:dyDescent="0.25">
      <c r="A4049" t="s">
        <v>4313</v>
      </c>
      <c r="B4049" t="s">
        <v>30</v>
      </c>
      <c r="C4049" t="s">
        <v>19</v>
      </c>
      <c r="D4049" t="s">
        <v>228</v>
      </c>
      <c r="E4049" s="2">
        <v>20</v>
      </c>
      <c r="F4049" s="4">
        <v>5</v>
      </c>
      <c r="G4049" s="2">
        <v>100</v>
      </c>
      <c r="H4049" t="s">
        <v>45</v>
      </c>
      <c r="I4049" t="s">
        <v>16</v>
      </c>
      <c r="J4049" s="1">
        <v>45347</v>
      </c>
      <c r="K4049" t="b">
        <v>1</v>
      </c>
    </row>
    <row r="4050" spans="1:11" x14ac:dyDescent="0.25">
      <c r="A4050" t="s">
        <v>1926</v>
      </c>
      <c r="B4050" t="s">
        <v>61</v>
      </c>
      <c r="C4050" t="s">
        <v>27</v>
      </c>
      <c r="D4050" t="s">
        <v>95</v>
      </c>
      <c r="E4050" s="2">
        <v>20</v>
      </c>
      <c r="F4050" s="4">
        <v>5</v>
      </c>
      <c r="G4050" s="2">
        <v>100</v>
      </c>
      <c r="H4050" t="s">
        <v>25</v>
      </c>
      <c r="I4050" t="s">
        <v>16</v>
      </c>
      <c r="J4050" s="1">
        <v>45675</v>
      </c>
      <c r="K4050" t="b">
        <v>0</v>
      </c>
    </row>
    <row r="4051" spans="1:11" x14ac:dyDescent="0.25">
      <c r="A4051" t="s">
        <v>3553</v>
      </c>
      <c r="B4051" t="s">
        <v>100</v>
      </c>
      <c r="C4051" t="s">
        <v>31</v>
      </c>
      <c r="D4051" t="s">
        <v>32</v>
      </c>
      <c r="E4051" s="2">
        <v>12.5</v>
      </c>
      <c r="F4051" s="4">
        <v>8</v>
      </c>
      <c r="G4051" s="2">
        <v>100</v>
      </c>
      <c r="H4051" t="s">
        <v>25</v>
      </c>
      <c r="I4051" t="s">
        <v>16</v>
      </c>
      <c r="J4051" s="1">
        <v>44781</v>
      </c>
      <c r="K4051" t="b">
        <v>0</v>
      </c>
    </row>
    <row r="4052" spans="1:11" x14ac:dyDescent="0.25">
      <c r="A4052" t="s">
        <v>3475</v>
      </c>
      <c r="B4052" t="s">
        <v>77</v>
      </c>
      <c r="C4052" t="s">
        <v>19</v>
      </c>
      <c r="D4052" t="s">
        <v>128</v>
      </c>
      <c r="E4052" s="2">
        <v>12.5</v>
      </c>
      <c r="F4052" s="4">
        <v>8</v>
      </c>
      <c r="G4052" s="2">
        <v>100</v>
      </c>
      <c r="H4052" t="s">
        <v>15</v>
      </c>
      <c r="I4052" t="s">
        <v>36</v>
      </c>
      <c r="J4052" s="1">
        <v>44797</v>
      </c>
      <c r="K4052" t="b">
        <v>1</v>
      </c>
    </row>
    <row r="4053" spans="1:11" x14ac:dyDescent="0.25">
      <c r="A4053" t="s">
        <v>3704</v>
      </c>
      <c r="B4053" t="s">
        <v>63</v>
      </c>
      <c r="C4053" t="s">
        <v>19</v>
      </c>
      <c r="D4053" t="s">
        <v>228</v>
      </c>
      <c r="E4053" s="2">
        <v>20</v>
      </c>
      <c r="F4053" s="4">
        <v>5</v>
      </c>
      <c r="G4053" s="2">
        <v>100</v>
      </c>
      <c r="H4053" t="s">
        <v>15</v>
      </c>
      <c r="I4053" t="s">
        <v>16</v>
      </c>
      <c r="J4053" s="1">
        <v>45246</v>
      </c>
      <c r="K4053" t="b">
        <v>0</v>
      </c>
    </row>
    <row r="4054" spans="1:11" x14ac:dyDescent="0.25">
      <c r="A4054" t="s">
        <v>1199</v>
      </c>
      <c r="B4054" t="s">
        <v>18</v>
      </c>
      <c r="C4054" t="s">
        <v>31</v>
      </c>
      <c r="D4054" t="s">
        <v>82</v>
      </c>
      <c r="E4054" s="2">
        <v>20</v>
      </c>
      <c r="F4054" s="4">
        <v>5</v>
      </c>
      <c r="G4054" s="2">
        <v>100</v>
      </c>
      <c r="H4054" t="s">
        <v>25</v>
      </c>
      <c r="I4054" t="s">
        <v>16</v>
      </c>
      <c r="J4054" s="1">
        <v>45367</v>
      </c>
      <c r="K4054" t="b">
        <v>0</v>
      </c>
    </row>
    <row r="4055" spans="1:11" x14ac:dyDescent="0.25">
      <c r="A4055" t="s">
        <v>505</v>
      </c>
      <c r="B4055" t="s">
        <v>86</v>
      </c>
      <c r="C4055" t="s">
        <v>27</v>
      </c>
      <c r="D4055" t="s">
        <v>217</v>
      </c>
      <c r="E4055" s="2">
        <v>12.5</v>
      </c>
      <c r="F4055" s="4">
        <v>8</v>
      </c>
      <c r="G4055" s="2">
        <v>100</v>
      </c>
      <c r="H4055" t="s">
        <v>25</v>
      </c>
      <c r="I4055" t="s">
        <v>16</v>
      </c>
      <c r="J4055" s="1">
        <v>45355</v>
      </c>
      <c r="K4055" t="b">
        <v>0</v>
      </c>
    </row>
    <row r="4056" spans="1:11" x14ac:dyDescent="0.25">
      <c r="A4056" t="s">
        <v>6665</v>
      </c>
      <c r="B4056" t="s">
        <v>43</v>
      </c>
      <c r="C4056" t="s">
        <v>27</v>
      </c>
      <c r="D4056" t="s">
        <v>95</v>
      </c>
      <c r="E4056" s="2">
        <v>20</v>
      </c>
      <c r="F4056" s="4">
        <v>5</v>
      </c>
      <c r="G4056" s="2">
        <v>100</v>
      </c>
      <c r="H4056" t="s">
        <v>15</v>
      </c>
      <c r="I4056" t="s">
        <v>16</v>
      </c>
      <c r="J4056" s="1">
        <v>44743</v>
      </c>
      <c r="K4056" t="b">
        <v>0</v>
      </c>
    </row>
    <row r="4057" spans="1:11" x14ac:dyDescent="0.25">
      <c r="A4057" t="s">
        <v>5722</v>
      </c>
      <c r="B4057" t="s">
        <v>77</v>
      </c>
      <c r="C4057" t="s">
        <v>59</v>
      </c>
      <c r="D4057" t="s">
        <v>365</v>
      </c>
      <c r="E4057" s="2">
        <v>20</v>
      </c>
      <c r="F4057" s="4">
        <v>5</v>
      </c>
      <c r="G4057" s="2">
        <v>100</v>
      </c>
      <c r="H4057" t="s">
        <v>15</v>
      </c>
      <c r="I4057" t="s">
        <v>36</v>
      </c>
      <c r="J4057" s="1">
        <v>45385</v>
      </c>
      <c r="K4057" t="b">
        <v>0</v>
      </c>
    </row>
    <row r="4058" spans="1:11" x14ac:dyDescent="0.25">
      <c r="A4058" t="s">
        <v>4713</v>
      </c>
      <c r="B4058" t="s">
        <v>63</v>
      </c>
      <c r="C4058" t="s">
        <v>19</v>
      </c>
      <c r="D4058" t="s">
        <v>228</v>
      </c>
      <c r="E4058" s="2">
        <v>20</v>
      </c>
      <c r="F4058" s="4">
        <v>5</v>
      </c>
      <c r="G4058" s="2">
        <v>100</v>
      </c>
      <c r="H4058" t="s">
        <v>45</v>
      </c>
      <c r="I4058" t="s">
        <v>36</v>
      </c>
      <c r="J4058" s="1">
        <v>45046</v>
      </c>
      <c r="K4058" t="b">
        <v>1</v>
      </c>
    </row>
    <row r="4059" spans="1:11" x14ac:dyDescent="0.25">
      <c r="A4059" t="s">
        <v>478</v>
      </c>
      <c r="B4059" t="s">
        <v>37</v>
      </c>
      <c r="C4059" t="s">
        <v>13</v>
      </c>
      <c r="D4059" t="s">
        <v>84</v>
      </c>
      <c r="E4059" s="2">
        <v>12.5</v>
      </c>
      <c r="F4059" s="4">
        <v>8</v>
      </c>
      <c r="G4059" s="2">
        <v>100</v>
      </c>
      <c r="H4059" t="s">
        <v>15</v>
      </c>
      <c r="I4059" t="s">
        <v>36</v>
      </c>
      <c r="J4059" s="1">
        <v>44625</v>
      </c>
      <c r="K4059" t="b">
        <v>0</v>
      </c>
    </row>
    <row r="4060" spans="1:11" x14ac:dyDescent="0.25">
      <c r="A4060" t="s">
        <v>6204</v>
      </c>
      <c r="B4060" t="s">
        <v>85</v>
      </c>
      <c r="C4060" t="s">
        <v>38</v>
      </c>
      <c r="D4060" t="s">
        <v>159</v>
      </c>
      <c r="E4060" s="2">
        <v>20</v>
      </c>
      <c r="F4060" s="4">
        <v>5</v>
      </c>
      <c r="G4060" s="2">
        <v>100</v>
      </c>
      <c r="H4060" t="s">
        <v>45</v>
      </c>
      <c r="I4060" t="s">
        <v>16</v>
      </c>
      <c r="J4060" s="1">
        <v>45358</v>
      </c>
      <c r="K4060" t="b">
        <v>0</v>
      </c>
    </row>
    <row r="4061" spans="1:11" x14ac:dyDescent="0.25">
      <c r="A4061" t="s">
        <v>2716</v>
      </c>
      <c r="B4061" t="s">
        <v>142</v>
      </c>
      <c r="C4061" t="s">
        <v>31</v>
      </c>
      <c r="D4061" t="s">
        <v>32</v>
      </c>
      <c r="E4061" s="2">
        <v>12.5</v>
      </c>
      <c r="F4061" s="4">
        <v>8</v>
      </c>
      <c r="G4061" s="2">
        <v>100</v>
      </c>
      <c r="H4061" t="s">
        <v>45</v>
      </c>
      <c r="I4061" t="s">
        <v>36</v>
      </c>
      <c r="J4061" s="1">
        <v>45004</v>
      </c>
      <c r="K4061" t="b">
        <v>1</v>
      </c>
    </row>
    <row r="4062" spans="1:11" x14ac:dyDescent="0.25">
      <c r="A4062" t="s">
        <v>7589</v>
      </c>
      <c r="B4062" t="s">
        <v>56</v>
      </c>
      <c r="C4062" t="s">
        <v>13</v>
      </c>
      <c r="D4062" t="s">
        <v>113</v>
      </c>
      <c r="E4062" s="2">
        <v>20</v>
      </c>
      <c r="F4062" s="4">
        <v>5</v>
      </c>
      <c r="G4062" s="2">
        <v>100</v>
      </c>
      <c r="H4062" t="s">
        <v>45</v>
      </c>
      <c r="I4062" t="s">
        <v>16</v>
      </c>
      <c r="J4062" s="1">
        <v>45575</v>
      </c>
      <c r="K4062" t="b">
        <v>1</v>
      </c>
    </row>
    <row r="4063" spans="1:11" x14ac:dyDescent="0.25">
      <c r="A4063" t="s">
        <v>3037</v>
      </c>
      <c r="B4063" t="s">
        <v>37</v>
      </c>
      <c r="C4063" t="s">
        <v>59</v>
      </c>
      <c r="D4063" t="s">
        <v>177</v>
      </c>
      <c r="E4063" s="2">
        <v>12.5</v>
      </c>
      <c r="F4063" s="4">
        <v>8</v>
      </c>
      <c r="G4063" s="2">
        <v>100</v>
      </c>
      <c r="H4063" t="s">
        <v>45</v>
      </c>
      <c r="I4063" t="s">
        <v>36</v>
      </c>
      <c r="J4063" s="1">
        <v>45066</v>
      </c>
      <c r="K4063" t="b">
        <v>0</v>
      </c>
    </row>
    <row r="4064" spans="1:11" x14ac:dyDescent="0.25">
      <c r="A4064" t="s">
        <v>3381</v>
      </c>
      <c r="B4064" t="s">
        <v>34</v>
      </c>
      <c r="C4064" t="s">
        <v>59</v>
      </c>
      <c r="D4064" t="s">
        <v>177</v>
      </c>
      <c r="E4064" s="2">
        <v>12.5</v>
      </c>
      <c r="F4064" s="4">
        <v>8</v>
      </c>
      <c r="G4064" s="2">
        <v>100</v>
      </c>
      <c r="H4064" t="s">
        <v>15</v>
      </c>
      <c r="I4064" t="s">
        <v>36</v>
      </c>
      <c r="J4064" s="1">
        <v>45575</v>
      </c>
      <c r="K4064" t="b">
        <v>0</v>
      </c>
    </row>
    <row r="4065" spans="1:11" x14ac:dyDescent="0.25">
      <c r="A4065" t="s">
        <v>6869</v>
      </c>
      <c r="B4065" t="s">
        <v>100</v>
      </c>
      <c r="C4065" t="s">
        <v>59</v>
      </c>
      <c r="D4065" t="s">
        <v>365</v>
      </c>
      <c r="E4065" s="2">
        <v>20</v>
      </c>
      <c r="F4065" s="4">
        <v>5</v>
      </c>
      <c r="G4065" s="2">
        <v>100</v>
      </c>
      <c r="H4065" t="s">
        <v>15</v>
      </c>
      <c r="I4065" t="s">
        <v>16</v>
      </c>
      <c r="J4065" s="1">
        <v>45153</v>
      </c>
      <c r="K4065" t="b">
        <v>0</v>
      </c>
    </row>
    <row r="4066" spans="1:11" x14ac:dyDescent="0.25">
      <c r="A4066" t="s">
        <v>7227</v>
      </c>
      <c r="B4066" t="s">
        <v>26</v>
      </c>
      <c r="C4066" t="s">
        <v>110</v>
      </c>
      <c r="D4066" t="s">
        <v>234</v>
      </c>
      <c r="E4066" s="2">
        <v>12.5</v>
      </c>
      <c r="F4066" s="4">
        <v>8</v>
      </c>
      <c r="G4066" s="2">
        <v>100</v>
      </c>
      <c r="H4066" t="s">
        <v>45</v>
      </c>
      <c r="I4066" t="s">
        <v>36</v>
      </c>
      <c r="J4066" s="1">
        <v>45650</v>
      </c>
      <c r="K4066" t="b">
        <v>0</v>
      </c>
    </row>
    <row r="4067" spans="1:11" x14ac:dyDescent="0.25">
      <c r="A4067" t="s">
        <v>7525</v>
      </c>
      <c r="B4067" t="s">
        <v>72</v>
      </c>
      <c r="C4067" t="s">
        <v>38</v>
      </c>
      <c r="D4067" t="s">
        <v>480</v>
      </c>
      <c r="E4067" s="2">
        <v>12.5</v>
      </c>
      <c r="F4067" s="4">
        <v>8</v>
      </c>
      <c r="G4067" s="2">
        <v>100</v>
      </c>
      <c r="H4067" t="s">
        <v>25</v>
      </c>
      <c r="I4067" t="s">
        <v>16</v>
      </c>
      <c r="J4067" s="1">
        <v>45657</v>
      </c>
      <c r="K4067" t="b">
        <v>1</v>
      </c>
    </row>
    <row r="4068" spans="1:11" x14ac:dyDescent="0.25">
      <c r="A4068" t="s">
        <v>4429</v>
      </c>
      <c r="B4068" t="s">
        <v>12</v>
      </c>
      <c r="C4068" t="s">
        <v>13</v>
      </c>
      <c r="D4068" t="s">
        <v>113</v>
      </c>
      <c r="E4068" s="2">
        <v>20</v>
      </c>
      <c r="F4068" s="4">
        <v>5</v>
      </c>
      <c r="G4068" s="2">
        <v>100</v>
      </c>
      <c r="H4068" t="s">
        <v>25</v>
      </c>
      <c r="I4068" t="s">
        <v>16</v>
      </c>
      <c r="J4068" s="1">
        <v>45395</v>
      </c>
      <c r="K4068" t="b">
        <v>1</v>
      </c>
    </row>
    <row r="4069" spans="1:11" x14ac:dyDescent="0.25">
      <c r="A4069" t="s">
        <v>3713</v>
      </c>
      <c r="B4069" t="s">
        <v>56</v>
      </c>
      <c r="C4069" t="s">
        <v>23</v>
      </c>
      <c r="D4069" t="s">
        <v>666</v>
      </c>
      <c r="E4069" s="2">
        <v>20</v>
      </c>
      <c r="F4069" s="4">
        <v>5</v>
      </c>
      <c r="G4069" s="2">
        <v>100</v>
      </c>
      <c r="H4069" t="s">
        <v>15</v>
      </c>
      <c r="I4069" t="s">
        <v>36</v>
      </c>
      <c r="J4069" s="1">
        <v>45521</v>
      </c>
      <c r="K4069" t="b">
        <v>0</v>
      </c>
    </row>
    <row r="4070" spans="1:11" x14ac:dyDescent="0.25">
      <c r="A4070" t="s">
        <v>7615</v>
      </c>
      <c r="B4070" t="s">
        <v>26</v>
      </c>
      <c r="C4070" t="s">
        <v>38</v>
      </c>
      <c r="D4070" t="s">
        <v>193</v>
      </c>
      <c r="E4070" s="2">
        <v>11</v>
      </c>
      <c r="F4070" s="4">
        <v>9</v>
      </c>
      <c r="G4070" s="2">
        <v>99</v>
      </c>
      <c r="H4070" t="s">
        <v>15</v>
      </c>
      <c r="I4070" t="s">
        <v>16</v>
      </c>
      <c r="J4070" s="1">
        <v>44673</v>
      </c>
      <c r="K4070" t="b">
        <v>0</v>
      </c>
    </row>
    <row r="4071" spans="1:11" x14ac:dyDescent="0.25">
      <c r="A4071" t="s">
        <v>1984</v>
      </c>
      <c r="B4071" t="s">
        <v>51</v>
      </c>
      <c r="C4071" t="s">
        <v>110</v>
      </c>
      <c r="D4071" t="s">
        <v>118</v>
      </c>
      <c r="E4071" s="2">
        <v>11</v>
      </c>
      <c r="F4071" s="4">
        <v>9</v>
      </c>
      <c r="G4071" s="2">
        <v>99</v>
      </c>
      <c r="H4071" t="s">
        <v>15</v>
      </c>
      <c r="I4071" t="s">
        <v>16</v>
      </c>
      <c r="J4071" s="1">
        <v>44763</v>
      </c>
      <c r="K4071" t="b">
        <v>1</v>
      </c>
    </row>
    <row r="4072" spans="1:11" x14ac:dyDescent="0.25">
      <c r="A4072" t="s">
        <v>7074</v>
      </c>
      <c r="B4072" t="s">
        <v>34</v>
      </c>
      <c r="C4072" t="s">
        <v>110</v>
      </c>
      <c r="D4072" t="s">
        <v>118</v>
      </c>
      <c r="E4072" s="2">
        <v>11</v>
      </c>
      <c r="F4072" s="4">
        <v>9</v>
      </c>
      <c r="G4072" s="2">
        <v>99</v>
      </c>
      <c r="H4072" t="s">
        <v>15</v>
      </c>
      <c r="I4072" t="s">
        <v>16</v>
      </c>
      <c r="J4072" s="1">
        <v>44972</v>
      </c>
      <c r="K4072" t="b">
        <v>0</v>
      </c>
    </row>
    <row r="4073" spans="1:11" x14ac:dyDescent="0.25">
      <c r="A4073" t="s">
        <v>3813</v>
      </c>
      <c r="B4073" t="s">
        <v>66</v>
      </c>
      <c r="C4073" t="s">
        <v>59</v>
      </c>
      <c r="D4073" t="s">
        <v>347</v>
      </c>
      <c r="E4073" s="2">
        <v>11</v>
      </c>
      <c r="F4073" s="4">
        <v>9</v>
      </c>
      <c r="G4073" s="2">
        <v>99</v>
      </c>
      <c r="H4073" t="s">
        <v>45</v>
      </c>
      <c r="I4073" t="s">
        <v>36</v>
      </c>
      <c r="J4073" s="1">
        <v>45074</v>
      </c>
      <c r="K4073" t="b">
        <v>0</v>
      </c>
    </row>
    <row r="4074" spans="1:11" x14ac:dyDescent="0.25">
      <c r="A4074" t="s">
        <v>3907</v>
      </c>
      <c r="B4074" t="s">
        <v>69</v>
      </c>
      <c r="C4074" t="s">
        <v>59</v>
      </c>
      <c r="D4074" t="s">
        <v>347</v>
      </c>
      <c r="E4074" s="2">
        <v>11</v>
      </c>
      <c r="F4074" s="4">
        <v>9</v>
      </c>
      <c r="G4074" s="2">
        <v>99</v>
      </c>
      <c r="H4074" t="s">
        <v>45</v>
      </c>
      <c r="I4074" t="s">
        <v>16</v>
      </c>
      <c r="J4074" s="1">
        <v>45384</v>
      </c>
      <c r="K4074" t="b">
        <v>0</v>
      </c>
    </row>
    <row r="4075" spans="1:11" x14ac:dyDescent="0.25">
      <c r="A4075" t="s">
        <v>7476</v>
      </c>
      <c r="B4075" t="s">
        <v>51</v>
      </c>
      <c r="C4075" t="s">
        <v>59</v>
      </c>
      <c r="D4075" t="s">
        <v>347</v>
      </c>
      <c r="E4075" s="2">
        <v>11</v>
      </c>
      <c r="F4075" s="4">
        <v>9</v>
      </c>
      <c r="G4075" s="2">
        <v>99</v>
      </c>
      <c r="H4075" t="s">
        <v>15</v>
      </c>
      <c r="I4075" t="s">
        <v>36</v>
      </c>
      <c r="J4075" s="1">
        <v>45115</v>
      </c>
      <c r="K4075" t="b">
        <v>1</v>
      </c>
    </row>
    <row r="4076" spans="1:11" x14ac:dyDescent="0.25">
      <c r="A4076" t="s">
        <v>7060</v>
      </c>
      <c r="B4076" t="s">
        <v>100</v>
      </c>
      <c r="C4076" t="s">
        <v>110</v>
      </c>
      <c r="D4076" t="s">
        <v>118</v>
      </c>
      <c r="E4076" s="2">
        <v>11</v>
      </c>
      <c r="F4076" s="4">
        <v>9</v>
      </c>
      <c r="G4076" s="2">
        <v>99</v>
      </c>
      <c r="H4076" t="s">
        <v>45</v>
      </c>
      <c r="I4076" t="s">
        <v>16</v>
      </c>
      <c r="J4076" s="1">
        <v>44606</v>
      </c>
      <c r="K4076" t="b">
        <v>0</v>
      </c>
    </row>
    <row r="4077" spans="1:11" x14ac:dyDescent="0.25">
      <c r="A4077" t="s">
        <v>4052</v>
      </c>
      <c r="B4077" t="s">
        <v>34</v>
      </c>
      <c r="C4077" t="s">
        <v>31</v>
      </c>
      <c r="D4077" t="s">
        <v>318</v>
      </c>
      <c r="E4077" s="2">
        <v>11</v>
      </c>
      <c r="F4077" s="4">
        <v>9</v>
      </c>
      <c r="G4077" s="2">
        <v>99</v>
      </c>
      <c r="H4077" t="s">
        <v>15</v>
      </c>
      <c r="I4077" t="s">
        <v>36</v>
      </c>
      <c r="J4077" s="1">
        <v>45407</v>
      </c>
      <c r="K4077" t="b">
        <v>0</v>
      </c>
    </row>
    <row r="4078" spans="1:11" x14ac:dyDescent="0.25">
      <c r="A4078" t="s">
        <v>6047</v>
      </c>
      <c r="B4078" t="s">
        <v>37</v>
      </c>
      <c r="C4078" t="s">
        <v>59</v>
      </c>
      <c r="D4078" t="s">
        <v>347</v>
      </c>
      <c r="E4078" s="2">
        <v>11</v>
      </c>
      <c r="F4078" s="4">
        <v>9</v>
      </c>
      <c r="G4078" s="2">
        <v>99</v>
      </c>
      <c r="H4078" t="s">
        <v>45</v>
      </c>
      <c r="I4078" t="s">
        <v>16</v>
      </c>
      <c r="J4078" s="1">
        <v>44883</v>
      </c>
      <c r="K4078" t="b">
        <v>1</v>
      </c>
    </row>
    <row r="4079" spans="1:11" x14ac:dyDescent="0.25">
      <c r="A4079" t="s">
        <v>3035</v>
      </c>
      <c r="B4079" t="s">
        <v>104</v>
      </c>
      <c r="C4079" t="s">
        <v>38</v>
      </c>
      <c r="D4079" t="s">
        <v>193</v>
      </c>
      <c r="E4079" s="2">
        <v>11</v>
      </c>
      <c r="F4079" s="4">
        <v>9</v>
      </c>
      <c r="G4079" s="2">
        <v>99</v>
      </c>
      <c r="H4079" t="s">
        <v>15</v>
      </c>
      <c r="I4079" t="s">
        <v>16</v>
      </c>
      <c r="J4079" s="1">
        <v>45630</v>
      </c>
      <c r="K4079" t="b">
        <v>0</v>
      </c>
    </row>
    <row r="4080" spans="1:11" x14ac:dyDescent="0.25">
      <c r="A4080" t="s">
        <v>6306</v>
      </c>
      <c r="B4080" t="s">
        <v>51</v>
      </c>
      <c r="C4080" t="s">
        <v>110</v>
      </c>
      <c r="D4080" t="s">
        <v>118</v>
      </c>
      <c r="E4080" s="2">
        <v>11</v>
      </c>
      <c r="F4080" s="4">
        <v>9</v>
      </c>
      <c r="G4080" s="2">
        <v>99</v>
      </c>
      <c r="H4080" t="s">
        <v>25</v>
      </c>
      <c r="I4080" t="s">
        <v>16</v>
      </c>
      <c r="J4080" s="1">
        <v>45231</v>
      </c>
      <c r="K4080" t="b">
        <v>0</v>
      </c>
    </row>
    <row r="4081" spans="1:11" x14ac:dyDescent="0.25">
      <c r="A4081" t="s">
        <v>5346</v>
      </c>
      <c r="B4081" t="s">
        <v>72</v>
      </c>
      <c r="C4081" t="s">
        <v>38</v>
      </c>
      <c r="D4081" t="s">
        <v>193</v>
      </c>
      <c r="E4081" s="2">
        <v>11</v>
      </c>
      <c r="F4081" s="4">
        <v>9</v>
      </c>
      <c r="G4081" s="2">
        <v>99</v>
      </c>
      <c r="H4081" t="s">
        <v>45</v>
      </c>
      <c r="I4081" t="s">
        <v>36</v>
      </c>
      <c r="J4081" s="1">
        <v>44685</v>
      </c>
      <c r="K4081" t="b">
        <v>0</v>
      </c>
    </row>
    <row r="4082" spans="1:11" x14ac:dyDescent="0.25">
      <c r="A4082" t="s">
        <v>3154</v>
      </c>
      <c r="B4082" t="s">
        <v>86</v>
      </c>
      <c r="C4082" t="s">
        <v>38</v>
      </c>
      <c r="D4082" t="s">
        <v>193</v>
      </c>
      <c r="E4082" s="2">
        <v>11</v>
      </c>
      <c r="F4082" s="4">
        <v>9</v>
      </c>
      <c r="G4082" s="2">
        <v>99</v>
      </c>
      <c r="H4082" t="s">
        <v>45</v>
      </c>
      <c r="I4082" t="s">
        <v>36</v>
      </c>
      <c r="J4082" s="1">
        <v>44671</v>
      </c>
      <c r="K4082" t="b">
        <v>0</v>
      </c>
    </row>
    <row r="4083" spans="1:11" x14ac:dyDescent="0.25">
      <c r="A4083" t="s">
        <v>3764</v>
      </c>
      <c r="B4083" t="s">
        <v>30</v>
      </c>
      <c r="C4083" t="s">
        <v>23</v>
      </c>
      <c r="D4083" t="s">
        <v>410</v>
      </c>
      <c r="E4083" s="2">
        <v>11</v>
      </c>
      <c r="F4083" s="4">
        <v>9</v>
      </c>
      <c r="G4083" s="2">
        <v>99</v>
      </c>
      <c r="H4083" t="s">
        <v>15</v>
      </c>
      <c r="I4083" t="s">
        <v>36</v>
      </c>
      <c r="J4083" s="1">
        <v>45437</v>
      </c>
      <c r="K4083" t="b">
        <v>1</v>
      </c>
    </row>
    <row r="4084" spans="1:11" x14ac:dyDescent="0.25">
      <c r="A4084" t="s">
        <v>5309</v>
      </c>
      <c r="B4084" t="s">
        <v>34</v>
      </c>
      <c r="C4084" t="s">
        <v>110</v>
      </c>
      <c r="D4084" t="s">
        <v>118</v>
      </c>
      <c r="E4084" s="2">
        <v>11</v>
      </c>
      <c r="F4084" s="4">
        <v>9</v>
      </c>
      <c r="G4084" s="2">
        <v>99</v>
      </c>
      <c r="H4084" t="s">
        <v>15</v>
      </c>
      <c r="I4084" t="s">
        <v>16</v>
      </c>
      <c r="J4084" s="1">
        <v>45625</v>
      </c>
      <c r="K4084" t="b">
        <v>1</v>
      </c>
    </row>
    <row r="4085" spans="1:11" x14ac:dyDescent="0.25">
      <c r="A4085" t="s">
        <v>2358</v>
      </c>
      <c r="B4085" t="s">
        <v>40</v>
      </c>
      <c r="C4085" t="s">
        <v>59</v>
      </c>
      <c r="D4085" t="s">
        <v>347</v>
      </c>
      <c r="E4085" s="2">
        <v>11</v>
      </c>
      <c r="F4085" s="4">
        <v>9</v>
      </c>
      <c r="G4085" s="2">
        <v>99</v>
      </c>
      <c r="H4085" t="s">
        <v>15</v>
      </c>
      <c r="I4085" t="s">
        <v>36</v>
      </c>
      <c r="J4085" s="1">
        <v>44989</v>
      </c>
      <c r="K4085" t="b">
        <v>0</v>
      </c>
    </row>
    <row r="4086" spans="1:11" x14ac:dyDescent="0.25">
      <c r="A4086" t="s">
        <v>2382</v>
      </c>
      <c r="B4086" t="s">
        <v>104</v>
      </c>
      <c r="C4086" t="s">
        <v>38</v>
      </c>
      <c r="D4086" t="s">
        <v>193</v>
      </c>
      <c r="E4086" s="2">
        <v>11</v>
      </c>
      <c r="F4086" s="4">
        <v>9</v>
      </c>
      <c r="G4086" s="2">
        <v>99</v>
      </c>
      <c r="H4086" t="s">
        <v>25</v>
      </c>
      <c r="I4086" t="s">
        <v>36</v>
      </c>
      <c r="J4086" s="1">
        <v>45533</v>
      </c>
      <c r="K4086" t="b">
        <v>0</v>
      </c>
    </row>
    <row r="4087" spans="1:11" x14ac:dyDescent="0.25">
      <c r="A4087" t="s">
        <v>5397</v>
      </c>
      <c r="B4087" t="s">
        <v>61</v>
      </c>
      <c r="C4087" t="s">
        <v>31</v>
      </c>
      <c r="D4087" t="s">
        <v>318</v>
      </c>
      <c r="E4087" s="2">
        <v>11</v>
      </c>
      <c r="F4087" s="4">
        <v>9</v>
      </c>
      <c r="G4087" s="2">
        <v>99</v>
      </c>
      <c r="H4087" t="s">
        <v>45</v>
      </c>
      <c r="I4087" t="s">
        <v>36</v>
      </c>
      <c r="J4087" s="1">
        <v>45043</v>
      </c>
      <c r="K4087" t="b">
        <v>0</v>
      </c>
    </row>
    <row r="4088" spans="1:11" x14ac:dyDescent="0.25">
      <c r="A4088" t="s">
        <v>5237</v>
      </c>
      <c r="B4088" t="s">
        <v>63</v>
      </c>
      <c r="C4088" t="s">
        <v>110</v>
      </c>
      <c r="D4088" t="s">
        <v>118</v>
      </c>
      <c r="E4088" s="2">
        <v>11</v>
      </c>
      <c r="F4088" s="4">
        <v>9</v>
      </c>
      <c r="G4088" s="2">
        <v>99</v>
      </c>
      <c r="H4088" t="s">
        <v>15</v>
      </c>
      <c r="I4088" t="s">
        <v>16</v>
      </c>
      <c r="J4088" s="1">
        <v>45635</v>
      </c>
      <c r="K4088" t="b">
        <v>1</v>
      </c>
    </row>
    <row r="4089" spans="1:11" x14ac:dyDescent="0.25">
      <c r="A4089" t="s">
        <v>4711</v>
      </c>
      <c r="B4089" t="s">
        <v>97</v>
      </c>
      <c r="C4089" t="s">
        <v>110</v>
      </c>
      <c r="D4089" t="s">
        <v>118</v>
      </c>
      <c r="E4089" s="2">
        <v>11</v>
      </c>
      <c r="F4089" s="4">
        <v>9</v>
      </c>
      <c r="G4089" s="2">
        <v>99</v>
      </c>
      <c r="H4089" t="s">
        <v>15</v>
      </c>
      <c r="I4089" t="s">
        <v>36</v>
      </c>
      <c r="J4089" s="1">
        <v>44940</v>
      </c>
      <c r="K4089" t="b">
        <v>1</v>
      </c>
    </row>
    <row r="4090" spans="1:11" x14ac:dyDescent="0.25">
      <c r="A4090" t="s">
        <v>4752</v>
      </c>
      <c r="B4090" t="s">
        <v>40</v>
      </c>
      <c r="C4090" t="s">
        <v>110</v>
      </c>
      <c r="D4090" t="s">
        <v>118</v>
      </c>
      <c r="E4090" s="2">
        <v>11</v>
      </c>
      <c r="F4090" s="4">
        <v>9</v>
      </c>
      <c r="G4090" s="2">
        <v>99</v>
      </c>
      <c r="H4090" t="s">
        <v>25</v>
      </c>
      <c r="I4090" t="s">
        <v>36</v>
      </c>
      <c r="J4090" s="1">
        <v>44708</v>
      </c>
      <c r="K4090" t="b">
        <v>0</v>
      </c>
    </row>
    <row r="4091" spans="1:11" x14ac:dyDescent="0.25">
      <c r="A4091" t="s">
        <v>3726</v>
      </c>
      <c r="B4091" t="s">
        <v>56</v>
      </c>
      <c r="C4091" t="s">
        <v>31</v>
      </c>
      <c r="D4091" t="s">
        <v>318</v>
      </c>
      <c r="E4091" s="2">
        <v>11</v>
      </c>
      <c r="F4091" s="4">
        <v>9</v>
      </c>
      <c r="G4091" s="2">
        <v>99</v>
      </c>
      <c r="H4091" t="s">
        <v>25</v>
      </c>
      <c r="I4091" t="s">
        <v>16</v>
      </c>
      <c r="J4091" s="1">
        <v>44606</v>
      </c>
      <c r="K4091" t="b">
        <v>0</v>
      </c>
    </row>
    <row r="4092" spans="1:11" x14ac:dyDescent="0.25">
      <c r="A4092" t="s">
        <v>7032</v>
      </c>
      <c r="B4092" t="s">
        <v>26</v>
      </c>
      <c r="C4092" t="s">
        <v>110</v>
      </c>
      <c r="D4092" t="s">
        <v>118</v>
      </c>
      <c r="E4092" s="2">
        <v>11</v>
      </c>
      <c r="F4092" s="4">
        <v>9</v>
      </c>
      <c r="G4092" s="2">
        <v>99</v>
      </c>
      <c r="H4092" t="s">
        <v>25</v>
      </c>
      <c r="I4092" t="s">
        <v>16</v>
      </c>
      <c r="J4092" s="1">
        <v>44705</v>
      </c>
      <c r="K4092" t="b">
        <v>1</v>
      </c>
    </row>
    <row r="4093" spans="1:11" x14ac:dyDescent="0.25">
      <c r="A4093" t="s">
        <v>6146</v>
      </c>
      <c r="B4093" t="s">
        <v>34</v>
      </c>
      <c r="C4093" t="s">
        <v>59</v>
      </c>
      <c r="D4093" t="s">
        <v>347</v>
      </c>
      <c r="E4093" s="2">
        <v>11</v>
      </c>
      <c r="F4093" s="4">
        <v>9</v>
      </c>
      <c r="G4093" s="2">
        <v>99</v>
      </c>
      <c r="H4093" t="s">
        <v>25</v>
      </c>
      <c r="I4093" t="s">
        <v>36</v>
      </c>
      <c r="J4093" s="1">
        <v>44902</v>
      </c>
      <c r="K4093" t="b">
        <v>0</v>
      </c>
    </row>
    <row r="4094" spans="1:11" x14ac:dyDescent="0.25">
      <c r="A4094" t="s">
        <v>4280</v>
      </c>
      <c r="B4094" t="s">
        <v>93</v>
      </c>
      <c r="C4094" t="s">
        <v>110</v>
      </c>
      <c r="D4094" t="s">
        <v>118</v>
      </c>
      <c r="E4094" s="2">
        <v>11</v>
      </c>
      <c r="F4094" s="4">
        <v>9</v>
      </c>
      <c r="G4094" s="2">
        <v>99</v>
      </c>
      <c r="H4094" t="s">
        <v>45</v>
      </c>
      <c r="I4094" t="s">
        <v>16</v>
      </c>
      <c r="J4094" s="1">
        <v>44633</v>
      </c>
      <c r="K4094" t="b">
        <v>1</v>
      </c>
    </row>
    <row r="4095" spans="1:11" x14ac:dyDescent="0.25">
      <c r="A4095" t="s">
        <v>6390</v>
      </c>
      <c r="B4095" t="s">
        <v>69</v>
      </c>
      <c r="C4095" t="s">
        <v>38</v>
      </c>
      <c r="D4095" t="s">
        <v>193</v>
      </c>
      <c r="E4095" s="2">
        <v>11</v>
      </c>
      <c r="F4095" s="4">
        <v>9</v>
      </c>
      <c r="G4095" s="2">
        <v>99</v>
      </c>
      <c r="H4095" t="s">
        <v>45</v>
      </c>
      <c r="I4095" t="s">
        <v>16</v>
      </c>
      <c r="J4095" s="1">
        <v>44792</v>
      </c>
      <c r="K4095" t="b">
        <v>1</v>
      </c>
    </row>
    <row r="4096" spans="1:11" x14ac:dyDescent="0.25">
      <c r="A4096" t="s">
        <v>2279</v>
      </c>
      <c r="B4096" t="s">
        <v>56</v>
      </c>
      <c r="C4096" t="s">
        <v>38</v>
      </c>
      <c r="D4096" t="s">
        <v>193</v>
      </c>
      <c r="E4096" s="2">
        <v>11</v>
      </c>
      <c r="F4096" s="4">
        <v>9</v>
      </c>
      <c r="G4096" s="2">
        <v>99</v>
      </c>
      <c r="H4096" t="s">
        <v>15</v>
      </c>
      <c r="I4096" t="s">
        <v>16</v>
      </c>
      <c r="J4096" s="1">
        <v>45337</v>
      </c>
      <c r="K4096" t="b">
        <v>1</v>
      </c>
    </row>
    <row r="4097" spans="1:11" x14ac:dyDescent="0.25">
      <c r="A4097" t="s">
        <v>7186</v>
      </c>
      <c r="B4097" t="s">
        <v>97</v>
      </c>
      <c r="C4097" t="s">
        <v>38</v>
      </c>
      <c r="D4097" t="s">
        <v>193</v>
      </c>
      <c r="E4097" s="2">
        <v>11</v>
      </c>
      <c r="F4097" s="4">
        <v>9</v>
      </c>
      <c r="G4097" s="2">
        <v>99</v>
      </c>
      <c r="H4097" t="s">
        <v>25</v>
      </c>
      <c r="I4097" t="s">
        <v>16</v>
      </c>
      <c r="J4097" s="1">
        <v>44898</v>
      </c>
      <c r="K4097" t="b">
        <v>0</v>
      </c>
    </row>
    <row r="4098" spans="1:11" x14ac:dyDescent="0.25">
      <c r="A4098" t="s">
        <v>650</v>
      </c>
      <c r="B4098" t="s">
        <v>22</v>
      </c>
      <c r="C4098" t="s">
        <v>31</v>
      </c>
      <c r="D4098" t="s">
        <v>318</v>
      </c>
      <c r="E4098" s="2">
        <v>11</v>
      </c>
      <c r="F4098" s="4">
        <v>9</v>
      </c>
      <c r="G4098" s="2">
        <v>99</v>
      </c>
      <c r="H4098" t="s">
        <v>15</v>
      </c>
      <c r="I4098" t="s">
        <v>36</v>
      </c>
      <c r="J4098" s="1">
        <v>45627</v>
      </c>
      <c r="K4098" t="b">
        <v>1</v>
      </c>
    </row>
    <row r="4099" spans="1:11" x14ac:dyDescent="0.25">
      <c r="A4099" t="s">
        <v>5104</v>
      </c>
      <c r="B4099" t="s">
        <v>97</v>
      </c>
      <c r="C4099" t="s">
        <v>31</v>
      </c>
      <c r="D4099" t="s">
        <v>318</v>
      </c>
      <c r="E4099" s="2">
        <v>11</v>
      </c>
      <c r="F4099" s="4">
        <v>9</v>
      </c>
      <c r="G4099" s="2">
        <v>99</v>
      </c>
      <c r="H4099" t="s">
        <v>15</v>
      </c>
      <c r="I4099" t="s">
        <v>16</v>
      </c>
      <c r="J4099" s="1">
        <v>45666</v>
      </c>
      <c r="K4099" t="b">
        <v>0</v>
      </c>
    </row>
    <row r="4100" spans="1:11" x14ac:dyDescent="0.25">
      <c r="A4100" t="s">
        <v>6362</v>
      </c>
      <c r="B4100" t="s">
        <v>56</v>
      </c>
      <c r="C4100" t="s">
        <v>13</v>
      </c>
      <c r="D4100" t="s">
        <v>471</v>
      </c>
      <c r="E4100" s="2">
        <v>11</v>
      </c>
      <c r="F4100" s="4">
        <v>9</v>
      </c>
      <c r="G4100" s="2">
        <v>99</v>
      </c>
      <c r="H4100" t="s">
        <v>25</v>
      </c>
      <c r="I4100" t="s">
        <v>36</v>
      </c>
      <c r="J4100" s="1">
        <v>45157</v>
      </c>
      <c r="K4100" t="b">
        <v>1</v>
      </c>
    </row>
    <row r="4101" spans="1:11" x14ac:dyDescent="0.25">
      <c r="A4101" t="s">
        <v>5422</v>
      </c>
      <c r="B4101" t="s">
        <v>43</v>
      </c>
      <c r="C4101" t="s">
        <v>23</v>
      </c>
      <c r="D4101" t="s">
        <v>410</v>
      </c>
      <c r="E4101" s="2">
        <v>11</v>
      </c>
      <c r="F4101" s="4">
        <v>9</v>
      </c>
      <c r="G4101" s="2">
        <v>99</v>
      </c>
      <c r="H4101" t="s">
        <v>15</v>
      </c>
      <c r="I4101" t="s">
        <v>36</v>
      </c>
      <c r="J4101" s="1">
        <v>45502</v>
      </c>
      <c r="K4101" t="b">
        <v>1</v>
      </c>
    </row>
    <row r="4102" spans="1:11" x14ac:dyDescent="0.25">
      <c r="A4102" t="s">
        <v>6528</v>
      </c>
      <c r="B4102" t="s">
        <v>58</v>
      </c>
      <c r="C4102" t="s">
        <v>38</v>
      </c>
      <c r="D4102" t="s">
        <v>193</v>
      </c>
      <c r="E4102" s="2">
        <v>11</v>
      </c>
      <c r="F4102" s="4">
        <v>9</v>
      </c>
      <c r="G4102" s="2">
        <v>99</v>
      </c>
      <c r="H4102" t="s">
        <v>25</v>
      </c>
      <c r="I4102" t="s">
        <v>36</v>
      </c>
      <c r="J4102" s="1">
        <v>44711</v>
      </c>
      <c r="K4102" t="b">
        <v>0</v>
      </c>
    </row>
    <row r="4103" spans="1:11" x14ac:dyDescent="0.25">
      <c r="A4103" t="s">
        <v>4777</v>
      </c>
      <c r="B4103" t="s">
        <v>43</v>
      </c>
      <c r="C4103" t="s">
        <v>110</v>
      </c>
      <c r="D4103" t="s">
        <v>118</v>
      </c>
      <c r="E4103" s="2">
        <v>11</v>
      </c>
      <c r="F4103" s="4">
        <v>9</v>
      </c>
      <c r="G4103" s="2">
        <v>99</v>
      </c>
      <c r="H4103" t="s">
        <v>15</v>
      </c>
      <c r="I4103" t="s">
        <v>16</v>
      </c>
      <c r="J4103" s="1">
        <v>44922</v>
      </c>
      <c r="K4103" t="b">
        <v>0</v>
      </c>
    </row>
    <row r="4104" spans="1:11" x14ac:dyDescent="0.25">
      <c r="A4104" t="s">
        <v>2617</v>
      </c>
      <c r="B4104" t="s">
        <v>34</v>
      </c>
      <c r="C4104" t="s">
        <v>110</v>
      </c>
      <c r="D4104" t="s">
        <v>253</v>
      </c>
      <c r="E4104" s="2">
        <v>24.5</v>
      </c>
      <c r="F4104" s="4">
        <v>4</v>
      </c>
      <c r="G4104" s="2">
        <v>98</v>
      </c>
      <c r="H4104" t="s">
        <v>15</v>
      </c>
      <c r="I4104" t="s">
        <v>36</v>
      </c>
      <c r="J4104" s="1">
        <v>45176</v>
      </c>
      <c r="K4104" t="b">
        <v>1</v>
      </c>
    </row>
    <row r="4105" spans="1:11" x14ac:dyDescent="0.25">
      <c r="A4105" t="s">
        <v>3153</v>
      </c>
      <c r="B4105" t="s">
        <v>22</v>
      </c>
      <c r="C4105" t="s">
        <v>27</v>
      </c>
      <c r="D4105" t="s">
        <v>170</v>
      </c>
      <c r="E4105" s="2">
        <v>24.5</v>
      </c>
      <c r="F4105" s="4">
        <v>4</v>
      </c>
      <c r="G4105" s="2">
        <v>98</v>
      </c>
      <c r="H4105" t="s">
        <v>25</v>
      </c>
      <c r="I4105" t="s">
        <v>16</v>
      </c>
      <c r="J4105" s="1">
        <v>44903</v>
      </c>
      <c r="K4105" t="b">
        <v>1</v>
      </c>
    </row>
    <row r="4106" spans="1:11" x14ac:dyDescent="0.25">
      <c r="A4106" t="s">
        <v>3584</v>
      </c>
      <c r="B4106" t="s">
        <v>97</v>
      </c>
      <c r="C4106" t="s">
        <v>27</v>
      </c>
      <c r="D4106" t="s">
        <v>62</v>
      </c>
      <c r="E4106" s="2">
        <v>14</v>
      </c>
      <c r="F4106" s="4">
        <v>7</v>
      </c>
      <c r="G4106" s="2">
        <v>98</v>
      </c>
      <c r="H4106" t="s">
        <v>25</v>
      </c>
      <c r="I4106" t="s">
        <v>16</v>
      </c>
      <c r="J4106" s="1">
        <v>45072</v>
      </c>
      <c r="K4106" t="b">
        <v>1</v>
      </c>
    </row>
    <row r="4107" spans="1:11" x14ac:dyDescent="0.25">
      <c r="A4107" t="s">
        <v>2631</v>
      </c>
      <c r="B4107" t="s">
        <v>85</v>
      </c>
      <c r="C4107" t="s">
        <v>31</v>
      </c>
      <c r="D4107" t="s">
        <v>78</v>
      </c>
      <c r="E4107" s="2">
        <v>24.5</v>
      </c>
      <c r="F4107" s="4">
        <v>4</v>
      </c>
      <c r="G4107" s="2">
        <v>98</v>
      </c>
      <c r="H4107" t="s">
        <v>45</v>
      </c>
      <c r="I4107" t="s">
        <v>36</v>
      </c>
      <c r="J4107" s="1">
        <v>44995</v>
      </c>
      <c r="K4107" t="b">
        <v>0</v>
      </c>
    </row>
    <row r="4108" spans="1:11" x14ac:dyDescent="0.25">
      <c r="A4108" t="s">
        <v>5322</v>
      </c>
      <c r="B4108" t="s">
        <v>43</v>
      </c>
      <c r="C4108" t="s">
        <v>110</v>
      </c>
      <c r="D4108" t="s">
        <v>253</v>
      </c>
      <c r="E4108" s="2">
        <v>24.5</v>
      </c>
      <c r="F4108" s="4">
        <v>4</v>
      </c>
      <c r="G4108" s="2">
        <v>98</v>
      </c>
      <c r="H4108" t="s">
        <v>45</v>
      </c>
      <c r="I4108" t="s">
        <v>16</v>
      </c>
      <c r="J4108" s="1">
        <v>45176</v>
      </c>
      <c r="K4108" t="b">
        <v>1</v>
      </c>
    </row>
    <row r="4109" spans="1:11" x14ac:dyDescent="0.25">
      <c r="A4109" t="s">
        <v>2164</v>
      </c>
      <c r="B4109" t="s">
        <v>77</v>
      </c>
      <c r="C4109" t="s">
        <v>27</v>
      </c>
      <c r="D4109" t="s">
        <v>62</v>
      </c>
      <c r="E4109" s="2">
        <v>14</v>
      </c>
      <c r="F4109" s="4">
        <v>7</v>
      </c>
      <c r="G4109" s="2">
        <v>98</v>
      </c>
      <c r="H4109" t="s">
        <v>25</v>
      </c>
      <c r="I4109" t="s">
        <v>16</v>
      </c>
      <c r="J4109" s="1">
        <v>44756</v>
      </c>
      <c r="K4109" t="b">
        <v>1</v>
      </c>
    </row>
    <row r="4110" spans="1:11" x14ac:dyDescent="0.25">
      <c r="A4110" t="s">
        <v>2188</v>
      </c>
      <c r="B4110" t="s">
        <v>100</v>
      </c>
      <c r="C4110" t="s">
        <v>19</v>
      </c>
      <c r="D4110" t="s">
        <v>756</v>
      </c>
      <c r="E4110" s="2">
        <v>14</v>
      </c>
      <c r="F4110" s="4">
        <v>7</v>
      </c>
      <c r="G4110" s="2">
        <v>98</v>
      </c>
      <c r="H4110" t="s">
        <v>25</v>
      </c>
      <c r="I4110" t="s">
        <v>36</v>
      </c>
      <c r="J4110" s="1">
        <v>44884</v>
      </c>
      <c r="K4110" t="b">
        <v>1</v>
      </c>
    </row>
    <row r="4111" spans="1:11" x14ac:dyDescent="0.25">
      <c r="A4111" t="s">
        <v>4994</v>
      </c>
      <c r="B4111" t="s">
        <v>37</v>
      </c>
      <c r="C4111" t="s">
        <v>23</v>
      </c>
      <c r="D4111" t="s">
        <v>277</v>
      </c>
      <c r="E4111" s="2">
        <v>14</v>
      </c>
      <c r="F4111" s="4">
        <v>7</v>
      </c>
      <c r="G4111" s="2">
        <v>98</v>
      </c>
      <c r="H4111" t="s">
        <v>15</v>
      </c>
      <c r="I4111" t="s">
        <v>36</v>
      </c>
      <c r="J4111" s="1">
        <v>45619</v>
      </c>
      <c r="K4111" t="b">
        <v>1</v>
      </c>
    </row>
    <row r="4112" spans="1:11" x14ac:dyDescent="0.25">
      <c r="A4112" t="s">
        <v>6525</v>
      </c>
      <c r="B4112" t="s">
        <v>12</v>
      </c>
      <c r="C4112" t="s">
        <v>110</v>
      </c>
      <c r="D4112" t="s">
        <v>176</v>
      </c>
      <c r="E4112" s="2">
        <v>14</v>
      </c>
      <c r="F4112" s="4">
        <v>7</v>
      </c>
      <c r="G4112" s="2">
        <v>98</v>
      </c>
      <c r="H4112" t="s">
        <v>45</v>
      </c>
      <c r="I4112" t="s">
        <v>36</v>
      </c>
      <c r="J4112" s="1">
        <v>45376</v>
      </c>
      <c r="K4112" t="b">
        <v>0</v>
      </c>
    </row>
    <row r="4113" spans="1:11" x14ac:dyDescent="0.25">
      <c r="A4113" t="s">
        <v>4598</v>
      </c>
      <c r="B4113" t="s">
        <v>51</v>
      </c>
      <c r="C4113" t="s">
        <v>110</v>
      </c>
      <c r="D4113" t="s">
        <v>253</v>
      </c>
      <c r="E4113" s="2">
        <v>24.5</v>
      </c>
      <c r="F4113" s="4">
        <v>4</v>
      </c>
      <c r="G4113" s="2">
        <v>98</v>
      </c>
      <c r="H4113" t="s">
        <v>45</v>
      </c>
      <c r="I4113" t="s">
        <v>36</v>
      </c>
      <c r="J4113" s="1">
        <v>45399</v>
      </c>
      <c r="K4113" t="b">
        <v>0</v>
      </c>
    </row>
    <row r="4114" spans="1:11" x14ac:dyDescent="0.25">
      <c r="A4114" t="s">
        <v>2109</v>
      </c>
      <c r="B4114" t="s">
        <v>26</v>
      </c>
      <c r="C4114" t="s">
        <v>110</v>
      </c>
      <c r="D4114" t="s">
        <v>253</v>
      </c>
      <c r="E4114" s="2">
        <v>24.5</v>
      </c>
      <c r="F4114" s="4">
        <v>4</v>
      </c>
      <c r="G4114" s="2">
        <v>98</v>
      </c>
      <c r="H4114" t="s">
        <v>45</v>
      </c>
      <c r="I4114" t="s">
        <v>36</v>
      </c>
      <c r="J4114" s="1">
        <v>45088</v>
      </c>
      <c r="K4114" t="b">
        <v>1</v>
      </c>
    </row>
    <row r="4115" spans="1:11" x14ac:dyDescent="0.25">
      <c r="A4115" t="s">
        <v>5813</v>
      </c>
      <c r="B4115" t="s">
        <v>26</v>
      </c>
      <c r="C4115" t="s">
        <v>27</v>
      </c>
      <c r="D4115" t="s">
        <v>170</v>
      </c>
      <c r="E4115" s="2">
        <v>24.5</v>
      </c>
      <c r="F4115" s="4">
        <v>4</v>
      </c>
      <c r="G4115" s="2">
        <v>98</v>
      </c>
      <c r="H4115" t="s">
        <v>15</v>
      </c>
      <c r="I4115" t="s">
        <v>36</v>
      </c>
      <c r="J4115" s="1">
        <v>44712</v>
      </c>
      <c r="K4115" t="b">
        <v>1</v>
      </c>
    </row>
    <row r="4116" spans="1:11" x14ac:dyDescent="0.25">
      <c r="A4116" t="s">
        <v>2337</v>
      </c>
      <c r="B4116" t="s">
        <v>66</v>
      </c>
      <c r="C4116" t="s">
        <v>27</v>
      </c>
      <c r="D4116" t="s">
        <v>170</v>
      </c>
      <c r="E4116" s="2">
        <v>24.5</v>
      </c>
      <c r="F4116" s="4">
        <v>4</v>
      </c>
      <c r="G4116" s="2">
        <v>98</v>
      </c>
      <c r="H4116" t="s">
        <v>15</v>
      </c>
      <c r="I4116" t="s">
        <v>16</v>
      </c>
      <c r="J4116" s="1">
        <v>44674</v>
      </c>
      <c r="K4116" t="b">
        <v>0</v>
      </c>
    </row>
    <row r="4117" spans="1:11" x14ac:dyDescent="0.25">
      <c r="A4117" t="s">
        <v>5116</v>
      </c>
      <c r="B4117" t="s">
        <v>93</v>
      </c>
      <c r="C4117" t="s">
        <v>13</v>
      </c>
      <c r="D4117" t="s">
        <v>139</v>
      </c>
      <c r="E4117" s="2">
        <v>24.5</v>
      </c>
      <c r="F4117" s="4">
        <v>4</v>
      </c>
      <c r="G4117" s="2">
        <v>98</v>
      </c>
      <c r="H4117" t="s">
        <v>45</v>
      </c>
      <c r="I4117" t="s">
        <v>16</v>
      </c>
      <c r="J4117" s="1">
        <v>44637</v>
      </c>
      <c r="K4117" t="b">
        <v>0</v>
      </c>
    </row>
    <row r="4118" spans="1:11" x14ac:dyDescent="0.25">
      <c r="A4118" t="s">
        <v>2891</v>
      </c>
      <c r="B4118" t="s">
        <v>100</v>
      </c>
      <c r="C4118" t="s">
        <v>38</v>
      </c>
      <c r="D4118" t="s">
        <v>123</v>
      </c>
      <c r="E4118" s="2">
        <v>14</v>
      </c>
      <c r="F4118" s="4">
        <v>7</v>
      </c>
      <c r="G4118" s="2">
        <v>98</v>
      </c>
      <c r="H4118" t="s">
        <v>45</v>
      </c>
      <c r="I4118" t="s">
        <v>16</v>
      </c>
      <c r="J4118" s="1">
        <v>44686</v>
      </c>
      <c r="K4118" t="b">
        <v>0</v>
      </c>
    </row>
    <row r="4119" spans="1:11" x14ac:dyDescent="0.25">
      <c r="A4119" t="s">
        <v>4384</v>
      </c>
      <c r="B4119" t="s">
        <v>26</v>
      </c>
      <c r="C4119" t="s">
        <v>23</v>
      </c>
      <c r="D4119" t="s">
        <v>430</v>
      </c>
      <c r="E4119" s="2">
        <v>24.5</v>
      </c>
      <c r="F4119" s="4">
        <v>4</v>
      </c>
      <c r="G4119" s="2">
        <v>98</v>
      </c>
      <c r="H4119" t="s">
        <v>45</v>
      </c>
      <c r="I4119" t="s">
        <v>16</v>
      </c>
      <c r="J4119" s="1">
        <v>45609</v>
      </c>
      <c r="K4119" t="b">
        <v>1</v>
      </c>
    </row>
    <row r="4120" spans="1:11" x14ac:dyDescent="0.25">
      <c r="A4120" t="s">
        <v>543</v>
      </c>
      <c r="B4120" t="s">
        <v>40</v>
      </c>
      <c r="C4120" t="s">
        <v>110</v>
      </c>
      <c r="D4120" t="s">
        <v>176</v>
      </c>
      <c r="E4120" s="2">
        <v>14</v>
      </c>
      <c r="F4120" s="4">
        <v>7</v>
      </c>
      <c r="G4120" s="2">
        <v>98</v>
      </c>
      <c r="H4120" t="s">
        <v>45</v>
      </c>
      <c r="I4120" t="s">
        <v>36</v>
      </c>
      <c r="J4120" s="1">
        <v>45479</v>
      </c>
      <c r="K4120" t="b">
        <v>0</v>
      </c>
    </row>
    <row r="4121" spans="1:11" x14ac:dyDescent="0.25">
      <c r="A4121" t="s">
        <v>5366</v>
      </c>
      <c r="B4121" t="s">
        <v>69</v>
      </c>
      <c r="C4121" t="s">
        <v>38</v>
      </c>
      <c r="D4121" t="s">
        <v>123</v>
      </c>
      <c r="E4121" s="2">
        <v>14</v>
      </c>
      <c r="F4121" s="4">
        <v>7</v>
      </c>
      <c r="G4121" s="2">
        <v>98</v>
      </c>
      <c r="H4121" t="s">
        <v>15</v>
      </c>
      <c r="I4121" t="s">
        <v>36</v>
      </c>
      <c r="J4121" s="1">
        <v>45017</v>
      </c>
      <c r="K4121" t="b">
        <v>1</v>
      </c>
    </row>
    <row r="4122" spans="1:11" x14ac:dyDescent="0.25">
      <c r="A4122" t="s">
        <v>5734</v>
      </c>
      <c r="B4122" t="s">
        <v>51</v>
      </c>
      <c r="C4122" t="s">
        <v>13</v>
      </c>
      <c r="D4122" t="s">
        <v>139</v>
      </c>
      <c r="E4122" s="2">
        <v>24.5</v>
      </c>
      <c r="F4122" s="4">
        <v>4</v>
      </c>
      <c r="G4122" s="2">
        <v>98</v>
      </c>
      <c r="H4122" t="s">
        <v>25</v>
      </c>
      <c r="I4122" t="s">
        <v>16</v>
      </c>
      <c r="J4122" s="1">
        <v>45650</v>
      </c>
      <c r="K4122" t="b">
        <v>0</v>
      </c>
    </row>
    <row r="4123" spans="1:11" x14ac:dyDescent="0.25">
      <c r="A4123" t="s">
        <v>3074</v>
      </c>
      <c r="B4123" t="s">
        <v>100</v>
      </c>
      <c r="C4123" t="s">
        <v>19</v>
      </c>
      <c r="D4123" t="s">
        <v>756</v>
      </c>
      <c r="E4123" s="2">
        <v>14</v>
      </c>
      <c r="F4123" s="4">
        <v>7</v>
      </c>
      <c r="G4123" s="2">
        <v>98</v>
      </c>
      <c r="H4123" t="s">
        <v>25</v>
      </c>
      <c r="I4123" t="s">
        <v>36</v>
      </c>
      <c r="J4123" s="1">
        <v>45374</v>
      </c>
      <c r="K4123" t="b">
        <v>0</v>
      </c>
    </row>
    <row r="4124" spans="1:11" x14ac:dyDescent="0.25">
      <c r="A4124" t="s">
        <v>5974</v>
      </c>
      <c r="B4124" t="s">
        <v>22</v>
      </c>
      <c r="C4124" t="s">
        <v>31</v>
      </c>
      <c r="D4124" t="s">
        <v>78</v>
      </c>
      <c r="E4124" s="2">
        <v>24.5</v>
      </c>
      <c r="F4124" s="4">
        <v>4</v>
      </c>
      <c r="G4124" s="2">
        <v>98</v>
      </c>
      <c r="H4124" t="s">
        <v>15</v>
      </c>
      <c r="I4124" t="s">
        <v>16</v>
      </c>
      <c r="J4124" s="1">
        <v>44638</v>
      </c>
      <c r="K4124" t="b">
        <v>0</v>
      </c>
    </row>
    <row r="4125" spans="1:11" x14ac:dyDescent="0.25">
      <c r="A4125" t="s">
        <v>3505</v>
      </c>
      <c r="B4125" t="s">
        <v>93</v>
      </c>
      <c r="C4125" t="s">
        <v>19</v>
      </c>
      <c r="D4125" t="s">
        <v>756</v>
      </c>
      <c r="E4125" s="2">
        <v>14</v>
      </c>
      <c r="F4125" s="4">
        <v>7</v>
      </c>
      <c r="G4125" s="2">
        <v>98</v>
      </c>
      <c r="H4125" t="s">
        <v>45</v>
      </c>
      <c r="I4125" t="s">
        <v>36</v>
      </c>
      <c r="J4125" s="1">
        <v>44953</v>
      </c>
      <c r="K4125" t="b">
        <v>1</v>
      </c>
    </row>
    <row r="4126" spans="1:11" x14ac:dyDescent="0.25">
      <c r="A4126" t="s">
        <v>3114</v>
      </c>
      <c r="B4126" t="s">
        <v>86</v>
      </c>
      <c r="C4126" t="s">
        <v>13</v>
      </c>
      <c r="D4126" t="s">
        <v>151</v>
      </c>
      <c r="E4126" s="2">
        <v>14</v>
      </c>
      <c r="F4126" s="4">
        <v>7</v>
      </c>
      <c r="G4126" s="2">
        <v>98</v>
      </c>
      <c r="H4126" t="s">
        <v>25</v>
      </c>
      <c r="I4126" t="s">
        <v>36</v>
      </c>
      <c r="J4126" s="1">
        <v>44622</v>
      </c>
      <c r="K4126" t="b">
        <v>1</v>
      </c>
    </row>
    <row r="4127" spans="1:11" x14ac:dyDescent="0.25">
      <c r="A4127" t="s">
        <v>7463</v>
      </c>
      <c r="B4127" t="s">
        <v>77</v>
      </c>
      <c r="C4127" t="s">
        <v>13</v>
      </c>
      <c r="D4127" t="s">
        <v>139</v>
      </c>
      <c r="E4127" s="2">
        <v>24.5</v>
      </c>
      <c r="F4127" s="4">
        <v>4</v>
      </c>
      <c r="G4127" s="2">
        <v>98</v>
      </c>
      <c r="H4127" t="s">
        <v>15</v>
      </c>
      <c r="I4127" t="s">
        <v>16</v>
      </c>
      <c r="J4127" s="1">
        <v>44762</v>
      </c>
      <c r="K4127" t="b">
        <v>0</v>
      </c>
    </row>
    <row r="4128" spans="1:11" x14ac:dyDescent="0.25">
      <c r="A4128" t="s">
        <v>857</v>
      </c>
      <c r="B4128" t="s">
        <v>100</v>
      </c>
      <c r="C4128" t="s">
        <v>38</v>
      </c>
      <c r="D4128" t="s">
        <v>123</v>
      </c>
      <c r="E4128" s="2">
        <v>14</v>
      </c>
      <c r="F4128" s="4">
        <v>7</v>
      </c>
      <c r="G4128" s="2">
        <v>98</v>
      </c>
      <c r="H4128" t="s">
        <v>25</v>
      </c>
      <c r="I4128" t="s">
        <v>36</v>
      </c>
      <c r="J4128" s="1">
        <v>45430</v>
      </c>
      <c r="K4128" t="b">
        <v>1</v>
      </c>
    </row>
    <row r="4129" spans="1:11" x14ac:dyDescent="0.25">
      <c r="A4129" t="s">
        <v>3193</v>
      </c>
      <c r="B4129" t="s">
        <v>40</v>
      </c>
      <c r="C4129" t="s">
        <v>31</v>
      </c>
      <c r="D4129" t="s">
        <v>162</v>
      </c>
      <c r="E4129" s="2">
        <v>14</v>
      </c>
      <c r="F4129" s="4">
        <v>7</v>
      </c>
      <c r="G4129" s="2">
        <v>98</v>
      </c>
      <c r="H4129" t="s">
        <v>45</v>
      </c>
      <c r="I4129" t="s">
        <v>36</v>
      </c>
      <c r="J4129" s="1">
        <v>45073</v>
      </c>
      <c r="K4129" t="b">
        <v>0</v>
      </c>
    </row>
    <row r="4130" spans="1:11" x14ac:dyDescent="0.25">
      <c r="A4130" t="s">
        <v>2784</v>
      </c>
      <c r="B4130" t="s">
        <v>69</v>
      </c>
      <c r="C4130" t="s">
        <v>38</v>
      </c>
      <c r="D4130" t="s">
        <v>70</v>
      </c>
      <c r="E4130" s="2">
        <v>24.5</v>
      </c>
      <c r="F4130" s="4">
        <v>4</v>
      </c>
      <c r="G4130" s="2">
        <v>98</v>
      </c>
      <c r="H4130" t="s">
        <v>25</v>
      </c>
      <c r="I4130" t="s">
        <v>16</v>
      </c>
      <c r="J4130" s="1">
        <v>44934</v>
      </c>
      <c r="K4130" t="b">
        <v>0</v>
      </c>
    </row>
    <row r="4131" spans="1:11" x14ac:dyDescent="0.25">
      <c r="A4131" t="s">
        <v>716</v>
      </c>
      <c r="B4131" t="s">
        <v>86</v>
      </c>
      <c r="C4131" t="s">
        <v>38</v>
      </c>
      <c r="D4131" t="s">
        <v>123</v>
      </c>
      <c r="E4131" s="2">
        <v>14</v>
      </c>
      <c r="F4131" s="4">
        <v>7</v>
      </c>
      <c r="G4131" s="2">
        <v>98</v>
      </c>
      <c r="H4131" t="s">
        <v>25</v>
      </c>
      <c r="I4131" t="s">
        <v>16</v>
      </c>
      <c r="J4131" s="1">
        <v>44710</v>
      </c>
      <c r="K4131" t="b">
        <v>1</v>
      </c>
    </row>
    <row r="4132" spans="1:11" x14ac:dyDescent="0.25">
      <c r="A4132" t="s">
        <v>3840</v>
      </c>
      <c r="B4132" t="s">
        <v>58</v>
      </c>
      <c r="C4132" t="s">
        <v>19</v>
      </c>
      <c r="D4132" t="s">
        <v>756</v>
      </c>
      <c r="E4132" s="2">
        <v>14</v>
      </c>
      <c r="F4132" s="4">
        <v>7</v>
      </c>
      <c r="G4132" s="2">
        <v>98</v>
      </c>
      <c r="H4132" t="s">
        <v>15</v>
      </c>
      <c r="I4132" t="s">
        <v>16</v>
      </c>
      <c r="J4132" s="1">
        <v>44732</v>
      </c>
      <c r="K4132" t="b">
        <v>0</v>
      </c>
    </row>
    <row r="4133" spans="1:11" x14ac:dyDescent="0.25">
      <c r="A4133" t="s">
        <v>5624</v>
      </c>
      <c r="B4133" t="s">
        <v>30</v>
      </c>
      <c r="C4133" t="s">
        <v>27</v>
      </c>
      <c r="D4133" t="s">
        <v>170</v>
      </c>
      <c r="E4133" s="2">
        <v>24.5</v>
      </c>
      <c r="F4133" s="4">
        <v>4</v>
      </c>
      <c r="G4133" s="2">
        <v>98</v>
      </c>
      <c r="H4133" t="s">
        <v>25</v>
      </c>
      <c r="I4133" t="s">
        <v>16</v>
      </c>
      <c r="J4133" s="1">
        <v>45012</v>
      </c>
      <c r="K4133" t="b">
        <v>1</v>
      </c>
    </row>
    <row r="4134" spans="1:11" x14ac:dyDescent="0.25">
      <c r="A4134" t="s">
        <v>6351</v>
      </c>
      <c r="B4134" t="s">
        <v>51</v>
      </c>
      <c r="C4134" t="s">
        <v>27</v>
      </c>
      <c r="D4134" t="s">
        <v>62</v>
      </c>
      <c r="E4134" s="2">
        <v>14</v>
      </c>
      <c r="F4134" s="4">
        <v>7</v>
      </c>
      <c r="G4134" s="2">
        <v>98</v>
      </c>
      <c r="H4134" t="s">
        <v>15</v>
      </c>
      <c r="I4134" t="s">
        <v>16</v>
      </c>
      <c r="J4134" s="1">
        <v>44832</v>
      </c>
      <c r="K4134" t="b">
        <v>0</v>
      </c>
    </row>
    <row r="4135" spans="1:11" x14ac:dyDescent="0.25">
      <c r="A4135" t="s">
        <v>3076</v>
      </c>
      <c r="B4135" t="s">
        <v>12</v>
      </c>
      <c r="C4135" t="s">
        <v>31</v>
      </c>
      <c r="D4135" t="s">
        <v>78</v>
      </c>
      <c r="E4135" s="2">
        <v>24.5</v>
      </c>
      <c r="F4135" s="4">
        <v>4</v>
      </c>
      <c r="G4135" s="2">
        <v>98</v>
      </c>
      <c r="H4135" t="s">
        <v>45</v>
      </c>
      <c r="I4135" t="s">
        <v>16</v>
      </c>
      <c r="J4135" s="1">
        <v>45516</v>
      </c>
      <c r="K4135" t="b">
        <v>0</v>
      </c>
    </row>
    <row r="4136" spans="1:11" x14ac:dyDescent="0.25">
      <c r="A4136" t="s">
        <v>466</v>
      </c>
      <c r="B4136" t="s">
        <v>30</v>
      </c>
      <c r="C4136" t="s">
        <v>38</v>
      </c>
      <c r="D4136" t="s">
        <v>70</v>
      </c>
      <c r="E4136" s="2">
        <v>24.5</v>
      </c>
      <c r="F4136" s="4">
        <v>4</v>
      </c>
      <c r="G4136" s="2">
        <v>98</v>
      </c>
      <c r="H4136" t="s">
        <v>25</v>
      </c>
      <c r="I4136" t="s">
        <v>36</v>
      </c>
      <c r="J4136" s="1">
        <v>44860</v>
      </c>
      <c r="K4136" t="b">
        <v>1</v>
      </c>
    </row>
    <row r="4137" spans="1:11" x14ac:dyDescent="0.25">
      <c r="A4137" t="s">
        <v>6768</v>
      </c>
      <c r="B4137" t="s">
        <v>86</v>
      </c>
      <c r="C4137" t="s">
        <v>19</v>
      </c>
      <c r="D4137" t="s">
        <v>756</v>
      </c>
      <c r="E4137" s="2">
        <v>14</v>
      </c>
      <c r="F4137" s="4">
        <v>7</v>
      </c>
      <c r="G4137" s="2">
        <v>98</v>
      </c>
      <c r="H4137" t="s">
        <v>25</v>
      </c>
      <c r="I4137" t="s">
        <v>36</v>
      </c>
      <c r="J4137" s="1">
        <v>44565</v>
      </c>
      <c r="K4137" t="b">
        <v>0</v>
      </c>
    </row>
    <row r="4138" spans="1:11" x14ac:dyDescent="0.25">
      <c r="A4138" t="s">
        <v>1967</v>
      </c>
      <c r="B4138" t="s">
        <v>12</v>
      </c>
      <c r="C4138" t="s">
        <v>110</v>
      </c>
      <c r="D4138" t="s">
        <v>176</v>
      </c>
      <c r="E4138" s="2">
        <v>14</v>
      </c>
      <c r="F4138" s="4">
        <v>7</v>
      </c>
      <c r="G4138" s="2">
        <v>98</v>
      </c>
      <c r="H4138" t="s">
        <v>15</v>
      </c>
      <c r="I4138" t="s">
        <v>16</v>
      </c>
      <c r="J4138" s="1">
        <v>45089</v>
      </c>
      <c r="K4138" t="b">
        <v>0</v>
      </c>
    </row>
    <row r="4139" spans="1:11" x14ac:dyDescent="0.25">
      <c r="A4139" t="s">
        <v>4585</v>
      </c>
      <c r="B4139" t="s">
        <v>104</v>
      </c>
      <c r="C4139" t="s">
        <v>27</v>
      </c>
      <c r="D4139" t="s">
        <v>62</v>
      </c>
      <c r="E4139" s="2">
        <v>14</v>
      </c>
      <c r="F4139" s="4">
        <v>7</v>
      </c>
      <c r="G4139" s="2">
        <v>98</v>
      </c>
      <c r="H4139" t="s">
        <v>15</v>
      </c>
      <c r="I4139" t="s">
        <v>16</v>
      </c>
      <c r="J4139" s="1">
        <v>44594</v>
      </c>
      <c r="K4139" t="b">
        <v>1</v>
      </c>
    </row>
    <row r="4140" spans="1:11" x14ac:dyDescent="0.25">
      <c r="A4140" t="s">
        <v>1915</v>
      </c>
      <c r="B4140" t="s">
        <v>22</v>
      </c>
      <c r="C4140" t="s">
        <v>13</v>
      </c>
      <c r="D4140" t="s">
        <v>151</v>
      </c>
      <c r="E4140" s="2">
        <v>14</v>
      </c>
      <c r="F4140" s="4">
        <v>7</v>
      </c>
      <c r="G4140" s="2">
        <v>98</v>
      </c>
      <c r="H4140" t="s">
        <v>25</v>
      </c>
      <c r="I4140" t="s">
        <v>16</v>
      </c>
      <c r="J4140" s="1">
        <v>45018</v>
      </c>
      <c r="K4140" t="b">
        <v>0</v>
      </c>
    </row>
    <row r="4141" spans="1:11" x14ac:dyDescent="0.25">
      <c r="A4141" t="s">
        <v>4530</v>
      </c>
      <c r="B4141" t="s">
        <v>40</v>
      </c>
      <c r="C4141" t="s">
        <v>31</v>
      </c>
      <c r="D4141" t="s">
        <v>78</v>
      </c>
      <c r="E4141" s="2">
        <v>24.5</v>
      </c>
      <c r="F4141" s="4">
        <v>4</v>
      </c>
      <c r="G4141" s="2">
        <v>98</v>
      </c>
      <c r="H4141" t="s">
        <v>25</v>
      </c>
      <c r="I4141" t="s">
        <v>16</v>
      </c>
      <c r="J4141" s="1">
        <v>45444</v>
      </c>
      <c r="K4141" t="b">
        <v>1</v>
      </c>
    </row>
    <row r="4142" spans="1:11" x14ac:dyDescent="0.25">
      <c r="A4142" t="s">
        <v>7663</v>
      </c>
      <c r="B4142" t="s">
        <v>86</v>
      </c>
      <c r="C4142" t="s">
        <v>110</v>
      </c>
      <c r="D4142" t="s">
        <v>253</v>
      </c>
      <c r="E4142" s="2">
        <v>24.5</v>
      </c>
      <c r="F4142" s="4">
        <v>4</v>
      </c>
      <c r="G4142" s="2">
        <v>98</v>
      </c>
      <c r="H4142" t="s">
        <v>15</v>
      </c>
      <c r="I4142" t="s">
        <v>16</v>
      </c>
      <c r="J4142" s="1">
        <v>45375</v>
      </c>
      <c r="K4142" t="b">
        <v>1</v>
      </c>
    </row>
    <row r="4143" spans="1:11" x14ac:dyDescent="0.25">
      <c r="A4143" t="s">
        <v>3149</v>
      </c>
      <c r="B4143" t="s">
        <v>58</v>
      </c>
      <c r="C4143" t="s">
        <v>23</v>
      </c>
      <c r="D4143" t="s">
        <v>277</v>
      </c>
      <c r="E4143" s="2">
        <v>14</v>
      </c>
      <c r="F4143" s="4">
        <v>7</v>
      </c>
      <c r="G4143" s="2">
        <v>98</v>
      </c>
      <c r="H4143" t="s">
        <v>15</v>
      </c>
      <c r="I4143" t="s">
        <v>16</v>
      </c>
      <c r="J4143" s="1">
        <v>45311</v>
      </c>
      <c r="K4143" t="b">
        <v>0</v>
      </c>
    </row>
    <row r="4144" spans="1:11" x14ac:dyDescent="0.25">
      <c r="A4144" t="s">
        <v>3415</v>
      </c>
      <c r="B4144" t="s">
        <v>12</v>
      </c>
      <c r="C4144" t="s">
        <v>110</v>
      </c>
      <c r="D4144" t="s">
        <v>253</v>
      </c>
      <c r="E4144" s="2">
        <v>24.5</v>
      </c>
      <c r="F4144" s="4">
        <v>4</v>
      </c>
      <c r="G4144" s="2">
        <v>98</v>
      </c>
      <c r="H4144" t="s">
        <v>45</v>
      </c>
      <c r="I4144" t="s">
        <v>16</v>
      </c>
      <c r="J4144" s="1">
        <v>45124</v>
      </c>
      <c r="K4144" t="b">
        <v>0</v>
      </c>
    </row>
    <row r="4145" spans="1:11" x14ac:dyDescent="0.25">
      <c r="A4145" t="s">
        <v>1755</v>
      </c>
      <c r="B4145" t="s">
        <v>22</v>
      </c>
      <c r="C4145" t="s">
        <v>31</v>
      </c>
      <c r="D4145" t="s">
        <v>78</v>
      </c>
      <c r="E4145" s="2">
        <v>24.5</v>
      </c>
      <c r="F4145" s="4">
        <v>4</v>
      </c>
      <c r="G4145" s="2">
        <v>98</v>
      </c>
      <c r="H4145" t="s">
        <v>15</v>
      </c>
      <c r="I4145" t="s">
        <v>36</v>
      </c>
      <c r="J4145" s="1">
        <v>44848</v>
      </c>
      <c r="K4145" t="b">
        <v>1</v>
      </c>
    </row>
    <row r="4146" spans="1:11" x14ac:dyDescent="0.25">
      <c r="A4146" t="s">
        <v>5494</v>
      </c>
      <c r="B4146" t="s">
        <v>18</v>
      </c>
      <c r="C4146" t="s">
        <v>110</v>
      </c>
      <c r="D4146" t="s">
        <v>253</v>
      </c>
      <c r="E4146" s="2">
        <v>24.5</v>
      </c>
      <c r="F4146" s="4">
        <v>4</v>
      </c>
      <c r="G4146" s="2">
        <v>98</v>
      </c>
      <c r="H4146" t="s">
        <v>15</v>
      </c>
      <c r="I4146" t="s">
        <v>36</v>
      </c>
      <c r="J4146" s="1">
        <v>44885</v>
      </c>
      <c r="K4146" t="b">
        <v>0</v>
      </c>
    </row>
    <row r="4147" spans="1:11" x14ac:dyDescent="0.25">
      <c r="A4147" t="s">
        <v>657</v>
      </c>
      <c r="B4147" t="s">
        <v>104</v>
      </c>
      <c r="C4147" t="s">
        <v>38</v>
      </c>
      <c r="D4147" t="s">
        <v>123</v>
      </c>
      <c r="E4147" s="2">
        <v>14</v>
      </c>
      <c r="F4147" s="4">
        <v>7</v>
      </c>
      <c r="G4147" s="2">
        <v>98</v>
      </c>
      <c r="H4147" t="s">
        <v>25</v>
      </c>
      <c r="I4147" t="s">
        <v>16</v>
      </c>
      <c r="J4147" s="1">
        <v>44858</v>
      </c>
      <c r="K4147" t="b">
        <v>1</v>
      </c>
    </row>
    <row r="4148" spans="1:11" x14ac:dyDescent="0.25">
      <c r="A4148" t="s">
        <v>1507</v>
      </c>
      <c r="B4148" t="s">
        <v>93</v>
      </c>
      <c r="C4148" t="s">
        <v>27</v>
      </c>
      <c r="D4148" t="s">
        <v>170</v>
      </c>
      <c r="E4148" s="2">
        <v>24.5</v>
      </c>
      <c r="F4148" s="4">
        <v>4</v>
      </c>
      <c r="G4148" s="2">
        <v>98</v>
      </c>
      <c r="H4148" t="s">
        <v>15</v>
      </c>
      <c r="I4148" t="s">
        <v>36</v>
      </c>
      <c r="J4148" s="1">
        <v>45377</v>
      </c>
      <c r="K4148" t="b">
        <v>0</v>
      </c>
    </row>
    <row r="4149" spans="1:11" x14ac:dyDescent="0.25">
      <c r="A4149" t="s">
        <v>7363</v>
      </c>
      <c r="B4149" t="s">
        <v>18</v>
      </c>
      <c r="C4149" t="s">
        <v>31</v>
      </c>
      <c r="D4149" t="s">
        <v>78</v>
      </c>
      <c r="E4149" s="2">
        <v>24.5</v>
      </c>
      <c r="F4149" s="4">
        <v>4</v>
      </c>
      <c r="G4149" s="2">
        <v>98</v>
      </c>
      <c r="H4149" t="s">
        <v>15</v>
      </c>
      <c r="I4149" t="s">
        <v>36</v>
      </c>
      <c r="J4149" s="1">
        <v>45474</v>
      </c>
      <c r="K4149" t="b">
        <v>1</v>
      </c>
    </row>
    <row r="4150" spans="1:11" x14ac:dyDescent="0.25">
      <c r="A4150" t="s">
        <v>2880</v>
      </c>
      <c r="B4150" t="s">
        <v>51</v>
      </c>
      <c r="C4150" t="s">
        <v>27</v>
      </c>
      <c r="D4150" t="s">
        <v>170</v>
      </c>
      <c r="E4150" s="2">
        <v>24.5</v>
      </c>
      <c r="F4150" s="4">
        <v>4</v>
      </c>
      <c r="G4150" s="2">
        <v>98</v>
      </c>
      <c r="H4150" t="s">
        <v>15</v>
      </c>
      <c r="I4150" t="s">
        <v>36</v>
      </c>
      <c r="J4150" s="1">
        <v>45659</v>
      </c>
      <c r="K4150" t="b">
        <v>1</v>
      </c>
    </row>
    <row r="4151" spans="1:11" x14ac:dyDescent="0.25">
      <c r="A4151" t="s">
        <v>6320</v>
      </c>
      <c r="B4151" t="s">
        <v>85</v>
      </c>
      <c r="C4151" t="s">
        <v>110</v>
      </c>
      <c r="D4151" t="s">
        <v>176</v>
      </c>
      <c r="E4151" s="2">
        <v>14</v>
      </c>
      <c r="F4151" s="4">
        <v>7</v>
      </c>
      <c r="G4151" s="2">
        <v>98</v>
      </c>
      <c r="H4151" t="s">
        <v>45</v>
      </c>
      <c r="I4151" t="s">
        <v>36</v>
      </c>
      <c r="J4151" s="1">
        <v>44575</v>
      </c>
      <c r="K4151" t="b">
        <v>0</v>
      </c>
    </row>
    <row r="4152" spans="1:11" x14ac:dyDescent="0.25">
      <c r="A4152" t="s">
        <v>2359</v>
      </c>
      <c r="B4152" t="s">
        <v>100</v>
      </c>
      <c r="C4152" t="s">
        <v>13</v>
      </c>
      <c r="D4152" t="s">
        <v>151</v>
      </c>
      <c r="E4152" s="2">
        <v>14</v>
      </c>
      <c r="F4152" s="4">
        <v>7</v>
      </c>
      <c r="G4152" s="2">
        <v>98</v>
      </c>
      <c r="H4152" t="s">
        <v>15</v>
      </c>
      <c r="I4152" t="s">
        <v>36</v>
      </c>
      <c r="J4152" s="1">
        <v>45000</v>
      </c>
      <c r="K4152" t="b">
        <v>1</v>
      </c>
    </row>
    <row r="4153" spans="1:11" x14ac:dyDescent="0.25">
      <c r="A4153" t="s">
        <v>3818</v>
      </c>
      <c r="B4153" t="s">
        <v>43</v>
      </c>
      <c r="C4153" t="s">
        <v>31</v>
      </c>
      <c r="D4153" t="s">
        <v>78</v>
      </c>
      <c r="E4153" s="2">
        <v>24.5</v>
      </c>
      <c r="F4153" s="4">
        <v>4</v>
      </c>
      <c r="G4153" s="2">
        <v>98</v>
      </c>
      <c r="H4153" t="s">
        <v>15</v>
      </c>
      <c r="I4153" t="s">
        <v>16</v>
      </c>
      <c r="J4153" s="1">
        <v>45196</v>
      </c>
      <c r="K4153" t="b">
        <v>1</v>
      </c>
    </row>
    <row r="4154" spans="1:11" x14ac:dyDescent="0.25">
      <c r="A4154" t="s">
        <v>7780</v>
      </c>
      <c r="B4154" t="s">
        <v>58</v>
      </c>
      <c r="C4154" t="s">
        <v>59</v>
      </c>
      <c r="D4154" t="s">
        <v>254</v>
      </c>
      <c r="E4154" s="2">
        <v>32</v>
      </c>
      <c r="F4154" s="4">
        <v>3</v>
      </c>
      <c r="G4154" s="2">
        <v>96</v>
      </c>
      <c r="H4154" t="s">
        <v>45</v>
      </c>
      <c r="I4154" t="s">
        <v>16</v>
      </c>
      <c r="J4154" s="1">
        <v>45381</v>
      </c>
      <c r="K4154" t="b">
        <v>1</v>
      </c>
    </row>
    <row r="4155" spans="1:11" x14ac:dyDescent="0.25">
      <c r="A4155" t="s">
        <v>5747</v>
      </c>
      <c r="B4155" t="s">
        <v>86</v>
      </c>
      <c r="C4155" t="s">
        <v>110</v>
      </c>
      <c r="D4155" t="s">
        <v>282</v>
      </c>
      <c r="E4155" s="2">
        <v>32</v>
      </c>
      <c r="F4155" s="4">
        <v>3</v>
      </c>
      <c r="G4155" s="2">
        <v>96</v>
      </c>
      <c r="H4155" t="s">
        <v>45</v>
      </c>
      <c r="I4155" t="s">
        <v>16</v>
      </c>
      <c r="J4155" s="1">
        <v>45481</v>
      </c>
      <c r="K4155" t="b">
        <v>1</v>
      </c>
    </row>
    <row r="4156" spans="1:11" x14ac:dyDescent="0.25">
      <c r="A4156" t="s">
        <v>6102</v>
      </c>
      <c r="B4156" t="s">
        <v>43</v>
      </c>
      <c r="C4156" t="s">
        <v>38</v>
      </c>
      <c r="D4156" t="s">
        <v>748</v>
      </c>
      <c r="E4156" s="2">
        <v>32</v>
      </c>
      <c r="F4156" s="4">
        <v>3</v>
      </c>
      <c r="G4156" s="2">
        <v>96</v>
      </c>
      <c r="H4156" t="s">
        <v>15</v>
      </c>
      <c r="I4156" t="s">
        <v>36</v>
      </c>
      <c r="J4156" s="1">
        <v>45119</v>
      </c>
      <c r="K4156" t="b">
        <v>0</v>
      </c>
    </row>
    <row r="4157" spans="1:11" x14ac:dyDescent="0.25">
      <c r="A4157" t="s">
        <v>6582</v>
      </c>
      <c r="B4157" t="s">
        <v>58</v>
      </c>
      <c r="C4157" t="s">
        <v>59</v>
      </c>
      <c r="D4157" t="s">
        <v>254</v>
      </c>
      <c r="E4157" s="2">
        <v>32</v>
      </c>
      <c r="F4157" s="4">
        <v>3</v>
      </c>
      <c r="G4157" s="2">
        <v>96</v>
      </c>
      <c r="H4157" t="s">
        <v>15</v>
      </c>
      <c r="I4157" t="s">
        <v>36</v>
      </c>
      <c r="J4157" s="1">
        <v>44574</v>
      </c>
      <c r="K4157" t="b">
        <v>0</v>
      </c>
    </row>
    <row r="4158" spans="1:11" x14ac:dyDescent="0.25">
      <c r="A4158" t="s">
        <v>4297</v>
      </c>
      <c r="B4158" t="s">
        <v>51</v>
      </c>
      <c r="C4158" t="s">
        <v>110</v>
      </c>
      <c r="D4158" t="s">
        <v>282</v>
      </c>
      <c r="E4158" s="2">
        <v>32</v>
      </c>
      <c r="F4158" s="4">
        <v>3</v>
      </c>
      <c r="G4158" s="2">
        <v>96</v>
      </c>
      <c r="H4158" t="s">
        <v>15</v>
      </c>
      <c r="I4158" t="s">
        <v>16</v>
      </c>
      <c r="J4158" s="1">
        <v>45290</v>
      </c>
      <c r="K4158" t="b">
        <v>1</v>
      </c>
    </row>
    <row r="4159" spans="1:11" x14ac:dyDescent="0.25">
      <c r="A4159" t="s">
        <v>4055</v>
      </c>
      <c r="B4159" t="s">
        <v>18</v>
      </c>
      <c r="C4159" t="s">
        <v>110</v>
      </c>
      <c r="D4159" t="s">
        <v>282</v>
      </c>
      <c r="E4159" s="2">
        <v>32</v>
      </c>
      <c r="F4159" s="4">
        <v>3</v>
      </c>
      <c r="G4159" s="2">
        <v>96</v>
      </c>
      <c r="H4159" t="s">
        <v>25</v>
      </c>
      <c r="I4159" t="s">
        <v>16</v>
      </c>
      <c r="J4159" s="1">
        <v>44647</v>
      </c>
      <c r="K4159" t="b">
        <v>1</v>
      </c>
    </row>
    <row r="4160" spans="1:11" x14ac:dyDescent="0.25">
      <c r="A4160" t="s">
        <v>4305</v>
      </c>
      <c r="B4160" t="s">
        <v>18</v>
      </c>
      <c r="C4160" t="s">
        <v>38</v>
      </c>
      <c r="D4160" t="s">
        <v>748</v>
      </c>
      <c r="E4160" s="2">
        <v>32</v>
      </c>
      <c r="F4160" s="4">
        <v>3</v>
      </c>
      <c r="G4160" s="2">
        <v>96</v>
      </c>
      <c r="H4160" t="s">
        <v>15</v>
      </c>
      <c r="I4160" t="s">
        <v>16</v>
      </c>
      <c r="J4160" s="1">
        <v>44747</v>
      </c>
      <c r="K4160" t="b">
        <v>0</v>
      </c>
    </row>
    <row r="4161" spans="1:11" x14ac:dyDescent="0.25">
      <c r="A4161" t="s">
        <v>4210</v>
      </c>
      <c r="B4161" t="s">
        <v>43</v>
      </c>
      <c r="C4161" t="s">
        <v>13</v>
      </c>
      <c r="D4161" t="s">
        <v>426</v>
      </c>
      <c r="E4161" s="2">
        <v>32</v>
      </c>
      <c r="F4161" s="4">
        <v>3</v>
      </c>
      <c r="G4161" s="2">
        <v>96</v>
      </c>
      <c r="H4161" t="s">
        <v>45</v>
      </c>
      <c r="I4161" t="s">
        <v>16</v>
      </c>
      <c r="J4161" s="1">
        <v>44967</v>
      </c>
      <c r="K4161" t="b">
        <v>0</v>
      </c>
    </row>
    <row r="4162" spans="1:11" x14ac:dyDescent="0.25">
      <c r="A4162" t="s">
        <v>3209</v>
      </c>
      <c r="B4162" t="s">
        <v>104</v>
      </c>
      <c r="C4162" t="s">
        <v>110</v>
      </c>
      <c r="D4162" t="s">
        <v>282</v>
      </c>
      <c r="E4162" s="2">
        <v>32</v>
      </c>
      <c r="F4162" s="4">
        <v>3</v>
      </c>
      <c r="G4162" s="2">
        <v>96</v>
      </c>
      <c r="H4162" t="s">
        <v>15</v>
      </c>
      <c r="I4162" t="s">
        <v>36</v>
      </c>
      <c r="J4162" s="1">
        <v>44781</v>
      </c>
      <c r="K4162" t="b">
        <v>0</v>
      </c>
    </row>
    <row r="4163" spans="1:11" x14ac:dyDescent="0.25">
      <c r="A4163" t="s">
        <v>3323</v>
      </c>
      <c r="B4163" t="s">
        <v>69</v>
      </c>
      <c r="C4163" t="s">
        <v>19</v>
      </c>
      <c r="D4163" t="s">
        <v>120</v>
      </c>
      <c r="E4163" s="2">
        <v>32</v>
      </c>
      <c r="F4163" s="4">
        <v>3</v>
      </c>
      <c r="G4163" s="2">
        <v>96</v>
      </c>
      <c r="H4163" t="s">
        <v>25</v>
      </c>
      <c r="I4163" t="s">
        <v>36</v>
      </c>
      <c r="J4163" s="1">
        <v>45475</v>
      </c>
      <c r="K4163" t="b">
        <v>1</v>
      </c>
    </row>
    <row r="4164" spans="1:11" x14ac:dyDescent="0.25">
      <c r="A4164" t="s">
        <v>2579</v>
      </c>
      <c r="B4164" t="s">
        <v>77</v>
      </c>
      <c r="C4164" t="s">
        <v>110</v>
      </c>
      <c r="D4164" t="s">
        <v>282</v>
      </c>
      <c r="E4164" s="2">
        <v>32</v>
      </c>
      <c r="F4164" s="4">
        <v>3</v>
      </c>
      <c r="G4164" s="2">
        <v>96</v>
      </c>
      <c r="H4164" t="s">
        <v>15</v>
      </c>
      <c r="I4164" t="s">
        <v>16</v>
      </c>
      <c r="J4164" s="1">
        <v>45358</v>
      </c>
      <c r="K4164" t="b">
        <v>1</v>
      </c>
    </row>
    <row r="4165" spans="1:11" x14ac:dyDescent="0.25">
      <c r="A4165" t="s">
        <v>5218</v>
      </c>
      <c r="B4165" t="s">
        <v>51</v>
      </c>
      <c r="C4165" t="s">
        <v>23</v>
      </c>
      <c r="D4165" t="s">
        <v>708</v>
      </c>
      <c r="E4165" s="2">
        <v>32</v>
      </c>
      <c r="F4165" s="4">
        <v>3</v>
      </c>
      <c r="G4165" s="2">
        <v>96</v>
      </c>
      <c r="H4165" t="s">
        <v>15</v>
      </c>
      <c r="I4165" t="s">
        <v>36</v>
      </c>
      <c r="J4165" s="1">
        <v>44921</v>
      </c>
      <c r="K4165" t="b">
        <v>1</v>
      </c>
    </row>
    <row r="4166" spans="1:11" x14ac:dyDescent="0.25">
      <c r="A4166" t="s">
        <v>6046</v>
      </c>
      <c r="B4166" t="s">
        <v>61</v>
      </c>
      <c r="C4166" t="s">
        <v>31</v>
      </c>
      <c r="D4166" t="s">
        <v>1505</v>
      </c>
      <c r="E4166" s="2">
        <v>32</v>
      </c>
      <c r="F4166" s="4">
        <v>3</v>
      </c>
      <c r="G4166" s="2">
        <v>96</v>
      </c>
      <c r="H4166" t="s">
        <v>25</v>
      </c>
      <c r="I4166" t="s">
        <v>16</v>
      </c>
      <c r="J4166" s="1">
        <v>44864</v>
      </c>
      <c r="K4166" t="b">
        <v>0</v>
      </c>
    </row>
    <row r="4167" spans="1:11" x14ac:dyDescent="0.25">
      <c r="A4167" t="s">
        <v>5446</v>
      </c>
      <c r="B4167" t="s">
        <v>37</v>
      </c>
      <c r="C4167" t="s">
        <v>59</v>
      </c>
      <c r="D4167" t="s">
        <v>254</v>
      </c>
      <c r="E4167" s="2">
        <v>32</v>
      </c>
      <c r="F4167" s="4">
        <v>3</v>
      </c>
      <c r="G4167" s="2">
        <v>96</v>
      </c>
      <c r="H4167" t="s">
        <v>25</v>
      </c>
      <c r="I4167" t="s">
        <v>16</v>
      </c>
      <c r="J4167" s="1">
        <v>45142</v>
      </c>
      <c r="K4167" t="b">
        <v>1</v>
      </c>
    </row>
    <row r="4168" spans="1:11" x14ac:dyDescent="0.25">
      <c r="A4168" t="s">
        <v>3389</v>
      </c>
      <c r="B4168" t="s">
        <v>22</v>
      </c>
      <c r="C4168" t="s">
        <v>27</v>
      </c>
      <c r="D4168" t="s">
        <v>207</v>
      </c>
      <c r="E4168" s="2">
        <v>32</v>
      </c>
      <c r="F4168" s="4">
        <v>3</v>
      </c>
      <c r="G4168" s="2">
        <v>96</v>
      </c>
      <c r="H4168" t="s">
        <v>25</v>
      </c>
      <c r="I4168" t="s">
        <v>36</v>
      </c>
      <c r="J4168" s="1">
        <v>44905</v>
      </c>
      <c r="K4168" t="b">
        <v>1</v>
      </c>
    </row>
    <row r="4169" spans="1:11" x14ac:dyDescent="0.25">
      <c r="A4169" t="s">
        <v>4803</v>
      </c>
      <c r="B4169" t="s">
        <v>30</v>
      </c>
      <c r="C4169" t="s">
        <v>110</v>
      </c>
      <c r="D4169" t="s">
        <v>282</v>
      </c>
      <c r="E4169" s="2">
        <v>32</v>
      </c>
      <c r="F4169" s="4">
        <v>3</v>
      </c>
      <c r="G4169" s="2">
        <v>96</v>
      </c>
      <c r="H4169" t="s">
        <v>25</v>
      </c>
      <c r="I4169" t="s">
        <v>16</v>
      </c>
      <c r="J4169" s="1">
        <v>45178</v>
      </c>
      <c r="K4169" t="b">
        <v>0</v>
      </c>
    </row>
    <row r="4170" spans="1:11" x14ac:dyDescent="0.25">
      <c r="A4170" t="s">
        <v>1472</v>
      </c>
      <c r="B4170" t="s">
        <v>58</v>
      </c>
      <c r="C4170" t="s">
        <v>38</v>
      </c>
      <c r="D4170" t="s">
        <v>748</v>
      </c>
      <c r="E4170" s="2">
        <v>32</v>
      </c>
      <c r="F4170" s="4">
        <v>3</v>
      </c>
      <c r="G4170" s="2">
        <v>96</v>
      </c>
      <c r="H4170" t="s">
        <v>45</v>
      </c>
      <c r="I4170" t="s">
        <v>36</v>
      </c>
      <c r="J4170" s="1">
        <v>44569</v>
      </c>
      <c r="K4170" t="b">
        <v>1</v>
      </c>
    </row>
    <row r="4171" spans="1:11" x14ac:dyDescent="0.25">
      <c r="A4171" t="s">
        <v>858</v>
      </c>
      <c r="B4171" t="s">
        <v>51</v>
      </c>
      <c r="C4171" t="s">
        <v>27</v>
      </c>
      <c r="D4171" t="s">
        <v>207</v>
      </c>
      <c r="E4171" s="2">
        <v>32</v>
      </c>
      <c r="F4171" s="4">
        <v>3</v>
      </c>
      <c r="G4171" s="2">
        <v>96</v>
      </c>
      <c r="H4171" t="s">
        <v>15</v>
      </c>
      <c r="I4171" t="s">
        <v>16</v>
      </c>
      <c r="J4171" s="1">
        <v>45125</v>
      </c>
      <c r="K4171" t="b">
        <v>1</v>
      </c>
    </row>
    <row r="4172" spans="1:11" x14ac:dyDescent="0.25">
      <c r="A4172" t="s">
        <v>3362</v>
      </c>
      <c r="B4172" t="s">
        <v>61</v>
      </c>
      <c r="C4172" t="s">
        <v>110</v>
      </c>
      <c r="D4172" t="s">
        <v>282</v>
      </c>
      <c r="E4172" s="2">
        <v>32</v>
      </c>
      <c r="F4172" s="4">
        <v>3</v>
      </c>
      <c r="G4172" s="2">
        <v>96</v>
      </c>
      <c r="H4172" t="s">
        <v>45</v>
      </c>
      <c r="I4172" t="s">
        <v>16</v>
      </c>
      <c r="J4172" s="1">
        <v>44816</v>
      </c>
      <c r="K4172" t="b">
        <v>0</v>
      </c>
    </row>
    <row r="4173" spans="1:11" x14ac:dyDescent="0.25">
      <c r="A4173" t="s">
        <v>3435</v>
      </c>
      <c r="B4173" t="s">
        <v>85</v>
      </c>
      <c r="C4173" t="s">
        <v>110</v>
      </c>
      <c r="D4173" t="s">
        <v>282</v>
      </c>
      <c r="E4173" s="2">
        <v>32</v>
      </c>
      <c r="F4173" s="4">
        <v>3</v>
      </c>
      <c r="G4173" s="2">
        <v>96</v>
      </c>
      <c r="H4173" t="s">
        <v>45</v>
      </c>
      <c r="I4173" t="s">
        <v>16</v>
      </c>
      <c r="J4173" s="1">
        <v>45500</v>
      </c>
      <c r="K4173" t="b">
        <v>0</v>
      </c>
    </row>
    <row r="4174" spans="1:11" x14ac:dyDescent="0.25">
      <c r="A4174" t="s">
        <v>1921</v>
      </c>
      <c r="B4174" t="s">
        <v>100</v>
      </c>
      <c r="C4174" t="s">
        <v>110</v>
      </c>
      <c r="D4174" t="s">
        <v>282</v>
      </c>
      <c r="E4174" s="2">
        <v>32</v>
      </c>
      <c r="F4174" s="4">
        <v>3</v>
      </c>
      <c r="G4174" s="2">
        <v>96</v>
      </c>
      <c r="H4174" t="s">
        <v>25</v>
      </c>
      <c r="I4174" t="s">
        <v>16</v>
      </c>
      <c r="J4174" s="1">
        <v>45251</v>
      </c>
      <c r="K4174" t="b">
        <v>0</v>
      </c>
    </row>
    <row r="4175" spans="1:11" x14ac:dyDescent="0.25">
      <c r="A4175" t="s">
        <v>6336</v>
      </c>
      <c r="B4175" t="s">
        <v>72</v>
      </c>
      <c r="C4175" t="s">
        <v>59</v>
      </c>
      <c r="D4175" t="s">
        <v>254</v>
      </c>
      <c r="E4175" s="2">
        <v>32</v>
      </c>
      <c r="F4175" s="4">
        <v>3</v>
      </c>
      <c r="G4175" s="2">
        <v>96</v>
      </c>
      <c r="H4175" t="s">
        <v>25</v>
      </c>
      <c r="I4175" t="s">
        <v>36</v>
      </c>
      <c r="J4175" s="1">
        <v>44941</v>
      </c>
      <c r="K4175" t="b">
        <v>0</v>
      </c>
    </row>
    <row r="4176" spans="1:11" x14ac:dyDescent="0.25">
      <c r="A4176" t="s">
        <v>747</v>
      </c>
      <c r="B4176" t="s">
        <v>97</v>
      </c>
      <c r="C4176" t="s">
        <v>38</v>
      </c>
      <c r="D4176" t="s">
        <v>748</v>
      </c>
      <c r="E4176" s="2">
        <v>32</v>
      </c>
      <c r="F4176" s="4">
        <v>3</v>
      </c>
      <c r="G4176" s="2">
        <v>96</v>
      </c>
      <c r="H4176" t="s">
        <v>45</v>
      </c>
      <c r="I4176" t="s">
        <v>36</v>
      </c>
      <c r="J4176" s="1">
        <v>45177</v>
      </c>
      <c r="K4176" t="b">
        <v>1</v>
      </c>
    </row>
    <row r="4177" spans="1:11" x14ac:dyDescent="0.25">
      <c r="A4177" t="s">
        <v>4900</v>
      </c>
      <c r="B4177" t="s">
        <v>18</v>
      </c>
      <c r="C4177" t="s">
        <v>59</v>
      </c>
      <c r="D4177" t="s">
        <v>254</v>
      </c>
      <c r="E4177" s="2">
        <v>32</v>
      </c>
      <c r="F4177" s="4">
        <v>3</v>
      </c>
      <c r="G4177" s="2">
        <v>96</v>
      </c>
      <c r="H4177" t="s">
        <v>15</v>
      </c>
      <c r="I4177" t="s">
        <v>36</v>
      </c>
      <c r="J4177" s="1">
        <v>45302</v>
      </c>
      <c r="K4177" t="b">
        <v>0</v>
      </c>
    </row>
    <row r="4178" spans="1:11" x14ac:dyDescent="0.25">
      <c r="A4178" t="s">
        <v>1531</v>
      </c>
      <c r="B4178" t="s">
        <v>63</v>
      </c>
      <c r="C4178" t="s">
        <v>110</v>
      </c>
      <c r="D4178" t="s">
        <v>282</v>
      </c>
      <c r="E4178" s="2">
        <v>32</v>
      </c>
      <c r="F4178" s="4">
        <v>3</v>
      </c>
      <c r="G4178" s="2">
        <v>96</v>
      </c>
      <c r="H4178" t="s">
        <v>25</v>
      </c>
      <c r="I4178" t="s">
        <v>16</v>
      </c>
      <c r="J4178" s="1">
        <v>44933</v>
      </c>
      <c r="K4178" t="b">
        <v>1</v>
      </c>
    </row>
    <row r="4179" spans="1:11" x14ac:dyDescent="0.25">
      <c r="A4179" t="s">
        <v>3853</v>
      </c>
      <c r="B4179" t="s">
        <v>63</v>
      </c>
      <c r="C4179" t="s">
        <v>13</v>
      </c>
      <c r="D4179" t="s">
        <v>426</v>
      </c>
      <c r="E4179" s="2">
        <v>32</v>
      </c>
      <c r="F4179" s="4">
        <v>3</v>
      </c>
      <c r="G4179" s="2">
        <v>96</v>
      </c>
      <c r="H4179" t="s">
        <v>45</v>
      </c>
      <c r="I4179" t="s">
        <v>16</v>
      </c>
      <c r="J4179" s="1">
        <v>45550</v>
      </c>
      <c r="K4179" t="b">
        <v>0</v>
      </c>
    </row>
    <row r="4180" spans="1:11" x14ac:dyDescent="0.25">
      <c r="A4180" t="s">
        <v>3890</v>
      </c>
      <c r="B4180" t="s">
        <v>63</v>
      </c>
      <c r="C4180" t="s">
        <v>19</v>
      </c>
      <c r="D4180" t="s">
        <v>120</v>
      </c>
      <c r="E4180" s="2">
        <v>32</v>
      </c>
      <c r="F4180" s="4">
        <v>3</v>
      </c>
      <c r="G4180" s="2">
        <v>96</v>
      </c>
      <c r="H4180" t="s">
        <v>45</v>
      </c>
      <c r="I4180" t="s">
        <v>36</v>
      </c>
      <c r="J4180" s="1">
        <v>45577</v>
      </c>
      <c r="K4180" t="b">
        <v>0</v>
      </c>
    </row>
    <row r="4181" spans="1:11" x14ac:dyDescent="0.25">
      <c r="A4181" t="s">
        <v>6771</v>
      </c>
      <c r="B4181" t="s">
        <v>22</v>
      </c>
      <c r="C4181" t="s">
        <v>59</v>
      </c>
      <c r="D4181" t="s">
        <v>254</v>
      </c>
      <c r="E4181" s="2">
        <v>32</v>
      </c>
      <c r="F4181" s="4">
        <v>3</v>
      </c>
      <c r="G4181" s="2">
        <v>96</v>
      </c>
      <c r="H4181" t="s">
        <v>15</v>
      </c>
      <c r="I4181" t="s">
        <v>36</v>
      </c>
      <c r="J4181" s="1">
        <v>45267</v>
      </c>
      <c r="K4181" t="b">
        <v>1</v>
      </c>
    </row>
    <row r="4182" spans="1:11" x14ac:dyDescent="0.25">
      <c r="A4182" t="s">
        <v>5988</v>
      </c>
      <c r="B4182" t="s">
        <v>100</v>
      </c>
      <c r="C4182" t="s">
        <v>31</v>
      </c>
      <c r="D4182" t="s">
        <v>168</v>
      </c>
      <c r="E4182" s="2">
        <v>9.5</v>
      </c>
      <c r="F4182" s="4">
        <v>10</v>
      </c>
      <c r="G4182" s="2">
        <v>95</v>
      </c>
      <c r="H4182" t="s">
        <v>15</v>
      </c>
      <c r="I4182" t="s">
        <v>16</v>
      </c>
      <c r="J4182" s="1">
        <v>44762</v>
      </c>
      <c r="K4182" t="b">
        <v>0</v>
      </c>
    </row>
    <row r="4183" spans="1:11" x14ac:dyDescent="0.25">
      <c r="A4183" t="s">
        <v>3174</v>
      </c>
      <c r="B4183" t="s">
        <v>22</v>
      </c>
      <c r="C4183" t="s">
        <v>59</v>
      </c>
      <c r="D4183" t="s">
        <v>64</v>
      </c>
      <c r="E4183" s="2">
        <v>9.5</v>
      </c>
      <c r="F4183" s="4">
        <v>10</v>
      </c>
      <c r="G4183" s="2">
        <v>95</v>
      </c>
      <c r="H4183" t="s">
        <v>45</v>
      </c>
      <c r="I4183" t="s">
        <v>16</v>
      </c>
      <c r="J4183" s="1">
        <v>45095</v>
      </c>
      <c r="K4183" t="b">
        <v>0</v>
      </c>
    </row>
    <row r="4184" spans="1:11" x14ac:dyDescent="0.25">
      <c r="A4184" t="s">
        <v>3471</v>
      </c>
      <c r="B4184" t="s">
        <v>12</v>
      </c>
      <c r="C4184" t="s">
        <v>19</v>
      </c>
      <c r="D4184" t="s">
        <v>174</v>
      </c>
      <c r="E4184" s="2">
        <v>9.5</v>
      </c>
      <c r="F4184" s="4">
        <v>10</v>
      </c>
      <c r="G4184" s="2">
        <v>95</v>
      </c>
      <c r="H4184" t="s">
        <v>25</v>
      </c>
      <c r="I4184" t="s">
        <v>36</v>
      </c>
      <c r="J4184" s="1">
        <v>45407</v>
      </c>
      <c r="K4184" t="b">
        <v>0</v>
      </c>
    </row>
    <row r="4185" spans="1:11" x14ac:dyDescent="0.25">
      <c r="A4185" t="s">
        <v>941</v>
      </c>
      <c r="B4185" t="s">
        <v>56</v>
      </c>
      <c r="C4185" t="s">
        <v>27</v>
      </c>
      <c r="D4185" t="s">
        <v>147</v>
      </c>
      <c r="E4185" s="2">
        <v>9.5</v>
      </c>
      <c r="F4185" s="4">
        <v>10</v>
      </c>
      <c r="G4185" s="2">
        <v>95</v>
      </c>
      <c r="H4185" t="s">
        <v>15</v>
      </c>
      <c r="I4185" t="s">
        <v>36</v>
      </c>
      <c r="J4185" s="1">
        <v>45303</v>
      </c>
      <c r="K4185" t="b">
        <v>1</v>
      </c>
    </row>
    <row r="4186" spans="1:11" x14ac:dyDescent="0.25">
      <c r="A4186" t="s">
        <v>5161</v>
      </c>
      <c r="B4186" t="s">
        <v>77</v>
      </c>
      <c r="C4186" t="s">
        <v>13</v>
      </c>
      <c r="D4186" t="s">
        <v>171</v>
      </c>
      <c r="E4186" s="2">
        <v>9.5</v>
      </c>
      <c r="F4186" s="4">
        <v>10</v>
      </c>
      <c r="G4186" s="2">
        <v>95</v>
      </c>
      <c r="H4186" t="s">
        <v>15</v>
      </c>
      <c r="I4186" t="s">
        <v>16</v>
      </c>
      <c r="J4186" s="1">
        <v>45365</v>
      </c>
      <c r="K4186" t="b">
        <v>1</v>
      </c>
    </row>
    <row r="4187" spans="1:11" x14ac:dyDescent="0.25">
      <c r="A4187" t="s">
        <v>2344</v>
      </c>
      <c r="B4187" t="s">
        <v>58</v>
      </c>
      <c r="C4187" t="s">
        <v>13</v>
      </c>
      <c r="D4187" t="s">
        <v>171</v>
      </c>
      <c r="E4187" s="2">
        <v>9.5</v>
      </c>
      <c r="F4187" s="4">
        <v>10</v>
      </c>
      <c r="G4187" s="2">
        <v>95</v>
      </c>
      <c r="H4187" t="s">
        <v>15</v>
      </c>
      <c r="I4187" t="s">
        <v>36</v>
      </c>
      <c r="J4187" s="1">
        <v>45482</v>
      </c>
      <c r="K4187" t="b">
        <v>0</v>
      </c>
    </row>
    <row r="4188" spans="1:11" x14ac:dyDescent="0.25">
      <c r="A4188" t="s">
        <v>984</v>
      </c>
      <c r="B4188" t="s">
        <v>61</v>
      </c>
      <c r="C4188" t="s">
        <v>59</v>
      </c>
      <c r="D4188" t="s">
        <v>64</v>
      </c>
      <c r="E4188" s="2">
        <v>9.5</v>
      </c>
      <c r="F4188" s="4">
        <v>10</v>
      </c>
      <c r="G4188" s="2">
        <v>95</v>
      </c>
      <c r="H4188" t="s">
        <v>15</v>
      </c>
      <c r="I4188" t="s">
        <v>36</v>
      </c>
      <c r="J4188" s="1">
        <v>44625</v>
      </c>
      <c r="K4188" t="b">
        <v>1</v>
      </c>
    </row>
    <row r="4189" spans="1:11" x14ac:dyDescent="0.25">
      <c r="A4189" t="s">
        <v>4708</v>
      </c>
      <c r="B4189" t="s">
        <v>61</v>
      </c>
      <c r="C4189" t="s">
        <v>13</v>
      </c>
      <c r="D4189" t="s">
        <v>171</v>
      </c>
      <c r="E4189" s="2">
        <v>9.5</v>
      </c>
      <c r="F4189" s="4">
        <v>10</v>
      </c>
      <c r="G4189" s="2">
        <v>95</v>
      </c>
      <c r="H4189" t="s">
        <v>15</v>
      </c>
      <c r="I4189" t="s">
        <v>16</v>
      </c>
      <c r="J4189" s="1">
        <v>44955</v>
      </c>
      <c r="K4189" t="b">
        <v>0</v>
      </c>
    </row>
    <row r="4190" spans="1:11" x14ac:dyDescent="0.25">
      <c r="A4190" t="s">
        <v>3915</v>
      </c>
      <c r="B4190" t="s">
        <v>69</v>
      </c>
      <c r="C4190" t="s">
        <v>13</v>
      </c>
      <c r="D4190" t="s">
        <v>171</v>
      </c>
      <c r="E4190" s="2">
        <v>9.5</v>
      </c>
      <c r="F4190" s="4">
        <v>10</v>
      </c>
      <c r="G4190" s="2">
        <v>95</v>
      </c>
      <c r="H4190" t="s">
        <v>45</v>
      </c>
      <c r="I4190" t="s">
        <v>36</v>
      </c>
      <c r="J4190" s="1">
        <v>44641</v>
      </c>
      <c r="K4190" t="b">
        <v>1</v>
      </c>
    </row>
    <row r="4191" spans="1:11" x14ac:dyDescent="0.25">
      <c r="A4191" t="s">
        <v>3198</v>
      </c>
      <c r="B4191" t="s">
        <v>18</v>
      </c>
      <c r="C4191" t="s">
        <v>31</v>
      </c>
      <c r="D4191" t="s">
        <v>168</v>
      </c>
      <c r="E4191" s="2">
        <v>9.5</v>
      </c>
      <c r="F4191" s="4">
        <v>10</v>
      </c>
      <c r="G4191" s="2">
        <v>95</v>
      </c>
      <c r="H4191" t="s">
        <v>45</v>
      </c>
      <c r="I4191" t="s">
        <v>16</v>
      </c>
      <c r="J4191" s="1">
        <v>44822</v>
      </c>
      <c r="K4191" t="b">
        <v>0</v>
      </c>
    </row>
    <row r="4192" spans="1:11" x14ac:dyDescent="0.25">
      <c r="A4192" t="s">
        <v>2758</v>
      </c>
      <c r="B4192" t="s">
        <v>142</v>
      </c>
      <c r="C4192" t="s">
        <v>19</v>
      </c>
      <c r="D4192" t="s">
        <v>174</v>
      </c>
      <c r="E4192" s="2">
        <v>9.5</v>
      </c>
      <c r="F4192" s="4">
        <v>10</v>
      </c>
      <c r="G4192" s="2">
        <v>95</v>
      </c>
      <c r="H4192" t="s">
        <v>45</v>
      </c>
      <c r="I4192" t="s">
        <v>16</v>
      </c>
      <c r="J4192" s="1">
        <v>45111</v>
      </c>
      <c r="K4192" t="b">
        <v>0</v>
      </c>
    </row>
    <row r="4193" spans="1:11" x14ac:dyDescent="0.25">
      <c r="A4193" t="s">
        <v>7207</v>
      </c>
      <c r="B4193" t="s">
        <v>37</v>
      </c>
      <c r="C4193" t="s">
        <v>59</v>
      </c>
      <c r="D4193" t="s">
        <v>64</v>
      </c>
      <c r="E4193" s="2">
        <v>9.5</v>
      </c>
      <c r="F4193" s="4">
        <v>10</v>
      </c>
      <c r="G4193" s="2">
        <v>95</v>
      </c>
      <c r="H4193" t="s">
        <v>15</v>
      </c>
      <c r="I4193" t="s">
        <v>36</v>
      </c>
      <c r="J4193" s="1">
        <v>45347</v>
      </c>
      <c r="K4193" t="b">
        <v>1</v>
      </c>
    </row>
    <row r="4194" spans="1:11" x14ac:dyDescent="0.25">
      <c r="A4194" t="s">
        <v>7070</v>
      </c>
      <c r="B4194" t="s">
        <v>66</v>
      </c>
      <c r="C4194" t="s">
        <v>13</v>
      </c>
      <c r="D4194" t="s">
        <v>171</v>
      </c>
      <c r="E4194" s="2">
        <v>9.5</v>
      </c>
      <c r="F4194" s="4">
        <v>10</v>
      </c>
      <c r="G4194" s="2">
        <v>95</v>
      </c>
      <c r="H4194" t="s">
        <v>15</v>
      </c>
      <c r="I4194" t="s">
        <v>36</v>
      </c>
      <c r="J4194" s="1">
        <v>45579</v>
      </c>
      <c r="K4194" t="b">
        <v>1</v>
      </c>
    </row>
    <row r="4195" spans="1:11" x14ac:dyDescent="0.25">
      <c r="A4195" t="s">
        <v>3072</v>
      </c>
      <c r="B4195" t="s">
        <v>85</v>
      </c>
      <c r="C4195" t="s">
        <v>38</v>
      </c>
      <c r="D4195" t="s">
        <v>414</v>
      </c>
      <c r="E4195" s="2">
        <v>9.5</v>
      </c>
      <c r="F4195" s="4">
        <v>10</v>
      </c>
      <c r="G4195" s="2">
        <v>95</v>
      </c>
      <c r="H4195" t="s">
        <v>25</v>
      </c>
      <c r="I4195" t="s">
        <v>16</v>
      </c>
      <c r="J4195" s="1">
        <v>44936</v>
      </c>
      <c r="K4195" t="b">
        <v>0</v>
      </c>
    </row>
    <row r="4196" spans="1:11" x14ac:dyDescent="0.25">
      <c r="A4196" t="s">
        <v>3560</v>
      </c>
      <c r="B4196" t="s">
        <v>100</v>
      </c>
      <c r="C4196" t="s">
        <v>38</v>
      </c>
      <c r="D4196" t="s">
        <v>414</v>
      </c>
      <c r="E4196" s="2">
        <v>9.5</v>
      </c>
      <c r="F4196" s="4">
        <v>10</v>
      </c>
      <c r="G4196" s="2">
        <v>95</v>
      </c>
      <c r="H4196" t="s">
        <v>25</v>
      </c>
      <c r="I4196" t="s">
        <v>36</v>
      </c>
      <c r="J4196" s="1">
        <v>45347</v>
      </c>
      <c r="K4196" t="b">
        <v>1</v>
      </c>
    </row>
    <row r="4197" spans="1:11" x14ac:dyDescent="0.25">
      <c r="A4197" t="s">
        <v>3396</v>
      </c>
      <c r="B4197" t="s">
        <v>77</v>
      </c>
      <c r="C4197" t="s">
        <v>19</v>
      </c>
      <c r="D4197" t="s">
        <v>174</v>
      </c>
      <c r="E4197" s="2">
        <v>9.5</v>
      </c>
      <c r="F4197" s="4">
        <v>10</v>
      </c>
      <c r="G4197" s="2">
        <v>95</v>
      </c>
      <c r="H4197" t="s">
        <v>45</v>
      </c>
      <c r="I4197" t="s">
        <v>36</v>
      </c>
      <c r="J4197" s="1">
        <v>44951</v>
      </c>
      <c r="K4197" t="b">
        <v>0</v>
      </c>
    </row>
    <row r="4198" spans="1:11" x14ac:dyDescent="0.25">
      <c r="A4198" t="s">
        <v>7249</v>
      </c>
      <c r="B4198" t="s">
        <v>66</v>
      </c>
      <c r="C4198" t="s">
        <v>110</v>
      </c>
      <c r="D4198" t="s">
        <v>304</v>
      </c>
      <c r="E4198" s="2">
        <v>9.5</v>
      </c>
      <c r="F4198" s="4">
        <v>10</v>
      </c>
      <c r="G4198" s="2">
        <v>95</v>
      </c>
      <c r="H4198" t="s">
        <v>25</v>
      </c>
      <c r="I4198" t="s">
        <v>36</v>
      </c>
      <c r="J4198" s="1">
        <v>44911</v>
      </c>
      <c r="K4198" t="b">
        <v>1</v>
      </c>
    </row>
    <row r="4199" spans="1:11" x14ac:dyDescent="0.25">
      <c r="A4199" t="s">
        <v>4354</v>
      </c>
      <c r="B4199" t="s">
        <v>142</v>
      </c>
      <c r="C4199" t="s">
        <v>13</v>
      </c>
      <c r="D4199" t="s">
        <v>171</v>
      </c>
      <c r="E4199" s="2">
        <v>9.5</v>
      </c>
      <c r="F4199" s="4">
        <v>10</v>
      </c>
      <c r="G4199" s="2">
        <v>95</v>
      </c>
      <c r="H4199" t="s">
        <v>15</v>
      </c>
      <c r="I4199" t="s">
        <v>16</v>
      </c>
      <c r="J4199" s="1">
        <v>45413</v>
      </c>
      <c r="K4199" t="b">
        <v>0</v>
      </c>
    </row>
    <row r="4200" spans="1:11" x14ac:dyDescent="0.25">
      <c r="A4200" t="s">
        <v>4696</v>
      </c>
      <c r="B4200" t="s">
        <v>43</v>
      </c>
      <c r="C4200" t="s">
        <v>31</v>
      </c>
      <c r="D4200" t="s">
        <v>168</v>
      </c>
      <c r="E4200" s="2">
        <v>9.5</v>
      </c>
      <c r="F4200" s="4">
        <v>10</v>
      </c>
      <c r="G4200" s="2">
        <v>95</v>
      </c>
      <c r="H4200" t="s">
        <v>45</v>
      </c>
      <c r="I4200" t="s">
        <v>16</v>
      </c>
      <c r="J4200" s="1">
        <v>44948</v>
      </c>
      <c r="K4200" t="b">
        <v>1</v>
      </c>
    </row>
    <row r="4201" spans="1:11" x14ac:dyDescent="0.25">
      <c r="A4201" t="s">
        <v>2160</v>
      </c>
      <c r="B4201" t="s">
        <v>12</v>
      </c>
      <c r="C4201" t="s">
        <v>59</v>
      </c>
      <c r="D4201" t="s">
        <v>64</v>
      </c>
      <c r="E4201" s="2">
        <v>9.5</v>
      </c>
      <c r="F4201" s="4">
        <v>10</v>
      </c>
      <c r="G4201" s="2">
        <v>95</v>
      </c>
      <c r="H4201" t="s">
        <v>25</v>
      </c>
      <c r="I4201" t="s">
        <v>16</v>
      </c>
      <c r="J4201" s="1">
        <v>44659</v>
      </c>
      <c r="K4201" t="b">
        <v>1</v>
      </c>
    </row>
    <row r="4202" spans="1:11" x14ac:dyDescent="0.25">
      <c r="A4202" t="s">
        <v>4341</v>
      </c>
      <c r="B4202" t="s">
        <v>37</v>
      </c>
      <c r="C4202" t="s">
        <v>19</v>
      </c>
      <c r="D4202" t="s">
        <v>174</v>
      </c>
      <c r="E4202" s="2">
        <v>9.5</v>
      </c>
      <c r="F4202" s="4">
        <v>10</v>
      </c>
      <c r="G4202" s="2">
        <v>95</v>
      </c>
      <c r="H4202" t="s">
        <v>15</v>
      </c>
      <c r="I4202" t="s">
        <v>16</v>
      </c>
      <c r="J4202" s="1">
        <v>45481</v>
      </c>
      <c r="K4202" t="b">
        <v>1</v>
      </c>
    </row>
    <row r="4203" spans="1:11" x14ac:dyDescent="0.25">
      <c r="A4203" t="s">
        <v>6520</v>
      </c>
      <c r="B4203" t="s">
        <v>86</v>
      </c>
      <c r="C4203" t="s">
        <v>38</v>
      </c>
      <c r="D4203" t="s">
        <v>414</v>
      </c>
      <c r="E4203" s="2">
        <v>9.5</v>
      </c>
      <c r="F4203" s="4">
        <v>10</v>
      </c>
      <c r="G4203" s="2">
        <v>95</v>
      </c>
      <c r="H4203" t="s">
        <v>45</v>
      </c>
      <c r="I4203" t="s">
        <v>36</v>
      </c>
      <c r="J4203" s="1">
        <v>45563</v>
      </c>
      <c r="K4203" t="b">
        <v>0</v>
      </c>
    </row>
    <row r="4204" spans="1:11" x14ac:dyDescent="0.25">
      <c r="A4204" t="s">
        <v>2101</v>
      </c>
      <c r="B4204" t="s">
        <v>100</v>
      </c>
      <c r="C4204" t="s">
        <v>23</v>
      </c>
      <c r="D4204" t="s">
        <v>810</v>
      </c>
      <c r="E4204" s="2">
        <v>9.5</v>
      </c>
      <c r="F4204" s="4">
        <v>10</v>
      </c>
      <c r="G4204" s="2">
        <v>95</v>
      </c>
      <c r="H4204" t="s">
        <v>15</v>
      </c>
      <c r="I4204" t="s">
        <v>36</v>
      </c>
      <c r="J4204" s="1">
        <v>45465</v>
      </c>
      <c r="K4204" t="b">
        <v>1</v>
      </c>
    </row>
    <row r="4205" spans="1:11" x14ac:dyDescent="0.25">
      <c r="A4205" t="s">
        <v>519</v>
      </c>
      <c r="B4205" t="s">
        <v>26</v>
      </c>
      <c r="C4205" t="s">
        <v>59</v>
      </c>
      <c r="D4205" t="s">
        <v>64</v>
      </c>
      <c r="E4205" s="2">
        <v>9.5</v>
      </c>
      <c r="F4205" s="4">
        <v>10</v>
      </c>
      <c r="G4205" s="2">
        <v>95</v>
      </c>
      <c r="H4205" t="s">
        <v>45</v>
      </c>
      <c r="I4205" t="s">
        <v>36</v>
      </c>
      <c r="J4205" s="1">
        <v>45470</v>
      </c>
      <c r="K4205" t="b">
        <v>1</v>
      </c>
    </row>
    <row r="4206" spans="1:11" x14ac:dyDescent="0.25">
      <c r="A4206" t="s">
        <v>5475</v>
      </c>
      <c r="B4206" t="s">
        <v>40</v>
      </c>
      <c r="C4206" t="s">
        <v>23</v>
      </c>
      <c r="D4206" t="s">
        <v>810</v>
      </c>
      <c r="E4206" s="2">
        <v>9.5</v>
      </c>
      <c r="F4206" s="4">
        <v>10</v>
      </c>
      <c r="G4206" s="2">
        <v>95</v>
      </c>
      <c r="H4206" t="s">
        <v>45</v>
      </c>
      <c r="I4206" t="s">
        <v>16</v>
      </c>
      <c r="J4206" s="1">
        <v>45475</v>
      </c>
      <c r="K4206" t="b">
        <v>0</v>
      </c>
    </row>
    <row r="4207" spans="1:11" x14ac:dyDescent="0.25">
      <c r="A4207" t="s">
        <v>7514</v>
      </c>
      <c r="B4207" t="s">
        <v>142</v>
      </c>
      <c r="C4207" t="s">
        <v>38</v>
      </c>
      <c r="D4207" t="s">
        <v>414</v>
      </c>
      <c r="E4207" s="2">
        <v>9.5</v>
      </c>
      <c r="F4207" s="4">
        <v>10</v>
      </c>
      <c r="G4207" s="2">
        <v>95</v>
      </c>
      <c r="H4207" t="s">
        <v>15</v>
      </c>
      <c r="I4207" t="s">
        <v>16</v>
      </c>
      <c r="J4207" s="1">
        <v>44571</v>
      </c>
      <c r="K4207" t="b">
        <v>0</v>
      </c>
    </row>
    <row r="4208" spans="1:11" x14ac:dyDescent="0.25">
      <c r="A4208" t="s">
        <v>647</v>
      </c>
      <c r="B4208" t="s">
        <v>142</v>
      </c>
      <c r="C4208" t="s">
        <v>13</v>
      </c>
      <c r="D4208" t="s">
        <v>171</v>
      </c>
      <c r="E4208" s="2">
        <v>9.5</v>
      </c>
      <c r="F4208" s="4">
        <v>10</v>
      </c>
      <c r="G4208" s="2">
        <v>95</v>
      </c>
      <c r="H4208" t="s">
        <v>15</v>
      </c>
      <c r="I4208" t="s">
        <v>36</v>
      </c>
      <c r="J4208" s="1">
        <v>44796</v>
      </c>
      <c r="K4208" t="b">
        <v>0</v>
      </c>
    </row>
    <row r="4209" spans="1:11" x14ac:dyDescent="0.25">
      <c r="A4209" t="s">
        <v>5124</v>
      </c>
      <c r="B4209" t="s">
        <v>63</v>
      </c>
      <c r="C4209" t="s">
        <v>31</v>
      </c>
      <c r="D4209" t="s">
        <v>168</v>
      </c>
      <c r="E4209" s="2">
        <v>9.5</v>
      </c>
      <c r="F4209" s="4">
        <v>10</v>
      </c>
      <c r="G4209" s="2">
        <v>95</v>
      </c>
      <c r="H4209" t="s">
        <v>45</v>
      </c>
      <c r="I4209" t="s">
        <v>16</v>
      </c>
      <c r="J4209" s="1">
        <v>45147</v>
      </c>
      <c r="K4209" t="b">
        <v>1</v>
      </c>
    </row>
    <row r="4210" spans="1:11" x14ac:dyDescent="0.25">
      <c r="A4210" t="s">
        <v>7733</v>
      </c>
      <c r="B4210" t="s">
        <v>22</v>
      </c>
      <c r="C4210" t="s">
        <v>27</v>
      </c>
      <c r="D4210" t="s">
        <v>105</v>
      </c>
      <c r="E4210" s="2">
        <v>15.5</v>
      </c>
      <c r="F4210" s="4">
        <v>6</v>
      </c>
      <c r="G4210" s="2">
        <v>93</v>
      </c>
      <c r="H4210" t="s">
        <v>45</v>
      </c>
      <c r="I4210" t="s">
        <v>36</v>
      </c>
      <c r="J4210" s="1">
        <v>44996</v>
      </c>
      <c r="K4210" t="b">
        <v>1</v>
      </c>
    </row>
    <row r="4211" spans="1:11" x14ac:dyDescent="0.25">
      <c r="A4211" t="s">
        <v>3332</v>
      </c>
      <c r="B4211" t="s">
        <v>22</v>
      </c>
      <c r="C4211" t="s">
        <v>110</v>
      </c>
      <c r="D4211" t="s">
        <v>199</v>
      </c>
      <c r="E4211" s="2">
        <v>15.5</v>
      </c>
      <c r="F4211" s="4">
        <v>6</v>
      </c>
      <c r="G4211" s="2">
        <v>93</v>
      </c>
      <c r="H4211" t="s">
        <v>45</v>
      </c>
      <c r="I4211" t="s">
        <v>36</v>
      </c>
      <c r="J4211" s="1">
        <v>44845</v>
      </c>
      <c r="K4211" t="b">
        <v>1</v>
      </c>
    </row>
    <row r="4212" spans="1:11" x14ac:dyDescent="0.25">
      <c r="A4212" t="s">
        <v>6825</v>
      </c>
      <c r="B4212" t="s">
        <v>37</v>
      </c>
      <c r="C4212" t="s">
        <v>38</v>
      </c>
      <c r="D4212" t="s">
        <v>241</v>
      </c>
      <c r="E4212" s="2">
        <v>15.5</v>
      </c>
      <c r="F4212" s="4">
        <v>6</v>
      </c>
      <c r="G4212" s="2">
        <v>93</v>
      </c>
      <c r="H4212" t="s">
        <v>45</v>
      </c>
      <c r="I4212" t="s">
        <v>36</v>
      </c>
      <c r="J4212" s="1">
        <v>44891</v>
      </c>
      <c r="K4212" t="b">
        <v>0</v>
      </c>
    </row>
    <row r="4213" spans="1:11" x14ac:dyDescent="0.25">
      <c r="A4213" t="s">
        <v>4077</v>
      </c>
      <c r="B4213" t="s">
        <v>30</v>
      </c>
      <c r="C4213" t="s">
        <v>27</v>
      </c>
      <c r="D4213" t="s">
        <v>105</v>
      </c>
      <c r="E4213" s="2">
        <v>15.5</v>
      </c>
      <c r="F4213" s="4">
        <v>6</v>
      </c>
      <c r="G4213" s="2">
        <v>93</v>
      </c>
      <c r="H4213" t="s">
        <v>15</v>
      </c>
      <c r="I4213" t="s">
        <v>16</v>
      </c>
      <c r="J4213" s="1">
        <v>45160</v>
      </c>
      <c r="K4213" t="b">
        <v>1</v>
      </c>
    </row>
    <row r="4214" spans="1:11" x14ac:dyDescent="0.25">
      <c r="A4214" t="s">
        <v>1116</v>
      </c>
      <c r="B4214" t="s">
        <v>26</v>
      </c>
      <c r="C4214" t="s">
        <v>13</v>
      </c>
      <c r="D4214" t="s">
        <v>389</v>
      </c>
      <c r="E4214" s="2">
        <v>15.5</v>
      </c>
      <c r="F4214" s="4">
        <v>6</v>
      </c>
      <c r="G4214" s="2">
        <v>93</v>
      </c>
      <c r="H4214" t="s">
        <v>25</v>
      </c>
      <c r="I4214" t="s">
        <v>36</v>
      </c>
      <c r="J4214" s="1">
        <v>44776</v>
      </c>
      <c r="K4214" t="b">
        <v>0</v>
      </c>
    </row>
    <row r="4215" spans="1:11" x14ac:dyDescent="0.25">
      <c r="A4215" t="s">
        <v>6590</v>
      </c>
      <c r="B4215" t="s">
        <v>72</v>
      </c>
      <c r="C4215" t="s">
        <v>38</v>
      </c>
      <c r="D4215" t="s">
        <v>241</v>
      </c>
      <c r="E4215" s="2">
        <v>15.5</v>
      </c>
      <c r="F4215" s="4">
        <v>6</v>
      </c>
      <c r="G4215" s="2">
        <v>93</v>
      </c>
      <c r="H4215" t="s">
        <v>15</v>
      </c>
      <c r="I4215" t="s">
        <v>36</v>
      </c>
      <c r="J4215" s="1">
        <v>45140</v>
      </c>
      <c r="K4215" t="b">
        <v>1</v>
      </c>
    </row>
    <row r="4216" spans="1:11" x14ac:dyDescent="0.25">
      <c r="A4216" t="s">
        <v>309</v>
      </c>
      <c r="B4216" t="s">
        <v>100</v>
      </c>
      <c r="C4216" t="s">
        <v>19</v>
      </c>
      <c r="D4216" t="s">
        <v>166</v>
      </c>
      <c r="E4216" s="2">
        <v>15.5</v>
      </c>
      <c r="F4216" s="4">
        <v>6</v>
      </c>
      <c r="G4216" s="2">
        <v>93</v>
      </c>
      <c r="H4216" t="s">
        <v>15</v>
      </c>
      <c r="I4216" t="s">
        <v>36</v>
      </c>
      <c r="J4216" s="1">
        <v>44791</v>
      </c>
      <c r="K4216" t="b">
        <v>0</v>
      </c>
    </row>
    <row r="4217" spans="1:11" x14ac:dyDescent="0.25">
      <c r="A4217" t="s">
        <v>7241</v>
      </c>
      <c r="B4217" t="s">
        <v>142</v>
      </c>
      <c r="C4217" t="s">
        <v>59</v>
      </c>
      <c r="D4217" t="s">
        <v>201</v>
      </c>
      <c r="E4217" s="2">
        <v>15.5</v>
      </c>
      <c r="F4217" s="4">
        <v>6</v>
      </c>
      <c r="G4217" s="2">
        <v>93</v>
      </c>
      <c r="H4217" t="s">
        <v>25</v>
      </c>
      <c r="I4217" t="s">
        <v>36</v>
      </c>
      <c r="J4217" s="1">
        <v>45229</v>
      </c>
      <c r="K4217" t="b">
        <v>0</v>
      </c>
    </row>
    <row r="4218" spans="1:11" x14ac:dyDescent="0.25">
      <c r="A4218" t="s">
        <v>2957</v>
      </c>
      <c r="B4218" t="s">
        <v>66</v>
      </c>
      <c r="C4218" t="s">
        <v>27</v>
      </c>
      <c r="D4218" t="s">
        <v>105</v>
      </c>
      <c r="E4218" s="2">
        <v>15.5</v>
      </c>
      <c r="F4218" s="4">
        <v>6</v>
      </c>
      <c r="G4218" s="2">
        <v>93</v>
      </c>
      <c r="H4218" t="s">
        <v>45</v>
      </c>
      <c r="I4218" t="s">
        <v>36</v>
      </c>
      <c r="J4218" s="1">
        <v>44621</v>
      </c>
      <c r="K4218" t="b">
        <v>1</v>
      </c>
    </row>
    <row r="4219" spans="1:11" x14ac:dyDescent="0.25">
      <c r="A4219" t="s">
        <v>7109</v>
      </c>
      <c r="B4219" t="s">
        <v>66</v>
      </c>
      <c r="C4219" t="s">
        <v>19</v>
      </c>
      <c r="D4219" t="s">
        <v>166</v>
      </c>
      <c r="E4219" s="2">
        <v>15.5</v>
      </c>
      <c r="F4219" s="4">
        <v>6</v>
      </c>
      <c r="G4219" s="2">
        <v>93</v>
      </c>
      <c r="H4219" t="s">
        <v>25</v>
      </c>
      <c r="I4219" t="s">
        <v>36</v>
      </c>
      <c r="J4219" s="1">
        <v>44947</v>
      </c>
      <c r="K4219" t="b">
        <v>0</v>
      </c>
    </row>
    <row r="4220" spans="1:11" x14ac:dyDescent="0.25">
      <c r="A4220" t="s">
        <v>1678</v>
      </c>
      <c r="B4220" t="s">
        <v>85</v>
      </c>
      <c r="C4220" t="s">
        <v>13</v>
      </c>
      <c r="D4220" t="s">
        <v>389</v>
      </c>
      <c r="E4220" s="2">
        <v>15.5</v>
      </c>
      <c r="F4220" s="4">
        <v>6</v>
      </c>
      <c r="G4220" s="2">
        <v>93</v>
      </c>
      <c r="H4220" t="s">
        <v>25</v>
      </c>
      <c r="I4220" t="s">
        <v>36</v>
      </c>
      <c r="J4220" s="1">
        <v>45107</v>
      </c>
      <c r="K4220" t="b">
        <v>1</v>
      </c>
    </row>
    <row r="4221" spans="1:11" x14ac:dyDescent="0.25">
      <c r="A4221" t="s">
        <v>2426</v>
      </c>
      <c r="B4221" t="s">
        <v>43</v>
      </c>
      <c r="C4221" t="s">
        <v>38</v>
      </c>
      <c r="D4221" t="s">
        <v>241</v>
      </c>
      <c r="E4221" s="2">
        <v>15.5</v>
      </c>
      <c r="F4221" s="4">
        <v>6</v>
      </c>
      <c r="G4221" s="2">
        <v>93</v>
      </c>
      <c r="H4221" t="s">
        <v>25</v>
      </c>
      <c r="I4221" t="s">
        <v>36</v>
      </c>
      <c r="J4221" s="1">
        <v>45191</v>
      </c>
      <c r="K4221" t="b">
        <v>1</v>
      </c>
    </row>
    <row r="4222" spans="1:11" x14ac:dyDescent="0.25">
      <c r="A4222" t="s">
        <v>2528</v>
      </c>
      <c r="B4222" t="s">
        <v>77</v>
      </c>
      <c r="C4222" t="s">
        <v>38</v>
      </c>
      <c r="D4222" t="s">
        <v>241</v>
      </c>
      <c r="E4222" s="2">
        <v>15.5</v>
      </c>
      <c r="F4222" s="4">
        <v>6</v>
      </c>
      <c r="G4222" s="2">
        <v>93</v>
      </c>
      <c r="H4222" t="s">
        <v>45</v>
      </c>
      <c r="I4222" t="s">
        <v>36</v>
      </c>
      <c r="J4222" s="1">
        <v>45666</v>
      </c>
      <c r="K4222" t="b">
        <v>1</v>
      </c>
    </row>
    <row r="4223" spans="1:11" x14ac:dyDescent="0.25">
      <c r="A4223" t="s">
        <v>3580</v>
      </c>
      <c r="B4223" t="s">
        <v>85</v>
      </c>
      <c r="C4223" t="s">
        <v>19</v>
      </c>
      <c r="D4223" t="s">
        <v>166</v>
      </c>
      <c r="E4223" s="2">
        <v>15.5</v>
      </c>
      <c r="F4223" s="4">
        <v>6</v>
      </c>
      <c r="G4223" s="2">
        <v>93</v>
      </c>
      <c r="H4223" t="s">
        <v>15</v>
      </c>
      <c r="I4223" t="s">
        <v>36</v>
      </c>
      <c r="J4223" s="1">
        <v>44707</v>
      </c>
      <c r="K4223" t="b">
        <v>1</v>
      </c>
    </row>
    <row r="4224" spans="1:11" x14ac:dyDescent="0.25">
      <c r="A4224" t="s">
        <v>2976</v>
      </c>
      <c r="B4224" t="s">
        <v>40</v>
      </c>
      <c r="C4224" t="s">
        <v>110</v>
      </c>
      <c r="D4224" t="s">
        <v>199</v>
      </c>
      <c r="E4224" s="2">
        <v>15.5</v>
      </c>
      <c r="F4224" s="4">
        <v>6</v>
      </c>
      <c r="G4224" s="2">
        <v>93</v>
      </c>
      <c r="H4224" t="s">
        <v>25</v>
      </c>
      <c r="I4224" t="s">
        <v>16</v>
      </c>
      <c r="J4224" s="1">
        <v>44845</v>
      </c>
      <c r="K4224" t="b">
        <v>0</v>
      </c>
    </row>
    <row r="4225" spans="1:11" x14ac:dyDescent="0.25">
      <c r="A4225" t="s">
        <v>258</v>
      </c>
      <c r="B4225" t="s">
        <v>142</v>
      </c>
      <c r="C4225" t="s">
        <v>19</v>
      </c>
      <c r="D4225" t="s">
        <v>166</v>
      </c>
      <c r="E4225" s="2">
        <v>15.5</v>
      </c>
      <c r="F4225" s="4">
        <v>6</v>
      </c>
      <c r="G4225" s="2">
        <v>93</v>
      </c>
      <c r="H4225" t="s">
        <v>25</v>
      </c>
      <c r="I4225" t="s">
        <v>16</v>
      </c>
      <c r="J4225" s="1">
        <v>44727</v>
      </c>
      <c r="K4225" t="b">
        <v>0</v>
      </c>
    </row>
    <row r="4226" spans="1:11" x14ac:dyDescent="0.25">
      <c r="A4226" t="s">
        <v>5674</v>
      </c>
      <c r="B4226" t="s">
        <v>30</v>
      </c>
      <c r="C4226" t="s">
        <v>59</v>
      </c>
      <c r="D4226" t="s">
        <v>201</v>
      </c>
      <c r="E4226" s="2">
        <v>15.5</v>
      </c>
      <c r="F4226" s="4">
        <v>6</v>
      </c>
      <c r="G4226" s="2">
        <v>93</v>
      </c>
      <c r="H4226" t="s">
        <v>15</v>
      </c>
      <c r="I4226" t="s">
        <v>16</v>
      </c>
      <c r="J4226" s="1">
        <v>44633</v>
      </c>
      <c r="K4226" t="b">
        <v>0</v>
      </c>
    </row>
    <row r="4227" spans="1:11" x14ac:dyDescent="0.25">
      <c r="A4227" t="s">
        <v>2106</v>
      </c>
      <c r="B4227" t="s">
        <v>22</v>
      </c>
      <c r="C4227" t="s">
        <v>13</v>
      </c>
      <c r="D4227" t="s">
        <v>389</v>
      </c>
      <c r="E4227" s="2">
        <v>15.5</v>
      </c>
      <c r="F4227" s="4">
        <v>6</v>
      </c>
      <c r="G4227" s="2">
        <v>93</v>
      </c>
      <c r="H4227" t="s">
        <v>45</v>
      </c>
      <c r="I4227" t="s">
        <v>16</v>
      </c>
      <c r="J4227" s="1">
        <v>44900</v>
      </c>
      <c r="K4227" t="b">
        <v>0</v>
      </c>
    </row>
    <row r="4228" spans="1:11" x14ac:dyDescent="0.25">
      <c r="A4228" t="s">
        <v>2378</v>
      </c>
      <c r="B4228" t="s">
        <v>72</v>
      </c>
      <c r="C4228" t="s">
        <v>59</v>
      </c>
      <c r="D4228" t="s">
        <v>201</v>
      </c>
      <c r="E4228" s="2">
        <v>15.5</v>
      </c>
      <c r="F4228" s="4">
        <v>6</v>
      </c>
      <c r="G4228" s="2">
        <v>93</v>
      </c>
      <c r="H4228" t="s">
        <v>15</v>
      </c>
      <c r="I4228" t="s">
        <v>36</v>
      </c>
      <c r="J4228" s="1">
        <v>44576</v>
      </c>
      <c r="K4228" t="b">
        <v>0</v>
      </c>
    </row>
    <row r="4229" spans="1:11" x14ac:dyDescent="0.25">
      <c r="A4229" t="s">
        <v>3052</v>
      </c>
      <c r="B4229" t="s">
        <v>85</v>
      </c>
      <c r="C4229" t="s">
        <v>27</v>
      </c>
      <c r="D4229" t="s">
        <v>105</v>
      </c>
      <c r="E4229" s="2">
        <v>15.5</v>
      </c>
      <c r="F4229" s="4">
        <v>6</v>
      </c>
      <c r="G4229" s="2">
        <v>93</v>
      </c>
      <c r="H4229" t="s">
        <v>25</v>
      </c>
      <c r="I4229" t="s">
        <v>36</v>
      </c>
      <c r="J4229" s="1">
        <v>45539</v>
      </c>
      <c r="K4229" t="b">
        <v>1</v>
      </c>
    </row>
    <row r="4230" spans="1:11" x14ac:dyDescent="0.25">
      <c r="A4230" t="s">
        <v>6487</v>
      </c>
      <c r="B4230" t="s">
        <v>69</v>
      </c>
      <c r="C4230" t="s">
        <v>13</v>
      </c>
      <c r="D4230" t="s">
        <v>389</v>
      </c>
      <c r="E4230" s="2">
        <v>15.5</v>
      </c>
      <c r="F4230" s="4">
        <v>6</v>
      </c>
      <c r="G4230" s="2">
        <v>93</v>
      </c>
      <c r="H4230" t="s">
        <v>15</v>
      </c>
      <c r="I4230" t="s">
        <v>16</v>
      </c>
      <c r="J4230" s="1">
        <v>44677</v>
      </c>
      <c r="K4230" t="b">
        <v>1</v>
      </c>
    </row>
    <row r="4231" spans="1:11" x14ac:dyDescent="0.25">
      <c r="A4231" t="s">
        <v>2478</v>
      </c>
      <c r="B4231" t="s">
        <v>93</v>
      </c>
      <c r="C4231" t="s">
        <v>19</v>
      </c>
      <c r="D4231" t="s">
        <v>166</v>
      </c>
      <c r="E4231" s="2">
        <v>15.5</v>
      </c>
      <c r="F4231" s="4">
        <v>6</v>
      </c>
      <c r="G4231" s="2">
        <v>93</v>
      </c>
      <c r="H4231" t="s">
        <v>15</v>
      </c>
      <c r="I4231" t="s">
        <v>16</v>
      </c>
      <c r="J4231" s="1">
        <v>44622</v>
      </c>
      <c r="K4231" t="b">
        <v>0</v>
      </c>
    </row>
    <row r="4232" spans="1:11" x14ac:dyDescent="0.25">
      <c r="A4232" t="s">
        <v>4560</v>
      </c>
      <c r="B4232" t="s">
        <v>26</v>
      </c>
      <c r="C4232" t="s">
        <v>38</v>
      </c>
      <c r="D4232" t="s">
        <v>241</v>
      </c>
      <c r="E4232" s="2">
        <v>15.5</v>
      </c>
      <c r="F4232" s="4">
        <v>6</v>
      </c>
      <c r="G4232" s="2">
        <v>93</v>
      </c>
      <c r="H4232" t="s">
        <v>45</v>
      </c>
      <c r="I4232" t="s">
        <v>36</v>
      </c>
      <c r="J4232" s="1">
        <v>45508</v>
      </c>
      <c r="K4232" t="b">
        <v>1</v>
      </c>
    </row>
    <row r="4233" spans="1:11" x14ac:dyDescent="0.25">
      <c r="A4233" t="s">
        <v>1235</v>
      </c>
      <c r="B4233" t="s">
        <v>66</v>
      </c>
      <c r="C4233" t="s">
        <v>38</v>
      </c>
      <c r="D4233" t="s">
        <v>241</v>
      </c>
      <c r="E4233" s="2">
        <v>15.5</v>
      </c>
      <c r="F4233" s="4">
        <v>6</v>
      </c>
      <c r="G4233" s="2">
        <v>93</v>
      </c>
      <c r="H4233" t="s">
        <v>45</v>
      </c>
      <c r="I4233" t="s">
        <v>36</v>
      </c>
      <c r="J4233" s="1">
        <v>44668</v>
      </c>
      <c r="K4233" t="b">
        <v>0</v>
      </c>
    </row>
    <row r="4234" spans="1:11" x14ac:dyDescent="0.25">
      <c r="A4234" t="s">
        <v>1635</v>
      </c>
      <c r="B4234" t="s">
        <v>30</v>
      </c>
      <c r="C4234" t="s">
        <v>59</v>
      </c>
      <c r="D4234" t="s">
        <v>201</v>
      </c>
      <c r="E4234" s="2">
        <v>15.5</v>
      </c>
      <c r="F4234" s="4">
        <v>6</v>
      </c>
      <c r="G4234" s="2">
        <v>93</v>
      </c>
      <c r="H4234" t="s">
        <v>25</v>
      </c>
      <c r="I4234" t="s">
        <v>16</v>
      </c>
      <c r="J4234" s="1">
        <v>44729</v>
      </c>
      <c r="K4234" t="b">
        <v>0</v>
      </c>
    </row>
    <row r="4235" spans="1:11" x14ac:dyDescent="0.25">
      <c r="A4235" t="s">
        <v>4854</v>
      </c>
      <c r="B4235" t="s">
        <v>51</v>
      </c>
      <c r="C4235" t="s">
        <v>38</v>
      </c>
      <c r="D4235" t="s">
        <v>241</v>
      </c>
      <c r="E4235" s="2">
        <v>15.5</v>
      </c>
      <c r="F4235" s="4">
        <v>6</v>
      </c>
      <c r="G4235" s="2">
        <v>93</v>
      </c>
      <c r="H4235" t="s">
        <v>45</v>
      </c>
      <c r="I4235" t="s">
        <v>36</v>
      </c>
      <c r="J4235" s="1">
        <v>45403</v>
      </c>
      <c r="K4235" t="b">
        <v>1</v>
      </c>
    </row>
    <row r="4236" spans="1:11" x14ac:dyDescent="0.25">
      <c r="A4236" t="s">
        <v>4212</v>
      </c>
      <c r="B4236" t="s">
        <v>93</v>
      </c>
      <c r="C4236" t="s">
        <v>59</v>
      </c>
      <c r="D4236" t="s">
        <v>201</v>
      </c>
      <c r="E4236" s="2">
        <v>15.5</v>
      </c>
      <c r="F4236" s="4">
        <v>6</v>
      </c>
      <c r="G4236" s="2">
        <v>93</v>
      </c>
      <c r="H4236" t="s">
        <v>15</v>
      </c>
      <c r="I4236" t="s">
        <v>16</v>
      </c>
      <c r="J4236" s="1">
        <v>45380</v>
      </c>
      <c r="K4236" t="b">
        <v>1</v>
      </c>
    </row>
    <row r="4237" spans="1:11" x14ac:dyDescent="0.25">
      <c r="A4237" t="s">
        <v>6125</v>
      </c>
      <c r="B4237" t="s">
        <v>37</v>
      </c>
      <c r="C4237" t="s">
        <v>31</v>
      </c>
      <c r="D4237" t="s">
        <v>585</v>
      </c>
      <c r="E4237" s="2">
        <v>15.5</v>
      </c>
      <c r="F4237" s="4">
        <v>6</v>
      </c>
      <c r="G4237" s="2">
        <v>93</v>
      </c>
      <c r="H4237" t="s">
        <v>25</v>
      </c>
      <c r="I4237" t="s">
        <v>36</v>
      </c>
      <c r="J4237" s="1">
        <v>45266</v>
      </c>
      <c r="K4237" t="b">
        <v>1</v>
      </c>
    </row>
    <row r="4238" spans="1:11" x14ac:dyDescent="0.25">
      <c r="A4238" t="s">
        <v>3965</v>
      </c>
      <c r="B4238" t="s">
        <v>72</v>
      </c>
      <c r="C4238" t="s">
        <v>19</v>
      </c>
      <c r="D4238" t="s">
        <v>166</v>
      </c>
      <c r="E4238" s="2">
        <v>15.5</v>
      </c>
      <c r="F4238" s="4">
        <v>6</v>
      </c>
      <c r="G4238" s="2">
        <v>93</v>
      </c>
      <c r="H4238" t="s">
        <v>45</v>
      </c>
      <c r="I4238" t="s">
        <v>16</v>
      </c>
      <c r="J4238" s="1">
        <v>44708</v>
      </c>
      <c r="K4238" t="b">
        <v>0</v>
      </c>
    </row>
    <row r="4239" spans="1:11" x14ac:dyDescent="0.25">
      <c r="A4239" t="s">
        <v>7169</v>
      </c>
      <c r="B4239" t="s">
        <v>142</v>
      </c>
      <c r="C4239" t="s">
        <v>19</v>
      </c>
      <c r="D4239" t="s">
        <v>166</v>
      </c>
      <c r="E4239" s="2">
        <v>15.5</v>
      </c>
      <c r="F4239" s="4">
        <v>6</v>
      </c>
      <c r="G4239" s="2">
        <v>93</v>
      </c>
      <c r="H4239" t="s">
        <v>45</v>
      </c>
      <c r="I4239" t="s">
        <v>16</v>
      </c>
      <c r="J4239" s="1">
        <v>44772</v>
      </c>
      <c r="K4239" t="b">
        <v>1</v>
      </c>
    </row>
    <row r="4240" spans="1:11" x14ac:dyDescent="0.25">
      <c r="A4240" t="s">
        <v>584</v>
      </c>
      <c r="B4240" t="s">
        <v>34</v>
      </c>
      <c r="C4240" t="s">
        <v>31</v>
      </c>
      <c r="D4240" t="s">
        <v>585</v>
      </c>
      <c r="E4240" s="2">
        <v>15.5</v>
      </c>
      <c r="F4240" s="4">
        <v>6</v>
      </c>
      <c r="G4240" s="2">
        <v>93</v>
      </c>
      <c r="H4240" t="s">
        <v>25</v>
      </c>
      <c r="I4240" t="s">
        <v>36</v>
      </c>
      <c r="J4240" s="1">
        <v>45504</v>
      </c>
      <c r="K4240" t="b">
        <v>1</v>
      </c>
    </row>
    <row r="4241" spans="1:11" x14ac:dyDescent="0.25">
      <c r="A4241" t="s">
        <v>3352</v>
      </c>
      <c r="B4241" t="s">
        <v>22</v>
      </c>
      <c r="C4241" t="s">
        <v>13</v>
      </c>
      <c r="D4241" t="s">
        <v>389</v>
      </c>
      <c r="E4241" s="2">
        <v>15.5</v>
      </c>
      <c r="F4241" s="4">
        <v>6</v>
      </c>
      <c r="G4241" s="2">
        <v>93</v>
      </c>
      <c r="H4241" t="s">
        <v>15</v>
      </c>
      <c r="I4241" t="s">
        <v>36</v>
      </c>
      <c r="J4241" s="1">
        <v>45355</v>
      </c>
      <c r="K4241" t="b">
        <v>0</v>
      </c>
    </row>
    <row r="4242" spans="1:11" x14ac:dyDescent="0.25">
      <c r="A4242" t="s">
        <v>1541</v>
      </c>
      <c r="B4242" t="s">
        <v>18</v>
      </c>
      <c r="C4242" t="s">
        <v>59</v>
      </c>
      <c r="D4242" t="s">
        <v>201</v>
      </c>
      <c r="E4242" s="2">
        <v>15.5</v>
      </c>
      <c r="F4242" s="4">
        <v>6</v>
      </c>
      <c r="G4242" s="2">
        <v>93</v>
      </c>
      <c r="H4242" t="s">
        <v>25</v>
      </c>
      <c r="I4242" t="s">
        <v>16</v>
      </c>
      <c r="J4242" s="1">
        <v>44993</v>
      </c>
      <c r="K4242" t="b">
        <v>0</v>
      </c>
    </row>
    <row r="4243" spans="1:11" x14ac:dyDescent="0.25">
      <c r="A4243" t="s">
        <v>5559</v>
      </c>
      <c r="B4243" t="s">
        <v>51</v>
      </c>
      <c r="C4243" t="s">
        <v>59</v>
      </c>
      <c r="D4243" t="s">
        <v>201</v>
      </c>
      <c r="E4243" s="2">
        <v>15.5</v>
      </c>
      <c r="F4243" s="4">
        <v>6</v>
      </c>
      <c r="G4243" s="2">
        <v>93</v>
      </c>
      <c r="H4243" t="s">
        <v>15</v>
      </c>
      <c r="I4243" t="s">
        <v>16</v>
      </c>
      <c r="J4243" s="1">
        <v>44585</v>
      </c>
      <c r="K4243" t="b">
        <v>1</v>
      </c>
    </row>
    <row r="4244" spans="1:11" x14ac:dyDescent="0.25">
      <c r="A4244" t="s">
        <v>4298</v>
      </c>
      <c r="B4244" t="s">
        <v>97</v>
      </c>
      <c r="C4244" t="s">
        <v>59</v>
      </c>
      <c r="D4244" t="s">
        <v>201</v>
      </c>
      <c r="E4244" s="2">
        <v>15.5</v>
      </c>
      <c r="F4244" s="4">
        <v>6</v>
      </c>
      <c r="G4244" s="2">
        <v>93</v>
      </c>
      <c r="H4244" t="s">
        <v>45</v>
      </c>
      <c r="I4244" t="s">
        <v>36</v>
      </c>
      <c r="J4244" s="1">
        <v>44792</v>
      </c>
      <c r="K4244" t="b">
        <v>1</v>
      </c>
    </row>
    <row r="4245" spans="1:11" x14ac:dyDescent="0.25">
      <c r="A4245" t="s">
        <v>5910</v>
      </c>
      <c r="B4245" t="s">
        <v>43</v>
      </c>
      <c r="C4245" t="s">
        <v>59</v>
      </c>
      <c r="D4245" t="s">
        <v>201</v>
      </c>
      <c r="E4245" s="2">
        <v>15.5</v>
      </c>
      <c r="F4245" s="4">
        <v>6</v>
      </c>
      <c r="G4245" s="2">
        <v>93</v>
      </c>
      <c r="H4245" t="s">
        <v>25</v>
      </c>
      <c r="I4245" t="s">
        <v>36</v>
      </c>
      <c r="J4245" s="1">
        <v>45358</v>
      </c>
      <c r="K4245" t="b">
        <v>0</v>
      </c>
    </row>
    <row r="4246" spans="1:11" x14ac:dyDescent="0.25">
      <c r="A4246" t="s">
        <v>1982</v>
      </c>
      <c r="B4246" t="s">
        <v>142</v>
      </c>
      <c r="C4246" t="s">
        <v>19</v>
      </c>
      <c r="D4246" t="s">
        <v>166</v>
      </c>
      <c r="E4246" s="2">
        <v>15.5</v>
      </c>
      <c r="F4246" s="4">
        <v>6</v>
      </c>
      <c r="G4246" s="2">
        <v>93</v>
      </c>
      <c r="H4246" t="s">
        <v>15</v>
      </c>
      <c r="I4246" t="s">
        <v>16</v>
      </c>
      <c r="J4246" s="1">
        <v>44643</v>
      </c>
      <c r="K4246" t="b">
        <v>0</v>
      </c>
    </row>
    <row r="4247" spans="1:11" x14ac:dyDescent="0.25">
      <c r="A4247" t="s">
        <v>7427</v>
      </c>
      <c r="B4247" t="s">
        <v>22</v>
      </c>
      <c r="C4247" t="s">
        <v>19</v>
      </c>
      <c r="D4247" t="s">
        <v>166</v>
      </c>
      <c r="E4247" s="2">
        <v>15.5</v>
      </c>
      <c r="F4247" s="4">
        <v>6</v>
      </c>
      <c r="G4247" s="2">
        <v>93</v>
      </c>
      <c r="H4247" t="s">
        <v>45</v>
      </c>
      <c r="I4247" t="s">
        <v>36</v>
      </c>
      <c r="J4247" s="1">
        <v>44819</v>
      </c>
      <c r="K4247" t="b">
        <v>1</v>
      </c>
    </row>
    <row r="4248" spans="1:11" x14ac:dyDescent="0.25">
      <c r="A4248" t="s">
        <v>5340</v>
      </c>
      <c r="B4248" t="s">
        <v>77</v>
      </c>
      <c r="C4248" t="s">
        <v>19</v>
      </c>
      <c r="D4248" t="s">
        <v>166</v>
      </c>
      <c r="E4248" s="2">
        <v>15.5</v>
      </c>
      <c r="F4248" s="4">
        <v>6</v>
      </c>
      <c r="G4248" s="2">
        <v>93</v>
      </c>
      <c r="H4248" t="s">
        <v>15</v>
      </c>
      <c r="I4248" t="s">
        <v>36</v>
      </c>
      <c r="J4248" s="1">
        <v>45658</v>
      </c>
      <c r="K4248" t="b">
        <v>0</v>
      </c>
    </row>
    <row r="4249" spans="1:11" x14ac:dyDescent="0.25">
      <c r="A4249" t="s">
        <v>6064</v>
      </c>
      <c r="B4249" t="s">
        <v>30</v>
      </c>
      <c r="C4249" t="s">
        <v>31</v>
      </c>
      <c r="D4249" t="s">
        <v>585</v>
      </c>
      <c r="E4249" s="2">
        <v>15.5</v>
      </c>
      <c r="F4249" s="4">
        <v>6</v>
      </c>
      <c r="G4249" s="2">
        <v>93</v>
      </c>
      <c r="H4249" t="s">
        <v>25</v>
      </c>
      <c r="I4249" t="s">
        <v>16</v>
      </c>
      <c r="J4249" s="1">
        <v>45508</v>
      </c>
      <c r="K4249" t="b">
        <v>1</v>
      </c>
    </row>
    <row r="4250" spans="1:11" x14ac:dyDescent="0.25">
      <c r="A4250" t="s">
        <v>6833</v>
      </c>
      <c r="B4250" t="s">
        <v>37</v>
      </c>
      <c r="C4250" t="s">
        <v>23</v>
      </c>
      <c r="D4250" t="s">
        <v>187</v>
      </c>
      <c r="E4250" s="2">
        <v>15.5</v>
      </c>
      <c r="F4250" s="4">
        <v>6</v>
      </c>
      <c r="G4250" s="2">
        <v>93</v>
      </c>
      <c r="H4250" t="s">
        <v>45</v>
      </c>
      <c r="I4250" t="s">
        <v>16</v>
      </c>
      <c r="J4250" s="1">
        <v>44971</v>
      </c>
      <c r="K4250" t="b">
        <v>0</v>
      </c>
    </row>
    <row r="4251" spans="1:11" x14ac:dyDescent="0.25">
      <c r="A4251" t="s">
        <v>2066</v>
      </c>
      <c r="B4251" t="s">
        <v>63</v>
      </c>
      <c r="C4251" t="s">
        <v>38</v>
      </c>
      <c r="D4251" t="s">
        <v>241</v>
      </c>
      <c r="E4251" s="2">
        <v>15.5</v>
      </c>
      <c r="F4251" s="4">
        <v>6</v>
      </c>
      <c r="G4251" s="2">
        <v>93</v>
      </c>
      <c r="H4251" t="s">
        <v>45</v>
      </c>
      <c r="I4251" t="s">
        <v>16</v>
      </c>
      <c r="J4251" s="1">
        <v>45338</v>
      </c>
      <c r="K4251" t="b">
        <v>1</v>
      </c>
    </row>
    <row r="4252" spans="1:11" x14ac:dyDescent="0.25">
      <c r="A4252" t="s">
        <v>6433</v>
      </c>
      <c r="B4252" t="s">
        <v>34</v>
      </c>
      <c r="C4252" t="s">
        <v>59</v>
      </c>
      <c r="D4252" t="s">
        <v>201</v>
      </c>
      <c r="E4252" s="2">
        <v>15.5</v>
      </c>
      <c r="F4252" s="4">
        <v>6</v>
      </c>
      <c r="G4252" s="2">
        <v>93</v>
      </c>
      <c r="H4252" t="s">
        <v>45</v>
      </c>
      <c r="I4252" t="s">
        <v>36</v>
      </c>
      <c r="J4252" s="1">
        <v>45223</v>
      </c>
      <c r="K4252" t="b">
        <v>1</v>
      </c>
    </row>
    <row r="4253" spans="1:11" x14ac:dyDescent="0.25">
      <c r="A4253" t="s">
        <v>1978</v>
      </c>
      <c r="B4253" t="s">
        <v>26</v>
      </c>
      <c r="C4253" t="s">
        <v>31</v>
      </c>
      <c r="D4253" t="s">
        <v>67</v>
      </c>
      <c r="E4253" s="2">
        <v>18.5</v>
      </c>
      <c r="F4253" s="4">
        <v>5</v>
      </c>
      <c r="G4253" s="2">
        <v>92.5</v>
      </c>
      <c r="H4253" t="s">
        <v>45</v>
      </c>
      <c r="I4253" t="s">
        <v>16</v>
      </c>
      <c r="J4253" s="1">
        <v>45141</v>
      </c>
      <c r="K4253" t="b">
        <v>1</v>
      </c>
    </row>
    <row r="4254" spans="1:11" x14ac:dyDescent="0.25">
      <c r="A4254" t="s">
        <v>753</v>
      </c>
      <c r="B4254" t="s">
        <v>85</v>
      </c>
      <c r="C4254" t="s">
        <v>110</v>
      </c>
      <c r="D4254" t="s">
        <v>189</v>
      </c>
      <c r="E4254" s="2">
        <v>18.5</v>
      </c>
      <c r="F4254" s="4">
        <v>5</v>
      </c>
      <c r="G4254" s="2">
        <v>92.5</v>
      </c>
      <c r="H4254" t="s">
        <v>25</v>
      </c>
      <c r="I4254" t="s">
        <v>16</v>
      </c>
      <c r="J4254" s="1">
        <v>45621</v>
      </c>
      <c r="K4254" t="b">
        <v>1</v>
      </c>
    </row>
    <row r="4255" spans="1:11" x14ac:dyDescent="0.25">
      <c r="A4255" t="s">
        <v>4273</v>
      </c>
      <c r="B4255" t="s">
        <v>104</v>
      </c>
      <c r="C4255" t="s">
        <v>110</v>
      </c>
      <c r="D4255" t="s">
        <v>189</v>
      </c>
      <c r="E4255" s="2">
        <v>18.5</v>
      </c>
      <c r="F4255" s="4">
        <v>5</v>
      </c>
      <c r="G4255" s="2">
        <v>92.5</v>
      </c>
      <c r="H4255" t="s">
        <v>15</v>
      </c>
      <c r="I4255" t="s">
        <v>16</v>
      </c>
      <c r="J4255" s="1">
        <v>45098</v>
      </c>
      <c r="K4255" t="b">
        <v>0</v>
      </c>
    </row>
    <row r="4256" spans="1:11" x14ac:dyDescent="0.25">
      <c r="A4256" t="s">
        <v>7266</v>
      </c>
      <c r="B4256" t="s">
        <v>40</v>
      </c>
      <c r="C4256" t="s">
        <v>31</v>
      </c>
      <c r="D4256" t="s">
        <v>67</v>
      </c>
      <c r="E4256" s="2">
        <v>18.5</v>
      </c>
      <c r="F4256" s="4">
        <v>5</v>
      </c>
      <c r="G4256" s="2">
        <v>92.5</v>
      </c>
      <c r="H4256" t="s">
        <v>45</v>
      </c>
      <c r="I4256" t="s">
        <v>36</v>
      </c>
      <c r="J4256" s="1">
        <v>44964</v>
      </c>
      <c r="K4256" t="b">
        <v>1</v>
      </c>
    </row>
    <row r="4257" spans="1:11" x14ac:dyDescent="0.25">
      <c r="A4257" t="s">
        <v>1887</v>
      </c>
      <c r="B4257" t="s">
        <v>30</v>
      </c>
      <c r="C4257" t="s">
        <v>13</v>
      </c>
      <c r="D4257" t="s">
        <v>14</v>
      </c>
      <c r="E4257" s="2">
        <v>18.5</v>
      </c>
      <c r="F4257" s="4">
        <v>5</v>
      </c>
      <c r="G4257" s="2">
        <v>92.5</v>
      </c>
      <c r="H4257" t="s">
        <v>45</v>
      </c>
      <c r="I4257" t="s">
        <v>36</v>
      </c>
      <c r="J4257" s="1">
        <v>44678</v>
      </c>
      <c r="K4257" t="b">
        <v>1</v>
      </c>
    </row>
    <row r="4258" spans="1:11" x14ac:dyDescent="0.25">
      <c r="A4258" t="s">
        <v>2543</v>
      </c>
      <c r="B4258" t="s">
        <v>58</v>
      </c>
      <c r="C4258" t="s">
        <v>59</v>
      </c>
      <c r="D4258" t="s">
        <v>102</v>
      </c>
      <c r="E4258" s="2">
        <v>18.5</v>
      </c>
      <c r="F4258" s="4">
        <v>5</v>
      </c>
      <c r="G4258" s="2">
        <v>92.5</v>
      </c>
      <c r="H4258" t="s">
        <v>25</v>
      </c>
      <c r="I4258" t="s">
        <v>16</v>
      </c>
      <c r="J4258" s="1">
        <v>45218</v>
      </c>
      <c r="K4258" t="b">
        <v>0</v>
      </c>
    </row>
    <row r="4259" spans="1:11" x14ac:dyDescent="0.25">
      <c r="A4259" t="s">
        <v>2588</v>
      </c>
      <c r="B4259" t="s">
        <v>104</v>
      </c>
      <c r="C4259" t="s">
        <v>110</v>
      </c>
      <c r="D4259" t="s">
        <v>189</v>
      </c>
      <c r="E4259" s="2">
        <v>18.5</v>
      </c>
      <c r="F4259" s="4">
        <v>5</v>
      </c>
      <c r="G4259" s="2">
        <v>92.5</v>
      </c>
      <c r="H4259" t="s">
        <v>45</v>
      </c>
      <c r="I4259" t="s">
        <v>16</v>
      </c>
      <c r="J4259" s="1">
        <v>45379</v>
      </c>
      <c r="K4259" t="b">
        <v>1</v>
      </c>
    </row>
    <row r="4260" spans="1:11" x14ac:dyDescent="0.25">
      <c r="A4260" t="s">
        <v>3705</v>
      </c>
      <c r="B4260" t="s">
        <v>93</v>
      </c>
      <c r="C4260" t="s">
        <v>110</v>
      </c>
      <c r="D4260" t="s">
        <v>189</v>
      </c>
      <c r="E4260" s="2">
        <v>18.5</v>
      </c>
      <c r="F4260" s="4">
        <v>5</v>
      </c>
      <c r="G4260" s="2">
        <v>92.5</v>
      </c>
      <c r="H4260" t="s">
        <v>45</v>
      </c>
      <c r="I4260" t="s">
        <v>36</v>
      </c>
      <c r="J4260" s="1">
        <v>45124</v>
      </c>
      <c r="K4260" t="b">
        <v>1</v>
      </c>
    </row>
    <row r="4261" spans="1:11" x14ac:dyDescent="0.25">
      <c r="A4261" t="s">
        <v>1885</v>
      </c>
      <c r="B4261" t="s">
        <v>43</v>
      </c>
      <c r="C4261" t="s">
        <v>19</v>
      </c>
      <c r="D4261" t="s">
        <v>1452</v>
      </c>
      <c r="E4261" s="2">
        <v>18.5</v>
      </c>
      <c r="F4261" s="4">
        <v>5</v>
      </c>
      <c r="G4261" s="2">
        <v>92.5</v>
      </c>
      <c r="H4261" t="s">
        <v>15</v>
      </c>
      <c r="I4261" t="s">
        <v>16</v>
      </c>
      <c r="J4261" s="1">
        <v>44944</v>
      </c>
      <c r="K4261" t="b">
        <v>1</v>
      </c>
    </row>
    <row r="4262" spans="1:11" x14ac:dyDescent="0.25">
      <c r="A4262" t="s">
        <v>7750</v>
      </c>
      <c r="B4262" t="s">
        <v>58</v>
      </c>
      <c r="C4262" t="s">
        <v>59</v>
      </c>
      <c r="D4262" t="s">
        <v>102</v>
      </c>
      <c r="E4262" s="2">
        <v>18.5</v>
      </c>
      <c r="F4262" s="4">
        <v>5</v>
      </c>
      <c r="G4262" s="2">
        <v>92.5</v>
      </c>
      <c r="H4262" t="s">
        <v>45</v>
      </c>
      <c r="I4262" t="s">
        <v>36</v>
      </c>
      <c r="J4262" s="1">
        <v>45372</v>
      </c>
      <c r="K4262" t="b">
        <v>1</v>
      </c>
    </row>
    <row r="4263" spans="1:11" x14ac:dyDescent="0.25">
      <c r="A4263" t="s">
        <v>2400</v>
      </c>
      <c r="B4263" t="s">
        <v>12</v>
      </c>
      <c r="C4263" t="s">
        <v>38</v>
      </c>
      <c r="D4263" t="s">
        <v>94</v>
      </c>
      <c r="E4263" s="2">
        <v>18.5</v>
      </c>
      <c r="F4263" s="4">
        <v>5</v>
      </c>
      <c r="G4263" s="2">
        <v>92.5</v>
      </c>
      <c r="H4263" t="s">
        <v>15</v>
      </c>
      <c r="I4263" t="s">
        <v>36</v>
      </c>
      <c r="J4263" s="1">
        <v>45315</v>
      </c>
      <c r="K4263" t="b">
        <v>1</v>
      </c>
    </row>
    <row r="4264" spans="1:11" x14ac:dyDescent="0.25">
      <c r="A4264" t="s">
        <v>2118</v>
      </c>
      <c r="B4264" t="s">
        <v>43</v>
      </c>
      <c r="C4264" t="s">
        <v>59</v>
      </c>
      <c r="D4264" t="s">
        <v>102</v>
      </c>
      <c r="E4264" s="2">
        <v>18.5</v>
      </c>
      <c r="F4264" s="4">
        <v>5</v>
      </c>
      <c r="G4264" s="2">
        <v>92.5</v>
      </c>
      <c r="H4264" t="s">
        <v>15</v>
      </c>
      <c r="I4264" t="s">
        <v>36</v>
      </c>
      <c r="J4264" s="1">
        <v>45015</v>
      </c>
      <c r="K4264" t="b">
        <v>1</v>
      </c>
    </row>
    <row r="4265" spans="1:11" x14ac:dyDescent="0.25">
      <c r="A4265" t="s">
        <v>1880</v>
      </c>
      <c r="B4265" t="s">
        <v>77</v>
      </c>
      <c r="C4265" t="s">
        <v>19</v>
      </c>
      <c r="D4265" t="s">
        <v>1452</v>
      </c>
      <c r="E4265" s="2">
        <v>18.5</v>
      </c>
      <c r="F4265" s="4">
        <v>5</v>
      </c>
      <c r="G4265" s="2">
        <v>92.5</v>
      </c>
      <c r="H4265" t="s">
        <v>25</v>
      </c>
      <c r="I4265" t="s">
        <v>16</v>
      </c>
      <c r="J4265" s="1">
        <v>44569</v>
      </c>
      <c r="K4265" t="b">
        <v>1</v>
      </c>
    </row>
    <row r="4266" spans="1:11" x14ac:dyDescent="0.25">
      <c r="A4266" t="s">
        <v>210</v>
      </c>
      <c r="B4266" t="s">
        <v>69</v>
      </c>
      <c r="C4266" t="s">
        <v>13</v>
      </c>
      <c r="D4266" t="s">
        <v>14</v>
      </c>
      <c r="E4266" s="2">
        <v>18.5</v>
      </c>
      <c r="F4266" s="4">
        <v>5</v>
      </c>
      <c r="G4266" s="2">
        <v>92.5</v>
      </c>
      <c r="H4266" t="s">
        <v>45</v>
      </c>
      <c r="I4266" t="s">
        <v>36</v>
      </c>
      <c r="J4266" s="1">
        <v>45428</v>
      </c>
      <c r="K4266" t="b">
        <v>0</v>
      </c>
    </row>
    <row r="4267" spans="1:11" x14ac:dyDescent="0.25">
      <c r="A4267" t="s">
        <v>4242</v>
      </c>
      <c r="B4267" t="s">
        <v>18</v>
      </c>
      <c r="C4267" t="s">
        <v>31</v>
      </c>
      <c r="D4267" t="s">
        <v>67</v>
      </c>
      <c r="E4267" s="2">
        <v>18.5</v>
      </c>
      <c r="F4267" s="4">
        <v>5</v>
      </c>
      <c r="G4267" s="2">
        <v>92.5</v>
      </c>
      <c r="H4267" t="s">
        <v>25</v>
      </c>
      <c r="I4267" t="s">
        <v>36</v>
      </c>
      <c r="J4267" s="1">
        <v>45220</v>
      </c>
      <c r="K4267" t="b">
        <v>1</v>
      </c>
    </row>
    <row r="4268" spans="1:11" x14ac:dyDescent="0.25">
      <c r="A4268" t="s">
        <v>4094</v>
      </c>
      <c r="B4268" t="s">
        <v>43</v>
      </c>
      <c r="C4268" t="s">
        <v>13</v>
      </c>
      <c r="D4268" t="s">
        <v>14</v>
      </c>
      <c r="E4268" s="2">
        <v>18.5</v>
      </c>
      <c r="F4268" s="4">
        <v>5</v>
      </c>
      <c r="G4268" s="2">
        <v>92.5</v>
      </c>
      <c r="H4268" t="s">
        <v>15</v>
      </c>
      <c r="I4268" t="s">
        <v>36</v>
      </c>
      <c r="J4268" s="1">
        <v>45263</v>
      </c>
      <c r="K4268" t="b">
        <v>0</v>
      </c>
    </row>
    <row r="4269" spans="1:11" x14ac:dyDescent="0.25">
      <c r="A4269" t="s">
        <v>92</v>
      </c>
      <c r="B4269" t="s">
        <v>93</v>
      </c>
      <c r="C4269" t="s">
        <v>38</v>
      </c>
      <c r="D4269" t="s">
        <v>94</v>
      </c>
      <c r="E4269" s="2">
        <v>18.5</v>
      </c>
      <c r="F4269" s="4">
        <v>5</v>
      </c>
      <c r="G4269" s="2">
        <v>92.5</v>
      </c>
      <c r="H4269" t="s">
        <v>25</v>
      </c>
      <c r="I4269" t="s">
        <v>16</v>
      </c>
      <c r="J4269" s="1">
        <v>45405</v>
      </c>
      <c r="K4269" t="b">
        <v>1</v>
      </c>
    </row>
    <row r="4270" spans="1:11" x14ac:dyDescent="0.25">
      <c r="A4270" t="s">
        <v>3384</v>
      </c>
      <c r="B4270" t="s">
        <v>56</v>
      </c>
      <c r="C4270" t="s">
        <v>31</v>
      </c>
      <c r="D4270" t="s">
        <v>67</v>
      </c>
      <c r="E4270" s="2">
        <v>18.5</v>
      </c>
      <c r="F4270" s="4">
        <v>5</v>
      </c>
      <c r="G4270" s="2">
        <v>92.5</v>
      </c>
      <c r="H4270" t="s">
        <v>45</v>
      </c>
      <c r="I4270" t="s">
        <v>36</v>
      </c>
      <c r="J4270" s="1">
        <v>44667</v>
      </c>
      <c r="K4270" t="b">
        <v>1</v>
      </c>
    </row>
    <row r="4271" spans="1:11" x14ac:dyDescent="0.25">
      <c r="A4271" t="s">
        <v>2823</v>
      </c>
      <c r="B4271" t="s">
        <v>61</v>
      </c>
      <c r="C4271" t="s">
        <v>27</v>
      </c>
      <c r="D4271" t="s">
        <v>384</v>
      </c>
      <c r="E4271" s="2">
        <v>18.5</v>
      </c>
      <c r="F4271" s="4">
        <v>5</v>
      </c>
      <c r="G4271" s="2">
        <v>92.5</v>
      </c>
      <c r="H4271" t="s">
        <v>25</v>
      </c>
      <c r="I4271" t="s">
        <v>36</v>
      </c>
      <c r="J4271" s="1">
        <v>44630</v>
      </c>
      <c r="K4271" t="b">
        <v>1</v>
      </c>
    </row>
    <row r="4272" spans="1:11" x14ac:dyDescent="0.25">
      <c r="A4272" t="s">
        <v>188</v>
      </c>
      <c r="B4272" t="s">
        <v>58</v>
      </c>
      <c r="C4272" t="s">
        <v>110</v>
      </c>
      <c r="D4272" t="s">
        <v>189</v>
      </c>
      <c r="E4272" s="2">
        <v>18.5</v>
      </c>
      <c r="F4272" s="4">
        <v>5</v>
      </c>
      <c r="G4272" s="2">
        <v>92.5</v>
      </c>
      <c r="H4272" t="s">
        <v>45</v>
      </c>
      <c r="I4272" t="s">
        <v>16</v>
      </c>
      <c r="J4272" s="1">
        <v>44708</v>
      </c>
      <c r="K4272" t="b">
        <v>0</v>
      </c>
    </row>
    <row r="4273" spans="1:11" x14ac:dyDescent="0.25">
      <c r="A4273" t="s">
        <v>1270</v>
      </c>
      <c r="B4273" t="s">
        <v>26</v>
      </c>
      <c r="C4273" t="s">
        <v>31</v>
      </c>
      <c r="D4273" t="s">
        <v>67</v>
      </c>
      <c r="E4273" s="2">
        <v>18.5</v>
      </c>
      <c r="F4273" s="4">
        <v>5</v>
      </c>
      <c r="G4273" s="2">
        <v>92.5</v>
      </c>
      <c r="H4273" t="s">
        <v>45</v>
      </c>
      <c r="I4273" t="s">
        <v>36</v>
      </c>
      <c r="J4273" s="1">
        <v>45625</v>
      </c>
      <c r="K4273" t="b">
        <v>0</v>
      </c>
    </row>
    <row r="4274" spans="1:11" x14ac:dyDescent="0.25">
      <c r="A4274" t="s">
        <v>695</v>
      </c>
      <c r="B4274" t="s">
        <v>104</v>
      </c>
      <c r="C4274" t="s">
        <v>23</v>
      </c>
      <c r="D4274" t="s">
        <v>244</v>
      </c>
      <c r="E4274" s="2">
        <v>23</v>
      </c>
      <c r="F4274" s="4">
        <v>4</v>
      </c>
      <c r="G4274" s="2">
        <v>92</v>
      </c>
      <c r="H4274" t="s">
        <v>25</v>
      </c>
      <c r="I4274" t="s">
        <v>16</v>
      </c>
      <c r="J4274" s="1">
        <v>44867</v>
      </c>
      <c r="K4274" t="b">
        <v>1</v>
      </c>
    </row>
    <row r="4275" spans="1:11" x14ac:dyDescent="0.25">
      <c r="A4275" t="s">
        <v>7226</v>
      </c>
      <c r="B4275" t="s">
        <v>100</v>
      </c>
      <c r="C4275" t="s">
        <v>13</v>
      </c>
      <c r="D4275" t="s">
        <v>292</v>
      </c>
      <c r="E4275" s="2">
        <v>23</v>
      </c>
      <c r="F4275" s="4">
        <v>4</v>
      </c>
      <c r="G4275" s="2">
        <v>92</v>
      </c>
      <c r="H4275" t="s">
        <v>45</v>
      </c>
      <c r="I4275" t="s">
        <v>16</v>
      </c>
      <c r="J4275" s="1">
        <v>45320</v>
      </c>
      <c r="K4275" t="b">
        <v>1</v>
      </c>
    </row>
    <row r="4276" spans="1:11" x14ac:dyDescent="0.25">
      <c r="A4276" t="s">
        <v>3877</v>
      </c>
      <c r="B4276" t="s">
        <v>66</v>
      </c>
      <c r="C4276" t="s">
        <v>31</v>
      </c>
      <c r="D4276" t="s">
        <v>361</v>
      </c>
      <c r="E4276" s="2">
        <v>23</v>
      </c>
      <c r="F4276" s="4">
        <v>4</v>
      </c>
      <c r="G4276" s="2">
        <v>92</v>
      </c>
      <c r="H4276" t="s">
        <v>45</v>
      </c>
      <c r="I4276" t="s">
        <v>36</v>
      </c>
      <c r="J4276" s="1">
        <v>44993</v>
      </c>
      <c r="K4276" t="b">
        <v>1</v>
      </c>
    </row>
    <row r="4277" spans="1:11" x14ac:dyDescent="0.25">
      <c r="A4277" t="s">
        <v>416</v>
      </c>
      <c r="B4277" t="s">
        <v>77</v>
      </c>
      <c r="C4277" t="s">
        <v>13</v>
      </c>
      <c r="D4277" t="s">
        <v>292</v>
      </c>
      <c r="E4277" s="2">
        <v>23</v>
      </c>
      <c r="F4277" s="4">
        <v>4</v>
      </c>
      <c r="G4277" s="2">
        <v>92</v>
      </c>
      <c r="H4277" t="s">
        <v>25</v>
      </c>
      <c r="I4277" t="s">
        <v>16</v>
      </c>
      <c r="J4277" s="1">
        <v>44628</v>
      </c>
      <c r="K4277" t="b">
        <v>0</v>
      </c>
    </row>
    <row r="4278" spans="1:11" x14ac:dyDescent="0.25">
      <c r="A4278" t="s">
        <v>5131</v>
      </c>
      <c r="B4278" t="s">
        <v>37</v>
      </c>
      <c r="C4278" t="s">
        <v>31</v>
      </c>
      <c r="D4278" t="s">
        <v>361</v>
      </c>
      <c r="E4278" s="2">
        <v>23</v>
      </c>
      <c r="F4278" s="4">
        <v>4</v>
      </c>
      <c r="G4278" s="2">
        <v>92</v>
      </c>
      <c r="H4278" t="s">
        <v>25</v>
      </c>
      <c r="I4278" t="s">
        <v>16</v>
      </c>
      <c r="J4278" s="1">
        <v>44874</v>
      </c>
      <c r="K4278" t="b">
        <v>1</v>
      </c>
    </row>
    <row r="4279" spans="1:11" x14ac:dyDescent="0.25">
      <c r="A4279" t="s">
        <v>2692</v>
      </c>
      <c r="B4279" t="s">
        <v>77</v>
      </c>
      <c r="C4279" t="s">
        <v>19</v>
      </c>
      <c r="D4279" t="s">
        <v>400</v>
      </c>
      <c r="E4279" s="2">
        <v>23</v>
      </c>
      <c r="F4279" s="4">
        <v>4</v>
      </c>
      <c r="G4279" s="2">
        <v>92</v>
      </c>
      <c r="H4279" t="s">
        <v>45</v>
      </c>
      <c r="I4279" t="s">
        <v>16</v>
      </c>
      <c r="J4279" s="1">
        <v>44646</v>
      </c>
      <c r="K4279" t="b">
        <v>0</v>
      </c>
    </row>
    <row r="4280" spans="1:11" x14ac:dyDescent="0.25">
      <c r="A4280" t="s">
        <v>7665</v>
      </c>
      <c r="B4280" t="s">
        <v>100</v>
      </c>
      <c r="C4280" t="s">
        <v>31</v>
      </c>
      <c r="D4280" t="s">
        <v>361</v>
      </c>
      <c r="E4280" s="2">
        <v>23</v>
      </c>
      <c r="F4280" s="4">
        <v>4</v>
      </c>
      <c r="G4280" s="2">
        <v>92</v>
      </c>
      <c r="H4280" t="s">
        <v>25</v>
      </c>
      <c r="I4280" t="s">
        <v>36</v>
      </c>
      <c r="J4280" s="1">
        <v>45320</v>
      </c>
      <c r="K4280" t="b">
        <v>1</v>
      </c>
    </row>
    <row r="4281" spans="1:11" x14ac:dyDescent="0.25">
      <c r="A4281" t="s">
        <v>1853</v>
      </c>
      <c r="B4281" t="s">
        <v>58</v>
      </c>
      <c r="C4281" t="s">
        <v>31</v>
      </c>
      <c r="D4281" t="s">
        <v>361</v>
      </c>
      <c r="E4281" s="2">
        <v>23</v>
      </c>
      <c r="F4281" s="4">
        <v>4</v>
      </c>
      <c r="G4281" s="2">
        <v>92</v>
      </c>
      <c r="H4281" t="s">
        <v>25</v>
      </c>
      <c r="I4281" t="s">
        <v>16</v>
      </c>
      <c r="J4281" s="1">
        <v>45492</v>
      </c>
      <c r="K4281" t="b">
        <v>1</v>
      </c>
    </row>
    <row r="4282" spans="1:11" x14ac:dyDescent="0.25">
      <c r="A4282" t="s">
        <v>5157</v>
      </c>
      <c r="B4282" t="s">
        <v>51</v>
      </c>
      <c r="C4282" t="s">
        <v>59</v>
      </c>
      <c r="D4282" t="s">
        <v>60</v>
      </c>
      <c r="E4282" s="2">
        <v>23</v>
      </c>
      <c r="F4282" s="4">
        <v>4</v>
      </c>
      <c r="G4282" s="2">
        <v>92</v>
      </c>
      <c r="H4282" t="s">
        <v>25</v>
      </c>
      <c r="I4282" t="s">
        <v>16</v>
      </c>
      <c r="J4282" s="1">
        <v>44605</v>
      </c>
      <c r="K4282" t="b">
        <v>0</v>
      </c>
    </row>
    <row r="4283" spans="1:11" x14ac:dyDescent="0.25">
      <c r="A4283" t="s">
        <v>772</v>
      </c>
      <c r="B4283" t="s">
        <v>72</v>
      </c>
      <c r="C4283" t="s">
        <v>13</v>
      </c>
      <c r="D4283" t="s">
        <v>292</v>
      </c>
      <c r="E4283" s="2">
        <v>23</v>
      </c>
      <c r="F4283" s="4">
        <v>4</v>
      </c>
      <c r="G4283" s="2">
        <v>92</v>
      </c>
      <c r="H4283" t="s">
        <v>25</v>
      </c>
      <c r="I4283" t="s">
        <v>36</v>
      </c>
      <c r="J4283" s="1">
        <v>45337</v>
      </c>
      <c r="K4283" t="b">
        <v>0</v>
      </c>
    </row>
    <row r="4284" spans="1:11" x14ac:dyDescent="0.25">
      <c r="A4284" t="s">
        <v>1844</v>
      </c>
      <c r="B4284" t="s">
        <v>40</v>
      </c>
      <c r="C4284" t="s">
        <v>23</v>
      </c>
      <c r="D4284" t="s">
        <v>244</v>
      </c>
      <c r="E4284" s="2">
        <v>23</v>
      </c>
      <c r="F4284" s="4">
        <v>4</v>
      </c>
      <c r="G4284" s="2">
        <v>92</v>
      </c>
      <c r="H4284" t="s">
        <v>25</v>
      </c>
      <c r="I4284" t="s">
        <v>36</v>
      </c>
      <c r="J4284" s="1">
        <v>44999</v>
      </c>
      <c r="K4284" t="b">
        <v>0</v>
      </c>
    </row>
    <row r="4285" spans="1:11" x14ac:dyDescent="0.25">
      <c r="A4285" t="s">
        <v>4276</v>
      </c>
      <c r="B4285" t="s">
        <v>97</v>
      </c>
      <c r="C4285" t="s">
        <v>31</v>
      </c>
      <c r="D4285" t="s">
        <v>361</v>
      </c>
      <c r="E4285" s="2">
        <v>23</v>
      </c>
      <c r="F4285" s="4">
        <v>4</v>
      </c>
      <c r="G4285" s="2">
        <v>92</v>
      </c>
      <c r="H4285" t="s">
        <v>45</v>
      </c>
      <c r="I4285" t="s">
        <v>36</v>
      </c>
      <c r="J4285" s="1">
        <v>45648</v>
      </c>
      <c r="K4285" t="b">
        <v>1</v>
      </c>
    </row>
    <row r="4286" spans="1:11" x14ac:dyDescent="0.25">
      <c r="A4286" t="s">
        <v>946</v>
      </c>
      <c r="B4286" t="s">
        <v>93</v>
      </c>
      <c r="C4286" t="s">
        <v>27</v>
      </c>
      <c r="D4286" t="s">
        <v>947</v>
      </c>
      <c r="E4286" s="2">
        <v>23</v>
      </c>
      <c r="F4286" s="4">
        <v>4</v>
      </c>
      <c r="G4286" s="2">
        <v>92</v>
      </c>
      <c r="H4286" t="s">
        <v>15</v>
      </c>
      <c r="I4286" t="s">
        <v>16</v>
      </c>
      <c r="J4286" s="1">
        <v>44767</v>
      </c>
      <c r="K4286" t="b">
        <v>1</v>
      </c>
    </row>
    <row r="4287" spans="1:11" x14ac:dyDescent="0.25">
      <c r="A4287" t="s">
        <v>3561</v>
      </c>
      <c r="B4287" t="s">
        <v>61</v>
      </c>
      <c r="C4287" t="s">
        <v>31</v>
      </c>
      <c r="D4287" t="s">
        <v>361</v>
      </c>
      <c r="E4287" s="2">
        <v>23</v>
      </c>
      <c r="F4287" s="4">
        <v>4</v>
      </c>
      <c r="G4287" s="2">
        <v>92</v>
      </c>
      <c r="H4287" t="s">
        <v>15</v>
      </c>
      <c r="I4287" t="s">
        <v>36</v>
      </c>
      <c r="J4287" s="1">
        <v>45149</v>
      </c>
      <c r="K4287" t="b">
        <v>1</v>
      </c>
    </row>
    <row r="4288" spans="1:11" x14ac:dyDescent="0.25">
      <c r="A4288" t="s">
        <v>4441</v>
      </c>
      <c r="B4288" t="s">
        <v>69</v>
      </c>
      <c r="C4288" t="s">
        <v>31</v>
      </c>
      <c r="D4288" t="s">
        <v>361</v>
      </c>
      <c r="E4288" s="2">
        <v>23</v>
      </c>
      <c r="F4288" s="4">
        <v>4</v>
      </c>
      <c r="G4288" s="2">
        <v>92</v>
      </c>
      <c r="H4288" t="s">
        <v>45</v>
      </c>
      <c r="I4288" t="s">
        <v>36</v>
      </c>
      <c r="J4288" s="1">
        <v>44930</v>
      </c>
      <c r="K4288" t="b">
        <v>1</v>
      </c>
    </row>
    <row r="4289" spans="1:11" x14ac:dyDescent="0.25">
      <c r="A4289" t="s">
        <v>7671</v>
      </c>
      <c r="B4289" t="s">
        <v>77</v>
      </c>
      <c r="C4289" t="s">
        <v>13</v>
      </c>
      <c r="D4289" t="s">
        <v>292</v>
      </c>
      <c r="E4289" s="2">
        <v>23</v>
      </c>
      <c r="F4289" s="4">
        <v>4</v>
      </c>
      <c r="G4289" s="2">
        <v>92</v>
      </c>
      <c r="H4289" t="s">
        <v>25</v>
      </c>
      <c r="I4289" t="s">
        <v>16</v>
      </c>
      <c r="J4289" s="1">
        <v>45656</v>
      </c>
      <c r="K4289" t="b">
        <v>0</v>
      </c>
    </row>
    <row r="4290" spans="1:11" x14ac:dyDescent="0.25">
      <c r="A4290" t="s">
        <v>1970</v>
      </c>
      <c r="B4290" t="s">
        <v>142</v>
      </c>
      <c r="C4290" t="s">
        <v>19</v>
      </c>
      <c r="D4290" t="s">
        <v>400</v>
      </c>
      <c r="E4290" s="2">
        <v>23</v>
      </c>
      <c r="F4290" s="4">
        <v>4</v>
      </c>
      <c r="G4290" s="2">
        <v>92</v>
      </c>
      <c r="H4290" t="s">
        <v>25</v>
      </c>
      <c r="I4290" t="s">
        <v>36</v>
      </c>
      <c r="J4290" s="1">
        <v>45165</v>
      </c>
      <c r="K4290" t="b">
        <v>1</v>
      </c>
    </row>
    <row r="4291" spans="1:11" x14ac:dyDescent="0.25">
      <c r="A4291" t="s">
        <v>7377</v>
      </c>
      <c r="B4291" t="s">
        <v>72</v>
      </c>
      <c r="C4291" t="s">
        <v>110</v>
      </c>
      <c r="D4291" t="s">
        <v>232</v>
      </c>
      <c r="E4291" s="2">
        <v>23</v>
      </c>
      <c r="F4291" s="4">
        <v>4</v>
      </c>
      <c r="G4291" s="2">
        <v>92</v>
      </c>
      <c r="H4291" t="s">
        <v>15</v>
      </c>
      <c r="I4291" t="s">
        <v>36</v>
      </c>
      <c r="J4291" s="1">
        <v>44853</v>
      </c>
      <c r="K4291" t="b">
        <v>1</v>
      </c>
    </row>
    <row r="4292" spans="1:11" x14ac:dyDescent="0.25">
      <c r="A4292" t="s">
        <v>2345</v>
      </c>
      <c r="B4292" t="s">
        <v>51</v>
      </c>
      <c r="C4292" t="s">
        <v>110</v>
      </c>
      <c r="D4292" t="s">
        <v>232</v>
      </c>
      <c r="E4292" s="2">
        <v>23</v>
      </c>
      <c r="F4292" s="4">
        <v>4</v>
      </c>
      <c r="G4292" s="2">
        <v>92</v>
      </c>
      <c r="H4292" t="s">
        <v>45</v>
      </c>
      <c r="I4292" t="s">
        <v>16</v>
      </c>
      <c r="J4292" s="1">
        <v>44838</v>
      </c>
      <c r="K4292" t="b">
        <v>1</v>
      </c>
    </row>
    <row r="4293" spans="1:11" x14ac:dyDescent="0.25">
      <c r="A4293" t="s">
        <v>388</v>
      </c>
      <c r="B4293" t="s">
        <v>30</v>
      </c>
      <c r="C4293" t="s">
        <v>59</v>
      </c>
      <c r="D4293" t="s">
        <v>60</v>
      </c>
      <c r="E4293" s="2">
        <v>23</v>
      </c>
      <c r="F4293" s="4">
        <v>4</v>
      </c>
      <c r="G4293" s="2">
        <v>92</v>
      </c>
      <c r="H4293" t="s">
        <v>25</v>
      </c>
      <c r="I4293" t="s">
        <v>36</v>
      </c>
      <c r="J4293" s="1">
        <v>45144</v>
      </c>
      <c r="K4293" t="b">
        <v>0</v>
      </c>
    </row>
    <row r="4294" spans="1:11" x14ac:dyDescent="0.25">
      <c r="A4294" t="s">
        <v>7383</v>
      </c>
      <c r="B4294" t="s">
        <v>37</v>
      </c>
      <c r="C4294" t="s">
        <v>31</v>
      </c>
      <c r="D4294" t="s">
        <v>361</v>
      </c>
      <c r="E4294" s="2">
        <v>23</v>
      </c>
      <c r="F4294" s="4">
        <v>4</v>
      </c>
      <c r="G4294" s="2">
        <v>92</v>
      </c>
      <c r="H4294" t="s">
        <v>45</v>
      </c>
      <c r="I4294" t="s">
        <v>36</v>
      </c>
      <c r="J4294" s="1">
        <v>45165</v>
      </c>
      <c r="K4294" t="b">
        <v>0</v>
      </c>
    </row>
    <row r="4295" spans="1:11" x14ac:dyDescent="0.25">
      <c r="A4295" t="s">
        <v>7697</v>
      </c>
      <c r="B4295" t="s">
        <v>63</v>
      </c>
      <c r="C4295" t="s">
        <v>59</v>
      </c>
      <c r="D4295" t="s">
        <v>60</v>
      </c>
      <c r="E4295" s="2">
        <v>23</v>
      </c>
      <c r="F4295" s="4">
        <v>4</v>
      </c>
      <c r="G4295" s="2">
        <v>92</v>
      </c>
      <c r="H4295" t="s">
        <v>25</v>
      </c>
      <c r="I4295" t="s">
        <v>16</v>
      </c>
      <c r="J4295" s="1">
        <v>45277</v>
      </c>
      <c r="K4295" t="b">
        <v>0</v>
      </c>
    </row>
    <row r="4296" spans="1:11" x14ac:dyDescent="0.25">
      <c r="A4296" t="s">
        <v>983</v>
      </c>
      <c r="B4296" t="s">
        <v>43</v>
      </c>
      <c r="C4296" t="s">
        <v>23</v>
      </c>
      <c r="D4296" t="s">
        <v>244</v>
      </c>
      <c r="E4296" s="2">
        <v>23</v>
      </c>
      <c r="F4296" s="4">
        <v>4</v>
      </c>
      <c r="G4296" s="2">
        <v>92</v>
      </c>
      <c r="H4296" t="s">
        <v>25</v>
      </c>
      <c r="I4296" t="s">
        <v>36</v>
      </c>
      <c r="J4296" s="1">
        <v>45151</v>
      </c>
      <c r="K4296" t="b">
        <v>0</v>
      </c>
    </row>
    <row r="4297" spans="1:11" x14ac:dyDescent="0.25">
      <c r="A4297" t="s">
        <v>1141</v>
      </c>
      <c r="B4297" t="s">
        <v>66</v>
      </c>
      <c r="C4297" t="s">
        <v>13</v>
      </c>
      <c r="D4297" t="s">
        <v>292</v>
      </c>
      <c r="E4297" s="2">
        <v>23</v>
      </c>
      <c r="F4297" s="4">
        <v>4</v>
      </c>
      <c r="G4297" s="2">
        <v>92</v>
      </c>
      <c r="H4297" t="s">
        <v>45</v>
      </c>
      <c r="I4297" t="s">
        <v>36</v>
      </c>
      <c r="J4297" s="1">
        <v>45190</v>
      </c>
      <c r="K4297" t="b">
        <v>0</v>
      </c>
    </row>
    <row r="4298" spans="1:11" x14ac:dyDescent="0.25">
      <c r="A4298" t="s">
        <v>3928</v>
      </c>
      <c r="B4298" t="s">
        <v>77</v>
      </c>
      <c r="C4298" t="s">
        <v>13</v>
      </c>
      <c r="D4298" t="s">
        <v>292</v>
      </c>
      <c r="E4298" s="2">
        <v>23</v>
      </c>
      <c r="F4298" s="4">
        <v>4</v>
      </c>
      <c r="G4298" s="2">
        <v>92</v>
      </c>
      <c r="H4298" t="s">
        <v>15</v>
      </c>
      <c r="I4298" t="s">
        <v>36</v>
      </c>
      <c r="J4298" s="1">
        <v>44720</v>
      </c>
      <c r="K4298" t="b">
        <v>1</v>
      </c>
    </row>
    <row r="4299" spans="1:11" x14ac:dyDescent="0.25">
      <c r="A4299" t="s">
        <v>7727</v>
      </c>
      <c r="B4299" t="s">
        <v>63</v>
      </c>
      <c r="C4299" t="s">
        <v>13</v>
      </c>
      <c r="D4299" t="s">
        <v>292</v>
      </c>
      <c r="E4299" s="2">
        <v>23</v>
      </c>
      <c r="F4299" s="4">
        <v>4</v>
      </c>
      <c r="G4299" s="2">
        <v>92</v>
      </c>
      <c r="H4299" t="s">
        <v>45</v>
      </c>
      <c r="I4299" t="s">
        <v>36</v>
      </c>
      <c r="J4299" s="1">
        <v>45291</v>
      </c>
      <c r="K4299" t="b">
        <v>0</v>
      </c>
    </row>
    <row r="4300" spans="1:11" x14ac:dyDescent="0.25">
      <c r="A4300" t="s">
        <v>7616</v>
      </c>
      <c r="B4300" t="s">
        <v>51</v>
      </c>
      <c r="C4300" t="s">
        <v>19</v>
      </c>
      <c r="D4300" t="s">
        <v>400</v>
      </c>
      <c r="E4300" s="2">
        <v>23</v>
      </c>
      <c r="F4300" s="4">
        <v>4</v>
      </c>
      <c r="G4300" s="2">
        <v>92</v>
      </c>
      <c r="H4300" t="s">
        <v>15</v>
      </c>
      <c r="I4300" t="s">
        <v>36</v>
      </c>
      <c r="J4300" s="1">
        <v>44805</v>
      </c>
      <c r="K4300" t="b">
        <v>1</v>
      </c>
    </row>
    <row r="4301" spans="1:11" x14ac:dyDescent="0.25">
      <c r="A4301" t="s">
        <v>3490</v>
      </c>
      <c r="B4301" t="s">
        <v>26</v>
      </c>
      <c r="C4301" t="s">
        <v>110</v>
      </c>
      <c r="D4301" t="s">
        <v>232</v>
      </c>
      <c r="E4301" s="2">
        <v>23</v>
      </c>
      <c r="F4301" s="4">
        <v>4</v>
      </c>
      <c r="G4301" s="2">
        <v>92</v>
      </c>
      <c r="H4301" t="s">
        <v>25</v>
      </c>
      <c r="I4301" t="s">
        <v>16</v>
      </c>
      <c r="J4301" s="1">
        <v>45455</v>
      </c>
      <c r="K4301" t="b">
        <v>1</v>
      </c>
    </row>
    <row r="4302" spans="1:11" x14ac:dyDescent="0.25">
      <c r="A4302" t="s">
        <v>4639</v>
      </c>
      <c r="B4302" t="s">
        <v>69</v>
      </c>
      <c r="C4302" t="s">
        <v>23</v>
      </c>
      <c r="D4302" t="s">
        <v>244</v>
      </c>
      <c r="E4302" s="2">
        <v>23</v>
      </c>
      <c r="F4302" s="4">
        <v>4</v>
      </c>
      <c r="G4302" s="2">
        <v>92</v>
      </c>
      <c r="H4302" t="s">
        <v>45</v>
      </c>
      <c r="I4302" t="s">
        <v>36</v>
      </c>
      <c r="J4302" s="1">
        <v>44983</v>
      </c>
      <c r="K4302" t="b">
        <v>0</v>
      </c>
    </row>
    <row r="4303" spans="1:11" x14ac:dyDescent="0.25">
      <c r="A4303" t="s">
        <v>5709</v>
      </c>
      <c r="B4303" t="s">
        <v>34</v>
      </c>
      <c r="C4303" t="s">
        <v>23</v>
      </c>
      <c r="D4303" t="s">
        <v>244</v>
      </c>
      <c r="E4303" s="2">
        <v>23</v>
      </c>
      <c r="F4303" s="4">
        <v>4</v>
      </c>
      <c r="G4303" s="2">
        <v>92</v>
      </c>
      <c r="H4303" t="s">
        <v>45</v>
      </c>
      <c r="I4303" t="s">
        <v>16</v>
      </c>
      <c r="J4303" s="1">
        <v>45578</v>
      </c>
      <c r="K4303" t="b">
        <v>1</v>
      </c>
    </row>
    <row r="4304" spans="1:11" x14ac:dyDescent="0.25">
      <c r="A4304" t="s">
        <v>6377</v>
      </c>
      <c r="B4304" t="s">
        <v>43</v>
      </c>
      <c r="C4304" t="s">
        <v>59</v>
      </c>
      <c r="D4304" t="s">
        <v>60</v>
      </c>
      <c r="E4304" s="2">
        <v>23</v>
      </c>
      <c r="F4304" s="4">
        <v>4</v>
      </c>
      <c r="G4304" s="2">
        <v>92</v>
      </c>
      <c r="H4304" t="s">
        <v>25</v>
      </c>
      <c r="I4304" t="s">
        <v>16</v>
      </c>
      <c r="J4304" s="1">
        <v>45321</v>
      </c>
      <c r="K4304" t="b">
        <v>0</v>
      </c>
    </row>
    <row r="4305" spans="1:11" x14ac:dyDescent="0.25">
      <c r="A4305" t="s">
        <v>6524</v>
      </c>
      <c r="B4305" t="s">
        <v>93</v>
      </c>
      <c r="C4305" t="s">
        <v>13</v>
      </c>
      <c r="D4305" t="s">
        <v>292</v>
      </c>
      <c r="E4305" s="2">
        <v>23</v>
      </c>
      <c r="F4305" s="4">
        <v>4</v>
      </c>
      <c r="G4305" s="2">
        <v>92</v>
      </c>
      <c r="H4305" t="s">
        <v>15</v>
      </c>
      <c r="I4305" t="s">
        <v>36</v>
      </c>
      <c r="J4305" s="1">
        <v>45424</v>
      </c>
      <c r="K4305" t="b">
        <v>0</v>
      </c>
    </row>
    <row r="4306" spans="1:11" x14ac:dyDescent="0.25">
      <c r="A4306" t="s">
        <v>2475</v>
      </c>
      <c r="B4306" t="s">
        <v>72</v>
      </c>
      <c r="C4306" t="s">
        <v>13</v>
      </c>
      <c r="D4306" t="s">
        <v>292</v>
      </c>
      <c r="E4306" s="2">
        <v>23</v>
      </c>
      <c r="F4306" s="4">
        <v>4</v>
      </c>
      <c r="G4306" s="2">
        <v>92</v>
      </c>
      <c r="H4306" t="s">
        <v>25</v>
      </c>
      <c r="I4306" t="s">
        <v>36</v>
      </c>
      <c r="J4306" s="1">
        <v>44736</v>
      </c>
      <c r="K4306" t="b">
        <v>0</v>
      </c>
    </row>
    <row r="4307" spans="1:11" x14ac:dyDescent="0.25">
      <c r="A4307" t="s">
        <v>3659</v>
      </c>
      <c r="B4307" t="s">
        <v>34</v>
      </c>
      <c r="C4307" t="s">
        <v>23</v>
      </c>
      <c r="D4307" t="s">
        <v>244</v>
      </c>
      <c r="E4307" s="2">
        <v>23</v>
      </c>
      <c r="F4307" s="4">
        <v>4</v>
      </c>
      <c r="G4307" s="2">
        <v>92</v>
      </c>
      <c r="H4307" t="s">
        <v>45</v>
      </c>
      <c r="I4307" t="s">
        <v>16</v>
      </c>
      <c r="J4307" s="1">
        <v>45311</v>
      </c>
      <c r="K4307" t="b">
        <v>0</v>
      </c>
    </row>
    <row r="4308" spans="1:11" x14ac:dyDescent="0.25">
      <c r="A4308" t="s">
        <v>2917</v>
      </c>
      <c r="B4308" t="s">
        <v>22</v>
      </c>
      <c r="C4308" t="s">
        <v>19</v>
      </c>
      <c r="D4308" t="s">
        <v>400</v>
      </c>
      <c r="E4308" s="2">
        <v>23</v>
      </c>
      <c r="F4308" s="4">
        <v>4</v>
      </c>
      <c r="G4308" s="2">
        <v>92</v>
      </c>
      <c r="H4308" t="s">
        <v>25</v>
      </c>
      <c r="I4308" t="s">
        <v>16</v>
      </c>
      <c r="J4308" s="1">
        <v>45285</v>
      </c>
      <c r="K4308" t="b">
        <v>1</v>
      </c>
    </row>
    <row r="4309" spans="1:11" x14ac:dyDescent="0.25">
      <c r="A4309" t="s">
        <v>1189</v>
      </c>
      <c r="B4309" t="s">
        <v>12</v>
      </c>
      <c r="C4309" t="s">
        <v>13</v>
      </c>
      <c r="D4309" t="s">
        <v>292</v>
      </c>
      <c r="E4309" s="2">
        <v>23</v>
      </c>
      <c r="F4309" s="4">
        <v>4</v>
      </c>
      <c r="G4309" s="2">
        <v>92</v>
      </c>
      <c r="H4309" t="s">
        <v>25</v>
      </c>
      <c r="I4309" t="s">
        <v>16</v>
      </c>
      <c r="J4309" s="1">
        <v>44797</v>
      </c>
      <c r="K4309" t="b">
        <v>1</v>
      </c>
    </row>
    <row r="4310" spans="1:11" x14ac:dyDescent="0.25">
      <c r="A4310" t="s">
        <v>3190</v>
      </c>
      <c r="B4310" t="s">
        <v>12</v>
      </c>
      <c r="C4310" t="s">
        <v>31</v>
      </c>
      <c r="D4310" t="s">
        <v>361</v>
      </c>
      <c r="E4310" s="2">
        <v>23</v>
      </c>
      <c r="F4310" s="4">
        <v>4</v>
      </c>
      <c r="G4310" s="2">
        <v>92</v>
      </c>
      <c r="H4310" t="s">
        <v>45</v>
      </c>
      <c r="I4310" t="s">
        <v>36</v>
      </c>
      <c r="J4310" s="1">
        <v>44816</v>
      </c>
      <c r="K4310" t="b">
        <v>0</v>
      </c>
    </row>
    <row r="4311" spans="1:11" x14ac:dyDescent="0.25">
      <c r="A4311" t="s">
        <v>4064</v>
      </c>
      <c r="B4311" t="s">
        <v>66</v>
      </c>
      <c r="C4311" t="s">
        <v>59</v>
      </c>
      <c r="D4311" t="s">
        <v>60</v>
      </c>
      <c r="E4311" s="2">
        <v>23</v>
      </c>
      <c r="F4311" s="4">
        <v>4</v>
      </c>
      <c r="G4311" s="2">
        <v>92</v>
      </c>
      <c r="H4311" t="s">
        <v>25</v>
      </c>
      <c r="I4311" t="s">
        <v>16</v>
      </c>
      <c r="J4311" s="1">
        <v>44974</v>
      </c>
      <c r="K4311" t="b">
        <v>1</v>
      </c>
    </row>
    <row r="4312" spans="1:11" x14ac:dyDescent="0.25">
      <c r="A4312" t="s">
        <v>3688</v>
      </c>
      <c r="B4312" t="s">
        <v>26</v>
      </c>
      <c r="C4312" t="s">
        <v>31</v>
      </c>
      <c r="D4312" t="s">
        <v>361</v>
      </c>
      <c r="E4312" s="2">
        <v>23</v>
      </c>
      <c r="F4312" s="4">
        <v>4</v>
      </c>
      <c r="G4312" s="2">
        <v>92</v>
      </c>
      <c r="H4312" t="s">
        <v>45</v>
      </c>
      <c r="I4312" t="s">
        <v>36</v>
      </c>
      <c r="J4312" s="1">
        <v>45295</v>
      </c>
      <c r="K4312" t="b">
        <v>0</v>
      </c>
    </row>
    <row r="4313" spans="1:11" x14ac:dyDescent="0.25">
      <c r="A4313" t="s">
        <v>7718</v>
      </c>
      <c r="B4313" t="s">
        <v>69</v>
      </c>
      <c r="C4313" t="s">
        <v>27</v>
      </c>
      <c r="D4313" t="s">
        <v>524</v>
      </c>
      <c r="E4313" s="2">
        <v>30.5</v>
      </c>
      <c r="F4313" s="4">
        <v>3</v>
      </c>
      <c r="G4313" s="2">
        <v>91.5</v>
      </c>
      <c r="H4313" t="s">
        <v>25</v>
      </c>
      <c r="I4313" t="s">
        <v>36</v>
      </c>
      <c r="J4313" s="1">
        <v>45030</v>
      </c>
      <c r="K4313" t="b">
        <v>1</v>
      </c>
    </row>
    <row r="4314" spans="1:11" x14ac:dyDescent="0.25">
      <c r="A4314" t="s">
        <v>1493</v>
      </c>
      <c r="B4314" t="s">
        <v>30</v>
      </c>
      <c r="C4314" t="s">
        <v>19</v>
      </c>
      <c r="D4314" t="s">
        <v>474</v>
      </c>
      <c r="E4314" s="2">
        <v>30.5</v>
      </c>
      <c r="F4314" s="4">
        <v>3</v>
      </c>
      <c r="G4314" s="2">
        <v>91.5</v>
      </c>
      <c r="H4314" t="s">
        <v>45</v>
      </c>
      <c r="I4314" t="s">
        <v>36</v>
      </c>
      <c r="J4314" s="1">
        <v>45124</v>
      </c>
      <c r="K4314" t="b">
        <v>0</v>
      </c>
    </row>
    <row r="4315" spans="1:11" x14ac:dyDescent="0.25">
      <c r="A4315" t="s">
        <v>1598</v>
      </c>
      <c r="B4315" t="s">
        <v>22</v>
      </c>
      <c r="C4315" t="s">
        <v>19</v>
      </c>
      <c r="D4315" t="s">
        <v>474</v>
      </c>
      <c r="E4315" s="2">
        <v>30.5</v>
      </c>
      <c r="F4315" s="4">
        <v>3</v>
      </c>
      <c r="G4315" s="2">
        <v>91.5</v>
      </c>
      <c r="H4315" t="s">
        <v>15</v>
      </c>
      <c r="I4315" t="s">
        <v>36</v>
      </c>
      <c r="J4315" s="1">
        <v>44945</v>
      </c>
      <c r="K4315" t="b">
        <v>0</v>
      </c>
    </row>
    <row r="4316" spans="1:11" x14ac:dyDescent="0.25">
      <c r="A4316" t="s">
        <v>7570</v>
      </c>
      <c r="B4316" t="s">
        <v>104</v>
      </c>
      <c r="C4316" t="s">
        <v>31</v>
      </c>
      <c r="D4316" t="s">
        <v>144</v>
      </c>
      <c r="E4316" s="2">
        <v>30.5</v>
      </c>
      <c r="F4316" s="4">
        <v>3</v>
      </c>
      <c r="G4316" s="2">
        <v>91.5</v>
      </c>
      <c r="H4316" t="s">
        <v>45</v>
      </c>
      <c r="I4316" t="s">
        <v>16</v>
      </c>
      <c r="J4316" s="1">
        <v>44970</v>
      </c>
      <c r="K4316" t="b">
        <v>1</v>
      </c>
    </row>
    <row r="4317" spans="1:11" x14ac:dyDescent="0.25">
      <c r="A4317" t="s">
        <v>4946</v>
      </c>
      <c r="B4317" t="s">
        <v>34</v>
      </c>
      <c r="C4317" t="s">
        <v>110</v>
      </c>
      <c r="D4317" t="s">
        <v>256</v>
      </c>
      <c r="E4317" s="2">
        <v>30.5</v>
      </c>
      <c r="F4317" s="4">
        <v>3</v>
      </c>
      <c r="G4317" s="2">
        <v>91.5</v>
      </c>
      <c r="H4317" t="s">
        <v>15</v>
      </c>
      <c r="I4317" t="s">
        <v>36</v>
      </c>
      <c r="J4317" s="1">
        <v>45500</v>
      </c>
      <c r="K4317" t="b">
        <v>1</v>
      </c>
    </row>
    <row r="4318" spans="1:11" x14ac:dyDescent="0.25">
      <c r="A4318" t="s">
        <v>7198</v>
      </c>
      <c r="B4318" t="s">
        <v>30</v>
      </c>
      <c r="C4318" t="s">
        <v>59</v>
      </c>
      <c r="D4318" t="s">
        <v>676</v>
      </c>
      <c r="E4318" s="2">
        <v>30.5</v>
      </c>
      <c r="F4318" s="4">
        <v>3</v>
      </c>
      <c r="G4318" s="2">
        <v>91.5</v>
      </c>
      <c r="H4318" t="s">
        <v>15</v>
      </c>
      <c r="I4318" t="s">
        <v>36</v>
      </c>
      <c r="J4318" s="1">
        <v>44866</v>
      </c>
      <c r="K4318" t="b">
        <v>1</v>
      </c>
    </row>
    <row r="4319" spans="1:11" x14ac:dyDescent="0.25">
      <c r="A4319" t="s">
        <v>4550</v>
      </c>
      <c r="B4319" t="s">
        <v>56</v>
      </c>
      <c r="C4319" t="s">
        <v>31</v>
      </c>
      <c r="D4319" t="s">
        <v>144</v>
      </c>
      <c r="E4319" s="2">
        <v>30.5</v>
      </c>
      <c r="F4319" s="4">
        <v>3</v>
      </c>
      <c r="G4319" s="2">
        <v>91.5</v>
      </c>
      <c r="H4319" t="s">
        <v>45</v>
      </c>
      <c r="I4319" t="s">
        <v>36</v>
      </c>
      <c r="J4319" s="1">
        <v>45032</v>
      </c>
      <c r="K4319" t="b">
        <v>0</v>
      </c>
    </row>
    <row r="4320" spans="1:11" x14ac:dyDescent="0.25">
      <c r="A4320" t="s">
        <v>2521</v>
      </c>
      <c r="B4320" t="s">
        <v>69</v>
      </c>
      <c r="C4320" t="s">
        <v>19</v>
      </c>
      <c r="D4320" t="s">
        <v>474</v>
      </c>
      <c r="E4320" s="2">
        <v>30.5</v>
      </c>
      <c r="F4320" s="4">
        <v>3</v>
      </c>
      <c r="G4320" s="2">
        <v>91.5</v>
      </c>
      <c r="H4320" t="s">
        <v>15</v>
      </c>
      <c r="I4320" t="s">
        <v>36</v>
      </c>
      <c r="J4320" s="1">
        <v>45362</v>
      </c>
      <c r="K4320" t="b">
        <v>1</v>
      </c>
    </row>
    <row r="4321" spans="1:11" x14ac:dyDescent="0.25">
      <c r="A4321" t="s">
        <v>5370</v>
      </c>
      <c r="B4321" t="s">
        <v>86</v>
      </c>
      <c r="C4321" t="s">
        <v>31</v>
      </c>
      <c r="D4321" t="s">
        <v>144</v>
      </c>
      <c r="E4321" s="2">
        <v>30.5</v>
      </c>
      <c r="F4321" s="4">
        <v>3</v>
      </c>
      <c r="G4321" s="2">
        <v>91.5</v>
      </c>
      <c r="H4321" t="s">
        <v>45</v>
      </c>
      <c r="I4321" t="s">
        <v>36</v>
      </c>
      <c r="J4321" s="1">
        <v>45622</v>
      </c>
      <c r="K4321" t="b">
        <v>0</v>
      </c>
    </row>
    <row r="4322" spans="1:11" x14ac:dyDescent="0.25">
      <c r="A4322" t="s">
        <v>2299</v>
      </c>
      <c r="B4322" t="s">
        <v>93</v>
      </c>
      <c r="C4322" t="s">
        <v>31</v>
      </c>
      <c r="D4322" t="s">
        <v>144</v>
      </c>
      <c r="E4322" s="2">
        <v>30.5</v>
      </c>
      <c r="F4322" s="4">
        <v>3</v>
      </c>
      <c r="G4322" s="2">
        <v>91.5</v>
      </c>
      <c r="H4322" t="s">
        <v>15</v>
      </c>
      <c r="I4322" t="s">
        <v>36</v>
      </c>
      <c r="J4322" s="1">
        <v>44922</v>
      </c>
      <c r="K4322" t="b">
        <v>0</v>
      </c>
    </row>
    <row r="4323" spans="1:11" x14ac:dyDescent="0.25">
      <c r="A4323" t="s">
        <v>484</v>
      </c>
      <c r="B4323" t="s">
        <v>37</v>
      </c>
      <c r="C4323" t="s">
        <v>19</v>
      </c>
      <c r="D4323" t="s">
        <v>474</v>
      </c>
      <c r="E4323" s="2">
        <v>30.5</v>
      </c>
      <c r="F4323" s="4">
        <v>3</v>
      </c>
      <c r="G4323" s="2">
        <v>91.5</v>
      </c>
      <c r="H4323" t="s">
        <v>45</v>
      </c>
      <c r="I4323" t="s">
        <v>16</v>
      </c>
      <c r="J4323" s="1">
        <v>44619</v>
      </c>
      <c r="K4323" t="b">
        <v>1</v>
      </c>
    </row>
    <row r="4324" spans="1:11" x14ac:dyDescent="0.25">
      <c r="A4324" t="s">
        <v>4421</v>
      </c>
      <c r="B4324" t="s">
        <v>40</v>
      </c>
      <c r="C4324" t="s">
        <v>31</v>
      </c>
      <c r="D4324" t="s">
        <v>144</v>
      </c>
      <c r="E4324" s="2">
        <v>30.5</v>
      </c>
      <c r="F4324" s="4">
        <v>3</v>
      </c>
      <c r="G4324" s="2">
        <v>91.5</v>
      </c>
      <c r="H4324" t="s">
        <v>25</v>
      </c>
      <c r="I4324" t="s">
        <v>36</v>
      </c>
      <c r="J4324" s="1">
        <v>45087</v>
      </c>
      <c r="K4324" t="b">
        <v>1</v>
      </c>
    </row>
    <row r="4325" spans="1:11" x14ac:dyDescent="0.25">
      <c r="A4325" t="s">
        <v>4281</v>
      </c>
      <c r="B4325" t="s">
        <v>86</v>
      </c>
      <c r="C4325" t="s">
        <v>27</v>
      </c>
      <c r="D4325" t="s">
        <v>524</v>
      </c>
      <c r="E4325" s="2">
        <v>30.5</v>
      </c>
      <c r="F4325" s="4">
        <v>3</v>
      </c>
      <c r="G4325" s="2">
        <v>91.5</v>
      </c>
      <c r="H4325" t="s">
        <v>45</v>
      </c>
      <c r="I4325" t="s">
        <v>36</v>
      </c>
      <c r="J4325" s="1">
        <v>44804</v>
      </c>
      <c r="K4325" t="b">
        <v>1</v>
      </c>
    </row>
    <row r="4326" spans="1:11" x14ac:dyDescent="0.25">
      <c r="A4326" t="s">
        <v>2532</v>
      </c>
      <c r="B4326" t="s">
        <v>51</v>
      </c>
      <c r="C4326" t="s">
        <v>19</v>
      </c>
      <c r="D4326" t="s">
        <v>474</v>
      </c>
      <c r="E4326" s="2">
        <v>30.5</v>
      </c>
      <c r="F4326" s="4">
        <v>3</v>
      </c>
      <c r="G4326" s="2">
        <v>91.5</v>
      </c>
      <c r="H4326" t="s">
        <v>25</v>
      </c>
      <c r="I4326" t="s">
        <v>16</v>
      </c>
      <c r="J4326" s="1">
        <v>44993</v>
      </c>
      <c r="K4326" t="b">
        <v>0</v>
      </c>
    </row>
    <row r="4327" spans="1:11" x14ac:dyDescent="0.25">
      <c r="A4327" t="s">
        <v>2836</v>
      </c>
      <c r="B4327" t="s">
        <v>104</v>
      </c>
      <c r="C4327" t="s">
        <v>38</v>
      </c>
      <c r="D4327" t="s">
        <v>780</v>
      </c>
      <c r="E4327" s="2">
        <v>30.5</v>
      </c>
      <c r="F4327" s="4">
        <v>3</v>
      </c>
      <c r="G4327" s="2">
        <v>91.5</v>
      </c>
      <c r="H4327" t="s">
        <v>15</v>
      </c>
      <c r="I4327" t="s">
        <v>16</v>
      </c>
      <c r="J4327" s="1">
        <v>45285</v>
      </c>
      <c r="K4327" t="b">
        <v>1</v>
      </c>
    </row>
    <row r="4328" spans="1:11" x14ac:dyDescent="0.25">
      <c r="A4328" t="s">
        <v>1682</v>
      </c>
      <c r="B4328" t="s">
        <v>77</v>
      </c>
      <c r="C4328" t="s">
        <v>23</v>
      </c>
      <c r="D4328" t="s">
        <v>223</v>
      </c>
      <c r="E4328" s="2">
        <v>30.5</v>
      </c>
      <c r="F4328" s="4">
        <v>3</v>
      </c>
      <c r="G4328" s="2">
        <v>91.5</v>
      </c>
      <c r="H4328" t="s">
        <v>25</v>
      </c>
      <c r="I4328" t="s">
        <v>16</v>
      </c>
      <c r="J4328" s="1">
        <v>45244</v>
      </c>
      <c r="K4328" t="b">
        <v>1</v>
      </c>
    </row>
    <row r="4329" spans="1:11" x14ac:dyDescent="0.25">
      <c r="A4329" t="s">
        <v>6859</v>
      </c>
      <c r="B4329" t="s">
        <v>63</v>
      </c>
      <c r="C4329" t="s">
        <v>19</v>
      </c>
      <c r="D4329" t="s">
        <v>474</v>
      </c>
      <c r="E4329" s="2">
        <v>30.5</v>
      </c>
      <c r="F4329" s="4">
        <v>3</v>
      </c>
      <c r="G4329" s="2">
        <v>91.5</v>
      </c>
      <c r="H4329" t="s">
        <v>15</v>
      </c>
      <c r="I4329" t="s">
        <v>16</v>
      </c>
      <c r="J4329" s="1">
        <v>45296</v>
      </c>
      <c r="K4329" t="b">
        <v>0</v>
      </c>
    </row>
    <row r="4330" spans="1:11" x14ac:dyDescent="0.25">
      <c r="A4330" t="s">
        <v>5501</v>
      </c>
      <c r="B4330" t="s">
        <v>37</v>
      </c>
      <c r="C4330" t="s">
        <v>31</v>
      </c>
      <c r="D4330" t="s">
        <v>144</v>
      </c>
      <c r="E4330" s="2">
        <v>30.5</v>
      </c>
      <c r="F4330" s="4">
        <v>3</v>
      </c>
      <c r="G4330" s="2">
        <v>91.5</v>
      </c>
      <c r="H4330" t="s">
        <v>15</v>
      </c>
      <c r="I4330" t="s">
        <v>36</v>
      </c>
      <c r="J4330" s="1">
        <v>44884</v>
      </c>
      <c r="K4330" t="b">
        <v>1</v>
      </c>
    </row>
    <row r="4331" spans="1:11" x14ac:dyDescent="0.25">
      <c r="A4331" t="s">
        <v>3898</v>
      </c>
      <c r="B4331" t="s">
        <v>100</v>
      </c>
      <c r="C4331" t="s">
        <v>110</v>
      </c>
      <c r="D4331" t="s">
        <v>118</v>
      </c>
      <c r="E4331" s="2">
        <v>11</v>
      </c>
      <c r="F4331" s="4">
        <v>8</v>
      </c>
      <c r="G4331" s="2">
        <v>88</v>
      </c>
      <c r="H4331" t="s">
        <v>45</v>
      </c>
      <c r="I4331" t="s">
        <v>36</v>
      </c>
      <c r="J4331" s="1">
        <v>45554</v>
      </c>
      <c r="K4331" t="b">
        <v>0</v>
      </c>
    </row>
    <row r="4332" spans="1:11" x14ac:dyDescent="0.25">
      <c r="A4332" t="s">
        <v>3318</v>
      </c>
      <c r="B4332" t="s">
        <v>86</v>
      </c>
      <c r="C4332" t="s">
        <v>110</v>
      </c>
      <c r="D4332" t="s">
        <v>118</v>
      </c>
      <c r="E4332" s="2">
        <v>11</v>
      </c>
      <c r="F4332" s="4">
        <v>8</v>
      </c>
      <c r="G4332" s="2">
        <v>88</v>
      </c>
      <c r="H4332" t="s">
        <v>25</v>
      </c>
      <c r="I4332" t="s">
        <v>16</v>
      </c>
      <c r="J4332" s="1">
        <v>44793</v>
      </c>
      <c r="K4332" t="b">
        <v>0</v>
      </c>
    </row>
    <row r="4333" spans="1:11" x14ac:dyDescent="0.25">
      <c r="A4333" t="s">
        <v>2268</v>
      </c>
      <c r="B4333" t="s">
        <v>93</v>
      </c>
      <c r="C4333" t="s">
        <v>38</v>
      </c>
      <c r="D4333" t="s">
        <v>193</v>
      </c>
      <c r="E4333" s="2">
        <v>11</v>
      </c>
      <c r="F4333" s="4">
        <v>8</v>
      </c>
      <c r="G4333" s="2">
        <v>88</v>
      </c>
      <c r="H4333" t="s">
        <v>15</v>
      </c>
      <c r="I4333" t="s">
        <v>16</v>
      </c>
      <c r="J4333" s="1">
        <v>45027</v>
      </c>
      <c r="K4333" t="b">
        <v>1</v>
      </c>
    </row>
    <row r="4334" spans="1:11" x14ac:dyDescent="0.25">
      <c r="A4334" t="s">
        <v>4073</v>
      </c>
      <c r="B4334" t="s">
        <v>100</v>
      </c>
      <c r="C4334" t="s">
        <v>23</v>
      </c>
      <c r="D4334" t="s">
        <v>410</v>
      </c>
      <c r="E4334" s="2">
        <v>11</v>
      </c>
      <c r="F4334" s="4">
        <v>8</v>
      </c>
      <c r="G4334" s="2">
        <v>88</v>
      </c>
      <c r="H4334" t="s">
        <v>25</v>
      </c>
      <c r="I4334" t="s">
        <v>36</v>
      </c>
      <c r="J4334" s="1">
        <v>45222</v>
      </c>
      <c r="K4334" t="b">
        <v>0</v>
      </c>
    </row>
    <row r="4335" spans="1:11" x14ac:dyDescent="0.25">
      <c r="A4335" t="s">
        <v>7504</v>
      </c>
      <c r="B4335" t="s">
        <v>37</v>
      </c>
      <c r="C4335" t="s">
        <v>23</v>
      </c>
      <c r="D4335" t="s">
        <v>410</v>
      </c>
      <c r="E4335" s="2">
        <v>11</v>
      </c>
      <c r="F4335" s="4">
        <v>8</v>
      </c>
      <c r="G4335" s="2">
        <v>88</v>
      </c>
      <c r="H4335" t="s">
        <v>25</v>
      </c>
      <c r="I4335" t="s">
        <v>36</v>
      </c>
      <c r="J4335" s="1">
        <v>45043</v>
      </c>
      <c r="K4335" t="b">
        <v>1</v>
      </c>
    </row>
    <row r="4336" spans="1:11" x14ac:dyDescent="0.25">
      <c r="A4336" t="s">
        <v>3404</v>
      </c>
      <c r="B4336" t="s">
        <v>63</v>
      </c>
      <c r="C4336" t="s">
        <v>110</v>
      </c>
      <c r="D4336" t="s">
        <v>118</v>
      </c>
      <c r="E4336" s="2">
        <v>11</v>
      </c>
      <c r="F4336" s="4">
        <v>8</v>
      </c>
      <c r="G4336" s="2">
        <v>88</v>
      </c>
      <c r="H4336" t="s">
        <v>25</v>
      </c>
      <c r="I4336" t="s">
        <v>16</v>
      </c>
      <c r="J4336" s="1">
        <v>44837</v>
      </c>
      <c r="K4336" t="b">
        <v>1</v>
      </c>
    </row>
    <row r="4337" spans="1:11" x14ac:dyDescent="0.25">
      <c r="A4337" t="s">
        <v>6948</v>
      </c>
      <c r="B4337" t="s">
        <v>37</v>
      </c>
      <c r="C4337" t="s">
        <v>110</v>
      </c>
      <c r="D4337" t="s">
        <v>118</v>
      </c>
      <c r="E4337" s="2">
        <v>11</v>
      </c>
      <c r="F4337" s="4">
        <v>8</v>
      </c>
      <c r="G4337" s="2">
        <v>88</v>
      </c>
      <c r="H4337" t="s">
        <v>25</v>
      </c>
      <c r="I4337" t="s">
        <v>16</v>
      </c>
      <c r="J4337" s="1">
        <v>44635</v>
      </c>
      <c r="K4337" t="b">
        <v>1</v>
      </c>
    </row>
    <row r="4338" spans="1:11" x14ac:dyDescent="0.25">
      <c r="A4338" t="s">
        <v>1480</v>
      </c>
      <c r="B4338" t="s">
        <v>34</v>
      </c>
      <c r="C4338" t="s">
        <v>31</v>
      </c>
      <c r="D4338" t="s">
        <v>318</v>
      </c>
      <c r="E4338" s="2">
        <v>11</v>
      </c>
      <c r="F4338" s="4">
        <v>8</v>
      </c>
      <c r="G4338" s="2">
        <v>88</v>
      </c>
      <c r="H4338" t="s">
        <v>25</v>
      </c>
      <c r="I4338" t="s">
        <v>36</v>
      </c>
      <c r="J4338" s="1">
        <v>44993</v>
      </c>
      <c r="K4338" t="b">
        <v>0</v>
      </c>
    </row>
    <row r="4339" spans="1:11" x14ac:dyDescent="0.25">
      <c r="A4339" t="s">
        <v>3013</v>
      </c>
      <c r="B4339" t="s">
        <v>77</v>
      </c>
      <c r="C4339" t="s">
        <v>110</v>
      </c>
      <c r="D4339" t="s">
        <v>118</v>
      </c>
      <c r="E4339" s="2">
        <v>11</v>
      </c>
      <c r="F4339" s="4">
        <v>8</v>
      </c>
      <c r="G4339" s="2">
        <v>88</v>
      </c>
      <c r="H4339" t="s">
        <v>15</v>
      </c>
      <c r="I4339" t="s">
        <v>16</v>
      </c>
      <c r="J4339" s="1">
        <v>45533</v>
      </c>
      <c r="K4339" t="b">
        <v>1</v>
      </c>
    </row>
    <row r="4340" spans="1:11" x14ac:dyDescent="0.25">
      <c r="A4340" t="s">
        <v>7730</v>
      </c>
      <c r="B4340" t="s">
        <v>100</v>
      </c>
      <c r="C4340" t="s">
        <v>110</v>
      </c>
      <c r="D4340" t="s">
        <v>118</v>
      </c>
      <c r="E4340" s="2">
        <v>11</v>
      </c>
      <c r="F4340" s="4">
        <v>8</v>
      </c>
      <c r="G4340" s="2">
        <v>88</v>
      </c>
      <c r="H4340" t="s">
        <v>45</v>
      </c>
      <c r="I4340" t="s">
        <v>16</v>
      </c>
      <c r="J4340" s="1">
        <v>45491</v>
      </c>
      <c r="K4340" t="b">
        <v>0</v>
      </c>
    </row>
    <row r="4341" spans="1:11" x14ac:dyDescent="0.25">
      <c r="A4341" t="s">
        <v>5797</v>
      </c>
      <c r="B4341" t="s">
        <v>104</v>
      </c>
      <c r="C4341" t="s">
        <v>19</v>
      </c>
      <c r="D4341" t="s">
        <v>689</v>
      </c>
      <c r="E4341" s="2">
        <v>11</v>
      </c>
      <c r="F4341" s="4">
        <v>8</v>
      </c>
      <c r="G4341" s="2">
        <v>88</v>
      </c>
      <c r="H4341" t="s">
        <v>45</v>
      </c>
      <c r="I4341" t="s">
        <v>16</v>
      </c>
      <c r="J4341" s="1">
        <v>45352</v>
      </c>
      <c r="K4341" t="b">
        <v>0</v>
      </c>
    </row>
    <row r="4342" spans="1:11" x14ac:dyDescent="0.25">
      <c r="A4342" t="s">
        <v>7015</v>
      </c>
      <c r="B4342" t="s">
        <v>58</v>
      </c>
      <c r="C4342" t="s">
        <v>59</v>
      </c>
      <c r="D4342" t="s">
        <v>347</v>
      </c>
      <c r="E4342" s="2">
        <v>11</v>
      </c>
      <c r="F4342" s="4">
        <v>8</v>
      </c>
      <c r="G4342" s="2">
        <v>88</v>
      </c>
      <c r="H4342" t="s">
        <v>25</v>
      </c>
      <c r="I4342" t="s">
        <v>16</v>
      </c>
      <c r="J4342" s="1">
        <v>45434</v>
      </c>
      <c r="K4342" t="b">
        <v>1</v>
      </c>
    </row>
    <row r="4343" spans="1:11" x14ac:dyDescent="0.25">
      <c r="A4343" t="s">
        <v>3337</v>
      </c>
      <c r="B4343" t="s">
        <v>77</v>
      </c>
      <c r="C4343" t="s">
        <v>38</v>
      </c>
      <c r="D4343" t="s">
        <v>193</v>
      </c>
      <c r="E4343" s="2">
        <v>11</v>
      </c>
      <c r="F4343" s="4">
        <v>8</v>
      </c>
      <c r="G4343" s="2">
        <v>88</v>
      </c>
      <c r="H4343" t="s">
        <v>15</v>
      </c>
      <c r="I4343" t="s">
        <v>36</v>
      </c>
      <c r="J4343" s="1">
        <v>44912</v>
      </c>
      <c r="K4343" t="b">
        <v>0</v>
      </c>
    </row>
    <row r="4344" spans="1:11" x14ac:dyDescent="0.25">
      <c r="A4344" t="s">
        <v>6143</v>
      </c>
      <c r="B4344" t="s">
        <v>58</v>
      </c>
      <c r="C4344" t="s">
        <v>19</v>
      </c>
      <c r="D4344" t="s">
        <v>689</v>
      </c>
      <c r="E4344" s="2">
        <v>11</v>
      </c>
      <c r="F4344" s="4">
        <v>8</v>
      </c>
      <c r="G4344" s="2">
        <v>88</v>
      </c>
      <c r="H4344" t="s">
        <v>25</v>
      </c>
      <c r="I4344" t="s">
        <v>36</v>
      </c>
      <c r="J4344" s="1">
        <v>45023</v>
      </c>
      <c r="K4344" t="b">
        <v>0</v>
      </c>
    </row>
    <row r="4345" spans="1:11" x14ac:dyDescent="0.25">
      <c r="A4345" t="s">
        <v>4191</v>
      </c>
      <c r="B4345" t="s">
        <v>18</v>
      </c>
      <c r="C4345" t="s">
        <v>38</v>
      </c>
      <c r="D4345" t="s">
        <v>193</v>
      </c>
      <c r="E4345" s="2">
        <v>11</v>
      </c>
      <c r="F4345" s="4">
        <v>8</v>
      </c>
      <c r="G4345" s="2">
        <v>88</v>
      </c>
      <c r="H4345" t="s">
        <v>25</v>
      </c>
      <c r="I4345" t="s">
        <v>36</v>
      </c>
      <c r="J4345" s="1">
        <v>44740</v>
      </c>
      <c r="K4345" t="b">
        <v>1</v>
      </c>
    </row>
    <row r="4346" spans="1:11" x14ac:dyDescent="0.25">
      <c r="A4346" t="s">
        <v>6294</v>
      </c>
      <c r="B4346" t="s">
        <v>66</v>
      </c>
      <c r="C4346" t="s">
        <v>110</v>
      </c>
      <c r="D4346" t="s">
        <v>118</v>
      </c>
      <c r="E4346" s="2">
        <v>11</v>
      </c>
      <c r="F4346" s="4">
        <v>8</v>
      </c>
      <c r="G4346" s="2">
        <v>88</v>
      </c>
      <c r="H4346" t="s">
        <v>15</v>
      </c>
      <c r="I4346" t="s">
        <v>16</v>
      </c>
      <c r="J4346" s="1">
        <v>44957</v>
      </c>
      <c r="K4346" t="b">
        <v>0</v>
      </c>
    </row>
    <row r="4347" spans="1:11" x14ac:dyDescent="0.25">
      <c r="A4347" t="s">
        <v>7184</v>
      </c>
      <c r="B4347" t="s">
        <v>86</v>
      </c>
      <c r="C4347" t="s">
        <v>38</v>
      </c>
      <c r="D4347" t="s">
        <v>193</v>
      </c>
      <c r="E4347" s="2">
        <v>11</v>
      </c>
      <c r="F4347" s="4">
        <v>8</v>
      </c>
      <c r="G4347" s="2">
        <v>88</v>
      </c>
      <c r="H4347" t="s">
        <v>45</v>
      </c>
      <c r="I4347" t="s">
        <v>16</v>
      </c>
      <c r="J4347" s="1">
        <v>45657</v>
      </c>
      <c r="K4347" t="b">
        <v>1</v>
      </c>
    </row>
    <row r="4348" spans="1:11" x14ac:dyDescent="0.25">
      <c r="A4348" t="s">
        <v>2747</v>
      </c>
      <c r="B4348" t="s">
        <v>30</v>
      </c>
      <c r="C4348" t="s">
        <v>19</v>
      </c>
      <c r="D4348" t="s">
        <v>689</v>
      </c>
      <c r="E4348" s="2">
        <v>11</v>
      </c>
      <c r="F4348" s="4">
        <v>8</v>
      </c>
      <c r="G4348" s="2">
        <v>88</v>
      </c>
      <c r="H4348" t="s">
        <v>25</v>
      </c>
      <c r="I4348" t="s">
        <v>36</v>
      </c>
      <c r="J4348" s="1">
        <v>45230</v>
      </c>
      <c r="K4348" t="b">
        <v>1</v>
      </c>
    </row>
    <row r="4349" spans="1:11" x14ac:dyDescent="0.25">
      <c r="A4349" t="s">
        <v>2830</v>
      </c>
      <c r="B4349" t="s">
        <v>63</v>
      </c>
      <c r="C4349" t="s">
        <v>27</v>
      </c>
      <c r="D4349" t="s">
        <v>968</v>
      </c>
      <c r="E4349" s="2">
        <v>11</v>
      </c>
      <c r="F4349" s="4">
        <v>8</v>
      </c>
      <c r="G4349" s="2">
        <v>88</v>
      </c>
      <c r="H4349" t="s">
        <v>25</v>
      </c>
      <c r="I4349" t="s">
        <v>36</v>
      </c>
      <c r="J4349" s="1">
        <v>44895</v>
      </c>
      <c r="K4349" t="b">
        <v>0</v>
      </c>
    </row>
    <row r="4350" spans="1:11" x14ac:dyDescent="0.25">
      <c r="A4350" t="s">
        <v>2551</v>
      </c>
      <c r="B4350" t="s">
        <v>142</v>
      </c>
      <c r="C4350" t="s">
        <v>59</v>
      </c>
      <c r="D4350" t="s">
        <v>347</v>
      </c>
      <c r="E4350" s="2">
        <v>11</v>
      </c>
      <c r="F4350" s="4">
        <v>8</v>
      </c>
      <c r="G4350" s="2">
        <v>88</v>
      </c>
      <c r="H4350" t="s">
        <v>25</v>
      </c>
      <c r="I4350" t="s">
        <v>36</v>
      </c>
      <c r="J4350" s="1">
        <v>44923</v>
      </c>
      <c r="K4350" t="b">
        <v>1</v>
      </c>
    </row>
    <row r="4351" spans="1:11" x14ac:dyDescent="0.25">
      <c r="A4351" t="s">
        <v>7289</v>
      </c>
      <c r="B4351" t="s">
        <v>12</v>
      </c>
      <c r="C4351" t="s">
        <v>110</v>
      </c>
      <c r="D4351" t="s">
        <v>118</v>
      </c>
      <c r="E4351" s="2">
        <v>11</v>
      </c>
      <c r="F4351" s="4">
        <v>8</v>
      </c>
      <c r="G4351" s="2">
        <v>88</v>
      </c>
      <c r="H4351" t="s">
        <v>15</v>
      </c>
      <c r="I4351" t="s">
        <v>36</v>
      </c>
      <c r="J4351" s="1">
        <v>44826</v>
      </c>
      <c r="K4351" t="b">
        <v>0</v>
      </c>
    </row>
    <row r="4352" spans="1:11" x14ac:dyDescent="0.25">
      <c r="A4352" t="s">
        <v>1556</v>
      </c>
      <c r="B4352" t="s">
        <v>34</v>
      </c>
      <c r="C4352" t="s">
        <v>31</v>
      </c>
      <c r="D4352" t="s">
        <v>318</v>
      </c>
      <c r="E4352" s="2">
        <v>11</v>
      </c>
      <c r="F4352" s="4">
        <v>8</v>
      </c>
      <c r="G4352" s="2">
        <v>88</v>
      </c>
      <c r="H4352" t="s">
        <v>25</v>
      </c>
      <c r="I4352" t="s">
        <v>16</v>
      </c>
      <c r="J4352" s="1">
        <v>45304</v>
      </c>
      <c r="K4352" t="b">
        <v>0</v>
      </c>
    </row>
    <row r="4353" spans="1:11" x14ac:dyDescent="0.25">
      <c r="A4353" t="s">
        <v>1738</v>
      </c>
      <c r="B4353" t="s">
        <v>69</v>
      </c>
      <c r="C4353" t="s">
        <v>31</v>
      </c>
      <c r="D4353" t="s">
        <v>318</v>
      </c>
      <c r="E4353" s="2">
        <v>11</v>
      </c>
      <c r="F4353" s="4">
        <v>8</v>
      </c>
      <c r="G4353" s="2">
        <v>88</v>
      </c>
      <c r="H4353" t="s">
        <v>45</v>
      </c>
      <c r="I4353" t="s">
        <v>16</v>
      </c>
      <c r="J4353" s="1">
        <v>45004</v>
      </c>
      <c r="K4353" t="b">
        <v>0</v>
      </c>
    </row>
    <row r="4354" spans="1:11" x14ac:dyDescent="0.25">
      <c r="A4354" t="s">
        <v>2596</v>
      </c>
      <c r="B4354" t="s">
        <v>86</v>
      </c>
      <c r="C4354" t="s">
        <v>31</v>
      </c>
      <c r="D4354" t="s">
        <v>318</v>
      </c>
      <c r="E4354" s="2">
        <v>11</v>
      </c>
      <c r="F4354" s="4">
        <v>8</v>
      </c>
      <c r="G4354" s="2">
        <v>88</v>
      </c>
      <c r="H4354" t="s">
        <v>25</v>
      </c>
      <c r="I4354" t="s">
        <v>16</v>
      </c>
      <c r="J4354" s="1">
        <v>44723</v>
      </c>
      <c r="K4354" t="b">
        <v>0</v>
      </c>
    </row>
    <row r="4355" spans="1:11" x14ac:dyDescent="0.25">
      <c r="A4355" t="s">
        <v>5966</v>
      </c>
      <c r="B4355" t="s">
        <v>30</v>
      </c>
      <c r="C4355" t="s">
        <v>27</v>
      </c>
      <c r="D4355" t="s">
        <v>968</v>
      </c>
      <c r="E4355" s="2">
        <v>11</v>
      </c>
      <c r="F4355" s="4">
        <v>8</v>
      </c>
      <c r="G4355" s="2">
        <v>88</v>
      </c>
      <c r="H4355" t="s">
        <v>45</v>
      </c>
      <c r="I4355" t="s">
        <v>16</v>
      </c>
      <c r="J4355" s="1">
        <v>45340</v>
      </c>
      <c r="K4355" t="b">
        <v>1</v>
      </c>
    </row>
    <row r="4356" spans="1:11" x14ac:dyDescent="0.25">
      <c r="A4356" t="s">
        <v>1613</v>
      </c>
      <c r="B4356" t="s">
        <v>104</v>
      </c>
      <c r="C4356" t="s">
        <v>31</v>
      </c>
      <c r="D4356" t="s">
        <v>318</v>
      </c>
      <c r="E4356" s="2">
        <v>11</v>
      </c>
      <c r="F4356" s="4">
        <v>8</v>
      </c>
      <c r="G4356" s="2">
        <v>88</v>
      </c>
      <c r="H4356" t="s">
        <v>45</v>
      </c>
      <c r="I4356" t="s">
        <v>16</v>
      </c>
      <c r="J4356" s="1">
        <v>44968</v>
      </c>
      <c r="K4356" t="b">
        <v>1</v>
      </c>
    </row>
    <row r="4357" spans="1:11" x14ac:dyDescent="0.25">
      <c r="A4357" t="s">
        <v>5932</v>
      </c>
      <c r="B4357" t="s">
        <v>22</v>
      </c>
      <c r="C4357" t="s">
        <v>38</v>
      </c>
      <c r="D4357" t="s">
        <v>193</v>
      </c>
      <c r="E4357" s="2">
        <v>11</v>
      </c>
      <c r="F4357" s="4">
        <v>8</v>
      </c>
      <c r="G4357" s="2">
        <v>88</v>
      </c>
      <c r="H4357" t="s">
        <v>25</v>
      </c>
      <c r="I4357" t="s">
        <v>16</v>
      </c>
      <c r="J4357" s="1">
        <v>45581</v>
      </c>
      <c r="K4357" t="b">
        <v>1</v>
      </c>
    </row>
    <row r="4358" spans="1:11" x14ac:dyDescent="0.25">
      <c r="A4358" t="s">
        <v>4992</v>
      </c>
      <c r="B4358" t="s">
        <v>61</v>
      </c>
      <c r="C4358" t="s">
        <v>59</v>
      </c>
      <c r="D4358" t="s">
        <v>347</v>
      </c>
      <c r="E4358" s="2">
        <v>11</v>
      </c>
      <c r="F4358" s="4">
        <v>8</v>
      </c>
      <c r="G4358" s="2">
        <v>88</v>
      </c>
      <c r="H4358" t="s">
        <v>15</v>
      </c>
      <c r="I4358" t="s">
        <v>16</v>
      </c>
      <c r="J4358" s="1">
        <v>45633</v>
      </c>
      <c r="K4358" t="b">
        <v>0</v>
      </c>
    </row>
    <row r="4359" spans="1:11" x14ac:dyDescent="0.25">
      <c r="A4359" t="s">
        <v>2401</v>
      </c>
      <c r="B4359" t="s">
        <v>72</v>
      </c>
      <c r="C4359" t="s">
        <v>110</v>
      </c>
      <c r="D4359" t="s">
        <v>118</v>
      </c>
      <c r="E4359" s="2">
        <v>11</v>
      </c>
      <c r="F4359" s="4">
        <v>8</v>
      </c>
      <c r="G4359" s="2">
        <v>88</v>
      </c>
      <c r="H4359" t="s">
        <v>25</v>
      </c>
      <c r="I4359" t="s">
        <v>16</v>
      </c>
      <c r="J4359" s="1">
        <v>44607</v>
      </c>
      <c r="K4359" t="b">
        <v>1</v>
      </c>
    </row>
    <row r="4360" spans="1:11" x14ac:dyDescent="0.25">
      <c r="A4360" t="s">
        <v>211</v>
      </c>
      <c r="B4360" t="s">
        <v>58</v>
      </c>
      <c r="C4360" t="s">
        <v>38</v>
      </c>
      <c r="D4360" t="s">
        <v>193</v>
      </c>
      <c r="E4360" s="2">
        <v>11</v>
      </c>
      <c r="F4360" s="4">
        <v>8</v>
      </c>
      <c r="G4360" s="2">
        <v>88</v>
      </c>
      <c r="H4360" t="s">
        <v>15</v>
      </c>
      <c r="I4360" t="s">
        <v>16</v>
      </c>
      <c r="J4360" s="1">
        <v>44740</v>
      </c>
      <c r="K4360" t="b">
        <v>0</v>
      </c>
    </row>
    <row r="4361" spans="1:11" x14ac:dyDescent="0.25">
      <c r="A4361" t="s">
        <v>5395</v>
      </c>
      <c r="B4361" t="s">
        <v>100</v>
      </c>
      <c r="C4361" t="s">
        <v>110</v>
      </c>
      <c r="D4361" t="s">
        <v>118</v>
      </c>
      <c r="E4361" s="2">
        <v>11</v>
      </c>
      <c r="F4361" s="4">
        <v>8</v>
      </c>
      <c r="G4361" s="2">
        <v>88</v>
      </c>
      <c r="H4361" t="s">
        <v>15</v>
      </c>
      <c r="I4361" t="s">
        <v>36</v>
      </c>
      <c r="J4361" s="1">
        <v>45010</v>
      </c>
      <c r="K4361" t="b">
        <v>1</v>
      </c>
    </row>
    <row r="4362" spans="1:11" x14ac:dyDescent="0.25">
      <c r="A4362" t="s">
        <v>811</v>
      </c>
      <c r="B4362" t="s">
        <v>61</v>
      </c>
      <c r="C4362" t="s">
        <v>59</v>
      </c>
      <c r="D4362" t="s">
        <v>347</v>
      </c>
      <c r="E4362" s="2">
        <v>11</v>
      </c>
      <c r="F4362" s="4">
        <v>8</v>
      </c>
      <c r="G4362" s="2">
        <v>88</v>
      </c>
      <c r="H4362" t="s">
        <v>45</v>
      </c>
      <c r="I4362" t="s">
        <v>16</v>
      </c>
      <c r="J4362" s="1">
        <v>44765</v>
      </c>
      <c r="K4362" t="b">
        <v>1</v>
      </c>
    </row>
    <row r="4363" spans="1:11" x14ac:dyDescent="0.25">
      <c r="A4363" t="s">
        <v>3155</v>
      </c>
      <c r="B4363" t="s">
        <v>22</v>
      </c>
      <c r="C4363" t="s">
        <v>110</v>
      </c>
      <c r="D4363" t="s">
        <v>118</v>
      </c>
      <c r="E4363" s="2">
        <v>11</v>
      </c>
      <c r="F4363" s="4">
        <v>8</v>
      </c>
      <c r="G4363" s="2">
        <v>88</v>
      </c>
      <c r="H4363" t="s">
        <v>25</v>
      </c>
      <c r="I4363" t="s">
        <v>16</v>
      </c>
      <c r="J4363" s="1">
        <v>44682</v>
      </c>
      <c r="K4363" t="b">
        <v>0</v>
      </c>
    </row>
    <row r="4364" spans="1:11" x14ac:dyDescent="0.25">
      <c r="A4364" t="s">
        <v>2988</v>
      </c>
      <c r="B4364" t="s">
        <v>72</v>
      </c>
      <c r="C4364" t="s">
        <v>23</v>
      </c>
      <c r="D4364" t="s">
        <v>410</v>
      </c>
      <c r="E4364" s="2">
        <v>11</v>
      </c>
      <c r="F4364" s="4">
        <v>8</v>
      </c>
      <c r="G4364" s="2">
        <v>88</v>
      </c>
      <c r="H4364" t="s">
        <v>45</v>
      </c>
      <c r="I4364" t="s">
        <v>16</v>
      </c>
      <c r="J4364" s="1">
        <v>45389</v>
      </c>
      <c r="K4364" t="b">
        <v>1</v>
      </c>
    </row>
    <row r="4365" spans="1:11" x14ac:dyDescent="0.25">
      <c r="A4365" t="s">
        <v>2438</v>
      </c>
      <c r="B4365" t="s">
        <v>56</v>
      </c>
      <c r="C4365" t="s">
        <v>31</v>
      </c>
      <c r="D4365" t="s">
        <v>318</v>
      </c>
      <c r="E4365" s="2">
        <v>11</v>
      </c>
      <c r="F4365" s="4">
        <v>8</v>
      </c>
      <c r="G4365" s="2">
        <v>88</v>
      </c>
      <c r="H4365" t="s">
        <v>15</v>
      </c>
      <c r="I4365" t="s">
        <v>36</v>
      </c>
      <c r="J4365" s="1">
        <v>44880</v>
      </c>
      <c r="K4365" t="b">
        <v>1</v>
      </c>
    </row>
    <row r="4366" spans="1:11" x14ac:dyDescent="0.25">
      <c r="A4366" t="s">
        <v>7040</v>
      </c>
      <c r="B4366" t="s">
        <v>142</v>
      </c>
      <c r="C4366" t="s">
        <v>110</v>
      </c>
      <c r="D4366" t="s">
        <v>118</v>
      </c>
      <c r="E4366" s="2">
        <v>11</v>
      </c>
      <c r="F4366" s="4">
        <v>8</v>
      </c>
      <c r="G4366" s="2">
        <v>88</v>
      </c>
      <c r="H4366" t="s">
        <v>25</v>
      </c>
      <c r="I4366" t="s">
        <v>16</v>
      </c>
      <c r="J4366" s="1">
        <v>45504</v>
      </c>
      <c r="K4366" t="b">
        <v>0</v>
      </c>
    </row>
    <row r="4367" spans="1:11" x14ac:dyDescent="0.25">
      <c r="A4367" t="s">
        <v>7762</v>
      </c>
      <c r="B4367" t="s">
        <v>34</v>
      </c>
      <c r="C4367" t="s">
        <v>31</v>
      </c>
      <c r="D4367" t="s">
        <v>318</v>
      </c>
      <c r="E4367" s="2">
        <v>11</v>
      </c>
      <c r="F4367" s="4">
        <v>8</v>
      </c>
      <c r="G4367" s="2">
        <v>88</v>
      </c>
      <c r="H4367" t="s">
        <v>15</v>
      </c>
      <c r="I4367" t="s">
        <v>36</v>
      </c>
      <c r="J4367" s="1">
        <v>44931</v>
      </c>
      <c r="K4367" t="b">
        <v>0</v>
      </c>
    </row>
    <row r="4368" spans="1:11" x14ac:dyDescent="0.25">
      <c r="A4368" t="s">
        <v>6168</v>
      </c>
      <c r="B4368" t="s">
        <v>40</v>
      </c>
      <c r="C4368" t="s">
        <v>31</v>
      </c>
      <c r="D4368" t="s">
        <v>318</v>
      </c>
      <c r="E4368" s="2">
        <v>11</v>
      </c>
      <c r="F4368" s="4">
        <v>8</v>
      </c>
      <c r="G4368" s="2">
        <v>88</v>
      </c>
      <c r="H4368" t="s">
        <v>15</v>
      </c>
      <c r="I4368" t="s">
        <v>36</v>
      </c>
      <c r="J4368" s="1">
        <v>45190</v>
      </c>
      <c r="K4368" t="b">
        <v>1</v>
      </c>
    </row>
    <row r="4369" spans="1:11" x14ac:dyDescent="0.25">
      <c r="A4369" t="s">
        <v>1348</v>
      </c>
      <c r="B4369" t="s">
        <v>26</v>
      </c>
      <c r="C4369" t="s">
        <v>110</v>
      </c>
      <c r="D4369" t="s">
        <v>118</v>
      </c>
      <c r="E4369" s="2">
        <v>11</v>
      </c>
      <c r="F4369" s="4">
        <v>8</v>
      </c>
      <c r="G4369" s="2">
        <v>88</v>
      </c>
      <c r="H4369" t="s">
        <v>45</v>
      </c>
      <c r="I4369" t="s">
        <v>36</v>
      </c>
      <c r="J4369" s="1">
        <v>45380</v>
      </c>
      <c r="K4369" t="b">
        <v>1</v>
      </c>
    </row>
    <row r="4370" spans="1:11" x14ac:dyDescent="0.25">
      <c r="A4370" t="s">
        <v>6071</v>
      </c>
      <c r="B4370" t="s">
        <v>66</v>
      </c>
      <c r="C4370" t="s">
        <v>59</v>
      </c>
      <c r="D4370" t="s">
        <v>347</v>
      </c>
      <c r="E4370" s="2">
        <v>11</v>
      </c>
      <c r="F4370" s="4">
        <v>8</v>
      </c>
      <c r="G4370" s="2">
        <v>88</v>
      </c>
      <c r="H4370" t="s">
        <v>45</v>
      </c>
      <c r="I4370" t="s">
        <v>36</v>
      </c>
      <c r="J4370" s="1">
        <v>45104</v>
      </c>
      <c r="K4370" t="b">
        <v>0</v>
      </c>
    </row>
    <row r="4371" spans="1:11" x14ac:dyDescent="0.25">
      <c r="A4371" t="s">
        <v>5356</v>
      </c>
      <c r="B4371" t="s">
        <v>63</v>
      </c>
      <c r="C4371" t="s">
        <v>110</v>
      </c>
      <c r="D4371" t="s">
        <v>118</v>
      </c>
      <c r="E4371" s="2">
        <v>11</v>
      </c>
      <c r="F4371" s="4">
        <v>8</v>
      </c>
      <c r="G4371" s="2">
        <v>88</v>
      </c>
      <c r="H4371" t="s">
        <v>45</v>
      </c>
      <c r="I4371" t="s">
        <v>36</v>
      </c>
      <c r="J4371" s="1">
        <v>45441</v>
      </c>
      <c r="K4371" t="b">
        <v>1</v>
      </c>
    </row>
    <row r="4372" spans="1:11" x14ac:dyDescent="0.25">
      <c r="A4372" t="s">
        <v>5717</v>
      </c>
      <c r="B4372" t="s">
        <v>72</v>
      </c>
      <c r="C4372" t="s">
        <v>31</v>
      </c>
      <c r="D4372" t="s">
        <v>318</v>
      </c>
      <c r="E4372" s="2">
        <v>11</v>
      </c>
      <c r="F4372" s="4">
        <v>8</v>
      </c>
      <c r="G4372" s="2">
        <v>88</v>
      </c>
      <c r="H4372" t="s">
        <v>25</v>
      </c>
      <c r="I4372" t="s">
        <v>36</v>
      </c>
      <c r="J4372" s="1">
        <v>45294</v>
      </c>
      <c r="K4372" t="b">
        <v>0</v>
      </c>
    </row>
    <row r="4373" spans="1:11" x14ac:dyDescent="0.25">
      <c r="A4373" t="s">
        <v>1715</v>
      </c>
      <c r="B4373" t="s">
        <v>43</v>
      </c>
      <c r="C4373" t="s">
        <v>23</v>
      </c>
      <c r="D4373" t="s">
        <v>410</v>
      </c>
      <c r="E4373" s="2">
        <v>11</v>
      </c>
      <c r="F4373" s="4">
        <v>8</v>
      </c>
      <c r="G4373" s="2">
        <v>88</v>
      </c>
      <c r="H4373" t="s">
        <v>45</v>
      </c>
      <c r="I4373" t="s">
        <v>16</v>
      </c>
      <c r="J4373" s="1">
        <v>44946</v>
      </c>
      <c r="K4373" t="b">
        <v>0</v>
      </c>
    </row>
    <row r="4374" spans="1:11" x14ac:dyDescent="0.25">
      <c r="A4374" t="s">
        <v>3521</v>
      </c>
      <c r="B4374" t="s">
        <v>93</v>
      </c>
      <c r="C4374" t="s">
        <v>38</v>
      </c>
      <c r="D4374" t="s">
        <v>193</v>
      </c>
      <c r="E4374" s="2">
        <v>11</v>
      </c>
      <c r="F4374" s="4">
        <v>8</v>
      </c>
      <c r="G4374" s="2">
        <v>88</v>
      </c>
      <c r="H4374" t="s">
        <v>25</v>
      </c>
      <c r="I4374" t="s">
        <v>16</v>
      </c>
      <c r="J4374" s="1">
        <v>45173</v>
      </c>
      <c r="K4374" t="b">
        <v>0</v>
      </c>
    </row>
    <row r="4375" spans="1:11" x14ac:dyDescent="0.25">
      <c r="A4375" t="s">
        <v>7811</v>
      </c>
      <c r="B4375" t="s">
        <v>51</v>
      </c>
      <c r="C4375" t="s">
        <v>59</v>
      </c>
      <c r="D4375" t="s">
        <v>347</v>
      </c>
      <c r="E4375" s="2">
        <v>11</v>
      </c>
      <c r="F4375" s="4">
        <v>8</v>
      </c>
      <c r="G4375" s="2">
        <v>88</v>
      </c>
      <c r="H4375" t="s">
        <v>15</v>
      </c>
      <c r="I4375" t="s">
        <v>36</v>
      </c>
      <c r="J4375" s="1">
        <v>45088</v>
      </c>
      <c r="K4375" t="b">
        <v>1</v>
      </c>
    </row>
    <row r="4376" spans="1:11" x14ac:dyDescent="0.25">
      <c r="A4376" t="s">
        <v>3516</v>
      </c>
      <c r="B4376" t="s">
        <v>26</v>
      </c>
      <c r="C4376" t="s">
        <v>59</v>
      </c>
      <c r="D4376" t="s">
        <v>347</v>
      </c>
      <c r="E4376" s="2">
        <v>11</v>
      </c>
      <c r="F4376" s="4">
        <v>8</v>
      </c>
      <c r="G4376" s="2">
        <v>88</v>
      </c>
      <c r="H4376" t="s">
        <v>15</v>
      </c>
      <c r="I4376" t="s">
        <v>36</v>
      </c>
      <c r="J4376" s="1">
        <v>45116</v>
      </c>
      <c r="K4376" t="b">
        <v>0</v>
      </c>
    </row>
    <row r="4377" spans="1:11" x14ac:dyDescent="0.25">
      <c r="A4377" t="s">
        <v>7439</v>
      </c>
      <c r="B4377" t="s">
        <v>22</v>
      </c>
      <c r="C4377" t="s">
        <v>59</v>
      </c>
      <c r="D4377" t="s">
        <v>177</v>
      </c>
      <c r="E4377" s="2">
        <v>12.5</v>
      </c>
      <c r="F4377" s="4">
        <v>7</v>
      </c>
      <c r="G4377" s="2">
        <v>87.5</v>
      </c>
      <c r="H4377" t="s">
        <v>45</v>
      </c>
      <c r="I4377" t="s">
        <v>36</v>
      </c>
      <c r="J4377" s="1">
        <v>45305</v>
      </c>
      <c r="K4377" t="b">
        <v>1</v>
      </c>
    </row>
    <row r="4378" spans="1:11" x14ac:dyDescent="0.25">
      <c r="A4378" t="s">
        <v>2021</v>
      </c>
      <c r="B4378" t="s">
        <v>26</v>
      </c>
      <c r="C4378" t="s">
        <v>38</v>
      </c>
      <c r="D4378" t="s">
        <v>480</v>
      </c>
      <c r="E4378" s="2">
        <v>12.5</v>
      </c>
      <c r="F4378" s="4">
        <v>7</v>
      </c>
      <c r="G4378" s="2">
        <v>87.5</v>
      </c>
      <c r="H4378" t="s">
        <v>45</v>
      </c>
      <c r="I4378" t="s">
        <v>16</v>
      </c>
      <c r="J4378" s="1">
        <v>44857</v>
      </c>
      <c r="K4378" t="b">
        <v>0</v>
      </c>
    </row>
    <row r="4379" spans="1:11" x14ac:dyDescent="0.25">
      <c r="A4379" t="s">
        <v>1466</v>
      </c>
      <c r="B4379" t="s">
        <v>93</v>
      </c>
      <c r="C4379" t="s">
        <v>19</v>
      </c>
      <c r="D4379" t="s">
        <v>128</v>
      </c>
      <c r="E4379" s="2">
        <v>12.5</v>
      </c>
      <c r="F4379" s="4">
        <v>7</v>
      </c>
      <c r="G4379" s="2">
        <v>87.5</v>
      </c>
      <c r="H4379" t="s">
        <v>15</v>
      </c>
      <c r="I4379" t="s">
        <v>16</v>
      </c>
      <c r="J4379" s="1">
        <v>45176</v>
      </c>
      <c r="K4379" t="b">
        <v>1</v>
      </c>
    </row>
    <row r="4380" spans="1:11" x14ac:dyDescent="0.25">
      <c r="A4380" t="s">
        <v>6780</v>
      </c>
      <c r="B4380" t="s">
        <v>18</v>
      </c>
      <c r="C4380" t="s">
        <v>19</v>
      </c>
      <c r="D4380" t="s">
        <v>128</v>
      </c>
      <c r="E4380" s="2">
        <v>12.5</v>
      </c>
      <c r="F4380" s="4">
        <v>7</v>
      </c>
      <c r="G4380" s="2">
        <v>87.5</v>
      </c>
      <c r="H4380" t="s">
        <v>15</v>
      </c>
      <c r="I4380" t="s">
        <v>16</v>
      </c>
      <c r="J4380" s="1">
        <v>45483</v>
      </c>
      <c r="K4380" t="b">
        <v>0</v>
      </c>
    </row>
    <row r="4381" spans="1:11" x14ac:dyDescent="0.25">
      <c r="A4381" t="s">
        <v>5940</v>
      </c>
      <c r="B4381" t="s">
        <v>85</v>
      </c>
      <c r="C4381" t="s">
        <v>59</v>
      </c>
      <c r="D4381" t="s">
        <v>177</v>
      </c>
      <c r="E4381" s="2">
        <v>12.5</v>
      </c>
      <c r="F4381" s="4">
        <v>7</v>
      </c>
      <c r="G4381" s="2">
        <v>87.5</v>
      </c>
      <c r="H4381" t="s">
        <v>25</v>
      </c>
      <c r="I4381" t="s">
        <v>16</v>
      </c>
      <c r="J4381" s="1">
        <v>45304</v>
      </c>
      <c r="K4381" t="b">
        <v>1</v>
      </c>
    </row>
    <row r="4382" spans="1:11" x14ac:dyDescent="0.25">
      <c r="A4382" t="s">
        <v>2125</v>
      </c>
      <c r="B4382" t="s">
        <v>34</v>
      </c>
      <c r="C4382" t="s">
        <v>19</v>
      </c>
      <c r="D4382" t="s">
        <v>128</v>
      </c>
      <c r="E4382" s="2">
        <v>12.5</v>
      </c>
      <c r="F4382" s="4">
        <v>7</v>
      </c>
      <c r="G4382" s="2">
        <v>87.5</v>
      </c>
      <c r="H4382" t="s">
        <v>25</v>
      </c>
      <c r="I4382" t="s">
        <v>36</v>
      </c>
      <c r="J4382" s="1">
        <v>44887</v>
      </c>
      <c r="K4382" t="b">
        <v>0</v>
      </c>
    </row>
    <row r="4383" spans="1:11" x14ac:dyDescent="0.25">
      <c r="A4383" t="s">
        <v>3543</v>
      </c>
      <c r="B4383" t="s">
        <v>93</v>
      </c>
      <c r="C4383" t="s">
        <v>31</v>
      </c>
      <c r="D4383" t="s">
        <v>32</v>
      </c>
      <c r="E4383" s="2">
        <v>12.5</v>
      </c>
      <c r="F4383" s="4">
        <v>7</v>
      </c>
      <c r="G4383" s="2">
        <v>87.5</v>
      </c>
      <c r="H4383" t="s">
        <v>15</v>
      </c>
      <c r="I4383" t="s">
        <v>16</v>
      </c>
      <c r="J4383" s="1">
        <v>44647</v>
      </c>
      <c r="K4383" t="b">
        <v>1</v>
      </c>
    </row>
    <row r="4384" spans="1:11" x14ac:dyDescent="0.25">
      <c r="A4384" t="s">
        <v>1941</v>
      </c>
      <c r="B4384" t="s">
        <v>18</v>
      </c>
      <c r="C4384" t="s">
        <v>23</v>
      </c>
      <c r="D4384" t="s">
        <v>437</v>
      </c>
      <c r="E4384" s="2">
        <v>12.5</v>
      </c>
      <c r="F4384" s="4">
        <v>7</v>
      </c>
      <c r="G4384" s="2">
        <v>87.5</v>
      </c>
      <c r="H4384" t="s">
        <v>15</v>
      </c>
      <c r="I4384" t="s">
        <v>36</v>
      </c>
      <c r="J4384" s="1">
        <v>45637</v>
      </c>
      <c r="K4384" t="b">
        <v>0</v>
      </c>
    </row>
    <row r="4385" spans="1:11" x14ac:dyDescent="0.25">
      <c r="A4385" t="s">
        <v>6025</v>
      </c>
      <c r="B4385" t="s">
        <v>37</v>
      </c>
      <c r="C4385" t="s">
        <v>19</v>
      </c>
      <c r="D4385" t="s">
        <v>128</v>
      </c>
      <c r="E4385" s="2">
        <v>12.5</v>
      </c>
      <c r="F4385" s="4">
        <v>7</v>
      </c>
      <c r="G4385" s="2">
        <v>87.5</v>
      </c>
      <c r="H4385" t="s">
        <v>45</v>
      </c>
      <c r="I4385" t="s">
        <v>36</v>
      </c>
      <c r="J4385" s="1">
        <v>45158</v>
      </c>
      <c r="K4385" t="b">
        <v>0</v>
      </c>
    </row>
    <row r="4386" spans="1:11" x14ac:dyDescent="0.25">
      <c r="A4386" t="s">
        <v>4792</v>
      </c>
      <c r="B4386" t="s">
        <v>63</v>
      </c>
      <c r="C4386" t="s">
        <v>13</v>
      </c>
      <c r="D4386" t="s">
        <v>84</v>
      </c>
      <c r="E4386" s="2">
        <v>12.5</v>
      </c>
      <c r="F4386" s="4">
        <v>7</v>
      </c>
      <c r="G4386" s="2">
        <v>87.5</v>
      </c>
      <c r="H4386" t="s">
        <v>45</v>
      </c>
      <c r="I4386" t="s">
        <v>36</v>
      </c>
      <c r="J4386" s="1">
        <v>45384</v>
      </c>
      <c r="K4386" t="b">
        <v>1</v>
      </c>
    </row>
    <row r="4387" spans="1:11" x14ac:dyDescent="0.25">
      <c r="A4387" t="s">
        <v>127</v>
      </c>
      <c r="B4387" t="s">
        <v>12</v>
      </c>
      <c r="C4387" t="s">
        <v>19</v>
      </c>
      <c r="D4387" t="s">
        <v>128</v>
      </c>
      <c r="E4387" s="2">
        <v>12.5</v>
      </c>
      <c r="F4387" s="4">
        <v>7</v>
      </c>
      <c r="G4387" s="2">
        <v>87.5</v>
      </c>
      <c r="H4387" t="s">
        <v>25</v>
      </c>
      <c r="I4387" t="s">
        <v>16</v>
      </c>
      <c r="J4387" s="1">
        <v>44939</v>
      </c>
      <c r="K4387" t="b">
        <v>0</v>
      </c>
    </row>
    <row r="4388" spans="1:11" x14ac:dyDescent="0.25">
      <c r="A4388" t="s">
        <v>6343</v>
      </c>
      <c r="B4388" t="s">
        <v>43</v>
      </c>
      <c r="C4388" t="s">
        <v>110</v>
      </c>
      <c r="D4388" t="s">
        <v>234</v>
      </c>
      <c r="E4388" s="2">
        <v>12.5</v>
      </c>
      <c r="F4388" s="4">
        <v>7</v>
      </c>
      <c r="G4388" s="2">
        <v>87.5</v>
      </c>
      <c r="H4388" t="s">
        <v>45</v>
      </c>
      <c r="I4388" t="s">
        <v>36</v>
      </c>
      <c r="J4388" s="1">
        <v>44761</v>
      </c>
      <c r="K4388" t="b">
        <v>0</v>
      </c>
    </row>
    <row r="4389" spans="1:11" x14ac:dyDescent="0.25">
      <c r="A4389" t="s">
        <v>3837</v>
      </c>
      <c r="B4389" t="s">
        <v>37</v>
      </c>
      <c r="C4389" t="s">
        <v>59</v>
      </c>
      <c r="D4389" t="s">
        <v>177</v>
      </c>
      <c r="E4389" s="2">
        <v>12.5</v>
      </c>
      <c r="F4389" s="4">
        <v>7</v>
      </c>
      <c r="G4389" s="2">
        <v>87.5</v>
      </c>
      <c r="H4389" t="s">
        <v>15</v>
      </c>
      <c r="I4389" t="s">
        <v>36</v>
      </c>
      <c r="J4389" s="1">
        <v>45161</v>
      </c>
      <c r="K4389" t="b">
        <v>0</v>
      </c>
    </row>
    <row r="4390" spans="1:11" x14ac:dyDescent="0.25">
      <c r="A4390" t="s">
        <v>29</v>
      </c>
      <c r="B4390" t="s">
        <v>30</v>
      </c>
      <c r="C4390" t="s">
        <v>31</v>
      </c>
      <c r="D4390" t="s">
        <v>32</v>
      </c>
      <c r="E4390" s="2">
        <v>12.5</v>
      </c>
      <c r="F4390" s="4">
        <v>7</v>
      </c>
      <c r="G4390" s="2">
        <v>87.5</v>
      </c>
      <c r="H4390" t="s">
        <v>15</v>
      </c>
      <c r="I4390" t="s">
        <v>16</v>
      </c>
      <c r="J4390" s="1">
        <v>44836</v>
      </c>
      <c r="K4390" t="b">
        <v>0</v>
      </c>
    </row>
    <row r="4391" spans="1:11" x14ac:dyDescent="0.25">
      <c r="A4391" t="s">
        <v>7614</v>
      </c>
      <c r="B4391" t="s">
        <v>85</v>
      </c>
      <c r="C4391" t="s">
        <v>23</v>
      </c>
      <c r="D4391" t="s">
        <v>437</v>
      </c>
      <c r="E4391" s="2">
        <v>12.5</v>
      </c>
      <c r="F4391" s="4">
        <v>7</v>
      </c>
      <c r="G4391" s="2">
        <v>87.5</v>
      </c>
      <c r="H4391" t="s">
        <v>45</v>
      </c>
      <c r="I4391" t="s">
        <v>36</v>
      </c>
      <c r="J4391" s="1">
        <v>45141</v>
      </c>
      <c r="K4391" t="b">
        <v>0</v>
      </c>
    </row>
    <row r="4392" spans="1:11" x14ac:dyDescent="0.25">
      <c r="A4392" t="s">
        <v>5374</v>
      </c>
      <c r="B4392" t="s">
        <v>86</v>
      </c>
      <c r="C4392" t="s">
        <v>38</v>
      </c>
      <c r="D4392" t="s">
        <v>480</v>
      </c>
      <c r="E4392" s="2">
        <v>12.5</v>
      </c>
      <c r="F4392" s="4">
        <v>7</v>
      </c>
      <c r="G4392" s="2">
        <v>87.5</v>
      </c>
      <c r="H4392" t="s">
        <v>15</v>
      </c>
      <c r="I4392" t="s">
        <v>36</v>
      </c>
      <c r="J4392" s="1">
        <v>45513</v>
      </c>
      <c r="K4392" t="b">
        <v>0</v>
      </c>
    </row>
    <row r="4393" spans="1:11" x14ac:dyDescent="0.25">
      <c r="A4393" t="s">
        <v>1127</v>
      </c>
      <c r="B4393" t="s">
        <v>69</v>
      </c>
      <c r="C4393" t="s">
        <v>19</v>
      </c>
      <c r="D4393" t="s">
        <v>128</v>
      </c>
      <c r="E4393" s="2">
        <v>12.5</v>
      </c>
      <c r="F4393" s="4">
        <v>7</v>
      </c>
      <c r="G4393" s="2">
        <v>87.5</v>
      </c>
      <c r="H4393" t="s">
        <v>25</v>
      </c>
      <c r="I4393" t="s">
        <v>16</v>
      </c>
      <c r="J4393" s="1">
        <v>44836</v>
      </c>
      <c r="K4393" t="b">
        <v>1</v>
      </c>
    </row>
    <row r="4394" spans="1:11" x14ac:dyDescent="0.25">
      <c r="A4394" t="s">
        <v>6188</v>
      </c>
      <c r="B4394" t="s">
        <v>51</v>
      </c>
      <c r="C4394" t="s">
        <v>59</v>
      </c>
      <c r="D4394" t="s">
        <v>177</v>
      </c>
      <c r="E4394" s="2">
        <v>12.5</v>
      </c>
      <c r="F4394" s="4">
        <v>7</v>
      </c>
      <c r="G4394" s="2">
        <v>87.5</v>
      </c>
      <c r="H4394" t="s">
        <v>45</v>
      </c>
      <c r="I4394" t="s">
        <v>16</v>
      </c>
      <c r="J4394" s="1">
        <v>44908</v>
      </c>
      <c r="K4394" t="b">
        <v>1</v>
      </c>
    </row>
    <row r="4395" spans="1:11" x14ac:dyDescent="0.25">
      <c r="A4395" t="s">
        <v>6184</v>
      </c>
      <c r="B4395" t="s">
        <v>72</v>
      </c>
      <c r="C4395" t="s">
        <v>23</v>
      </c>
      <c r="D4395" t="s">
        <v>437</v>
      </c>
      <c r="E4395" s="2">
        <v>12.5</v>
      </c>
      <c r="F4395" s="4">
        <v>7</v>
      </c>
      <c r="G4395" s="2">
        <v>87.5</v>
      </c>
      <c r="H4395" t="s">
        <v>45</v>
      </c>
      <c r="I4395" t="s">
        <v>36</v>
      </c>
      <c r="J4395" s="1">
        <v>44639</v>
      </c>
      <c r="K4395" t="b">
        <v>1</v>
      </c>
    </row>
    <row r="4396" spans="1:11" x14ac:dyDescent="0.25">
      <c r="A4396" t="s">
        <v>2780</v>
      </c>
      <c r="B4396" t="s">
        <v>142</v>
      </c>
      <c r="C4396" t="s">
        <v>13</v>
      </c>
      <c r="D4396" t="s">
        <v>84</v>
      </c>
      <c r="E4396" s="2">
        <v>12.5</v>
      </c>
      <c r="F4396" s="4">
        <v>7</v>
      </c>
      <c r="G4396" s="2">
        <v>87.5</v>
      </c>
      <c r="H4396" t="s">
        <v>25</v>
      </c>
      <c r="I4396" t="s">
        <v>36</v>
      </c>
      <c r="J4396" s="1">
        <v>45623</v>
      </c>
      <c r="K4396" t="b">
        <v>0</v>
      </c>
    </row>
    <row r="4397" spans="1:11" x14ac:dyDescent="0.25">
      <c r="A4397" t="s">
        <v>1588</v>
      </c>
      <c r="B4397" t="s">
        <v>12</v>
      </c>
      <c r="C4397" t="s">
        <v>38</v>
      </c>
      <c r="D4397" t="s">
        <v>480</v>
      </c>
      <c r="E4397" s="2">
        <v>12.5</v>
      </c>
      <c r="F4397" s="4">
        <v>7</v>
      </c>
      <c r="G4397" s="2">
        <v>87.5</v>
      </c>
      <c r="H4397" t="s">
        <v>25</v>
      </c>
      <c r="I4397" t="s">
        <v>16</v>
      </c>
      <c r="J4397" s="1">
        <v>44747</v>
      </c>
      <c r="K4397" t="b">
        <v>1</v>
      </c>
    </row>
    <row r="4398" spans="1:11" x14ac:dyDescent="0.25">
      <c r="A4398" t="s">
        <v>3445</v>
      </c>
      <c r="B4398" t="s">
        <v>72</v>
      </c>
      <c r="C4398" t="s">
        <v>59</v>
      </c>
      <c r="D4398" t="s">
        <v>177</v>
      </c>
      <c r="E4398" s="2">
        <v>12.5</v>
      </c>
      <c r="F4398" s="4">
        <v>7</v>
      </c>
      <c r="G4398" s="2">
        <v>87.5</v>
      </c>
      <c r="H4398" t="s">
        <v>25</v>
      </c>
      <c r="I4398" t="s">
        <v>16</v>
      </c>
      <c r="J4398" s="1">
        <v>44878</v>
      </c>
      <c r="K4398" t="b">
        <v>0</v>
      </c>
    </row>
    <row r="4399" spans="1:11" x14ac:dyDescent="0.25">
      <c r="A4399" t="s">
        <v>5172</v>
      </c>
      <c r="B4399" t="s">
        <v>26</v>
      </c>
      <c r="C4399" t="s">
        <v>23</v>
      </c>
      <c r="D4399" t="s">
        <v>437</v>
      </c>
      <c r="E4399" s="2">
        <v>12.5</v>
      </c>
      <c r="F4399" s="4">
        <v>7</v>
      </c>
      <c r="G4399" s="2">
        <v>87.5</v>
      </c>
      <c r="H4399" t="s">
        <v>25</v>
      </c>
      <c r="I4399" t="s">
        <v>16</v>
      </c>
      <c r="J4399" s="1">
        <v>45485</v>
      </c>
      <c r="K4399" t="b">
        <v>0</v>
      </c>
    </row>
    <row r="4400" spans="1:11" x14ac:dyDescent="0.25">
      <c r="A4400" t="s">
        <v>1820</v>
      </c>
      <c r="B4400" t="s">
        <v>43</v>
      </c>
      <c r="C4400" t="s">
        <v>38</v>
      </c>
      <c r="D4400" t="s">
        <v>480</v>
      </c>
      <c r="E4400" s="2">
        <v>12.5</v>
      </c>
      <c r="F4400" s="4">
        <v>7</v>
      </c>
      <c r="G4400" s="2">
        <v>87.5</v>
      </c>
      <c r="H4400" t="s">
        <v>15</v>
      </c>
      <c r="I4400" t="s">
        <v>16</v>
      </c>
      <c r="J4400" s="1">
        <v>45015</v>
      </c>
      <c r="K4400" t="b">
        <v>0</v>
      </c>
    </row>
    <row r="4401" spans="1:11" x14ac:dyDescent="0.25">
      <c r="A4401" t="s">
        <v>2545</v>
      </c>
      <c r="B4401" t="s">
        <v>61</v>
      </c>
      <c r="C4401" t="s">
        <v>19</v>
      </c>
      <c r="D4401" t="s">
        <v>128</v>
      </c>
      <c r="E4401" s="2">
        <v>12.5</v>
      </c>
      <c r="F4401" s="4">
        <v>7</v>
      </c>
      <c r="G4401" s="2">
        <v>87.5</v>
      </c>
      <c r="H4401" t="s">
        <v>25</v>
      </c>
      <c r="I4401" t="s">
        <v>16</v>
      </c>
      <c r="J4401" s="1">
        <v>44947</v>
      </c>
      <c r="K4401" t="b">
        <v>0</v>
      </c>
    </row>
    <row r="4402" spans="1:11" x14ac:dyDescent="0.25">
      <c r="A4402" t="s">
        <v>3200</v>
      </c>
      <c r="B4402" t="s">
        <v>142</v>
      </c>
      <c r="C4402" t="s">
        <v>19</v>
      </c>
      <c r="D4402" t="s">
        <v>128</v>
      </c>
      <c r="E4402" s="2">
        <v>12.5</v>
      </c>
      <c r="F4402" s="4">
        <v>7</v>
      </c>
      <c r="G4402" s="2">
        <v>87.5</v>
      </c>
      <c r="H4402" t="s">
        <v>45</v>
      </c>
      <c r="I4402" t="s">
        <v>36</v>
      </c>
      <c r="J4402" s="1">
        <v>44659</v>
      </c>
      <c r="K4402" t="b">
        <v>0</v>
      </c>
    </row>
    <row r="4403" spans="1:11" x14ac:dyDescent="0.25">
      <c r="A4403" t="s">
        <v>2386</v>
      </c>
      <c r="B4403" t="s">
        <v>43</v>
      </c>
      <c r="C4403" t="s">
        <v>13</v>
      </c>
      <c r="D4403" t="s">
        <v>84</v>
      </c>
      <c r="E4403" s="2">
        <v>12.5</v>
      </c>
      <c r="F4403" s="4">
        <v>7</v>
      </c>
      <c r="G4403" s="2">
        <v>87.5</v>
      </c>
      <c r="H4403" t="s">
        <v>15</v>
      </c>
      <c r="I4403" t="s">
        <v>36</v>
      </c>
      <c r="J4403" s="1">
        <v>45177</v>
      </c>
      <c r="K4403" t="b">
        <v>0</v>
      </c>
    </row>
    <row r="4404" spans="1:11" x14ac:dyDescent="0.25">
      <c r="A4404" t="s">
        <v>4668</v>
      </c>
      <c r="B4404" t="s">
        <v>72</v>
      </c>
      <c r="C4404" t="s">
        <v>59</v>
      </c>
      <c r="D4404" t="s">
        <v>177</v>
      </c>
      <c r="E4404" s="2">
        <v>12.5</v>
      </c>
      <c r="F4404" s="4">
        <v>7</v>
      </c>
      <c r="G4404" s="2">
        <v>87.5</v>
      </c>
      <c r="H4404" t="s">
        <v>15</v>
      </c>
      <c r="I4404" t="s">
        <v>36</v>
      </c>
      <c r="J4404" s="1">
        <v>45210</v>
      </c>
      <c r="K4404" t="b">
        <v>1</v>
      </c>
    </row>
    <row r="4405" spans="1:11" x14ac:dyDescent="0.25">
      <c r="A4405" t="s">
        <v>6600</v>
      </c>
      <c r="B4405" t="s">
        <v>97</v>
      </c>
      <c r="C4405" t="s">
        <v>23</v>
      </c>
      <c r="D4405" t="s">
        <v>437</v>
      </c>
      <c r="E4405" s="2">
        <v>12.5</v>
      </c>
      <c r="F4405" s="4">
        <v>7</v>
      </c>
      <c r="G4405" s="2">
        <v>87.5</v>
      </c>
      <c r="H4405" t="s">
        <v>15</v>
      </c>
      <c r="I4405" t="s">
        <v>36</v>
      </c>
      <c r="J4405" s="1">
        <v>45450</v>
      </c>
      <c r="K4405" t="b">
        <v>0</v>
      </c>
    </row>
    <row r="4406" spans="1:11" x14ac:dyDescent="0.25">
      <c r="A4406" t="s">
        <v>3566</v>
      </c>
      <c r="B4406" t="s">
        <v>142</v>
      </c>
      <c r="C4406" t="s">
        <v>13</v>
      </c>
      <c r="D4406" t="s">
        <v>84</v>
      </c>
      <c r="E4406" s="2">
        <v>12.5</v>
      </c>
      <c r="F4406" s="4">
        <v>7</v>
      </c>
      <c r="G4406" s="2">
        <v>87.5</v>
      </c>
      <c r="H4406" t="s">
        <v>15</v>
      </c>
      <c r="I4406" t="s">
        <v>16</v>
      </c>
      <c r="J4406" s="1">
        <v>44620</v>
      </c>
      <c r="K4406" t="b">
        <v>0</v>
      </c>
    </row>
    <row r="4407" spans="1:11" x14ac:dyDescent="0.25">
      <c r="A4407" t="s">
        <v>1307</v>
      </c>
      <c r="B4407" t="s">
        <v>86</v>
      </c>
      <c r="C4407" t="s">
        <v>23</v>
      </c>
      <c r="D4407" t="s">
        <v>437</v>
      </c>
      <c r="E4407" s="2">
        <v>12.5</v>
      </c>
      <c r="F4407" s="4">
        <v>7</v>
      </c>
      <c r="G4407" s="2">
        <v>87.5</v>
      </c>
      <c r="H4407" t="s">
        <v>15</v>
      </c>
      <c r="I4407" t="s">
        <v>36</v>
      </c>
      <c r="J4407" s="1">
        <v>45106</v>
      </c>
      <c r="K4407" t="b">
        <v>1</v>
      </c>
    </row>
    <row r="4408" spans="1:11" x14ac:dyDescent="0.25">
      <c r="A4408" t="s">
        <v>7491</v>
      </c>
      <c r="B4408" t="s">
        <v>51</v>
      </c>
      <c r="C4408" t="s">
        <v>19</v>
      </c>
      <c r="D4408" t="s">
        <v>128</v>
      </c>
      <c r="E4408" s="2">
        <v>12.5</v>
      </c>
      <c r="F4408" s="4">
        <v>7</v>
      </c>
      <c r="G4408" s="2">
        <v>87.5</v>
      </c>
      <c r="H4408" t="s">
        <v>25</v>
      </c>
      <c r="I4408" t="s">
        <v>36</v>
      </c>
      <c r="J4408" s="1">
        <v>45282</v>
      </c>
      <c r="K4408" t="b">
        <v>0</v>
      </c>
    </row>
    <row r="4409" spans="1:11" x14ac:dyDescent="0.25">
      <c r="A4409" t="s">
        <v>6796</v>
      </c>
      <c r="B4409" t="s">
        <v>72</v>
      </c>
      <c r="C4409" t="s">
        <v>31</v>
      </c>
      <c r="D4409" t="s">
        <v>32</v>
      </c>
      <c r="E4409" s="2">
        <v>12.5</v>
      </c>
      <c r="F4409" s="4">
        <v>7</v>
      </c>
      <c r="G4409" s="2">
        <v>87.5</v>
      </c>
      <c r="H4409" t="s">
        <v>25</v>
      </c>
      <c r="I4409" t="s">
        <v>16</v>
      </c>
      <c r="J4409" s="1">
        <v>45535</v>
      </c>
      <c r="K4409" t="b">
        <v>1</v>
      </c>
    </row>
    <row r="4410" spans="1:11" x14ac:dyDescent="0.25">
      <c r="A4410" t="s">
        <v>3110</v>
      </c>
      <c r="B4410" t="s">
        <v>58</v>
      </c>
      <c r="C4410" t="s">
        <v>13</v>
      </c>
      <c r="D4410" t="s">
        <v>84</v>
      </c>
      <c r="E4410" s="2">
        <v>12.5</v>
      </c>
      <c r="F4410" s="4">
        <v>7</v>
      </c>
      <c r="G4410" s="2">
        <v>87.5</v>
      </c>
      <c r="H4410" t="s">
        <v>15</v>
      </c>
      <c r="I4410" t="s">
        <v>36</v>
      </c>
      <c r="J4410" s="1">
        <v>45308</v>
      </c>
      <c r="K4410" t="b">
        <v>1</v>
      </c>
    </row>
    <row r="4411" spans="1:11" x14ac:dyDescent="0.25">
      <c r="A4411" t="s">
        <v>5607</v>
      </c>
      <c r="B4411" t="s">
        <v>77</v>
      </c>
      <c r="C4411" t="s">
        <v>31</v>
      </c>
      <c r="D4411" t="s">
        <v>32</v>
      </c>
      <c r="E4411" s="2">
        <v>12.5</v>
      </c>
      <c r="F4411" s="4">
        <v>7</v>
      </c>
      <c r="G4411" s="2">
        <v>87.5</v>
      </c>
      <c r="H4411" t="s">
        <v>45</v>
      </c>
      <c r="I4411" t="s">
        <v>16</v>
      </c>
      <c r="J4411" s="1">
        <v>44581</v>
      </c>
      <c r="K4411" t="b">
        <v>0</v>
      </c>
    </row>
    <row r="4412" spans="1:11" x14ac:dyDescent="0.25">
      <c r="A4412" t="s">
        <v>6513</v>
      </c>
      <c r="B4412" t="s">
        <v>40</v>
      </c>
      <c r="C4412" t="s">
        <v>59</v>
      </c>
      <c r="D4412" t="s">
        <v>177</v>
      </c>
      <c r="E4412" s="2">
        <v>12.5</v>
      </c>
      <c r="F4412" s="4">
        <v>7</v>
      </c>
      <c r="G4412" s="2">
        <v>87.5</v>
      </c>
      <c r="H4412" t="s">
        <v>15</v>
      </c>
      <c r="I4412" t="s">
        <v>16</v>
      </c>
      <c r="J4412" s="1">
        <v>44821</v>
      </c>
      <c r="K4412" t="b">
        <v>0</v>
      </c>
    </row>
    <row r="4413" spans="1:11" x14ac:dyDescent="0.25">
      <c r="A4413" t="s">
        <v>7652</v>
      </c>
      <c r="B4413" t="s">
        <v>56</v>
      </c>
      <c r="C4413" t="s">
        <v>13</v>
      </c>
      <c r="D4413" t="s">
        <v>84</v>
      </c>
      <c r="E4413" s="2">
        <v>12.5</v>
      </c>
      <c r="F4413" s="4">
        <v>7</v>
      </c>
      <c r="G4413" s="2">
        <v>87.5</v>
      </c>
      <c r="H4413" t="s">
        <v>15</v>
      </c>
      <c r="I4413" t="s">
        <v>36</v>
      </c>
      <c r="J4413" s="1">
        <v>44824</v>
      </c>
      <c r="K4413" t="b">
        <v>0</v>
      </c>
    </row>
    <row r="4414" spans="1:11" x14ac:dyDescent="0.25">
      <c r="A4414" t="s">
        <v>7142</v>
      </c>
      <c r="B4414" t="s">
        <v>58</v>
      </c>
      <c r="C4414" t="s">
        <v>31</v>
      </c>
      <c r="D4414" t="s">
        <v>372</v>
      </c>
      <c r="E4414" s="2">
        <v>29</v>
      </c>
      <c r="F4414" s="4">
        <v>3</v>
      </c>
      <c r="G4414" s="2">
        <v>87</v>
      </c>
      <c r="H4414" t="s">
        <v>15</v>
      </c>
      <c r="I4414" t="s">
        <v>16</v>
      </c>
      <c r="J4414" s="1">
        <v>45197</v>
      </c>
      <c r="K4414" t="b">
        <v>1</v>
      </c>
    </row>
    <row r="4415" spans="1:11" x14ac:dyDescent="0.25">
      <c r="A4415" t="s">
        <v>5999</v>
      </c>
      <c r="B4415" t="s">
        <v>51</v>
      </c>
      <c r="C4415" t="s">
        <v>13</v>
      </c>
      <c r="D4415" t="s">
        <v>55</v>
      </c>
      <c r="E4415" s="2">
        <v>29</v>
      </c>
      <c r="F4415" s="4">
        <v>3</v>
      </c>
      <c r="G4415" s="2">
        <v>87</v>
      </c>
      <c r="H4415" t="s">
        <v>45</v>
      </c>
      <c r="I4415" t="s">
        <v>36</v>
      </c>
      <c r="J4415" s="1">
        <v>44932</v>
      </c>
      <c r="K4415" t="b">
        <v>1</v>
      </c>
    </row>
    <row r="4416" spans="1:11" x14ac:dyDescent="0.25">
      <c r="A4416" t="s">
        <v>1894</v>
      </c>
      <c r="B4416" t="s">
        <v>66</v>
      </c>
      <c r="C4416" t="s">
        <v>31</v>
      </c>
      <c r="D4416" t="s">
        <v>372</v>
      </c>
      <c r="E4416" s="2">
        <v>29</v>
      </c>
      <c r="F4416" s="4">
        <v>3</v>
      </c>
      <c r="G4416" s="2">
        <v>87</v>
      </c>
      <c r="H4416" t="s">
        <v>15</v>
      </c>
      <c r="I4416" t="s">
        <v>36</v>
      </c>
      <c r="J4416" s="1">
        <v>45190</v>
      </c>
      <c r="K4416" t="b">
        <v>0</v>
      </c>
    </row>
    <row r="4417" spans="1:11" x14ac:dyDescent="0.25">
      <c r="A4417" t="s">
        <v>4726</v>
      </c>
      <c r="B4417" t="s">
        <v>18</v>
      </c>
      <c r="C4417" t="s">
        <v>27</v>
      </c>
      <c r="D4417" t="s">
        <v>421</v>
      </c>
      <c r="E4417" s="2">
        <v>29</v>
      </c>
      <c r="F4417" s="4">
        <v>3</v>
      </c>
      <c r="G4417" s="2">
        <v>87</v>
      </c>
      <c r="H4417" t="s">
        <v>25</v>
      </c>
      <c r="I4417" t="s">
        <v>16</v>
      </c>
      <c r="J4417" s="1">
        <v>45354</v>
      </c>
      <c r="K4417" t="b">
        <v>0</v>
      </c>
    </row>
    <row r="4418" spans="1:11" x14ac:dyDescent="0.25">
      <c r="A4418" t="s">
        <v>6931</v>
      </c>
      <c r="B4418" t="s">
        <v>104</v>
      </c>
      <c r="C4418" t="s">
        <v>31</v>
      </c>
      <c r="D4418" t="s">
        <v>372</v>
      </c>
      <c r="E4418" s="2">
        <v>29</v>
      </c>
      <c r="F4418" s="4">
        <v>3</v>
      </c>
      <c r="G4418" s="2">
        <v>87</v>
      </c>
      <c r="H4418" t="s">
        <v>25</v>
      </c>
      <c r="I4418" t="s">
        <v>16</v>
      </c>
      <c r="J4418" s="1">
        <v>44931</v>
      </c>
      <c r="K4418" t="b">
        <v>1</v>
      </c>
    </row>
    <row r="4419" spans="1:11" x14ac:dyDescent="0.25">
      <c r="A4419" t="s">
        <v>7655</v>
      </c>
      <c r="B4419" t="s">
        <v>37</v>
      </c>
      <c r="C4419" t="s">
        <v>31</v>
      </c>
      <c r="D4419" t="s">
        <v>372</v>
      </c>
      <c r="E4419" s="2">
        <v>29</v>
      </c>
      <c r="F4419" s="4">
        <v>3</v>
      </c>
      <c r="G4419" s="2">
        <v>87</v>
      </c>
      <c r="H4419" t="s">
        <v>15</v>
      </c>
      <c r="I4419" t="s">
        <v>16</v>
      </c>
      <c r="J4419" s="1">
        <v>45075</v>
      </c>
      <c r="K4419" t="b">
        <v>0</v>
      </c>
    </row>
    <row r="4420" spans="1:11" x14ac:dyDescent="0.25">
      <c r="A4420" t="s">
        <v>5036</v>
      </c>
      <c r="B4420" t="s">
        <v>66</v>
      </c>
      <c r="C4420" t="s">
        <v>13</v>
      </c>
      <c r="D4420" t="s">
        <v>55</v>
      </c>
      <c r="E4420" s="2">
        <v>29</v>
      </c>
      <c r="F4420" s="4">
        <v>3</v>
      </c>
      <c r="G4420" s="2">
        <v>87</v>
      </c>
      <c r="H4420" t="s">
        <v>25</v>
      </c>
      <c r="I4420" t="s">
        <v>16</v>
      </c>
      <c r="J4420" s="1">
        <v>45199</v>
      </c>
      <c r="K4420" t="b">
        <v>0</v>
      </c>
    </row>
    <row r="4421" spans="1:11" x14ac:dyDescent="0.25">
      <c r="A4421" t="s">
        <v>7650</v>
      </c>
      <c r="B4421" t="s">
        <v>26</v>
      </c>
      <c r="C4421" t="s">
        <v>59</v>
      </c>
      <c r="D4421" t="s">
        <v>297</v>
      </c>
      <c r="E4421" s="2">
        <v>29</v>
      </c>
      <c r="F4421" s="4">
        <v>3</v>
      </c>
      <c r="G4421" s="2">
        <v>87</v>
      </c>
      <c r="H4421" t="s">
        <v>15</v>
      </c>
      <c r="I4421" t="s">
        <v>36</v>
      </c>
      <c r="J4421" s="1">
        <v>45361</v>
      </c>
      <c r="K4421" t="b">
        <v>1</v>
      </c>
    </row>
    <row r="4422" spans="1:11" x14ac:dyDescent="0.25">
      <c r="A4422" t="s">
        <v>6584</v>
      </c>
      <c r="B4422" t="s">
        <v>30</v>
      </c>
      <c r="C4422" t="s">
        <v>31</v>
      </c>
      <c r="D4422" t="s">
        <v>372</v>
      </c>
      <c r="E4422" s="2">
        <v>29</v>
      </c>
      <c r="F4422" s="4">
        <v>3</v>
      </c>
      <c r="G4422" s="2">
        <v>87</v>
      </c>
      <c r="H4422" t="s">
        <v>45</v>
      </c>
      <c r="I4422" t="s">
        <v>36</v>
      </c>
      <c r="J4422" s="1">
        <v>44587</v>
      </c>
      <c r="K4422" t="b">
        <v>1</v>
      </c>
    </row>
    <row r="4423" spans="1:11" x14ac:dyDescent="0.25">
      <c r="A4423" t="s">
        <v>2733</v>
      </c>
      <c r="B4423" t="s">
        <v>22</v>
      </c>
      <c r="C4423" t="s">
        <v>31</v>
      </c>
      <c r="D4423" t="s">
        <v>372</v>
      </c>
      <c r="E4423" s="2">
        <v>29</v>
      </c>
      <c r="F4423" s="4">
        <v>3</v>
      </c>
      <c r="G4423" s="2">
        <v>87</v>
      </c>
      <c r="H4423" t="s">
        <v>25</v>
      </c>
      <c r="I4423" t="s">
        <v>36</v>
      </c>
      <c r="J4423" s="1">
        <v>45118</v>
      </c>
      <c r="K4423" t="b">
        <v>1</v>
      </c>
    </row>
    <row r="4424" spans="1:11" x14ac:dyDescent="0.25">
      <c r="A4424" t="s">
        <v>736</v>
      </c>
      <c r="B4424" t="s">
        <v>51</v>
      </c>
      <c r="C4424" t="s">
        <v>13</v>
      </c>
      <c r="D4424" t="s">
        <v>55</v>
      </c>
      <c r="E4424" s="2">
        <v>29</v>
      </c>
      <c r="F4424" s="4">
        <v>3</v>
      </c>
      <c r="G4424" s="2">
        <v>87</v>
      </c>
      <c r="H4424" t="s">
        <v>45</v>
      </c>
      <c r="I4424" t="s">
        <v>16</v>
      </c>
      <c r="J4424" s="1">
        <v>45220</v>
      </c>
      <c r="K4424" t="b">
        <v>0</v>
      </c>
    </row>
    <row r="4425" spans="1:11" x14ac:dyDescent="0.25">
      <c r="A4425" t="s">
        <v>2761</v>
      </c>
      <c r="B4425" t="s">
        <v>69</v>
      </c>
      <c r="C4425" t="s">
        <v>19</v>
      </c>
      <c r="D4425" t="s">
        <v>20</v>
      </c>
      <c r="E4425" s="2">
        <v>29</v>
      </c>
      <c r="F4425" s="4">
        <v>3</v>
      </c>
      <c r="G4425" s="2">
        <v>87</v>
      </c>
      <c r="H4425" t="s">
        <v>15</v>
      </c>
      <c r="I4425" t="s">
        <v>36</v>
      </c>
      <c r="J4425" s="1">
        <v>45464</v>
      </c>
      <c r="K4425" t="b">
        <v>1</v>
      </c>
    </row>
    <row r="4426" spans="1:11" x14ac:dyDescent="0.25">
      <c r="A4426" t="s">
        <v>677</v>
      </c>
      <c r="B4426" t="s">
        <v>61</v>
      </c>
      <c r="C4426" t="s">
        <v>31</v>
      </c>
      <c r="D4426" t="s">
        <v>372</v>
      </c>
      <c r="E4426" s="2">
        <v>29</v>
      </c>
      <c r="F4426" s="4">
        <v>3</v>
      </c>
      <c r="G4426" s="2">
        <v>87</v>
      </c>
      <c r="H4426" t="s">
        <v>15</v>
      </c>
      <c r="I4426" t="s">
        <v>36</v>
      </c>
      <c r="J4426" s="1">
        <v>44714</v>
      </c>
      <c r="K4426" t="b">
        <v>0</v>
      </c>
    </row>
    <row r="4427" spans="1:11" x14ac:dyDescent="0.25">
      <c r="A4427" t="s">
        <v>6279</v>
      </c>
      <c r="B4427" t="s">
        <v>12</v>
      </c>
      <c r="C4427" t="s">
        <v>59</v>
      </c>
      <c r="D4427" t="s">
        <v>297</v>
      </c>
      <c r="E4427" s="2">
        <v>29</v>
      </c>
      <c r="F4427" s="4">
        <v>3</v>
      </c>
      <c r="G4427" s="2">
        <v>87</v>
      </c>
      <c r="H4427" t="s">
        <v>25</v>
      </c>
      <c r="I4427" t="s">
        <v>16</v>
      </c>
      <c r="J4427" s="1">
        <v>45556</v>
      </c>
      <c r="K4427" t="b">
        <v>0</v>
      </c>
    </row>
    <row r="4428" spans="1:11" x14ac:dyDescent="0.25">
      <c r="A4428" t="s">
        <v>6252</v>
      </c>
      <c r="B4428" t="s">
        <v>72</v>
      </c>
      <c r="C4428" t="s">
        <v>27</v>
      </c>
      <c r="D4428" t="s">
        <v>421</v>
      </c>
      <c r="E4428" s="2">
        <v>29</v>
      </c>
      <c r="F4428" s="4">
        <v>3</v>
      </c>
      <c r="G4428" s="2">
        <v>87</v>
      </c>
      <c r="H4428" t="s">
        <v>45</v>
      </c>
      <c r="I4428" t="s">
        <v>16</v>
      </c>
      <c r="J4428" s="1">
        <v>44687</v>
      </c>
      <c r="K4428" t="b">
        <v>1</v>
      </c>
    </row>
    <row r="4429" spans="1:11" x14ac:dyDescent="0.25">
      <c r="A4429" t="s">
        <v>5189</v>
      </c>
      <c r="B4429" t="s">
        <v>30</v>
      </c>
      <c r="C4429" t="s">
        <v>19</v>
      </c>
      <c r="D4429" t="s">
        <v>20</v>
      </c>
      <c r="E4429" s="2">
        <v>29</v>
      </c>
      <c r="F4429" s="4">
        <v>3</v>
      </c>
      <c r="G4429" s="2">
        <v>87</v>
      </c>
      <c r="H4429" t="s">
        <v>15</v>
      </c>
      <c r="I4429" t="s">
        <v>16</v>
      </c>
      <c r="J4429" s="1">
        <v>44569</v>
      </c>
      <c r="K4429" t="b">
        <v>0</v>
      </c>
    </row>
    <row r="4430" spans="1:11" x14ac:dyDescent="0.25">
      <c r="A4430" t="s">
        <v>5403</v>
      </c>
      <c r="B4430" t="s">
        <v>18</v>
      </c>
      <c r="C4430" t="s">
        <v>19</v>
      </c>
      <c r="D4430" t="s">
        <v>20</v>
      </c>
      <c r="E4430" s="2">
        <v>29</v>
      </c>
      <c r="F4430" s="4">
        <v>3</v>
      </c>
      <c r="G4430" s="2">
        <v>87</v>
      </c>
      <c r="H4430" t="s">
        <v>15</v>
      </c>
      <c r="I4430" t="s">
        <v>16</v>
      </c>
      <c r="J4430" s="1">
        <v>44832</v>
      </c>
      <c r="K4430" t="b">
        <v>0</v>
      </c>
    </row>
    <row r="4431" spans="1:11" x14ac:dyDescent="0.25">
      <c r="A4431" t="s">
        <v>3595</v>
      </c>
      <c r="B4431" t="s">
        <v>69</v>
      </c>
      <c r="C4431" t="s">
        <v>31</v>
      </c>
      <c r="D4431" t="s">
        <v>372</v>
      </c>
      <c r="E4431" s="2">
        <v>29</v>
      </c>
      <c r="F4431" s="4">
        <v>3</v>
      </c>
      <c r="G4431" s="2">
        <v>87</v>
      </c>
      <c r="H4431" t="s">
        <v>45</v>
      </c>
      <c r="I4431" t="s">
        <v>36</v>
      </c>
      <c r="J4431" s="1">
        <v>45150</v>
      </c>
      <c r="K4431" t="b">
        <v>1</v>
      </c>
    </row>
    <row r="4432" spans="1:11" x14ac:dyDescent="0.25">
      <c r="A4432" t="s">
        <v>3221</v>
      </c>
      <c r="B4432" t="s">
        <v>86</v>
      </c>
      <c r="C4432" t="s">
        <v>59</v>
      </c>
      <c r="D4432" t="s">
        <v>297</v>
      </c>
      <c r="E4432" s="2">
        <v>29</v>
      </c>
      <c r="F4432" s="4">
        <v>3</v>
      </c>
      <c r="G4432" s="2">
        <v>87</v>
      </c>
      <c r="H4432" t="s">
        <v>15</v>
      </c>
      <c r="I4432" t="s">
        <v>16</v>
      </c>
      <c r="J4432" s="1">
        <v>45047</v>
      </c>
      <c r="K4432" t="b">
        <v>0</v>
      </c>
    </row>
    <row r="4433" spans="1:11" x14ac:dyDescent="0.25">
      <c r="A4433" t="s">
        <v>2158</v>
      </c>
      <c r="B4433" t="s">
        <v>12</v>
      </c>
      <c r="C4433" t="s">
        <v>19</v>
      </c>
      <c r="D4433" t="s">
        <v>20</v>
      </c>
      <c r="E4433" s="2">
        <v>29</v>
      </c>
      <c r="F4433" s="4">
        <v>3</v>
      </c>
      <c r="G4433" s="2">
        <v>87</v>
      </c>
      <c r="H4433" t="s">
        <v>15</v>
      </c>
      <c r="I4433" t="s">
        <v>16</v>
      </c>
      <c r="J4433" s="1">
        <v>44767</v>
      </c>
      <c r="K4433" t="b">
        <v>0</v>
      </c>
    </row>
    <row r="4434" spans="1:11" x14ac:dyDescent="0.25">
      <c r="A4434" t="s">
        <v>1763</v>
      </c>
      <c r="B4434" t="s">
        <v>77</v>
      </c>
      <c r="C4434" t="s">
        <v>110</v>
      </c>
      <c r="D4434" t="s">
        <v>386</v>
      </c>
      <c r="E4434" s="2">
        <v>29</v>
      </c>
      <c r="F4434" s="4">
        <v>3</v>
      </c>
      <c r="G4434" s="2">
        <v>87</v>
      </c>
      <c r="H4434" t="s">
        <v>25</v>
      </c>
      <c r="I4434" t="s">
        <v>16</v>
      </c>
      <c r="J4434" s="1">
        <v>45473</v>
      </c>
      <c r="K4434" t="b">
        <v>1</v>
      </c>
    </row>
    <row r="4435" spans="1:11" x14ac:dyDescent="0.25">
      <c r="A4435" t="s">
        <v>6374</v>
      </c>
      <c r="B4435" t="s">
        <v>72</v>
      </c>
      <c r="C4435" t="s">
        <v>27</v>
      </c>
      <c r="D4435" t="s">
        <v>421</v>
      </c>
      <c r="E4435" s="2">
        <v>29</v>
      </c>
      <c r="F4435" s="4">
        <v>3</v>
      </c>
      <c r="G4435" s="2">
        <v>87</v>
      </c>
      <c r="H4435" t="s">
        <v>25</v>
      </c>
      <c r="I4435" t="s">
        <v>36</v>
      </c>
      <c r="J4435" s="1">
        <v>44581</v>
      </c>
      <c r="K4435" t="b">
        <v>0</v>
      </c>
    </row>
    <row r="4436" spans="1:11" x14ac:dyDescent="0.25">
      <c r="A4436" t="s">
        <v>6036</v>
      </c>
      <c r="B4436" t="s">
        <v>69</v>
      </c>
      <c r="C4436" t="s">
        <v>110</v>
      </c>
      <c r="D4436" t="s">
        <v>386</v>
      </c>
      <c r="E4436" s="2">
        <v>29</v>
      </c>
      <c r="F4436" s="4">
        <v>3</v>
      </c>
      <c r="G4436" s="2">
        <v>87</v>
      </c>
      <c r="H4436" t="s">
        <v>45</v>
      </c>
      <c r="I4436" t="s">
        <v>36</v>
      </c>
      <c r="J4436" s="1">
        <v>44632</v>
      </c>
      <c r="K4436" t="b">
        <v>0</v>
      </c>
    </row>
    <row r="4437" spans="1:11" x14ac:dyDescent="0.25">
      <c r="A4437" t="s">
        <v>5994</v>
      </c>
      <c r="B4437" t="s">
        <v>77</v>
      </c>
      <c r="C4437" t="s">
        <v>38</v>
      </c>
      <c r="D4437" t="s">
        <v>267</v>
      </c>
      <c r="E4437" s="2">
        <v>29</v>
      </c>
      <c r="F4437" s="4">
        <v>3</v>
      </c>
      <c r="G4437" s="2">
        <v>87</v>
      </c>
      <c r="H4437" t="s">
        <v>15</v>
      </c>
      <c r="I4437" t="s">
        <v>16</v>
      </c>
      <c r="J4437" s="1">
        <v>45595</v>
      </c>
      <c r="K4437" t="b">
        <v>1</v>
      </c>
    </row>
    <row r="4438" spans="1:11" x14ac:dyDescent="0.25">
      <c r="A4438" t="s">
        <v>6737</v>
      </c>
      <c r="B4438" t="s">
        <v>26</v>
      </c>
      <c r="C4438" t="s">
        <v>38</v>
      </c>
      <c r="D4438" t="s">
        <v>267</v>
      </c>
      <c r="E4438" s="2">
        <v>29</v>
      </c>
      <c r="F4438" s="4">
        <v>3</v>
      </c>
      <c r="G4438" s="2">
        <v>87</v>
      </c>
      <c r="H4438" t="s">
        <v>45</v>
      </c>
      <c r="I4438" t="s">
        <v>16</v>
      </c>
      <c r="J4438" s="1">
        <v>44985</v>
      </c>
      <c r="K4438" t="b">
        <v>0</v>
      </c>
    </row>
    <row r="4439" spans="1:11" x14ac:dyDescent="0.25">
      <c r="A4439" t="s">
        <v>1221</v>
      </c>
      <c r="B4439" t="s">
        <v>58</v>
      </c>
      <c r="C4439" t="s">
        <v>59</v>
      </c>
      <c r="D4439" t="s">
        <v>297</v>
      </c>
      <c r="E4439" s="2">
        <v>29</v>
      </c>
      <c r="F4439" s="4">
        <v>3</v>
      </c>
      <c r="G4439" s="2">
        <v>87</v>
      </c>
      <c r="H4439" t="s">
        <v>25</v>
      </c>
      <c r="I4439" t="s">
        <v>36</v>
      </c>
      <c r="J4439" s="1">
        <v>44913</v>
      </c>
      <c r="K4439" t="b">
        <v>1</v>
      </c>
    </row>
    <row r="4440" spans="1:11" x14ac:dyDescent="0.25">
      <c r="A4440" t="s">
        <v>2248</v>
      </c>
      <c r="B4440" t="s">
        <v>18</v>
      </c>
      <c r="C4440" t="s">
        <v>23</v>
      </c>
      <c r="D4440" t="s">
        <v>352</v>
      </c>
      <c r="E4440" s="2">
        <v>29</v>
      </c>
      <c r="F4440" s="4">
        <v>3</v>
      </c>
      <c r="G4440" s="2">
        <v>87</v>
      </c>
      <c r="H4440" t="s">
        <v>25</v>
      </c>
      <c r="I4440" t="s">
        <v>16</v>
      </c>
      <c r="J4440" s="1">
        <v>44809</v>
      </c>
      <c r="K4440" t="b">
        <v>0</v>
      </c>
    </row>
    <row r="4441" spans="1:11" x14ac:dyDescent="0.25">
      <c r="A4441" t="s">
        <v>6985</v>
      </c>
      <c r="B4441" t="s">
        <v>30</v>
      </c>
      <c r="C4441" t="s">
        <v>38</v>
      </c>
      <c r="D4441" t="s">
        <v>267</v>
      </c>
      <c r="E4441" s="2">
        <v>29</v>
      </c>
      <c r="F4441" s="4">
        <v>3</v>
      </c>
      <c r="G4441" s="2">
        <v>87</v>
      </c>
      <c r="H4441" t="s">
        <v>45</v>
      </c>
      <c r="I4441" t="s">
        <v>16</v>
      </c>
      <c r="J4441" s="1">
        <v>45448</v>
      </c>
      <c r="K4441" t="b">
        <v>0</v>
      </c>
    </row>
    <row r="4442" spans="1:11" x14ac:dyDescent="0.25">
      <c r="A4442" t="s">
        <v>6309</v>
      </c>
      <c r="B4442" t="s">
        <v>142</v>
      </c>
      <c r="C4442" t="s">
        <v>13</v>
      </c>
      <c r="D4442" t="s">
        <v>55</v>
      </c>
      <c r="E4442" s="2">
        <v>29</v>
      </c>
      <c r="F4442" s="4">
        <v>3</v>
      </c>
      <c r="G4442" s="2">
        <v>87</v>
      </c>
      <c r="H4442" t="s">
        <v>25</v>
      </c>
      <c r="I4442" t="s">
        <v>16</v>
      </c>
      <c r="J4442" s="1">
        <v>44851</v>
      </c>
      <c r="K4442" t="b">
        <v>1</v>
      </c>
    </row>
    <row r="4443" spans="1:11" x14ac:dyDescent="0.25">
      <c r="A4443" t="s">
        <v>5558</v>
      </c>
      <c r="B4443" t="s">
        <v>104</v>
      </c>
      <c r="C4443" t="s">
        <v>110</v>
      </c>
      <c r="D4443" t="s">
        <v>386</v>
      </c>
      <c r="E4443" s="2">
        <v>29</v>
      </c>
      <c r="F4443" s="4">
        <v>3</v>
      </c>
      <c r="G4443" s="2">
        <v>87</v>
      </c>
      <c r="H4443" t="s">
        <v>45</v>
      </c>
      <c r="I4443" t="s">
        <v>36</v>
      </c>
      <c r="J4443" s="1">
        <v>44602</v>
      </c>
      <c r="K4443" t="b">
        <v>1</v>
      </c>
    </row>
    <row r="4444" spans="1:11" x14ac:dyDescent="0.25">
      <c r="A4444" t="s">
        <v>1190</v>
      </c>
      <c r="B4444" t="s">
        <v>34</v>
      </c>
      <c r="C4444" t="s">
        <v>31</v>
      </c>
      <c r="D4444" t="s">
        <v>372</v>
      </c>
      <c r="E4444" s="2">
        <v>29</v>
      </c>
      <c r="F4444" s="4">
        <v>3</v>
      </c>
      <c r="G4444" s="2">
        <v>87</v>
      </c>
      <c r="H4444" t="s">
        <v>45</v>
      </c>
      <c r="I4444" t="s">
        <v>16</v>
      </c>
      <c r="J4444" s="1">
        <v>45648</v>
      </c>
      <c r="K4444" t="b">
        <v>1</v>
      </c>
    </row>
    <row r="4445" spans="1:11" x14ac:dyDescent="0.25">
      <c r="A4445" t="s">
        <v>5660</v>
      </c>
      <c r="B4445" t="s">
        <v>72</v>
      </c>
      <c r="C4445" t="s">
        <v>27</v>
      </c>
      <c r="D4445" t="s">
        <v>315</v>
      </c>
      <c r="E4445" s="2">
        <v>21.5</v>
      </c>
      <c r="F4445" s="4">
        <v>4</v>
      </c>
      <c r="G4445" s="2">
        <v>86</v>
      </c>
      <c r="H4445" t="s">
        <v>45</v>
      </c>
      <c r="I4445" t="s">
        <v>36</v>
      </c>
      <c r="J4445" s="1">
        <v>45242</v>
      </c>
      <c r="K4445" t="b">
        <v>1</v>
      </c>
    </row>
    <row r="4446" spans="1:11" x14ac:dyDescent="0.25">
      <c r="A4446" t="s">
        <v>6850</v>
      </c>
      <c r="B4446" t="s">
        <v>26</v>
      </c>
      <c r="C4446" t="s">
        <v>110</v>
      </c>
      <c r="D4446" t="s">
        <v>451</v>
      </c>
      <c r="E4446" s="2">
        <v>21.5</v>
      </c>
      <c r="F4446" s="4">
        <v>4</v>
      </c>
      <c r="G4446" s="2">
        <v>86</v>
      </c>
      <c r="H4446" t="s">
        <v>25</v>
      </c>
      <c r="I4446" t="s">
        <v>36</v>
      </c>
      <c r="J4446" s="1">
        <v>45413</v>
      </c>
      <c r="K4446" t="b">
        <v>0</v>
      </c>
    </row>
    <row r="4447" spans="1:11" x14ac:dyDescent="0.25">
      <c r="A4447" t="s">
        <v>2107</v>
      </c>
      <c r="B4447" t="s">
        <v>34</v>
      </c>
      <c r="C4447" t="s">
        <v>13</v>
      </c>
      <c r="D4447" t="s">
        <v>141</v>
      </c>
      <c r="E4447" s="2">
        <v>21.5</v>
      </c>
      <c r="F4447" s="4">
        <v>4</v>
      </c>
      <c r="G4447" s="2">
        <v>86</v>
      </c>
      <c r="H4447" t="s">
        <v>25</v>
      </c>
      <c r="I4447" t="s">
        <v>36</v>
      </c>
      <c r="J4447" s="1">
        <v>45084</v>
      </c>
      <c r="K4447" t="b">
        <v>1</v>
      </c>
    </row>
    <row r="4448" spans="1:11" x14ac:dyDescent="0.25">
      <c r="A4448" t="s">
        <v>842</v>
      </c>
      <c r="B4448" t="s">
        <v>56</v>
      </c>
      <c r="C4448" t="s">
        <v>23</v>
      </c>
      <c r="D4448" t="s">
        <v>24</v>
      </c>
      <c r="E4448" s="2">
        <v>21.5</v>
      </c>
      <c r="F4448" s="4">
        <v>4</v>
      </c>
      <c r="G4448" s="2">
        <v>86</v>
      </c>
      <c r="H4448" t="s">
        <v>45</v>
      </c>
      <c r="I4448" t="s">
        <v>16</v>
      </c>
      <c r="J4448" s="1">
        <v>44814</v>
      </c>
      <c r="K4448" t="b">
        <v>0</v>
      </c>
    </row>
    <row r="4449" spans="1:11" x14ac:dyDescent="0.25">
      <c r="A4449" t="s">
        <v>5598</v>
      </c>
      <c r="B4449" t="s">
        <v>61</v>
      </c>
      <c r="C4449" t="s">
        <v>27</v>
      </c>
      <c r="D4449" t="s">
        <v>315</v>
      </c>
      <c r="E4449" s="2">
        <v>21.5</v>
      </c>
      <c r="F4449" s="4">
        <v>4</v>
      </c>
      <c r="G4449" s="2">
        <v>86</v>
      </c>
      <c r="H4449" t="s">
        <v>45</v>
      </c>
      <c r="I4449" t="s">
        <v>16</v>
      </c>
      <c r="J4449" s="1">
        <v>44882</v>
      </c>
      <c r="K4449" t="b">
        <v>0</v>
      </c>
    </row>
    <row r="4450" spans="1:11" x14ac:dyDescent="0.25">
      <c r="A4450" t="s">
        <v>1511</v>
      </c>
      <c r="B4450" t="s">
        <v>93</v>
      </c>
      <c r="C4450" t="s">
        <v>110</v>
      </c>
      <c r="D4450" t="s">
        <v>451</v>
      </c>
      <c r="E4450" s="2">
        <v>21.5</v>
      </c>
      <c r="F4450" s="4">
        <v>4</v>
      </c>
      <c r="G4450" s="2">
        <v>86</v>
      </c>
      <c r="H4450" t="s">
        <v>15</v>
      </c>
      <c r="I4450" t="s">
        <v>16</v>
      </c>
      <c r="J4450" s="1">
        <v>44851</v>
      </c>
      <c r="K4450" t="b">
        <v>0</v>
      </c>
    </row>
    <row r="4451" spans="1:11" x14ac:dyDescent="0.25">
      <c r="A4451" t="s">
        <v>2826</v>
      </c>
      <c r="B4451" t="s">
        <v>34</v>
      </c>
      <c r="C4451" t="s">
        <v>27</v>
      </c>
      <c r="D4451" t="s">
        <v>315</v>
      </c>
      <c r="E4451" s="2">
        <v>21.5</v>
      </c>
      <c r="F4451" s="4">
        <v>4</v>
      </c>
      <c r="G4451" s="2">
        <v>86</v>
      </c>
      <c r="H4451" t="s">
        <v>15</v>
      </c>
      <c r="I4451" t="s">
        <v>36</v>
      </c>
      <c r="J4451" s="1">
        <v>45067</v>
      </c>
      <c r="K4451" t="b">
        <v>0</v>
      </c>
    </row>
    <row r="4452" spans="1:11" x14ac:dyDescent="0.25">
      <c r="A4452" t="s">
        <v>5022</v>
      </c>
      <c r="B4452" t="s">
        <v>40</v>
      </c>
      <c r="C4452" t="s">
        <v>31</v>
      </c>
      <c r="D4452" t="s">
        <v>108</v>
      </c>
      <c r="E4452" s="2">
        <v>21.5</v>
      </c>
      <c r="F4452" s="4">
        <v>4</v>
      </c>
      <c r="G4452" s="2">
        <v>86</v>
      </c>
      <c r="H4452" t="s">
        <v>45</v>
      </c>
      <c r="I4452" t="s">
        <v>36</v>
      </c>
      <c r="J4452" s="1">
        <v>45148</v>
      </c>
      <c r="K4452" t="b">
        <v>1</v>
      </c>
    </row>
    <row r="4453" spans="1:11" x14ac:dyDescent="0.25">
      <c r="A4453" t="s">
        <v>815</v>
      </c>
      <c r="B4453" t="s">
        <v>86</v>
      </c>
      <c r="C4453" t="s">
        <v>31</v>
      </c>
      <c r="D4453" t="s">
        <v>108</v>
      </c>
      <c r="E4453" s="2">
        <v>21.5</v>
      </c>
      <c r="F4453" s="4">
        <v>4</v>
      </c>
      <c r="G4453" s="2">
        <v>86</v>
      </c>
      <c r="H4453" t="s">
        <v>45</v>
      </c>
      <c r="I4453" t="s">
        <v>36</v>
      </c>
      <c r="J4453" s="1">
        <v>45639</v>
      </c>
      <c r="K4453" t="b">
        <v>0</v>
      </c>
    </row>
    <row r="4454" spans="1:11" x14ac:dyDescent="0.25">
      <c r="A4454" t="s">
        <v>4901</v>
      </c>
      <c r="B4454" t="s">
        <v>104</v>
      </c>
      <c r="C4454" t="s">
        <v>13</v>
      </c>
      <c r="D4454" t="s">
        <v>141</v>
      </c>
      <c r="E4454" s="2">
        <v>21.5</v>
      </c>
      <c r="F4454" s="4">
        <v>4</v>
      </c>
      <c r="G4454" s="2">
        <v>86</v>
      </c>
      <c r="H4454" t="s">
        <v>45</v>
      </c>
      <c r="I4454" t="s">
        <v>16</v>
      </c>
      <c r="J4454" s="1">
        <v>44657</v>
      </c>
      <c r="K4454" t="b">
        <v>1</v>
      </c>
    </row>
    <row r="4455" spans="1:11" x14ac:dyDescent="0.25">
      <c r="A4455" t="s">
        <v>6502</v>
      </c>
      <c r="B4455" t="s">
        <v>43</v>
      </c>
      <c r="C4455" t="s">
        <v>38</v>
      </c>
      <c r="D4455" t="s">
        <v>509</v>
      </c>
      <c r="E4455" s="2">
        <v>21.5</v>
      </c>
      <c r="F4455" s="4">
        <v>4</v>
      </c>
      <c r="G4455" s="2">
        <v>86</v>
      </c>
      <c r="H4455" t="s">
        <v>25</v>
      </c>
      <c r="I4455" t="s">
        <v>36</v>
      </c>
      <c r="J4455" s="1">
        <v>45233</v>
      </c>
      <c r="K4455" t="b">
        <v>1</v>
      </c>
    </row>
    <row r="4456" spans="1:11" x14ac:dyDescent="0.25">
      <c r="A4456" t="s">
        <v>1514</v>
      </c>
      <c r="B4456" t="s">
        <v>86</v>
      </c>
      <c r="C4456" t="s">
        <v>110</v>
      </c>
      <c r="D4456" t="s">
        <v>451</v>
      </c>
      <c r="E4456" s="2">
        <v>21.5</v>
      </c>
      <c r="F4456" s="4">
        <v>4</v>
      </c>
      <c r="G4456" s="2">
        <v>86</v>
      </c>
      <c r="H4456" t="s">
        <v>15</v>
      </c>
      <c r="I4456" t="s">
        <v>16</v>
      </c>
      <c r="J4456" s="1">
        <v>44585</v>
      </c>
      <c r="K4456" t="b">
        <v>0</v>
      </c>
    </row>
    <row r="4457" spans="1:11" x14ac:dyDescent="0.25">
      <c r="A4457" t="s">
        <v>1835</v>
      </c>
      <c r="B4457" t="s">
        <v>104</v>
      </c>
      <c r="C4457" t="s">
        <v>59</v>
      </c>
      <c r="D4457" t="s">
        <v>288</v>
      </c>
      <c r="E4457" s="2">
        <v>21.5</v>
      </c>
      <c r="F4457" s="4">
        <v>4</v>
      </c>
      <c r="G4457" s="2">
        <v>86</v>
      </c>
      <c r="H4457" t="s">
        <v>45</v>
      </c>
      <c r="I4457" t="s">
        <v>16</v>
      </c>
      <c r="J4457" s="1">
        <v>45253</v>
      </c>
      <c r="K4457" t="b">
        <v>1</v>
      </c>
    </row>
    <row r="4458" spans="1:11" x14ac:dyDescent="0.25">
      <c r="A4458" t="s">
        <v>732</v>
      </c>
      <c r="B4458" t="s">
        <v>34</v>
      </c>
      <c r="C4458" t="s">
        <v>38</v>
      </c>
      <c r="D4458" t="s">
        <v>509</v>
      </c>
      <c r="E4458" s="2">
        <v>21.5</v>
      </c>
      <c r="F4458" s="4">
        <v>4</v>
      </c>
      <c r="G4458" s="2">
        <v>86</v>
      </c>
      <c r="H4458" t="s">
        <v>25</v>
      </c>
      <c r="I4458" t="s">
        <v>16</v>
      </c>
      <c r="J4458" s="1">
        <v>44932</v>
      </c>
      <c r="K4458" t="b">
        <v>1</v>
      </c>
    </row>
    <row r="4459" spans="1:11" x14ac:dyDescent="0.25">
      <c r="A4459" t="s">
        <v>1368</v>
      </c>
      <c r="B4459" t="s">
        <v>63</v>
      </c>
      <c r="C4459" t="s">
        <v>31</v>
      </c>
      <c r="D4459" t="s">
        <v>108</v>
      </c>
      <c r="E4459" s="2">
        <v>21.5</v>
      </c>
      <c r="F4459" s="4">
        <v>4</v>
      </c>
      <c r="G4459" s="2">
        <v>86</v>
      </c>
      <c r="H4459" t="s">
        <v>25</v>
      </c>
      <c r="I4459" t="s">
        <v>16</v>
      </c>
      <c r="J4459" s="1">
        <v>45157</v>
      </c>
      <c r="K4459" t="b">
        <v>0</v>
      </c>
    </row>
    <row r="4460" spans="1:11" x14ac:dyDescent="0.25">
      <c r="A4460" t="s">
        <v>2879</v>
      </c>
      <c r="B4460" t="s">
        <v>63</v>
      </c>
      <c r="C4460" t="s">
        <v>59</v>
      </c>
      <c r="D4460" t="s">
        <v>288</v>
      </c>
      <c r="E4460" s="2">
        <v>21.5</v>
      </c>
      <c r="F4460" s="4">
        <v>4</v>
      </c>
      <c r="G4460" s="2">
        <v>86</v>
      </c>
      <c r="H4460" t="s">
        <v>15</v>
      </c>
      <c r="I4460" t="s">
        <v>16</v>
      </c>
      <c r="J4460" s="1">
        <v>44610</v>
      </c>
      <c r="K4460" t="b">
        <v>0</v>
      </c>
    </row>
    <row r="4461" spans="1:11" x14ac:dyDescent="0.25">
      <c r="A4461" t="s">
        <v>1962</v>
      </c>
      <c r="B4461" t="s">
        <v>56</v>
      </c>
      <c r="C4461" t="s">
        <v>23</v>
      </c>
      <c r="D4461" t="s">
        <v>24</v>
      </c>
      <c r="E4461" s="2">
        <v>21.5</v>
      </c>
      <c r="F4461" s="4">
        <v>4</v>
      </c>
      <c r="G4461" s="2">
        <v>86</v>
      </c>
      <c r="H4461" t="s">
        <v>45</v>
      </c>
      <c r="I4461" t="s">
        <v>36</v>
      </c>
      <c r="J4461" s="1">
        <v>45575</v>
      </c>
      <c r="K4461" t="b">
        <v>1</v>
      </c>
    </row>
    <row r="4462" spans="1:11" x14ac:dyDescent="0.25">
      <c r="A4462" t="s">
        <v>3777</v>
      </c>
      <c r="B4462" t="s">
        <v>85</v>
      </c>
      <c r="C4462" t="s">
        <v>31</v>
      </c>
      <c r="D4462" t="s">
        <v>108</v>
      </c>
      <c r="E4462" s="2">
        <v>21.5</v>
      </c>
      <c r="F4462" s="4">
        <v>4</v>
      </c>
      <c r="G4462" s="2">
        <v>86</v>
      </c>
      <c r="H4462" t="s">
        <v>25</v>
      </c>
      <c r="I4462" t="s">
        <v>36</v>
      </c>
      <c r="J4462" s="1">
        <v>45086</v>
      </c>
      <c r="K4462" t="b">
        <v>0</v>
      </c>
    </row>
    <row r="4463" spans="1:11" x14ac:dyDescent="0.25">
      <c r="A4463" t="s">
        <v>3504</v>
      </c>
      <c r="B4463" t="s">
        <v>104</v>
      </c>
      <c r="C4463" t="s">
        <v>13</v>
      </c>
      <c r="D4463" t="s">
        <v>141</v>
      </c>
      <c r="E4463" s="2">
        <v>21.5</v>
      </c>
      <c r="F4463" s="4">
        <v>4</v>
      </c>
      <c r="G4463" s="2">
        <v>86</v>
      </c>
      <c r="H4463" t="s">
        <v>15</v>
      </c>
      <c r="I4463" t="s">
        <v>36</v>
      </c>
      <c r="J4463" s="1">
        <v>45429</v>
      </c>
      <c r="K4463" t="b">
        <v>0</v>
      </c>
    </row>
    <row r="4464" spans="1:11" x14ac:dyDescent="0.25">
      <c r="A4464" t="s">
        <v>1409</v>
      </c>
      <c r="B4464" t="s">
        <v>93</v>
      </c>
      <c r="C4464" t="s">
        <v>19</v>
      </c>
      <c r="D4464" t="s">
        <v>1410</v>
      </c>
      <c r="E4464" s="2">
        <v>21.5</v>
      </c>
      <c r="F4464" s="4">
        <v>4</v>
      </c>
      <c r="G4464" s="2">
        <v>86</v>
      </c>
      <c r="H4464" t="s">
        <v>45</v>
      </c>
      <c r="I4464" t="s">
        <v>16</v>
      </c>
      <c r="J4464" s="1">
        <v>44635</v>
      </c>
      <c r="K4464" t="b">
        <v>0</v>
      </c>
    </row>
    <row r="4465" spans="1:11" x14ac:dyDescent="0.25">
      <c r="A4465" t="s">
        <v>4258</v>
      </c>
      <c r="B4465" t="s">
        <v>66</v>
      </c>
      <c r="C4465" t="s">
        <v>23</v>
      </c>
      <c r="D4465" t="s">
        <v>24</v>
      </c>
      <c r="E4465" s="2">
        <v>21.5</v>
      </c>
      <c r="F4465" s="4">
        <v>4</v>
      </c>
      <c r="G4465" s="2">
        <v>86</v>
      </c>
      <c r="H4465" t="s">
        <v>45</v>
      </c>
      <c r="I4465" t="s">
        <v>36</v>
      </c>
      <c r="J4465" s="1">
        <v>44791</v>
      </c>
      <c r="K4465" t="b">
        <v>1</v>
      </c>
    </row>
    <row r="4466" spans="1:11" x14ac:dyDescent="0.25">
      <c r="A4466" t="s">
        <v>1072</v>
      </c>
      <c r="B4466" t="s">
        <v>85</v>
      </c>
      <c r="C4466" t="s">
        <v>110</v>
      </c>
      <c r="D4466" t="s">
        <v>451</v>
      </c>
      <c r="E4466" s="2">
        <v>21.5</v>
      </c>
      <c r="F4466" s="4">
        <v>4</v>
      </c>
      <c r="G4466" s="2">
        <v>86</v>
      </c>
      <c r="H4466" t="s">
        <v>45</v>
      </c>
      <c r="I4466" t="s">
        <v>36</v>
      </c>
      <c r="J4466" s="1">
        <v>45462</v>
      </c>
      <c r="K4466" t="b">
        <v>1</v>
      </c>
    </row>
    <row r="4467" spans="1:11" x14ac:dyDescent="0.25">
      <c r="A4467" t="s">
        <v>3744</v>
      </c>
      <c r="B4467" t="s">
        <v>58</v>
      </c>
      <c r="C4467" t="s">
        <v>23</v>
      </c>
      <c r="D4467" t="s">
        <v>24</v>
      </c>
      <c r="E4467" s="2">
        <v>21.5</v>
      </c>
      <c r="F4467" s="4">
        <v>4</v>
      </c>
      <c r="G4467" s="2">
        <v>86</v>
      </c>
      <c r="H4467" t="s">
        <v>25</v>
      </c>
      <c r="I4467" t="s">
        <v>16</v>
      </c>
      <c r="J4467" s="1">
        <v>45087</v>
      </c>
      <c r="K4467" t="b">
        <v>1</v>
      </c>
    </row>
    <row r="4468" spans="1:11" x14ac:dyDescent="0.25">
      <c r="A4468" t="s">
        <v>5476</v>
      </c>
      <c r="B4468" t="s">
        <v>104</v>
      </c>
      <c r="C4468" t="s">
        <v>23</v>
      </c>
      <c r="D4468" t="s">
        <v>24</v>
      </c>
      <c r="E4468" s="2">
        <v>21.5</v>
      </c>
      <c r="F4468" s="4">
        <v>4</v>
      </c>
      <c r="G4468" s="2">
        <v>86</v>
      </c>
      <c r="H4468" t="s">
        <v>15</v>
      </c>
      <c r="I4468" t="s">
        <v>16</v>
      </c>
      <c r="J4468" s="1">
        <v>44691</v>
      </c>
      <c r="K4468" t="b">
        <v>1</v>
      </c>
    </row>
    <row r="4469" spans="1:11" x14ac:dyDescent="0.25">
      <c r="A4469" t="s">
        <v>1213</v>
      </c>
      <c r="B4469" t="s">
        <v>97</v>
      </c>
      <c r="C4469" t="s">
        <v>59</v>
      </c>
      <c r="D4469" t="s">
        <v>288</v>
      </c>
      <c r="E4469" s="2">
        <v>21.5</v>
      </c>
      <c r="F4469" s="4">
        <v>4</v>
      </c>
      <c r="G4469" s="2">
        <v>86</v>
      </c>
      <c r="H4469" t="s">
        <v>25</v>
      </c>
      <c r="I4469" t="s">
        <v>16</v>
      </c>
      <c r="J4469" s="1">
        <v>45476</v>
      </c>
      <c r="K4469" t="b">
        <v>1</v>
      </c>
    </row>
    <row r="4470" spans="1:11" x14ac:dyDescent="0.25">
      <c r="A4470" t="s">
        <v>6419</v>
      </c>
      <c r="B4470" t="s">
        <v>86</v>
      </c>
      <c r="C4470" t="s">
        <v>13</v>
      </c>
      <c r="D4470" t="s">
        <v>141</v>
      </c>
      <c r="E4470" s="2">
        <v>21.5</v>
      </c>
      <c r="F4470" s="4">
        <v>4</v>
      </c>
      <c r="G4470" s="2">
        <v>86</v>
      </c>
      <c r="H4470" t="s">
        <v>15</v>
      </c>
      <c r="I4470" t="s">
        <v>16</v>
      </c>
      <c r="J4470" s="1">
        <v>44728</v>
      </c>
      <c r="K4470" t="b">
        <v>1</v>
      </c>
    </row>
    <row r="4471" spans="1:11" x14ac:dyDescent="0.25">
      <c r="A4471" t="s">
        <v>3860</v>
      </c>
      <c r="B4471" t="s">
        <v>22</v>
      </c>
      <c r="C4471" t="s">
        <v>31</v>
      </c>
      <c r="D4471" t="s">
        <v>108</v>
      </c>
      <c r="E4471" s="2">
        <v>21.5</v>
      </c>
      <c r="F4471" s="4">
        <v>4</v>
      </c>
      <c r="G4471" s="2">
        <v>86</v>
      </c>
      <c r="H4471" t="s">
        <v>45</v>
      </c>
      <c r="I4471" t="s">
        <v>16</v>
      </c>
      <c r="J4471" s="1">
        <v>45452</v>
      </c>
      <c r="K4471" t="b">
        <v>0</v>
      </c>
    </row>
    <row r="4472" spans="1:11" x14ac:dyDescent="0.25">
      <c r="A4472" t="s">
        <v>4597</v>
      </c>
      <c r="B4472" t="s">
        <v>72</v>
      </c>
      <c r="C4472" t="s">
        <v>59</v>
      </c>
      <c r="D4472" t="s">
        <v>288</v>
      </c>
      <c r="E4472" s="2">
        <v>21.5</v>
      </c>
      <c r="F4472" s="4">
        <v>4</v>
      </c>
      <c r="G4472" s="2">
        <v>86</v>
      </c>
      <c r="H4472" t="s">
        <v>45</v>
      </c>
      <c r="I4472" t="s">
        <v>16</v>
      </c>
      <c r="J4472" s="1">
        <v>44970</v>
      </c>
      <c r="K4472" t="b">
        <v>1</v>
      </c>
    </row>
    <row r="4473" spans="1:11" x14ac:dyDescent="0.25">
      <c r="A4473" t="s">
        <v>1930</v>
      </c>
      <c r="B4473" t="s">
        <v>104</v>
      </c>
      <c r="C4473" t="s">
        <v>23</v>
      </c>
      <c r="D4473" t="s">
        <v>24</v>
      </c>
      <c r="E4473" s="2">
        <v>21.5</v>
      </c>
      <c r="F4473" s="4">
        <v>4</v>
      </c>
      <c r="G4473" s="2">
        <v>86</v>
      </c>
      <c r="H4473" t="s">
        <v>25</v>
      </c>
      <c r="I4473" t="s">
        <v>16</v>
      </c>
      <c r="J4473" s="1">
        <v>44771</v>
      </c>
      <c r="K4473" t="b">
        <v>1</v>
      </c>
    </row>
    <row r="4474" spans="1:11" x14ac:dyDescent="0.25">
      <c r="A4474" t="s">
        <v>4980</v>
      </c>
      <c r="B4474" t="s">
        <v>72</v>
      </c>
      <c r="C4474" t="s">
        <v>13</v>
      </c>
      <c r="D4474" t="s">
        <v>141</v>
      </c>
      <c r="E4474" s="2">
        <v>21.5</v>
      </c>
      <c r="F4474" s="4">
        <v>4</v>
      </c>
      <c r="G4474" s="2">
        <v>86</v>
      </c>
      <c r="H4474" t="s">
        <v>15</v>
      </c>
      <c r="I4474" t="s">
        <v>36</v>
      </c>
      <c r="J4474" s="1">
        <v>45398</v>
      </c>
      <c r="K4474" t="b">
        <v>0</v>
      </c>
    </row>
    <row r="4475" spans="1:11" x14ac:dyDescent="0.25">
      <c r="A4475" t="s">
        <v>4343</v>
      </c>
      <c r="B4475" t="s">
        <v>97</v>
      </c>
      <c r="C4475" t="s">
        <v>23</v>
      </c>
      <c r="D4475" t="s">
        <v>24</v>
      </c>
      <c r="E4475" s="2">
        <v>21.5</v>
      </c>
      <c r="F4475" s="4">
        <v>4</v>
      </c>
      <c r="G4475" s="2">
        <v>86</v>
      </c>
      <c r="H4475" t="s">
        <v>45</v>
      </c>
      <c r="I4475" t="s">
        <v>16</v>
      </c>
      <c r="J4475" s="1">
        <v>44776</v>
      </c>
      <c r="K4475" t="b">
        <v>0</v>
      </c>
    </row>
    <row r="4476" spans="1:11" x14ac:dyDescent="0.25">
      <c r="A4476" t="s">
        <v>6549</v>
      </c>
      <c r="B4476" t="s">
        <v>30</v>
      </c>
      <c r="C4476" t="s">
        <v>38</v>
      </c>
      <c r="D4476" t="s">
        <v>509</v>
      </c>
      <c r="E4476" s="2">
        <v>21.5</v>
      </c>
      <c r="F4476" s="4">
        <v>4</v>
      </c>
      <c r="G4476" s="2">
        <v>86</v>
      </c>
      <c r="H4476" t="s">
        <v>45</v>
      </c>
      <c r="I4476" t="s">
        <v>16</v>
      </c>
      <c r="J4476" s="1">
        <v>44578</v>
      </c>
      <c r="K4476" t="b">
        <v>1</v>
      </c>
    </row>
    <row r="4477" spans="1:11" x14ac:dyDescent="0.25">
      <c r="A4477" t="s">
        <v>6702</v>
      </c>
      <c r="B4477" t="s">
        <v>100</v>
      </c>
      <c r="C4477" t="s">
        <v>27</v>
      </c>
      <c r="D4477" t="s">
        <v>315</v>
      </c>
      <c r="E4477" s="2">
        <v>21.5</v>
      </c>
      <c r="F4477" s="4">
        <v>4</v>
      </c>
      <c r="G4477" s="2">
        <v>86</v>
      </c>
      <c r="H4477" t="s">
        <v>45</v>
      </c>
      <c r="I4477" t="s">
        <v>16</v>
      </c>
      <c r="J4477" s="1">
        <v>44800</v>
      </c>
      <c r="K4477" t="b">
        <v>0</v>
      </c>
    </row>
    <row r="4478" spans="1:11" x14ac:dyDescent="0.25">
      <c r="A4478" t="s">
        <v>3755</v>
      </c>
      <c r="B4478" t="s">
        <v>100</v>
      </c>
      <c r="C4478" t="s">
        <v>27</v>
      </c>
      <c r="D4478" t="s">
        <v>315</v>
      </c>
      <c r="E4478" s="2">
        <v>21.5</v>
      </c>
      <c r="F4478" s="4">
        <v>4</v>
      </c>
      <c r="G4478" s="2">
        <v>86</v>
      </c>
      <c r="H4478" t="s">
        <v>25</v>
      </c>
      <c r="I4478" t="s">
        <v>16</v>
      </c>
      <c r="J4478" s="1">
        <v>45621</v>
      </c>
      <c r="K4478" t="b">
        <v>0</v>
      </c>
    </row>
    <row r="4479" spans="1:11" x14ac:dyDescent="0.25">
      <c r="A4479" t="s">
        <v>7462</v>
      </c>
      <c r="B4479" t="s">
        <v>85</v>
      </c>
      <c r="C4479" t="s">
        <v>13</v>
      </c>
      <c r="D4479" t="s">
        <v>171</v>
      </c>
      <c r="E4479" s="2">
        <v>9.5</v>
      </c>
      <c r="F4479" s="4">
        <v>9</v>
      </c>
      <c r="G4479" s="2">
        <v>85.5</v>
      </c>
      <c r="H4479" t="s">
        <v>45</v>
      </c>
      <c r="I4479" t="s">
        <v>36</v>
      </c>
      <c r="J4479" s="1">
        <v>44837</v>
      </c>
      <c r="K4479" t="b">
        <v>1</v>
      </c>
    </row>
    <row r="4480" spans="1:11" x14ac:dyDescent="0.25">
      <c r="A4480" t="s">
        <v>7172</v>
      </c>
      <c r="B4480" t="s">
        <v>142</v>
      </c>
      <c r="C4480" t="s">
        <v>31</v>
      </c>
      <c r="D4480" t="s">
        <v>168</v>
      </c>
      <c r="E4480" s="2">
        <v>9.5</v>
      </c>
      <c r="F4480" s="4">
        <v>9</v>
      </c>
      <c r="G4480" s="2">
        <v>85.5</v>
      </c>
      <c r="H4480" t="s">
        <v>45</v>
      </c>
      <c r="I4480" t="s">
        <v>36</v>
      </c>
      <c r="J4480" s="1">
        <v>45134</v>
      </c>
      <c r="K4480" t="b">
        <v>0</v>
      </c>
    </row>
    <row r="4481" spans="1:11" x14ac:dyDescent="0.25">
      <c r="A4481" t="s">
        <v>6685</v>
      </c>
      <c r="B4481" t="s">
        <v>72</v>
      </c>
      <c r="C4481" t="s">
        <v>31</v>
      </c>
      <c r="D4481" t="s">
        <v>168</v>
      </c>
      <c r="E4481" s="2">
        <v>9.5</v>
      </c>
      <c r="F4481" s="4">
        <v>9</v>
      </c>
      <c r="G4481" s="2">
        <v>85.5</v>
      </c>
      <c r="H4481" t="s">
        <v>45</v>
      </c>
      <c r="I4481" t="s">
        <v>16</v>
      </c>
      <c r="J4481" s="1">
        <v>44739</v>
      </c>
      <c r="K4481" t="b">
        <v>0</v>
      </c>
    </row>
    <row r="4482" spans="1:11" x14ac:dyDescent="0.25">
      <c r="A4482" t="s">
        <v>5619</v>
      </c>
      <c r="B4482" t="s">
        <v>97</v>
      </c>
      <c r="C4482" t="s">
        <v>59</v>
      </c>
      <c r="D4482" t="s">
        <v>64</v>
      </c>
      <c r="E4482" s="2">
        <v>9.5</v>
      </c>
      <c r="F4482" s="4">
        <v>9</v>
      </c>
      <c r="G4482" s="2">
        <v>85.5</v>
      </c>
      <c r="H4482" t="s">
        <v>45</v>
      </c>
      <c r="I4482" t="s">
        <v>36</v>
      </c>
      <c r="J4482" s="1">
        <v>44744</v>
      </c>
      <c r="K4482" t="b">
        <v>0</v>
      </c>
    </row>
    <row r="4483" spans="1:11" x14ac:dyDescent="0.25">
      <c r="A4483" t="s">
        <v>5136</v>
      </c>
      <c r="B4483" t="s">
        <v>72</v>
      </c>
      <c r="C4483" t="s">
        <v>13</v>
      </c>
      <c r="D4483" t="s">
        <v>171</v>
      </c>
      <c r="E4483" s="2">
        <v>9.5</v>
      </c>
      <c r="F4483" s="4">
        <v>9</v>
      </c>
      <c r="G4483" s="2">
        <v>85.5</v>
      </c>
      <c r="H4483" t="s">
        <v>45</v>
      </c>
      <c r="I4483" t="s">
        <v>16</v>
      </c>
      <c r="J4483" s="1">
        <v>45489</v>
      </c>
      <c r="K4483" t="b">
        <v>0</v>
      </c>
    </row>
    <row r="4484" spans="1:11" x14ac:dyDescent="0.25">
      <c r="A4484" t="s">
        <v>4047</v>
      </c>
      <c r="B4484" t="s">
        <v>77</v>
      </c>
      <c r="C4484" t="s">
        <v>59</v>
      </c>
      <c r="D4484" t="s">
        <v>64</v>
      </c>
      <c r="E4484" s="2">
        <v>9.5</v>
      </c>
      <c r="F4484" s="4">
        <v>9</v>
      </c>
      <c r="G4484" s="2">
        <v>85.5</v>
      </c>
      <c r="H4484" t="s">
        <v>45</v>
      </c>
      <c r="I4484" t="s">
        <v>16</v>
      </c>
      <c r="J4484" s="1">
        <v>45276</v>
      </c>
      <c r="K4484" t="b">
        <v>0</v>
      </c>
    </row>
    <row r="4485" spans="1:11" x14ac:dyDescent="0.25">
      <c r="A4485" t="s">
        <v>1695</v>
      </c>
      <c r="B4485" t="s">
        <v>142</v>
      </c>
      <c r="C4485" t="s">
        <v>38</v>
      </c>
      <c r="D4485" t="s">
        <v>414</v>
      </c>
      <c r="E4485" s="2">
        <v>9.5</v>
      </c>
      <c r="F4485" s="4">
        <v>9</v>
      </c>
      <c r="G4485" s="2">
        <v>85.5</v>
      </c>
      <c r="H4485" t="s">
        <v>25</v>
      </c>
      <c r="I4485" t="s">
        <v>36</v>
      </c>
      <c r="J4485" s="1">
        <v>45564</v>
      </c>
      <c r="K4485" t="b">
        <v>0</v>
      </c>
    </row>
    <row r="4486" spans="1:11" x14ac:dyDescent="0.25">
      <c r="A4486" t="s">
        <v>4945</v>
      </c>
      <c r="B4486" t="s">
        <v>22</v>
      </c>
      <c r="C4486" t="s">
        <v>23</v>
      </c>
      <c r="D4486" t="s">
        <v>810</v>
      </c>
      <c r="E4486" s="2">
        <v>9.5</v>
      </c>
      <c r="F4486" s="4">
        <v>9</v>
      </c>
      <c r="G4486" s="2">
        <v>85.5</v>
      </c>
      <c r="H4486" t="s">
        <v>45</v>
      </c>
      <c r="I4486" t="s">
        <v>36</v>
      </c>
      <c r="J4486" s="1">
        <v>45603</v>
      </c>
      <c r="K4486" t="b">
        <v>1</v>
      </c>
    </row>
    <row r="4487" spans="1:11" x14ac:dyDescent="0.25">
      <c r="A4487" t="s">
        <v>6815</v>
      </c>
      <c r="B4487" t="s">
        <v>63</v>
      </c>
      <c r="C4487" t="s">
        <v>13</v>
      </c>
      <c r="D4487" t="s">
        <v>171</v>
      </c>
      <c r="E4487" s="2">
        <v>9.5</v>
      </c>
      <c r="F4487" s="4">
        <v>9</v>
      </c>
      <c r="G4487" s="2">
        <v>85.5</v>
      </c>
      <c r="H4487" t="s">
        <v>45</v>
      </c>
      <c r="I4487" t="s">
        <v>36</v>
      </c>
      <c r="J4487" s="1">
        <v>45360</v>
      </c>
      <c r="K4487" t="b">
        <v>0</v>
      </c>
    </row>
    <row r="4488" spans="1:11" x14ac:dyDescent="0.25">
      <c r="A4488" t="s">
        <v>5375</v>
      </c>
      <c r="B4488" t="s">
        <v>86</v>
      </c>
      <c r="C4488" t="s">
        <v>59</v>
      </c>
      <c r="D4488" t="s">
        <v>64</v>
      </c>
      <c r="E4488" s="2">
        <v>9.5</v>
      </c>
      <c r="F4488" s="4">
        <v>9</v>
      </c>
      <c r="G4488" s="2">
        <v>85.5</v>
      </c>
      <c r="H4488" t="s">
        <v>45</v>
      </c>
      <c r="I4488" t="s">
        <v>36</v>
      </c>
      <c r="J4488" s="1">
        <v>45368</v>
      </c>
      <c r="K4488" t="b">
        <v>1</v>
      </c>
    </row>
    <row r="4489" spans="1:11" x14ac:dyDescent="0.25">
      <c r="A4489" t="s">
        <v>5713</v>
      </c>
      <c r="B4489" t="s">
        <v>142</v>
      </c>
      <c r="C4489" t="s">
        <v>13</v>
      </c>
      <c r="D4489" t="s">
        <v>171</v>
      </c>
      <c r="E4489" s="2">
        <v>9.5</v>
      </c>
      <c r="F4489" s="4">
        <v>9</v>
      </c>
      <c r="G4489" s="2">
        <v>85.5</v>
      </c>
      <c r="H4489" t="s">
        <v>25</v>
      </c>
      <c r="I4489" t="s">
        <v>16</v>
      </c>
      <c r="J4489" s="1">
        <v>45004</v>
      </c>
      <c r="K4489" t="b">
        <v>1</v>
      </c>
    </row>
    <row r="4490" spans="1:11" x14ac:dyDescent="0.25">
      <c r="A4490" t="s">
        <v>5939</v>
      </c>
      <c r="B4490" t="s">
        <v>86</v>
      </c>
      <c r="C4490" t="s">
        <v>31</v>
      </c>
      <c r="D4490" t="s">
        <v>168</v>
      </c>
      <c r="E4490" s="2">
        <v>9.5</v>
      </c>
      <c r="F4490" s="4">
        <v>9</v>
      </c>
      <c r="G4490" s="2">
        <v>85.5</v>
      </c>
      <c r="H4490" t="s">
        <v>45</v>
      </c>
      <c r="I4490" t="s">
        <v>36</v>
      </c>
      <c r="J4490" s="1">
        <v>44724</v>
      </c>
      <c r="K4490" t="b">
        <v>1</v>
      </c>
    </row>
    <row r="4491" spans="1:11" x14ac:dyDescent="0.25">
      <c r="A4491" t="s">
        <v>5324</v>
      </c>
      <c r="B4491" t="s">
        <v>18</v>
      </c>
      <c r="C4491" t="s">
        <v>110</v>
      </c>
      <c r="D4491" t="s">
        <v>304</v>
      </c>
      <c r="E4491" s="2">
        <v>9.5</v>
      </c>
      <c r="F4491" s="4">
        <v>9</v>
      </c>
      <c r="G4491" s="2">
        <v>85.5</v>
      </c>
      <c r="H4491" t="s">
        <v>45</v>
      </c>
      <c r="I4491" t="s">
        <v>16</v>
      </c>
      <c r="J4491" s="1">
        <v>45155</v>
      </c>
      <c r="K4491" t="b">
        <v>0</v>
      </c>
    </row>
    <row r="4492" spans="1:11" x14ac:dyDescent="0.25">
      <c r="A4492" t="s">
        <v>596</v>
      </c>
      <c r="B4492" t="s">
        <v>40</v>
      </c>
      <c r="C4492" t="s">
        <v>31</v>
      </c>
      <c r="D4492" t="s">
        <v>168</v>
      </c>
      <c r="E4492" s="2">
        <v>9.5</v>
      </c>
      <c r="F4492" s="4">
        <v>9</v>
      </c>
      <c r="G4492" s="2">
        <v>85.5</v>
      </c>
      <c r="H4492" t="s">
        <v>25</v>
      </c>
      <c r="I4492" t="s">
        <v>36</v>
      </c>
      <c r="J4492" s="1">
        <v>45636</v>
      </c>
      <c r="K4492" t="b">
        <v>1</v>
      </c>
    </row>
    <row r="4493" spans="1:11" x14ac:dyDescent="0.25">
      <c r="A4493" t="s">
        <v>6735</v>
      </c>
      <c r="B4493" t="s">
        <v>51</v>
      </c>
      <c r="C4493" t="s">
        <v>13</v>
      </c>
      <c r="D4493" t="s">
        <v>171</v>
      </c>
      <c r="E4493" s="2">
        <v>9.5</v>
      </c>
      <c r="F4493" s="4">
        <v>9</v>
      </c>
      <c r="G4493" s="2">
        <v>85.5</v>
      </c>
      <c r="H4493" t="s">
        <v>15</v>
      </c>
      <c r="I4493" t="s">
        <v>36</v>
      </c>
      <c r="J4493" s="1">
        <v>45459</v>
      </c>
      <c r="K4493" t="b">
        <v>0</v>
      </c>
    </row>
    <row r="4494" spans="1:11" x14ac:dyDescent="0.25">
      <c r="A4494" t="s">
        <v>6802</v>
      </c>
      <c r="B4494" t="s">
        <v>26</v>
      </c>
      <c r="C4494" t="s">
        <v>110</v>
      </c>
      <c r="D4494" t="s">
        <v>304</v>
      </c>
      <c r="E4494" s="2">
        <v>9.5</v>
      </c>
      <c r="F4494" s="4">
        <v>9</v>
      </c>
      <c r="G4494" s="2">
        <v>85.5</v>
      </c>
      <c r="H4494" t="s">
        <v>25</v>
      </c>
      <c r="I4494" t="s">
        <v>16</v>
      </c>
      <c r="J4494" s="1">
        <v>45317</v>
      </c>
      <c r="K4494" t="b">
        <v>1</v>
      </c>
    </row>
    <row r="4495" spans="1:11" x14ac:dyDescent="0.25">
      <c r="A4495" t="s">
        <v>6227</v>
      </c>
      <c r="B4495" t="s">
        <v>34</v>
      </c>
      <c r="C4495" t="s">
        <v>23</v>
      </c>
      <c r="D4495" t="s">
        <v>810</v>
      </c>
      <c r="E4495" s="2">
        <v>9.5</v>
      </c>
      <c r="F4495" s="4">
        <v>9</v>
      </c>
      <c r="G4495" s="2">
        <v>85.5</v>
      </c>
      <c r="H4495" t="s">
        <v>45</v>
      </c>
      <c r="I4495" t="s">
        <v>36</v>
      </c>
      <c r="J4495" s="1">
        <v>45093</v>
      </c>
      <c r="K4495" t="b">
        <v>0</v>
      </c>
    </row>
    <row r="4496" spans="1:11" x14ac:dyDescent="0.25">
      <c r="A4496" t="s">
        <v>3175</v>
      </c>
      <c r="B4496" t="s">
        <v>142</v>
      </c>
      <c r="C4496" t="s">
        <v>59</v>
      </c>
      <c r="D4496" t="s">
        <v>655</v>
      </c>
      <c r="E4496" s="2">
        <v>17</v>
      </c>
      <c r="F4496" s="4">
        <v>5</v>
      </c>
      <c r="G4496" s="2">
        <v>85</v>
      </c>
      <c r="H4496" t="s">
        <v>15</v>
      </c>
      <c r="I4496" t="s">
        <v>36</v>
      </c>
      <c r="J4496" s="1">
        <v>45630</v>
      </c>
      <c r="K4496" t="b">
        <v>1</v>
      </c>
    </row>
    <row r="4497" spans="1:11" x14ac:dyDescent="0.25">
      <c r="A4497" t="s">
        <v>4961</v>
      </c>
      <c r="B4497" t="s">
        <v>18</v>
      </c>
      <c r="C4497" t="s">
        <v>59</v>
      </c>
      <c r="D4497" t="s">
        <v>655</v>
      </c>
      <c r="E4497" s="2">
        <v>17</v>
      </c>
      <c r="F4497" s="4">
        <v>5</v>
      </c>
      <c r="G4497" s="2">
        <v>85</v>
      </c>
      <c r="H4497" t="s">
        <v>25</v>
      </c>
      <c r="I4497" t="s">
        <v>16</v>
      </c>
      <c r="J4497" s="1">
        <v>44821</v>
      </c>
      <c r="K4497" t="b">
        <v>0</v>
      </c>
    </row>
    <row r="4498" spans="1:11" x14ac:dyDescent="0.25">
      <c r="A4498" t="s">
        <v>936</v>
      </c>
      <c r="B4498" t="s">
        <v>61</v>
      </c>
      <c r="C4498" t="s">
        <v>59</v>
      </c>
      <c r="D4498" t="s">
        <v>655</v>
      </c>
      <c r="E4498" s="2">
        <v>17</v>
      </c>
      <c r="F4498" s="4">
        <v>5</v>
      </c>
      <c r="G4498" s="2">
        <v>85</v>
      </c>
      <c r="H4498" t="s">
        <v>45</v>
      </c>
      <c r="I4498" t="s">
        <v>16</v>
      </c>
      <c r="J4498" s="1">
        <v>44582</v>
      </c>
      <c r="K4498" t="b">
        <v>0</v>
      </c>
    </row>
    <row r="4499" spans="1:11" x14ac:dyDescent="0.25">
      <c r="A4499" t="s">
        <v>3866</v>
      </c>
      <c r="B4499" t="s">
        <v>93</v>
      </c>
      <c r="C4499" t="s">
        <v>23</v>
      </c>
      <c r="D4499" t="s">
        <v>2357</v>
      </c>
      <c r="E4499" s="2">
        <v>17</v>
      </c>
      <c r="F4499" s="4">
        <v>5</v>
      </c>
      <c r="G4499" s="2">
        <v>85</v>
      </c>
      <c r="H4499" t="s">
        <v>25</v>
      </c>
      <c r="I4499" t="s">
        <v>16</v>
      </c>
      <c r="J4499" s="1">
        <v>44803</v>
      </c>
      <c r="K4499" t="b">
        <v>0</v>
      </c>
    </row>
    <row r="4500" spans="1:11" x14ac:dyDescent="0.25">
      <c r="A4500" t="s">
        <v>3613</v>
      </c>
      <c r="B4500" t="s">
        <v>18</v>
      </c>
      <c r="C4500" t="s">
        <v>110</v>
      </c>
      <c r="D4500" t="s">
        <v>327</v>
      </c>
      <c r="E4500" s="2">
        <v>17</v>
      </c>
      <c r="F4500" s="4">
        <v>5</v>
      </c>
      <c r="G4500" s="2">
        <v>85</v>
      </c>
      <c r="H4500" t="s">
        <v>15</v>
      </c>
      <c r="I4500" t="s">
        <v>16</v>
      </c>
      <c r="J4500" s="1">
        <v>45521</v>
      </c>
      <c r="K4500" t="b">
        <v>0</v>
      </c>
    </row>
    <row r="4501" spans="1:11" x14ac:dyDescent="0.25">
      <c r="A4501" t="s">
        <v>6674</v>
      </c>
      <c r="B4501" t="s">
        <v>72</v>
      </c>
      <c r="C4501" t="s">
        <v>59</v>
      </c>
      <c r="D4501" t="s">
        <v>655</v>
      </c>
      <c r="E4501" s="2">
        <v>17</v>
      </c>
      <c r="F4501" s="4">
        <v>5</v>
      </c>
      <c r="G4501" s="2">
        <v>85</v>
      </c>
      <c r="H4501" t="s">
        <v>45</v>
      </c>
      <c r="I4501" t="s">
        <v>16</v>
      </c>
      <c r="J4501" s="1">
        <v>44867</v>
      </c>
      <c r="K4501" t="b">
        <v>0</v>
      </c>
    </row>
    <row r="4502" spans="1:11" x14ac:dyDescent="0.25">
      <c r="A4502" t="s">
        <v>3192</v>
      </c>
      <c r="B4502" t="s">
        <v>40</v>
      </c>
      <c r="C4502" t="s">
        <v>110</v>
      </c>
      <c r="D4502" t="s">
        <v>327</v>
      </c>
      <c r="E4502" s="2">
        <v>17</v>
      </c>
      <c r="F4502" s="4">
        <v>5</v>
      </c>
      <c r="G4502" s="2">
        <v>85</v>
      </c>
      <c r="H4502" t="s">
        <v>25</v>
      </c>
      <c r="I4502" t="s">
        <v>16</v>
      </c>
      <c r="J4502" s="1">
        <v>45112</v>
      </c>
      <c r="K4502" t="b">
        <v>0</v>
      </c>
    </row>
    <row r="4503" spans="1:11" x14ac:dyDescent="0.25">
      <c r="A4503" t="s">
        <v>5438</v>
      </c>
      <c r="B4503" t="s">
        <v>61</v>
      </c>
      <c r="C4503" t="s">
        <v>23</v>
      </c>
      <c r="D4503" t="s">
        <v>2357</v>
      </c>
      <c r="E4503" s="2">
        <v>17</v>
      </c>
      <c r="F4503" s="4">
        <v>5</v>
      </c>
      <c r="G4503" s="2">
        <v>85</v>
      </c>
      <c r="H4503" t="s">
        <v>25</v>
      </c>
      <c r="I4503" t="s">
        <v>36</v>
      </c>
      <c r="J4503" s="1">
        <v>45251</v>
      </c>
      <c r="K4503" t="b">
        <v>1</v>
      </c>
    </row>
    <row r="4504" spans="1:11" x14ac:dyDescent="0.25">
      <c r="A4504" t="s">
        <v>5000</v>
      </c>
      <c r="B4504" t="s">
        <v>72</v>
      </c>
      <c r="C4504" t="s">
        <v>13</v>
      </c>
      <c r="D4504" t="s">
        <v>380</v>
      </c>
      <c r="E4504" s="2">
        <v>17</v>
      </c>
      <c r="F4504" s="4">
        <v>5</v>
      </c>
      <c r="G4504" s="2">
        <v>85</v>
      </c>
      <c r="H4504" t="s">
        <v>45</v>
      </c>
      <c r="I4504" t="s">
        <v>36</v>
      </c>
      <c r="J4504" s="1">
        <v>44811</v>
      </c>
      <c r="K4504" t="b">
        <v>1</v>
      </c>
    </row>
    <row r="4505" spans="1:11" x14ac:dyDescent="0.25">
      <c r="A4505" t="s">
        <v>2340</v>
      </c>
      <c r="B4505" t="s">
        <v>12</v>
      </c>
      <c r="C4505" t="s">
        <v>19</v>
      </c>
      <c r="D4505" t="s">
        <v>366</v>
      </c>
      <c r="E4505" s="2">
        <v>17</v>
      </c>
      <c r="F4505" s="4">
        <v>5</v>
      </c>
      <c r="G4505" s="2">
        <v>85</v>
      </c>
      <c r="H4505" t="s">
        <v>25</v>
      </c>
      <c r="I4505" t="s">
        <v>16</v>
      </c>
      <c r="J4505" s="1">
        <v>45246</v>
      </c>
      <c r="K4505" t="b">
        <v>1</v>
      </c>
    </row>
    <row r="4506" spans="1:11" x14ac:dyDescent="0.25">
      <c r="A4506" t="s">
        <v>3131</v>
      </c>
      <c r="B4506" t="s">
        <v>85</v>
      </c>
      <c r="C4506" t="s">
        <v>31</v>
      </c>
      <c r="D4506" t="s">
        <v>195</v>
      </c>
      <c r="E4506" s="2">
        <v>17</v>
      </c>
      <c r="F4506" s="4">
        <v>5</v>
      </c>
      <c r="G4506" s="2">
        <v>85</v>
      </c>
      <c r="H4506" t="s">
        <v>15</v>
      </c>
      <c r="I4506" t="s">
        <v>36</v>
      </c>
      <c r="J4506" s="1">
        <v>45016</v>
      </c>
      <c r="K4506" t="b">
        <v>0</v>
      </c>
    </row>
    <row r="4507" spans="1:11" x14ac:dyDescent="0.25">
      <c r="A4507" t="s">
        <v>7755</v>
      </c>
      <c r="B4507" t="s">
        <v>22</v>
      </c>
      <c r="C4507" t="s">
        <v>27</v>
      </c>
      <c r="D4507" t="s">
        <v>763</v>
      </c>
      <c r="E4507" s="2">
        <v>17</v>
      </c>
      <c r="F4507" s="4">
        <v>5</v>
      </c>
      <c r="G4507" s="2">
        <v>85</v>
      </c>
      <c r="H4507" t="s">
        <v>15</v>
      </c>
      <c r="I4507" t="s">
        <v>36</v>
      </c>
      <c r="J4507" s="1">
        <v>45382</v>
      </c>
      <c r="K4507" t="b">
        <v>1</v>
      </c>
    </row>
    <row r="4508" spans="1:11" x14ac:dyDescent="0.25">
      <c r="A4508" t="s">
        <v>250</v>
      </c>
      <c r="B4508" t="s">
        <v>18</v>
      </c>
      <c r="C4508" t="s">
        <v>31</v>
      </c>
      <c r="D4508" t="s">
        <v>195</v>
      </c>
      <c r="E4508" s="2">
        <v>17</v>
      </c>
      <c r="F4508" s="4">
        <v>5</v>
      </c>
      <c r="G4508" s="2">
        <v>85</v>
      </c>
      <c r="H4508" t="s">
        <v>15</v>
      </c>
      <c r="I4508" t="s">
        <v>36</v>
      </c>
      <c r="J4508" s="1">
        <v>45402</v>
      </c>
      <c r="K4508" t="b">
        <v>0</v>
      </c>
    </row>
    <row r="4509" spans="1:11" x14ac:dyDescent="0.25">
      <c r="A4509" t="s">
        <v>2022</v>
      </c>
      <c r="B4509" t="s">
        <v>69</v>
      </c>
      <c r="C4509" t="s">
        <v>110</v>
      </c>
      <c r="D4509" t="s">
        <v>327</v>
      </c>
      <c r="E4509" s="2">
        <v>17</v>
      </c>
      <c r="F4509" s="4">
        <v>5</v>
      </c>
      <c r="G4509" s="2">
        <v>85</v>
      </c>
      <c r="H4509" t="s">
        <v>25</v>
      </c>
      <c r="I4509" t="s">
        <v>16</v>
      </c>
      <c r="J4509" s="1">
        <v>45294</v>
      </c>
      <c r="K4509" t="b">
        <v>1</v>
      </c>
    </row>
    <row r="4510" spans="1:11" x14ac:dyDescent="0.25">
      <c r="A4510" t="s">
        <v>6219</v>
      </c>
      <c r="B4510" t="s">
        <v>18</v>
      </c>
      <c r="C4510" t="s">
        <v>31</v>
      </c>
      <c r="D4510" t="s">
        <v>195</v>
      </c>
      <c r="E4510" s="2">
        <v>17</v>
      </c>
      <c r="F4510" s="4">
        <v>5</v>
      </c>
      <c r="G4510" s="2">
        <v>85</v>
      </c>
      <c r="H4510" t="s">
        <v>15</v>
      </c>
      <c r="I4510" t="s">
        <v>16</v>
      </c>
      <c r="J4510" s="1">
        <v>44959</v>
      </c>
      <c r="K4510" t="b">
        <v>0</v>
      </c>
    </row>
    <row r="4511" spans="1:11" x14ac:dyDescent="0.25">
      <c r="A4511" t="s">
        <v>3368</v>
      </c>
      <c r="B4511" t="s">
        <v>69</v>
      </c>
      <c r="C4511" t="s">
        <v>13</v>
      </c>
      <c r="D4511" t="s">
        <v>380</v>
      </c>
      <c r="E4511" s="2">
        <v>17</v>
      </c>
      <c r="F4511" s="4">
        <v>5</v>
      </c>
      <c r="G4511" s="2">
        <v>85</v>
      </c>
      <c r="H4511" t="s">
        <v>25</v>
      </c>
      <c r="I4511" t="s">
        <v>16</v>
      </c>
      <c r="J4511" s="1">
        <v>44821</v>
      </c>
      <c r="K4511" t="b">
        <v>0</v>
      </c>
    </row>
    <row r="4512" spans="1:11" x14ac:dyDescent="0.25">
      <c r="A4512" t="s">
        <v>6126</v>
      </c>
      <c r="B4512" t="s">
        <v>37</v>
      </c>
      <c r="C4512" t="s">
        <v>13</v>
      </c>
      <c r="D4512" t="s">
        <v>380</v>
      </c>
      <c r="E4512" s="2">
        <v>17</v>
      </c>
      <c r="F4512" s="4">
        <v>5</v>
      </c>
      <c r="G4512" s="2">
        <v>85</v>
      </c>
      <c r="H4512" t="s">
        <v>25</v>
      </c>
      <c r="I4512" t="s">
        <v>16</v>
      </c>
      <c r="J4512" s="1">
        <v>44673</v>
      </c>
      <c r="K4512" t="b">
        <v>0</v>
      </c>
    </row>
    <row r="4513" spans="1:11" x14ac:dyDescent="0.25">
      <c r="A4513" t="s">
        <v>5777</v>
      </c>
      <c r="B4513" t="s">
        <v>97</v>
      </c>
      <c r="C4513" t="s">
        <v>38</v>
      </c>
      <c r="D4513" t="s">
        <v>444</v>
      </c>
      <c r="E4513" s="2">
        <v>17</v>
      </c>
      <c r="F4513" s="4">
        <v>5</v>
      </c>
      <c r="G4513" s="2">
        <v>85</v>
      </c>
      <c r="H4513" t="s">
        <v>45</v>
      </c>
      <c r="I4513" t="s">
        <v>36</v>
      </c>
      <c r="J4513" s="1">
        <v>44757</v>
      </c>
      <c r="K4513" t="b">
        <v>0</v>
      </c>
    </row>
    <row r="4514" spans="1:11" x14ac:dyDescent="0.25">
      <c r="A4514" t="s">
        <v>996</v>
      </c>
      <c r="B4514" t="s">
        <v>85</v>
      </c>
      <c r="C4514" t="s">
        <v>13</v>
      </c>
      <c r="D4514" t="s">
        <v>151</v>
      </c>
      <c r="E4514" s="2">
        <v>14</v>
      </c>
      <c r="F4514" s="4">
        <v>6</v>
      </c>
      <c r="G4514" s="2">
        <v>84</v>
      </c>
      <c r="H4514" t="s">
        <v>15</v>
      </c>
      <c r="I4514" t="s">
        <v>36</v>
      </c>
      <c r="J4514" s="1">
        <v>44795</v>
      </c>
      <c r="K4514" t="b">
        <v>0</v>
      </c>
    </row>
    <row r="4515" spans="1:11" x14ac:dyDescent="0.25">
      <c r="A4515" t="s">
        <v>6754</v>
      </c>
      <c r="B4515" t="s">
        <v>37</v>
      </c>
      <c r="C4515" t="s">
        <v>110</v>
      </c>
      <c r="D4515" t="s">
        <v>176</v>
      </c>
      <c r="E4515" s="2">
        <v>14</v>
      </c>
      <c r="F4515" s="4">
        <v>6</v>
      </c>
      <c r="G4515" s="2">
        <v>84</v>
      </c>
      <c r="H4515" t="s">
        <v>25</v>
      </c>
      <c r="I4515" t="s">
        <v>36</v>
      </c>
      <c r="J4515" s="1">
        <v>45164</v>
      </c>
      <c r="K4515" t="b">
        <v>0</v>
      </c>
    </row>
    <row r="4516" spans="1:11" x14ac:dyDescent="0.25">
      <c r="A4516" t="s">
        <v>7011</v>
      </c>
      <c r="B4516" t="s">
        <v>37</v>
      </c>
      <c r="C4516" t="s">
        <v>59</v>
      </c>
      <c r="D4516" t="s">
        <v>248</v>
      </c>
      <c r="E4516" s="2">
        <v>14</v>
      </c>
      <c r="F4516" s="4">
        <v>6</v>
      </c>
      <c r="G4516" s="2">
        <v>84</v>
      </c>
      <c r="H4516" t="s">
        <v>45</v>
      </c>
      <c r="I4516" t="s">
        <v>36</v>
      </c>
      <c r="J4516" s="1">
        <v>45253</v>
      </c>
      <c r="K4516" t="b">
        <v>1</v>
      </c>
    </row>
    <row r="4517" spans="1:11" x14ac:dyDescent="0.25">
      <c r="A4517" t="s">
        <v>7459</v>
      </c>
      <c r="B4517" t="s">
        <v>43</v>
      </c>
      <c r="C4517" t="s">
        <v>19</v>
      </c>
      <c r="D4517" t="s">
        <v>756</v>
      </c>
      <c r="E4517" s="2">
        <v>14</v>
      </c>
      <c r="F4517" s="4">
        <v>6</v>
      </c>
      <c r="G4517" s="2">
        <v>84</v>
      </c>
      <c r="H4517" t="s">
        <v>25</v>
      </c>
      <c r="I4517" t="s">
        <v>36</v>
      </c>
      <c r="J4517" s="1">
        <v>45187</v>
      </c>
      <c r="K4517" t="b">
        <v>1</v>
      </c>
    </row>
    <row r="4518" spans="1:11" x14ac:dyDescent="0.25">
      <c r="A4518" t="s">
        <v>2432</v>
      </c>
      <c r="B4518" t="s">
        <v>61</v>
      </c>
      <c r="C4518" t="s">
        <v>27</v>
      </c>
      <c r="D4518" t="s">
        <v>62</v>
      </c>
      <c r="E4518" s="2">
        <v>14</v>
      </c>
      <c r="F4518" s="4">
        <v>6</v>
      </c>
      <c r="G4518" s="2">
        <v>84</v>
      </c>
      <c r="H4518" t="s">
        <v>25</v>
      </c>
      <c r="I4518" t="s">
        <v>36</v>
      </c>
      <c r="J4518" s="1">
        <v>45547</v>
      </c>
      <c r="K4518" t="b">
        <v>0</v>
      </c>
    </row>
    <row r="4519" spans="1:11" x14ac:dyDescent="0.25">
      <c r="A4519" t="s">
        <v>4952</v>
      </c>
      <c r="B4519" t="s">
        <v>26</v>
      </c>
      <c r="C4519" t="s">
        <v>59</v>
      </c>
      <c r="D4519" t="s">
        <v>248</v>
      </c>
      <c r="E4519" s="2">
        <v>14</v>
      </c>
      <c r="F4519" s="4">
        <v>6</v>
      </c>
      <c r="G4519" s="2">
        <v>84</v>
      </c>
      <c r="H4519" t="s">
        <v>45</v>
      </c>
      <c r="I4519" t="s">
        <v>16</v>
      </c>
      <c r="J4519" s="1">
        <v>45231</v>
      </c>
      <c r="K4519" t="b">
        <v>1</v>
      </c>
    </row>
    <row r="4520" spans="1:11" x14ac:dyDescent="0.25">
      <c r="A4520" t="s">
        <v>5223</v>
      </c>
      <c r="B4520" t="s">
        <v>37</v>
      </c>
      <c r="C4520" t="s">
        <v>31</v>
      </c>
      <c r="D4520" t="s">
        <v>162</v>
      </c>
      <c r="E4520" s="2">
        <v>14</v>
      </c>
      <c r="F4520" s="4">
        <v>6</v>
      </c>
      <c r="G4520" s="2">
        <v>84</v>
      </c>
      <c r="H4520" t="s">
        <v>15</v>
      </c>
      <c r="I4520" t="s">
        <v>16</v>
      </c>
      <c r="J4520" s="1">
        <v>45554</v>
      </c>
      <c r="K4520" t="b">
        <v>1</v>
      </c>
    </row>
    <row r="4521" spans="1:11" x14ac:dyDescent="0.25">
      <c r="A4521" t="s">
        <v>1781</v>
      </c>
      <c r="B4521" t="s">
        <v>93</v>
      </c>
      <c r="C4521" t="s">
        <v>19</v>
      </c>
      <c r="D4521" t="s">
        <v>756</v>
      </c>
      <c r="E4521" s="2">
        <v>14</v>
      </c>
      <c r="F4521" s="4">
        <v>6</v>
      </c>
      <c r="G4521" s="2">
        <v>84</v>
      </c>
      <c r="H4521" t="s">
        <v>45</v>
      </c>
      <c r="I4521" t="s">
        <v>16</v>
      </c>
      <c r="J4521" s="1">
        <v>45439</v>
      </c>
      <c r="K4521" t="b">
        <v>1</v>
      </c>
    </row>
    <row r="4522" spans="1:11" x14ac:dyDescent="0.25">
      <c r="A4522" t="s">
        <v>7827</v>
      </c>
      <c r="B4522" t="s">
        <v>66</v>
      </c>
      <c r="C4522" t="s">
        <v>38</v>
      </c>
      <c r="D4522" t="s">
        <v>123</v>
      </c>
      <c r="E4522" s="2">
        <v>14</v>
      </c>
      <c r="F4522" s="4">
        <v>6</v>
      </c>
      <c r="G4522" s="2">
        <v>84</v>
      </c>
      <c r="H4522" t="s">
        <v>45</v>
      </c>
      <c r="I4522" t="s">
        <v>16</v>
      </c>
      <c r="J4522" s="1">
        <v>45290</v>
      </c>
      <c r="K4522" t="b">
        <v>1</v>
      </c>
    </row>
    <row r="4523" spans="1:11" x14ac:dyDescent="0.25">
      <c r="A4523" t="s">
        <v>5662</v>
      </c>
      <c r="B4523" t="s">
        <v>85</v>
      </c>
      <c r="C4523" t="s">
        <v>38</v>
      </c>
      <c r="D4523" t="s">
        <v>123</v>
      </c>
      <c r="E4523" s="2">
        <v>14</v>
      </c>
      <c r="F4523" s="4">
        <v>6</v>
      </c>
      <c r="G4523" s="2">
        <v>84</v>
      </c>
      <c r="H4523" t="s">
        <v>45</v>
      </c>
      <c r="I4523" t="s">
        <v>16</v>
      </c>
      <c r="J4523" s="1">
        <v>45045</v>
      </c>
      <c r="K4523" t="b">
        <v>0</v>
      </c>
    </row>
    <row r="4524" spans="1:11" x14ac:dyDescent="0.25">
      <c r="A4524" t="s">
        <v>846</v>
      </c>
      <c r="B4524" t="s">
        <v>51</v>
      </c>
      <c r="C4524" t="s">
        <v>27</v>
      </c>
      <c r="D4524" t="s">
        <v>62</v>
      </c>
      <c r="E4524" s="2">
        <v>14</v>
      </c>
      <c r="F4524" s="4">
        <v>6</v>
      </c>
      <c r="G4524" s="2">
        <v>84</v>
      </c>
      <c r="H4524" t="s">
        <v>25</v>
      </c>
      <c r="I4524" t="s">
        <v>16</v>
      </c>
      <c r="J4524" s="1">
        <v>45560</v>
      </c>
      <c r="K4524" t="b">
        <v>0</v>
      </c>
    </row>
    <row r="4525" spans="1:11" x14ac:dyDescent="0.25">
      <c r="A4525" t="s">
        <v>5208</v>
      </c>
      <c r="B4525" t="s">
        <v>93</v>
      </c>
      <c r="C4525" t="s">
        <v>27</v>
      </c>
      <c r="D4525" t="s">
        <v>62</v>
      </c>
      <c r="E4525" s="2">
        <v>14</v>
      </c>
      <c r="F4525" s="4">
        <v>6</v>
      </c>
      <c r="G4525" s="2">
        <v>84</v>
      </c>
      <c r="H4525" t="s">
        <v>45</v>
      </c>
      <c r="I4525" t="s">
        <v>16</v>
      </c>
      <c r="J4525" s="1">
        <v>45163</v>
      </c>
      <c r="K4525" t="b">
        <v>0</v>
      </c>
    </row>
    <row r="4526" spans="1:11" x14ac:dyDescent="0.25">
      <c r="A4526" t="s">
        <v>152</v>
      </c>
      <c r="B4526" t="s">
        <v>86</v>
      </c>
      <c r="C4526" t="s">
        <v>27</v>
      </c>
      <c r="D4526" t="s">
        <v>62</v>
      </c>
      <c r="E4526" s="2">
        <v>14</v>
      </c>
      <c r="F4526" s="4">
        <v>6</v>
      </c>
      <c r="G4526" s="2">
        <v>84</v>
      </c>
      <c r="H4526" t="s">
        <v>15</v>
      </c>
      <c r="I4526" t="s">
        <v>16</v>
      </c>
      <c r="J4526" s="1">
        <v>45285</v>
      </c>
      <c r="K4526" t="b">
        <v>1</v>
      </c>
    </row>
    <row r="4527" spans="1:11" x14ac:dyDescent="0.25">
      <c r="A4527" t="s">
        <v>5945</v>
      </c>
      <c r="B4527" t="s">
        <v>63</v>
      </c>
      <c r="C4527" t="s">
        <v>13</v>
      </c>
      <c r="D4527" t="s">
        <v>151</v>
      </c>
      <c r="E4527" s="2">
        <v>14</v>
      </c>
      <c r="F4527" s="4">
        <v>6</v>
      </c>
      <c r="G4527" s="2">
        <v>84</v>
      </c>
      <c r="H4527" t="s">
        <v>45</v>
      </c>
      <c r="I4527" t="s">
        <v>36</v>
      </c>
      <c r="J4527" s="1">
        <v>44898</v>
      </c>
      <c r="K4527" t="b">
        <v>0</v>
      </c>
    </row>
    <row r="4528" spans="1:11" x14ac:dyDescent="0.25">
      <c r="A4528" t="s">
        <v>6950</v>
      </c>
      <c r="B4528" t="s">
        <v>26</v>
      </c>
      <c r="C4528" t="s">
        <v>110</v>
      </c>
      <c r="D4528" t="s">
        <v>176</v>
      </c>
      <c r="E4528" s="2">
        <v>14</v>
      </c>
      <c r="F4528" s="4">
        <v>6</v>
      </c>
      <c r="G4528" s="2">
        <v>84</v>
      </c>
      <c r="H4528" t="s">
        <v>25</v>
      </c>
      <c r="I4528" t="s">
        <v>36</v>
      </c>
      <c r="J4528" s="1">
        <v>45543</v>
      </c>
      <c r="K4528" t="b">
        <v>1</v>
      </c>
    </row>
    <row r="4529" spans="1:11" x14ac:dyDescent="0.25">
      <c r="A4529" t="s">
        <v>2255</v>
      </c>
      <c r="B4529" t="s">
        <v>43</v>
      </c>
      <c r="C4529" t="s">
        <v>27</v>
      </c>
      <c r="D4529" t="s">
        <v>62</v>
      </c>
      <c r="E4529" s="2">
        <v>14</v>
      </c>
      <c r="F4529" s="4">
        <v>6</v>
      </c>
      <c r="G4529" s="2">
        <v>84</v>
      </c>
      <c r="H4529" t="s">
        <v>15</v>
      </c>
      <c r="I4529" t="s">
        <v>16</v>
      </c>
      <c r="J4529" s="1">
        <v>45090</v>
      </c>
      <c r="K4529" t="b">
        <v>0</v>
      </c>
    </row>
    <row r="4530" spans="1:11" x14ac:dyDescent="0.25">
      <c r="A4530" t="s">
        <v>3513</v>
      </c>
      <c r="B4530" t="s">
        <v>18</v>
      </c>
      <c r="C4530" t="s">
        <v>13</v>
      </c>
      <c r="D4530" t="s">
        <v>151</v>
      </c>
      <c r="E4530" s="2">
        <v>14</v>
      </c>
      <c r="F4530" s="4">
        <v>6</v>
      </c>
      <c r="G4530" s="2">
        <v>84</v>
      </c>
      <c r="H4530" t="s">
        <v>25</v>
      </c>
      <c r="I4530" t="s">
        <v>16</v>
      </c>
      <c r="J4530" s="1">
        <v>44701</v>
      </c>
      <c r="K4530" t="b">
        <v>1</v>
      </c>
    </row>
    <row r="4531" spans="1:11" x14ac:dyDescent="0.25">
      <c r="A4531" t="s">
        <v>5678</v>
      </c>
      <c r="B4531" t="s">
        <v>18</v>
      </c>
      <c r="C4531" t="s">
        <v>13</v>
      </c>
      <c r="D4531" t="s">
        <v>151</v>
      </c>
      <c r="E4531" s="2">
        <v>14</v>
      </c>
      <c r="F4531" s="4">
        <v>6</v>
      </c>
      <c r="G4531" s="2">
        <v>84</v>
      </c>
      <c r="H4531" t="s">
        <v>15</v>
      </c>
      <c r="I4531" t="s">
        <v>16</v>
      </c>
      <c r="J4531" s="1">
        <v>44930</v>
      </c>
      <c r="K4531" t="b">
        <v>1</v>
      </c>
    </row>
    <row r="4532" spans="1:11" x14ac:dyDescent="0.25">
      <c r="A4532" t="s">
        <v>2212</v>
      </c>
      <c r="B4532" t="s">
        <v>104</v>
      </c>
      <c r="C4532" t="s">
        <v>19</v>
      </c>
      <c r="D4532" t="s">
        <v>756</v>
      </c>
      <c r="E4532" s="2">
        <v>14</v>
      </c>
      <c r="F4532" s="4">
        <v>6</v>
      </c>
      <c r="G4532" s="2">
        <v>84</v>
      </c>
      <c r="H4532" t="s">
        <v>15</v>
      </c>
      <c r="I4532" t="s">
        <v>36</v>
      </c>
      <c r="J4532" s="1">
        <v>44598</v>
      </c>
      <c r="K4532" t="b">
        <v>1</v>
      </c>
    </row>
    <row r="4533" spans="1:11" x14ac:dyDescent="0.25">
      <c r="A4533" t="s">
        <v>6730</v>
      </c>
      <c r="B4533" t="s">
        <v>97</v>
      </c>
      <c r="C4533" t="s">
        <v>27</v>
      </c>
      <c r="D4533" t="s">
        <v>62</v>
      </c>
      <c r="E4533" s="2">
        <v>14</v>
      </c>
      <c r="F4533" s="4">
        <v>6</v>
      </c>
      <c r="G4533" s="2">
        <v>84</v>
      </c>
      <c r="H4533" t="s">
        <v>25</v>
      </c>
      <c r="I4533" t="s">
        <v>16</v>
      </c>
      <c r="J4533" s="1">
        <v>44660</v>
      </c>
      <c r="K4533" t="b">
        <v>0</v>
      </c>
    </row>
    <row r="4534" spans="1:11" x14ac:dyDescent="0.25">
      <c r="A4534" t="s">
        <v>871</v>
      </c>
      <c r="B4534" t="s">
        <v>26</v>
      </c>
      <c r="C4534" t="s">
        <v>23</v>
      </c>
      <c r="D4534" t="s">
        <v>277</v>
      </c>
      <c r="E4534" s="2">
        <v>14</v>
      </c>
      <c r="F4534" s="4">
        <v>6</v>
      </c>
      <c r="G4534" s="2">
        <v>84</v>
      </c>
      <c r="H4534" t="s">
        <v>25</v>
      </c>
      <c r="I4534" t="s">
        <v>16</v>
      </c>
      <c r="J4534" s="1">
        <v>45223</v>
      </c>
      <c r="K4534" t="b">
        <v>1</v>
      </c>
    </row>
    <row r="4535" spans="1:11" x14ac:dyDescent="0.25">
      <c r="A4535" t="s">
        <v>3789</v>
      </c>
      <c r="B4535" t="s">
        <v>93</v>
      </c>
      <c r="C4535" t="s">
        <v>19</v>
      </c>
      <c r="D4535" t="s">
        <v>756</v>
      </c>
      <c r="E4535" s="2">
        <v>14</v>
      </c>
      <c r="F4535" s="4">
        <v>6</v>
      </c>
      <c r="G4535" s="2">
        <v>84</v>
      </c>
      <c r="H4535" t="s">
        <v>25</v>
      </c>
      <c r="I4535" t="s">
        <v>16</v>
      </c>
      <c r="J4535" s="1">
        <v>44991</v>
      </c>
      <c r="K4535" t="b">
        <v>0</v>
      </c>
    </row>
    <row r="4536" spans="1:11" x14ac:dyDescent="0.25">
      <c r="A4536" t="s">
        <v>7389</v>
      </c>
      <c r="B4536" t="s">
        <v>26</v>
      </c>
      <c r="C4536" t="s">
        <v>13</v>
      </c>
      <c r="D4536" t="s">
        <v>183</v>
      </c>
      <c r="E4536" s="2">
        <v>27.5</v>
      </c>
      <c r="F4536" s="4">
        <v>3</v>
      </c>
      <c r="G4536" s="2">
        <v>82.5</v>
      </c>
      <c r="H4536" t="s">
        <v>45</v>
      </c>
      <c r="I4536" t="s">
        <v>36</v>
      </c>
      <c r="J4536" s="1">
        <v>45024</v>
      </c>
      <c r="K4536" t="b">
        <v>0</v>
      </c>
    </row>
    <row r="4537" spans="1:11" x14ac:dyDescent="0.25">
      <c r="A4537" t="s">
        <v>7683</v>
      </c>
      <c r="B4537" t="s">
        <v>51</v>
      </c>
      <c r="C4537" t="s">
        <v>13</v>
      </c>
      <c r="D4537" t="s">
        <v>183</v>
      </c>
      <c r="E4537" s="2">
        <v>27.5</v>
      </c>
      <c r="F4537" s="4">
        <v>3</v>
      </c>
      <c r="G4537" s="2">
        <v>82.5</v>
      </c>
      <c r="H4537" t="s">
        <v>25</v>
      </c>
      <c r="I4537" t="s">
        <v>36</v>
      </c>
      <c r="J4537" s="1">
        <v>45091</v>
      </c>
      <c r="K4537" t="b">
        <v>0</v>
      </c>
    </row>
    <row r="4538" spans="1:11" x14ac:dyDescent="0.25">
      <c r="A4538" t="s">
        <v>2708</v>
      </c>
      <c r="B4538" t="s">
        <v>85</v>
      </c>
      <c r="C4538" t="s">
        <v>59</v>
      </c>
      <c r="D4538" t="s">
        <v>272</v>
      </c>
      <c r="E4538" s="2">
        <v>27.5</v>
      </c>
      <c r="F4538" s="4">
        <v>3</v>
      </c>
      <c r="G4538" s="2">
        <v>82.5</v>
      </c>
      <c r="H4538" t="s">
        <v>25</v>
      </c>
      <c r="I4538" t="s">
        <v>36</v>
      </c>
      <c r="J4538" s="1">
        <v>45346</v>
      </c>
      <c r="K4538" t="b">
        <v>1</v>
      </c>
    </row>
    <row r="4539" spans="1:11" x14ac:dyDescent="0.25">
      <c r="A4539" t="s">
        <v>3167</v>
      </c>
      <c r="B4539" t="s">
        <v>37</v>
      </c>
      <c r="C4539" t="s">
        <v>19</v>
      </c>
      <c r="D4539" t="s">
        <v>53</v>
      </c>
      <c r="E4539" s="2">
        <v>27.5</v>
      </c>
      <c r="F4539" s="4">
        <v>3</v>
      </c>
      <c r="G4539" s="2">
        <v>82.5</v>
      </c>
      <c r="H4539" t="s">
        <v>45</v>
      </c>
      <c r="I4539" t="s">
        <v>16</v>
      </c>
      <c r="J4539" s="1">
        <v>45106</v>
      </c>
      <c r="K4539" t="b">
        <v>0</v>
      </c>
    </row>
    <row r="4540" spans="1:11" x14ac:dyDescent="0.25">
      <c r="A4540" t="s">
        <v>7162</v>
      </c>
      <c r="B4540" t="s">
        <v>51</v>
      </c>
      <c r="C4540" t="s">
        <v>31</v>
      </c>
      <c r="D4540" t="s">
        <v>1456</v>
      </c>
      <c r="E4540" s="2">
        <v>27.5</v>
      </c>
      <c r="F4540" s="4">
        <v>3</v>
      </c>
      <c r="G4540" s="2">
        <v>82.5</v>
      </c>
      <c r="H4540" t="s">
        <v>15</v>
      </c>
      <c r="I4540" t="s">
        <v>36</v>
      </c>
      <c r="J4540" s="1">
        <v>45365</v>
      </c>
      <c r="K4540" t="b">
        <v>0</v>
      </c>
    </row>
    <row r="4541" spans="1:11" x14ac:dyDescent="0.25">
      <c r="A4541" t="s">
        <v>6299</v>
      </c>
      <c r="B4541" t="s">
        <v>61</v>
      </c>
      <c r="C4541" t="s">
        <v>110</v>
      </c>
      <c r="D4541" t="s">
        <v>111</v>
      </c>
      <c r="E4541" s="2">
        <v>27.5</v>
      </c>
      <c r="F4541" s="4">
        <v>3</v>
      </c>
      <c r="G4541" s="2">
        <v>82.5</v>
      </c>
      <c r="H4541" t="s">
        <v>45</v>
      </c>
      <c r="I4541" t="s">
        <v>36</v>
      </c>
      <c r="J4541" s="1">
        <v>44980</v>
      </c>
      <c r="K4541" t="b">
        <v>0</v>
      </c>
    </row>
    <row r="4542" spans="1:11" x14ac:dyDescent="0.25">
      <c r="A4542" t="s">
        <v>131</v>
      </c>
      <c r="B4542" t="s">
        <v>43</v>
      </c>
      <c r="C4542" t="s">
        <v>19</v>
      </c>
      <c r="D4542" t="s">
        <v>53</v>
      </c>
      <c r="E4542" s="2">
        <v>27.5</v>
      </c>
      <c r="F4542" s="4">
        <v>3</v>
      </c>
      <c r="G4542" s="2">
        <v>82.5</v>
      </c>
      <c r="H4542" t="s">
        <v>15</v>
      </c>
      <c r="I4542" t="s">
        <v>16</v>
      </c>
      <c r="J4542" s="1">
        <v>45603</v>
      </c>
      <c r="K4542" t="b">
        <v>1</v>
      </c>
    </row>
    <row r="4543" spans="1:11" x14ac:dyDescent="0.25">
      <c r="A4543" t="s">
        <v>7501</v>
      </c>
      <c r="B4543" t="s">
        <v>40</v>
      </c>
      <c r="C4543" t="s">
        <v>23</v>
      </c>
      <c r="D4543" t="s">
        <v>115</v>
      </c>
      <c r="E4543" s="2">
        <v>27.5</v>
      </c>
      <c r="F4543" s="4">
        <v>3</v>
      </c>
      <c r="G4543" s="2">
        <v>82.5</v>
      </c>
      <c r="H4543" t="s">
        <v>45</v>
      </c>
      <c r="I4543" t="s">
        <v>36</v>
      </c>
      <c r="J4543" s="1">
        <v>45401</v>
      </c>
      <c r="K4543" t="b">
        <v>1</v>
      </c>
    </row>
    <row r="4544" spans="1:11" x14ac:dyDescent="0.25">
      <c r="A4544" t="s">
        <v>5198</v>
      </c>
      <c r="B4544" t="s">
        <v>69</v>
      </c>
      <c r="C4544" t="s">
        <v>31</v>
      </c>
      <c r="D4544" t="s">
        <v>1456</v>
      </c>
      <c r="E4544" s="2">
        <v>27.5</v>
      </c>
      <c r="F4544" s="4">
        <v>3</v>
      </c>
      <c r="G4544" s="2">
        <v>82.5</v>
      </c>
      <c r="H4544" t="s">
        <v>45</v>
      </c>
      <c r="I4544" t="s">
        <v>16</v>
      </c>
      <c r="J4544" s="1">
        <v>45417</v>
      </c>
      <c r="K4544" t="b">
        <v>0</v>
      </c>
    </row>
    <row r="4545" spans="1:11" x14ac:dyDescent="0.25">
      <c r="A4545" t="s">
        <v>6090</v>
      </c>
      <c r="B4545" t="s">
        <v>40</v>
      </c>
      <c r="C4545" t="s">
        <v>19</v>
      </c>
      <c r="D4545" t="s">
        <v>53</v>
      </c>
      <c r="E4545" s="2">
        <v>27.5</v>
      </c>
      <c r="F4545" s="4">
        <v>3</v>
      </c>
      <c r="G4545" s="2">
        <v>82.5</v>
      </c>
      <c r="H4545" t="s">
        <v>15</v>
      </c>
      <c r="I4545" t="s">
        <v>16</v>
      </c>
      <c r="J4545" s="1">
        <v>45066</v>
      </c>
      <c r="K4545" t="b">
        <v>1</v>
      </c>
    </row>
    <row r="4546" spans="1:11" x14ac:dyDescent="0.25">
      <c r="A4546" t="s">
        <v>6004</v>
      </c>
      <c r="B4546" t="s">
        <v>26</v>
      </c>
      <c r="C4546" t="s">
        <v>110</v>
      </c>
      <c r="D4546" t="s">
        <v>111</v>
      </c>
      <c r="E4546" s="2">
        <v>27.5</v>
      </c>
      <c r="F4546" s="4">
        <v>3</v>
      </c>
      <c r="G4546" s="2">
        <v>82.5</v>
      </c>
      <c r="H4546" t="s">
        <v>25</v>
      </c>
      <c r="I4546" t="s">
        <v>36</v>
      </c>
      <c r="J4546" s="1">
        <v>45508</v>
      </c>
      <c r="K4546" t="b">
        <v>0</v>
      </c>
    </row>
    <row r="4547" spans="1:11" x14ac:dyDescent="0.25">
      <c r="A4547" t="s">
        <v>5185</v>
      </c>
      <c r="B4547" t="s">
        <v>93</v>
      </c>
      <c r="C4547" t="s">
        <v>19</v>
      </c>
      <c r="D4547" t="s">
        <v>53</v>
      </c>
      <c r="E4547" s="2">
        <v>27.5</v>
      </c>
      <c r="F4547" s="4">
        <v>3</v>
      </c>
      <c r="G4547" s="2">
        <v>82.5</v>
      </c>
      <c r="H4547" t="s">
        <v>45</v>
      </c>
      <c r="I4547" t="s">
        <v>16</v>
      </c>
      <c r="J4547" s="1">
        <v>45162</v>
      </c>
      <c r="K4547" t="b">
        <v>1</v>
      </c>
    </row>
    <row r="4548" spans="1:11" x14ac:dyDescent="0.25">
      <c r="A4548" t="s">
        <v>6231</v>
      </c>
      <c r="B4548" t="s">
        <v>40</v>
      </c>
      <c r="C4548" t="s">
        <v>19</v>
      </c>
      <c r="D4548" t="s">
        <v>53</v>
      </c>
      <c r="E4548" s="2">
        <v>27.5</v>
      </c>
      <c r="F4548" s="4">
        <v>3</v>
      </c>
      <c r="G4548" s="2">
        <v>82.5</v>
      </c>
      <c r="H4548" t="s">
        <v>45</v>
      </c>
      <c r="I4548" t="s">
        <v>16</v>
      </c>
      <c r="J4548" s="1">
        <v>45151</v>
      </c>
      <c r="K4548" t="b">
        <v>1</v>
      </c>
    </row>
    <row r="4549" spans="1:11" x14ac:dyDescent="0.25">
      <c r="A4549" t="s">
        <v>5442</v>
      </c>
      <c r="B4549" t="s">
        <v>104</v>
      </c>
      <c r="C4549" t="s">
        <v>31</v>
      </c>
      <c r="D4549" t="s">
        <v>1456</v>
      </c>
      <c r="E4549" s="2">
        <v>27.5</v>
      </c>
      <c r="F4549" s="4">
        <v>3</v>
      </c>
      <c r="G4549" s="2">
        <v>82.5</v>
      </c>
      <c r="H4549" t="s">
        <v>25</v>
      </c>
      <c r="I4549" t="s">
        <v>36</v>
      </c>
      <c r="J4549" s="1">
        <v>44859</v>
      </c>
      <c r="K4549" t="b">
        <v>1</v>
      </c>
    </row>
    <row r="4550" spans="1:11" x14ac:dyDescent="0.25">
      <c r="A4550" t="s">
        <v>3433</v>
      </c>
      <c r="B4550" t="s">
        <v>69</v>
      </c>
      <c r="C4550" t="s">
        <v>19</v>
      </c>
      <c r="D4550" t="s">
        <v>53</v>
      </c>
      <c r="E4550" s="2">
        <v>27.5</v>
      </c>
      <c r="F4550" s="4">
        <v>3</v>
      </c>
      <c r="G4550" s="2">
        <v>82.5</v>
      </c>
      <c r="H4550" t="s">
        <v>15</v>
      </c>
      <c r="I4550" t="s">
        <v>16</v>
      </c>
      <c r="J4550" s="1">
        <v>44950</v>
      </c>
      <c r="K4550" t="b">
        <v>0</v>
      </c>
    </row>
    <row r="4551" spans="1:11" x14ac:dyDescent="0.25">
      <c r="A4551" t="s">
        <v>901</v>
      </c>
      <c r="B4551" t="s">
        <v>93</v>
      </c>
      <c r="C4551" t="s">
        <v>19</v>
      </c>
      <c r="D4551" t="s">
        <v>53</v>
      </c>
      <c r="E4551" s="2">
        <v>27.5</v>
      </c>
      <c r="F4551" s="4">
        <v>3</v>
      </c>
      <c r="G4551" s="2">
        <v>82.5</v>
      </c>
      <c r="H4551" t="s">
        <v>15</v>
      </c>
      <c r="I4551" t="s">
        <v>36</v>
      </c>
      <c r="J4551" s="1">
        <v>44903</v>
      </c>
      <c r="K4551" t="b">
        <v>0</v>
      </c>
    </row>
    <row r="4552" spans="1:11" x14ac:dyDescent="0.25">
      <c r="A4552" t="s">
        <v>6265</v>
      </c>
      <c r="B4552" t="s">
        <v>100</v>
      </c>
      <c r="C4552" t="s">
        <v>23</v>
      </c>
      <c r="D4552" t="s">
        <v>115</v>
      </c>
      <c r="E4552" s="2">
        <v>27.5</v>
      </c>
      <c r="F4552" s="4">
        <v>3</v>
      </c>
      <c r="G4552" s="2">
        <v>82.5</v>
      </c>
      <c r="H4552" t="s">
        <v>25</v>
      </c>
      <c r="I4552" t="s">
        <v>36</v>
      </c>
      <c r="J4552" s="1">
        <v>45541</v>
      </c>
      <c r="K4552" t="b">
        <v>1</v>
      </c>
    </row>
    <row r="4553" spans="1:11" x14ac:dyDescent="0.25">
      <c r="A4553" t="s">
        <v>2755</v>
      </c>
      <c r="B4553" t="s">
        <v>40</v>
      </c>
      <c r="C4553" t="s">
        <v>13</v>
      </c>
      <c r="D4553" t="s">
        <v>183</v>
      </c>
      <c r="E4553" s="2">
        <v>27.5</v>
      </c>
      <c r="F4553" s="4">
        <v>3</v>
      </c>
      <c r="G4553" s="2">
        <v>82.5</v>
      </c>
      <c r="H4553" t="s">
        <v>45</v>
      </c>
      <c r="I4553" t="s">
        <v>16</v>
      </c>
      <c r="J4553" s="1">
        <v>44630</v>
      </c>
      <c r="K4553" t="b">
        <v>1</v>
      </c>
    </row>
    <row r="4554" spans="1:11" x14ac:dyDescent="0.25">
      <c r="A4554" t="s">
        <v>6695</v>
      </c>
      <c r="B4554" t="s">
        <v>51</v>
      </c>
      <c r="C4554" t="s">
        <v>27</v>
      </c>
      <c r="D4554" t="s">
        <v>28</v>
      </c>
      <c r="E4554" s="2">
        <v>27.5</v>
      </c>
      <c r="F4554" s="4">
        <v>3</v>
      </c>
      <c r="G4554" s="2">
        <v>82.5</v>
      </c>
      <c r="H4554" t="s">
        <v>45</v>
      </c>
      <c r="I4554" t="s">
        <v>36</v>
      </c>
      <c r="J4554" s="1">
        <v>45244</v>
      </c>
      <c r="K4554" t="b">
        <v>1</v>
      </c>
    </row>
    <row r="4555" spans="1:11" x14ac:dyDescent="0.25">
      <c r="A4555" t="s">
        <v>6326</v>
      </c>
      <c r="B4555" t="s">
        <v>37</v>
      </c>
      <c r="C4555" t="s">
        <v>19</v>
      </c>
      <c r="D4555" t="s">
        <v>53</v>
      </c>
      <c r="E4555" s="2">
        <v>27.5</v>
      </c>
      <c r="F4555" s="4">
        <v>3</v>
      </c>
      <c r="G4555" s="2">
        <v>82.5</v>
      </c>
      <c r="H4555" t="s">
        <v>15</v>
      </c>
      <c r="I4555" t="s">
        <v>36</v>
      </c>
      <c r="J4555" s="1">
        <v>45567</v>
      </c>
      <c r="K4555" t="b">
        <v>1</v>
      </c>
    </row>
    <row r="4556" spans="1:11" x14ac:dyDescent="0.25">
      <c r="A4556" t="s">
        <v>5112</v>
      </c>
      <c r="B4556" t="s">
        <v>86</v>
      </c>
      <c r="C4556" t="s">
        <v>23</v>
      </c>
      <c r="D4556" t="s">
        <v>115</v>
      </c>
      <c r="E4556" s="2">
        <v>27.5</v>
      </c>
      <c r="F4556" s="4">
        <v>3</v>
      </c>
      <c r="G4556" s="2">
        <v>82.5</v>
      </c>
      <c r="H4556" t="s">
        <v>45</v>
      </c>
      <c r="I4556" t="s">
        <v>16</v>
      </c>
      <c r="J4556" s="1">
        <v>44654</v>
      </c>
      <c r="K4556" t="b">
        <v>1</v>
      </c>
    </row>
    <row r="4557" spans="1:11" x14ac:dyDescent="0.25">
      <c r="A4557" t="s">
        <v>4233</v>
      </c>
      <c r="B4557" t="s">
        <v>100</v>
      </c>
      <c r="C4557" t="s">
        <v>19</v>
      </c>
      <c r="D4557" t="s">
        <v>53</v>
      </c>
      <c r="E4557" s="2">
        <v>27.5</v>
      </c>
      <c r="F4557" s="4">
        <v>3</v>
      </c>
      <c r="G4557" s="2">
        <v>82.5</v>
      </c>
      <c r="H4557" t="s">
        <v>15</v>
      </c>
      <c r="I4557" t="s">
        <v>16</v>
      </c>
      <c r="J4557" s="1">
        <v>45229</v>
      </c>
      <c r="K4557" t="b">
        <v>1</v>
      </c>
    </row>
    <row r="4558" spans="1:11" x14ac:dyDescent="0.25">
      <c r="A4558" t="s">
        <v>3632</v>
      </c>
      <c r="B4558" t="s">
        <v>104</v>
      </c>
      <c r="C4558" t="s">
        <v>23</v>
      </c>
      <c r="D4558" t="s">
        <v>115</v>
      </c>
      <c r="E4558" s="2">
        <v>27.5</v>
      </c>
      <c r="F4558" s="4">
        <v>3</v>
      </c>
      <c r="G4558" s="2">
        <v>82.5</v>
      </c>
      <c r="H4558" t="s">
        <v>45</v>
      </c>
      <c r="I4558" t="s">
        <v>36</v>
      </c>
      <c r="J4558" s="1">
        <v>45500</v>
      </c>
      <c r="K4558" t="b">
        <v>0</v>
      </c>
    </row>
    <row r="4559" spans="1:11" x14ac:dyDescent="0.25">
      <c r="A4559" t="s">
        <v>4749</v>
      </c>
      <c r="B4559" t="s">
        <v>104</v>
      </c>
      <c r="C4559" t="s">
        <v>19</v>
      </c>
      <c r="D4559" t="s">
        <v>53</v>
      </c>
      <c r="E4559" s="2">
        <v>27.5</v>
      </c>
      <c r="F4559" s="4">
        <v>3</v>
      </c>
      <c r="G4559" s="2">
        <v>82.5</v>
      </c>
      <c r="H4559" t="s">
        <v>45</v>
      </c>
      <c r="I4559" t="s">
        <v>36</v>
      </c>
      <c r="J4559" s="1">
        <v>45288</v>
      </c>
      <c r="K4559" t="b">
        <v>1</v>
      </c>
    </row>
    <row r="4560" spans="1:11" x14ac:dyDescent="0.25">
      <c r="A4560" t="s">
        <v>6629</v>
      </c>
      <c r="B4560" t="s">
        <v>12</v>
      </c>
      <c r="C4560" t="s">
        <v>27</v>
      </c>
      <c r="D4560" t="s">
        <v>28</v>
      </c>
      <c r="E4560" s="2">
        <v>27.5</v>
      </c>
      <c r="F4560" s="4">
        <v>3</v>
      </c>
      <c r="G4560" s="2">
        <v>82.5</v>
      </c>
      <c r="H4560" t="s">
        <v>45</v>
      </c>
      <c r="I4560" t="s">
        <v>16</v>
      </c>
      <c r="J4560" s="1">
        <v>45138</v>
      </c>
      <c r="K4560" t="b">
        <v>1</v>
      </c>
    </row>
    <row r="4561" spans="1:11" x14ac:dyDescent="0.25">
      <c r="A4561" t="s">
        <v>1421</v>
      </c>
      <c r="B4561" t="s">
        <v>56</v>
      </c>
      <c r="C4561" t="s">
        <v>27</v>
      </c>
      <c r="D4561" t="s">
        <v>28</v>
      </c>
      <c r="E4561" s="2">
        <v>27.5</v>
      </c>
      <c r="F4561" s="4">
        <v>3</v>
      </c>
      <c r="G4561" s="2">
        <v>82.5</v>
      </c>
      <c r="H4561" t="s">
        <v>45</v>
      </c>
      <c r="I4561" t="s">
        <v>16</v>
      </c>
      <c r="J4561" s="1">
        <v>45180</v>
      </c>
      <c r="K4561" t="b">
        <v>0</v>
      </c>
    </row>
    <row r="4562" spans="1:11" x14ac:dyDescent="0.25">
      <c r="A4562" t="s">
        <v>4586</v>
      </c>
      <c r="B4562" t="s">
        <v>30</v>
      </c>
      <c r="C4562" t="s">
        <v>19</v>
      </c>
      <c r="D4562" t="s">
        <v>53</v>
      </c>
      <c r="E4562" s="2">
        <v>27.5</v>
      </c>
      <c r="F4562" s="4">
        <v>3</v>
      </c>
      <c r="G4562" s="2">
        <v>82.5</v>
      </c>
      <c r="H4562" t="s">
        <v>15</v>
      </c>
      <c r="I4562" t="s">
        <v>36</v>
      </c>
      <c r="J4562" s="1">
        <v>44936</v>
      </c>
      <c r="K4562" t="b">
        <v>0</v>
      </c>
    </row>
    <row r="4563" spans="1:11" x14ac:dyDescent="0.25">
      <c r="A4563" t="s">
        <v>3097</v>
      </c>
      <c r="B4563" t="s">
        <v>93</v>
      </c>
      <c r="C4563" t="s">
        <v>59</v>
      </c>
      <c r="D4563" t="s">
        <v>272</v>
      </c>
      <c r="E4563" s="2">
        <v>27.5</v>
      </c>
      <c r="F4563" s="4">
        <v>3</v>
      </c>
      <c r="G4563" s="2">
        <v>82.5</v>
      </c>
      <c r="H4563" t="s">
        <v>25</v>
      </c>
      <c r="I4563" t="s">
        <v>16</v>
      </c>
      <c r="J4563" s="1">
        <v>44656</v>
      </c>
      <c r="K4563" t="b">
        <v>1</v>
      </c>
    </row>
    <row r="4564" spans="1:11" x14ac:dyDescent="0.25">
      <c r="A4564" t="s">
        <v>5857</v>
      </c>
      <c r="B4564" t="s">
        <v>43</v>
      </c>
      <c r="C4564" t="s">
        <v>23</v>
      </c>
      <c r="D4564" t="s">
        <v>115</v>
      </c>
      <c r="E4564" s="2">
        <v>27.5</v>
      </c>
      <c r="F4564" s="4">
        <v>3</v>
      </c>
      <c r="G4564" s="2">
        <v>82.5</v>
      </c>
      <c r="H4564" t="s">
        <v>45</v>
      </c>
      <c r="I4564" t="s">
        <v>36</v>
      </c>
      <c r="J4564" s="1">
        <v>45563</v>
      </c>
      <c r="K4564" t="b">
        <v>1</v>
      </c>
    </row>
    <row r="4565" spans="1:11" x14ac:dyDescent="0.25">
      <c r="A4565" t="s">
        <v>6267</v>
      </c>
      <c r="B4565" t="s">
        <v>34</v>
      </c>
      <c r="C4565" t="s">
        <v>27</v>
      </c>
      <c r="D4565" t="s">
        <v>28</v>
      </c>
      <c r="E4565" s="2">
        <v>27.5</v>
      </c>
      <c r="F4565" s="4">
        <v>3</v>
      </c>
      <c r="G4565" s="2">
        <v>82.5</v>
      </c>
      <c r="H4565" t="s">
        <v>15</v>
      </c>
      <c r="I4565" t="s">
        <v>16</v>
      </c>
      <c r="J4565" s="1">
        <v>45366</v>
      </c>
      <c r="K4565" t="b">
        <v>1</v>
      </c>
    </row>
    <row r="4566" spans="1:11" x14ac:dyDescent="0.25">
      <c r="A4566" t="s">
        <v>7382</v>
      </c>
      <c r="B4566" t="s">
        <v>86</v>
      </c>
      <c r="C4566" t="s">
        <v>110</v>
      </c>
      <c r="D4566" t="s">
        <v>111</v>
      </c>
      <c r="E4566" s="2">
        <v>27.5</v>
      </c>
      <c r="F4566" s="4">
        <v>3</v>
      </c>
      <c r="G4566" s="2">
        <v>82.5</v>
      </c>
      <c r="H4566" t="s">
        <v>45</v>
      </c>
      <c r="I4566" t="s">
        <v>36</v>
      </c>
      <c r="J4566" s="1">
        <v>45201</v>
      </c>
      <c r="K4566" t="b">
        <v>0</v>
      </c>
    </row>
    <row r="4567" spans="1:11" x14ac:dyDescent="0.25">
      <c r="A4567" t="s">
        <v>6247</v>
      </c>
      <c r="B4567" t="s">
        <v>26</v>
      </c>
      <c r="C4567" t="s">
        <v>110</v>
      </c>
      <c r="D4567" t="s">
        <v>185</v>
      </c>
      <c r="E4567" s="2">
        <v>41</v>
      </c>
      <c r="F4567" s="4">
        <v>2</v>
      </c>
      <c r="G4567" s="2">
        <v>82</v>
      </c>
      <c r="H4567" t="s">
        <v>15</v>
      </c>
      <c r="I4567" t="s">
        <v>36</v>
      </c>
      <c r="J4567" s="1">
        <v>45039</v>
      </c>
      <c r="K4567" t="b">
        <v>0</v>
      </c>
    </row>
    <row r="4568" spans="1:11" x14ac:dyDescent="0.25">
      <c r="A4568" t="s">
        <v>7538</v>
      </c>
      <c r="B4568" t="s">
        <v>97</v>
      </c>
      <c r="C4568" t="s">
        <v>59</v>
      </c>
      <c r="D4568" t="s">
        <v>325</v>
      </c>
      <c r="E4568" s="2">
        <v>41</v>
      </c>
      <c r="F4568" s="4">
        <v>2</v>
      </c>
      <c r="G4568" s="2">
        <v>82</v>
      </c>
      <c r="H4568" t="s">
        <v>15</v>
      </c>
      <c r="I4568" t="s">
        <v>36</v>
      </c>
      <c r="J4568" s="1">
        <v>45501</v>
      </c>
      <c r="K4568" t="b">
        <v>0</v>
      </c>
    </row>
    <row r="4569" spans="1:11" x14ac:dyDescent="0.25">
      <c r="A4569" t="s">
        <v>2571</v>
      </c>
      <c r="B4569" t="s">
        <v>77</v>
      </c>
      <c r="C4569" t="s">
        <v>31</v>
      </c>
      <c r="D4569" t="s">
        <v>286</v>
      </c>
      <c r="E4569" s="2">
        <v>41</v>
      </c>
      <c r="F4569" s="4">
        <v>2</v>
      </c>
      <c r="G4569" s="2">
        <v>82</v>
      </c>
      <c r="H4569" t="s">
        <v>45</v>
      </c>
      <c r="I4569" t="s">
        <v>16</v>
      </c>
      <c r="J4569" s="1">
        <v>44734</v>
      </c>
      <c r="K4569" t="b">
        <v>1</v>
      </c>
    </row>
    <row r="4570" spans="1:11" x14ac:dyDescent="0.25">
      <c r="A4570" t="s">
        <v>793</v>
      </c>
      <c r="B4570" t="s">
        <v>30</v>
      </c>
      <c r="C4570" t="s">
        <v>38</v>
      </c>
      <c r="D4570" t="s">
        <v>75</v>
      </c>
      <c r="E4570" s="2">
        <v>41</v>
      </c>
      <c r="F4570" s="4">
        <v>2</v>
      </c>
      <c r="G4570" s="2">
        <v>82</v>
      </c>
      <c r="H4570" t="s">
        <v>45</v>
      </c>
      <c r="I4570" t="s">
        <v>36</v>
      </c>
      <c r="J4570" s="1">
        <v>44985</v>
      </c>
      <c r="K4570" t="b">
        <v>1</v>
      </c>
    </row>
    <row r="4571" spans="1:11" x14ac:dyDescent="0.25">
      <c r="A4571" t="s">
        <v>1891</v>
      </c>
      <c r="B4571" t="s">
        <v>37</v>
      </c>
      <c r="C4571" t="s">
        <v>13</v>
      </c>
      <c r="D4571" t="s">
        <v>161</v>
      </c>
      <c r="E4571" s="2">
        <v>41</v>
      </c>
      <c r="F4571" s="4">
        <v>2</v>
      </c>
      <c r="G4571" s="2">
        <v>82</v>
      </c>
      <c r="H4571" t="s">
        <v>15</v>
      </c>
      <c r="I4571" t="s">
        <v>36</v>
      </c>
      <c r="J4571" s="1">
        <v>45132</v>
      </c>
      <c r="K4571" t="b">
        <v>1</v>
      </c>
    </row>
    <row r="4572" spans="1:11" x14ac:dyDescent="0.25">
      <c r="A4572" t="s">
        <v>6586</v>
      </c>
      <c r="B4572" t="s">
        <v>100</v>
      </c>
      <c r="C4572" t="s">
        <v>59</v>
      </c>
      <c r="D4572" t="s">
        <v>325</v>
      </c>
      <c r="E4572" s="2">
        <v>41</v>
      </c>
      <c r="F4572" s="4">
        <v>2</v>
      </c>
      <c r="G4572" s="2">
        <v>82</v>
      </c>
      <c r="H4572" t="s">
        <v>45</v>
      </c>
      <c r="I4572" t="s">
        <v>16</v>
      </c>
      <c r="J4572" s="1">
        <v>45143</v>
      </c>
      <c r="K4572" t="b">
        <v>1</v>
      </c>
    </row>
    <row r="4573" spans="1:11" x14ac:dyDescent="0.25">
      <c r="A4573" t="s">
        <v>6550</v>
      </c>
      <c r="B4573" t="s">
        <v>56</v>
      </c>
      <c r="C4573" t="s">
        <v>27</v>
      </c>
      <c r="D4573" t="s">
        <v>89</v>
      </c>
      <c r="E4573" s="2">
        <v>41</v>
      </c>
      <c r="F4573" s="4">
        <v>2</v>
      </c>
      <c r="G4573" s="2">
        <v>82</v>
      </c>
      <c r="H4573" t="s">
        <v>45</v>
      </c>
      <c r="I4573" t="s">
        <v>16</v>
      </c>
      <c r="J4573" s="1">
        <v>44685</v>
      </c>
      <c r="K4573" t="b">
        <v>0</v>
      </c>
    </row>
    <row r="4574" spans="1:11" x14ac:dyDescent="0.25">
      <c r="A4574" t="s">
        <v>4155</v>
      </c>
      <c r="B4574" t="s">
        <v>85</v>
      </c>
      <c r="C4574" t="s">
        <v>27</v>
      </c>
      <c r="D4574" t="s">
        <v>89</v>
      </c>
      <c r="E4574" s="2">
        <v>41</v>
      </c>
      <c r="F4574" s="4">
        <v>2</v>
      </c>
      <c r="G4574" s="2">
        <v>82</v>
      </c>
      <c r="H4574" t="s">
        <v>45</v>
      </c>
      <c r="I4574" t="s">
        <v>36</v>
      </c>
      <c r="J4574" s="1">
        <v>45084</v>
      </c>
      <c r="K4574" t="b">
        <v>1</v>
      </c>
    </row>
    <row r="4575" spans="1:11" x14ac:dyDescent="0.25">
      <c r="A4575" t="s">
        <v>6849</v>
      </c>
      <c r="B4575" t="s">
        <v>40</v>
      </c>
      <c r="C4575" t="s">
        <v>59</v>
      </c>
      <c r="D4575" t="s">
        <v>325</v>
      </c>
      <c r="E4575" s="2">
        <v>41</v>
      </c>
      <c r="F4575" s="4">
        <v>2</v>
      </c>
      <c r="G4575" s="2">
        <v>82</v>
      </c>
      <c r="H4575" t="s">
        <v>25</v>
      </c>
      <c r="I4575" t="s">
        <v>16</v>
      </c>
      <c r="J4575" s="1">
        <v>45308</v>
      </c>
      <c r="K4575" t="b">
        <v>1</v>
      </c>
    </row>
    <row r="4576" spans="1:11" x14ac:dyDescent="0.25">
      <c r="A4576" t="s">
        <v>6774</v>
      </c>
      <c r="B4576" t="s">
        <v>18</v>
      </c>
      <c r="C4576" t="s">
        <v>59</v>
      </c>
      <c r="D4576" t="s">
        <v>325</v>
      </c>
      <c r="E4576" s="2">
        <v>41</v>
      </c>
      <c r="F4576" s="4">
        <v>2</v>
      </c>
      <c r="G4576" s="2">
        <v>82</v>
      </c>
      <c r="H4576" t="s">
        <v>15</v>
      </c>
      <c r="I4576" t="s">
        <v>16</v>
      </c>
      <c r="J4576" s="1">
        <v>45025</v>
      </c>
      <c r="K4576" t="b">
        <v>0</v>
      </c>
    </row>
    <row r="4577" spans="1:11" x14ac:dyDescent="0.25">
      <c r="A4577" t="s">
        <v>1231</v>
      </c>
      <c r="B4577" t="s">
        <v>142</v>
      </c>
      <c r="C4577" t="s">
        <v>23</v>
      </c>
      <c r="D4577" t="s">
        <v>302</v>
      </c>
      <c r="E4577" s="2">
        <v>41</v>
      </c>
      <c r="F4577" s="4">
        <v>2</v>
      </c>
      <c r="G4577" s="2">
        <v>82</v>
      </c>
      <c r="H4577" t="s">
        <v>45</v>
      </c>
      <c r="I4577" t="s">
        <v>16</v>
      </c>
      <c r="J4577" s="1">
        <v>44696</v>
      </c>
      <c r="K4577" t="b">
        <v>1</v>
      </c>
    </row>
    <row r="4578" spans="1:11" x14ac:dyDescent="0.25">
      <c r="A4578" t="s">
        <v>6970</v>
      </c>
      <c r="B4578" t="s">
        <v>97</v>
      </c>
      <c r="C4578" t="s">
        <v>27</v>
      </c>
      <c r="D4578" t="s">
        <v>89</v>
      </c>
      <c r="E4578" s="2">
        <v>41</v>
      </c>
      <c r="F4578" s="4">
        <v>2</v>
      </c>
      <c r="G4578" s="2">
        <v>82</v>
      </c>
      <c r="H4578" t="s">
        <v>15</v>
      </c>
      <c r="I4578" t="s">
        <v>16</v>
      </c>
      <c r="J4578" s="1">
        <v>45581</v>
      </c>
      <c r="K4578" t="b">
        <v>1</v>
      </c>
    </row>
    <row r="4579" spans="1:11" x14ac:dyDescent="0.25">
      <c r="A4579" t="s">
        <v>3884</v>
      </c>
      <c r="B4579" t="s">
        <v>43</v>
      </c>
      <c r="C4579" t="s">
        <v>27</v>
      </c>
      <c r="D4579" t="s">
        <v>89</v>
      </c>
      <c r="E4579" s="2">
        <v>41</v>
      </c>
      <c r="F4579" s="4">
        <v>2</v>
      </c>
      <c r="G4579" s="2">
        <v>82</v>
      </c>
      <c r="H4579" t="s">
        <v>25</v>
      </c>
      <c r="I4579" t="s">
        <v>36</v>
      </c>
      <c r="J4579" s="1">
        <v>44800</v>
      </c>
      <c r="K4579" t="b">
        <v>1</v>
      </c>
    </row>
    <row r="4580" spans="1:11" x14ac:dyDescent="0.25">
      <c r="A4580" t="s">
        <v>6357</v>
      </c>
      <c r="B4580" t="s">
        <v>61</v>
      </c>
      <c r="C4580" t="s">
        <v>31</v>
      </c>
      <c r="D4580" t="s">
        <v>286</v>
      </c>
      <c r="E4580" s="2">
        <v>41</v>
      </c>
      <c r="F4580" s="4">
        <v>2</v>
      </c>
      <c r="G4580" s="2">
        <v>82</v>
      </c>
      <c r="H4580" t="s">
        <v>45</v>
      </c>
      <c r="I4580" t="s">
        <v>16</v>
      </c>
      <c r="J4580" s="1">
        <v>44981</v>
      </c>
      <c r="K4580" t="b">
        <v>1</v>
      </c>
    </row>
    <row r="4581" spans="1:11" x14ac:dyDescent="0.25">
      <c r="A4581" t="s">
        <v>160</v>
      </c>
      <c r="B4581" t="s">
        <v>66</v>
      </c>
      <c r="C4581" t="s">
        <v>13</v>
      </c>
      <c r="D4581" t="s">
        <v>161</v>
      </c>
      <c r="E4581" s="2">
        <v>41</v>
      </c>
      <c r="F4581" s="4">
        <v>2</v>
      </c>
      <c r="G4581" s="2">
        <v>82</v>
      </c>
      <c r="H4581" t="s">
        <v>25</v>
      </c>
      <c r="I4581" t="s">
        <v>16</v>
      </c>
      <c r="J4581" s="1">
        <v>45113</v>
      </c>
      <c r="K4581" t="b">
        <v>1</v>
      </c>
    </row>
    <row r="4582" spans="1:11" x14ac:dyDescent="0.25">
      <c r="A4582" t="s">
        <v>7496</v>
      </c>
      <c r="B4582" t="s">
        <v>104</v>
      </c>
      <c r="C4582" t="s">
        <v>23</v>
      </c>
      <c r="D4582" t="s">
        <v>302</v>
      </c>
      <c r="E4582" s="2">
        <v>41</v>
      </c>
      <c r="F4582" s="4">
        <v>2</v>
      </c>
      <c r="G4582" s="2">
        <v>82</v>
      </c>
      <c r="H4582" t="s">
        <v>15</v>
      </c>
      <c r="I4582" t="s">
        <v>16</v>
      </c>
      <c r="J4582" s="1">
        <v>44752</v>
      </c>
      <c r="K4582" t="b">
        <v>1</v>
      </c>
    </row>
    <row r="4583" spans="1:11" x14ac:dyDescent="0.25">
      <c r="A4583" t="s">
        <v>2900</v>
      </c>
      <c r="B4583" t="s">
        <v>22</v>
      </c>
      <c r="C4583" t="s">
        <v>59</v>
      </c>
      <c r="D4583" t="s">
        <v>325</v>
      </c>
      <c r="E4583" s="2">
        <v>41</v>
      </c>
      <c r="F4583" s="4">
        <v>2</v>
      </c>
      <c r="G4583" s="2">
        <v>82</v>
      </c>
      <c r="H4583" t="s">
        <v>25</v>
      </c>
      <c r="I4583" t="s">
        <v>36</v>
      </c>
      <c r="J4583" s="1">
        <v>45452</v>
      </c>
      <c r="K4583" t="b">
        <v>1</v>
      </c>
    </row>
    <row r="4584" spans="1:11" x14ac:dyDescent="0.25">
      <c r="A4584" t="s">
        <v>2842</v>
      </c>
      <c r="B4584" t="s">
        <v>66</v>
      </c>
      <c r="C4584" t="s">
        <v>27</v>
      </c>
      <c r="D4584" t="s">
        <v>89</v>
      </c>
      <c r="E4584" s="2">
        <v>41</v>
      </c>
      <c r="F4584" s="4">
        <v>2</v>
      </c>
      <c r="G4584" s="2">
        <v>82</v>
      </c>
      <c r="H4584" t="s">
        <v>15</v>
      </c>
      <c r="I4584" t="s">
        <v>36</v>
      </c>
      <c r="J4584" s="1">
        <v>44563</v>
      </c>
      <c r="K4584" t="b">
        <v>1</v>
      </c>
    </row>
    <row r="4585" spans="1:11" x14ac:dyDescent="0.25">
      <c r="A4585" t="s">
        <v>1683</v>
      </c>
      <c r="B4585" t="s">
        <v>12</v>
      </c>
      <c r="C4585" t="s">
        <v>59</v>
      </c>
      <c r="D4585" t="s">
        <v>325</v>
      </c>
      <c r="E4585" s="2">
        <v>41</v>
      </c>
      <c r="F4585" s="4">
        <v>2</v>
      </c>
      <c r="G4585" s="2">
        <v>82</v>
      </c>
      <c r="H4585" t="s">
        <v>15</v>
      </c>
      <c r="I4585" t="s">
        <v>16</v>
      </c>
      <c r="J4585" s="1">
        <v>44741</v>
      </c>
      <c r="K4585" t="b">
        <v>1</v>
      </c>
    </row>
    <row r="4586" spans="1:11" x14ac:dyDescent="0.25">
      <c r="A4586" t="s">
        <v>7054</v>
      </c>
      <c r="B4586" t="s">
        <v>61</v>
      </c>
      <c r="C4586" t="s">
        <v>31</v>
      </c>
      <c r="D4586" t="s">
        <v>286</v>
      </c>
      <c r="E4586" s="2">
        <v>41</v>
      </c>
      <c r="F4586" s="4">
        <v>2</v>
      </c>
      <c r="G4586" s="2">
        <v>82</v>
      </c>
      <c r="H4586" t="s">
        <v>25</v>
      </c>
      <c r="I4586" t="s">
        <v>36</v>
      </c>
      <c r="J4586" s="1">
        <v>44673</v>
      </c>
      <c r="K4586" t="b">
        <v>1</v>
      </c>
    </row>
    <row r="4587" spans="1:11" x14ac:dyDescent="0.25">
      <c r="A4587" t="s">
        <v>4717</v>
      </c>
      <c r="B4587" t="s">
        <v>34</v>
      </c>
      <c r="C4587" t="s">
        <v>38</v>
      </c>
      <c r="D4587" t="s">
        <v>75</v>
      </c>
      <c r="E4587" s="2">
        <v>41</v>
      </c>
      <c r="F4587" s="4">
        <v>2</v>
      </c>
      <c r="G4587" s="2">
        <v>82</v>
      </c>
      <c r="H4587" t="s">
        <v>15</v>
      </c>
      <c r="I4587" t="s">
        <v>36</v>
      </c>
      <c r="J4587" s="1">
        <v>45114</v>
      </c>
      <c r="K4587" t="b">
        <v>1</v>
      </c>
    </row>
    <row r="4588" spans="1:11" x14ac:dyDescent="0.25">
      <c r="A4588" t="s">
        <v>1101</v>
      </c>
      <c r="B4588" t="s">
        <v>37</v>
      </c>
      <c r="C4588" t="s">
        <v>13</v>
      </c>
      <c r="D4588" t="s">
        <v>161</v>
      </c>
      <c r="E4588" s="2">
        <v>41</v>
      </c>
      <c r="F4588" s="4">
        <v>2</v>
      </c>
      <c r="G4588" s="2">
        <v>82</v>
      </c>
      <c r="H4588" t="s">
        <v>25</v>
      </c>
      <c r="I4588" t="s">
        <v>36</v>
      </c>
      <c r="J4588" s="1">
        <v>45601</v>
      </c>
      <c r="K4588" t="b">
        <v>1</v>
      </c>
    </row>
    <row r="4589" spans="1:11" x14ac:dyDescent="0.25">
      <c r="A4589" t="s">
        <v>1578</v>
      </c>
      <c r="B4589" t="s">
        <v>104</v>
      </c>
      <c r="C4589" t="s">
        <v>27</v>
      </c>
      <c r="D4589" t="s">
        <v>89</v>
      </c>
      <c r="E4589" s="2">
        <v>41</v>
      </c>
      <c r="F4589" s="4">
        <v>2</v>
      </c>
      <c r="G4589" s="2">
        <v>82</v>
      </c>
      <c r="H4589" t="s">
        <v>25</v>
      </c>
      <c r="I4589" t="s">
        <v>16</v>
      </c>
      <c r="J4589" s="1">
        <v>45327</v>
      </c>
      <c r="K4589" t="b">
        <v>1</v>
      </c>
    </row>
    <row r="4590" spans="1:11" x14ac:dyDescent="0.25">
      <c r="A4590" t="s">
        <v>943</v>
      </c>
      <c r="B4590" t="s">
        <v>56</v>
      </c>
      <c r="C4590" t="s">
        <v>27</v>
      </c>
      <c r="D4590" t="s">
        <v>89</v>
      </c>
      <c r="E4590" s="2">
        <v>41</v>
      </c>
      <c r="F4590" s="4">
        <v>2</v>
      </c>
      <c r="G4590" s="2">
        <v>82</v>
      </c>
      <c r="H4590" t="s">
        <v>25</v>
      </c>
      <c r="I4590" t="s">
        <v>36</v>
      </c>
      <c r="J4590" s="1">
        <v>45490</v>
      </c>
      <c r="K4590" t="b">
        <v>0</v>
      </c>
    </row>
    <row r="4591" spans="1:11" x14ac:dyDescent="0.25">
      <c r="A4591" t="s">
        <v>7348</v>
      </c>
      <c r="B4591" t="s">
        <v>34</v>
      </c>
      <c r="C4591" t="s">
        <v>59</v>
      </c>
      <c r="D4591" t="s">
        <v>325</v>
      </c>
      <c r="E4591" s="2">
        <v>41</v>
      </c>
      <c r="F4591" s="4">
        <v>2</v>
      </c>
      <c r="G4591" s="2">
        <v>82</v>
      </c>
      <c r="H4591" t="s">
        <v>25</v>
      </c>
      <c r="I4591" t="s">
        <v>16</v>
      </c>
      <c r="J4591" s="1">
        <v>45038</v>
      </c>
      <c r="K4591" t="b">
        <v>0</v>
      </c>
    </row>
    <row r="4592" spans="1:11" x14ac:dyDescent="0.25">
      <c r="A4592" t="s">
        <v>6765</v>
      </c>
      <c r="B4592" t="s">
        <v>26</v>
      </c>
      <c r="C4592" t="s">
        <v>38</v>
      </c>
      <c r="D4592" t="s">
        <v>75</v>
      </c>
      <c r="E4592" s="2">
        <v>41</v>
      </c>
      <c r="F4592" s="4">
        <v>2</v>
      </c>
      <c r="G4592" s="2">
        <v>82</v>
      </c>
      <c r="H4592" t="s">
        <v>15</v>
      </c>
      <c r="I4592" t="s">
        <v>16</v>
      </c>
      <c r="J4592" s="1">
        <v>44838</v>
      </c>
      <c r="K4592" t="b">
        <v>0</v>
      </c>
    </row>
    <row r="4593" spans="1:11" x14ac:dyDescent="0.25">
      <c r="A4593" t="s">
        <v>4770</v>
      </c>
      <c r="B4593" t="s">
        <v>30</v>
      </c>
      <c r="C4593" t="s">
        <v>59</v>
      </c>
      <c r="D4593" t="s">
        <v>325</v>
      </c>
      <c r="E4593" s="2">
        <v>41</v>
      </c>
      <c r="F4593" s="4">
        <v>2</v>
      </c>
      <c r="G4593" s="2">
        <v>82</v>
      </c>
      <c r="H4593" t="s">
        <v>25</v>
      </c>
      <c r="I4593" t="s">
        <v>16</v>
      </c>
      <c r="J4593" s="1">
        <v>44738</v>
      </c>
      <c r="K4593" t="b">
        <v>0</v>
      </c>
    </row>
    <row r="4594" spans="1:11" x14ac:dyDescent="0.25">
      <c r="A4594" t="s">
        <v>3409</v>
      </c>
      <c r="B4594" t="s">
        <v>97</v>
      </c>
      <c r="C4594" t="s">
        <v>27</v>
      </c>
      <c r="D4594" t="s">
        <v>89</v>
      </c>
      <c r="E4594" s="2">
        <v>41</v>
      </c>
      <c r="F4594" s="4">
        <v>2</v>
      </c>
      <c r="G4594" s="2">
        <v>82</v>
      </c>
      <c r="H4594" t="s">
        <v>45</v>
      </c>
      <c r="I4594" t="s">
        <v>16</v>
      </c>
      <c r="J4594" s="1">
        <v>45573</v>
      </c>
      <c r="K4594" t="b">
        <v>0</v>
      </c>
    </row>
    <row r="4595" spans="1:11" x14ac:dyDescent="0.25">
      <c r="A4595" t="s">
        <v>5467</v>
      </c>
      <c r="B4595" t="s">
        <v>34</v>
      </c>
      <c r="C4595" t="s">
        <v>13</v>
      </c>
      <c r="D4595" t="s">
        <v>161</v>
      </c>
      <c r="E4595" s="2">
        <v>41</v>
      </c>
      <c r="F4595" s="4">
        <v>2</v>
      </c>
      <c r="G4595" s="2">
        <v>82</v>
      </c>
      <c r="H4595" t="s">
        <v>45</v>
      </c>
      <c r="I4595" t="s">
        <v>16</v>
      </c>
      <c r="J4595" s="1">
        <v>45075</v>
      </c>
      <c r="K4595" t="b">
        <v>0</v>
      </c>
    </row>
    <row r="4596" spans="1:11" x14ac:dyDescent="0.25">
      <c r="A4596" t="s">
        <v>5820</v>
      </c>
      <c r="B4596" t="s">
        <v>34</v>
      </c>
      <c r="C4596" t="s">
        <v>31</v>
      </c>
      <c r="D4596" t="s">
        <v>82</v>
      </c>
      <c r="E4596" s="2">
        <v>20</v>
      </c>
      <c r="F4596" s="4">
        <v>4</v>
      </c>
      <c r="G4596" s="2">
        <v>80</v>
      </c>
      <c r="H4596" t="s">
        <v>25</v>
      </c>
      <c r="I4596" t="s">
        <v>36</v>
      </c>
      <c r="J4596" s="1">
        <v>45339</v>
      </c>
      <c r="K4596" t="b">
        <v>1</v>
      </c>
    </row>
    <row r="4597" spans="1:11" x14ac:dyDescent="0.25">
      <c r="A4597" t="s">
        <v>4302</v>
      </c>
      <c r="B4597" t="s">
        <v>26</v>
      </c>
      <c r="C4597" t="s">
        <v>19</v>
      </c>
      <c r="D4597" t="s">
        <v>228</v>
      </c>
      <c r="E4597" s="2">
        <v>20</v>
      </c>
      <c r="F4597" s="4">
        <v>4</v>
      </c>
      <c r="G4597" s="2">
        <v>80</v>
      </c>
      <c r="H4597" t="s">
        <v>45</v>
      </c>
      <c r="I4597" t="s">
        <v>36</v>
      </c>
      <c r="J4597" s="1">
        <v>44904</v>
      </c>
      <c r="K4597" t="b">
        <v>0</v>
      </c>
    </row>
    <row r="4598" spans="1:11" x14ac:dyDescent="0.25">
      <c r="A4598" t="s">
        <v>506</v>
      </c>
      <c r="B4598" t="s">
        <v>77</v>
      </c>
      <c r="C4598" t="s">
        <v>110</v>
      </c>
      <c r="D4598" t="s">
        <v>263</v>
      </c>
      <c r="E4598" s="2">
        <v>20</v>
      </c>
      <c r="F4598" s="4">
        <v>4</v>
      </c>
      <c r="G4598" s="2">
        <v>80</v>
      </c>
      <c r="H4598" t="s">
        <v>25</v>
      </c>
      <c r="I4598" t="s">
        <v>16</v>
      </c>
      <c r="J4598" s="1">
        <v>45018</v>
      </c>
      <c r="K4598" t="b">
        <v>0</v>
      </c>
    </row>
    <row r="4599" spans="1:11" x14ac:dyDescent="0.25">
      <c r="A4599" t="s">
        <v>7139</v>
      </c>
      <c r="B4599" t="s">
        <v>69</v>
      </c>
      <c r="C4599" t="s">
        <v>31</v>
      </c>
      <c r="D4599" t="s">
        <v>106</v>
      </c>
      <c r="E4599" s="2">
        <v>8</v>
      </c>
      <c r="F4599" s="4">
        <v>10</v>
      </c>
      <c r="G4599" s="2">
        <v>80</v>
      </c>
      <c r="H4599" t="s">
        <v>45</v>
      </c>
      <c r="I4599" t="s">
        <v>16</v>
      </c>
      <c r="J4599" s="1">
        <v>44888</v>
      </c>
      <c r="K4599" t="b">
        <v>0</v>
      </c>
    </row>
    <row r="4600" spans="1:11" x14ac:dyDescent="0.25">
      <c r="A4600" t="s">
        <v>4695</v>
      </c>
      <c r="B4600" t="s">
        <v>18</v>
      </c>
      <c r="C4600" t="s">
        <v>59</v>
      </c>
      <c r="D4600" t="s">
        <v>365</v>
      </c>
      <c r="E4600" s="2">
        <v>20</v>
      </c>
      <c r="F4600" s="4">
        <v>4</v>
      </c>
      <c r="G4600" s="2">
        <v>80</v>
      </c>
      <c r="H4600" t="s">
        <v>45</v>
      </c>
      <c r="I4600" t="s">
        <v>16</v>
      </c>
      <c r="J4600" s="1">
        <v>44996</v>
      </c>
      <c r="K4600" t="b">
        <v>1</v>
      </c>
    </row>
    <row r="4601" spans="1:11" x14ac:dyDescent="0.25">
      <c r="A4601" t="s">
        <v>7617</v>
      </c>
      <c r="B4601" t="s">
        <v>72</v>
      </c>
      <c r="C4601" t="s">
        <v>19</v>
      </c>
      <c r="D4601" t="s">
        <v>228</v>
      </c>
      <c r="E4601" s="2">
        <v>20</v>
      </c>
      <c r="F4601" s="4">
        <v>4</v>
      </c>
      <c r="G4601" s="2">
        <v>80</v>
      </c>
      <c r="H4601" t="s">
        <v>25</v>
      </c>
      <c r="I4601" t="s">
        <v>16</v>
      </c>
      <c r="J4601" s="1">
        <v>45416</v>
      </c>
      <c r="K4601" t="b">
        <v>0</v>
      </c>
    </row>
    <row r="4602" spans="1:11" x14ac:dyDescent="0.25">
      <c r="A4602" t="s">
        <v>7530</v>
      </c>
      <c r="B4602" t="s">
        <v>86</v>
      </c>
      <c r="C4602" t="s">
        <v>23</v>
      </c>
      <c r="D4602" t="s">
        <v>47</v>
      </c>
      <c r="E4602" s="2">
        <v>8</v>
      </c>
      <c r="F4602" s="4">
        <v>10</v>
      </c>
      <c r="G4602" s="2">
        <v>80</v>
      </c>
      <c r="H4602" t="s">
        <v>45</v>
      </c>
      <c r="I4602" t="s">
        <v>16</v>
      </c>
      <c r="J4602" s="1">
        <v>44979</v>
      </c>
      <c r="K4602" t="b">
        <v>1</v>
      </c>
    </row>
    <row r="4603" spans="1:11" x14ac:dyDescent="0.25">
      <c r="A4603" t="s">
        <v>4956</v>
      </c>
      <c r="B4603" t="s">
        <v>77</v>
      </c>
      <c r="C4603" t="s">
        <v>31</v>
      </c>
      <c r="D4603" t="s">
        <v>106</v>
      </c>
      <c r="E4603" s="2">
        <v>8</v>
      </c>
      <c r="F4603" s="4">
        <v>10</v>
      </c>
      <c r="G4603" s="2">
        <v>80</v>
      </c>
      <c r="H4603" t="s">
        <v>15</v>
      </c>
      <c r="I4603" t="s">
        <v>36</v>
      </c>
      <c r="J4603" s="1">
        <v>44630</v>
      </c>
      <c r="K4603" t="b">
        <v>0</v>
      </c>
    </row>
    <row r="4604" spans="1:11" x14ac:dyDescent="0.25">
      <c r="A4604" t="s">
        <v>5670</v>
      </c>
      <c r="B4604" t="s">
        <v>72</v>
      </c>
      <c r="C4604" t="s">
        <v>27</v>
      </c>
      <c r="D4604" t="s">
        <v>95</v>
      </c>
      <c r="E4604" s="2">
        <v>20</v>
      </c>
      <c r="F4604" s="4">
        <v>4</v>
      </c>
      <c r="G4604" s="2">
        <v>80</v>
      </c>
      <c r="H4604" t="s">
        <v>25</v>
      </c>
      <c r="I4604" t="s">
        <v>36</v>
      </c>
      <c r="J4604" s="1">
        <v>45304</v>
      </c>
      <c r="K4604" t="b">
        <v>1</v>
      </c>
    </row>
    <row r="4605" spans="1:11" x14ac:dyDescent="0.25">
      <c r="A4605" t="s">
        <v>3815</v>
      </c>
      <c r="B4605" t="s">
        <v>12</v>
      </c>
      <c r="C4605" t="s">
        <v>59</v>
      </c>
      <c r="D4605" t="s">
        <v>365</v>
      </c>
      <c r="E4605" s="2">
        <v>20</v>
      </c>
      <c r="F4605" s="4">
        <v>4</v>
      </c>
      <c r="G4605" s="2">
        <v>80</v>
      </c>
      <c r="H4605" t="s">
        <v>25</v>
      </c>
      <c r="I4605" t="s">
        <v>16</v>
      </c>
      <c r="J4605" s="1">
        <v>45327</v>
      </c>
      <c r="K4605" t="b">
        <v>1</v>
      </c>
    </row>
    <row r="4606" spans="1:11" x14ac:dyDescent="0.25">
      <c r="A4606" t="s">
        <v>1893</v>
      </c>
      <c r="B4606" t="s">
        <v>30</v>
      </c>
      <c r="C4606" t="s">
        <v>31</v>
      </c>
      <c r="D4606" t="s">
        <v>82</v>
      </c>
      <c r="E4606" s="2">
        <v>20</v>
      </c>
      <c r="F4606" s="4">
        <v>4</v>
      </c>
      <c r="G4606" s="2">
        <v>80</v>
      </c>
      <c r="H4606" t="s">
        <v>25</v>
      </c>
      <c r="I4606" t="s">
        <v>36</v>
      </c>
      <c r="J4606" s="1">
        <v>44855</v>
      </c>
      <c r="K4606" t="b">
        <v>0</v>
      </c>
    </row>
    <row r="4607" spans="1:11" x14ac:dyDescent="0.25">
      <c r="A4607" t="s">
        <v>7719</v>
      </c>
      <c r="B4607" t="s">
        <v>85</v>
      </c>
      <c r="C4607" t="s">
        <v>38</v>
      </c>
      <c r="D4607" t="s">
        <v>697</v>
      </c>
      <c r="E4607" s="2">
        <v>8</v>
      </c>
      <c r="F4607" s="4">
        <v>10</v>
      </c>
      <c r="G4607" s="2">
        <v>80</v>
      </c>
      <c r="H4607" t="s">
        <v>15</v>
      </c>
      <c r="I4607" t="s">
        <v>36</v>
      </c>
      <c r="J4607" s="1">
        <v>45437</v>
      </c>
      <c r="K4607" t="b">
        <v>1</v>
      </c>
    </row>
    <row r="4608" spans="1:11" x14ac:dyDescent="0.25">
      <c r="A4608" t="s">
        <v>2055</v>
      </c>
      <c r="B4608" t="s">
        <v>100</v>
      </c>
      <c r="C4608" t="s">
        <v>23</v>
      </c>
      <c r="D4608" t="s">
        <v>47</v>
      </c>
      <c r="E4608" s="2">
        <v>8</v>
      </c>
      <c r="F4608" s="4">
        <v>10</v>
      </c>
      <c r="G4608" s="2">
        <v>80</v>
      </c>
      <c r="H4608" t="s">
        <v>45</v>
      </c>
      <c r="I4608" t="s">
        <v>36</v>
      </c>
      <c r="J4608" s="1">
        <v>44939</v>
      </c>
      <c r="K4608" t="b">
        <v>0</v>
      </c>
    </row>
    <row r="4609" spans="1:11" x14ac:dyDescent="0.25">
      <c r="A4609" t="s">
        <v>2827</v>
      </c>
      <c r="B4609" t="s">
        <v>61</v>
      </c>
      <c r="C4609" t="s">
        <v>38</v>
      </c>
      <c r="D4609" t="s">
        <v>159</v>
      </c>
      <c r="E4609" s="2">
        <v>20</v>
      </c>
      <c r="F4609" s="4">
        <v>4</v>
      </c>
      <c r="G4609" s="2">
        <v>80</v>
      </c>
      <c r="H4609" t="s">
        <v>15</v>
      </c>
      <c r="I4609" t="s">
        <v>36</v>
      </c>
      <c r="J4609" s="1">
        <v>44932</v>
      </c>
      <c r="K4609" t="b">
        <v>0</v>
      </c>
    </row>
    <row r="4610" spans="1:11" x14ac:dyDescent="0.25">
      <c r="A4610" t="s">
        <v>4021</v>
      </c>
      <c r="B4610" t="s">
        <v>26</v>
      </c>
      <c r="C4610" t="s">
        <v>23</v>
      </c>
      <c r="D4610" t="s">
        <v>666</v>
      </c>
      <c r="E4610" s="2">
        <v>20</v>
      </c>
      <c r="F4610" s="4">
        <v>4</v>
      </c>
      <c r="G4610" s="2">
        <v>80</v>
      </c>
      <c r="H4610" t="s">
        <v>15</v>
      </c>
      <c r="I4610" t="s">
        <v>36</v>
      </c>
      <c r="J4610" s="1">
        <v>45525</v>
      </c>
      <c r="K4610" t="b">
        <v>1</v>
      </c>
    </row>
    <row r="4611" spans="1:11" x14ac:dyDescent="0.25">
      <c r="A4611" t="s">
        <v>368</v>
      </c>
      <c r="B4611" t="s">
        <v>69</v>
      </c>
      <c r="C4611" t="s">
        <v>13</v>
      </c>
      <c r="D4611" t="s">
        <v>113</v>
      </c>
      <c r="E4611" s="2">
        <v>20</v>
      </c>
      <c r="F4611" s="4">
        <v>4</v>
      </c>
      <c r="G4611" s="2">
        <v>80</v>
      </c>
      <c r="H4611" t="s">
        <v>45</v>
      </c>
      <c r="I4611" t="s">
        <v>36</v>
      </c>
      <c r="J4611" s="1">
        <v>45469</v>
      </c>
      <c r="K4611" t="b">
        <v>0</v>
      </c>
    </row>
    <row r="4612" spans="1:11" x14ac:dyDescent="0.25">
      <c r="A4612" t="s">
        <v>3540</v>
      </c>
      <c r="B4612" t="s">
        <v>37</v>
      </c>
      <c r="C4612" t="s">
        <v>23</v>
      </c>
      <c r="D4612" t="s">
        <v>47</v>
      </c>
      <c r="E4612" s="2">
        <v>8</v>
      </c>
      <c r="F4612" s="4">
        <v>10</v>
      </c>
      <c r="G4612" s="2">
        <v>80</v>
      </c>
      <c r="H4612" t="s">
        <v>45</v>
      </c>
      <c r="I4612" t="s">
        <v>16</v>
      </c>
      <c r="J4612" s="1">
        <v>44700</v>
      </c>
      <c r="K4612" t="b">
        <v>0</v>
      </c>
    </row>
    <row r="4613" spans="1:11" x14ac:dyDescent="0.25">
      <c r="A4613" t="s">
        <v>517</v>
      </c>
      <c r="B4613" t="s">
        <v>72</v>
      </c>
      <c r="C4613" t="s">
        <v>19</v>
      </c>
      <c r="D4613" t="s">
        <v>228</v>
      </c>
      <c r="E4613" s="2">
        <v>20</v>
      </c>
      <c r="F4613" s="4">
        <v>4</v>
      </c>
      <c r="G4613" s="2">
        <v>80</v>
      </c>
      <c r="H4613" t="s">
        <v>15</v>
      </c>
      <c r="I4613" t="s">
        <v>16</v>
      </c>
      <c r="J4613" s="1">
        <v>44703</v>
      </c>
      <c r="K4613" t="b">
        <v>0</v>
      </c>
    </row>
    <row r="4614" spans="1:11" x14ac:dyDescent="0.25">
      <c r="A4614" t="s">
        <v>1538</v>
      </c>
      <c r="B4614" t="s">
        <v>77</v>
      </c>
      <c r="C4614" t="s">
        <v>38</v>
      </c>
      <c r="D4614" t="s">
        <v>159</v>
      </c>
      <c r="E4614" s="2">
        <v>20</v>
      </c>
      <c r="F4614" s="4">
        <v>4</v>
      </c>
      <c r="G4614" s="2">
        <v>80</v>
      </c>
      <c r="H4614" t="s">
        <v>15</v>
      </c>
      <c r="I4614" t="s">
        <v>16</v>
      </c>
      <c r="J4614" s="1">
        <v>44787</v>
      </c>
      <c r="K4614" t="b">
        <v>1</v>
      </c>
    </row>
    <row r="4615" spans="1:11" x14ac:dyDescent="0.25">
      <c r="A4615" t="s">
        <v>1733</v>
      </c>
      <c r="B4615" t="s">
        <v>85</v>
      </c>
      <c r="C4615" t="s">
        <v>13</v>
      </c>
      <c r="D4615" t="s">
        <v>113</v>
      </c>
      <c r="E4615" s="2">
        <v>20</v>
      </c>
      <c r="F4615" s="4">
        <v>4</v>
      </c>
      <c r="G4615" s="2">
        <v>80</v>
      </c>
      <c r="H4615" t="s">
        <v>25</v>
      </c>
      <c r="I4615" t="s">
        <v>16</v>
      </c>
      <c r="J4615" s="1">
        <v>44895</v>
      </c>
      <c r="K4615" t="b">
        <v>0</v>
      </c>
    </row>
    <row r="4616" spans="1:11" x14ac:dyDescent="0.25">
      <c r="A4616" t="s">
        <v>4471</v>
      </c>
      <c r="B4616" t="s">
        <v>56</v>
      </c>
      <c r="C4616" t="s">
        <v>13</v>
      </c>
      <c r="D4616" t="s">
        <v>113</v>
      </c>
      <c r="E4616" s="2">
        <v>20</v>
      </c>
      <c r="F4616" s="4">
        <v>4</v>
      </c>
      <c r="G4616" s="2">
        <v>80</v>
      </c>
      <c r="H4616" t="s">
        <v>25</v>
      </c>
      <c r="I4616" t="s">
        <v>36</v>
      </c>
      <c r="J4616" s="1">
        <v>44972</v>
      </c>
      <c r="K4616" t="b">
        <v>0</v>
      </c>
    </row>
    <row r="4617" spans="1:11" x14ac:dyDescent="0.25">
      <c r="A4617" t="s">
        <v>5597</v>
      </c>
      <c r="B4617" t="s">
        <v>37</v>
      </c>
      <c r="C4617" t="s">
        <v>19</v>
      </c>
      <c r="D4617" t="s">
        <v>228</v>
      </c>
      <c r="E4617" s="2">
        <v>20</v>
      </c>
      <c r="F4617" s="4">
        <v>4</v>
      </c>
      <c r="G4617" s="2">
        <v>80</v>
      </c>
      <c r="H4617" t="s">
        <v>25</v>
      </c>
      <c r="I4617" t="s">
        <v>36</v>
      </c>
      <c r="J4617" s="1">
        <v>44793</v>
      </c>
      <c r="K4617" t="b">
        <v>1</v>
      </c>
    </row>
    <row r="4618" spans="1:11" x14ac:dyDescent="0.25">
      <c r="A4618" t="s">
        <v>7694</v>
      </c>
      <c r="B4618" t="s">
        <v>56</v>
      </c>
      <c r="C4618" t="s">
        <v>19</v>
      </c>
      <c r="D4618" t="s">
        <v>228</v>
      </c>
      <c r="E4618" s="2">
        <v>20</v>
      </c>
      <c r="F4618" s="4">
        <v>4</v>
      </c>
      <c r="G4618" s="2">
        <v>80</v>
      </c>
      <c r="H4618" t="s">
        <v>45</v>
      </c>
      <c r="I4618" t="s">
        <v>36</v>
      </c>
      <c r="J4618" s="1">
        <v>44992</v>
      </c>
      <c r="K4618" t="b">
        <v>1</v>
      </c>
    </row>
    <row r="4619" spans="1:11" x14ac:dyDescent="0.25">
      <c r="A4619" t="s">
        <v>2671</v>
      </c>
      <c r="B4619" t="s">
        <v>69</v>
      </c>
      <c r="C4619" t="s">
        <v>19</v>
      </c>
      <c r="D4619" t="s">
        <v>226</v>
      </c>
      <c r="E4619" s="2">
        <v>8</v>
      </c>
      <c r="F4619" s="4">
        <v>10</v>
      </c>
      <c r="G4619" s="2">
        <v>80</v>
      </c>
      <c r="H4619" t="s">
        <v>45</v>
      </c>
      <c r="I4619" t="s">
        <v>36</v>
      </c>
      <c r="J4619" s="1">
        <v>45484</v>
      </c>
      <c r="K4619" t="b">
        <v>1</v>
      </c>
    </row>
    <row r="4620" spans="1:11" x14ac:dyDescent="0.25">
      <c r="A4620" t="s">
        <v>6253</v>
      </c>
      <c r="B4620" t="s">
        <v>97</v>
      </c>
      <c r="C4620" t="s">
        <v>27</v>
      </c>
      <c r="D4620" t="s">
        <v>357</v>
      </c>
      <c r="E4620" s="2">
        <v>8</v>
      </c>
      <c r="F4620" s="4">
        <v>10</v>
      </c>
      <c r="G4620" s="2">
        <v>80</v>
      </c>
      <c r="H4620" t="s">
        <v>15</v>
      </c>
      <c r="I4620" t="s">
        <v>16</v>
      </c>
      <c r="J4620" s="1">
        <v>44673</v>
      </c>
      <c r="K4620" t="b">
        <v>0</v>
      </c>
    </row>
    <row r="4621" spans="1:11" x14ac:dyDescent="0.25">
      <c r="A4621" t="s">
        <v>418</v>
      </c>
      <c r="B4621" t="s">
        <v>69</v>
      </c>
      <c r="C4621" t="s">
        <v>31</v>
      </c>
      <c r="D4621" t="s">
        <v>82</v>
      </c>
      <c r="E4621" s="2">
        <v>20</v>
      </c>
      <c r="F4621" s="4">
        <v>4</v>
      </c>
      <c r="G4621" s="2">
        <v>80</v>
      </c>
      <c r="H4621" t="s">
        <v>25</v>
      </c>
      <c r="I4621" t="s">
        <v>36</v>
      </c>
      <c r="J4621" s="1">
        <v>44881</v>
      </c>
      <c r="K4621" t="b">
        <v>1</v>
      </c>
    </row>
    <row r="4622" spans="1:11" x14ac:dyDescent="0.25">
      <c r="A4622" t="s">
        <v>4898</v>
      </c>
      <c r="B4622" t="s">
        <v>30</v>
      </c>
      <c r="C4622" t="s">
        <v>38</v>
      </c>
      <c r="D4622" t="s">
        <v>159</v>
      </c>
      <c r="E4622" s="2">
        <v>20</v>
      </c>
      <c r="F4622" s="4">
        <v>4</v>
      </c>
      <c r="G4622" s="2">
        <v>80</v>
      </c>
      <c r="H4622" t="s">
        <v>25</v>
      </c>
      <c r="I4622" t="s">
        <v>16</v>
      </c>
      <c r="J4622" s="1">
        <v>44773</v>
      </c>
      <c r="K4622" t="b">
        <v>1</v>
      </c>
    </row>
    <row r="4623" spans="1:11" x14ac:dyDescent="0.25">
      <c r="A4623" t="s">
        <v>6415</v>
      </c>
      <c r="B4623" t="s">
        <v>22</v>
      </c>
      <c r="C4623" t="s">
        <v>38</v>
      </c>
      <c r="D4623" t="s">
        <v>159</v>
      </c>
      <c r="E4623" s="2">
        <v>20</v>
      </c>
      <c r="F4623" s="4">
        <v>4</v>
      </c>
      <c r="G4623" s="2">
        <v>80</v>
      </c>
      <c r="H4623" t="s">
        <v>25</v>
      </c>
      <c r="I4623" t="s">
        <v>16</v>
      </c>
      <c r="J4623" s="1">
        <v>45313</v>
      </c>
      <c r="K4623" t="b">
        <v>0</v>
      </c>
    </row>
    <row r="4624" spans="1:11" x14ac:dyDescent="0.25">
      <c r="A4624" t="s">
        <v>5677</v>
      </c>
      <c r="B4624" t="s">
        <v>12</v>
      </c>
      <c r="C4624" t="s">
        <v>38</v>
      </c>
      <c r="D4624" t="s">
        <v>159</v>
      </c>
      <c r="E4624" s="2">
        <v>20</v>
      </c>
      <c r="F4624" s="4">
        <v>4</v>
      </c>
      <c r="G4624" s="2">
        <v>80</v>
      </c>
      <c r="H4624" t="s">
        <v>25</v>
      </c>
      <c r="I4624" t="s">
        <v>16</v>
      </c>
      <c r="J4624" s="1">
        <v>44577</v>
      </c>
      <c r="K4624" t="b">
        <v>0</v>
      </c>
    </row>
    <row r="4625" spans="1:11" x14ac:dyDescent="0.25">
      <c r="A4625" t="s">
        <v>5859</v>
      </c>
      <c r="B4625" t="s">
        <v>58</v>
      </c>
      <c r="C4625" t="s">
        <v>38</v>
      </c>
      <c r="D4625" t="s">
        <v>159</v>
      </c>
      <c r="E4625" s="2">
        <v>20</v>
      </c>
      <c r="F4625" s="4">
        <v>4</v>
      </c>
      <c r="G4625" s="2">
        <v>80</v>
      </c>
      <c r="H4625" t="s">
        <v>45</v>
      </c>
      <c r="I4625" t="s">
        <v>16</v>
      </c>
      <c r="J4625" s="1">
        <v>45023</v>
      </c>
      <c r="K4625" t="b">
        <v>1</v>
      </c>
    </row>
    <row r="4626" spans="1:11" x14ac:dyDescent="0.25">
      <c r="A4626" t="s">
        <v>3462</v>
      </c>
      <c r="B4626" t="s">
        <v>51</v>
      </c>
      <c r="C4626" t="s">
        <v>19</v>
      </c>
      <c r="D4626" t="s">
        <v>228</v>
      </c>
      <c r="E4626" s="2">
        <v>20</v>
      </c>
      <c r="F4626" s="4">
        <v>4</v>
      </c>
      <c r="G4626" s="2">
        <v>80</v>
      </c>
      <c r="H4626" t="s">
        <v>15</v>
      </c>
      <c r="I4626" t="s">
        <v>16</v>
      </c>
      <c r="J4626" s="1">
        <v>44927</v>
      </c>
      <c r="K4626" t="b">
        <v>0</v>
      </c>
    </row>
    <row r="4627" spans="1:11" x14ac:dyDescent="0.25">
      <c r="A4627" t="s">
        <v>5728</v>
      </c>
      <c r="B4627" t="s">
        <v>12</v>
      </c>
      <c r="C4627" t="s">
        <v>23</v>
      </c>
      <c r="D4627" t="s">
        <v>47</v>
      </c>
      <c r="E4627" s="2">
        <v>8</v>
      </c>
      <c r="F4627" s="4">
        <v>10</v>
      </c>
      <c r="G4627" s="2">
        <v>80</v>
      </c>
      <c r="H4627" t="s">
        <v>45</v>
      </c>
      <c r="I4627" t="s">
        <v>36</v>
      </c>
      <c r="J4627" s="1">
        <v>44823</v>
      </c>
      <c r="K4627" t="b">
        <v>0</v>
      </c>
    </row>
    <row r="4628" spans="1:11" x14ac:dyDescent="0.25">
      <c r="A4628" t="s">
        <v>6987</v>
      </c>
      <c r="B4628" t="s">
        <v>66</v>
      </c>
      <c r="C4628" t="s">
        <v>19</v>
      </c>
      <c r="D4628" t="s">
        <v>226</v>
      </c>
      <c r="E4628" s="2">
        <v>8</v>
      </c>
      <c r="F4628" s="4">
        <v>10</v>
      </c>
      <c r="G4628" s="2">
        <v>80</v>
      </c>
      <c r="H4628" t="s">
        <v>25</v>
      </c>
      <c r="I4628" t="s">
        <v>16</v>
      </c>
      <c r="J4628" s="1">
        <v>45608</v>
      </c>
      <c r="K4628" t="b">
        <v>0</v>
      </c>
    </row>
    <row r="4629" spans="1:11" x14ac:dyDescent="0.25">
      <c r="A4629" t="s">
        <v>2341</v>
      </c>
      <c r="B4629" t="s">
        <v>34</v>
      </c>
      <c r="C4629" t="s">
        <v>23</v>
      </c>
      <c r="D4629" t="s">
        <v>47</v>
      </c>
      <c r="E4629" s="2">
        <v>8</v>
      </c>
      <c r="F4629" s="4">
        <v>10</v>
      </c>
      <c r="G4629" s="2">
        <v>80</v>
      </c>
      <c r="H4629" t="s">
        <v>45</v>
      </c>
      <c r="I4629" t="s">
        <v>16</v>
      </c>
      <c r="J4629" s="1">
        <v>44905</v>
      </c>
      <c r="K4629" t="b">
        <v>1</v>
      </c>
    </row>
    <row r="4630" spans="1:11" x14ac:dyDescent="0.25">
      <c r="A4630" t="s">
        <v>5882</v>
      </c>
      <c r="B4630" t="s">
        <v>51</v>
      </c>
      <c r="C4630" t="s">
        <v>19</v>
      </c>
      <c r="D4630" t="s">
        <v>228</v>
      </c>
      <c r="E4630" s="2">
        <v>20</v>
      </c>
      <c r="F4630" s="4">
        <v>4</v>
      </c>
      <c r="G4630" s="2">
        <v>80</v>
      </c>
      <c r="H4630" t="s">
        <v>45</v>
      </c>
      <c r="I4630" t="s">
        <v>36</v>
      </c>
      <c r="J4630" s="1">
        <v>45074</v>
      </c>
      <c r="K4630" t="b">
        <v>1</v>
      </c>
    </row>
    <row r="4631" spans="1:11" x14ac:dyDescent="0.25">
      <c r="A4631" t="s">
        <v>6354</v>
      </c>
      <c r="B4631" t="s">
        <v>22</v>
      </c>
      <c r="C4631" t="s">
        <v>19</v>
      </c>
      <c r="D4631" t="s">
        <v>228</v>
      </c>
      <c r="E4631" s="2">
        <v>20</v>
      </c>
      <c r="F4631" s="4">
        <v>4</v>
      </c>
      <c r="G4631" s="2">
        <v>80</v>
      </c>
      <c r="H4631" t="s">
        <v>15</v>
      </c>
      <c r="I4631" t="s">
        <v>16</v>
      </c>
      <c r="J4631" s="1">
        <v>45367</v>
      </c>
      <c r="K4631" t="b">
        <v>0</v>
      </c>
    </row>
    <row r="4632" spans="1:11" x14ac:dyDescent="0.25">
      <c r="A4632" t="s">
        <v>6899</v>
      </c>
      <c r="B4632" t="s">
        <v>26</v>
      </c>
      <c r="C4632" t="s">
        <v>31</v>
      </c>
      <c r="D4632" t="s">
        <v>82</v>
      </c>
      <c r="E4632" s="2">
        <v>20</v>
      </c>
      <c r="F4632" s="4">
        <v>4</v>
      </c>
      <c r="G4632" s="2">
        <v>80</v>
      </c>
      <c r="H4632" t="s">
        <v>25</v>
      </c>
      <c r="I4632" t="s">
        <v>16</v>
      </c>
      <c r="J4632" s="1">
        <v>45647</v>
      </c>
      <c r="K4632" t="b">
        <v>1</v>
      </c>
    </row>
    <row r="4633" spans="1:11" x14ac:dyDescent="0.25">
      <c r="A4633" t="s">
        <v>1186</v>
      </c>
      <c r="B4633" t="s">
        <v>86</v>
      </c>
      <c r="C4633" t="s">
        <v>59</v>
      </c>
      <c r="D4633" t="s">
        <v>365</v>
      </c>
      <c r="E4633" s="2">
        <v>20</v>
      </c>
      <c r="F4633" s="4">
        <v>4</v>
      </c>
      <c r="G4633" s="2">
        <v>80</v>
      </c>
      <c r="H4633" t="s">
        <v>45</v>
      </c>
      <c r="I4633" t="s">
        <v>16</v>
      </c>
      <c r="J4633" s="1">
        <v>45349</v>
      </c>
      <c r="K4633" t="b">
        <v>0</v>
      </c>
    </row>
    <row r="4634" spans="1:11" x14ac:dyDescent="0.25">
      <c r="A4634" t="s">
        <v>7766</v>
      </c>
      <c r="B4634" t="s">
        <v>69</v>
      </c>
      <c r="C4634" t="s">
        <v>19</v>
      </c>
      <c r="D4634" t="s">
        <v>228</v>
      </c>
      <c r="E4634" s="2">
        <v>20</v>
      </c>
      <c r="F4634" s="4">
        <v>4</v>
      </c>
      <c r="G4634" s="2">
        <v>80</v>
      </c>
      <c r="H4634" t="s">
        <v>25</v>
      </c>
      <c r="I4634" t="s">
        <v>36</v>
      </c>
      <c r="J4634" s="1">
        <v>45540</v>
      </c>
      <c r="K4634" t="b">
        <v>0</v>
      </c>
    </row>
    <row r="4635" spans="1:11" x14ac:dyDescent="0.25">
      <c r="A4635" t="s">
        <v>876</v>
      </c>
      <c r="B4635" t="s">
        <v>58</v>
      </c>
      <c r="C4635" t="s">
        <v>31</v>
      </c>
      <c r="D4635" t="s">
        <v>82</v>
      </c>
      <c r="E4635" s="2">
        <v>20</v>
      </c>
      <c r="F4635" s="4">
        <v>4</v>
      </c>
      <c r="G4635" s="2">
        <v>80</v>
      </c>
      <c r="H4635" t="s">
        <v>15</v>
      </c>
      <c r="I4635" t="s">
        <v>36</v>
      </c>
      <c r="J4635" s="1">
        <v>44885</v>
      </c>
      <c r="K4635" t="b">
        <v>1</v>
      </c>
    </row>
    <row r="4636" spans="1:11" x14ac:dyDescent="0.25">
      <c r="A4636" t="s">
        <v>5253</v>
      </c>
      <c r="B4636" t="s">
        <v>93</v>
      </c>
      <c r="C4636" t="s">
        <v>19</v>
      </c>
      <c r="D4636" t="s">
        <v>228</v>
      </c>
      <c r="E4636" s="2">
        <v>20</v>
      </c>
      <c r="F4636" s="4">
        <v>4</v>
      </c>
      <c r="G4636" s="2">
        <v>80</v>
      </c>
      <c r="H4636" t="s">
        <v>25</v>
      </c>
      <c r="I4636" t="s">
        <v>16</v>
      </c>
      <c r="J4636" s="1">
        <v>45434</v>
      </c>
      <c r="K4636" t="b">
        <v>1</v>
      </c>
    </row>
    <row r="4637" spans="1:11" x14ac:dyDescent="0.25">
      <c r="A4637" t="s">
        <v>3740</v>
      </c>
      <c r="B4637" t="s">
        <v>93</v>
      </c>
      <c r="C4637" t="s">
        <v>110</v>
      </c>
      <c r="D4637" t="s">
        <v>263</v>
      </c>
      <c r="E4637" s="2">
        <v>20</v>
      </c>
      <c r="F4637" s="4">
        <v>4</v>
      </c>
      <c r="G4637" s="2">
        <v>80</v>
      </c>
      <c r="H4637" t="s">
        <v>25</v>
      </c>
      <c r="I4637" t="s">
        <v>36</v>
      </c>
      <c r="J4637" s="1">
        <v>44607</v>
      </c>
      <c r="K4637" t="b">
        <v>0</v>
      </c>
    </row>
    <row r="4638" spans="1:11" x14ac:dyDescent="0.25">
      <c r="A4638" t="s">
        <v>836</v>
      </c>
      <c r="B4638" t="s">
        <v>43</v>
      </c>
      <c r="C4638" t="s">
        <v>27</v>
      </c>
      <c r="D4638" t="s">
        <v>357</v>
      </c>
      <c r="E4638" s="2">
        <v>8</v>
      </c>
      <c r="F4638" s="4">
        <v>10</v>
      </c>
      <c r="G4638" s="2">
        <v>80</v>
      </c>
      <c r="H4638" t="s">
        <v>15</v>
      </c>
      <c r="I4638" t="s">
        <v>16</v>
      </c>
      <c r="J4638" s="1">
        <v>44745</v>
      </c>
      <c r="K4638" t="b">
        <v>1</v>
      </c>
    </row>
    <row r="4639" spans="1:11" x14ac:dyDescent="0.25">
      <c r="A4639" t="s">
        <v>3195</v>
      </c>
      <c r="B4639" t="s">
        <v>69</v>
      </c>
      <c r="C4639" t="s">
        <v>31</v>
      </c>
      <c r="D4639" t="s">
        <v>106</v>
      </c>
      <c r="E4639" s="2">
        <v>8</v>
      </c>
      <c r="F4639" s="4">
        <v>10</v>
      </c>
      <c r="G4639" s="2">
        <v>80</v>
      </c>
      <c r="H4639" t="s">
        <v>45</v>
      </c>
      <c r="I4639" t="s">
        <v>36</v>
      </c>
      <c r="J4639" s="1">
        <v>44790</v>
      </c>
      <c r="K4639" t="b">
        <v>0</v>
      </c>
    </row>
    <row r="4640" spans="1:11" x14ac:dyDescent="0.25">
      <c r="A4640" t="s">
        <v>2870</v>
      </c>
      <c r="B4640" t="s">
        <v>34</v>
      </c>
      <c r="C4640" t="s">
        <v>13</v>
      </c>
      <c r="D4640" t="s">
        <v>969</v>
      </c>
      <c r="E4640" s="2">
        <v>8</v>
      </c>
      <c r="F4640" s="4">
        <v>10</v>
      </c>
      <c r="G4640" s="2">
        <v>80</v>
      </c>
      <c r="H4640" t="s">
        <v>15</v>
      </c>
      <c r="I4640" t="s">
        <v>36</v>
      </c>
      <c r="J4640" s="1">
        <v>44766</v>
      </c>
      <c r="K4640" t="b">
        <v>1</v>
      </c>
    </row>
    <row r="4641" spans="1:11" x14ac:dyDescent="0.25">
      <c r="A4641" t="s">
        <v>7147</v>
      </c>
      <c r="B4641" t="s">
        <v>104</v>
      </c>
      <c r="C4641" t="s">
        <v>110</v>
      </c>
      <c r="D4641" t="s">
        <v>741</v>
      </c>
      <c r="E4641" s="2">
        <v>8</v>
      </c>
      <c r="F4641" s="4">
        <v>10</v>
      </c>
      <c r="G4641" s="2">
        <v>80</v>
      </c>
      <c r="H4641" t="s">
        <v>25</v>
      </c>
      <c r="I4641" t="s">
        <v>16</v>
      </c>
      <c r="J4641" s="1">
        <v>45227</v>
      </c>
      <c r="K4641" t="b">
        <v>0</v>
      </c>
    </row>
    <row r="4642" spans="1:11" x14ac:dyDescent="0.25">
      <c r="A4642" t="s">
        <v>364</v>
      </c>
      <c r="B4642" t="s">
        <v>93</v>
      </c>
      <c r="C4642" t="s">
        <v>59</v>
      </c>
      <c r="D4642" t="s">
        <v>365</v>
      </c>
      <c r="E4642" s="2">
        <v>20</v>
      </c>
      <c r="F4642" s="4">
        <v>4</v>
      </c>
      <c r="G4642" s="2">
        <v>80</v>
      </c>
      <c r="H4642" t="s">
        <v>45</v>
      </c>
      <c r="I4642" t="s">
        <v>36</v>
      </c>
      <c r="J4642" s="1">
        <v>45633</v>
      </c>
      <c r="K4642" t="b">
        <v>1</v>
      </c>
    </row>
    <row r="4643" spans="1:11" x14ac:dyDescent="0.25">
      <c r="A4643" t="s">
        <v>6581</v>
      </c>
      <c r="B4643" t="s">
        <v>61</v>
      </c>
      <c r="C4643" t="s">
        <v>59</v>
      </c>
      <c r="D4643" t="s">
        <v>365</v>
      </c>
      <c r="E4643" s="2">
        <v>20</v>
      </c>
      <c r="F4643" s="4">
        <v>4</v>
      </c>
      <c r="G4643" s="2">
        <v>80</v>
      </c>
      <c r="H4643" t="s">
        <v>45</v>
      </c>
      <c r="I4643" t="s">
        <v>36</v>
      </c>
      <c r="J4643" s="1">
        <v>45669</v>
      </c>
      <c r="K4643" t="b">
        <v>0</v>
      </c>
    </row>
    <row r="4644" spans="1:11" x14ac:dyDescent="0.25">
      <c r="A4644" t="s">
        <v>4007</v>
      </c>
      <c r="B4644" t="s">
        <v>18</v>
      </c>
      <c r="C4644" t="s">
        <v>27</v>
      </c>
      <c r="D4644" t="s">
        <v>357</v>
      </c>
      <c r="E4644" s="2">
        <v>8</v>
      </c>
      <c r="F4644" s="4">
        <v>10</v>
      </c>
      <c r="G4644" s="2">
        <v>80</v>
      </c>
      <c r="H4644" t="s">
        <v>45</v>
      </c>
      <c r="I4644" t="s">
        <v>16</v>
      </c>
      <c r="J4644" s="1">
        <v>44727</v>
      </c>
      <c r="K4644" t="b">
        <v>0</v>
      </c>
    </row>
    <row r="4645" spans="1:11" x14ac:dyDescent="0.25">
      <c r="A4645" t="s">
        <v>5855</v>
      </c>
      <c r="B4645" t="s">
        <v>86</v>
      </c>
      <c r="C4645" t="s">
        <v>13</v>
      </c>
      <c r="D4645" t="s">
        <v>113</v>
      </c>
      <c r="E4645" s="2">
        <v>20</v>
      </c>
      <c r="F4645" s="4">
        <v>4</v>
      </c>
      <c r="G4645" s="2">
        <v>80</v>
      </c>
      <c r="H4645" t="s">
        <v>25</v>
      </c>
      <c r="I4645" t="s">
        <v>16</v>
      </c>
      <c r="J4645" s="1">
        <v>45316</v>
      </c>
      <c r="K4645" t="b">
        <v>1</v>
      </c>
    </row>
    <row r="4646" spans="1:11" x14ac:dyDescent="0.25">
      <c r="A4646" t="s">
        <v>1895</v>
      </c>
      <c r="B4646" t="s">
        <v>97</v>
      </c>
      <c r="C4646" t="s">
        <v>27</v>
      </c>
      <c r="D4646" t="s">
        <v>95</v>
      </c>
      <c r="E4646" s="2">
        <v>20</v>
      </c>
      <c r="F4646" s="4">
        <v>4</v>
      </c>
      <c r="G4646" s="2">
        <v>80</v>
      </c>
      <c r="H4646" t="s">
        <v>25</v>
      </c>
      <c r="I4646" t="s">
        <v>16</v>
      </c>
      <c r="J4646" s="1">
        <v>45225</v>
      </c>
      <c r="K4646" t="b">
        <v>1</v>
      </c>
    </row>
    <row r="4647" spans="1:11" x14ac:dyDescent="0.25">
      <c r="A4647" t="s">
        <v>2557</v>
      </c>
      <c r="B4647" t="s">
        <v>63</v>
      </c>
      <c r="C4647" t="s">
        <v>19</v>
      </c>
      <c r="D4647" t="s">
        <v>226</v>
      </c>
      <c r="E4647" s="2">
        <v>8</v>
      </c>
      <c r="F4647" s="4">
        <v>10</v>
      </c>
      <c r="G4647" s="2">
        <v>80</v>
      </c>
      <c r="H4647" t="s">
        <v>15</v>
      </c>
      <c r="I4647" t="s">
        <v>16</v>
      </c>
      <c r="J4647" s="1">
        <v>45166</v>
      </c>
      <c r="K4647" t="b">
        <v>1</v>
      </c>
    </row>
    <row r="4648" spans="1:11" x14ac:dyDescent="0.25">
      <c r="A4648" t="s">
        <v>1696</v>
      </c>
      <c r="B4648" t="s">
        <v>100</v>
      </c>
      <c r="C4648" t="s">
        <v>31</v>
      </c>
      <c r="D4648" t="s">
        <v>106</v>
      </c>
      <c r="E4648" s="2">
        <v>8</v>
      </c>
      <c r="F4648" s="4">
        <v>10</v>
      </c>
      <c r="G4648" s="2">
        <v>80</v>
      </c>
      <c r="H4648" t="s">
        <v>15</v>
      </c>
      <c r="I4648" t="s">
        <v>16</v>
      </c>
      <c r="J4648" s="1">
        <v>44794</v>
      </c>
      <c r="K4648" t="b">
        <v>0</v>
      </c>
    </row>
    <row r="4649" spans="1:11" x14ac:dyDescent="0.25">
      <c r="A4649" t="s">
        <v>1865</v>
      </c>
      <c r="B4649" t="s">
        <v>40</v>
      </c>
      <c r="C4649" t="s">
        <v>27</v>
      </c>
      <c r="D4649" t="s">
        <v>357</v>
      </c>
      <c r="E4649" s="2">
        <v>8</v>
      </c>
      <c r="F4649" s="4">
        <v>10</v>
      </c>
      <c r="G4649" s="2">
        <v>80</v>
      </c>
      <c r="H4649" t="s">
        <v>15</v>
      </c>
      <c r="I4649" t="s">
        <v>16</v>
      </c>
      <c r="J4649" s="1">
        <v>45301</v>
      </c>
      <c r="K4649" t="b">
        <v>0</v>
      </c>
    </row>
    <row r="4650" spans="1:11" x14ac:dyDescent="0.25">
      <c r="A4650" t="s">
        <v>4010</v>
      </c>
      <c r="B4650" t="s">
        <v>86</v>
      </c>
      <c r="C4650" t="s">
        <v>19</v>
      </c>
      <c r="D4650" t="s">
        <v>226</v>
      </c>
      <c r="E4650" s="2">
        <v>8</v>
      </c>
      <c r="F4650" s="4">
        <v>10</v>
      </c>
      <c r="G4650" s="2">
        <v>80</v>
      </c>
      <c r="H4650" t="s">
        <v>15</v>
      </c>
      <c r="I4650" t="s">
        <v>36</v>
      </c>
      <c r="J4650" s="1">
        <v>44581</v>
      </c>
      <c r="K4650" t="b">
        <v>0</v>
      </c>
    </row>
    <row r="4651" spans="1:11" x14ac:dyDescent="0.25">
      <c r="A4651" t="s">
        <v>6035</v>
      </c>
      <c r="B4651" t="s">
        <v>85</v>
      </c>
      <c r="C4651" t="s">
        <v>110</v>
      </c>
      <c r="D4651" t="s">
        <v>263</v>
      </c>
      <c r="E4651" s="2">
        <v>20</v>
      </c>
      <c r="F4651" s="4">
        <v>4</v>
      </c>
      <c r="G4651" s="2">
        <v>80</v>
      </c>
      <c r="H4651" t="s">
        <v>25</v>
      </c>
      <c r="I4651" t="s">
        <v>16</v>
      </c>
      <c r="J4651" s="1">
        <v>45532</v>
      </c>
      <c r="K4651" t="b">
        <v>0</v>
      </c>
    </row>
    <row r="4652" spans="1:11" x14ac:dyDescent="0.25">
      <c r="A4652" t="s">
        <v>3972</v>
      </c>
      <c r="B4652" t="s">
        <v>61</v>
      </c>
      <c r="C4652" t="s">
        <v>38</v>
      </c>
      <c r="D4652" t="s">
        <v>159</v>
      </c>
      <c r="E4652" s="2">
        <v>20</v>
      </c>
      <c r="F4652" s="4">
        <v>4</v>
      </c>
      <c r="G4652" s="2">
        <v>80</v>
      </c>
      <c r="H4652" t="s">
        <v>45</v>
      </c>
      <c r="I4652" t="s">
        <v>16</v>
      </c>
      <c r="J4652" s="1">
        <v>45531</v>
      </c>
      <c r="K4652" t="b">
        <v>0</v>
      </c>
    </row>
    <row r="4653" spans="1:11" x14ac:dyDescent="0.25">
      <c r="A4653" t="s">
        <v>6653</v>
      </c>
      <c r="B4653" t="s">
        <v>104</v>
      </c>
      <c r="C4653" t="s">
        <v>38</v>
      </c>
      <c r="D4653" t="s">
        <v>159</v>
      </c>
      <c r="E4653" s="2">
        <v>20</v>
      </c>
      <c r="F4653" s="4">
        <v>4</v>
      </c>
      <c r="G4653" s="2">
        <v>80</v>
      </c>
      <c r="H4653" t="s">
        <v>25</v>
      </c>
      <c r="I4653" t="s">
        <v>36</v>
      </c>
      <c r="J4653" s="1">
        <v>45516</v>
      </c>
      <c r="K4653" t="b">
        <v>0</v>
      </c>
    </row>
    <row r="4654" spans="1:11" x14ac:dyDescent="0.25">
      <c r="A4654" t="s">
        <v>4802</v>
      </c>
      <c r="B4654" t="s">
        <v>18</v>
      </c>
      <c r="C4654" t="s">
        <v>19</v>
      </c>
      <c r="D4654" t="s">
        <v>228</v>
      </c>
      <c r="E4654" s="2">
        <v>20</v>
      </c>
      <c r="F4654" s="4">
        <v>4</v>
      </c>
      <c r="G4654" s="2">
        <v>80</v>
      </c>
      <c r="H4654" t="s">
        <v>15</v>
      </c>
      <c r="I4654" t="s">
        <v>36</v>
      </c>
      <c r="J4654" s="1">
        <v>45542</v>
      </c>
      <c r="K4654" t="b">
        <v>1</v>
      </c>
    </row>
    <row r="4655" spans="1:11" x14ac:dyDescent="0.25">
      <c r="A4655" t="s">
        <v>5871</v>
      </c>
      <c r="B4655" t="s">
        <v>85</v>
      </c>
      <c r="C4655" t="s">
        <v>23</v>
      </c>
      <c r="D4655" t="s">
        <v>666</v>
      </c>
      <c r="E4655" s="2">
        <v>20</v>
      </c>
      <c r="F4655" s="4">
        <v>4</v>
      </c>
      <c r="G4655" s="2">
        <v>80</v>
      </c>
      <c r="H4655" t="s">
        <v>15</v>
      </c>
      <c r="I4655" t="s">
        <v>36</v>
      </c>
      <c r="J4655" s="1">
        <v>44670</v>
      </c>
      <c r="K4655" t="b">
        <v>0</v>
      </c>
    </row>
    <row r="4656" spans="1:11" x14ac:dyDescent="0.25">
      <c r="A4656" t="s">
        <v>2856</v>
      </c>
      <c r="B4656" t="s">
        <v>97</v>
      </c>
      <c r="C4656" t="s">
        <v>38</v>
      </c>
      <c r="D4656" t="s">
        <v>697</v>
      </c>
      <c r="E4656" s="2">
        <v>8</v>
      </c>
      <c r="F4656" s="4">
        <v>10</v>
      </c>
      <c r="G4656" s="2">
        <v>80</v>
      </c>
      <c r="H4656" t="s">
        <v>15</v>
      </c>
      <c r="I4656" t="s">
        <v>16</v>
      </c>
      <c r="J4656" s="1">
        <v>45156</v>
      </c>
      <c r="K4656" t="b">
        <v>1</v>
      </c>
    </row>
    <row r="4657" spans="1:11" x14ac:dyDescent="0.25">
      <c r="A4657" t="s">
        <v>2292</v>
      </c>
      <c r="B4657" t="s">
        <v>86</v>
      </c>
      <c r="C4657" t="s">
        <v>31</v>
      </c>
      <c r="D4657" t="s">
        <v>106</v>
      </c>
      <c r="E4657" s="2">
        <v>8</v>
      </c>
      <c r="F4657" s="4">
        <v>10</v>
      </c>
      <c r="G4657" s="2">
        <v>80</v>
      </c>
      <c r="H4657" t="s">
        <v>25</v>
      </c>
      <c r="I4657" t="s">
        <v>16</v>
      </c>
      <c r="J4657" s="1">
        <v>45130</v>
      </c>
      <c r="K4657" t="b">
        <v>0</v>
      </c>
    </row>
    <row r="4658" spans="1:11" x14ac:dyDescent="0.25">
      <c r="A4658" t="s">
        <v>4625</v>
      </c>
      <c r="B4658" t="s">
        <v>97</v>
      </c>
      <c r="C4658" t="s">
        <v>13</v>
      </c>
      <c r="D4658" t="s">
        <v>113</v>
      </c>
      <c r="E4658" s="2">
        <v>20</v>
      </c>
      <c r="F4658" s="4">
        <v>4</v>
      </c>
      <c r="G4658" s="2">
        <v>80</v>
      </c>
      <c r="H4658" t="s">
        <v>45</v>
      </c>
      <c r="I4658" t="s">
        <v>36</v>
      </c>
      <c r="J4658" s="1">
        <v>45592</v>
      </c>
      <c r="K4658" t="b">
        <v>0</v>
      </c>
    </row>
    <row r="4659" spans="1:11" x14ac:dyDescent="0.25">
      <c r="A4659" t="s">
        <v>990</v>
      </c>
      <c r="B4659" t="s">
        <v>18</v>
      </c>
      <c r="C4659" t="s">
        <v>27</v>
      </c>
      <c r="D4659" t="s">
        <v>95</v>
      </c>
      <c r="E4659" s="2">
        <v>20</v>
      </c>
      <c r="F4659" s="4">
        <v>4</v>
      </c>
      <c r="G4659" s="2">
        <v>80</v>
      </c>
      <c r="H4659" t="s">
        <v>15</v>
      </c>
      <c r="I4659" t="s">
        <v>36</v>
      </c>
      <c r="J4659" s="1">
        <v>45069</v>
      </c>
      <c r="K4659" t="b">
        <v>0</v>
      </c>
    </row>
    <row r="4660" spans="1:11" x14ac:dyDescent="0.25">
      <c r="A4660" t="s">
        <v>112</v>
      </c>
      <c r="B4660" t="s">
        <v>86</v>
      </c>
      <c r="C4660" t="s">
        <v>13</v>
      </c>
      <c r="D4660" t="s">
        <v>113</v>
      </c>
      <c r="E4660" s="2">
        <v>20</v>
      </c>
      <c r="F4660" s="4">
        <v>4</v>
      </c>
      <c r="G4660" s="2">
        <v>80</v>
      </c>
      <c r="H4660" t="s">
        <v>25</v>
      </c>
      <c r="I4660" t="s">
        <v>16</v>
      </c>
      <c r="J4660" s="1">
        <v>44748</v>
      </c>
      <c r="K4660" t="b">
        <v>1</v>
      </c>
    </row>
    <row r="4661" spans="1:11" x14ac:dyDescent="0.25">
      <c r="A4661" t="s">
        <v>7801</v>
      </c>
      <c r="B4661" t="s">
        <v>66</v>
      </c>
      <c r="C4661" t="s">
        <v>110</v>
      </c>
      <c r="D4661" t="s">
        <v>263</v>
      </c>
      <c r="E4661" s="2">
        <v>20</v>
      </c>
      <c r="F4661" s="4">
        <v>4</v>
      </c>
      <c r="G4661" s="2">
        <v>80</v>
      </c>
      <c r="H4661" t="s">
        <v>25</v>
      </c>
      <c r="I4661" t="s">
        <v>16</v>
      </c>
      <c r="J4661" s="1">
        <v>45118</v>
      </c>
      <c r="K4661" t="b">
        <v>0</v>
      </c>
    </row>
    <row r="4662" spans="1:11" x14ac:dyDescent="0.25">
      <c r="A4662" t="s">
        <v>7520</v>
      </c>
      <c r="B4662" t="s">
        <v>40</v>
      </c>
      <c r="C4662" t="s">
        <v>23</v>
      </c>
      <c r="D4662" t="s">
        <v>666</v>
      </c>
      <c r="E4662" s="2">
        <v>20</v>
      </c>
      <c r="F4662" s="4">
        <v>4</v>
      </c>
      <c r="G4662" s="2">
        <v>80</v>
      </c>
      <c r="H4662" t="s">
        <v>15</v>
      </c>
      <c r="I4662" t="s">
        <v>16</v>
      </c>
      <c r="J4662" s="1">
        <v>45397</v>
      </c>
      <c r="K4662" t="b">
        <v>0</v>
      </c>
    </row>
    <row r="4663" spans="1:11" x14ac:dyDescent="0.25">
      <c r="A4663" t="s">
        <v>1196</v>
      </c>
      <c r="B4663" t="s">
        <v>22</v>
      </c>
      <c r="C4663" t="s">
        <v>38</v>
      </c>
      <c r="D4663" t="s">
        <v>159</v>
      </c>
      <c r="E4663" s="2">
        <v>20</v>
      </c>
      <c r="F4663" s="4">
        <v>4</v>
      </c>
      <c r="G4663" s="2">
        <v>80</v>
      </c>
      <c r="H4663" t="s">
        <v>25</v>
      </c>
      <c r="I4663" t="s">
        <v>36</v>
      </c>
      <c r="J4663" s="1">
        <v>45652</v>
      </c>
      <c r="K4663" t="b">
        <v>1</v>
      </c>
    </row>
    <row r="4664" spans="1:11" x14ac:dyDescent="0.25">
      <c r="A4664" t="s">
        <v>385</v>
      </c>
      <c r="B4664" t="s">
        <v>66</v>
      </c>
      <c r="C4664" t="s">
        <v>23</v>
      </c>
      <c r="D4664" t="s">
        <v>47</v>
      </c>
      <c r="E4664" s="2">
        <v>8</v>
      </c>
      <c r="F4664" s="4">
        <v>10</v>
      </c>
      <c r="G4664" s="2">
        <v>80</v>
      </c>
      <c r="H4664" t="s">
        <v>45</v>
      </c>
      <c r="I4664" t="s">
        <v>16</v>
      </c>
      <c r="J4664" s="1">
        <v>44615</v>
      </c>
      <c r="K4664" t="b">
        <v>0</v>
      </c>
    </row>
    <row r="4665" spans="1:11" x14ac:dyDescent="0.25">
      <c r="A4665" t="s">
        <v>2998</v>
      </c>
      <c r="B4665" t="s">
        <v>69</v>
      </c>
      <c r="C4665" t="s">
        <v>23</v>
      </c>
      <c r="D4665" t="s">
        <v>666</v>
      </c>
      <c r="E4665" s="2">
        <v>20</v>
      </c>
      <c r="F4665" s="4">
        <v>4</v>
      </c>
      <c r="G4665" s="2">
        <v>80</v>
      </c>
      <c r="H4665" t="s">
        <v>15</v>
      </c>
      <c r="I4665" t="s">
        <v>16</v>
      </c>
      <c r="J4665" s="1">
        <v>45661</v>
      </c>
      <c r="K4665" t="b">
        <v>1</v>
      </c>
    </row>
    <row r="4666" spans="1:11" x14ac:dyDescent="0.25">
      <c r="A4666" t="s">
        <v>2023</v>
      </c>
      <c r="B4666" t="s">
        <v>69</v>
      </c>
      <c r="C4666" t="s">
        <v>27</v>
      </c>
      <c r="D4666" t="s">
        <v>357</v>
      </c>
      <c r="E4666" s="2">
        <v>8</v>
      </c>
      <c r="F4666" s="4">
        <v>10</v>
      </c>
      <c r="G4666" s="2">
        <v>80</v>
      </c>
      <c r="H4666" t="s">
        <v>45</v>
      </c>
      <c r="I4666" t="s">
        <v>16</v>
      </c>
      <c r="J4666" s="1">
        <v>45332</v>
      </c>
      <c r="K4666" t="b">
        <v>0</v>
      </c>
    </row>
    <row r="4667" spans="1:11" x14ac:dyDescent="0.25">
      <c r="A4667" t="s">
        <v>7398</v>
      </c>
      <c r="B4667" t="s">
        <v>12</v>
      </c>
      <c r="C4667" t="s">
        <v>59</v>
      </c>
      <c r="D4667" t="s">
        <v>365</v>
      </c>
      <c r="E4667" s="2">
        <v>20</v>
      </c>
      <c r="F4667" s="4">
        <v>4</v>
      </c>
      <c r="G4667" s="2">
        <v>80</v>
      </c>
      <c r="H4667" t="s">
        <v>25</v>
      </c>
      <c r="I4667" t="s">
        <v>16</v>
      </c>
      <c r="J4667" s="1">
        <v>44626</v>
      </c>
      <c r="K4667" t="b">
        <v>1</v>
      </c>
    </row>
    <row r="4668" spans="1:11" x14ac:dyDescent="0.25">
      <c r="A4668" t="s">
        <v>2822</v>
      </c>
      <c r="B4668" t="s">
        <v>40</v>
      </c>
      <c r="C4668" t="s">
        <v>19</v>
      </c>
      <c r="D4668" t="s">
        <v>228</v>
      </c>
      <c r="E4668" s="2">
        <v>20</v>
      </c>
      <c r="F4668" s="4">
        <v>4</v>
      </c>
      <c r="G4668" s="2">
        <v>80</v>
      </c>
      <c r="H4668" t="s">
        <v>15</v>
      </c>
      <c r="I4668" t="s">
        <v>16</v>
      </c>
      <c r="J4668" s="1">
        <v>44775</v>
      </c>
      <c r="K4668" t="b">
        <v>0</v>
      </c>
    </row>
    <row r="4669" spans="1:11" x14ac:dyDescent="0.25">
      <c r="A4669" t="s">
        <v>1180</v>
      </c>
      <c r="B4669" t="s">
        <v>22</v>
      </c>
      <c r="C4669" t="s">
        <v>19</v>
      </c>
      <c r="D4669" t="s">
        <v>228</v>
      </c>
      <c r="E4669" s="2">
        <v>20</v>
      </c>
      <c r="F4669" s="4">
        <v>4</v>
      </c>
      <c r="G4669" s="2">
        <v>80</v>
      </c>
      <c r="H4669" t="s">
        <v>25</v>
      </c>
      <c r="I4669" t="s">
        <v>16</v>
      </c>
      <c r="J4669" s="1">
        <v>45537</v>
      </c>
      <c r="K4669" t="b">
        <v>0</v>
      </c>
    </row>
    <row r="4670" spans="1:11" x14ac:dyDescent="0.25">
      <c r="A4670" t="s">
        <v>6262</v>
      </c>
      <c r="B4670" t="s">
        <v>26</v>
      </c>
      <c r="C4670" t="s">
        <v>31</v>
      </c>
      <c r="D4670" t="s">
        <v>82</v>
      </c>
      <c r="E4670" s="2">
        <v>20</v>
      </c>
      <c r="F4670" s="4">
        <v>4</v>
      </c>
      <c r="G4670" s="2">
        <v>80</v>
      </c>
      <c r="H4670" t="s">
        <v>15</v>
      </c>
      <c r="I4670" t="s">
        <v>36</v>
      </c>
      <c r="J4670" s="1">
        <v>44977</v>
      </c>
      <c r="K4670" t="b">
        <v>1</v>
      </c>
    </row>
    <row r="4671" spans="1:11" x14ac:dyDescent="0.25">
      <c r="A4671" t="s">
        <v>520</v>
      </c>
      <c r="B4671" t="s">
        <v>77</v>
      </c>
      <c r="C4671" t="s">
        <v>38</v>
      </c>
      <c r="D4671" t="s">
        <v>165</v>
      </c>
      <c r="E4671" s="2">
        <v>39.5</v>
      </c>
      <c r="F4671" s="4">
        <v>2</v>
      </c>
      <c r="G4671" s="2">
        <v>79</v>
      </c>
      <c r="H4671" t="s">
        <v>25</v>
      </c>
      <c r="I4671" t="s">
        <v>16</v>
      </c>
      <c r="J4671" s="1">
        <v>45165</v>
      </c>
      <c r="K4671" t="b">
        <v>0</v>
      </c>
    </row>
    <row r="4672" spans="1:11" x14ac:dyDescent="0.25">
      <c r="A4672" t="s">
        <v>3306</v>
      </c>
      <c r="B4672" t="s">
        <v>77</v>
      </c>
      <c r="C4672" t="s">
        <v>38</v>
      </c>
      <c r="D4672" t="s">
        <v>165</v>
      </c>
      <c r="E4672" s="2">
        <v>39.5</v>
      </c>
      <c r="F4672" s="4">
        <v>2</v>
      </c>
      <c r="G4672" s="2">
        <v>79</v>
      </c>
      <c r="H4672" t="s">
        <v>45</v>
      </c>
      <c r="I4672" t="s">
        <v>36</v>
      </c>
      <c r="J4672" s="1">
        <v>44668</v>
      </c>
      <c r="K4672" t="b">
        <v>0</v>
      </c>
    </row>
    <row r="4673" spans="1:11" x14ac:dyDescent="0.25">
      <c r="A4673" t="s">
        <v>5603</v>
      </c>
      <c r="B4673" t="s">
        <v>26</v>
      </c>
      <c r="C4673" t="s">
        <v>27</v>
      </c>
      <c r="D4673" t="s">
        <v>482</v>
      </c>
      <c r="E4673" s="2">
        <v>39.5</v>
      </c>
      <c r="F4673" s="4">
        <v>2</v>
      </c>
      <c r="G4673" s="2">
        <v>79</v>
      </c>
      <c r="H4673" t="s">
        <v>25</v>
      </c>
      <c r="I4673" t="s">
        <v>16</v>
      </c>
      <c r="J4673" s="1">
        <v>45622</v>
      </c>
      <c r="K4673" t="b">
        <v>1</v>
      </c>
    </row>
    <row r="4674" spans="1:11" x14ac:dyDescent="0.25">
      <c r="A4674" t="s">
        <v>1833</v>
      </c>
      <c r="B4674" t="s">
        <v>43</v>
      </c>
      <c r="C4674" t="s">
        <v>38</v>
      </c>
      <c r="D4674" t="s">
        <v>165</v>
      </c>
      <c r="E4674" s="2">
        <v>39.5</v>
      </c>
      <c r="F4674" s="4">
        <v>2</v>
      </c>
      <c r="G4674" s="2">
        <v>79</v>
      </c>
      <c r="H4674" t="s">
        <v>15</v>
      </c>
      <c r="I4674" t="s">
        <v>36</v>
      </c>
      <c r="J4674" s="1">
        <v>44567</v>
      </c>
      <c r="K4674" t="b">
        <v>1</v>
      </c>
    </row>
    <row r="4675" spans="1:11" x14ac:dyDescent="0.25">
      <c r="A4675" t="s">
        <v>1932</v>
      </c>
      <c r="B4675" t="s">
        <v>72</v>
      </c>
      <c r="C4675" t="s">
        <v>38</v>
      </c>
      <c r="D4675" t="s">
        <v>165</v>
      </c>
      <c r="E4675" s="2">
        <v>39.5</v>
      </c>
      <c r="F4675" s="4">
        <v>2</v>
      </c>
      <c r="G4675" s="2">
        <v>79</v>
      </c>
      <c r="H4675" t="s">
        <v>45</v>
      </c>
      <c r="I4675" t="s">
        <v>36</v>
      </c>
      <c r="J4675" s="1">
        <v>45311</v>
      </c>
      <c r="K4675" t="b">
        <v>1</v>
      </c>
    </row>
    <row r="4676" spans="1:11" x14ac:dyDescent="0.25">
      <c r="A4676" t="s">
        <v>5145</v>
      </c>
      <c r="B4676" t="s">
        <v>61</v>
      </c>
      <c r="C4676" t="s">
        <v>27</v>
      </c>
      <c r="D4676" t="s">
        <v>482</v>
      </c>
      <c r="E4676" s="2">
        <v>39.5</v>
      </c>
      <c r="F4676" s="4">
        <v>2</v>
      </c>
      <c r="G4676" s="2">
        <v>79</v>
      </c>
      <c r="H4676" t="s">
        <v>45</v>
      </c>
      <c r="I4676" t="s">
        <v>16</v>
      </c>
      <c r="J4676" s="1">
        <v>45351</v>
      </c>
      <c r="K4676" t="b">
        <v>0</v>
      </c>
    </row>
    <row r="4677" spans="1:11" x14ac:dyDescent="0.25">
      <c r="A4677" t="s">
        <v>935</v>
      </c>
      <c r="B4677" t="s">
        <v>18</v>
      </c>
      <c r="C4677" t="s">
        <v>31</v>
      </c>
      <c r="D4677" t="s">
        <v>212</v>
      </c>
      <c r="E4677" s="2">
        <v>39.5</v>
      </c>
      <c r="F4677" s="4">
        <v>2</v>
      </c>
      <c r="G4677" s="2">
        <v>79</v>
      </c>
      <c r="H4677" t="s">
        <v>25</v>
      </c>
      <c r="I4677" t="s">
        <v>16</v>
      </c>
      <c r="J4677" s="1">
        <v>45168</v>
      </c>
      <c r="K4677" t="b">
        <v>1</v>
      </c>
    </row>
    <row r="4678" spans="1:11" x14ac:dyDescent="0.25">
      <c r="A4678" t="s">
        <v>6169</v>
      </c>
      <c r="B4678" t="s">
        <v>104</v>
      </c>
      <c r="C4678" t="s">
        <v>38</v>
      </c>
      <c r="D4678" t="s">
        <v>165</v>
      </c>
      <c r="E4678" s="2">
        <v>39.5</v>
      </c>
      <c r="F4678" s="4">
        <v>2</v>
      </c>
      <c r="G4678" s="2">
        <v>79</v>
      </c>
      <c r="H4678" t="s">
        <v>45</v>
      </c>
      <c r="I4678" t="s">
        <v>36</v>
      </c>
      <c r="J4678" s="1">
        <v>45100</v>
      </c>
      <c r="K4678" t="b">
        <v>1</v>
      </c>
    </row>
    <row r="4679" spans="1:11" x14ac:dyDescent="0.25">
      <c r="A4679" t="s">
        <v>5005</v>
      </c>
      <c r="B4679" t="s">
        <v>97</v>
      </c>
      <c r="C4679" t="s">
        <v>19</v>
      </c>
      <c r="D4679" t="s">
        <v>220</v>
      </c>
      <c r="E4679" s="2">
        <v>39.5</v>
      </c>
      <c r="F4679" s="4">
        <v>2</v>
      </c>
      <c r="G4679" s="2">
        <v>79</v>
      </c>
      <c r="H4679" t="s">
        <v>15</v>
      </c>
      <c r="I4679" t="s">
        <v>16</v>
      </c>
      <c r="J4679" s="1">
        <v>44624</v>
      </c>
      <c r="K4679" t="b">
        <v>1</v>
      </c>
    </row>
    <row r="4680" spans="1:11" x14ac:dyDescent="0.25">
      <c r="A4680" t="s">
        <v>3697</v>
      </c>
      <c r="B4680" t="s">
        <v>69</v>
      </c>
      <c r="C4680" t="s">
        <v>31</v>
      </c>
      <c r="D4680" t="s">
        <v>212</v>
      </c>
      <c r="E4680" s="2">
        <v>39.5</v>
      </c>
      <c r="F4680" s="4">
        <v>2</v>
      </c>
      <c r="G4680" s="2">
        <v>79</v>
      </c>
      <c r="H4680" t="s">
        <v>45</v>
      </c>
      <c r="I4680" t="s">
        <v>16</v>
      </c>
      <c r="J4680" s="1">
        <v>44598</v>
      </c>
      <c r="K4680" t="b">
        <v>0</v>
      </c>
    </row>
    <row r="4681" spans="1:11" x14ac:dyDescent="0.25">
      <c r="A4681" t="s">
        <v>1712</v>
      </c>
      <c r="B4681" t="s">
        <v>26</v>
      </c>
      <c r="C4681" t="s">
        <v>13</v>
      </c>
      <c r="D4681" t="s">
        <v>52</v>
      </c>
      <c r="E4681" s="2">
        <v>39.5</v>
      </c>
      <c r="F4681" s="4">
        <v>2</v>
      </c>
      <c r="G4681" s="2">
        <v>79</v>
      </c>
      <c r="H4681" t="s">
        <v>25</v>
      </c>
      <c r="I4681" t="s">
        <v>36</v>
      </c>
      <c r="J4681" s="1">
        <v>45321</v>
      </c>
      <c r="K4681" t="b">
        <v>0</v>
      </c>
    </row>
    <row r="4682" spans="1:11" x14ac:dyDescent="0.25">
      <c r="A4682" t="s">
        <v>2491</v>
      </c>
      <c r="B4682" t="s">
        <v>12</v>
      </c>
      <c r="C4682" t="s">
        <v>31</v>
      </c>
      <c r="D4682" t="s">
        <v>212</v>
      </c>
      <c r="E4682" s="2">
        <v>39.5</v>
      </c>
      <c r="F4682" s="4">
        <v>2</v>
      </c>
      <c r="G4682" s="2">
        <v>79</v>
      </c>
      <c r="H4682" t="s">
        <v>15</v>
      </c>
      <c r="I4682" t="s">
        <v>36</v>
      </c>
      <c r="J4682" s="1">
        <v>44954</v>
      </c>
      <c r="K4682" t="b">
        <v>1</v>
      </c>
    </row>
    <row r="4683" spans="1:11" x14ac:dyDescent="0.25">
      <c r="A4683" t="s">
        <v>5088</v>
      </c>
      <c r="B4683" t="s">
        <v>26</v>
      </c>
      <c r="C4683" t="s">
        <v>59</v>
      </c>
      <c r="D4683" t="s">
        <v>536</v>
      </c>
      <c r="E4683" s="2">
        <v>39.5</v>
      </c>
      <c r="F4683" s="4">
        <v>2</v>
      </c>
      <c r="G4683" s="2">
        <v>79</v>
      </c>
      <c r="H4683" t="s">
        <v>25</v>
      </c>
      <c r="I4683" t="s">
        <v>16</v>
      </c>
      <c r="J4683" s="1">
        <v>44792</v>
      </c>
      <c r="K4683" t="b">
        <v>0</v>
      </c>
    </row>
    <row r="4684" spans="1:11" x14ac:dyDescent="0.25">
      <c r="A4684" t="s">
        <v>1552</v>
      </c>
      <c r="B4684" t="s">
        <v>12</v>
      </c>
      <c r="C4684" t="s">
        <v>38</v>
      </c>
      <c r="D4684" t="s">
        <v>165</v>
      </c>
      <c r="E4684" s="2">
        <v>39.5</v>
      </c>
      <c r="F4684" s="4">
        <v>2</v>
      </c>
      <c r="G4684" s="2">
        <v>79</v>
      </c>
      <c r="H4684" t="s">
        <v>15</v>
      </c>
      <c r="I4684" t="s">
        <v>16</v>
      </c>
      <c r="J4684" s="1">
        <v>45295</v>
      </c>
      <c r="K4684" t="b">
        <v>1</v>
      </c>
    </row>
    <row r="4685" spans="1:11" x14ac:dyDescent="0.25">
      <c r="A4685" t="s">
        <v>5707</v>
      </c>
      <c r="B4685" t="s">
        <v>34</v>
      </c>
      <c r="C4685" t="s">
        <v>19</v>
      </c>
      <c r="D4685" t="s">
        <v>220</v>
      </c>
      <c r="E4685" s="2">
        <v>39.5</v>
      </c>
      <c r="F4685" s="4">
        <v>2</v>
      </c>
      <c r="G4685" s="2">
        <v>79</v>
      </c>
      <c r="H4685" t="s">
        <v>25</v>
      </c>
      <c r="I4685" t="s">
        <v>36</v>
      </c>
      <c r="J4685" s="1">
        <v>44720</v>
      </c>
      <c r="K4685" t="b">
        <v>1</v>
      </c>
    </row>
    <row r="4686" spans="1:11" x14ac:dyDescent="0.25">
      <c r="A4686" t="s">
        <v>4880</v>
      </c>
      <c r="B4686" t="s">
        <v>40</v>
      </c>
      <c r="C4686" t="s">
        <v>19</v>
      </c>
      <c r="D4686" t="s">
        <v>220</v>
      </c>
      <c r="E4686" s="2">
        <v>39.5</v>
      </c>
      <c r="F4686" s="4">
        <v>2</v>
      </c>
      <c r="G4686" s="2">
        <v>79</v>
      </c>
      <c r="H4686" t="s">
        <v>15</v>
      </c>
      <c r="I4686" t="s">
        <v>16</v>
      </c>
      <c r="J4686" s="1">
        <v>44750</v>
      </c>
      <c r="K4686" t="b">
        <v>1</v>
      </c>
    </row>
    <row r="4687" spans="1:11" x14ac:dyDescent="0.25">
      <c r="A4687" t="s">
        <v>2812</v>
      </c>
      <c r="B4687" t="s">
        <v>34</v>
      </c>
      <c r="C4687" t="s">
        <v>27</v>
      </c>
      <c r="D4687" t="s">
        <v>482</v>
      </c>
      <c r="E4687" s="2">
        <v>39.5</v>
      </c>
      <c r="F4687" s="4">
        <v>2</v>
      </c>
      <c r="G4687" s="2">
        <v>79</v>
      </c>
      <c r="H4687" t="s">
        <v>45</v>
      </c>
      <c r="I4687" t="s">
        <v>16</v>
      </c>
      <c r="J4687" s="1">
        <v>45324</v>
      </c>
      <c r="K4687" t="b">
        <v>1</v>
      </c>
    </row>
    <row r="4688" spans="1:11" x14ac:dyDescent="0.25">
      <c r="A4688" t="s">
        <v>4909</v>
      </c>
      <c r="B4688" t="s">
        <v>72</v>
      </c>
      <c r="C4688" t="s">
        <v>23</v>
      </c>
      <c r="D4688" t="s">
        <v>103</v>
      </c>
      <c r="E4688" s="2">
        <v>39.5</v>
      </c>
      <c r="F4688" s="4">
        <v>2</v>
      </c>
      <c r="G4688" s="2">
        <v>79</v>
      </c>
      <c r="H4688" t="s">
        <v>15</v>
      </c>
      <c r="I4688" t="s">
        <v>16</v>
      </c>
      <c r="J4688" s="1">
        <v>44791</v>
      </c>
      <c r="K4688" t="b">
        <v>1</v>
      </c>
    </row>
    <row r="4689" spans="1:11" x14ac:dyDescent="0.25">
      <c r="A4689" t="s">
        <v>4327</v>
      </c>
      <c r="B4689" t="s">
        <v>93</v>
      </c>
      <c r="C4689" t="s">
        <v>27</v>
      </c>
      <c r="D4689" t="s">
        <v>482</v>
      </c>
      <c r="E4689" s="2">
        <v>39.5</v>
      </c>
      <c r="F4689" s="4">
        <v>2</v>
      </c>
      <c r="G4689" s="2">
        <v>79</v>
      </c>
      <c r="H4689" t="s">
        <v>15</v>
      </c>
      <c r="I4689" t="s">
        <v>36</v>
      </c>
      <c r="J4689" s="1">
        <v>44876</v>
      </c>
      <c r="K4689" t="b">
        <v>1</v>
      </c>
    </row>
    <row r="4690" spans="1:11" x14ac:dyDescent="0.25">
      <c r="A4690" t="s">
        <v>5861</v>
      </c>
      <c r="B4690" t="s">
        <v>97</v>
      </c>
      <c r="C4690" t="s">
        <v>27</v>
      </c>
      <c r="D4690" t="s">
        <v>482</v>
      </c>
      <c r="E4690" s="2">
        <v>39.5</v>
      </c>
      <c r="F4690" s="4">
        <v>2</v>
      </c>
      <c r="G4690" s="2">
        <v>79</v>
      </c>
      <c r="H4690" t="s">
        <v>45</v>
      </c>
      <c r="I4690" t="s">
        <v>16</v>
      </c>
      <c r="J4690" s="1">
        <v>44578</v>
      </c>
      <c r="K4690" t="b">
        <v>1</v>
      </c>
    </row>
    <row r="4691" spans="1:11" x14ac:dyDescent="0.25">
      <c r="A4691" t="s">
        <v>2843</v>
      </c>
      <c r="B4691" t="s">
        <v>142</v>
      </c>
      <c r="C4691" t="s">
        <v>38</v>
      </c>
      <c r="D4691" t="s">
        <v>165</v>
      </c>
      <c r="E4691" s="2">
        <v>39.5</v>
      </c>
      <c r="F4691" s="4">
        <v>2</v>
      </c>
      <c r="G4691" s="2">
        <v>79</v>
      </c>
      <c r="H4691" t="s">
        <v>45</v>
      </c>
      <c r="I4691" t="s">
        <v>16</v>
      </c>
      <c r="J4691" s="1">
        <v>45443</v>
      </c>
      <c r="K4691" t="b">
        <v>1</v>
      </c>
    </row>
    <row r="4692" spans="1:11" x14ac:dyDescent="0.25">
      <c r="A4692" t="s">
        <v>844</v>
      </c>
      <c r="B4692" t="s">
        <v>37</v>
      </c>
      <c r="C4692" t="s">
        <v>38</v>
      </c>
      <c r="D4692" t="s">
        <v>165</v>
      </c>
      <c r="E4692" s="2">
        <v>39.5</v>
      </c>
      <c r="F4692" s="4">
        <v>2</v>
      </c>
      <c r="G4692" s="2">
        <v>79</v>
      </c>
      <c r="H4692" t="s">
        <v>15</v>
      </c>
      <c r="I4692" t="s">
        <v>36</v>
      </c>
      <c r="J4692" s="1">
        <v>45014</v>
      </c>
      <c r="K4692" t="b">
        <v>0</v>
      </c>
    </row>
    <row r="4693" spans="1:11" x14ac:dyDescent="0.25">
      <c r="A4693" t="s">
        <v>7569</v>
      </c>
      <c r="B4693" t="s">
        <v>63</v>
      </c>
      <c r="C4693" t="s">
        <v>38</v>
      </c>
      <c r="D4693" t="s">
        <v>165</v>
      </c>
      <c r="E4693" s="2">
        <v>39.5</v>
      </c>
      <c r="F4693" s="4">
        <v>2</v>
      </c>
      <c r="G4693" s="2">
        <v>79</v>
      </c>
      <c r="H4693" t="s">
        <v>45</v>
      </c>
      <c r="I4693" t="s">
        <v>36</v>
      </c>
      <c r="J4693" s="1">
        <v>44993</v>
      </c>
      <c r="K4693" t="b">
        <v>1</v>
      </c>
    </row>
    <row r="4694" spans="1:11" x14ac:dyDescent="0.25">
      <c r="A4694" t="s">
        <v>7081</v>
      </c>
      <c r="B4694" t="s">
        <v>58</v>
      </c>
      <c r="C4694" t="s">
        <v>27</v>
      </c>
      <c r="D4694" t="s">
        <v>482</v>
      </c>
      <c r="E4694" s="2">
        <v>39.5</v>
      </c>
      <c r="F4694" s="4">
        <v>2</v>
      </c>
      <c r="G4694" s="2">
        <v>79</v>
      </c>
      <c r="H4694" t="s">
        <v>45</v>
      </c>
      <c r="I4694" t="s">
        <v>36</v>
      </c>
      <c r="J4694" s="1">
        <v>45553</v>
      </c>
      <c r="K4694" t="b">
        <v>1</v>
      </c>
    </row>
    <row r="4695" spans="1:11" x14ac:dyDescent="0.25">
      <c r="A4695" t="s">
        <v>2592</v>
      </c>
      <c r="B4695" t="s">
        <v>51</v>
      </c>
      <c r="C4695" t="s">
        <v>13</v>
      </c>
      <c r="D4695" t="s">
        <v>52</v>
      </c>
      <c r="E4695" s="2">
        <v>39.5</v>
      </c>
      <c r="F4695" s="4">
        <v>2</v>
      </c>
      <c r="G4695" s="2">
        <v>79</v>
      </c>
      <c r="H4695" t="s">
        <v>25</v>
      </c>
      <c r="I4695" t="s">
        <v>16</v>
      </c>
      <c r="J4695" s="1">
        <v>45436</v>
      </c>
      <c r="K4695" t="b">
        <v>0</v>
      </c>
    </row>
    <row r="4696" spans="1:11" x14ac:dyDescent="0.25">
      <c r="A4696" t="s">
        <v>2872</v>
      </c>
      <c r="B4696" t="s">
        <v>61</v>
      </c>
      <c r="C4696" t="s">
        <v>13</v>
      </c>
      <c r="D4696" t="s">
        <v>52</v>
      </c>
      <c r="E4696" s="2">
        <v>39.5</v>
      </c>
      <c r="F4696" s="4">
        <v>2</v>
      </c>
      <c r="G4696" s="2">
        <v>79</v>
      </c>
      <c r="H4696" t="s">
        <v>25</v>
      </c>
      <c r="I4696" t="s">
        <v>16</v>
      </c>
      <c r="J4696" s="1">
        <v>45196</v>
      </c>
      <c r="K4696" t="b">
        <v>0</v>
      </c>
    </row>
    <row r="4697" spans="1:11" x14ac:dyDescent="0.25">
      <c r="A4697" t="s">
        <v>7698</v>
      </c>
      <c r="B4697" t="s">
        <v>66</v>
      </c>
      <c r="C4697" t="s">
        <v>19</v>
      </c>
      <c r="D4697" t="s">
        <v>220</v>
      </c>
      <c r="E4697" s="2">
        <v>39.5</v>
      </c>
      <c r="F4697" s="4">
        <v>2</v>
      </c>
      <c r="G4697" s="2">
        <v>79</v>
      </c>
      <c r="H4697" t="s">
        <v>45</v>
      </c>
      <c r="I4697" t="s">
        <v>16</v>
      </c>
      <c r="J4697" s="1">
        <v>45426</v>
      </c>
      <c r="K4697" t="b">
        <v>0</v>
      </c>
    </row>
    <row r="4698" spans="1:11" x14ac:dyDescent="0.25">
      <c r="A4698" t="s">
        <v>1241</v>
      </c>
      <c r="B4698" t="s">
        <v>56</v>
      </c>
      <c r="C4698" t="s">
        <v>38</v>
      </c>
      <c r="D4698" t="s">
        <v>165</v>
      </c>
      <c r="E4698" s="2">
        <v>39.5</v>
      </c>
      <c r="F4698" s="4">
        <v>2</v>
      </c>
      <c r="G4698" s="2">
        <v>79</v>
      </c>
      <c r="H4698" t="s">
        <v>25</v>
      </c>
      <c r="I4698" t="s">
        <v>36</v>
      </c>
      <c r="J4698" s="1">
        <v>44834</v>
      </c>
      <c r="K4698" t="b">
        <v>1</v>
      </c>
    </row>
    <row r="4699" spans="1:11" x14ac:dyDescent="0.25">
      <c r="A4699" t="s">
        <v>4115</v>
      </c>
      <c r="B4699" t="s">
        <v>63</v>
      </c>
      <c r="C4699" t="s">
        <v>59</v>
      </c>
      <c r="D4699" t="s">
        <v>463</v>
      </c>
      <c r="E4699" s="2">
        <v>26</v>
      </c>
      <c r="F4699" s="4">
        <v>3</v>
      </c>
      <c r="G4699" s="2">
        <v>78</v>
      </c>
      <c r="H4699" t="s">
        <v>45</v>
      </c>
      <c r="I4699" t="s">
        <v>36</v>
      </c>
      <c r="J4699" s="1">
        <v>44886</v>
      </c>
      <c r="K4699" t="b">
        <v>1</v>
      </c>
    </row>
    <row r="4700" spans="1:11" x14ac:dyDescent="0.25">
      <c r="A4700" t="s">
        <v>3059</v>
      </c>
      <c r="B4700" t="s">
        <v>37</v>
      </c>
      <c r="C4700" t="s">
        <v>59</v>
      </c>
      <c r="D4700" t="s">
        <v>463</v>
      </c>
      <c r="E4700" s="2">
        <v>26</v>
      </c>
      <c r="F4700" s="4">
        <v>3</v>
      </c>
      <c r="G4700" s="2">
        <v>78</v>
      </c>
      <c r="H4700" t="s">
        <v>25</v>
      </c>
      <c r="I4700" t="s">
        <v>16</v>
      </c>
      <c r="J4700" s="1">
        <v>45542</v>
      </c>
      <c r="K4700" t="b">
        <v>0</v>
      </c>
    </row>
    <row r="4701" spans="1:11" x14ac:dyDescent="0.25">
      <c r="A4701" t="s">
        <v>7784</v>
      </c>
      <c r="B4701" t="s">
        <v>58</v>
      </c>
      <c r="C4701" t="s">
        <v>38</v>
      </c>
      <c r="D4701" t="s">
        <v>341</v>
      </c>
      <c r="E4701" s="2">
        <v>26</v>
      </c>
      <c r="F4701" s="4">
        <v>3</v>
      </c>
      <c r="G4701" s="2">
        <v>78</v>
      </c>
      <c r="H4701" t="s">
        <v>15</v>
      </c>
      <c r="I4701" t="s">
        <v>16</v>
      </c>
      <c r="J4701" s="1">
        <v>44574</v>
      </c>
      <c r="K4701" t="b">
        <v>0</v>
      </c>
    </row>
    <row r="4702" spans="1:11" x14ac:dyDescent="0.25">
      <c r="A4702" t="s">
        <v>5803</v>
      </c>
      <c r="B4702" t="s">
        <v>97</v>
      </c>
      <c r="C4702" t="s">
        <v>23</v>
      </c>
      <c r="D4702" t="s">
        <v>853</v>
      </c>
      <c r="E4702" s="2">
        <v>26</v>
      </c>
      <c r="F4702" s="4">
        <v>3</v>
      </c>
      <c r="G4702" s="2">
        <v>78</v>
      </c>
      <c r="H4702" t="s">
        <v>15</v>
      </c>
      <c r="I4702" t="s">
        <v>36</v>
      </c>
      <c r="J4702" s="1">
        <v>44761</v>
      </c>
      <c r="K4702" t="b">
        <v>0</v>
      </c>
    </row>
    <row r="4703" spans="1:11" x14ac:dyDescent="0.25">
      <c r="A4703" t="s">
        <v>2264</v>
      </c>
      <c r="B4703" t="s">
        <v>77</v>
      </c>
      <c r="C4703" t="s">
        <v>23</v>
      </c>
      <c r="D4703" t="s">
        <v>853</v>
      </c>
      <c r="E4703" s="2">
        <v>26</v>
      </c>
      <c r="F4703" s="4">
        <v>3</v>
      </c>
      <c r="G4703" s="2">
        <v>78</v>
      </c>
      <c r="H4703" t="s">
        <v>45</v>
      </c>
      <c r="I4703" t="s">
        <v>36</v>
      </c>
      <c r="J4703" s="1">
        <v>44969</v>
      </c>
      <c r="K4703" t="b">
        <v>1</v>
      </c>
    </row>
    <row r="4704" spans="1:11" x14ac:dyDescent="0.25">
      <c r="A4704" t="s">
        <v>5635</v>
      </c>
      <c r="B4704" t="s">
        <v>100</v>
      </c>
      <c r="C4704" t="s">
        <v>27</v>
      </c>
      <c r="D4704" t="s">
        <v>620</v>
      </c>
      <c r="E4704" s="2">
        <v>26</v>
      </c>
      <c r="F4704" s="4">
        <v>3</v>
      </c>
      <c r="G4704" s="2">
        <v>78</v>
      </c>
      <c r="H4704" t="s">
        <v>15</v>
      </c>
      <c r="I4704" t="s">
        <v>16</v>
      </c>
      <c r="J4704" s="1">
        <v>45047</v>
      </c>
      <c r="K4704" t="b">
        <v>1</v>
      </c>
    </row>
    <row r="4705" spans="1:11" x14ac:dyDescent="0.25">
      <c r="A4705" t="s">
        <v>4449</v>
      </c>
      <c r="B4705" t="s">
        <v>86</v>
      </c>
      <c r="C4705" t="s">
        <v>27</v>
      </c>
      <c r="D4705" t="s">
        <v>620</v>
      </c>
      <c r="E4705" s="2">
        <v>26</v>
      </c>
      <c r="F4705" s="4">
        <v>3</v>
      </c>
      <c r="G4705" s="2">
        <v>78</v>
      </c>
      <c r="H4705" t="s">
        <v>15</v>
      </c>
      <c r="I4705" t="s">
        <v>16</v>
      </c>
      <c r="J4705" s="1">
        <v>45108</v>
      </c>
      <c r="K4705" t="b">
        <v>0</v>
      </c>
    </row>
    <row r="4706" spans="1:11" x14ac:dyDescent="0.25">
      <c r="A4706" t="s">
        <v>1177</v>
      </c>
      <c r="B4706" t="s">
        <v>37</v>
      </c>
      <c r="C4706" t="s">
        <v>59</v>
      </c>
      <c r="D4706" t="s">
        <v>463</v>
      </c>
      <c r="E4706" s="2">
        <v>26</v>
      </c>
      <c r="F4706" s="4">
        <v>3</v>
      </c>
      <c r="G4706" s="2">
        <v>78</v>
      </c>
      <c r="H4706" t="s">
        <v>25</v>
      </c>
      <c r="I4706" t="s">
        <v>36</v>
      </c>
      <c r="J4706" s="1">
        <v>45443</v>
      </c>
      <c r="K4706" t="b">
        <v>0</v>
      </c>
    </row>
    <row r="4707" spans="1:11" x14ac:dyDescent="0.25">
      <c r="A4707" t="s">
        <v>703</v>
      </c>
      <c r="B4707" t="s">
        <v>43</v>
      </c>
      <c r="C4707" t="s">
        <v>13</v>
      </c>
      <c r="D4707" t="s">
        <v>343</v>
      </c>
      <c r="E4707" s="2">
        <v>26</v>
      </c>
      <c r="F4707" s="4">
        <v>3</v>
      </c>
      <c r="G4707" s="2">
        <v>78</v>
      </c>
      <c r="H4707" t="s">
        <v>45</v>
      </c>
      <c r="I4707" t="s">
        <v>16</v>
      </c>
      <c r="J4707" s="1">
        <v>45017</v>
      </c>
      <c r="K4707" t="b">
        <v>1</v>
      </c>
    </row>
    <row r="4708" spans="1:11" x14ac:dyDescent="0.25">
      <c r="A4708" t="s">
        <v>7384</v>
      </c>
      <c r="B4708" t="s">
        <v>77</v>
      </c>
      <c r="C4708" t="s">
        <v>38</v>
      </c>
      <c r="D4708" t="s">
        <v>341</v>
      </c>
      <c r="E4708" s="2">
        <v>26</v>
      </c>
      <c r="F4708" s="4">
        <v>3</v>
      </c>
      <c r="G4708" s="2">
        <v>78</v>
      </c>
      <c r="H4708" t="s">
        <v>45</v>
      </c>
      <c r="I4708" t="s">
        <v>16</v>
      </c>
      <c r="J4708" s="1">
        <v>45558</v>
      </c>
      <c r="K4708" t="b">
        <v>1</v>
      </c>
    </row>
    <row r="4709" spans="1:11" x14ac:dyDescent="0.25">
      <c r="A4709" t="s">
        <v>3585</v>
      </c>
      <c r="B4709" t="s">
        <v>86</v>
      </c>
      <c r="C4709" t="s">
        <v>59</v>
      </c>
      <c r="D4709" t="s">
        <v>463</v>
      </c>
      <c r="E4709" s="2">
        <v>26</v>
      </c>
      <c r="F4709" s="4">
        <v>3</v>
      </c>
      <c r="G4709" s="2">
        <v>78</v>
      </c>
      <c r="H4709" t="s">
        <v>45</v>
      </c>
      <c r="I4709" t="s">
        <v>36</v>
      </c>
      <c r="J4709" s="1">
        <v>45256</v>
      </c>
      <c r="K4709" t="b">
        <v>1</v>
      </c>
    </row>
    <row r="4710" spans="1:11" x14ac:dyDescent="0.25">
      <c r="A4710" t="s">
        <v>7117</v>
      </c>
      <c r="B4710" t="s">
        <v>18</v>
      </c>
      <c r="C4710" t="s">
        <v>59</v>
      </c>
      <c r="D4710" t="s">
        <v>463</v>
      </c>
      <c r="E4710" s="2">
        <v>26</v>
      </c>
      <c r="F4710" s="4">
        <v>3</v>
      </c>
      <c r="G4710" s="2">
        <v>78</v>
      </c>
      <c r="H4710" t="s">
        <v>45</v>
      </c>
      <c r="I4710" t="s">
        <v>36</v>
      </c>
      <c r="J4710" s="1">
        <v>45115</v>
      </c>
      <c r="K4710" t="b">
        <v>0</v>
      </c>
    </row>
    <row r="4711" spans="1:11" x14ac:dyDescent="0.25">
      <c r="A4711" t="s">
        <v>5611</v>
      </c>
      <c r="B4711" t="s">
        <v>43</v>
      </c>
      <c r="C4711" t="s">
        <v>110</v>
      </c>
      <c r="D4711" t="s">
        <v>126</v>
      </c>
      <c r="E4711" s="2">
        <v>26</v>
      </c>
      <c r="F4711" s="4">
        <v>3</v>
      </c>
      <c r="G4711" s="2">
        <v>78</v>
      </c>
      <c r="H4711" t="s">
        <v>15</v>
      </c>
      <c r="I4711" t="s">
        <v>16</v>
      </c>
      <c r="J4711" s="1">
        <v>45124</v>
      </c>
      <c r="K4711" t="b">
        <v>1</v>
      </c>
    </row>
    <row r="4712" spans="1:11" x14ac:dyDescent="0.25">
      <c r="A4712" t="s">
        <v>521</v>
      </c>
      <c r="B4712" t="s">
        <v>22</v>
      </c>
      <c r="C4712" t="s">
        <v>110</v>
      </c>
      <c r="D4712" t="s">
        <v>126</v>
      </c>
      <c r="E4712" s="2">
        <v>26</v>
      </c>
      <c r="F4712" s="4">
        <v>3</v>
      </c>
      <c r="G4712" s="2">
        <v>78</v>
      </c>
      <c r="H4712" t="s">
        <v>25</v>
      </c>
      <c r="I4712" t="s">
        <v>16</v>
      </c>
      <c r="J4712" s="1">
        <v>45040</v>
      </c>
      <c r="K4712" t="b">
        <v>1</v>
      </c>
    </row>
    <row r="4713" spans="1:11" x14ac:dyDescent="0.25">
      <c r="A4713" t="s">
        <v>7661</v>
      </c>
      <c r="B4713" t="s">
        <v>142</v>
      </c>
      <c r="C4713" t="s">
        <v>27</v>
      </c>
      <c r="D4713" t="s">
        <v>620</v>
      </c>
      <c r="E4713" s="2">
        <v>26</v>
      </c>
      <c r="F4713" s="4">
        <v>3</v>
      </c>
      <c r="G4713" s="2">
        <v>78</v>
      </c>
      <c r="H4713" t="s">
        <v>15</v>
      </c>
      <c r="I4713" t="s">
        <v>16</v>
      </c>
      <c r="J4713" s="1">
        <v>45366</v>
      </c>
      <c r="K4713" t="b">
        <v>1</v>
      </c>
    </row>
    <row r="4714" spans="1:11" x14ac:dyDescent="0.25">
      <c r="A4714" t="s">
        <v>2325</v>
      </c>
      <c r="B4714" t="s">
        <v>104</v>
      </c>
      <c r="C4714" t="s">
        <v>19</v>
      </c>
      <c r="D4714" t="s">
        <v>268</v>
      </c>
      <c r="E4714" s="2">
        <v>26</v>
      </c>
      <c r="F4714" s="4">
        <v>3</v>
      </c>
      <c r="G4714" s="2">
        <v>78</v>
      </c>
      <c r="H4714" t="s">
        <v>45</v>
      </c>
      <c r="I4714" t="s">
        <v>36</v>
      </c>
      <c r="J4714" s="1">
        <v>44621</v>
      </c>
      <c r="K4714" t="b">
        <v>1</v>
      </c>
    </row>
    <row r="4715" spans="1:11" x14ac:dyDescent="0.25">
      <c r="A4715" t="s">
        <v>4763</v>
      </c>
      <c r="B4715" t="s">
        <v>37</v>
      </c>
      <c r="C4715" t="s">
        <v>38</v>
      </c>
      <c r="D4715" t="s">
        <v>341</v>
      </c>
      <c r="E4715" s="2">
        <v>26</v>
      </c>
      <c r="F4715" s="4">
        <v>3</v>
      </c>
      <c r="G4715" s="2">
        <v>78</v>
      </c>
      <c r="H4715" t="s">
        <v>45</v>
      </c>
      <c r="I4715" t="s">
        <v>36</v>
      </c>
      <c r="J4715" s="1">
        <v>44651</v>
      </c>
      <c r="K4715" t="b">
        <v>1</v>
      </c>
    </row>
    <row r="4716" spans="1:11" x14ac:dyDescent="0.25">
      <c r="A4716" t="s">
        <v>2974</v>
      </c>
      <c r="B4716" t="s">
        <v>104</v>
      </c>
      <c r="C4716" t="s">
        <v>27</v>
      </c>
      <c r="D4716" t="s">
        <v>620</v>
      </c>
      <c r="E4716" s="2">
        <v>26</v>
      </c>
      <c r="F4716" s="4">
        <v>3</v>
      </c>
      <c r="G4716" s="2">
        <v>78</v>
      </c>
      <c r="H4716" t="s">
        <v>25</v>
      </c>
      <c r="I4716" t="s">
        <v>36</v>
      </c>
      <c r="J4716" s="1">
        <v>45445</v>
      </c>
      <c r="K4716" t="b">
        <v>0</v>
      </c>
    </row>
    <row r="4717" spans="1:11" x14ac:dyDescent="0.25">
      <c r="A4717" t="s">
        <v>2897</v>
      </c>
      <c r="B4717" t="s">
        <v>86</v>
      </c>
      <c r="C4717" t="s">
        <v>13</v>
      </c>
      <c r="D4717" t="s">
        <v>343</v>
      </c>
      <c r="E4717" s="2">
        <v>26</v>
      </c>
      <c r="F4717" s="4">
        <v>3</v>
      </c>
      <c r="G4717" s="2">
        <v>78</v>
      </c>
      <c r="H4717" t="s">
        <v>15</v>
      </c>
      <c r="I4717" t="s">
        <v>16</v>
      </c>
      <c r="J4717" s="1">
        <v>45018</v>
      </c>
      <c r="K4717" t="b">
        <v>0</v>
      </c>
    </row>
    <row r="4718" spans="1:11" x14ac:dyDescent="0.25">
      <c r="A4718" t="s">
        <v>4214</v>
      </c>
      <c r="B4718" t="s">
        <v>100</v>
      </c>
      <c r="C4718" t="s">
        <v>59</v>
      </c>
      <c r="D4718" t="s">
        <v>463</v>
      </c>
      <c r="E4718" s="2">
        <v>26</v>
      </c>
      <c r="F4718" s="4">
        <v>3</v>
      </c>
      <c r="G4718" s="2">
        <v>78</v>
      </c>
      <c r="H4718" t="s">
        <v>45</v>
      </c>
      <c r="I4718" t="s">
        <v>16</v>
      </c>
      <c r="J4718" s="1">
        <v>45136</v>
      </c>
      <c r="K4718" t="b">
        <v>1</v>
      </c>
    </row>
    <row r="4719" spans="1:11" x14ac:dyDescent="0.25">
      <c r="A4719" t="s">
        <v>1149</v>
      </c>
      <c r="B4719" t="s">
        <v>12</v>
      </c>
      <c r="C4719" t="s">
        <v>31</v>
      </c>
      <c r="D4719" t="s">
        <v>579</v>
      </c>
      <c r="E4719" s="2">
        <v>26</v>
      </c>
      <c r="F4719" s="4">
        <v>3</v>
      </c>
      <c r="G4719" s="2">
        <v>78</v>
      </c>
      <c r="H4719" t="s">
        <v>25</v>
      </c>
      <c r="I4719" t="s">
        <v>16</v>
      </c>
      <c r="J4719" s="1">
        <v>45574</v>
      </c>
      <c r="K4719" t="b">
        <v>0</v>
      </c>
    </row>
    <row r="4720" spans="1:11" x14ac:dyDescent="0.25">
      <c r="A4720" t="s">
        <v>4600</v>
      </c>
      <c r="B4720" t="s">
        <v>61</v>
      </c>
      <c r="C4720" t="s">
        <v>23</v>
      </c>
      <c r="D4720" t="s">
        <v>853</v>
      </c>
      <c r="E4720" s="2">
        <v>26</v>
      </c>
      <c r="F4720" s="4">
        <v>3</v>
      </c>
      <c r="G4720" s="2">
        <v>78</v>
      </c>
      <c r="H4720" t="s">
        <v>25</v>
      </c>
      <c r="I4720" t="s">
        <v>16</v>
      </c>
      <c r="J4720" s="1">
        <v>45019</v>
      </c>
      <c r="K4720" t="b">
        <v>0</v>
      </c>
    </row>
    <row r="4721" spans="1:11" x14ac:dyDescent="0.25">
      <c r="A4721" t="s">
        <v>7429</v>
      </c>
      <c r="B4721" t="s">
        <v>93</v>
      </c>
      <c r="C4721" t="s">
        <v>110</v>
      </c>
      <c r="D4721" t="s">
        <v>126</v>
      </c>
      <c r="E4721" s="2">
        <v>26</v>
      </c>
      <c r="F4721" s="4">
        <v>3</v>
      </c>
      <c r="G4721" s="2">
        <v>78</v>
      </c>
      <c r="H4721" t="s">
        <v>45</v>
      </c>
      <c r="I4721" t="s">
        <v>36</v>
      </c>
      <c r="J4721" s="1">
        <v>45110</v>
      </c>
      <c r="K4721" t="b">
        <v>1</v>
      </c>
    </row>
    <row r="4722" spans="1:11" x14ac:dyDescent="0.25">
      <c r="A4722" t="s">
        <v>669</v>
      </c>
      <c r="B4722" t="s">
        <v>104</v>
      </c>
      <c r="C4722" t="s">
        <v>59</v>
      </c>
      <c r="D4722" t="s">
        <v>463</v>
      </c>
      <c r="E4722" s="2">
        <v>26</v>
      </c>
      <c r="F4722" s="4">
        <v>3</v>
      </c>
      <c r="G4722" s="2">
        <v>78</v>
      </c>
      <c r="H4722" t="s">
        <v>45</v>
      </c>
      <c r="I4722" t="s">
        <v>36</v>
      </c>
      <c r="J4722" s="1">
        <v>45654</v>
      </c>
      <c r="K4722" t="b">
        <v>1</v>
      </c>
    </row>
    <row r="4723" spans="1:11" x14ac:dyDescent="0.25">
      <c r="A4723" t="s">
        <v>4207</v>
      </c>
      <c r="B4723" t="s">
        <v>56</v>
      </c>
      <c r="C4723" t="s">
        <v>38</v>
      </c>
      <c r="D4723" t="s">
        <v>341</v>
      </c>
      <c r="E4723" s="2">
        <v>26</v>
      </c>
      <c r="F4723" s="4">
        <v>3</v>
      </c>
      <c r="G4723" s="2">
        <v>78</v>
      </c>
      <c r="H4723" t="s">
        <v>15</v>
      </c>
      <c r="I4723" t="s">
        <v>36</v>
      </c>
      <c r="J4723" s="1">
        <v>45185</v>
      </c>
      <c r="K4723" t="b">
        <v>0</v>
      </c>
    </row>
    <row r="4724" spans="1:11" x14ac:dyDescent="0.25">
      <c r="A4724" t="s">
        <v>993</v>
      </c>
      <c r="B4724" t="s">
        <v>51</v>
      </c>
      <c r="C4724" t="s">
        <v>38</v>
      </c>
      <c r="D4724" t="s">
        <v>341</v>
      </c>
      <c r="E4724" s="2">
        <v>26</v>
      </c>
      <c r="F4724" s="4">
        <v>3</v>
      </c>
      <c r="G4724" s="2">
        <v>78</v>
      </c>
      <c r="H4724" t="s">
        <v>25</v>
      </c>
      <c r="I4724" t="s">
        <v>16</v>
      </c>
      <c r="J4724" s="1">
        <v>45392</v>
      </c>
      <c r="K4724" t="b">
        <v>0</v>
      </c>
    </row>
    <row r="4725" spans="1:11" x14ac:dyDescent="0.25">
      <c r="A4725" t="s">
        <v>6106</v>
      </c>
      <c r="B4725" t="s">
        <v>22</v>
      </c>
      <c r="C4725" t="s">
        <v>13</v>
      </c>
      <c r="D4725" t="s">
        <v>343</v>
      </c>
      <c r="E4725" s="2">
        <v>26</v>
      </c>
      <c r="F4725" s="4">
        <v>3</v>
      </c>
      <c r="G4725" s="2">
        <v>78</v>
      </c>
      <c r="H4725" t="s">
        <v>15</v>
      </c>
      <c r="I4725" t="s">
        <v>16</v>
      </c>
      <c r="J4725" s="1">
        <v>45544</v>
      </c>
      <c r="K4725" t="b">
        <v>0</v>
      </c>
    </row>
    <row r="4726" spans="1:11" x14ac:dyDescent="0.25">
      <c r="A4726" t="s">
        <v>6359</v>
      </c>
      <c r="B4726" t="s">
        <v>85</v>
      </c>
      <c r="C4726" t="s">
        <v>38</v>
      </c>
      <c r="D4726" t="s">
        <v>341</v>
      </c>
      <c r="E4726" s="2">
        <v>26</v>
      </c>
      <c r="F4726" s="4">
        <v>3</v>
      </c>
      <c r="G4726" s="2">
        <v>78</v>
      </c>
      <c r="H4726" t="s">
        <v>15</v>
      </c>
      <c r="I4726" t="s">
        <v>36</v>
      </c>
      <c r="J4726" s="1">
        <v>45032</v>
      </c>
      <c r="K4726" t="b">
        <v>0</v>
      </c>
    </row>
    <row r="4727" spans="1:11" x14ac:dyDescent="0.25">
      <c r="A4727" t="s">
        <v>1175</v>
      </c>
      <c r="B4727" t="s">
        <v>66</v>
      </c>
      <c r="C4727" t="s">
        <v>23</v>
      </c>
      <c r="D4727" t="s">
        <v>187</v>
      </c>
      <c r="E4727" s="2">
        <v>15.5</v>
      </c>
      <c r="F4727" s="4">
        <v>5</v>
      </c>
      <c r="G4727" s="2">
        <v>77.5</v>
      </c>
      <c r="H4727" t="s">
        <v>45</v>
      </c>
      <c r="I4727" t="s">
        <v>16</v>
      </c>
      <c r="J4727" s="1">
        <v>44618</v>
      </c>
      <c r="K4727" t="b">
        <v>1</v>
      </c>
    </row>
    <row r="4728" spans="1:11" x14ac:dyDescent="0.25">
      <c r="A4728" t="s">
        <v>1595</v>
      </c>
      <c r="B4728" t="s">
        <v>142</v>
      </c>
      <c r="C4728" t="s">
        <v>13</v>
      </c>
      <c r="D4728" t="s">
        <v>389</v>
      </c>
      <c r="E4728" s="2">
        <v>15.5</v>
      </c>
      <c r="F4728" s="4">
        <v>5</v>
      </c>
      <c r="G4728" s="2">
        <v>77.5</v>
      </c>
      <c r="H4728" t="s">
        <v>45</v>
      </c>
      <c r="I4728" t="s">
        <v>16</v>
      </c>
      <c r="J4728" s="1">
        <v>45089</v>
      </c>
      <c r="K4728" t="b">
        <v>1</v>
      </c>
    </row>
    <row r="4729" spans="1:11" x14ac:dyDescent="0.25">
      <c r="A4729" t="s">
        <v>6366</v>
      </c>
      <c r="B4729" t="s">
        <v>72</v>
      </c>
      <c r="C4729" t="s">
        <v>27</v>
      </c>
      <c r="D4729" t="s">
        <v>105</v>
      </c>
      <c r="E4729" s="2">
        <v>15.5</v>
      </c>
      <c r="F4729" s="4">
        <v>5</v>
      </c>
      <c r="G4729" s="2">
        <v>77.5</v>
      </c>
      <c r="H4729" t="s">
        <v>45</v>
      </c>
      <c r="I4729" t="s">
        <v>36</v>
      </c>
      <c r="J4729" s="1">
        <v>45492</v>
      </c>
      <c r="K4729" t="b">
        <v>1</v>
      </c>
    </row>
    <row r="4730" spans="1:11" x14ac:dyDescent="0.25">
      <c r="A4730" t="s">
        <v>3654</v>
      </c>
      <c r="B4730" t="s">
        <v>56</v>
      </c>
      <c r="C4730" t="s">
        <v>31</v>
      </c>
      <c r="D4730" t="s">
        <v>585</v>
      </c>
      <c r="E4730" s="2">
        <v>15.5</v>
      </c>
      <c r="F4730" s="4">
        <v>5</v>
      </c>
      <c r="G4730" s="2">
        <v>77.5</v>
      </c>
      <c r="H4730" t="s">
        <v>15</v>
      </c>
      <c r="I4730" t="s">
        <v>16</v>
      </c>
      <c r="J4730" s="1">
        <v>44586</v>
      </c>
      <c r="K4730" t="b">
        <v>0</v>
      </c>
    </row>
    <row r="4731" spans="1:11" x14ac:dyDescent="0.25">
      <c r="A4731" t="s">
        <v>6273</v>
      </c>
      <c r="B4731" t="s">
        <v>69</v>
      </c>
      <c r="C4731" t="s">
        <v>13</v>
      </c>
      <c r="D4731" t="s">
        <v>389</v>
      </c>
      <c r="E4731" s="2">
        <v>15.5</v>
      </c>
      <c r="F4731" s="4">
        <v>5</v>
      </c>
      <c r="G4731" s="2">
        <v>77.5</v>
      </c>
      <c r="H4731" t="s">
        <v>25</v>
      </c>
      <c r="I4731" t="s">
        <v>36</v>
      </c>
      <c r="J4731" s="1">
        <v>45330</v>
      </c>
      <c r="K4731" t="b">
        <v>0</v>
      </c>
    </row>
    <row r="4732" spans="1:11" x14ac:dyDescent="0.25">
      <c r="A4732" t="s">
        <v>7572</v>
      </c>
      <c r="B4732" t="s">
        <v>58</v>
      </c>
      <c r="C4732" t="s">
        <v>13</v>
      </c>
      <c r="D4732" t="s">
        <v>389</v>
      </c>
      <c r="E4732" s="2">
        <v>15.5</v>
      </c>
      <c r="F4732" s="4">
        <v>5</v>
      </c>
      <c r="G4732" s="2">
        <v>77.5</v>
      </c>
      <c r="H4732" t="s">
        <v>25</v>
      </c>
      <c r="I4732" t="s">
        <v>36</v>
      </c>
      <c r="J4732" s="1">
        <v>44615</v>
      </c>
      <c r="K4732" t="b">
        <v>1</v>
      </c>
    </row>
    <row r="4733" spans="1:11" x14ac:dyDescent="0.25">
      <c r="A4733" t="s">
        <v>6067</v>
      </c>
      <c r="B4733" t="s">
        <v>69</v>
      </c>
      <c r="C4733" t="s">
        <v>13</v>
      </c>
      <c r="D4733" t="s">
        <v>389</v>
      </c>
      <c r="E4733" s="2">
        <v>15.5</v>
      </c>
      <c r="F4733" s="4">
        <v>5</v>
      </c>
      <c r="G4733" s="2">
        <v>77.5</v>
      </c>
      <c r="H4733" t="s">
        <v>15</v>
      </c>
      <c r="I4733" t="s">
        <v>36</v>
      </c>
      <c r="J4733" s="1">
        <v>45090</v>
      </c>
      <c r="K4733" t="b">
        <v>1</v>
      </c>
    </row>
    <row r="4734" spans="1:11" x14ac:dyDescent="0.25">
      <c r="A4734" t="s">
        <v>4473</v>
      </c>
      <c r="B4734" t="s">
        <v>93</v>
      </c>
      <c r="C4734" t="s">
        <v>38</v>
      </c>
      <c r="D4734" t="s">
        <v>241</v>
      </c>
      <c r="E4734" s="2">
        <v>15.5</v>
      </c>
      <c r="F4734" s="4">
        <v>5</v>
      </c>
      <c r="G4734" s="2">
        <v>77.5</v>
      </c>
      <c r="H4734" t="s">
        <v>15</v>
      </c>
      <c r="I4734" t="s">
        <v>16</v>
      </c>
      <c r="J4734" s="1">
        <v>44776</v>
      </c>
      <c r="K4734" t="b">
        <v>0</v>
      </c>
    </row>
    <row r="4735" spans="1:11" x14ac:dyDescent="0.25">
      <c r="A4735" t="s">
        <v>4370</v>
      </c>
      <c r="B4735" t="s">
        <v>43</v>
      </c>
      <c r="C4735" t="s">
        <v>59</v>
      </c>
      <c r="D4735" t="s">
        <v>201</v>
      </c>
      <c r="E4735" s="2">
        <v>15.5</v>
      </c>
      <c r="F4735" s="4">
        <v>5</v>
      </c>
      <c r="G4735" s="2">
        <v>77.5</v>
      </c>
      <c r="H4735" t="s">
        <v>25</v>
      </c>
      <c r="I4735" t="s">
        <v>16</v>
      </c>
      <c r="J4735" s="1">
        <v>45041</v>
      </c>
      <c r="K4735" t="b">
        <v>0</v>
      </c>
    </row>
    <row r="4736" spans="1:11" x14ac:dyDescent="0.25">
      <c r="A4736" t="s">
        <v>3771</v>
      </c>
      <c r="B4736" t="s">
        <v>104</v>
      </c>
      <c r="C4736" t="s">
        <v>13</v>
      </c>
      <c r="D4736" t="s">
        <v>389</v>
      </c>
      <c r="E4736" s="2">
        <v>15.5</v>
      </c>
      <c r="F4736" s="4">
        <v>5</v>
      </c>
      <c r="G4736" s="2">
        <v>77.5</v>
      </c>
      <c r="H4736" t="s">
        <v>45</v>
      </c>
      <c r="I4736" t="s">
        <v>36</v>
      </c>
      <c r="J4736" s="1">
        <v>45246</v>
      </c>
      <c r="K4736" t="b">
        <v>0</v>
      </c>
    </row>
    <row r="4737" spans="1:11" x14ac:dyDescent="0.25">
      <c r="A4737" t="s">
        <v>2484</v>
      </c>
      <c r="B4737" t="s">
        <v>56</v>
      </c>
      <c r="C4737" t="s">
        <v>23</v>
      </c>
      <c r="D4737" t="s">
        <v>187</v>
      </c>
      <c r="E4737" s="2">
        <v>15.5</v>
      </c>
      <c r="F4737" s="4">
        <v>5</v>
      </c>
      <c r="G4737" s="2">
        <v>77.5</v>
      </c>
      <c r="H4737" t="s">
        <v>15</v>
      </c>
      <c r="I4737" t="s">
        <v>16</v>
      </c>
      <c r="J4737" s="1">
        <v>45496</v>
      </c>
      <c r="K4737" t="b">
        <v>0</v>
      </c>
    </row>
    <row r="4738" spans="1:11" x14ac:dyDescent="0.25">
      <c r="A4738" t="s">
        <v>2232</v>
      </c>
      <c r="B4738" t="s">
        <v>63</v>
      </c>
      <c r="C4738" t="s">
        <v>27</v>
      </c>
      <c r="D4738" t="s">
        <v>105</v>
      </c>
      <c r="E4738" s="2">
        <v>15.5</v>
      </c>
      <c r="F4738" s="4">
        <v>5</v>
      </c>
      <c r="G4738" s="2">
        <v>77.5</v>
      </c>
      <c r="H4738" t="s">
        <v>25</v>
      </c>
      <c r="I4738" t="s">
        <v>16</v>
      </c>
      <c r="J4738" s="1">
        <v>45054</v>
      </c>
      <c r="K4738" t="b">
        <v>1</v>
      </c>
    </row>
    <row r="4739" spans="1:11" x14ac:dyDescent="0.25">
      <c r="A4739" t="s">
        <v>6606</v>
      </c>
      <c r="B4739" t="s">
        <v>72</v>
      </c>
      <c r="C4739" t="s">
        <v>27</v>
      </c>
      <c r="D4739" t="s">
        <v>105</v>
      </c>
      <c r="E4739" s="2">
        <v>15.5</v>
      </c>
      <c r="F4739" s="4">
        <v>5</v>
      </c>
      <c r="G4739" s="2">
        <v>77.5</v>
      </c>
      <c r="H4739" t="s">
        <v>15</v>
      </c>
      <c r="I4739" t="s">
        <v>16</v>
      </c>
      <c r="J4739" s="1">
        <v>45605</v>
      </c>
      <c r="K4739" t="b">
        <v>0</v>
      </c>
    </row>
    <row r="4740" spans="1:11" x14ac:dyDescent="0.25">
      <c r="A4740" t="s">
        <v>7370</v>
      </c>
      <c r="B4740" t="s">
        <v>100</v>
      </c>
      <c r="C4740" t="s">
        <v>27</v>
      </c>
      <c r="D4740" t="s">
        <v>105</v>
      </c>
      <c r="E4740" s="2">
        <v>15.5</v>
      </c>
      <c r="F4740" s="4">
        <v>5</v>
      </c>
      <c r="G4740" s="2">
        <v>77.5</v>
      </c>
      <c r="H4740" t="s">
        <v>25</v>
      </c>
      <c r="I4740" t="s">
        <v>16</v>
      </c>
      <c r="J4740" s="1">
        <v>44628</v>
      </c>
      <c r="K4740" t="b">
        <v>1</v>
      </c>
    </row>
    <row r="4741" spans="1:11" x14ac:dyDescent="0.25">
      <c r="A4741" t="s">
        <v>4143</v>
      </c>
      <c r="B4741" t="s">
        <v>51</v>
      </c>
      <c r="C4741" t="s">
        <v>19</v>
      </c>
      <c r="D4741" t="s">
        <v>166</v>
      </c>
      <c r="E4741" s="2">
        <v>15.5</v>
      </c>
      <c r="F4741" s="4">
        <v>5</v>
      </c>
      <c r="G4741" s="2">
        <v>77.5</v>
      </c>
      <c r="H4741" t="s">
        <v>15</v>
      </c>
      <c r="I4741" t="s">
        <v>36</v>
      </c>
      <c r="J4741" s="1">
        <v>44639</v>
      </c>
      <c r="K4741" t="b">
        <v>1</v>
      </c>
    </row>
    <row r="4742" spans="1:11" x14ac:dyDescent="0.25">
      <c r="A4742" t="s">
        <v>5937</v>
      </c>
      <c r="B4742" t="s">
        <v>58</v>
      </c>
      <c r="C4742" t="s">
        <v>110</v>
      </c>
      <c r="D4742" t="s">
        <v>199</v>
      </c>
      <c r="E4742" s="2">
        <v>15.5</v>
      </c>
      <c r="F4742" s="4">
        <v>5</v>
      </c>
      <c r="G4742" s="2">
        <v>77.5</v>
      </c>
      <c r="H4742" t="s">
        <v>45</v>
      </c>
      <c r="I4742" t="s">
        <v>36</v>
      </c>
      <c r="J4742" s="1">
        <v>45359</v>
      </c>
      <c r="K4742" t="b">
        <v>1</v>
      </c>
    </row>
    <row r="4743" spans="1:11" x14ac:dyDescent="0.25">
      <c r="A4743" t="s">
        <v>1488</v>
      </c>
      <c r="B4743" t="s">
        <v>85</v>
      </c>
      <c r="C4743" t="s">
        <v>27</v>
      </c>
      <c r="D4743" t="s">
        <v>105</v>
      </c>
      <c r="E4743" s="2">
        <v>15.5</v>
      </c>
      <c r="F4743" s="4">
        <v>5</v>
      </c>
      <c r="G4743" s="2">
        <v>77.5</v>
      </c>
      <c r="H4743" t="s">
        <v>25</v>
      </c>
      <c r="I4743" t="s">
        <v>16</v>
      </c>
      <c r="J4743" s="1">
        <v>45667</v>
      </c>
      <c r="K4743" t="b">
        <v>0</v>
      </c>
    </row>
    <row r="4744" spans="1:11" x14ac:dyDescent="0.25">
      <c r="A4744" t="s">
        <v>2647</v>
      </c>
      <c r="B4744" t="s">
        <v>30</v>
      </c>
      <c r="C4744" t="s">
        <v>13</v>
      </c>
      <c r="D4744" t="s">
        <v>389</v>
      </c>
      <c r="E4744" s="2">
        <v>15.5</v>
      </c>
      <c r="F4744" s="4">
        <v>5</v>
      </c>
      <c r="G4744" s="2">
        <v>77.5</v>
      </c>
      <c r="H4744" t="s">
        <v>45</v>
      </c>
      <c r="I4744" t="s">
        <v>16</v>
      </c>
      <c r="J4744" s="1">
        <v>45544</v>
      </c>
      <c r="K4744" t="b">
        <v>1</v>
      </c>
    </row>
    <row r="4745" spans="1:11" x14ac:dyDescent="0.25">
      <c r="A4745" t="s">
        <v>5884</v>
      </c>
      <c r="B4745" t="s">
        <v>58</v>
      </c>
      <c r="C4745" t="s">
        <v>31</v>
      </c>
      <c r="D4745" t="s">
        <v>585</v>
      </c>
      <c r="E4745" s="2">
        <v>15.5</v>
      </c>
      <c r="F4745" s="4">
        <v>5</v>
      </c>
      <c r="G4745" s="2">
        <v>77.5</v>
      </c>
      <c r="H4745" t="s">
        <v>25</v>
      </c>
      <c r="I4745" t="s">
        <v>16</v>
      </c>
      <c r="J4745" s="1">
        <v>45503</v>
      </c>
      <c r="K4745" t="b">
        <v>0</v>
      </c>
    </row>
    <row r="4746" spans="1:11" x14ac:dyDescent="0.25">
      <c r="A4746" t="s">
        <v>3665</v>
      </c>
      <c r="B4746" t="s">
        <v>12</v>
      </c>
      <c r="C4746" t="s">
        <v>31</v>
      </c>
      <c r="D4746" t="s">
        <v>585</v>
      </c>
      <c r="E4746" s="2">
        <v>15.5</v>
      </c>
      <c r="F4746" s="4">
        <v>5</v>
      </c>
      <c r="G4746" s="2">
        <v>77.5</v>
      </c>
      <c r="H4746" t="s">
        <v>15</v>
      </c>
      <c r="I4746" t="s">
        <v>36</v>
      </c>
      <c r="J4746" s="1">
        <v>45647</v>
      </c>
      <c r="K4746" t="b">
        <v>0</v>
      </c>
    </row>
    <row r="4747" spans="1:11" x14ac:dyDescent="0.25">
      <c r="A4747" t="s">
        <v>2613</v>
      </c>
      <c r="B4747" t="s">
        <v>37</v>
      </c>
      <c r="C4747" t="s">
        <v>59</v>
      </c>
      <c r="D4747" t="s">
        <v>201</v>
      </c>
      <c r="E4747" s="2">
        <v>15.5</v>
      </c>
      <c r="F4747" s="4">
        <v>5</v>
      </c>
      <c r="G4747" s="2">
        <v>77.5</v>
      </c>
      <c r="H4747" t="s">
        <v>45</v>
      </c>
      <c r="I4747" t="s">
        <v>36</v>
      </c>
      <c r="J4747" s="1">
        <v>45310</v>
      </c>
      <c r="K4747" t="b">
        <v>0</v>
      </c>
    </row>
    <row r="4748" spans="1:11" x14ac:dyDescent="0.25">
      <c r="A4748" t="s">
        <v>2611</v>
      </c>
      <c r="B4748" t="s">
        <v>40</v>
      </c>
      <c r="C4748" t="s">
        <v>23</v>
      </c>
      <c r="D4748" t="s">
        <v>187</v>
      </c>
      <c r="E4748" s="2">
        <v>15.5</v>
      </c>
      <c r="F4748" s="4">
        <v>5</v>
      </c>
      <c r="G4748" s="2">
        <v>77.5</v>
      </c>
      <c r="H4748" t="s">
        <v>15</v>
      </c>
      <c r="I4748" t="s">
        <v>16</v>
      </c>
      <c r="J4748" s="1">
        <v>45300</v>
      </c>
      <c r="K4748" t="b">
        <v>0</v>
      </c>
    </row>
    <row r="4749" spans="1:11" x14ac:dyDescent="0.25">
      <c r="A4749" t="s">
        <v>3785</v>
      </c>
      <c r="B4749" t="s">
        <v>104</v>
      </c>
      <c r="C4749" t="s">
        <v>27</v>
      </c>
      <c r="D4749" t="s">
        <v>105</v>
      </c>
      <c r="E4749" s="2">
        <v>15.5</v>
      </c>
      <c r="F4749" s="4">
        <v>5</v>
      </c>
      <c r="G4749" s="2">
        <v>77.5</v>
      </c>
      <c r="H4749" t="s">
        <v>25</v>
      </c>
      <c r="I4749" t="s">
        <v>16</v>
      </c>
      <c r="J4749" s="1">
        <v>44562</v>
      </c>
      <c r="K4749" t="b">
        <v>1</v>
      </c>
    </row>
    <row r="4750" spans="1:11" x14ac:dyDescent="0.25">
      <c r="A4750" t="s">
        <v>2858</v>
      </c>
      <c r="B4750" t="s">
        <v>69</v>
      </c>
      <c r="C4750" t="s">
        <v>19</v>
      </c>
      <c r="D4750" t="s">
        <v>166</v>
      </c>
      <c r="E4750" s="2">
        <v>15.5</v>
      </c>
      <c r="F4750" s="4">
        <v>5</v>
      </c>
      <c r="G4750" s="2">
        <v>77.5</v>
      </c>
      <c r="H4750" t="s">
        <v>25</v>
      </c>
      <c r="I4750" t="s">
        <v>36</v>
      </c>
      <c r="J4750" s="1">
        <v>45612</v>
      </c>
      <c r="K4750" t="b">
        <v>0</v>
      </c>
    </row>
    <row r="4751" spans="1:11" x14ac:dyDescent="0.25">
      <c r="A4751" t="s">
        <v>7126</v>
      </c>
      <c r="B4751" t="s">
        <v>63</v>
      </c>
      <c r="C4751" t="s">
        <v>110</v>
      </c>
      <c r="D4751" t="s">
        <v>199</v>
      </c>
      <c r="E4751" s="2">
        <v>15.5</v>
      </c>
      <c r="F4751" s="4">
        <v>5</v>
      </c>
      <c r="G4751" s="2">
        <v>77.5</v>
      </c>
      <c r="H4751" t="s">
        <v>25</v>
      </c>
      <c r="I4751" t="s">
        <v>16</v>
      </c>
      <c r="J4751" s="1">
        <v>45127</v>
      </c>
      <c r="K4751" t="b">
        <v>0</v>
      </c>
    </row>
    <row r="4752" spans="1:11" x14ac:dyDescent="0.25">
      <c r="A4752" t="s">
        <v>2452</v>
      </c>
      <c r="B4752" t="s">
        <v>26</v>
      </c>
      <c r="C4752" t="s">
        <v>110</v>
      </c>
      <c r="D4752" t="s">
        <v>199</v>
      </c>
      <c r="E4752" s="2">
        <v>15.5</v>
      </c>
      <c r="F4752" s="4">
        <v>5</v>
      </c>
      <c r="G4752" s="2">
        <v>77.5</v>
      </c>
      <c r="H4752" t="s">
        <v>15</v>
      </c>
      <c r="I4752" t="s">
        <v>16</v>
      </c>
      <c r="J4752" s="1">
        <v>44735</v>
      </c>
      <c r="K4752" t="b">
        <v>0</v>
      </c>
    </row>
    <row r="4753" spans="1:11" x14ac:dyDescent="0.25">
      <c r="A4753" t="s">
        <v>7371</v>
      </c>
      <c r="B4753" t="s">
        <v>86</v>
      </c>
      <c r="C4753" t="s">
        <v>38</v>
      </c>
      <c r="D4753" t="s">
        <v>241</v>
      </c>
      <c r="E4753" s="2">
        <v>15.5</v>
      </c>
      <c r="F4753" s="4">
        <v>5</v>
      </c>
      <c r="G4753" s="2">
        <v>77.5</v>
      </c>
      <c r="H4753" t="s">
        <v>25</v>
      </c>
      <c r="I4753" t="s">
        <v>16</v>
      </c>
      <c r="J4753" s="1">
        <v>45115</v>
      </c>
      <c r="K4753" t="b">
        <v>1</v>
      </c>
    </row>
    <row r="4754" spans="1:11" x14ac:dyDescent="0.25">
      <c r="A4754" t="s">
        <v>1346</v>
      </c>
      <c r="B4754" t="s">
        <v>66</v>
      </c>
      <c r="C4754" t="s">
        <v>23</v>
      </c>
      <c r="D4754" t="s">
        <v>187</v>
      </c>
      <c r="E4754" s="2">
        <v>15.5</v>
      </c>
      <c r="F4754" s="4">
        <v>5</v>
      </c>
      <c r="G4754" s="2">
        <v>77.5</v>
      </c>
      <c r="H4754" t="s">
        <v>15</v>
      </c>
      <c r="I4754" t="s">
        <v>36</v>
      </c>
      <c r="J4754" s="1">
        <v>44966</v>
      </c>
      <c r="K4754" t="b">
        <v>0</v>
      </c>
    </row>
    <row r="4755" spans="1:11" x14ac:dyDescent="0.25">
      <c r="A4755" t="s">
        <v>5268</v>
      </c>
      <c r="B4755" t="s">
        <v>37</v>
      </c>
      <c r="C4755" t="s">
        <v>59</v>
      </c>
      <c r="D4755" t="s">
        <v>201</v>
      </c>
      <c r="E4755" s="2">
        <v>15.5</v>
      </c>
      <c r="F4755" s="4">
        <v>5</v>
      </c>
      <c r="G4755" s="2">
        <v>77.5</v>
      </c>
      <c r="H4755" t="s">
        <v>45</v>
      </c>
      <c r="I4755" t="s">
        <v>36</v>
      </c>
      <c r="J4755" s="1">
        <v>45011</v>
      </c>
      <c r="K4755" t="b">
        <v>1</v>
      </c>
    </row>
    <row r="4756" spans="1:11" x14ac:dyDescent="0.25">
      <c r="A4756" t="s">
        <v>5741</v>
      </c>
      <c r="B4756" t="s">
        <v>26</v>
      </c>
      <c r="C4756" t="s">
        <v>38</v>
      </c>
      <c r="D4756" t="s">
        <v>241</v>
      </c>
      <c r="E4756" s="2">
        <v>15.5</v>
      </c>
      <c r="F4756" s="4">
        <v>5</v>
      </c>
      <c r="G4756" s="2">
        <v>77.5</v>
      </c>
      <c r="H4756" t="s">
        <v>45</v>
      </c>
      <c r="I4756" t="s">
        <v>36</v>
      </c>
      <c r="J4756" s="1">
        <v>44975</v>
      </c>
      <c r="K4756" t="b">
        <v>0</v>
      </c>
    </row>
    <row r="4757" spans="1:11" x14ac:dyDescent="0.25">
      <c r="A4757" t="s">
        <v>7418</v>
      </c>
      <c r="B4757" t="s">
        <v>69</v>
      </c>
      <c r="C4757" t="s">
        <v>27</v>
      </c>
      <c r="D4757" t="s">
        <v>105</v>
      </c>
      <c r="E4757" s="2">
        <v>15.5</v>
      </c>
      <c r="F4757" s="4">
        <v>5</v>
      </c>
      <c r="G4757" s="2">
        <v>77.5</v>
      </c>
      <c r="H4757" t="s">
        <v>25</v>
      </c>
      <c r="I4757" t="s">
        <v>36</v>
      </c>
      <c r="J4757" s="1">
        <v>44968</v>
      </c>
      <c r="K4757" t="b">
        <v>1</v>
      </c>
    </row>
    <row r="4758" spans="1:11" x14ac:dyDescent="0.25">
      <c r="A4758" t="s">
        <v>544</v>
      </c>
      <c r="B4758" t="s">
        <v>77</v>
      </c>
      <c r="C4758" t="s">
        <v>59</v>
      </c>
      <c r="D4758" t="s">
        <v>201</v>
      </c>
      <c r="E4758" s="2">
        <v>15.5</v>
      </c>
      <c r="F4758" s="4">
        <v>5</v>
      </c>
      <c r="G4758" s="2">
        <v>77.5</v>
      </c>
      <c r="H4758" t="s">
        <v>15</v>
      </c>
      <c r="I4758" t="s">
        <v>16</v>
      </c>
      <c r="J4758" s="1">
        <v>45413</v>
      </c>
      <c r="K4758" t="b">
        <v>0</v>
      </c>
    </row>
    <row r="4759" spans="1:11" x14ac:dyDescent="0.25">
      <c r="A4759" t="s">
        <v>4286</v>
      </c>
      <c r="B4759" t="s">
        <v>34</v>
      </c>
      <c r="C4759" t="s">
        <v>13</v>
      </c>
      <c r="D4759" t="s">
        <v>389</v>
      </c>
      <c r="E4759" s="2">
        <v>15.5</v>
      </c>
      <c r="F4759" s="4">
        <v>5</v>
      </c>
      <c r="G4759" s="2">
        <v>77.5</v>
      </c>
      <c r="H4759" t="s">
        <v>45</v>
      </c>
      <c r="I4759" t="s">
        <v>16</v>
      </c>
      <c r="J4759" s="1">
        <v>45282</v>
      </c>
      <c r="K4759" t="b">
        <v>1</v>
      </c>
    </row>
    <row r="4760" spans="1:11" x14ac:dyDescent="0.25">
      <c r="A4760" t="s">
        <v>328</v>
      </c>
      <c r="B4760" t="s">
        <v>85</v>
      </c>
      <c r="C4760" t="s">
        <v>27</v>
      </c>
      <c r="D4760" t="s">
        <v>105</v>
      </c>
      <c r="E4760" s="2">
        <v>15.5</v>
      </c>
      <c r="F4760" s="4">
        <v>5</v>
      </c>
      <c r="G4760" s="2">
        <v>77.5</v>
      </c>
      <c r="H4760" t="s">
        <v>15</v>
      </c>
      <c r="I4760" t="s">
        <v>16</v>
      </c>
      <c r="J4760" s="1">
        <v>44976</v>
      </c>
      <c r="K4760" t="b">
        <v>1</v>
      </c>
    </row>
    <row r="4761" spans="1:11" x14ac:dyDescent="0.25">
      <c r="A4761" t="s">
        <v>7734</v>
      </c>
      <c r="B4761" t="s">
        <v>86</v>
      </c>
      <c r="C4761" t="s">
        <v>19</v>
      </c>
      <c r="D4761" t="s">
        <v>166</v>
      </c>
      <c r="E4761" s="2">
        <v>15.5</v>
      </c>
      <c r="F4761" s="4">
        <v>5</v>
      </c>
      <c r="G4761" s="2">
        <v>77.5</v>
      </c>
      <c r="H4761" t="s">
        <v>15</v>
      </c>
      <c r="I4761" t="s">
        <v>36</v>
      </c>
      <c r="J4761" s="1">
        <v>44894</v>
      </c>
      <c r="K4761" t="b">
        <v>0</v>
      </c>
    </row>
    <row r="4762" spans="1:11" x14ac:dyDescent="0.25">
      <c r="A4762" t="s">
        <v>3927</v>
      </c>
      <c r="B4762" t="s">
        <v>51</v>
      </c>
      <c r="C4762" t="s">
        <v>31</v>
      </c>
      <c r="D4762" t="s">
        <v>585</v>
      </c>
      <c r="E4762" s="2">
        <v>15.5</v>
      </c>
      <c r="F4762" s="4">
        <v>5</v>
      </c>
      <c r="G4762" s="2">
        <v>77.5</v>
      </c>
      <c r="H4762" t="s">
        <v>25</v>
      </c>
      <c r="I4762" t="s">
        <v>16</v>
      </c>
      <c r="J4762" s="1">
        <v>44863</v>
      </c>
      <c r="K4762" t="b">
        <v>0</v>
      </c>
    </row>
    <row r="4763" spans="1:11" x14ac:dyDescent="0.25">
      <c r="A4763" t="s">
        <v>334</v>
      </c>
      <c r="B4763" t="s">
        <v>100</v>
      </c>
      <c r="C4763" t="s">
        <v>38</v>
      </c>
      <c r="D4763" t="s">
        <v>241</v>
      </c>
      <c r="E4763" s="2">
        <v>15.5</v>
      </c>
      <c r="F4763" s="4">
        <v>5</v>
      </c>
      <c r="G4763" s="2">
        <v>77.5</v>
      </c>
      <c r="H4763" t="s">
        <v>25</v>
      </c>
      <c r="I4763" t="s">
        <v>36</v>
      </c>
      <c r="J4763" s="1">
        <v>45435</v>
      </c>
      <c r="K4763" t="b">
        <v>1</v>
      </c>
    </row>
    <row r="4764" spans="1:11" x14ac:dyDescent="0.25">
      <c r="A4764" t="s">
        <v>2797</v>
      </c>
      <c r="B4764" t="s">
        <v>93</v>
      </c>
      <c r="C4764" t="s">
        <v>59</v>
      </c>
      <c r="D4764" t="s">
        <v>201</v>
      </c>
      <c r="E4764" s="2">
        <v>15.5</v>
      </c>
      <c r="F4764" s="4">
        <v>5</v>
      </c>
      <c r="G4764" s="2">
        <v>77.5</v>
      </c>
      <c r="H4764" t="s">
        <v>25</v>
      </c>
      <c r="I4764" t="s">
        <v>36</v>
      </c>
      <c r="J4764" s="1">
        <v>44642</v>
      </c>
      <c r="K4764" t="b">
        <v>0</v>
      </c>
    </row>
    <row r="4765" spans="1:11" x14ac:dyDescent="0.25">
      <c r="A4765" t="s">
        <v>6364</v>
      </c>
      <c r="B4765" t="s">
        <v>104</v>
      </c>
      <c r="C4765" t="s">
        <v>27</v>
      </c>
      <c r="D4765" t="s">
        <v>105</v>
      </c>
      <c r="E4765" s="2">
        <v>15.5</v>
      </c>
      <c r="F4765" s="4">
        <v>5</v>
      </c>
      <c r="G4765" s="2">
        <v>77.5</v>
      </c>
      <c r="H4765" t="s">
        <v>45</v>
      </c>
      <c r="I4765" t="s">
        <v>36</v>
      </c>
      <c r="J4765" s="1">
        <v>45482</v>
      </c>
      <c r="K4765" t="b">
        <v>1</v>
      </c>
    </row>
    <row r="4766" spans="1:11" x14ac:dyDescent="0.25">
      <c r="A4766" t="s">
        <v>549</v>
      </c>
      <c r="B4766" t="s">
        <v>72</v>
      </c>
      <c r="C4766" t="s">
        <v>59</v>
      </c>
      <c r="D4766" t="s">
        <v>201</v>
      </c>
      <c r="E4766" s="2">
        <v>15.5</v>
      </c>
      <c r="F4766" s="4">
        <v>5</v>
      </c>
      <c r="G4766" s="2">
        <v>77.5</v>
      </c>
      <c r="H4766" t="s">
        <v>15</v>
      </c>
      <c r="I4766" t="s">
        <v>36</v>
      </c>
      <c r="J4766" s="1">
        <v>45338</v>
      </c>
      <c r="K4766" t="b">
        <v>1</v>
      </c>
    </row>
    <row r="4767" spans="1:11" x14ac:dyDescent="0.25">
      <c r="A4767" t="s">
        <v>2115</v>
      </c>
      <c r="B4767" t="s">
        <v>97</v>
      </c>
      <c r="C4767" t="s">
        <v>23</v>
      </c>
      <c r="D4767" t="s">
        <v>410</v>
      </c>
      <c r="E4767" s="2">
        <v>11</v>
      </c>
      <c r="F4767" s="4">
        <v>7</v>
      </c>
      <c r="G4767" s="2">
        <v>77</v>
      </c>
      <c r="H4767" t="s">
        <v>45</v>
      </c>
      <c r="I4767" t="s">
        <v>16</v>
      </c>
      <c r="J4767" s="1">
        <v>45139</v>
      </c>
      <c r="K4767" t="b">
        <v>1</v>
      </c>
    </row>
    <row r="4768" spans="1:11" x14ac:dyDescent="0.25">
      <c r="A4768" t="s">
        <v>6634</v>
      </c>
      <c r="B4768" t="s">
        <v>40</v>
      </c>
      <c r="C4768" t="s">
        <v>110</v>
      </c>
      <c r="D4768" t="s">
        <v>118</v>
      </c>
      <c r="E4768" s="2">
        <v>11</v>
      </c>
      <c r="F4768" s="4">
        <v>7</v>
      </c>
      <c r="G4768" s="2">
        <v>77</v>
      </c>
      <c r="H4768" t="s">
        <v>25</v>
      </c>
      <c r="I4768" t="s">
        <v>36</v>
      </c>
      <c r="J4768" s="1">
        <v>44722</v>
      </c>
      <c r="K4768" t="b">
        <v>0</v>
      </c>
    </row>
    <row r="4769" spans="1:11" x14ac:dyDescent="0.25">
      <c r="A4769" t="s">
        <v>7112</v>
      </c>
      <c r="B4769" t="s">
        <v>93</v>
      </c>
      <c r="C4769" t="s">
        <v>38</v>
      </c>
      <c r="D4769" t="s">
        <v>193</v>
      </c>
      <c r="E4769" s="2">
        <v>11</v>
      </c>
      <c r="F4769" s="4">
        <v>7</v>
      </c>
      <c r="G4769" s="2">
        <v>77</v>
      </c>
      <c r="H4769" t="s">
        <v>45</v>
      </c>
      <c r="I4769" t="s">
        <v>16</v>
      </c>
      <c r="J4769" s="1">
        <v>45565</v>
      </c>
      <c r="K4769" t="b">
        <v>1</v>
      </c>
    </row>
    <row r="4770" spans="1:11" x14ac:dyDescent="0.25">
      <c r="A4770" t="s">
        <v>1936</v>
      </c>
      <c r="B4770" t="s">
        <v>22</v>
      </c>
      <c r="C4770" t="s">
        <v>38</v>
      </c>
      <c r="D4770" t="s">
        <v>193</v>
      </c>
      <c r="E4770" s="2">
        <v>11</v>
      </c>
      <c r="F4770" s="4">
        <v>7</v>
      </c>
      <c r="G4770" s="2">
        <v>77</v>
      </c>
      <c r="H4770" t="s">
        <v>15</v>
      </c>
      <c r="I4770" t="s">
        <v>36</v>
      </c>
      <c r="J4770" s="1">
        <v>45018</v>
      </c>
      <c r="K4770" t="b">
        <v>1</v>
      </c>
    </row>
    <row r="4771" spans="1:11" x14ac:dyDescent="0.25">
      <c r="A4771" t="s">
        <v>6114</v>
      </c>
      <c r="B4771" t="s">
        <v>56</v>
      </c>
      <c r="C4771" t="s">
        <v>31</v>
      </c>
      <c r="D4771" t="s">
        <v>318</v>
      </c>
      <c r="E4771" s="2">
        <v>11</v>
      </c>
      <c r="F4771" s="4">
        <v>7</v>
      </c>
      <c r="G4771" s="2">
        <v>77</v>
      </c>
      <c r="H4771" t="s">
        <v>15</v>
      </c>
      <c r="I4771" t="s">
        <v>16</v>
      </c>
      <c r="J4771" s="1">
        <v>44573</v>
      </c>
      <c r="K4771" t="b">
        <v>0</v>
      </c>
    </row>
    <row r="4772" spans="1:11" x14ac:dyDescent="0.25">
      <c r="A4772" t="s">
        <v>5550</v>
      </c>
      <c r="B4772" t="s">
        <v>104</v>
      </c>
      <c r="C4772" t="s">
        <v>31</v>
      </c>
      <c r="D4772" t="s">
        <v>318</v>
      </c>
      <c r="E4772" s="2">
        <v>11</v>
      </c>
      <c r="F4772" s="4">
        <v>7</v>
      </c>
      <c r="G4772" s="2">
        <v>77</v>
      </c>
      <c r="H4772" t="s">
        <v>45</v>
      </c>
      <c r="I4772" t="s">
        <v>36</v>
      </c>
      <c r="J4772" s="1">
        <v>45452</v>
      </c>
      <c r="K4772" t="b">
        <v>1</v>
      </c>
    </row>
    <row r="4773" spans="1:11" x14ac:dyDescent="0.25">
      <c r="A4773" t="s">
        <v>1991</v>
      </c>
      <c r="B4773" t="s">
        <v>37</v>
      </c>
      <c r="C4773" t="s">
        <v>59</v>
      </c>
      <c r="D4773" t="s">
        <v>347</v>
      </c>
      <c r="E4773" s="2">
        <v>11</v>
      </c>
      <c r="F4773" s="4">
        <v>7</v>
      </c>
      <c r="G4773" s="2">
        <v>77</v>
      </c>
      <c r="H4773" t="s">
        <v>15</v>
      </c>
      <c r="I4773" t="s">
        <v>16</v>
      </c>
      <c r="J4773" s="1">
        <v>45323</v>
      </c>
      <c r="K4773" t="b">
        <v>0</v>
      </c>
    </row>
    <row r="4774" spans="1:11" x14ac:dyDescent="0.25">
      <c r="A4774" t="s">
        <v>3030</v>
      </c>
      <c r="B4774" t="s">
        <v>12</v>
      </c>
      <c r="C4774" t="s">
        <v>38</v>
      </c>
      <c r="D4774" t="s">
        <v>193</v>
      </c>
      <c r="E4774" s="2">
        <v>11</v>
      </c>
      <c r="F4774" s="4">
        <v>7</v>
      </c>
      <c r="G4774" s="2">
        <v>77</v>
      </c>
      <c r="H4774" t="s">
        <v>45</v>
      </c>
      <c r="I4774" t="s">
        <v>16</v>
      </c>
      <c r="J4774" s="1">
        <v>44679</v>
      </c>
      <c r="K4774" t="b">
        <v>1</v>
      </c>
    </row>
    <row r="4775" spans="1:11" x14ac:dyDescent="0.25">
      <c r="A4775" t="s">
        <v>5082</v>
      </c>
      <c r="B4775" t="s">
        <v>86</v>
      </c>
      <c r="C4775" t="s">
        <v>31</v>
      </c>
      <c r="D4775" t="s">
        <v>318</v>
      </c>
      <c r="E4775" s="2">
        <v>11</v>
      </c>
      <c r="F4775" s="4">
        <v>7</v>
      </c>
      <c r="G4775" s="2">
        <v>77</v>
      </c>
      <c r="H4775" t="s">
        <v>25</v>
      </c>
      <c r="I4775" t="s">
        <v>16</v>
      </c>
      <c r="J4775" s="1">
        <v>45660</v>
      </c>
      <c r="K4775" t="b">
        <v>0</v>
      </c>
    </row>
    <row r="4776" spans="1:11" x14ac:dyDescent="0.25">
      <c r="A4776" t="s">
        <v>3698</v>
      </c>
      <c r="B4776" t="s">
        <v>26</v>
      </c>
      <c r="C4776" t="s">
        <v>110</v>
      </c>
      <c r="D4776" t="s">
        <v>118</v>
      </c>
      <c r="E4776" s="2">
        <v>11</v>
      </c>
      <c r="F4776" s="4">
        <v>7</v>
      </c>
      <c r="G4776" s="2">
        <v>77</v>
      </c>
      <c r="H4776" t="s">
        <v>25</v>
      </c>
      <c r="I4776" t="s">
        <v>16</v>
      </c>
      <c r="J4776" s="1">
        <v>45398</v>
      </c>
      <c r="K4776" t="b">
        <v>1</v>
      </c>
    </row>
    <row r="4777" spans="1:11" x14ac:dyDescent="0.25">
      <c r="A4777" t="s">
        <v>6756</v>
      </c>
      <c r="B4777" t="s">
        <v>51</v>
      </c>
      <c r="C4777" t="s">
        <v>31</v>
      </c>
      <c r="D4777" t="s">
        <v>318</v>
      </c>
      <c r="E4777" s="2">
        <v>11</v>
      </c>
      <c r="F4777" s="4">
        <v>7</v>
      </c>
      <c r="G4777" s="2">
        <v>77</v>
      </c>
      <c r="H4777" t="s">
        <v>25</v>
      </c>
      <c r="I4777" t="s">
        <v>16</v>
      </c>
      <c r="J4777" s="1">
        <v>45577</v>
      </c>
      <c r="K4777" t="b">
        <v>0</v>
      </c>
    </row>
    <row r="4778" spans="1:11" x14ac:dyDescent="0.25">
      <c r="A4778" t="s">
        <v>6286</v>
      </c>
      <c r="B4778" t="s">
        <v>100</v>
      </c>
      <c r="C4778" t="s">
        <v>19</v>
      </c>
      <c r="D4778" t="s">
        <v>689</v>
      </c>
      <c r="E4778" s="2">
        <v>11</v>
      </c>
      <c r="F4778" s="4">
        <v>7</v>
      </c>
      <c r="G4778" s="2">
        <v>77</v>
      </c>
      <c r="H4778" t="s">
        <v>15</v>
      </c>
      <c r="I4778" t="s">
        <v>36</v>
      </c>
      <c r="J4778" s="1">
        <v>44745</v>
      </c>
      <c r="K4778" t="b">
        <v>0</v>
      </c>
    </row>
    <row r="4779" spans="1:11" x14ac:dyDescent="0.25">
      <c r="A4779" t="s">
        <v>6938</v>
      </c>
      <c r="B4779" t="s">
        <v>22</v>
      </c>
      <c r="C4779" t="s">
        <v>38</v>
      </c>
      <c r="D4779" t="s">
        <v>193</v>
      </c>
      <c r="E4779" s="2">
        <v>11</v>
      </c>
      <c r="F4779" s="4">
        <v>7</v>
      </c>
      <c r="G4779" s="2">
        <v>77</v>
      </c>
      <c r="H4779" t="s">
        <v>45</v>
      </c>
      <c r="I4779" t="s">
        <v>16</v>
      </c>
      <c r="J4779" s="1">
        <v>45347</v>
      </c>
      <c r="K4779" t="b">
        <v>0</v>
      </c>
    </row>
    <row r="4780" spans="1:11" x14ac:dyDescent="0.25">
      <c r="A4780" t="s">
        <v>6173</v>
      </c>
      <c r="B4780" t="s">
        <v>97</v>
      </c>
      <c r="C4780" t="s">
        <v>13</v>
      </c>
      <c r="D4780" t="s">
        <v>471</v>
      </c>
      <c r="E4780" s="2">
        <v>11</v>
      </c>
      <c r="F4780" s="4">
        <v>7</v>
      </c>
      <c r="G4780" s="2">
        <v>77</v>
      </c>
      <c r="H4780" t="s">
        <v>15</v>
      </c>
      <c r="I4780" t="s">
        <v>16</v>
      </c>
      <c r="J4780" s="1">
        <v>44669</v>
      </c>
      <c r="K4780" t="b">
        <v>0</v>
      </c>
    </row>
    <row r="4781" spans="1:11" x14ac:dyDescent="0.25">
      <c r="A4781" t="s">
        <v>6535</v>
      </c>
      <c r="B4781" t="s">
        <v>66</v>
      </c>
      <c r="C4781" t="s">
        <v>23</v>
      </c>
      <c r="D4781" t="s">
        <v>410</v>
      </c>
      <c r="E4781" s="2">
        <v>11</v>
      </c>
      <c r="F4781" s="4">
        <v>7</v>
      </c>
      <c r="G4781" s="2">
        <v>77</v>
      </c>
      <c r="H4781" t="s">
        <v>25</v>
      </c>
      <c r="I4781" t="s">
        <v>16</v>
      </c>
      <c r="J4781" s="1">
        <v>45207</v>
      </c>
      <c r="K4781" t="b">
        <v>0</v>
      </c>
    </row>
    <row r="4782" spans="1:11" x14ac:dyDescent="0.25">
      <c r="A4782" t="s">
        <v>6192</v>
      </c>
      <c r="B4782" t="s">
        <v>22</v>
      </c>
      <c r="C4782" t="s">
        <v>23</v>
      </c>
      <c r="D4782" t="s">
        <v>410</v>
      </c>
      <c r="E4782" s="2">
        <v>11</v>
      </c>
      <c r="F4782" s="4">
        <v>7</v>
      </c>
      <c r="G4782" s="2">
        <v>77</v>
      </c>
      <c r="H4782" t="s">
        <v>25</v>
      </c>
      <c r="I4782" t="s">
        <v>36</v>
      </c>
      <c r="J4782" s="1">
        <v>45442</v>
      </c>
      <c r="K4782" t="b">
        <v>1</v>
      </c>
    </row>
    <row r="4783" spans="1:11" x14ac:dyDescent="0.25">
      <c r="A4783" t="s">
        <v>1418</v>
      </c>
      <c r="B4783" t="s">
        <v>69</v>
      </c>
      <c r="C4783" t="s">
        <v>31</v>
      </c>
      <c r="D4783" t="s">
        <v>318</v>
      </c>
      <c r="E4783" s="2">
        <v>11</v>
      </c>
      <c r="F4783" s="4">
        <v>7</v>
      </c>
      <c r="G4783" s="2">
        <v>77</v>
      </c>
      <c r="H4783" t="s">
        <v>15</v>
      </c>
      <c r="I4783" t="s">
        <v>16</v>
      </c>
      <c r="J4783" s="1">
        <v>45016</v>
      </c>
      <c r="K4783" t="b">
        <v>0</v>
      </c>
    </row>
    <row r="4784" spans="1:11" x14ac:dyDescent="0.25">
      <c r="A4784" t="s">
        <v>1075</v>
      </c>
      <c r="B4784" t="s">
        <v>37</v>
      </c>
      <c r="C4784" t="s">
        <v>31</v>
      </c>
      <c r="D4784" t="s">
        <v>318</v>
      </c>
      <c r="E4784" s="2">
        <v>11</v>
      </c>
      <c r="F4784" s="4">
        <v>7</v>
      </c>
      <c r="G4784" s="2">
        <v>77</v>
      </c>
      <c r="H4784" t="s">
        <v>45</v>
      </c>
      <c r="I4784" t="s">
        <v>16</v>
      </c>
      <c r="J4784" s="1">
        <v>45214</v>
      </c>
      <c r="K4784" t="b">
        <v>1</v>
      </c>
    </row>
    <row r="4785" spans="1:11" x14ac:dyDescent="0.25">
      <c r="A4785" t="s">
        <v>2666</v>
      </c>
      <c r="B4785" t="s">
        <v>30</v>
      </c>
      <c r="C4785" t="s">
        <v>38</v>
      </c>
      <c r="D4785" t="s">
        <v>193</v>
      </c>
      <c r="E4785" s="2">
        <v>11</v>
      </c>
      <c r="F4785" s="4">
        <v>7</v>
      </c>
      <c r="G4785" s="2">
        <v>77</v>
      </c>
      <c r="H4785" t="s">
        <v>15</v>
      </c>
      <c r="I4785" t="s">
        <v>16</v>
      </c>
      <c r="J4785" s="1">
        <v>44883</v>
      </c>
      <c r="K4785" t="b">
        <v>1</v>
      </c>
    </row>
    <row r="4786" spans="1:11" x14ac:dyDescent="0.25">
      <c r="A4786" t="s">
        <v>6108</v>
      </c>
      <c r="B4786" t="s">
        <v>30</v>
      </c>
      <c r="C4786" t="s">
        <v>110</v>
      </c>
      <c r="D4786" t="s">
        <v>118</v>
      </c>
      <c r="E4786" s="2">
        <v>11</v>
      </c>
      <c r="F4786" s="4">
        <v>7</v>
      </c>
      <c r="G4786" s="2">
        <v>77</v>
      </c>
      <c r="H4786" t="s">
        <v>25</v>
      </c>
      <c r="I4786" t="s">
        <v>16</v>
      </c>
      <c r="J4786" s="1">
        <v>44965</v>
      </c>
      <c r="K4786" t="b">
        <v>1</v>
      </c>
    </row>
    <row r="4787" spans="1:11" x14ac:dyDescent="0.25">
      <c r="A4787" t="s">
        <v>7278</v>
      </c>
      <c r="B4787" t="s">
        <v>85</v>
      </c>
      <c r="C4787" t="s">
        <v>31</v>
      </c>
      <c r="D4787" t="s">
        <v>318</v>
      </c>
      <c r="E4787" s="2">
        <v>11</v>
      </c>
      <c r="F4787" s="4">
        <v>7</v>
      </c>
      <c r="G4787" s="2">
        <v>77</v>
      </c>
      <c r="H4787" t="s">
        <v>25</v>
      </c>
      <c r="I4787" t="s">
        <v>36</v>
      </c>
      <c r="J4787" s="1">
        <v>45304</v>
      </c>
      <c r="K4787" t="b">
        <v>0</v>
      </c>
    </row>
    <row r="4788" spans="1:11" x14ac:dyDescent="0.25">
      <c r="A4788" t="s">
        <v>5486</v>
      </c>
      <c r="B4788" t="s">
        <v>34</v>
      </c>
      <c r="C4788" t="s">
        <v>13</v>
      </c>
      <c r="D4788" t="s">
        <v>471</v>
      </c>
      <c r="E4788" s="2">
        <v>11</v>
      </c>
      <c r="F4788" s="4">
        <v>7</v>
      </c>
      <c r="G4788" s="2">
        <v>77</v>
      </c>
      <c r="H4788" t="s">
        <v>25</v>
      </c>
      <c r="I4788" t="s">
        <v>36</v>
      </c>
      <c r="J4788" s="1">
        <v>45118</v>
      </c>
      <c r="K4788" t="b">
        <v>1</v>
      </c>
    </row>
    <row r="4789" spans="1:11" x14ac:dyDescent="0.25">
      <c r="A4789" t="s">
        <v>5762</v>
      </c>
      <c r="B4789" t="s">
        <v>85</v>
      </c>
      <c r="C4789" t="s">
        <v>59</v>
      </c>
      <c r="D4789" t="s">
        <v>347</v>
      </c>
      <c r="E4789" s="2">
        <v>11</v>
      </c>
      <c r="F4789" s="4">
        <v>7</v>
      </c>
      <c r="G4789" s="2">
        <v>77</v>
      </c>
      <c r="H4789" t="s">
        <v>25</v>
      </c>
      <c r="I4789" t="s">
        <v>36</v>
      </c>
      <c r="J4789" s="1">
        <v>45100</v>
      </c>
      <c r="K4789" t="b">
        <v>0</v>
      </c>
    </row>
    <row r="4790" spans="1:11" x14ac:dyDescent="0.25">
      <c r="A4790" t="s">
        <v>2922</v>
      </c>
      <c r="B4790" t="s">
        <v>43</v>
      </c>
      <c r="C4790" t="s">
        <v>110</v>
      </c>
      <c r="D4790" t="s">
        <v>118</v>
      </c>
      <c r="E4790" s="2">
        <v>11</v>
      </c>
      <c r="F4790" s="4">
        <v>7</v>
      </c>
      <c r="G4790" s="2">
        <v>77</v>
      </c>
      <c r="H4790" t="s">
        <v>15</v>
      </c>
      <c r="I4790" t="s">
        <v>16</v>
      </c>
      <c r="J4790" s="1">
        <v>45126</v>
      </c>
      <c r="K4790" t="b">
        <v>0</v>
      </c>
    </row>
    <row r="4791" spans="1:11" x14ac:dyDescent="0.25">
      <c r="A4791" t="s">
        <v>1621</v>
      </c>
      <c r="B4791" t="s">
        <v>72</v>
      </c>
      <c r="C4791" t="s">
        <v>19</v>
      </c>
      <c r="D4791" t="s">
        <v>689</v>
      </c>
      <c r="E4791" s="2">
        <v>11</v>
      </c>
      <c r="F4791" s="4">
        <v>7</v>
      </c>
      <c r="G4791" s="2">
        <v>77</v>
      </c>
      <c r="H4791" t="s">
        <v>25</v>
      </c>
      <c r="I4791" t="s">
        <v>16</v>
      </c>
      <c r="J4791" s="1">
        <v>45250</v>
      </c>
      <c r="K4791" t="b">
        <v>0</v>
      </c>
    </row>
    <row r="4792" spans="1:11" x14ac:dyDescent="0.25">
      <c r="A4792" t="s">
        <v>7205</v>
      </c>
      <c r="B4792" t="s">
        <v>43</v>
      </c>
      <c r="C4792" t="s">
        <v>31</v>
      </c>
      <c r="D4792" t="s">
        <v>318</v>
      </c>
      <c r="E4792" s="2">
        <v>11</v>
      </c>
      <c r="F4792" s="4">
        <v>7</v>
      </c>
      <c r="G4792" s="2">
        <v>77</v>
      </c>
      <c r="H4792" t="s">
        <v>25</v>
      </c>
      <c r="I4792" t="s">
        <v>16</v>
      </c>
      <c r="J4792" s="1">
        <v>44935</v>
      </c>
      <c r="K4792" t="b">
        <v>1</v>
      </c>
    </row>
    <row r="4793" spans="1:11" x14ac:dyDescent="0.25">
      <c r="A4793" t="s">
        <v>4925</v>
      </c>
      <c r="B4793" t="s">
        <v>34</v>
      </c>
      <c r="C4793" t="s">
        <v>110</v>
      </c>
      <c r="D4793" t="s">
        <v>118</v>
      </c>
      <c r="E4793" s="2">
        <v>11</v>
      </c>
      <c r="F4793" s="4">
        <v>7</v>
      </c>
      <c r="G4793" s="2">
        <v>77</v>
      </c>
      <c r="H4793" t="s">
        <v>45</v>
      </c>
      <c r="I4793" t="s">
        <v>36</v>
      </c>
      <c r="J4793" s="1">
        <v>45386</v>
      </c>
      <c r="K4793" t="b">
        <v>0</v>
      </c>
    </row>
    <row r="4794" spans="1:11" x14ac:dyDescent="0.25">
      <c r="A4794" t="s">
        <v>7624</v>
      </c>
      <c r="B4794" t="s">
        <v>22</v>
      </c>
      <c r="C4794" t="s">
        <v>13</v>
      </c>
      <c r="D4794" t="s">
        <v>567</v>
      </c>
      <c r="E4794" s="2">
        <v>38</v>
      </c>
      <c r="F4794" s="4">
        <v>2</v>
      </c>
      <c r="G4794" s="2">
        <v>76</v>
      </c>
      <c r="H4794" t="s">
        <v>45</v>
      </c>
      <c r="I4794" t="s">
        <v>36</v>
      </c>
      <c r="J4794" s="1">
        <v>44931</v>
      </c>
      <c r="K4794" t="b">
        <v>0</v>
      </c>
    </row>
    <row r="4795" spans="1:11" x14ac:dyDescent="0.25">
      <c r="A4795" t="s">
        <v>5029</v>
      </c>
      <c r="B4795" t="s">
        <v>85</v>
      </c>
      <c r="C4795" t="s">
        <v>27</v>
      </c>
      <c r="D4795" t="s">
        <v>147</v>
      </c>
      <c r="E4795" s="2">
        <v>9.5</v>
      </c>
      <c r="F4795" s="4">
        <v>8</v>
      </c>
      <c r="G4795" s="2">
        <v>76</v>
      </c>
      <c r="H4795" t="s">
        <v>45</v>
      </c>
      <c r="I4795" t="s">
        <v>16</v>
      </c>
      <c r="J4795" s="1">
        <v>44798</v>
      </c>
      <c r="K4795" t="b">
        <v>1</v>
      </c>
    </row>
    <row r="4796" spans="1:11" x14ac:dyDescent="0.25">
      <c r="A4796" t="s">
        <v>5063</v>
      </c>
      <c r="B4796" t="s">
        <v>86</v>
      </c>
      <c r="C4796" t="s">
        <v>110</v>
      </c>
      <c r="D4796" t="s">
        <v>534</v>
      </c>
      <c r="E4796" s="2">
        <v>38</v>
      </c>
      <c r="F4796" s="4">
        <v>2</v>
      </c>
      <c r="G4796" s="2">
        <v>76</v>
      </c>
      <c r="H4796" t="s">
        <v>25</v>
      </c>
      <c r="I4796" t="s">
        <v>16</v>
      </c>
      <c r="J4796" s="1">
        <v>45023</v>
      </c>
      <c r="K4796" t="b">
        <v>1</v>
      </c>
    </row>
    <row r="4797" spans="1:11" x14ac:dyDescent="0.25">
      <c r="A4797" t="s">
        <v>3932</v>
      </c>
      <c r="B4797" t="s">
        <v>97</v>
      </c>
      <c r="C4797" t="s">
        <v>19</v>
      </c>
      <c r="D4797" t="s">
        <v>203</v>
      </c>
      <c r="E4797" s="2">
        <v>38</v>
      </c>
      <c r="F4797" s="4">
        <v>2</v>
      </c>
      <c r="G4797" s="2">
        <v>76</v>
      </c>
      <c r="H4797" t="s">
        <v>45</v>
      </c>
      <c r="I4797" t="s">
        <v>36</v>
      </c>
      <c r="J4797" s="1">
        <v>44959</v>
      </c>
      <c r="K4797" t="b">
        <v>0</v>
      </c>
    </row>
    <row r="4798" spans="1:11" x14ac:dyDescent="0.25">
      <c r="A4798" t="s">
        <v>737</v>
      </c>
      <c r="B4798" t="s">
        <v>85</v>
      </c>
      <c r="C4798" t="s">
        <v>13</v>
      </c>
      <c r="D4798" t="s">
        <v>171</v>
      </c>
      <c r="E4798" s="2">
        <v>9.5</v>
      </c>
      <c r="F4798" s="4">
        <v>8</v>
      </c>
      <c r="G4798" s="2">
        <v>76</v>
      </c>
      <c r="H4798" t="s">
        <v>15</v>
      </c>
      <c r="I4798" t="s">
        <v>36</v>
      </c>
      <c r="J4798" s="1">
        <v>45652</v>
      </c>
      <c r="K4798" t="b">
        <v>0</v>
      </c>
    </row>
    <row r="4799" spans="1:11" x14ac:dyDescent="0.25">
      <c r="A4799" t="s">
        <v>6790</v>
      </c>
      <c r="B4799" t="s">
        <v>56</v>
      </c>
      <c r="C4799" t="s">
        <v>27</v>
      </c>
      <c r="D4799" t="s">
        <v>147</v>
      </c>
      <c r="E4799" s="2">
        <v>9.5</v>
      </c>
      <c r="F4799" s="4">
        <v>8</v>
      </c>
      <c r="G4799" s="2">
        <v>76</v>
      </c>
      <c r="H4799" t="s">
        <v>15</v>
      </c>
      <c r="I4799" t="s">
        <v>36</v>
      </c>
      <c r="J4799" s="1">
        <v>45427</v>
      </c>
      <c r="K4799" t="b">
        <v>0</v>
      </c>
    </row>
    <row r="4800" spans="1:11" x14ac:dyDescent="0.25">
      <c r="A4800" t="s">
        <v>7316</v>
      </c>
      <c r="B4800" t="s">
        <v>100</v>
      </c>
      <c r="C4800" t="s">
        <v>31</v>
      </c>
      <c r="D4800" t="s">
        <v>91</v>
      </c>
      <c r="E4800" s="2">
        <v>38</v>
      </c>
      <c r="F4800" s="4">
        <v>2</v>
      </c>
      <c r="G4800" s="2">
        <v>76</v>
      </c>
      <c r="H4800" t="s">
        <v>45</v>
      </c>
      <c r="I4800" t="s">
        <v>16</v>
      </c>
      <c r="J4800" s="1">
        <v>45633</v>
      </c>
      <c r="K4800" t="b">
        <v>0</v>
      </c>
    </row>
    <row r="4801" spans="1:11" x14ac:dyDescent="0.25">
      <c r="A4801" t="s">
        <v>3412</v>
      </c>
      <c r="B4801" t="s">
        <v>40</v>
      </c>
      <c r="C4801" t="s">
        <v>19</v>
      </c>
      <c r="D4801" t="s">
        <v>174</v>
      </c>
      <c r="E4801" s="2">
        <v>9.5</v>
      </c>
      <c r="F4801" s="4">
        <v>8</v>
      </c>
      <c r="G4801" s="2">
        <v>76</v>
      </c>
      <c r="H4801" t="s">
        <v>45</v>
      </c>
      <c r="I4801" t="s">
        <v>16</v>
      </c>
      <c r="J4801" s="1">
        <v>44886</v>
      </c>
      <c r="K4801" t="b">
        <v>0</v>
      </c>
    </row>
    <row r="4802" spans="1:11" x14ac:dyDescent="0.25">
      <c r="A4802" t="s">
        <v>861</v>
      </c>
      <c r="B4802" t="s">
        <v>66</v>
      </c>
      <c r="C4802" t="s">
        <v>38</v>
      </c>
      <c r="D4802" t="s">
        <v>122</v>
      </c>
      <c r="E4802" s="2">
        <v>38</v>
      </c>
      <c r="F4802" s="4">
        <v>2</v>
      </c>
      <c r="G4802" s="2">
        <v>76</v>
      </c>
      <c r="H4802" t="s">
        <v>45</v>
      </c>
      <c r="I4802" t="s">
        <v>36</v>
      </c>
      <c r="J4802" s="1">
        <v>45052</v>
      </c>
      <c r="K4802" t="b">
        <v>1</v>
      </c>
    </row>
    <row r="4803" spans="1:11" x14ac:dyDescent="0.25">
      <c r="A4803" t="s">
        <v>2347</v>
      </c>
      <c r="B4803" t="s">
        <v>97</v>
      </c>
      <c r="C4803" t="s">
        <v>38</v>
      </c>
      <c r="D4803" t="s">
        <v>122</v>
      </c>
      <c r="E4803" s="2">
        <v>38</v>
      </c>
      <c r="F4803" s="4">
        <v>2</v>
      </c>
      <c r="G4803" s="2">
        <v>76</v>
      </c>
      <c r="H4803" t="s">
        <v>25</v>
      </c>
      <c r="I4803" t="s">
        <v>16</v>
      </c>
      <c r="J4803" s="1">
        <v>45294</v>
      </c>
      <c r="K4803" t="b">
        <v>0</v>
      </c>
    </row>
    <row r="4804" spans="1:11" x14ac:dyDescent="0.25">
      <c r="A4804" t="s">
        <v>303</v>
      </c>
      <c r="B4804" t="s">
        <v>43</v>
      </c>
      <c r="C4804" t="s">
        <v>23</v>
      </c>
      <c r="D4804" t="s">
        <v>98</v>
      </c>
      <c r="E4804" s="2">
        <v>38</v>
      </c>
      <c r="F4804" s="4">
        <v>2</v>
      </c>
      <c r="G4804" s="2">
        <v>76</v>
      </c>
      <c r="H4804" t="s">
        <v>15</v>
      </c>
      <c r="I4804" t="s">
        <v>36</v>
      </c>
      <c r="J4804" s="1">
        <v>45295</v>
      </c>
      <c r="K4804" t="b">
        <v>0</v>
      </c>
    </row>
    <row r="4805" spans="1:11" x14ac:dyDescent="0.25">
      <c r="A4805" t="s">
        <v>5583</v>
      </c>
      <c r="B4805" t="s">
        <v>40</v>
      </c>
      <c r="C4805" t="s">
        <v>23</v>
      </c>
      <c r="D4805" t="s">
        <v>98</v>
      </c>
      <c r="E4805" s="2">
        <v>38</v>
      </c>
      <c r="F4805" s="4">
        <v>2</v>
      </c>
      <c r="G4805" s="2">
        <v>76</v>
      </c>
      <c r="H4805" t="s">
        <v>15</v>
      </c>
      <c r="I4805" t="s">
        <v>16</v>
      </c>
      <c r="J4805" s="1">
        <v>44577</v>
      </c>
      <c r="K4805" t="b">
        <v>1</v>
      </c>
    </row>
    <row r="4806" spans="1:11" x14ac:dyDescent="0.25">
      <c r="A4806" t="s">
        <v>2194</v>
      </c>
      <c r="B4806" t="s">
        <v>51</v>
      </c>
      <c r="C4806" t="s">
        <v>23</v>
      </c>
      <c r="D4806" t="s">
        <v>98</v>
      </c>
      <c r="E4806" s="2">
        <v>38</v>
      </c>
      <c r="F4806" s="4">
        <v>2</v>
      </c>
      <c r="G4806" s="2">
        <v>76</v>
      </c>
      <c r="H4806" t="s">
        <v>45</v>
      </c>
      <c r="I4806" t="s">
        <v>36</v>
      </c>
      <c r="J4806" s="1">
        <v>44604</v>
      </c>
      <c r="K4806" t="b">
        <v>1</v>
      </c>
    </row>
    <row r="4807" spans="1:11" x14ac:dyDescent="0.25">
      <c r="A4807" t="s">
        <v>5285</v>
      </c>
      <c r="B4807" t="s">
        <v>63</v>
      </c>
      <c r="C4807" t="s">
        <v>31</v>
      </c>
      <c r="D4807" t="s">
        <v>168</v>
      </c>
      <c r="E4807" s="2">
        <v>9.5</v>
      </c>
      <c r="F4807" s="4">
        <v>8</v>
      </c>
      <c r="G4807" s="2">
        <v>76</v>
      </c>
      <c r="H4807" t="s">
        <v>15</v>
      </c>
      <c r="I4807" t="s">
        <v>16</v>
      </c>
      <c r="J4807" s="1">
        <v>45318</v>
      </c>
      <c r="K4807" t="b">
        <v>0</v>
      </c>
    </row>
    <row r="4808" spans="1:11" x14ac:dyDescent="0.25">
      <c r="A4808" t="s">
        <v>4838</v>
      </c>
      <c r="B4808" t="s">
        <v>104</v>
      </c>
      <c r="C4808" t="s">
        <v>27</v>
      </c>
      <c r="D4808" t="s">
        <v>205</v>
      </c>
      <c r="E4808" s="2">
        <v>38</v>
      </c>
      <c r="F4808" s="4">
        <v>2</v>
      </c>
      <c r="G4808" s="2">
        <v>76</v>
      </c>
      <c r="H4808" t="s">
        <v>45</v>
      </c>
      <c r="I4808" t="s">
        <v>16</v>
      </c>
      <c r="J4808" s="1">
        <v>44740</v>
      </c>
      <c r="K4808" t="b">
        <v>0</v>
      </c>
    </row>
    <row r="4809" spans="1:11" x14ac:dyDescent="0.25">
      <c r="A4809" t="s">
        <v>6853</v>
      </c>
      <c r="B4809" t="s">
        <v>30</v>
      </c>
      <c r="C4809" t="s">
        <v>19</v>
      </c>
      <c r="D4809" t="s">
        <v>203</v>
      </c>
      <c r="E4809" s="2">
        <v>38</v>
      </c>
      <c r="F4809" s="4">
        <v>2</v>
      </c>
      <c r="G4809" s="2">
        <v>76</v>
      </c>
      <c r="H4809" t="s">
        <v>15</v>
      </c>
      <c r="I4809" t="s">
        <v>36</v>
      </c>
      <c r="J4809" s="1">
        <v>44631</v>
      </c>
      <c r="K4809" t="b">
        <v>0</v>
      </c>
    </row>
    <row r="4810" spans="1:11" x14ac:dyDescent="0.25">
      <c r="A4810" t="s">
        <v>1184</v>
      </c>
      <c r="B4810" t="s">
        <v>63</v>
      </c>
      <c r="C4810" t="s">
        <v>13</v>
      </c>
      <c r="D4810" t="s">
        <v>171</v>
      </c>
      <c r="E4810" s="2">
        <v>9.5</v>
      </c>
      <c r="F4810" s="4">
        <v>8</v>
      </c>
      <c r="G4810" s="2">
        <v>76</v>
      </c>
      <c r="H4810" t="s">
        <v>45</v>
      </c>
      <c r="I4810" t="s">
        <v>16</v>
      </c>
      <c r="J4810" s="1">
        <v>44955</v>
      </c>
      <c r="K4810" t="b">
        <v>0</v>
      </c>
    </row>
    <row r="4811" spans="1:11" x14ac:dyDescent="0.25">
      <c r="A4811" t="s">
        <v>5650</v>
      </c>
      <c r="B4811" t="s">
        <v>22</v>
      </c>
      <c r="C4811" t="s">
        <v>19</v>
      </c>
      <c r="D4811" t="s">
        <v>174</v>
      </c>
      <c r="E4811" s="2">
        <v>9.5</v>
      </c>
      <c r="F4811" s="4">
        <v>8</v>
      </c>
      <c r="G4811" s="2">
        <v>76</v>
      </c>
      <c r="H4811" t="s">
        <v>15</v>
      </c>
      <c r="I4811" t="s">
        <v>16</v>
      </c>
      <c r="J4811" s="1">
        <v>45506</v>
      </c>
      <c r="K4811" t="b">
        <v>0</v>
      </c>
    </row>
    <row r="4812" spans="1:11" x14ac:dyDescent="0.25">
      <c r="A4812" t="s">
        <v>723</v>
      </c>
      <c r="B4812" t="s">
        <v>97</v>
      </c>
      <c r="C4812" t="s">
        <v>23</v>
      </c>
      <c r="D4812" t="s">
        <v>98</v>
      </c>
      <c r="E4812" s="2">
        <v>38</v>
      </c>
      <c r="F4812" s="4">
        <v>2</v>
      </c>
      <c r="G4812" s="2">
        <v>76</v>
      </c>
      <c r="H4812" t="s">
        <v>45</v>
      </c>
      <c r="I4812" t="s">
        <v>36</v>
      </c>
      <c r="J4812" s="1">
        <v>45503</v>
      </c>
      <c r="K4812" t="b">
        <v>1</v>
      </c>
    </row>
    <row r="4813" spans="1:11" x14ac:dyDescent="0.25">
      <c r="A4813" t="s">
        <v>5708</v>
      </c>
      <c r="B4813" t="s">
        <v>72</v>
      </c>
      <c r="C4813" t="s">
        <v>59</v>
      </c>
      <c r="D4813" t="s">
        <v>64</v>
      </c>
      <c r="E4813" s="2">
        <v>9.5</v>
      </c>
      <c r="F4813" s="4">
        <v>8</v>
      </c>
      <c r="G4813" s="2">
        <v>76</v>
      </c>
      <c r="H4813" t="s">
        <v>25</v>
      </c>
      <c r="I4813" t="s">
        <v>16</v>
      </c>
      <c r="J4813" s="1">
        <v>44858</v>
      </c>
      <c r="K4813" t="b">
        <v>0</v>
      </c>
    </row>
    <row r="4814" spans="1:11" x14ac:dyDescent="0.25">
      <c r="A4814" t="s">
        <v>4843</v>
      </c>
      <c r="B4814" t="s">
        <v>61</v>
      </c>
      <c r="C4814" t="s">
        <v>110</v>
      </c>
      <c r="D4814" t="s">
        <v>534</v>
      </c>
      <c r="E4814" s="2">
        <v>38</v>
      </c>
      <c r="F4814" s="4">
        <v>2</v>
      </c>
      <c r="G4814" s="2">
        <v>76</v>
      </c>
      <c r="H4814" t="s">
        <v>25</v>
      </c>
      <c r="I4814" t="s">
        <v>16</v>
      </c>
      <c r="J4814" s="1">
        <v>45310</v>
      </c>
      <c r="K4814" t="b">
        <v>0</v>
      </c>
    </row>
    <row r="4815" spans="1:11" x14ac:dyDescent="0.25">
      <c r="A4815" t="s">
        <v>5380</v>
      </c>
      <c r="B4815" t="s">
        <v>12</v>
      </c>
      <c r="C4815" t="s">
        <v>19</v>
      </c>
      <c r="D4815" t="s">
        <v>174</v>
      </c>
      <c r="E4815" s="2">
        <v>9.5</v>
      </c>
      <c r="F4815" s="4">
        <v>8</v>
      </c>
      <c r="G4815" s="2">
        <v>76</v>
      </c>
      <c r="H4815" t="s">
        <v>25</v>
      </c>
      <c r="I4815" t="s">
        <v>36</v>
      </c>
      <c r="J4815" s="1">
        <v>44930</v>
      </c>
      <c r="K4815" t="b">
        <v>1</v>
      </c>
    </row>
    <row r="4816" spans="1:11" x14ac:dyDescent="0.25">
      <c r="A4816" t="s">
        <v>638</v>
      </c>
      <c r="B4816" t="s">
        <v>56</v>
      </c>
      <c r="C4816" t="s">
        <v>27</v>
      </c>
      <c r="D4816" t="s">
        <v>147</v>
      </c>
      <c r="E4816" s="2">
        <v>9.5</v>
      </c>
      <c r="F4816" s="4">
        <v>8</v>
      </c>
      <c r="G4816" s="2">
        <v>76</v>
      </c>
      <c r="H4816" t="s">
        <v>15</v>
      </c>
      <c r="I4816" t="s">
        <v>36</v>
      </c>
      <c r="J4816" s="1">
        <v>44568</v>
      </c>
      <c r="K4816" t="b">
        <v>0</v>
      </c>
    </row>
    <row r="4817" spans="1:11" x14ac:dyDescent="0.25">
      <c r="A4817" t="s">
        <v>4070</v>
      </c>
      <c r="B4817" t="s">
        <v>63</v>
      </c>
      <c r="C4817" t="s">
        <v>19</v>
      </c>
      <c r="D4817" t="s">
        <v>203</v>
      </c>
      <c r="E4817" s="2">
        <v>38</v>
      </c>
      <c r="F4817" s="4">
        <v>2</v>
      </c>
      <c r="G4817" s="2">
        <v>76</v>
      </c>
      <c r="H4817" t="s">
        <v>15</v>
      </c>
      <c r="I4817" t="s">
        <v>36</v>
      </c>
      <c r="J4817" s="1">
        <v>45443</v>
      </c>
      <c r="K4817" t="b">
        <v>0</v>
      </c>
    </row>
    <row r="4818" spans="1:11" x14ac:dyDescent="0.25">
      <c r="A4818" t="s">
        <v>2914</v>
      </c>
      <c r="B4818" t="s">
        <v>22</v>
      </c>
      <c r="C4818" t="s">
        <v>59</v>
      </c>
      <c r="D4818" t="s">
        <v>275</v>
      </c>
      <c r="E4818" s="2">
        <v>38</v>
      </c>
      <c r="F4818" s="4">
        <v>2</v>
      </c>
      <c r="G4818" s="2">
        <v>76</v>
      </c>
      <c r="H4818" t="s">
        <v>45</v>
      </c>
      <c r="I4818" t="s">
        <v>36</v>
      </c>
      <c r="J4818" s="1">
        <v>45541</v>
      </c>
      <c r="K4818" t="b">
        <v>0</v>
      </c>
    </row>
    <row r="4819" spans="1:11" x14ac:dyDescent="0.25">
      <c r="A4819" t="s">
        <v>4353</v>
      </c>
      <c r="B4819" t="s">
        <v>51</v>
      </c>
      <c r="C4819" t="s">
        <v>23</v>
      </c>
      <c r="D4819" t="s">
        <v>98</v>
      </c>
      <c r="E4819" s="2">
        <v>38</v>
      </c>
      <c r="F4819" s="4">
        <v>2</v>
      </c>
      <c r="G4819" s="2">
        <v>76</v>
      </c>
      <c r="H4819" t="s">
        <v>15</v>
      </c>
      <c r="I4819" t="s">
        <v>36</v>
      </c>
      <c r="J4819" s="1">
        <v>45299</v>
      </c>
      <c r="K4819" t="b">
        <v>0</v>
      </c>
    </row>
    <row r="4820" spans="1:11" x14ac:dyDescent="0.25">
      <c r="A4820" t="s">
        <v>1414</v>
      </c>
      <c r="B4820" t="s">
        <v>40</v>
      </c>
      <c r="C4820" t="s">
        <v>59</v>
      </c>
      <c r="D4820" t="s">
        <v>275</v>
      </c>
      <c r="E4820" s="2">
        <v>38</v>
      </c>
      <c r="F4820" s="4">
        <v>2</v>
      </c>
      <c r="G4820" s="2">
        <v>76</v>
      </c>
      <c r="H4820" t="s">
        <v>25</v>
      </c>
      <c r="I4820" t="s">
        <v>16</v>
      </c>
      <c r="J4820" s="1">
        <v>44627</v>
      </c>
      <c r="K4820" t="b">
        <v>0</v>
      </c>
    </row>
    <row r="4821" spans="1:11" x14ac:dyDescent="0.25">
      <c r="A4821" t="s">
        <v>3926</v>
      </c>
      <c r="B4821" t="s">
        <v>63</v>
      </c>
      <c r="C4821" t="s">
        <v>13</v>
      </c>
      <c r="D4821" t="s">
        <v>567</v>
      </c>
      <c r="E4821" s="2">
        <v>38</v>
      </c>
      <c r="F4821" s="4">
        <v>2</v>
      </c>
      <c r="G4821" s="2">
        <v>76</v>
      </c>
      <c r="H4821" t="s">
        <v>45</v>
      </c>
      <c r="I4821" t="s">
        <v>36</v>
      </c>
      <c r="J4821" s="1">
        <v>45584</v>
      </c>
      <c r="K4821" t="b">
        <v>1</v>
      </c>
    </row>
    <row r="4822" spans="1:11" x14ac:dyDescent="0.25">
      <c r="A4822" t="s">
        <v>2837</v>
      </c>
      <c r="B4822" t="s">
        <v>66</v>
      </c>
      <c r="C4822" t="s">
        <v>27</v>
      </c>
      <c r="D4822" t="s">
        <v>147</v>
      </c>
      <c r="E4822" s="2">
        <v>9.5</v>
      </c>
      <c r="F4822" s="4">
        <v>8</v>
      </c>
      <c r="G4822" s="2">
        <v>76</v>
      </c>
      <c r="H4822" t="s">
        <v>45</v>
      </c>
      <c r="I4822" t="s">
        <v>36</v>
      </c>
      <c r="J4822" s="1">
        <v>45649</v>
      </c>
      <c r="K4822" t="b">
        <v>1</v>
      </c>
    </row>
    <row r="4823" spans="1:11" x14ac:dyDescent="0.25">
      <c r="A4823" t="s">
        <v>3940</v>
      </c>
      <c r="B4823" t="s">
        <v>86</v>
      </c>
      <c r="C4823" t="s">
        <v>19</v>
      </c>
      <c r="D4823" t="s">
        <v>203</v>
      </c>
      <c r="E4823" s="2">
        <v>38</v>
      </c>
      <c r="F4823" s="4">
        <v>2</v>
      </c>
      <c r="G4823" s="2">
        <v>76</v>
      </c>
      <c r="H4823" t="s">
        <v>45</v>
      </c>
      <c r="I4823" t="s">
        <v>16</v>
      </c>
      <c r="J4823" s="1">
        <v>45187</v>
      </c>
      <c r="K4823" t="b">
        <v>1</v>
      </c>
    </row>
    <row r="4824" spans="1:11" x14ac:dyDescent="0.25">
      <c r="A4824" t="s">
        <v>1849</v>
      </c>
      <c r="B4824" t="s">
        <v>77</v>
      </c>
      <c r="C4824" t="s">
        <v>19</v>
      </c>
      <c r="D4824" t="s">
        <v>203</v>
      </c>
      <c r="E4824" s="2">
        <v>38</v>
      </c>
      <c r="F4824" s="4">
        <v>2</v>
      </c>
      <c r="G4824" s="2">
        <v>76</v>
      </c>
      <c r="H4824" t="s">
        <v>15</v>
      </c>
      <c r="I4824" t="s">
        <v>16</v>
      </c>
      <c r="J4824" s="1">
        <v>45151</v>
      </c>
      <c r="K4824" t="b">
        <v>1</v>
      </c>
    </row>
    <row r="4825" spans="1:11" x14ac:dyDescent="0.25">
      <c r="A4825" t="s">
        <v>1644</v>
      </c>
      <c r="B4825" t="s">
        <v>51</v>
      </c>
      <c r="C4825" t="s">
        <v>110</v>
      </c>
      <c r="D4825" t="s">
        <v>534</v>
      </c>
      <c r="E4825" s="2">
        <v>38</v>
      </c>
      <c r="F4825" s="4">
        <v>2</v>
      </c>
      <c r="G4825" s="2">
        <v>76</v>
      </c>
      <c r="H4825" t="s">
        <v>15</v>
      </c>
      <c r="I4825" t="s">
        <v>16</v>
      </c>
      <c r="J4825" s="1">
        <v>45322</v>
      </c>
      <c r="K4825" t="b">
        <v>0</v>
      </c>
    </row>
    <row r="4826" spans="1:11" x14ac:dyDescent="0.25">
      <c r="A4826" t="s">
        <v>6345</v>
      </c>
      <c r="B4826" t="s">
        <v>100</v>
      </c>
      <c r="C4826" t="s">
        <v>110</v>
      </c>
      <c r="D4826" t="s">
        <v>534</v>
      </c>
      <c r="E4826" s="2">
        <v>38</v>
      </c>
      <c r="F4826" s="4">
        <v>2</v>
      </c>
      <c r="G4826" s="2">
        <v>76</v>
      </c>
      <c r="H4826" t="s">
        <v>25</v>
      </c>
      <c r="I4826" t="s">
        <v>36</v>
      </c>
      <c r="J4826" s="1">
        <v>44747</v>
      </c>
      <c r="K4826" t="b">
        <v>0</v>
      </c>
    </row>
    <row r="4827" spans="1:11" x14ac:dyDescent="0.25">
      <c r="A4827" t="s">
        <v>2729</v>
      </c>
      <c r="B4827" t="s">
        <v>12</v>
      </c>
      <c r="C4827" t="s">
        <v>59</v>
      </c>
      <c r="D4827" t="s">
        <v>64</v>
      </c>
      <c r="E4827" s="2">
        <v>9.5</v>
      </c>
      <c r="F4827" s="4">
        <v>8</v>
      </c>
      <c r="G4827" s="2">
        <v>76</v>
      </c>
      <c r="H4827" t="s">
        <v>15</v>
      </c>
      <c r="I4827" t="s">
        <v>16</v>
      </c>
      <c r="J4827" s="1">
        <v>45405</v>
      </c>
      <c r="K4827" t="b">
        <v>0</v>
      </c>
    </row>
    <row r="4828" spans="1:11" x14ac:dyDescent="0.25">
      <c r="A4828" t="s">
        <v>1441</v>
      </c>
      <c r="B4828" t="s">
        <v>104</v>
      </c>
      <c r="C4828" t="s">
        <v>13</v>
      </c>
      <c r="D4828" t="s">
        <v>171</v>
      </c>
      <c r="E4828" s="2">
        <v>9.5</v>
      </c>
      <c r="F4828" s="4">
        <v>8</v>
      </c>
      <c r="G4828" s="2">
        <v>76</v>
      </c>
      <c r="H4828" t="s">
        <v>15</v>
      </c>
      <c r="I4828" t="s">
        <v>36</v>
      </c>
      <c r="J4828" s="1">
        <v>45622</v>
      </c>
      <c r="K4828" t="b">
        <v>0</v>
      </c>
    </row>
    <row r="4829" spans="1:11" x14ac:dyDescent="0.25">
      <c r="A4829" t="s">
        <v>7326</v>
      </c>
      <c r="B4829" t="s">
        <v>142</v>
      </c>
      <c r="C4829" t="s">
        <v>23</v>
      </c>
      <c r="D4829" t="s">
        <v>98</v>
      </c>
      <c r="E4829" s="2">
        <v>38</v>
      </c>
      <c r="F4829" s="4">
        <v>2</v>
      </c>
      <c r="G4829" s="2">
        <v>76</v>
      </c>
      <c r="H4829" t="s">
        <v>45</v>
      </c>
      <c r="I4829" t="s">
        <v>36</v>
      </c>
      <c r="J4829" s="1">
        <v>44597</v>
      </c>
      <c r="K4829" t="b">
        <v>0</v>
      </c>
    </row>
    <row r="4830" spans="1:11" x14ac:dyDescent="0.25">
      <c r="A4830" t="s">
        <v>7216</v>
      </c>
      <c r="B4830" t="s">
        <v>56</v>
      </c>
      <c r="C4830" t="s">
        <v>19</v>
      </c>
      <c r="D4830" t="s">
        <v>203</v>
      </c>
      <c r="E4830" s="2">
        <v>38</v>
      </c>
      <c r="F4830" s="4">
        <v>2</v>
      </c>
      <c r="G4830" s="2">
        <v>76</v>
      </c>
      <c r="H4830" t="s">
        <v>15</v>
      </c>
      <c r="I4830" t="s">
        <v>36</v>
      </c>
      <c r="J4830" s="1">
        <v>44931</v>
      </c>
      <c r="K4830" t="b">
        <v>0</v>
      </c>
    </row>
    <row r="4831" spans="1:11" x14ac:dyDescent="0.25">
      <c r="A4831" t="s">
        <v>6688</v>
      </c>
      <c r="B4831" t="s">
        <v>26</v>
      </c>
      <c r="C4831" t="s">
        <v>59</v>
      </c>
      <c r="D4831" t="s">
        <v>275</v>
      </c>
      <c r="E4831" s="2">
        <v>38</v>
      </c>
      <c r="F4831" s="4">
        <v>2</v>
      </c>
      <c r="G4831" s="2">
        <v>76</v>
      </c>
      <c r="H4831" t="s">
        <v>15</v>
      </c>
      <c r="I4831" t="s">
        <v>36</v>
      </c>
      <c r="J4831" s="1">
        <v>45303</v>
      </c>
      <c r="K4831" t="b">
        <v>1</v>
      </c>
    </row>
    <row r="4832" spans="1:11" x14ac:dyDescent="0.25">
      <c r="A4832" t="s">
        <v>7349</v>
      </c>
      <c r="B4832" t="s">
        <v>56</v>
      </c>
      <c r="C4832" t="s">
        <v>23</v>
      </c>
      <c r="D4832" t="s">
        <v>98</v>
      </c>
      <c r="E4832" s="2">
        <v>38</v>
      </c>
      <c r="F4832" s="4">
        <v>2</v>
      </c>
      <c r="G4832" s="2">
        <v>76</v>
      </c>
      <c r="H4832" t="s">
        <v>45</v>
      </c>
      <c r="I4832" t="s">
        <v>16</v>
      </c>
      <c r="J4832" s="1">
        <v>45535</v>
      </c>
      <c r="K4832" t="b">
        <v>0</v>
      </c>
    </row>
    <row r="4833" spans="1:11" x14ac:dyDescent="0.25">
      <c r="A4833" t="s">
        <v>6210</v>
      </c>
      <c r="B4833" t="s">
        <v>69</v>
      </c>
      <c r="C4833" t="s">
        <v>13</v>
      </c>
      <c r="D4833" t="s">
        <v>171</v>
      </c>
      <c r="E4833" s="2">
        <v>9.5</v>
      </c>
      <c r="F4833" s="4">
        <v>8</v>
      </c>
      <c r="G4833" s="2">
        <v>76</v>
      </c>
      <c r="H4833" t="s">
        <v>15</v>
      </c>
      <c r="I4833" t="s">
        <v>16</v>
      </c>
      <c r="J4833" s="1">
        <v>44852</v>
      </c>
      <c r="K4833" t="b">
        <v>1</v>
      </c>
    </row>
    <row r="4834" spans="1:11" x14ac:dyDescent="0.25">
      <c r="A4834" t="s">
        <v>2905</v>
      </c>
      <c r="B4834" t="s">
        <v>40</v>
      </c>
      <c r="C4834" t="s">
        <v>110</v>
      </c>
      <c r="D4834" t="s">
        <v>534</v>
      </c>
      <c r="E4834" s="2">
        <v>38</v>
      </c>
      <c r="F4834" s="4">
        <v>2</v>
      </c>
      <c r="G4834" s="2">
        <v>76</v>
      </c>
      <c r="H4834" t="s">
        <v>15</v>
      </c>
      <c r="I4834" t="s">
        <v>36</v>
      </c>
      <c r="J4834" s="1">
        <v>44690</v>
      </c>
      <c r="K4834" t="b">
        <v>0</v>
      </c>
    </row>
    <row r="4835" spans="1:11" x14ac:dyDescent="0.25">
      <c r="A4835" t="s">
        <v>3395</v>
      </c>
      <c r="B4835" t="s">
        <v>22</v>
      </c>
      <c r="C4835" t="s">
        <v>23</v>
      </c>
      <c r="D4835" t="s">
        <v>98</v>
      </c>
      <c r="E4835" s="2">
        <v>38</v>
      </c>
      <c r="F4835" s="4">
        <v>2</v>
      </c>
      <c r="G4835" s="2">
        <v>76</v>
      </c>
      <c r="H4835" t="s">
        <v>15</v>
      </c>
      <c r="I4835" t="s">
        <v>36</v>
      </c>
      <c r="J4835" s="1">
        <v>44878</v>
      </c>
      <c r="K4835" t="b">
        <v>0</v>
      </c>
    </row>
    <row r="4836" spans="1:11" x14ac:dyDescent="0.25">
      <c r="A4836" t="s">
        <v>5874</v>
      </c>
      <c r="B4836" t="s">
        <v>22</v>
      </c>
      <c r="C4836" t="s">
        <v>59</v>
      </c>
      <c r="D4836" t="s">
        <v>275</v>
      </c>
      <c r="E4836" s="2">
        <v>38</v>
      </c>
      <c r="F4836" s="4">
        <v>2</v>
      </c>
      <c r="G4836" s="2">
        <v>76</v>
      </c>
      <c r="H4836" t="s">
        <v>45</v>
      </c>
      <c r="I4836" t="s">
        <v>36</v>
      </c>
      <c r="J4836" s="1">
        <v>44954</v>
      </c>
      <c r="K4836" t="b">
        <v>1</v>
      </c>
    </row>
    <row r="4837" spans="1:11" x14ac:dyDescent="0.25">
      <c r="A4837" t="s">
        <v>5927</v>
      </c>
      <c r="B4837" t="s">
        <v>40</v>
      </c>
      <c r="C4837" t="s">
        <v>31</v>
      </c>
      <c r="D4837" t="s">
        <v>91</v>
      </c>
      <c r="E4837" s="2">
        <v>38</v>
      </c>
      <c r="F4837" s="4">
        <v>2</v>
      </c>
      <c r="G4837" s="2">
        <v>76</v>
      </c>
      <c r="H4837" t="s">
        <v>45</v>
      </c>
      <c r="I4837" t="s">
        <v>36</v>
      </c>
      <c r="J4837" s="1">
        <v>45144</v>
      </c>
      <c r="K4837" t="b">
        <v>0</v>
      </c>
    </row>
    <row r="4838" spans="1:11" x14ac:dyDescent="0.25">
      <c r="A4838" t="s">
        <v>1989</v>
      </c>
      <c r="B4838" t="s">
        <v>37</v>
      </c>
      <c r="C4838" t="s">
        <v>59</v>
      </c>
      <c r="D4838" t="s">
        <v>64</v>
      </c>
      <c r="E4838" s="2">
        <v>9.5</v>
      </c>
      <c r="F4838" s="4">
        <v>8</v>
      </c>
      <c r="G4838" s="2">
        <v>76</v>
      </c>
      <c r="H4838" t="s">
        <v>45</v>
      </c>
      <c r="I4838" t="s">
        <v>36</v>
      </c>
      <c r="J4838" s="1">
        <v>44570</v>
      </c>
      <c r="K4838" t="b">
        <v>1</v>
      </c>
    </row>
    <row r="4839" spans="1:11" x14ac:dyDescent="0.25">
      <c r="A4839" t="s">
        <v>90</v>
      </c>
      <c r="B4839" t="s">
        <v>22</v>
      </c>
      <c r="C4839" t="s">
        <v>31</v>
      </c>
      <c r="D4839" t="s">
        <v>91</v>
      </c>
      <c r="E4839" s="2">
        <v>38</v>
      </c>
      <c r="F4839" s="4">
        <v>2</v>
      </c>
      <c r="G4839" s="2">
        <v>76</v>
      </c>
      <c r="H4839" t="s">
        <v>15</v>
      </c>
      <c r="I4839" t="s">
        <v>36</v>
      </c>
      <c r="J4839" s="1">
        <v>45361</v>
      </c>
      <c r="K4839" t="b">
        <v>0</v>
      </c>
    </row>
    <row r="4840" spans="1:11" x14ac:dyDescent="0.25">
      <c r="A4840" t="s">
        <v>950</v>
      </c>
      <c r="B4840" t="s">
        <v>100</v>
      </c>
      <c r="C4840" t="s">
        <v>38</v>
      </c>
      <c r="D4840" t="s">
        <v>122</v>
      </c>
      <c r="E4840" s="2">
        <v>38</v>
      </c>
      <c r="F4840" s="4">
        <v>2</v>
      </c>
      <c r="G4840" s="2">
        <v>76</v>
      </c>
      <c r="H4840" t="s">
        <v>45</v>
      </c>
      <c r="I4840" t="s">
        <v>36</v>
      </c>
      <c r="J4840" s="1">
        <v>45099</v>
      </c>
      <c r="K4840" t="b">
        <v>1</v>
      </c>
    </row>
    <row r="4841" spans="1:11" x14ac:dyDescent="0.25">
      <c r="A4841" t="s">
        <v>1899</v>
      </c>
      <c r="B4841" t="s">
        <v>63</v>
      </c>
      <c r="C4841" t="s">
        <v>59</v>
      </c>
      <c r="D4841" t="s">
        <v>275</v>
      </c>
      <c r="E4841" s="2">
        <v>38</v>
      </c>
      <c r="F4841" s="4">
        <v>2</v>
      </c>
      <c r="G4841" s="2">
        <v>76</v>
      </c>
      <c r="H4841" t="s">
        <v>15</v>
      </c>
      <c r="I4841" t="s">
        <v>16</v>
      </c>
      <c r="J4841" s="1">
        <v>45415</v>
      </c>
      <c r="K4841" t="b">
        <v>0</v>
      </c>
    </row>
    <row r="4842" spans="1:11" x14ac:dyDescent="0.25">
      <c r="A4842" t="s">
        <v>413</v>
      </c>
      <c r="B4842" t="s">
        <v>37</v>
      </c>
      <c r="C4842" t="s">
        <v>38</v>
      </c>
      <c r="D4842" t="s">
        <v>414</v>
      </c>
      <c r="E4842" s="2">
        <v>9.5</v>
      </c>
      <c r="F4842" s="4">
        <v>8</v>
      </c>
      <c r="G4842" s="2">
        <v>76</v>
      </c>
      <c r="H4842" t="s">
        <v>45</v>
      </c>
      <c r="I4842" t="s">
        <v>36</v>
      </c>
      <c r="J4842" s="1">
        <v>44934</v>
      </c>
      <c r="K4842" t="b">
        <v>1</v>
      </c>
    </row>
    <row r="4843" spans="1:11" x14ac:dyDescent="0.25">
      <c r="A4843" t="s">
        <v>5076</v>
      </c>
      <c r="B4843" t="s">
        <v>63</v>
      </c>
      <c r="C4843" t="s">
        <v>110</v>
      </c>
      <c r="D4843" t="s">
        <v>534</v>
      </c>
      <c r="E4843" s="2">
        <v>38</v>
      </c>
      <c r="F4843" s="4">
        <v>2</v>
      </c>
      <c r="G4843" s="2">
        <v>76</v>
      </c>
      <c r="H4843" t="s">
        <v>45</v>
      </c>
      <c r="I4843" t="s">
        <v>16</v>
      </c>
      <c r="J4843" s="1">
        <v>45561</v>
      </c>
      <c r="K4843" t="b">
        <v>0</v>
      </c>
    </row>
    <row r="4844" spans="1:11" x14ac:dyDescent="0.25">
      <c r="A4844" t="s">
        <v>4951</v>
      </c>
      <c r="B4844" t="s">
        <v>56</v>
      </c>
      <c r="C4844" t="s">
        <v>23</v>
      </c>
      <c r="D4844" t="s">
        <v>98</v>
      </c>
      <c r="E4844" s="2">
        <v>38</v>
      </c>
      <c r="F4844" s="4">
        <v>2</v>
      </c>
      <c r="G4844" s="2">
        <v>76</v>
      </c>
      <c r="H4844" t="s">
        <v>25</v>
      </c>
      <c r="I4844" t="s">
        <v>36</v>
      </c>
      <c r="J4844" s="1">
        <v>44603</v>
      </c>
      <c r="K4844" t="b">
        <v>1</v>
      </c>
    </row>
    <row r="4845" spans="1:11" x14ac:dyDescent="0.25">
      <c r="A4845" t="s">
        <v>4790</v>
      </c>
      <c r="B4845" t="s">
        <v>72</v>
      </c>
      <c r="C4845" t="s">
        <v>13</v>
      </c>
      <c r="D4845" t="s">
        <v>567</v>
      </c>
      <c r="E4845" s="2">
        <v>38</v>
      </c>
      <c r="F4845" s="4">
        <v>2</v>
      </c>
      <c r="G4845" s="2">
        <v>76</v>
      </c>
      <c r="H4845" t="s">
        <v>45</v>
      </c>
      <c r="I4845" t="s">
        <v>16</v>
      </c>
      <c r="J4845" s="1">
        <v>44950</v>
      </c>
      <c r="K4845" t="b">
        <v>1</v>
      </c>
    </row>
    <row r="4846" spans="1:11" x14ac:dyDescent="0.25">
      <c r="A4846" t="s">
        <v>5969</v>
      </c>
      <c r="B4846" t="s">
        <v>66</v>
      </c>
      <c r="C4846" t="s">
        <v>110</v>
      </c>
      <c r="D4846" t="s">
        <v>534</v>
      </c>
      <c r="E4846" s="2">
        <v>38</v>
      </c>
      <c r="F4846" s="4">
        <v>2</v>
      </c>
      <c r="G4846" s="2">
        <v>76</v>
      </c>
      <c r="H4846" t="s">
        <v>25</v>
      </c>
      <c r="I4846" t="s">
        <v>36</v>
      </c>
      <c r="J4846" s="1">
        <v>45661</v>
      </c>
      <c r="K4846" t="b">
        <v>0</v>
      </c>
    </row>
    <row r="4847" spans="1:11" x14ac:dyDescent="0.25">
      <c r="A4847" t="s">
        <v>2126</v>
      </c>
      <c r="B4847" t="s">
        <v>51</v>
      </c>
      <c r="C4847" t="s">
        <v>59</v>
      </c>
      <c r="D4847" t="s">
        <v>275</v>
      </c>
      <c r="E4847" s="2">
        <v>38</v>
      </c>
      <c r="F4847" s="4">
        <v>2</v>
      </c>
      <c r="G4847" s="2">
        <v>76</v>
      </c>
      <c r="H4847" t="s">
        <v>45</v>
      </c>
      <c r="I4847" t="s">
        <v>36</v>
      </c>
      <c r="J4847" s="1">
        <v>44867</v>
      </c>
      <c r="K4847" t="b">
        <v>0</v>
      </c>
    </row>
    <row r="4848" spans="1:11" x14ac:dyDescent="0.25">
      <c r="A4848" t="s">
        <v>1136</v>
      </c>
      <c r="B4848" t="s">
        <v>37</v>
      </c>
      <c r="C4848" t="s">
        <v>59</v>
      </c>
      <c r="D4848" t="s">
        <v>177</v>
      </c>
      <c r="E4848" s="2">
        <v>12.5</v>
      </c>
      <c r="F4848" s="4">
        <v>6</v>
      </c>
      <c r="G4848" s="2">
        <v>75</v>
      </c>
      <c r="H4848" t="s">
        <v>45</v>
      </c>
      <c r="I4848" t="s">
        <v>36</v>
      </c>
      <c r="J4848" s="1">
        <v>45615</v>
      </c>
      <c r="K4848" t="b">
        <v>0</v>
      </c>
    </row>
    <row r="4849" spans="1:11" x14ac:dyDescent="0.25">
      <c r="A4849" t="s">
        <v>4358</v>
      </c>
      <c r="B4849" t="s">
        <v>18</v>
      </c>
      <c r="C4849" t="s">
        <v>38</v>
      </c>
      <c r="D4849" t="s">
        <v>480</v>
      </c>
      <c r="E4849" s="2">
        <v>12.5</v>
      </c>
      <c r="F4849" s="4">
        <v>6</v>
      </c>
      <c r="G4849" s="2">
        <v>75</v>
      </c>
      <c r="H4849" t="s">
        <v>45</v>
      </c>
      <c r="I4849" t="s">
        <v>36</v>
      </c>
      <c r="J4849" s="1">
        <v>45357</v>
      </c>
      <c r="K4849" t="b">
        <v>1</v>
      </c>
    </row>
    <row r="4850" spans="1:11" x14ac:dyDescent="0.25">
      <c r="A4850" t="s">
        <v>6462</v>
      </c>
      <c r="B4850" t="s">
        <v>61</v>
      </c>
      <c r="C4850" t="s">
        <v>19</v>
      </c>
      <c r="D4850" t="s">
        <v>128</v>
      </c>
      <c r="E4850" s="2">
        <v>12.5</v>
      </c>
      <c r="F4850" s="4">
        <v>6</v>
      </c>
      <c r="G4850" s="2">
        <v>75</v>
      </c>
      <c r="H4850" t="s">
        <v>25</v>
      </c>
      <c r="I4850" t="s">
        <v>16</v>
      </c>
      <c r="J4850" s="1">
        <v>44576</v>
      </c>
      <c r="K4850" t="b">
        <v>1</v>
      </c>
    </row>
    <row r="4851" spans="1:11" x14ac:dyDescent="0.25">
      <c r="A4851" t="s">
        <v>2046</v>
      </c>
      <c r="B4851" t="s">
        <v>56</v>
      </c>
      <c r="C4851" t="s">
        <v>59</v>
      </c>
      <c r="D4851" t="s">
        <v>177</v>
      </c>
      <c r="E4851" s="2">
        <v>12.5</v>
      </c>
      <c r="F4851" s="4">
        <v>6</v>
      </c>
      <c r="G4851" s="2">
        <v>75</v>
      </c>
      <c r="H4851" t="s">
        <v>45</v>
      </c>
      <c r="I4851" t="s">
        <v>36</v>
      </c>
      <c r="J4851" s="1">
        <v>44929</v>
      </c>
      <c r="K4851" t="b">
        <v>0</v>
      </c>
    </row>
    <row r="4852" spans="1:11" x14ac:dyDescent="0.25">
      <c r="A4852" t="s">
        <v>1326</v>
      </c>
      <c r="B4852" t="s">
        <v>56</v>
      </c>
      <c r="C4852" t="s">
        <v>38</v>
      </c>
      <c r="D4852" t="s">
        <v>480</v>
      </c>
      <c r="E4852" s="2">
        <v>12.5</v>
      </c>
      <c r="F4852" s="4">
        <v>6</v>
      </c>
      <c r="G4852" s="2">
        <v>75</v>
      </c>
      <c r="H4852" t="s">
        <v>15</v>
      </c>
      <c r="I4852" t="s">
        <v>16</v>
      </c>
      <c r="J4852" s="1">
        <v>44956</v>
      </c>
      <c r="K4852" t="b">
        <v>1</v>
      </c>
    </row>
    <row r="4853" spans="1:11" x14ac:dyDescent="0.25">
      <c r="A4853" t="s">
        <v>6115</v>
      </c>
      <c r="B4853" t="s">
        <v>97</v>
      </c>
      <c r="C4853" t="s">
        <v>31</v>
      </c>
      <c r="D4853" t="s">
        <v>32</v>
      </c>
      <c r="E4853" s="2">
        <v>12.5</v>
      </c>
      <c r="F4853" s="4">
        <v>6</v>
      </c>
      <c r="G4853" s="2">
        <v>75</v>
      </c>
      <c r="H4853" t="s">
        <v>15</v>
      </c>
      <c r="I4853" t="s">
        <v>16</v>
      </c>
      <c r="J4853" s="1">
        <v>45136</v>
      </c>
      <c r="K4853" t="b">
        <v>0</v>
      </c>
    </row>
    <row r="4854" spans="1:11" x14ac:dyDescent="0.25">
      <c r="A4854" t="s">
        <v>7152</v>
      </c>
      <c r="B4854" t="s">
        <v>43</v>
      </c>
      <c r="C4854" t="s">
        <v>19</v>
      </c>
      <c r="D4854" t="s">
        <v>128</v>
      </c>
      <c r="E4854" s="2">
        <v>12.5</v>
      </c>
      <c r="F4854" s="4">
        <v>6</v>
      </c>
      <c r="G4854" s="2">
        <v>75</v>
      </c>
      <c r="H4854" t="s">
        <v>15</v>
      </c>
      <c r="I4854" t="s">
        <v>16</v>
      </c>
      <c r="J4854" s="1">
        <v>44611</v>
      </c>
      <c r="K4854" t="b">
        <v>1</v>
      </c>
    </row>
    <row r="4855" spans="1:11" x14ac:dyDescent="0.25">
      <c r="A4855" t="s">
        <v>5535</v>
      </c>
      <c r="B4855" t="s">
        <v>142</v>
      </c>
      <c r="C4855" t="s">
        <v>31</v>
      </c>
      <c r="D4855" t="s">
        <v>32</v>
      </c>
      <c r="E4855" s="2">
        <v>12.5</v>
      </c>
      <c r="F4855" s="4">
        <v>6</v>
      </c>
      <c r="G4855" s="2">
        <v>75</v>
      </c>
      <c r="H4855" t="s">
        <v>25</v>
      </c>
      <c r="I4855" t="s">
        <v>36</v>
      </c>
      <c r="J4855" s="1">
        <v>45486</v>
      </c>
      <c r="K4855" t="b">
        <v>0</v>
      </c>
    </row>
    <row r="4856" spans="1:11" x14ac:dyDescent="0.25">
      <c r="A4856" t="s">
        <v>6379</v>
      </c>
      <c r="B4856" t="s">
        <v>51</v>
      </c>
      <c r="C4856" t="s">
        <v>19</v>
      </c>
      <c r="D4856" t="s">
        <v>128</v>
      </c>
      <c r="E4856" s="2">
        <v>12.5</v>
      </c>
      <c r="F4856" s="4">
        <v>6</v>
      </c>
      <c r="G4856" s="2">
        <v>75</v>
      </c>
      <c r="H4856" t="s">
        <v>45</v>
      </c>
      <c r="I4856" t="s">
        <v>16</v>
      </c>
      <c r="J4856" s="1">
        <v>44882</v>
      </c>
      <c r="K4856" t="b">
        <v>1</v>
      </c>
    </row>
    <row r="4857" spans="1:11" x14ac:dyDescent="0.25">
      <c r="A4857" t="s">
        <v>4074</v>
      </c>
      <c r="B4857" t="s">
        <v>86</v>
      </c>
      <c r="C4857" t="s">
        <v>31</v>
      </c>
      <c r="D4857" t="s">
        <v>32</v>
      </c>
      <c r="E4857" s="2">
        <v>12.5</v>
      </c>
      <c r="F4857" s="4">
        <v>6</v>
      </c>
      <c r="G4857" s="2">
        <v>75</v>
      </c>
      <c r="H4857" t="s">
        <v>15</v>
      </c>
      <c r="I4857" t="s">
        <v>16</v>
      </c>
      <c r="J4857" s="1">
        <v>44773</v>
      </c>
      <c r="K4857" t="b">
        <v>0</v>
      </c>
    </row>
    <row r="4858" spans="1:11" x14ac:dyDescent="0.25">
      <c r="A4858" t="s">
        <v>1027</v>
      </c>
      <c r="B4858" t="s">
        <v>61</v>
      </c>
      <c r="C4858" t="s">
        <v>110</v>
      </c>
      <c r="D4858" t="s">
        <v>234</v>
      </c>
      <c r="E4858" s="2">
        <v>12.5</v>
      </c>
      <c r="F4858" s="4">
        <v>6</v>
      </c>
      <c r="G4858" s="2">
        <v>75</v>
      </c>
      <c r="H4858" t="s">
        <v>15</v>
      </c>
      <c r="I4858" t="s">
        <v>36</v>
      </c>
      <c r="J4858" s="1">
        <v>45350</v>
      </c>
      <c r="K4858" t="b">
        <v>1</v>
      </c>
    </row>
    <row r="4859" spans="1:11" x14ac:dyDescent="0.25">
      <c r="A4859" t="s">
        <v>3759</v>
      </c>
      <c r="B4859" t="s">
        <v>85</v>
      </c>
      <c r="C4859" t="s">
        <v>38</v>
      </c>
      <c r="D4859" t="s">
        <v>480</v>
      </c>
      <c r="E4859" s="2">
        <v>12.5</v>
      </c>
      <c r="F4859" s="4">
        <v>6</v>
      </c>
      <c r="G4859" s="2">
        <v>75</v>
      </c>
      <c r="H4859" t="s">
        <v>25</v>
      </c>
      <c r="I4859" t="s">
        <v>16</v>
      </c>
      <c r="J4859" s="1">
        <v>45649</v>
      </c>
      <c r="K4859" t="b">
        <v>1</v>
      </c>
    </row>
    <row r="4860" spans="1:11" x14ac:dyDescent="0.25">
      <c r="A4860" t="s">
        <v>1060</v>
      </c>
      <c r="B4860" t="s">
        <v>40</v>
      </c>
      <c r="C4860" t="s">
        <v>23</v>
      </c>
      <c r="D4860" t="s">
        <v>437</v>
      </c>
      <c r="E4860" s="2">
        <v>12.5</v>
      </c>
      <c r="F4860" s="4">
        <v>6</v>
      </c>
      <c r="G4860" s="2">
        <v>75</v>
      </c>
      <c r="H4860" t="s">
        <v>25</v>
      </c>
      <c r="I4860" t="s">
        <v>36</v>
      </c>
      <c r="J4860" s="1">
        <v>45294</v>
      </c>
      <c r="K4860" t="b">
        <v>1</v>
      </c>
    </row>
    <row r="4861" spans="1:11" x14ac:dyDescent="0.25">
      <c r="A4861" t="s">
        <v>5738</v>
      </c>
      <c r="B4861" t="s">
        <v>40</v>
      </c>
      <c r="C4861" t="s">
        <v>38</v>
      </c>
      <c r="D4861" t="s">
        <v>480</v>
      </c>
      <c r="E4861" s="2">
        <v>12.5</v>
      </c>
      <c r="F4861" s="4">
        <v>6</v>
      </c>
      <c r="G4861" s="2">
        <v>75</v>
      </c>
      <c r="H4861" t="s">
        <v>45</v>
      </c>
      <c r="I4861" t="s">
        <v>16</v>
      </c>
      <c r="J4861" s="1">
        <v>44969</v>
      </c>
      <c r="K4861" t="b">
        <v>1</v>
      </c>
    </row>
    <row r="4862" spans="1:11" x14ac:dyDescent="0.25">
      <c r="A4862" t="s">
        <v>4993</v>
      </c>
      <c r="B4862" t="s">
        <v>40</v>
      </c>
      <c r="C4862" t="s">
        <v>19</v>
      </c>
      <c r="D4862" t="s">
        <v>128</v>
      </c>
      <c r="E4862" s="2">
        <v>12.5</v>
      </c>
      <c r="F4862" s="4">
        <v>6</v>
      </c>
      <c r="G4862" s="2">
        <v>75</v>
      </c>
      <c r="H4862" t="s">
        <v>45</v>
      </c>
      <c r="I4862" t="s">
        <v>16</v>
      </c>
      <c r="J4862" s="1">
        <v>44902</v>
      </c>
      <c r="K4862" t="b">
        <v>0</v>
      </c>
    </row>
    <row r="4863" spans="1:11" x14ac:dyDescent="0.25">
      <c r="A4863" t="s">
        <v>7335</v>
      </c>
      <c r="B4863" t="s">
        <v>12</v>
      </c>
      <c r="C4863" t="s">
        <v>19</v>
      </c>
      <c r="D4863" t="s">
        <v>128</v>
      </c>
      <c r="E4863" s="2">
        <v>12.5</v>
      </c>
      <c r="F4863" s="4">
        <v>6</v>
      </c>
      <c r="G4863" s="2">
        <v>75</v>
      </c>
      <c r="H4863" t="s">
        <v>15</v>
      </c>
      <c r="I4863" t="s">
        <v>16</v>
      </c>
      <c r="J4863" s="1">
        <v>45446</v>
      </c>
      <c r="K4863" t="b">
        <v>0</v>
      </c>
    </row>
    <row r="4864" spans="1:11" x14ac:dyDescent="0.25">
      <c r="A4864" t="s">
        <v>6015</v>
      </c>
      <c r="B4864" t="s">
        <v>61</v>
      </c>
      <c r="C4864" t="s">
        <v>38</v>
      </c>
      <c r="D4864" t="s">
        <v>480</v>
      </c>
      <c r="E4864" s="2">
        <v>12.5</v>
      </c>
      <c r="F4864" s="4">
        <v>6</v>
      </c>
      <c r="G4864" s="2">
        <v>75</v>
      </c>
      <c r="H4864" t="s">
        <v>15</v>
      </c>
      <c r="I4864" t="s">
        <v>36</v>
      </c>
      <c r="J4864" s="1">
        <v>45474</v>
      </c>
      <c r="K4864" t="b">
        <v>0</v>
      </c>
    </row>
    <row r="4865" spans="1:11" x14ac:dyDescent="0.25">
      <c r="A4865" t="s">
        <v>4100</v>
      </c>
      <c r="B4865" t="s">
        <v>56</v>
      </c>
      <c r="C4865" t="s">
        <v>38</v>
      </c>
      <c r="D4865" t="s">
        <v>480</v>
      </c>
      <c r="E4865" s="2">
        <v>12.5</v>
      </c>
      <c r="F4865" s="4">
        <v>6</v>
      </c>
      <c r="G4865" s="2">
        <v>75</v>
      </c>
      <c r="H4865" t="s">
        <v>15</v>
      </c>
      <c r="I4865" t="s">
        <v>16</v>
      </c>
      <c r="J4865" s="1">
        <v>44613</v>
      </c>
      <c r="K4865" t="b">
        <v>0</v>
      </c>
    </row>
    <row r="4866" spans="1:11" x14ac:dyDescent="0.25">
      <c r="A4866" t="s">
        <v>6692</v>
      </c>
      <c r="B4866" t="s">
        <v>43</v>
      </c>
      <c r="C4866" t="s">
        <v>27</v>
      </c>
      <c r="D4866" t="s">
        <v>217</v>
      </c>
      <c r="E4866" s="2">
        <v>12.5</v>
      </c>
      <c r="F4866" s="4">
        <v>6</v>
      </c>
      <c r="G4866" s="2">
        <v>75</v>
      </c>
      <c r="H4866" t="s">
        <v>25</v>
      </c>
      <c r="I4866" t="s">
        <v>16</v>
      </c>
      <c r="J4866" s="1">
        <v>45246</v>
      </c>
      <c r="K4866" t="b">
        <v>1</v>
      </c>
    </row>
    <row r="4867" spans="1:11" x14ac:dyDescent="0.25">
      <c r="A4867" t="s">
        <v>2285</v>
      </c>
      <c r="B4867" t="s">
        <v>61</v>
      </c>
      <c r="C4867" t="s">
        <v>110</v>
      </c>
      <c r="D4867" t="s">
        <v>234</v>
      </c>
      <c r="E4867" s="2">
        <v>12.5</v>
      </c>
      <c r="F4867" s="4">
        <v>6</v>
      </c>
      <c r="G4867" s="2">
        <v>75</v>
      </c>
      <c r="H4867" t="s">
        <v>15</v>
      </c>
      <c r="I4867" t="s">
        <v>36</v>
      </c>
      <c r="J4867" s="1">
        <v>44562</v>
      </c>
      <c r="K4867" t="b">
        <v>1</v>
      </c>
    </row>
    <row r="4868" spans="1:11" x14ac:dyDescent="0.25">
      <c r="A4868" t="s">
        <v>672</v>
      </c>
      <c r="B4868" t="s">
        <v>51</v>
      </c>
      <c r="C4868" t="s">
        <v>19</v>
      </c>
      <c r="D4868" t="s">
        <v>128</v>
      </c>
      <c r="E4868" s="2">
        <v>12.5</v>
      </c>
      <c r="F4868" s="4">
        <v>6</v>
      </c>
      <c r="G4868" s="2">
        <v>75</v>
      </c>
      <c r="H4868" t="s">
        <v>25</v>
      </c>
      <c r="I4868" t="s">
        <v>16</v>
      </c>
      <c r="J4868" s="1">
        <v>45198</v>
      </c>
      <c r="K4868" t="b">
        <v>0</v>
      </c>
    </row>
    <row r="4869" spans="1:11" x14ac:dyDescent="0.25">
      <c r="A4869" t="s">
        <v>4348</v>
      </c>
      <c r="B4869" t="s">
        <v>51</v>
      </c>
      <c r="C4869" t="s">
        <v>38</v>
      </c>
      <c r="D4869" t="s">
        <v>480</v>
      </c>
      <c r="E4869" s="2">
        <v>12.5</v>
      </c>
      <c r="F4869" s="4">
        <v>6</v>
      </c>
      <c r="G4869" s="2">
        <v>75</v>
      </c>
      <c r="H4869" t="s">
        <v>25</v>
      </c>
      <c r="I4869" t="s">
        <v>16</v>
      </c>
      <c r="J4869" s="1">
        <v>45595</v>
      </c>
      <c r="K4869" t="b">
        <v>1</v>
      </c>
    </row>
    <row r="4870" spans="1:11" x14ac:dyDescent="0.25">
      <c r="A4870" t="s">
        <v>6423</v>
      </c>
      <c r="B4870" t="s">
        <v>63</v>
      </c>
      <c r="C4870" t="s">
        <v>13</v>
      </c>
      <c r="D4870" t="s">
        <v>84</v>
      </c>
      <c r="E4870" s="2">
        <v>12.5</v>
      </c>
      <c r="F4870" s="4">
        <v>6</v>
      </c>
      <c r="G4870" s="2">
        <v>75</v>
      </c>
      <c r="H4870" t="s">
        <v>15</v>
      </c>
      <c r="I4870" t="s">
        <v>16</v>
      </c>
      <c r="J4870" s="1">
        <v>44611</v>
      </c>
      <c r="K4870" t="b">
        <v>1</v>
      </c>
    </row>
    <row r="4871" spans="1:11" x14ac:dyDescent="0.25">
      <c r="A4871" t="s">
        <v>2502</v>
      </c>
      <c r="B4871" t="s">
        <v>104</v>
      </c>
      <c r="C4871" t="s">
        <v>59</v>
      </c>
      <c r="D4871" t="s">
        <v>177</v>
      </c>
      <c r="E4871" s="2">
        <v>12.5</v>
      </c>
      <c r="F4871" s="4">
        <v>6</v>
      </c>
      <c r="G4871" s="2">
        <v>75</v>
      </c>
      <c r="H4871" t="s">
        <v>45</v>
      </c>
      <c r="I4871" t="s">
        <v>16</v>
      </c>
      <c r="J4871" s="1">
        <v>45027</v>
      </c>
      <c r="K4871" t="b">
        <v>1</v>
      </c>
    </row>
    <row r="4872" spans="1:11" x14ac:dyDescent="0.25">
      <c r="A4872" t="s">
        <v>4699</v>
      </c>
      <c r="B4872" t="s">
        <v>22</v>
      </c>
      <c r="C4872" t="s">
        <v>23</v>
      </c>
      <c r="D4872" t="s">
        <v>437</v>
      </c>
      <c r="E4872" s="2">
        <v>12.5</v>
      </c>
      <c r="F4872" s="4">
        <v>6</v>
      </c>
      <c r="G4872" s="2">
        <v>75</v>
      </c>
      <c r="H4872" t="s">
        <v>45</v>
      </c>
      <c r="I4872" t="s">
        <v>36</v>
      </c>
      <c r="J4872" s="1">
        <v>45120</v>
      </c>
      <c r="K4872" t="b">
        <v>0</v>
      </c>
    </row>
    <row r="4873" spans="1:11" x14ac:dyDescent="0.25">
      <c r="A4873" t="s">
        <v>642</v>
      </c>
      <c r="B4873" t="s">
        <v>100</v>
      </c>
      <c r="C4873" t="s">
        <v>110</v>
      </c>
      <c r="D4873" t="s">
        <v>234</v>
      </c>
      <c r="E4873" s="2">
        <v>12.5</v>
      </c>
      <c r="F4873" s="4">
        <v>6</v>
      </c>
      <c r="G4873" s="2">
        <v>75</v>
      </c>
      <c r="H4873" t="s">
        <v>15</v>
      </c>
      <c r="I4873" t="s">
        <v>16</v>
      </c>
      <c r="J4873" s="1">
        <v>44960</v>
      </c>
      <c r="K4873" t="b">
        <v>0</v>
      </c>
    </row>
    <row r="4874" spans="1:11" x14ac:dyDescent="0.25">
      <c r="A4874" t="s">
        <v>3848</v>
      </c>
      <c r="B4874" t="s">
        <v>40</v>
      </c>
      <c r="C4874" t="s">
        <v>27</v>
      </c>
      <c r="D4874" t="s">
        <v>217</v>
      </c>
      <c r="E4874" s="2">
        <v>12.5</v>
      </c>
      <c r="F4874" s="4">
        <v>6</v>
      </c>
      <c r="G4874" s="2">
        <v>75</v>
      </c>
      <c r="H4874" t="s">
        <v>45</v>
      </c>
      <c r="I4874" t="s">
        <v>36</v>
      </c>
      <c r="J4874" s="1">
        <v>44597</v>
      </c>
      <c r="K4874" t="b">
        <v>0</v>
      </c>
    </row>
    <row r="4875" spans="1:11" x14ac:dyDescent="0.25">
      <c r="A4875" t="s">
        <v>6274</v>
      </c>
      <c r="B4875" t="s">
        <v>61</v>
      </c>
      <c r="C4875" t="s">
        <v>110</v>
      </c>
      <c r="D4875" t="s">
        <v>234</v>
      </c>
      <c r="E4875" s="2">
        <v>12.5</v>
      </c>
      <c r="F4875" s="4">
        <v>6</v>
      </c>
      <c r="G4875" s="2">
        <v>75</v>
      </c>
      <c r="H4875" t="s">
        <v>45</v>
      </c>
      <c r="I4875" t="s">
        <v>16</v>
      </c>
      <c r="J4875" s="1">
        <v>44880</v>
      </c>
      <c r="K4875" t="b">
        <v>1</v>
      </c>
    </row>
    <row r="4876" spans="1:11" x14ac:dyDescent="0.25">
      <c r="A4876" t="s">
        <v>6417</v>
      </c>
      <c r="B4876" t="s">
        <v>100</v>
      </c>
      <c r="C4876" t="s">
        <v>110</v>
      </c>
      <c r="D4876" t="s">
        <v>234</v>
      </c>
      <c r="E4876" s="2">
        <v>12.5</v>
      </c>
      <c r="F4876" s="4">
        <v>6</v>
      </c>
      <c r="G4876" s="2">
        <v>75</v>
      </c>
      <c r="H4876" t="s">
        <v>45</v>
      </c>
      <c r="I4876" t="s">
        <v>16</v>
      </c>
      <c r="J4876" s="1">
        <v>44621</v>
      </c>
      <c r="K4876" t="b">
        <v>1</v>
      </c>
    </row>
    <row r="4877" spans="1:11" x14ac:dyDescent="0.25">
      <c r="A4877" t="s">
        <v>659</v>
      </c>
      <c r="B4877" t="s">
        <v>72</v>
      </c>
      <c r="C4877" t="s">
        <v>59</v>
      </c>
      <c r="D4877" t="s">
        <v>177</v>
      </c>
      <c r="E4877" s="2">
        <v>12.5</v>
      </c>
      <c r="F4877" s="4">
        <v>6</v>
      </c>
      <c r="G4877" s="2">
        <v>75</v>
      </c>
      <c r="H4877" t="s">
        <v>45</v>
      </c>
      <c r="I4877" t="s">
        <v>36</v>
      </c>
      <c r="J4877" s="1">
        <v>44878</v>
      </c>
      <c r="K4877" t="b">
        <v>0</v>
      </c>
    </row>
    <row r="4878" spans="1:11" x14ac:dyDescent="0.25">
      <c r="A4878" t="s">
        <v>2427</v>
      </c>
      <c r="B4878" t="s">
        <v>12</v>
      </c>
      <c r="C4878" t="s">
        <v>13</v>
      </c>
      <c r="D4878" t="s">
        <v>84</v>
      </c>
      <c r="E4878" s="2">
        <v>12.5</v>
      </c>
      <c r="F4878" s="4">
        <v>6</v>
      </c>
      <c r="G4878" s="2">
        <v>75</v>
      </c>
      <c r="H4878" t="s">
        <v>25</v>
      </c>
      <c r="I4878" t="s">
        <v>16</v>
      </c>
      <c r="J4878" s="1">
        <v>44856</v>
      </c>
      <c r="K4878" t="b">
        <v>1</v>
      </c>
    </row>
    <row r="4879" spans="1:11" x14ac:dyDescent="0.25">
      <c r="A4879" t="s">
        <v>5421</v>
      </c>
      <c r="B4879" t="s">
        <v>104</v>
      </c>
      <c r="C4879" t="s">
        <v>13</v>
      </c>
      <c r="D4879" t="s">
        <v>84</v>
      </c>
      <c r="E4879" s="2">
        <v>12.5</v>
      </c>
      <c r="F4879" s="4">
        <v>6</v>
      </c>
      <c r="G4879" s="2">
        <v>75</v>
      </c>
      <c r="H4879" t="s">
        <v>15</v>
      </c>
      <c r="I4879" t="s">
        <v>16</v>
      </c>
      <c r="J4879" s="1">
        <v>45666</v>
      </c>
      <c r="K4879" t="b">
        <v>0</v>
      </c>
    </row>
    <row r="4880" spans="1:11" x14ac:dyDescent="0.25">
      <c r="A4880" t="s">
        <v>4217</v>
      </c>
      <c r="B4880" t="s">
        <v>58</v>
      </c>
      <c r="C4880" t="s">
        <v>19</v>
      </c>
      <c r="D4880" t="s">
        <v>128</v>
      </c>
      <c r="E4880" s="2">
        <v>12.5</v>
      </c>
      <c r="F4880" s="4">
        <v>6</v>
      </c>
      <c r="G4880" s="2">
        <v>75</v>
      </c>
      <c r="H4880" t="s">
        <v>25</v>
      </c>
      <c r="I4880" t="s">
        <v>16</v>
      </c>
      <c r="J4880" s="1">
        <v>45285</v>
      </c>
      <c r="K4880" t="b">
        <v>1</v>
      </c>
    </row>
    <row r="4881" spans="1:11" x14ac:dyDescent="0.25">
      <c r="A4881" t="s">
        <v>2120</v>
      </c>
      <c r="B4881" t="s">
        <v>66</v>
      </c>
      <c r="C4881" t="s">
        <v>23</v>
      </c>
      <c r="D4881" t="s">
        <v>437</v>
      </c>
      <c r="E4881" s="2">
        <v>12.5</v>
      </c>
      <c r="F4881" s="4">
        <v>6</v>
      </c>
      <c r="G4881" s="2">
        <v>75</v>
      </c>
      <c r="H4881" t="s">
        <v>15</v>
      </c>
      <c r="I4881" t="s">
        <v>36</v>
      </c>
      <c r="J4881" s="1">
        <v>44591</v>
      </c>
      <c r="K4881" t="b">
        <v>0</v>
      </c>
    </row>
    <row r="4882" spans="1:11" x14ac:dyDescent="0.25">
      <c r="A4882" t="s">
        <v>6599</v>
      </c>
      <c r="B4882" t="s">
        <v>30</v>
      </c>
      <c r="C4882" t="s">
        <v>59</v>
      </c>
      <c r="D4882" t="s">
        <v>177</v>
      </c>
      <c r="E4882" s="2">
        <v>12.5</v>
      </c>
      <c r="F4882" s="4">
        <v>6</v>
      </c>
      <c r="G4882" s="2">
        <v>75</v>
      </c>
      <c r="H4882" t="s">
        <v>15</v>
      </c>
      <c r="I4882" t="s">
        <v>36</v>
      </c>
      <c r="J4882" s="1">
        <v>45003</v>
      </c>
      <c r="K4882" t="b">
        <v>1</v>
      </c>
    </row>
    <row r="4883" spans="1:11" x14ac:dyDescent="0.25">
      <c r="A4883" t="s">
        <v>6664</v>
      </c>
      <c r="B4883" t="s">
        <v>63</v>
      </c>
      <c r="C4883" t="s">
        <v>27</v>
      </c>
      <c r="D4883" t="s">
        <v>217</v>
      </c>
      <c r="E4883" s="2">
        <v>12.5</v>
      </c>
      <c r="F4883" s="4">
        <v>6</v>
      </c>
      <c r="G4883" s="2">
        <v>75</v>
      </c>
      <c r="H4883" t="s">
        <v>25</v>
      </c>
      <c r="I4883" t="s">
        <v>16</v>
      </c>
      <c r="J4883" s="1">
        <v>44793</v>
      </c>
      <c r="K4883" t="b">
        <v>1</v>
      </c>
    </row>
    <row r="4884" spans="1:11" x14ac:dyDescent="0.25">
      <c r="A4884" t="s">
        <v>3833</v>
      </c>
      <c r="B4884" t="s">
        <v>97</v>
      </c>
      <c r="C4884" t="s">
        <v>38</v>
      </c>
      <c r="D4884" t="s">
        <v>94</v>
      </c>
      <c r="E4884" s="2">
        <v>18.5</v>
      </c>
      <c r="F4884" s="4">
        <v>4</v>
      </c>
      <c r="G4884" s="2">
        <v>74</v>
      </c>
      <c r="H4884" t="s">
        <v>15</v>
      </c>
      <c r="I4884" t="s">
        <v>16</v>
      </c>
      <c r="J4884" s="1">
        <v>45228</v>
      </c>
      <c r="K4884" t="b">
        <v>1</v>
      </c>
    </row>
    <row r="4885" spans="1:11" x14ac:dyDescent="0.25">
      <c r="A4885" t="s">
        <v>5347</v>
      </c>
      <c r="B4885" t="s">
        <v>18</v>
      </c>
      <c r="C4885" t="s">
        <v>110</v>
      </c>
      <c r="D4885" t="s">
        <v>189</v>
      </c>
      <c r="E4885" s="2">
        <v>18.5</v>
      </c>
      <c r="F4885" s="4">
        <v>4</v>
      </c>
      <c r="G4885" s="2">
        <v>74</v>
      </c>
      <c r="H4885" t="s">
        <v>25</v>
      </c>
      <c r="I4885" t="s">
        <v>16</v>
      </c>
      <c r="J4885" s="1">
        <v>44961</v>
      </c>
      <c r="K4885" t="b">
        <v>1</v>
      </c>
    </row>
    <row r="4886" spans="1:11" x14ac:dyDescent="0.25">
      <c r="A4886" t="s">
        <v>5430</v>
      </c>
      <c r="B4886" t="s">
        <v>58</v>
      </c>
      <c r="C4886" t="s">
        <v>59</v>
      </c>
      <c r="D4886" t="s">
        <v>102</v>
      </c>
      <c r="E4886" s="2">
        <v>18.5</v>
      </c>
      <c r="F4886" s="4">
        <v>4</v>
      </c>
      <c r="G4886" s="2">
        <v>74</v>
      </c>
      <c r="H4886" t="s">
        <v>25</v>
      </c>
      <c r="I4886" t="s">
        <v>36</v>
      </c>
      <c r="J4886" s="1">
        <v>45024</v>
      </c>
      <c r="K4886" t="b">
        <v>0</v>
      </c>
    </row>
    <row r="4887" spans="1:11" x14ac:dyDescent="0.25">
      <c r="A4887" t="s">
        <v>6356</v>
      </c>
      <c r="B4887" t="s">
        <v>18</v>
      </c>
      <c r="C4887" t="s">
        <v>31</v>
      </c>
      <c r="D4887" t="s">
        <v>67</v>
      </c>
      <c r="E4887" s="2">
        <v>18.5</v>
      </c>
      <c r="F4887" s="4">
        <v>4</v>
      </c>
      <c r="G4887" s="2">
        <v>74</v>
      </c>
      <c r="H4887" t="s">
        <v>45</v>
      </c>
      <c r="I4887" t="s">
        <v>16</v>
      </c>
      <c r="J4887" s="1">
        <v>45110</v>
      </c>
      <c r="K4887" t="b">
        <v>1</v>
      </c>
    </row>
    <row r="4888" spans="1:11" x14ac:dyDescent="0.25">
      <c r="A4888" t="s">
        <v>4824</v>
      </c>
      <c r="B4888" t="s">
        <v>66</v>
      </c>
      <c r="C4888" t="s">
        <v>110</v>
      </c>
      <c r="D4888" t="s">
        <v>189</v>
      </c>
      <c r="E4888" s="2">
        <v>18.5</v>
      </c>
      <c r="F4888" s="4">
        <v>4</v>
      </c>
      <c r="G4888" s="2">
        <v>74</v>
      </c>
      <c r="H4888" t="s">
        <v>25</v>
      </c>
      <c r="I4888" t="s">
        <v>36</v>
      </c>
      <c r="J4888" s="1">
        <v>44885</v>
      </c>
      <c r="K4888" t="b">
        <v>0</v>
      </c>
    </row>
    <row r="4889" spans="1:11" x14ac:dyDescent="0.25">
      <c r="A4889" t="s">
        <v>3107</v>
      </c>
      <c r="B4889" t="s">
        <v>97</v>
      </c>
      <c r="C4889" t="s">
        <v>38</v>
      </c>
      <c r="D4889" t="s">
        <v>94</v>
      </c>
      <c r="E4889" s="2">
        <v>18.5</v>
      </c>
      <c r="F4889" s="4">
        <v>4</v>
      </c>
      <c r="G4889" s="2">
        <v>74</v>
      </c>
      <c r="H4889" t="s">
        <v>25</v>
      </c>
      <c r="I4889" t="s">
        <v>16</v>
      </c>
      <c r="J4889" s="1">
        <v>44632</v>
      </c>
      <c r="K4889" t="b">
        <v>1</v>
      </c>
    </row>
    <row r="4890" spans="1:11" x14ac:dyDescent="0.25">
      <c r="A4890" t="s">
        <v>7346</v>
      </c>
      <c r="B4890" t="s">
        <v>69</v>
      </c>
      <c r="C4890" t="s">
        <v>110</v>
      </c>
      <c r="D4890" t="s">
        <v>189</v>
      </c>
      <c r="E4890" s="2">
        <v>18.5</v>
      </c>
      <c r="F4890" s="4">
        <v>4</v>
      </c>
      <c r="G4890" s="2">
        <v>74</v>
      </c>
      <c r="H4890" t="s">
        <v>15</v>
      </c>
      <c r="I4890" t="s">
        <v>36</v>
      </c>
      <c r="J4890" s="1">
        <v>45006</v>
      </c>
      <c r="K4890" t="b">
        <v>1</v>
      </c>
    </row>
    <row r="4891" spans="1:11" x14ac:dyDescent="0.25">
      <c r="A4891" t="s">
        <v>4478</v>
      </c>
      <c r="B4891" t="s">
        <v>86</v>
      </c>
      <c r="C4891" t="s">
        <v>31</v>
      </c>
      <c r="D4891" t="s">
        <v>67</v>
      </c>
      <c r="E4891" s="2">
        <v>18.5</v>
      </c>
      <c r="F4891" s="4">
        <v>4</v>
      </c>
      <c r="G4891" s="2">
        <v>74</v>
      </c>
      <c r="H4891" t="s">
        <v>45</v>
      </c>
      <c r="I4891" t="s">
        <v>16</v>
      </c>
      <c r="J4891" s="1">
        <v>45639</v>
      </c>
      <c r="K4891" t="b">
        <v>1</v>
      </c>
    </row>
    <row r="4892" spans="1:11" x14ac:dyDescent="0.25">
      <c r="A4892" t="s">
        <v>4834</v>
      </c>
      <c r="B4892" t="s">
        <v>100</v>
      </c>
      <c r="C4892" t="s">
        <v>31</v>
      </c>
      <c r="D4892" t="s">
        <v>67</v>
      </c>
      <c r="E4892" s="2">
        <v>18.5</v>
      </c>
      <c r="F4892" s="4">
        <v>4</v>
      </c>
      <c r="G4892" s="2">
        <v>74</v>
      </c>
      <c r="H4892" t="s">
        <v>25</v>
      </c>
      <c r="I4892" t="s">
        <v>36</v>
      </c>
      <c r="J4892" s="1">
        <v>44748</v>
      </c>
      <c r="K4892" t="b">
        <v>0</v>
      </c>
    </row>
    <row r="4893" spans="1:11" x14ac:dyDescent="0.25">
      <c r="A4893" t="s">
        <v>4116</v>
      </c>
      <c r="B4893" t="s">
        <v>18</v>
      </c>
      <c r="C4893" t="s">
        <v>27</v>
      </c>
      <c r="D4893" t="s">
        <v>384</v>
      </c>
      <c r="E4893" s="2">
        <v>18.5</v>
      </c>
      <c r="F4893" s="4">
        <v>4</v>
      </c>
      <c r="G4893" s="2">
        <v>74</v>
      </c>
      <c r="H4893" t="s">
        <v>45</v>
      </c>
      <c r="I4893" t="s">
        <v>36</v>
      </c>
      <c r="J4893" s="1">
        <v>44725</v>
      </c>
      <c r="K4893" t="b">
        <v>0</v>
      </c>
    </row>
    <row r="4894" spans="1:11" x14ac:dyDescent="0.25">
      <c r="A4894" t="s">
        <v>7286</v>
      </c>
      <c r="B4894" t="s">
        <v>104</v>
      </c>
      <c r="C4894" t="s">
        <v>110</v>
      </c>
      <c r="D4894" t="s">
        <v>189</v>
      </c>
      <c r="E4894" s="2">
        <v>18.5</v>
      </c>
      <c r="F4894" s="4">
        <v>4</v>
      </c>
      <c r="G4894" s="2">
        <v>74</v>
      </c>
      <c r="H4894" t="s">
        <v>15</v>
      </c>
      <c r="I4894" t="s">
        <v>16</v>
      </c>
      <c r="J4894" s="1">
        <v>44949</v>
      </c>
      <c r="K4894" t="b">
        <v>1</v>
      </c>
    </row>
    <row r="4895" spans="1:11" x14ac:dyDescent="0.25">
      <c r="A4895" t="s">
        <v>6258</v>
      </c>
      <c r="B4895" t="s">
        <v>34</v>
      </c>
      <c r="C4895" t="s">
        <v>110</v>
      </c>
      <c r="D4895" t="s">
        <v>189</v>
      </c>
      <c r="E4895" s="2">
        <v>18.5</v>
      </c>
      <c r="F4895" s="4">
        <v>4</v>
      </c>
      <c r="G4895" s="2">
        <v>74</v>
      </c>
      <c r="H4895" t="s">
        <v>45</v>
      </c>
      <c r="I4895" t="s">
        <v>16</v>
      </c>
      <c r="J4895" s="1">
        <v>44819</v>
      </c>
      <c r="K4895" t="b">
        <v>1</v>
      </c>
    </row>
    <row r="4896" spans="1:11" x14ac:dyDescent="0.25">
      <c r="A4896" t="s">
        <v>5371</v>
      </c>
      <c r="B4896" t="s">
        <v>26</v>
      </c>
      <c r="C4896" t="s">
        <v>31</v>
      </c>
      <c r="D4896" t="s">
        <v>67</v>
      </c>
      <c r="E4896" s="2">
        <v>18.5</v>
      </c>
      <c r="F4896" s="4">
        <v>4</v>
      </c>
      <c r="G4896" s="2">
        <v>74</v>
      </c>
      <c r="H4896" t="s">
        <v>15</v>
      </c>
      <c r="I4896" t="s">
        <v>36</v>
      </c>
      <c r="J4896" s="1">
        <v>45046</v>
      </c>
      <c r="K4896" t="b">
        <v>0</v>
      </c>
    </row>
    <row r="4897" spans="1:11" x14ac:dyDescent="0.25">
      <c r="A4897" t="s">
        <v>2349</v>
      </c>
      <c r="B4897" t="s">
        <v>63</v>
      </c>
      <c r="C4897" t="s">
        <v>31</v>
      </c>
      <c r="D4897" t="s">
        <v>67</v>
      </c>
      <c r="E4897" s="2">
        <v>18.5</v>
      </c>
      <c r="F4897" s="4">
        <v>4</v>
      </c>
      <c r="G4897" s="2">
        <v>74</v>
      </c>
      <c r="H4897" t="s">
        <v>15</v>
      </c>
      <c r="I4897" t="s">
        <v>16</v>
      </c>
      <c r="J4897" s="1">
        <v>45537</v>
      </c>
      <c r="K4897" t="b">
        <v>1</v>
      </c>
    </row>
    <row r="4898" spans="1:11" x14ac:dyDescent="0.25">
      <c r="A4898" t="s">
        <v>7486</v>
      </c>
      <c r="B4898" t="s">
        <v>43</v>
      </c>
      <c r="C4898" t="s">
        <v>110</v>
      </c>
      <c r="D4898" t="s">
        <v>189</v>
      </c>
      <c r="E4898" s="2">
        <v>18.5</v>
      </c>
      <c r="F4898" s="4">
        <v>4</v>
      </c>
      <c r="G4898" s="2">
        <v>74</v>
      </c>
      <c r="H4898" t="s">
        <v>25</v>
      </c>
      <c r="I4898" t="s">
        <v>36</v>
      </c>
      <c r="J4898" s="1">
        <v>45004</v>
      </c>
      <c r="K4898" t="b">
        <v>0</v>
      </c>
    </row>
    <row r="4899" spans="1:11" x14ac:dyDescent="0.25">
      <c r="A4899" t="s">
        <v>3478</v>
      </c>
      <c r="B4899" t="s">
        <v>77</v>
      </c>
      <c r="C4899" t="s">
        <v>19</v>
      </c>
      <c r="D4899" t="s">
        <v>1452</v>
      </c>
      <c r="E4899" s="2">
        <v>18.5</v>
      </c>
      <c r="F4899" s="4">
        <v>4</v>
      </c>
      <c r="G4899" s="2">
        <v>74</v>
      </c>
      <c r="H4899" t="s">
        <v>25</v>
      </c>
      <c r="I4899" t="s">
        <v>36</v>
      </c>
      <c r="J4899" s="1">
        <v>44574</v>
      </c>
      <c r="K4899" t="b">
        <v>1</v>
      </c>
    </row>
    <row r="4900" spans="1:11" x14ac:dyDescent="0.25">
      <c r="A4900" t="s">
        <v>1856</v>
      </c>
      <c r="B4900" t="s">
        <v>30</v>
      </c>
      <c r="C4900" t="s">
        <v>110</v>
      </c>
      <c r="D4900" t="s">
        <v>189</v>
      </c>
      <c r="E4900" s="2">
        <v>18.5</v>
      </c>
      <c r="F4900" s="4">
        <v>4</v>
      </c>
      <c r="G4900" s="2">
        <v>74</v>
      </c>
      <c r="H4900" t="s">
        <v>15</v>
      </c>
      <c r="I4900" t="s">
        <v>16</v>
      </c>
      <c r="J4900" s="1">
        <v>45222</v>
      </c>
      <c r="K4900" t="b">
        <v>0</v>
      </c>
    </row>
    <row r="4901" spans="1:11" x14ac:dyDescent="0.25">
      <c r="A4901" t="s">
        <v>1971</v>
      </c>
      <c r="B4901" t="s">
        <v>100</v>
      </c>
      <c r="C4901" t="s">
        <v>31</v>
      </c>
      <c r="D4901" t="s">
        <v>78</v>
      </c>
      <c r="E4901" s="2">
        <v>24.5</v>
      </c>
      <c r="F4901" s="4">
        <v>3</v>
      </c>
      <c r="G4901" s="2">
        <v>73.5</v>
      </c>
      <c r="H4901" t="s">
        <v>15</v>
      </c>
      <c r="I4901" t="s">
        <v>16</v>
      </c>
      <c r="J4901" s="1">
        <v>45593</v>
      </c>
      <c r="K4901" t="b">
        <v>1</v>
      </c>
    </row>
    <row r="4902" spans="1:11" x14ac:dyDescent="0.25">
      <c r="A4902" t="s">
        <v>2091</v>
      </c>
      <c r="B4902" t="s">
        <v>63</v>
      </c>
      <c r="C4902" t="s">
        <v>13</v>
      </c>
      <c r="D4902" t="s">
        <v>139</v>
      </c>
      <c r="E4902" s="2">
        <v>24.5</v>
      </c>
      <c r="F4902" s="4">
        <v>3</v>
      </c>
      <c r="G4902" s="2">
        <v>73.5</v>
      </c>
      <c r="H4902" t="s">
        <v>15</v>
      </c>
      <c r="I4902" t="s">
        <v>36</v>
      </c>
      <c r="J4902" s="1">
        <v>45635</v>
      </c>
      <c r="K4902" t="b">
        <v>1</v>
      </c>
    </row>
    <row r="4903" spans="1:11" x14ac:dyDescent="0.25">
      <c r="A4903" t="s">
        <v>5827</v>
      </c>
      <c r="B4903" t="s">
        <v>104</v>
      </c>
      <c r="C4903" t="s">
        <v>110</v>
      </c>
      <c r="D4903" t="s">
        <v>253</v>
      </c>
      <c r="E4903" s="2">
        <v>24.5</v>
      </c>
      <c r="F4903" s="4">
        <v>3</v>
      </c>
      <c r="G4903" s="2">
        <v>73.5</v>
      </c>
      <c r="H4903" t="s">
        <v>45</v>
      </c>
      <c r="I4903" t="s">
        <v>16</v>
      </c>
      <c r="J4903" s="1">
        <v>45627</v>
      </c>
      <c r="K4903" t="b">
        <v>1</v>
      </c>
    </row>
    <row r="4904" spans="1:11" x14ac:dyDescent="0.25">
      <c r="A4904" t="s">
        <v>5211</v>
      </c>
      <c r="B4904" t="s">
        <v>104</v>
      </c>
      <c r="C4904" t="s">
        <v>31</v>
      </c>
      <c r="D4904" t="s">
        <v>78</v>
      </c>
      <c r="E4904" s="2">
        <v>24.5</v>
      </c>
      <c r="F4904" s="4">
        <v>3</v>
      </c>
      <c r="G4904" s="2">
        <v>73.5</v>
      </c>
      <c r="H4904" t="s">
        <v>25</v>
      </c>
      <c r="I4904" t="s">
        <v>16</v>
      </c>
      <c r="J4904" s="1">
        <v>44936</v>
      </c>
      <c r="K4904" t="b">
        <v>1</v>
      </c>
    </row>
    <row r="4905" spans="1:11" x14ac:dyDescent="0.25">
      <c r="A4905" t="s">
        <v>1585</v>
      </c>
      <c r="B4905" t="s">
        <v>51</v>
      </c>
      <c r="C4905" t="s">
        <v>13</v>
      </c>
      <c r="D4905" t="s">
        <v>139</v>
      </c>
      <c r="E4905" s="2">
        <v>24.5</v>
      </c>
      <c r="F4905" s="4">
        <v>3</v>
      </c>
      <c r="G4905" s="2">
        <v>73.5</v>
      </c>
      <c r="H4905" t="s">
        <v>15</v>
      </c>
      <c r="I4905" t="s">
        <v>16</v>
      </c>
      <c r="J4905" s="1">
        <v>44917</v>
      </c>
      <c r="K4905" t="b">
        <v>0</v>
      </c>
    </row>
    <row r="4906" spans="1:11" x14ac:dyDescent="0.25">
      <c r="A4906" t="s">
        <v>7411</v>
      </c>
      <c r="B4906" t="s">
        <v>142</v>
      </c>
      <c r="C4906" t="s">
        <v>31</v>
      </c>
      <c r="D4906" t="s">
        <v>78</v>
      </c>
      <c r="E4906" s="2">
        <v>24.5</v>
      </c>
      <c r="F4906" s="4">
        <v>3</v>
      </c>
      <c r="G4906" s="2">
        <v>73.5</v>
      </c>
      <c r="H4906" t="s">
        <v>15</v>
      </c>
      <c r="I4906" t="s">
        <v>36</v>
      </c>
      <c r="J4906" s="1">
        <v>44866</v>
      </c>
      <c r="K4906" t="b">
        <v>0</v>
      </c>
    </row>
    <row r="4907" spans="1:11" x14ac:dyDescent="0.25">
      <c r="A4907" t="s">
        <v>1867</v>
      </c>
      <c r="B4907" t="s">
        <v>18</v>
      </c>
      <c r="C4907" t="s">
        <v>110</v>
      </c>
      <c r="D4907" t="s">
        <v>253</v>
      </c>
      <c r="E4907" s="2">
        <v>24.5</v>
      </c>
      <c r="F4907" s="4">
        <v>3</v>
      </c>
      <c r="G4907" s="2">
        <v>73.5</v>
      </c>
      <c r="H4907" t="s">
        <v>25</v>
      </c>
      <c r="I4907" t="s">
        <v>16</v>
      </c>
      <c r="J4907" s="1">
        <v>44835</v>
      </c>
      <c r="K4907" t="b">
        <v>1</v>
      </c>
    </row>
    <row r="4908" spans="1:11" x14ac:dyDescent="0.25">
      <c r="A4908" t="s">
        <v>2380</v>
      </c>
      <c r="B4908" t="s">
        <v>18</v>
      </c>
      <c r="C4908" t="s">
        <v>31</v>
      </c>
      <c r="D4908" t="s">
        <v>78</v>
      </c>
      <c r="E4908" s="2">
        <v>24.5</v>
      </c>
      <c r="F4908" s="4">
        <v>3</v>
      </c>
      <c r="G4908" s="2">
        <v>73.5</v>
      </c>
      <c r="H4908" t="s">
        <v>15</v>
      </c>
      <c r="I4908" t="s">
        <v>16</v>
      </c>
      <c r="J4908" s="1">
        <v>45670</v>
      </c>
      <c r="K4908" t="b">
        <v>0</v>
      </c>
    </row>
    <row r="4909" spans="1:11" x14ac:dyDescent="0.25">
      <c r="A4909" t="s">
        <v>5387</v>
      </c>
      <c r="B4909" t="s">
        <v>18</v>
      </c>
      <c r="C4909" t="s">
        <v>31</v>
      </c>
      <c r="D4909" t="s">
        <v>78</v>
      </c>
      <c r="E4909" s="2">
        <v>24.5</v>
      </c>
      <c r="F4909" s="4">
        <v>3</v>
      </c>
      <c r="G4909" s="2">
        <v>73.5</v>
      </c>
      <c r="H4909" t="s">
        <v>45</v>
      </c>
      <c r="I4909" t="s">
        <v>36</v>
      </c>
      <c r="J4909" s="1">
        <v>45479</v>
      </c>
      <c r="K4909" t="b">
        <v>1</v>
      </c>
    </row>
    <row r="4910" spans="1:11" x14ac:dyDescent="0.25">
      <c r="A4910" t="s">
        <v>2342</v>
      </c>
      <c r="B4910" t="s">
        <v>58</v>
      </c>
      <c r="C4910" t="s">
        <v>27</v>
      </c>
      <c r="D4910" t="s">
        <v>170</v>
      </c>
      <c r="E4910" s="2">
        <v>24.5</v>
      </c>
      <c r="F4910" s="4">
        <v>3</v>
      </c>
      <c r="G4910" s="2">
        <v>73.5</v>
      </c>
      <c r="H4910" t="s">
        <v>45</v>
      </c>
      <c r="I4910" t="s">
        <v>16</v>
      </c>
      <c r="J4910" s="1">
        <v>45549</v>
      </c>
      <c r="K4910" t="b">
        <v>1</v>
      </c>
    </row>
    <row r="4911" spans="1:11" x14ac:dyDescent="0.25">
      <c r="A4911" t="s">
        <v>3823</v>
      </c>
      <c r="B4911" t="s">
        <v>56</v>
      </c>
      <c r="C4911" t="s">
        <v>23</v>
      </c>
      <c r="D4911" t="s">
        <v>430</v>
      </c>
      <c r="E4911" s="2">
        <v>24.5</v>
      </c>
      <c r="F4911" s="4">
        <v>3</v>
      </c>
      <c r="G4911" s="2">
        <v>73.5</v>
      </c>
      <c r="H4911" t="s">
        <v>15</v>
      </c>
      <c r="I4911" t="s">
        <v>36</v>
      </c>
      <c r="J4911" s="1">
        <v>44766</v>
      </c>
      <c r="K4911" t="b">
        <v>1</v>
      </c>
    </row>
    <row r="4912" spans="1:11" x14ac:dyDescent="0.25">
      <c r="A4912" t="s">
        <v>3779</v>
      </c>
      <c r="B4912" t="s">
        <v>43</v>
      </c>
      <c r="C4912" t="s">
        <v>31</v>
      </c>
      <c r="D4912" t="s">
        <v>78</v>
      </c>
      <c r="E4912" s="2">
        <v>24.5</v>
      </c>
      <c r="F4912" s="4">
        <v>3</v>
      </c>
      <c r="G4912" s="2">
        <v>73.5</v>
      </c>
      <c r="H4912" t="s">
        <v>45</v>
      </c>
      <c r="I4912" t="s">
        <v>16</v>
      </c>
      <c r="J4912" s="1">
        <v>45367</v>
      </c>
      <c r="K4912" t="b">
        <v>0</v>
      </c>
    </row>
    <row r="4913" spans="1:11" x14ac:dyDescent="0.25">
      <c r="A4913" t="s">
        <v>5479</v>
      </c>
      <c r="B4913" t="s">
        <v>142</v>
      </c>
      <c r="C4913" t="s">
        <v>31</v>
      </c>
      <c r="D4913" t="s">
        <v>78</v>
      </c>
      <c r="E4913" s="2">
        <v>24.5</v>
      </c>
      <c r="F4913" s="4">
        <v>3</v>
      </c>
      <c r="G4913" s="2">
        <v>73.5</v>
      </c>
      <c r="H4913" t="s">
        <v>15</v>
      </c>
      <c r="I4913" t="s">
        <v>36</v>
      </c>
      <c r="J4913" s="1">
        <v>45141</v>
      </c>
      <c r="K4913" t="b">
        <v>0</v>
      </c>
    </row>
    <row r="4914" spans="1:11" x14ac:dyDescent="0.25">
      <c r="A4914" t="s">
        <v>7759</v>
      </c>
      <c r="B4914" t="s">
        <v>104</v>
      </c>
      <c r="C4914" t="s">
        <v>13</v>
      </c>
      <c r="D4914" t="s">
        <v>139</v>
      </c>
      <c r="E4914" s="2">
        <v>24.5</v>
      </c>
      <c r="F4914" s="4">
        <v>3</v>
      </c>
      <c r="G4914" s="2">
        <v>73.5</v>
      </c>
      <c r="H4914" t="s">
        <v>25</v>
      </c>
      <c r="I4914" t="s">
        <v>36</v>
      </c>
      <c r="J4914" s="1">
        <v>45095</v>
      </c>
      <c r="K4914" t="b">
        <v>1</v>
      </c>
    </row>
    <row r="4915" spans="1:11" x14ac:dyDescent="0.25">
      <c r="A4915" t="s">
        <v>6701</v>
      </c>
      <c r="B4915" t="s">
        <v>40</v>
      </c>
      <c r="C4915" t="s">
        <v>27</v>
      </c>
      <c r="D4915" t="s">
        <v>170</v>
      </c>
      <c r="E4915" s="2">
        <v>24.5</v>
      </c>
      <c r="F4915" s="4">
        <v>3</v>
      </c>
      <c r="G4915" s="2">
        <v>73.5</v>
      </c>
      <c r="H4915" t="s">
        <v>25</v>
      </c>
      <c r="I4915" t="s">
        <v>16</v>
      </c>
      <c r="J4915" s="1">
        <v>45113</v>
      </c>
      <c r="K4915" t="b">
        <v>0</v>
      </c>
    </row>
    <row r="4916" spans="1:11" x14ac:dyDescent="0.25">
      <c r="A4916" t="s">
        <v>4606</v>
      </c>
      <c r="B4916" t="s">
        <v>18</v>
      </c>
      <c r="C4916" t="s">
        <v>31</v>
      </c>
      <c r="D4916" t="s">
        <v>78</v>
      </c>
      <c r="E4916" s="2">
        <v>24.5</v>
      </c>
      <c r="F4916" s="4">
        <v>3</v>
      </c>
      <c r="G4916" s="2">
        <v>73.5</v>
      </c>
      <c r="H4916" t="s">
        <v>25</v>
      </c>
      <c r="I4916" t="s">
        <v>16</v>
      </c>
      <c r="J4916" s="1">
        <v>44606</v>
      </c>
      <c r="K4916" t="b">
        <v>1</v>
      </c>
    </row>
    <row r="4917" spans="1:11" x14ac:dyDescent="0.25">
      <c r="A4917" t="s">
        <v>4483</v>
      </c>
      <c r="B4917" t="s">
        <v>72</v>
      </c>
      <c r="C4917" t="s">
        <v>110</v>
      </c>
      <c r="D4917" t="s">
        <v>253</v>
      </c>
      <c r="E4917" s="2">
        <v>24.5</v>
      </c>
      <c r="F4917" s="4">
        <v>3</v>
      </c>
      <c r="G4917" s="2">
        <v>73.5</v>
      </c>
      <c r="H4917" t="s">
        <v>45</v>
      </c>
      <c r="I4917" t="s">
        <v>36</v>
      </c>
      <c r="J4917" s="1">
        <v>45034</v>
      </c>
      <c r="K4917" t="b">
        <v>1</v>
      </c>
    </row>
    <row r="4918" spans="1:11" x14ac:dyDescent="0.25">
      <c r="A4918" t="s">
        <v>2951</v>
      </c>
      <c r="B4918" t="s">
        <v>30</v>
      </c>
      <c r="C4918" t="s">
        <v>31</v>
      </c>
      <c r="D4918" t="s">
        <v>78</v>
      </c>
      <c r="E4918" s="2">
        <v>24.5</v>
      </c>
      <c r="F4918" s="4">
        <v>3</v>
      </c>
      <c r="G4918" s="2">
        <v>73.5</v>
      </c>
      <c r="H4918" t="s">
        <v>25</v>
      </c>
      <c r="I4918" t="s">
        <v>36</v>
      </c>
      <c r="J4918" s="1">
        <v>45501</v>
      </c>
      <c r="K4918" t="b">
        <v>1</v>
      </c>
    </row>
    <row r="4919" spans="1:11" x14ac:dyDescent="0.25">
      <c r="A4919" t="s">
        <v>2959</v>
      </c>
      <c r="B4919" t="s">
        <v>34</v>
      </c>
      <c r="C4919" t="s">
        <v>31</v>
      </c>
      <c r="D4919" t="s">
        <v>136</v>
      </c>
      <c r="E4919" s="2">
        <v>36.5</v>
      </c>
      <c r="F4919" s="4">
        <v>2</v>
      </c>
      <c r="G4919" s="2">
        <v>73</v>
      </c>
      <c r="H4919" t="s">
        <v>45</v>
      </c>
      <c r="I4919" t="s">
        <v>16</v>
      </c>
      <c r="J4919" s="1">
        <v>44900</v>
      </c>
      <c r="K4919" t="b">
        <v>0</v>
      </c>
    </row>
    <row r="4920" spans="1:11" x14ac:dyDescent="0.25">
      <c r="A4920" t="s">
        <v>1137</v>
      </c>
      <c r="B4920" t="s">
        <v>51</v>
      </c>
      <c r="C4920" t="s">
        <v>13</v>
      </c>
      <c r="D4920" t="s">
        <v>80</v>
      </c>
      <c r="E4920" s="2">
        <v>36.5</v>
      </c>
      <c r="F4920" s="4">
        <v>2</v>
      </c>
      <c r="G4920" s="2">
        <v>73</v>
      </c>
      <c r="H4920" t="s">
        <v>25</v>
      </c>
      <c r="I4920" t="s">
        <v>16</v>
      </c>
      <c r="J4920" s="1">
        <v>45031</v>
      </c>
      <c r="K4920" t="b">
        <v>0</v>
      </c>
    </row>
    <row r="4921" spans="1:11" x14ac:dyDescent="0.25">
      <c r="A4921" t="s">
        <v>6673</v>
      </c>
      <c r="B4921" t="s">
        <v>40</v>
      </c>
      <c r="C4921" t="s">
        <v>19</v>
      </c>
      <c r="D4921" t="s">
        <v>412</v>
      </c>
      <c r="E4921" s="2">
        <v>36.5</v>
      </c>
      <c r="F4921" s="4">
        <v>2</v>
      </c>
      <c r="G4921" s="2">
        <v>73</v>
      </c>
      <c r="H4921" t="s">
        <v>25</v>
      </c>
      <c r="I4921" t="s">
        <v>16</v>
      </c>
      <c r="J4921" s="1">
        <v>44573</v>
      </c>
      <c r="K4921" t="b">
        <v>1</v>
      </c>
    </row>
    <row r="4922" spans="1:11" x14ac:dyDescent="0.25">
      <c r="A4922" t="s">
        <v>442</v>
      </c>
      <c r="B4922" t="s">
        <v>142</v>
      </c>
      <c r="C4922" t="s">
        <v>110</v>
      </c>
      <c r="D4922" t="s">
        <v>134</v>
      </c>
      <c r="E4922" s="2">
        <v>36.5</v>
      </c>
      <c r="F4922" s="4">
        <v>2</v>
      </c>
      <c r="G4922" s="2">
        <v>73</v>
      </c>
      <c r="H4922" t="s">
        <v>45</v>
      </c>
      <c r="I4922" t="s">
        <v>36</v>
      </c>
      <c r="J4922" s="1">
        <v>45045</v>
      </c>
      <c r="K4922" t="b">
        <v>0</v>
      </c>
    </row>
    <row r="4923" spans="1:11" x14ac:dyDescent="0.25">
      <c r="A4923" t="s">
        <v>289</v>
      </c>
      <c r="B4923" t="s">
        <v>142</v>
      </c>
      <c r="C4923" t="s">
        <v>59</v>
      </c>
      <c r="D4923" t="s">
        <v>290</v>
      </c>
      <c r="E4923" s="2">
        <v>36.5</v>
      </c>
      <c r="F4923" s="4">
        <v>2</v>
      </c>
      <c r="G4923" s="2">
        <v>73</v>
      </c>
      <c r="H4923" t="s">
        <v>15</v>
      </c>
      <c r="I4923" t="s">
        <v>36</v>
      </c>
      <c r="J4923" s="1">
        <v>45488</v>
      </c>
      <c r="K4923" t="b">
        <v>0</v>
      </c>
    </row>
    <row r="4924" spans="1:11" x14ac:dyDescent="0.25">
      <c r="A4924" t="s">
        <v>5499</v>
      </c>
      <c r="B4924" t="s">
        <v>30</v>
      </c>
      <c r="C4924" t="s">
        <v>110</v>
      </c>
      <c r="D4924" t="s">
        <v>134</v>
      </c>
      <c r="E4924" s="2">
        <v>36.5</v>
      </c>
      <c r="F4924" s="4">
        <v>2</v>
      </c>
      <c r="G4924" s="2">
        <v>73</v>
      </c>
      <c r="H4924" t="s">
        <v>25</v>
      </c>
      <c r="I4924" t="s">
        <v>36</v>
      </c>
      <c r="J4924" s="1">
        <v>44682</v>
      </c>
      <c r="K4924" t="b">
        <v>0</v>
      </c>
    </row>
    <row r="4925" spans="1:11" x14ac:dyDescent="0.25">
      <c r="A4925" t="s">
        <v>377</v>
      </c>
      <c r="B4925" t="s">
        <v>30</v>
      </c>
      <c r="C4925" t="s">
        <v>23</v>
      </c>
      <c r="D4925" t="s">
        <v>44</v>
      </c>
      <c r="E4925" s="2">
        <v>36.5</v>
      </c>
      <c r="F4925" s="4">
        <v>2</v>
      </c>
      <c r="G4925" s="2">
        <v>73</v>
      </c>
      <c r="H4925" t="s">
        <v>25</v>
      </c>
      <c r="I4925" t="s">
        <v>16</v>
      </c>
      <c r="J4925" s="1">
        <v>45341</v>
      </c>
      <c r="K4925" t="b">
        <v>0</v>
      </c>
    </row>
    <row r="4926" spans="1:11" x14ac:dyDescent="0.25">
      <c r="A4926" t="s">
        <v>3593</v>
      </c>
      <c r="B4926" t="s">
        <v>72</v>
      </c>
      <c r="C4926" t="s">
        <v>27</v>
      </c>
      <c r="D4926" t="s">
        <v>101</v>
      </c>
      <c r="E4926" s="2">
        <v>36.5</v>
      </c>
      <c r="F4926" s="4">
        <v>2</v>
      </c>
      <c r="G4926" s="2">
        <v>73</v>
      </c>
      <c r="H4926" t="s">
        <v>45</v>
      </c>
      <c r="I4926" t="s">
        <v>36</v>
      </c>
      <c r="J4926" s="1">
        <v>44656</v>
      </c>
      <c r="K4926" t="b">
        <v>0</v>
      </c>
    </row>
    <row r="4927" spans="1:11" x14ac:dyDescent="0.25">
      <c r="A4927" t="s">
        <v>2918</v>
      </c>
      <c r="B4927" t="s">
        <v>18</v>
      </c>
      <c r="C4927" t="s">
        <v>19</v>
      </c>
      <c r="D4927" t="s">
        <v>412</v>
      </c>
      <c r="E4927" s="2">
        <v>36.5</v>
      </c>
      <c r="F4927" s="4">
        <v>2</v>
      </c>
      <c r="G4927" s="2">
        <v>73</v>
      </c>
      <c r="H4927" t="s">
        <v>25</v>
      </c>
      <c r="I4927" t="s">
        <v>36</v>
      </c>
      <c r="J4927" s="1">
        <v>44582</v>
      </c>
      <c r="K4927" t="b">
        <v>1</v>
      </c>
    </row>
    <row r="4928" spans="1:11" x14ac:dyDescent="0.25">
      <c r="A4928" t="s">
        <v>4622</v>
      </c>
      <c r="B4928" t="s">
        <v>56</v>
      </c>
      <c r="C4928" t="s">
        <v>23</v>
      </c>
      <c r="D4928" t="s">
        <v>44</v>
      </c>
      <c r="E4928" s="2">
        <v>36.5</v>
      </c>
      <c r="F4928" s="4">
        <v>2</v>
      </c>
      <c r="G4928" s="2">
        <v>73</v>
      </c>
      <c r="H4928" t="s">
        <v>15</v>
      </c>
      <c r="I4928" t="s">
        <v>36</v>
      </c>
      <c r="J4928" s="1">
        <v>45603</v>
      </c>
      <c r="K4928" t="b">
        <v>0</v>
      </c>
    </row>
    <row r="4929" spans="1:11" x14ac:dyDescent="0.25">
      <c r="A4929" t="s">
        <v>5050</v>
      </c>
      <c r="B4929" t="s">
        <v>61</v>
      </c>
      <c r="C4929" t="s">
        <v>59</v>
      </c>
      <c r="D4929" t="s">
        <v>290</v>
      </c>
      <c r="E4929" s="2">
        <v>36.5</v>
      </c>
      <c r="F4929" s="4">
        <v>2</v>
      </c>
      <c r="G4929" s="2">
        <v>73</v>
      </c>
      <c r="H4929" t="s">
        <v>25</v>
      </c>
      <c r="I4929" t="s">
        <v>16</v>
      </c>
      <c r="J4929" s="1">
        <v>44576</v>
      </c>
      <c r="K4929" t="b">
        <v>1</v>
      </c>
    </row>
    <row r="4930" spans="1:11" x14ac:dyDescent="0.25">
      <c r="A4930" t="s">
        <v>3569</v>
      </c>
      <c r="B4930" t="s">
        <v>104</v>
      </c>
      <c r="C4930" t="s">
        <v>13</v>
      </c>
      <c r="D4930" t="s">
        <v>80</v>
      </c>
      <c r="E4930" s="2">
        <v>36.5</v>
      </c>
      <c r="F4930" s="4">
        <v>2</v>
      </c>
      <c r="G4930" s="2">
        <v>73</v>
      </c>
      <c r="H4930" t="s">
        <v>15</v>
      </c>
      <c r="I4930" t="s">
        <v>16</v>
      </c>
      <c r="J4930" s="1">
        <v>44712</v>
      </c>
      <c r="K4930" t="b">
        <v>1</v>
      </c>
    </row>
    <row r="4931" spans="1:11" x14ac:dyDescent="0.25">
      <c r="A4931" t="s">
        <v>1008</v>
      </c>
      <c r="B4931" t="s">
        <v>22</v>
      </c>
      <c r="C4931" t="s">
        <v>110</v>
      </c>
      <c r="D4931" t="s">
        <v>134</v>
      </c>
      <c r="E4931" s="2">
        <v>36.5</v>
      </c>
      <c r="F4931" s="4">
        <v>2</v>
      </c>
      <c r="G4931" s="2">
        <v>73</v>
      </c>
      <c r="H4931" t="s">
        <v>45</v>
      </c>
      <c r="I4931" t="s">
        <v>16</v>
      </c>
      <c r="J4931" s="1">
        <v>45193</v>
      </c>
      <c r="K4931" t="b">
        <v>0</v>
      </c>
    </row>
    <row r="4932" spans="1:11" x14ac:dyDescent="0.25">
      <c r="A4932" t="s">
        <v>5928</v>
      </c>
      <c r="B4932" t="s">
        <v>97</v>
      </c>
      <c r="C4932" t="s">
        <v>19</v>
      </c>
      <c r="D4932" t="s">
        <v>412</v>
      </c>
      <c r="E4932" s="2">
        <v>36.5</v>
      </c>
      <c r="F4932" s="4">
        <v>2</v>
      </c>
      <c r="G4932" s="2">
        <v>73</v>
      </c>
      <c r="H4932" t="s">
        <v>25</v>
      </c>
      <c r="I4932" t="s">
        <v>16</v>
      </c>
      <c r="J4932" s="1">
        <v>45492</v>
      </c>
      <c r="K4932" t="b">
        <v>1</v>
      </c>
    </row>
    <row r="4933" spans="1:11" x14ac:dyDescent="0.25">
      <c r="A4933" t="s">
        <v>6583</v>
      </c>
      <c r="B4933" t="s">
        <v>43</v>
      </c>
      <c r="C4933" t="s">
        <v>59</v>
      </c>
      <c r="D4933" t="s">
        <v>290</v>
      </c>
      <c r="E4933" s="2">
        <v>36.5</v>
      </c>
      <c r="F4933" s="4">
        <v>2</v>
      </c>
      <c r="G4933" s="2">
        <v>73</v>
      </c>
      <c r="H4933" t="s">
        <v>25</v>
      </c>
      <c r="I4933" t="s">
        <v>16</v>
      </c>
      <c r="J4933" s="1">
        <v>45582</v>
      </c>
      <c r="K4933" t="b">
        <v>1</v>
      </c>
    </row>
    <row r="4934" spans="1:11" x14ac:dyDescent="0.25">
      <c r="A4934" t="s">
        <v>3668</v>
      </c>
      <c r="B4934" t="s">
        <v>77</v>
      </c>
      <c r="C4934" t="s">
        <v>59</v>
      </c>
      <c r="D4934" t="s">
        <v>290</v>
      </c>
      <c r="E4934" s="2">
        <v>36.5</v>
      </c>
      <c r="F4934" s="4">
        <v>2</v>
      </c>
      <c r="G4934" s="2">
        <v>73</v>
      </c>
      <c r="H4934" t="s">
        <v>15</v>
      </c>
      <c r="I4934" t="s">
        <v>36</v>
      </c>
      <c r="J4934" s="1">
        <v>45301</v>
      </c>
      <c r="K4934" t="b">
        <v>1</v>
      </c>
    </row>
    <row r="4935" spans="1:11" x14ac:dyDescent="0.25">
      <c r="A4935" t="s">
        <v>6637</v>
      </c>
      <c r="B4935" t="s">
        <v>77</v>
      </c>
      <c r="C4935" t="s">
        <v>38</v>
      </c>
      <c r="D4935" t="s">
        <v>149</v>
      </c>
      <c r="E4935" s="2">
        <v>36.5</v>
      </c>
      <c r="F4935" s="4">
        <v>2</v>
      </c>
      <c r="G4935" s="2">
        <v>73</v>
      </c>
      <c r="H4935" t="s">
        <v>15</v>
      </c>
      <c r="I4935" t="s">
        <v>16</v>
      </c>
      <c r="J4935" s="1">
        <v>45438</v>
      </c>
      <c r="K4935" t="b">
        <v>1</v>
      </c>
    </row>
    <row r="4936" spans="1:11" x14ac:dyDescent="0.25">
      <c r="A4936" t="s">
        <v>6580</v>
      </c>
      <c r="B4936" t="s">
        <v>85</v>
      </c>
      <c r="C4936" t="s">
        <v>19</v>
      </c>
      <c r="D4936" t="s">
        <v>412</v>
      </c>
      <c r="E4936" s="2">
        <v>36.5</v>
      </c>
      <c r="F4936" s="4">
        <v>2</v>
      </c>
      <c r="G4936" s="2">
        <v>73</v>
      </c>
      <c r="H4936" t="s">
        <v>15</v>
      </c>
      <c r="I4936" t="s">
        <v>16</v>
      </c>
      <c r="J4936" s="1">
        <v>44632</v>
      </c>
      <c r="K4936" t="b">
        <v>1</v>
      </c>
    </row>
    <row r="4937" spans="1:11" x14ac:dyDescent="0.25">
      <c r="A4937" t="s">
        <v>4311</v>
      </c>
      <c r="B4937" t="s">
        <v>30</v>
      </c>
      <c r="C4937" t="s">
        <v>23</v>
      </c>
      <c r="D4937" t="s">
        <v>44</v>
      </c>
      <c r="E4937" s="2">
        <v>36.5</v>
      </c>
      <c r="F4937" s="4">
        <v>2</v>
      </c>
      <c r="G4937" s="2">
        <v>73</v>
      </c>
      <c r="H4937" t="s">
        <v>15</v>
      </c>
      <c r="I4937" t="s">
        <v>16</v>
      </c>
      <c r="J4937" s="1">
        <v>44713</v>
      </c>
      <c r="K4937" t="b">
        <v>1</v>
      </c>
    </row>
    <row r="4938" spans="1:11" x14ac:dyDescent="0.25">
      <c r="A4938" t="s">
        <v>577</v>
      </c>
      <c r="B4938" t="s">
        <v>58</v>
      </c>
      <c r="C4938" t="s">
        <v>13</v>
      </c>
      <c r="D4938" t="s">
        <v>80</v>
      </c>
      <c r="E4938" s="2">
        <v>36.5</v>
      </c>
      <c r="F4938" s="4">
        <v>2</v>
      </c>
      <c r="G4938" s="2">
        <v>73</v>
      </c>
      <c r="H4938" t="s">
        <v>45</v>
      </c>
      <c r="I4938" t="s">
        <v>36</v>
      </c>
      <c r="J4938" s="1">
        <v>45222</v>
      </c>
      <c r="K4938" t="b">
        <v>0</v>
      </c>
    </row>
    <row r="4939" spans="1:11" x14ac:dyDescent="0.25">
      <c r="A4939" t="s">
        <v>1872</v>
      </c>
      <c r="B4939" t="s">
        <v>40</v>
      </c>
      <c r="C4939" t="s">
        <v>110</v>
      </c>
      <c r="D4939" t="s">
        <v>134</v>
      </c>
      <c r="E4939" s="2">
        <v>36.5</v>
      </c>
      <c r="F4939" s="4">
        <v>2</v>
      </c>
      <c r="G4939" s="2">
        <v>73</v>
      </c>
      <c r="H4939" t="s">
        <v>25</v>
      </c>
      <c r="I4939" t="s">
        <v>36</v>
      </c>
      <c r="J4939" s="1">
        <v>45249</v>
      </c>
      <c r="K4939" t="b">
        <v>0</v>
      </c>
    </row>
    <row r="4940" spans="1:11" x14ac:dyDescent="0.25">
      <c r="A4940" t="s">
        <v>2982</v>
      </c>
      <c r="B4940" t="s">
        <v>85</v>
      </c>
      <c r="C4940" t="s">
        <v>110</v>
      </c>
      <c r="D4940" t="s">
        <v>134</v>
      </c>
      <c r="E4940" s="2">
        <v>36.5</v>
      </c>
      <c r="F4940" s="4">
        <v>2</v>
      </c>
      <c r="G4940" s="2">
        <v>73</v>
      </c>
      <c r="H4940" t="s">
        <v>45</v>
      </c>
      <c r="I4940" t="s">
        <v>16</v>
      </c>
      <c r="J4940" s="1">
        <v>44886</v>
      </c>
      <c r="K4940" t="b">
        <v>0</v>
      </c>
    </row>
    <row r="4941" spans="1:11" x14ac:dyDescent="0.25">
      <c r="A4941" t="s">
        <v>667</v>
      </c>
      <c r="B4941" t="s">
        <v>12</v>
      </c>
      <c r="C4941" t="s">
        <v>23</v>
      </c>
      <c r="D4941" t="s">
        <v>44</v>
      </c>
      <c r="E4941" s="2">
        <v>36.5</v>
      </c>
      <c r="F4941" s="4">
        <v>2</v>
      </c>
      <c r="G4941" s="2">
        <v>73</v>
      </c>
      <c r="H4941" t="s">
        <v>45</v>
      </c>
      <c r="I4941" t="s">
        <v>16</v>
      </c>
      <c r="J4941" s="1">
        <v>45035</v>
      </c>
      <c r="K4941" t="b">
        <v>1</v>
      </c>
    </row>
    <row r="4942" spans="1:11" x14ac:dyDescent="0.25">
      <c r="A4942" t="s">
        <v>4017</v>
      </c>
      <c r="B4942" t="s">
        <v>12</v>
      </c>
      <c r="C4942" t="s">
        <v>31</v>
      </c>
      <c r="D4942" t="s">
        <v>136</v>
      </c>
      <c r="E4942" s="2">
        <v>36.5</v>
      </c>
      <c r="F4942" s="4">
        <v>2</v>
      </c>
      <c r="G4942" s="2">
        <v>73</v>
      </c>
      <c r="H4942" t="s">
        <v>15</v>
      </c>
      <c r="I4942" t="s">
        <v>16</v>
      </c>
      <c r="J4942" s="1">
        <v>45016</v>
      </c>
      <c r="K4942" t="b">
        <v>0</v>
      </c>
    </row>
    <row r="4943" spans="1:11" x14ac:dyDescent="0.25">
      <c r="A4943" t="s">
        <v>2246</v>
      </c>
      <c r="B4943" t="s">
        <v>61</v>
      </c>
      <c r="C4943" t="s">
        <v>59</v>
      </c>
      <c r="D4943" t="s">
        <v>290</v>
      </c>
      <c r="E4943" s="2">
        <v>36.5</v>
      </c>
      <c r="F4943" s="4">
        <v>2</v>
      </c>
      <c r="G4943" s="2">
        <v>73</v>
      </c>
      <c r="H4943" t="s">
        <v>25</v>
      </c>
      <c r="I4943" t="s">
        <v>36</v>
      </c>
      <c r="J4943" s="1">
        <v>44826</v>
      </c>
      <c r="K4943" t="b">
        <v>0</v>
      </c>
    </row>
    <row r="4944" spans="1:11" x14ac:dyDescent="0.25">
      <c r="A4944" t="s">
        <v>6244</v>
      </c>
      <c r="B4944" t="s">
        <v>43</v>
      </c>
      <c r="C4944" t="s">
        <v>110</v>
      </c>
      <c r="D4944" t="s">
        <v>134</v>
      </c>
      <c r="E4944" s="2">
        <v>36.5</v>
      </c>
      <c r="F4944" s="4">
        <v>2</v>
      </c>
      <c r="G4944" s="2">
        <v>73</v>
      </c>
      <c r="H4944" t="s">
        <v>45</v>
      </c>
      <c r="I4944" t="s">
        <v>16</v>
      </c>
      <c r="J4944" s="1">
        <v>45168</v>
      </c>
      <c r="K4944" t="b">
        <v>1</v>
      </c>
    </row>
    <row r="4945" spans="1:11" x14ac:dyDescent="0.25">
      <c r="A4945" t="s">
        <v>641</v>
      </c>
      <c r="B4945" t="s">
        <v>26</v>
      </c>
      <c r="C4945" t="s">
        <v>31</v>
      </c>
      <c r="D4945" t="s">
        <v>136</v>
      </c>
      <c r="E4945" s="2">
        <v>36.5</v>
      </c>
      <c r="F4945" s="4">
        <v>2</v>
      </c>
      <c r="G4945" s="2">
        <v>73</v>
      </c>
      <c r="H4945" t="s">
        <v>45</v>
      </c>
      <c r="I4945" t="s">
        <v>16</v>
      </c>
      <c r="J4945" s="1">
        <v>45050</v>
      </c>
      <c r="K4945" t="b">
        <v>0</v>
      </c>
    </row>
    <row r="4946" spans="1:11" x14ac:dyDescent="0.25">
      <c r="A4946" t="s">
        <v>1020</v>
      </c>
      <c r="B4946" t="s">
        <v>12</v>
      </c>
      <c r="C4946" t="s">
        <v>31</v>
      </c>
      <c r="D4946" t="s">
        <v>136</v>
      </c>
      <c r="E4946" s="2">
        <v>36.5</v>
      </c>
      <c r="F4946" s="4">
        <v>2</v>
      </c>
      <c r="G4946" s="2">
        <v>73</v>
      </c>
      <c r="H4946" t="s">
        <v>25</v>
      </c>
      <c r="I4946" t="s">
        <v>16</v>
      </c>
      <c r="J4946" s="1">
        <v>44988</v>
      </c>
      <c r="K4946" t="b">
        <v>0</v>
      </c>
    </row>
    <row r="4947" spans="1:11" x14ac:dyDescent="0.25">
      <c r="A4947" t="s">
        <v>6230</v>
      </c>
      <c r="B4947" t="s">
        <v>22</v>
      </c>
      <c r="C4947" t="s">
        <v>23</v>
      </c>
      <c r="D4947" t="s">
        <v>44</v>
      </c>
      <c r="E4947" s="2">
        <v>36.5</v>
      </c>
      <c r="F4947" s="4">
        <v>2</v>
      </c>
      <c r="G4947" s="2">
        <v>73</v>
      </c>
      <c r="H4947" t="s">
        <v>15</v>
      </c>
      <c r="I4947" t="s">
        <v>36</v>
      </c>
      <c r="J4947" s="1">
        <v>44651</v>
      </c>
      <c r="K4947" t="b">
        <v>0</v>
      </c>
    </row>
    <row r="4948" spans="1:11" x14ac:dyDescent="0.25">
      <c r="A4948" t="s">
        <v>2910</v>
      </c>
      <c r="B4948" t="s">
        <v>43</v>
      </c>
      <c r="C4948" t="s">
        <v>19</v>
      </c>
      <c r="D4948" t="s">
        <v>412</v>
      </c>
      <c r="E4948" s="2">
        <v>36.5</v>
      </c>
      <c r="F4948" s="4">
        <v>2</v>
      </c>
      <c r="G4948" s="2">
        <v>73</v>
      </c>
      <c r="H4948" t="s">
        <v>45</v>
      </c>
      <c r="I4948" t="s">
        <v>16</v>
      </c>
      <c r="J4948" s="1">
        <v>44824</v>
      </c>
      <c r="K4948" t="b">
        <v>1</v>
      </c>
    </row>
    <row r="4949" spans="1:11" x14ac:dyDescent="0.25">
      <c r="A4949" t="s">
        <v>411</v>
      </c>
      <c r="B4949" t="s">
        <v>77</v>
      </c>
      <c r="C4949" t="s">
        <v>19</v>
      </c>
      <c r="D4949" t="s">
        <v>412</v>
      </c>
      <c r="E4949" s="2">
        <v>36.5</v>
      </c>
      <c r="F4949" s="4">
        <v>2</v>
      </c>
      <c r="G4949" s="2">
        <v>73</v>
      </c>
      <c r="H4949" t="s">
        <v>15</v>
      </c>
      <c r="I4949" t="s">
        <v>36</v>
      </c>
      <c r="J4949" s="1">
        <v>44841</v>
      </c>
      <c r="K4949" t="b">
        <v>1</v>
      </c>
    </row>
    <row r="4950" spans="1:11" x14ac:dyDescent="0.25">
      <c r="A4950" t="s">
        <v>1225</v>
      </c>
      <c r="B4950" t="s">
        <v>61</v>
      </c>
      <c r="C4950" t="s">
        <v>31</v>
      </c>
      <c r="D4950" t="s">
        <v>106</v>
      </c>
      <c r="E4950" s="2">
        <v>8</v>
      </c>
      <c r="F4950" s="4">
        <v>9</v>
      </c>
      <c r="G4950" s="2">
        <v>72</v>
      </c>
      <c r="H4950" t="s">
        <v>25</v>
      </c>
      <c r="I4950" t="s">
        <v>36</v>
      </c>
      <c r="J4950" s="1">
        <v>45201</v>
      </c>
      <c r="K4950" t="b">
        <v>0</v>
      </c>
    </row>
    <row r="4951" spans="1:11" x14ac:dyDescent="0.25">
      <c r="A4951" t="s">
        <v>1600</v>
      </c>
      <c r="B4951" t="s">
        <v>22</v>
      </c>
      <c r="C4951" t="s">
        <v>23</v>
      </c>
      <c r="D4951" t="s">
        <v>47</v>
      </c>
      <c r="E4951" s="2">
        <v>8</v>
      </c>
      <c r="F4951" s="4">
        <v>9</v>
      </c>
      <c r="G4951" s="2">
        <v>72</v>
      </c>
      <c r="H4951" t="s">
        <v>25</v>
      </c>
      <c r="I4951" t="s">
        <v>16</v>
      </c>
      <c r="J4951" s="1">
        <v>44593</v>
      </c>
      <c r="K4951" t="b">
        <v>1</v>
      </c>
    </row>
    <row r="4952" spans="1:11" x14ac:dyDescent="0.25">
      <c r="A4952" t="s">
        <v>975</v>
      </c>
      <c r="B4952" t="s">
        <v>93</v>
      </c>
      <c r="C4952" t="s">
        <v>19</v>
      </c>
      <c r="D4952" t="s">
        <v>226</v>
      </c>
      <c r="E4952" s="2">
        <v>8</v>
      </c>
      <c r="F4952" s="4">
        <v>9</v>
      </c>
      <c r="G4952" s="2">
        <v>72</v>
      </c>
      <c r="H4952" t="s">
        <v>45</v>
      </c>
      <c r="I4952" t="s">
        <v>16</v>
      </c>
      <c r="J4952" s="1">
        <v>45666</v>
      </c>
      <c r="K4952" t="b">
        <v>0</v>
      </c>
    </row>
    <row r="4953" spans="1:11" x14ac:dyDescent="0.25">
      <c r="A4953" t="s">
        <v>1130</v>
      </c>
      <c r="B4953" t="s">
        <v>85</v>
      </c>
      <c r="C4953" t="s">
        <v>19</v>
      </c>
      <c r="D4953" t="s">
        <v>226</v>
      </c>
      <c r="E4953" s="2">
        <v>8</v>
      </c>
      <c r="F4953" s="4">
        <v>9</v>
      </c>
      <c r="G4953" s="2">
        <v>72</v>
      </c>
      <c r="H4953" t="s">
        <v>45</v>
      </c>
      <c r="I4953" t="s">
        <v>36</v>
      </c>
      <c r="J4953" s="1">
        <v>45509</v>
      </c>
      <c r="K4953" t="b">
        <v>1</v>
      </c>
    </row>
    <row r="4954" spans="1:11" x14ac:dyDescent="0.25">
      <c r="A4954" t="s">
        <v>3424</v>
      </c>
      <c r="B4954" t="s">
        <v>12</v>
      </c>
      <c r="C4954" t="s">
        <v>59</v>
      </c>
      <c r="D4954" t="s">
        <v>1845</v>
      </c>
      <c r="E4954" s="2">
        <v>8</v>
      </c>
      <c r="F4954" s="4">
        <v>9</v>
      </c>
      <c r="G4954" s="2">
        <v>72</v>
      </c>
      <c r="H4954" t="s">
        <v>45</v>
      </c>
      <c r="I4954" t="s">
        <v>36</v>
      </c>
      <c r="J4954" s="1">
        <v>44986</v>
      </c>
      <c r="K4954" t="b">
        <v>0</v>
      </c>
    </row>
    <row r="4955" spans="1:11" x14ac:dyDescent="0.25">
      <c r="A4955" t="s">
        <v>5265</v>
      </c>
      <c r="B4955" t="s">
        <v>12</v>
      </c>
      <c r="C4955" t="s">
        <v>23</v>
      </c>
      <c r="D4955" t="s">
        <v>47</v>
      </c>
      <c r="E4955" s="2">
        <v>8</v>
      </c>
      <c r="F4955" s="4">
        <v>9</v>
      </c>
      <c r="G4955" s="2">
        <v>72</v>
      </c>
      <c r="H4955" t="s">
        <v>15</v>
      </c>
      <c r="I4955" t="s">
        <v>16</v>
      </c>
      <c r="J4955" s="1">
        <v>45244</v>
      </c>
      <c r="K4955" t="b">
        <v>0</v>
      </c>
    </row>
    <row r="4956" spans="1:11" x14ac:dyDescent="0.25">
      <c r="A4956" t="s">
        <v>4546</v>
      </c>
      <c r="B4956" t="s">
        <v>100</v>
      </c>
      <c r="C4956" t="s">
        <v>31</v>
      </c>
      <c r="D4956" t="s">
        <v>106</v>
      </c>
      <c r="E4956" s="2">
        <v>8</v>
      </c>
      <c r="F4956" s="4">
        <v>9</v>
      </c>
      <c r="G4956" s="2">
        <v>72</v>
      </c>
      <c r="H4956" t="s">
        <v>25</v>
      </c>
      <c r="I4956" t="s">
        <v>16</v>
      </c>
      <c r="J4956" s="1">
        <v>45390</v>
      </c>
      <c r="K4956" t="b">
        <v>0</v>
      </c>
    </row>
    <row r="4957" spans="1:11" x14ac:dyDescent="0.25">
      <c r="A4957" t="s">
        <v>6548</v>
      </c>
      <c r="B4957" t="s">
        <v>142</v>
      </c>
      <c r="C4957" t="s">
        <v>23</v>
      </c>
      <c r="D4957" t="s">
        <v>47</v>
      </c>
      <c r="E4957" s="2">
        <v>8</v>
      </c>
      <c r="F4957" s="4">
        <v>9</v>
      </c>
      <c r="G4957" s="2">
        <v>72</v>
      </c>
      <c r="H4957" t="s">
        <v>15</v>
      </c>
      <c r="I4957" t="s">
        <v>16</v>
      </c>
      <c r="J4957" s="1">
        <v>44739</v>
      </c>
      <c r="K4957" t="b">
        <v>0</v>
      </c>
    </row>
    <row r="4958" spans="1:11" x14ac:dyDescent="0.25">
      <c r="A4958" t="s">
        <v>3286</v>
      </c>
      <c r="B4958" t="s">
        <v>34</v>
      </c>
      <c r="C4958" t="s">
        <v>23</v>
      </c>
      <c r="D4958" t="s">
        <v>47</v>
      </c>
      <c r="E4958" s="2">
        <v>8</v>
      </c>
      <c r="F4958" s="4">
        <v>9</v>
      </c>
      <c r="G4958" s="2">
        <v>72</v>
      </c>
      <c r="H4958" t="s">
        <v>15</v>
      </c>
      <c r="I4958" t="s">
        <v>16</v>
      </c>
      <c r="J4958" s="1">
        <v>44954</v>
      </c>
      <c r="K4958" t="b">
        <v>1</v>
      </c>
    </row>
    <row r="4959" spans="1:11" x14ac:dyDescent="0.25">
      <c r="A4959" t="s">
        <v>335</v>
      </c>
      <c r="B4959" t="s">
        <v>93</v>
      </c>
      <c r="C4959" t="s">
        <v>19</v>
      </c>
      <c r="D4959" t="s">
        <v>226</v>
      </c>
      <c r="E4959" s="2">
        <v>8</v>
      </c>
      <c r="F4959" s="4">
        <v>9</v>
      </c>
      <c r="G4959" s="2">
        <v>72</v>
      </c>
      <c r="H4959" t="s">
        <v>45</v>
      </c>
      <c r="I4959" t="s">
        <v>36</v>
      </c>
      <c r="J4959" s="1">
        <v>44564</v>
      </c>
      <c r="K4959" t="b">
        <v>0</v>
      </c>
    </row>
    <row r="4960" spans="1:11" x14ac:dyDescent="0.25">
      <c r="A4960" t="s">
        <v>3630</v>
      </c>
      <c r="B4960" t="s">
        <v>37</v>
      </c>
      <c r="C4960" t="s">
        <v>31</v>
      </c>
      <c r="D4960" t="s">
        <v>106</v>
      </c>
      <c r="E4960" s="2">
        <v>8</v>
      </c>
      <c r="F4960" s="4">
        <v>9</v>
      </c>
      <c r="G4960" s="2">
        <v>72</v>
      </c>
      <c r="H4960" t="s">
        <v>15</v>
      </c>
      <c r="I4960" t="s">
        <v>16</v>
      </c>
      <c r="J4960" s="1">
        <v>45063</v>
      </c>
      <c r="K4960" t="b">
        <v>0</v>
      </c>
    </row>
    <row r="4961" spans="1:11" x14ac:dyDescent="0.25">
      <c r="A4961" t="s">
        <v>7510</v>
      </c>
      <c r="B4961" t="s">
        <v>104</v>
      </c>
      <c r="C4961" t="s">
        <v>23</v>
      </c>
      <c r="D4961" t="s">
        <v>47</v>
      </c>
      <c r="E4961" s="2">
        <v>8</v>
      </c>
      <c r="F4961" s="4">
        <v>9</v>
      </c>
      <c r="G4961" s="2">
        <v>72</v>
      </c>
      <c r="H4961" t="s">
        <v>25</v>
      </c>
      <c r="I4961" t="s">
        <v>36</v>
      </c>
      <c r="J4961" s="1">
        <v>44948</v>
      </c>
      <c r="K4961" t="b">
        <v>0</v>
      </c>
    </row>
    <row r="4962" spans="1:11" x14ac:dyDescent="0.25">
      <c r="A4962" t="s">
        <v>1575</v>
      </c>
      <c r="B4962" t="s">
        <v>66</v>
      </c>
      <c r="C4962" t="s">
        <v>19</v>
      </c>
      <c r="D4962" t="s">
        <v>226</v>
      </c>
      <c r="E4962" s="2">
        <v>8</v>
      </c>
      <c r="F4962" s="4">
        <v>9</v>
      </c>
      <c r="G4962" s="2">
        <v>72</v>
      </c>
      <c r="H4962" t="s">
        <v>45</v>
      </c>
      <c r="I4962" t="s">
        <v>16</v>
      </c>
      <c r="J4962" s="1">
        <v>45272</v>
      </c>
      <c r="K4962" t="b">
        <v>0</v>
      </c>
    </row>
    <row r="4963" spans="1:11" x14ac:dyDescent="0.25">
      <c r="A4963" t="s">
        <v>3551</v>
      </c>
      <c r="B4963" t="s">
        <v>34</v>
      </c>
      <c r="C4963" t="s">
        <v>19</v>
      </c>
      <c r="D4963" t="s">
        <v>226</v>
      </c>
      <c r="E4963" s="2">
        <v>8</v>
      </c>
      <c r="F4963" s="4">
        <v>9</v>
      </c>
      <c r="G4963" s="2">
        <v>72</v>
      </c>
      <c r="H4963" t="s">
        <v>25</v>
      </c>
      <c r="I4963" t="s">
        <v>16</v>
      </c>
      <c r="J4963" s="1">
        <v>44763</v>
      </c>
      <c r="K4963" t="b">
        <v>1</v>
      </c>
    </row>
    <row r="4964" spans="1:11" x14ac:dyDescent="0.25">
      <c r="A4964" t="s">
        <v>696</v>
      </c>
      <c r="B4964" t="s">
        <v>30</v>
      </c>
      <c r="C4964" t="s">
        <v>38</v>
      </c>
      <c r="D4964" t="s">
        <v>697</v>
      </c>
      <c r="E4964" s="2">
        <v>8</v>
      </c>
      <c r="F4964" s="4">
        <v>9</v>
      </c>
      <c r="G4964" s="2">
        <v>72</v>
      </c>
      <c r="H4964" t="s">
        <v>45</v>
      </c>
      <c r="I4964" t="s">
        <v>36</v>
      </c>
      <c r="J4964" s="1">
        <v>45635</v>
      </c>
      <c r="K4964" t="b">
        <v>1</v>
      </c>
    </row>
    <row r="4965" spans="1:11" x14ac:dyDescent="0.25">
      <c r="A4965" t="s">
        <v>7487</v>
      </c>
      <c r="B4965" t="s">
        <v>85</v>
      </c>
      <c r="C4965" t="s">
        <v>19</v>
      </c>
      <c r="D4965" t="s">
        <v>226</v>
      </c>
      <c r="E4965" s="2">
        <v>8</v>
      </c>
      <c r="F4965" s="4">
        <v>9</v>
      </c>
      <c r="G4965" s="2">
        <v>72</v>
      </c>
      <c r="H4965" t="s">
        <v>25</v>
      </c>
      <c r="I4965" t="s">
        <v>16</v>
      </c>
      <c r="J4965" s="1">
        <v>45285</v>
      </c>
      <c r="K4965" t="b">
        <v>1</v>
      </c>
    </row>
    <row r="4966" spans="1:11" x14ac:dyDescent="0.25">
      <c r="A4966" t="s">
        <v>7230</v>
      </c>
      <c r="B4966" t="s">
        <v>51</v>
      </c>
      <c r="C4966" t="s">
        <v>19</v>
      </c>
      <c r="D4966" t="s">
        <v>226</v>
      </c>
      <c r="E4966" s="2">
        <v>8</v>
      </c>
      <c r="F4966" s="4">
        <v>9</v>
      </c>
      <c r="G4966" s="2">
        <v>72</v>
      </c>
      <c r="H4966" t="s">
        <v>25</v>
      </c>
      <c r="I4966" t="s">
        <v>16</v>
      </c>
      <c r="J4966" s="1">
        <v>44851</v>
      </c>
      <c r="K4966" t="b">
        <v>0</v>
      </c>
    </row>
    <row r="4967" spans="1:11" x14ac:dyDescent="0.25">
      <c r="A4967" t="s">
        <v>6999</v>
      </c>
      <c r="B4967" t="s">
        <v>61</v>
      </c>
      <c r="C4967" t="s">
        <v>27</v>
      </c>
      <c r="D4967" t="s">
        <v>357</v>
      </c>
      <c r="E4967" s="2">
        <v>8</v>
      </c>
      <c r="F4967" s="4">
        <v>9</v>
      </c>
      <c r="G4967" s="2">
        <v>72</v>
      </c>
      <c r="H4967" t="s">
        <v>45</v>
      </c>
      <c r="I4967" t="s">
        <v>16</v>
      </c>
      <c r="J4967" s="1">
        <v>44794</v>
      </c>
      <c r="K4967" t="b">
        <v>1</v>
      </c>
    </row>
    <row r="4968" spans="1:11" x14ac:dyDescent="0.25">
      <c r="A4968" t="s">
        <v>4721</v>
      </c>
      <c r="B4968" t="s">
        <v>43</v>
      </c>
      <c r="C4968" t="s">
        <v>110</v>
      </c>
      <c r="D4968" t="s">
        <v>741</v>
      </c>
      <c r="E4968" s="2">
        <v>8</v>
      </c>
      <c r="F4968" s="4">
        <v>9</v>
      </c>
      <c r="G4968" s="2">
        <v>72</v>
      </c>
      <c r="H4968" t="s">
        <v>15</v>
      </c>
      <c r="I4968" t="s">
        <v>36</v>
      </c>
      <c r="J4968" s="1">
        <v>44674</v>
      </c>
      <c r="K4968" t="b">
        <v>0</v>
      </c>
    </row>
    <row r="4969" spans="1:11" x14ac:dyDescent="0.25">
      <c r="A4969" t="s">
        <v>7657</v>
      </c>
      <c r="B4969" t="s">
        <v>26</v>
      </c>
      <c r="C4969" t="s">
        <v>110</v>
      </c>
      <c r="D4969" t="s">
        <v>741</v>
      </c>
      <c r="E4969" s="2">
        <v>8</v>
      </c>
      <c r="F4969" s="4">
        <v>9</v>
      </c>
      <c r="G4969" s="2">
        <v>72</v>
      </c>
      <c r="H4969" t="s">
        <v>15</v>
      </c>
      <c r="I4969" t="s">
        <v>36</v>
      </c>
      <c r="J4969" s="1">
        <v>45067</v>
      </c>
      <c r="K4969" t="b">
        <v>0</v>
      </c>
    </row>
    <row r="4970" spans="1:11" x14ac:dyDescent="0.25">
      <c r="A4970" t="s">
        <v>6720</v>
      </c>
      <c r="B4970" t="s">
        <v>93</v>
      </c>
      <c r="C4970" t="s">
        <v>19</v>
      </c>
      <c r="D4970" t="s">
        <v>226</v>
      </c>
      <c r="E4970" s="2">
        <v>8</v>
      </c>
      <c r="F4970" s="4">
        <v>9</v>
      </c>
      <c r="G4970" s="2">
        <v>72</v>
      </c>
      <c r="H4970" t="s">
        <v>15</v>
      </c>
      <c r="I4970" t="s">
        <v>36</v>
      </c>
      <c r="J4970" s="1">
        <v>44850</v>
      </c>
      <c r="K4970" t="b">
        <v>1</v>
      </c>
    </row>
    <row r="4971" spans="1:11" x14ac:dyDescent="0.25">
      <c r="A4971" t="s">
        <v>959</v>
      </c>
      <c r="B4971" t="s">
        <v>51</v>
      </c>
      <c r="C4971" t="s">
        <v>31</v>
      </c>
      <c r="D4971" t="s">
        <v>106</v>
      </c>
      <c r="E4971" s="2">
        <v>8</v>
      </c>
      <c r="F4971" s="4">
        <v>9</v>
      </c>
      <c r="G4971" s="2">
        <v>72</v>
      </c>
      <c r="H4971" t="s">
        <v>25</v>
      </c>
      <c r="I4971" t="s">
        <v>16</v>
      </c>
      <c r="J4971" s="1">
        <v>45406</v>
      </c>
      <c r="K4971" t="b">
        <v>1</v>
      </c>
    </row>
    <row r="4972" spans="1:11" x14ac:dyDescent="0.25">
      <c r="A4972" t="s">
        <v>3788</v>
      </c>
      <c r="B4972" t="s">
        <v>58</v>
      </c>
      <c r="C4972" t="s">
        <v>13</v>
      </c>
      <c r="D4972" t="s">
        <v>969</v>
      </c>
      <c r="E4972" s="2">
        <v>8</v>
      </c>
      <c r="F4972" s="4">
        <v>9</v>
      </c>
      <c r="G4972" s="2">
        <v>72</v>
      </c>
      <c r="H4972" t="s">
        <v>45</v>
      </c>
      <c r="I4972" t="s">
        <v>16</v>
      </c>
      <c r="J4972" s="1">
        <v>45590</v>
      </c>
      <c r="K4972" t="b">
        <v>1</v>
      </c>
    </row>
    <row r="4973" spans="1:11" x14ac:dyDescent="0.25">
      <c r="A4973" t="s">
        <v>792</v>
      </c>
      <c r="B4973" t="s">
        <v>100</v>
      </c>
      <c r="C4973" t="s">
        <v>110</v>
      </c>
      <c r="D4973" t="s">
        <v>741</v>
      </c>
      <c r="E4973" s="2">
        <v>8</v>
      </c>
      <c r="F4973" s="4">
        <v>9</v>
      </c>
      <c r="G4973" s="2">
        <v>72</v>
      </c>
      <c r="H4973" t="s">
        <v>25</v>
      </c>
      <c r="I4973" t="s">
        <v>16</v>
      </c>
      <c r="J4973" s="1">
        <v>44711</v>
      </c>
      <c r="K4973" t="b">
        <v>0</v>
      </c>
    </row>
    <row r="4974" spans="1:11" x14ac:dyDescent="0.25">
      <c r="A4974" t="s">
        <v>1607</v>
      </c>
      <c r="B4974" t="s">
        <v>61</v>
      </c>
      <c r="C4974" t="s">
        <v>27</v>
      </c>
      <c r="D4974" t="s">
        <v>357</v>
      </c>
      <c r="E4974" s="2">
        <v>8</v>
      </c>
      <c r="F4974" s="4">
        <v>9</v>
      </c>
      <c r="G4974" s="2">
        <v>72</v>
      </c>
      <c r="H4974" t="s">
        <v>45</v>
      </c>
      <c r="I4974" t="s">
        <v>36</v>
      </c>
      <c r="J4974" s="1">
        <v>45658</v>
      </c>
      <c r="K4974" t="b">
        <v>1</v>
      </c>
    </row>
    <row r="4975" spans="1:11" x14ac:dyDescent="0.25">
      <c r="A4975" t="s">
        <v>46</v>
      </c>
      <c r="B4975" t="s">
        <v>18</v>
      </c>
      <c r="C4975" t="s">
        <v>23</v>
      </c>
      <c r="D4975" t="s">
        <v>47</v>
      </c>
      <c r="E4975" s="2">
        <v>8</v>
      </c>
      <c r="F4975" s="4">
        <v>9</v>
      </c>
      <c r="G4975" s="2">
        <v>72</v>
      </c>
      <c r="H4975" t="s">
        <v>45</v>
      </c>
      <c r="I4975" t="s">
        <v>36</v>
      </c>
      <c r="J4975" s="1">
        <v>45640</v>
      </c>
      <c r="K4975" t="b">
        <v>1</v>
      </c>
    </row>
    <row r="4976" spans="1:11" x14ac:dyDescent="0.25">
      <c r="A4976" t="s">
        <v>686</v>
      </c>
      <c r="B4976" t="s">
        <v>18</v>
      </c>
      <c r="C4976" t="s">
        <v>23</v>
      </c>
      <c r="D4976" t="s">
        <v>47</v>
      </c>
      <c r="E4976" s="2">
        <v>8</v>
      </c>
      <c r="F4976" s="4">
        <v>9</v>
      </c>
      <c r="G4976" s="2">
        <v>72</v>
      </c>
      <c r="H4976" t="s">
        <v>15</v>
      </c>
      <c r="I4976" t="s">
        <v>36</v>
      </c>
      <c r="J4976" s="1">
        <v>44753</v>
      </c>
      <c r="K4976" t="b">
        <v>0</v>
      </c>
    </row>
    <row r="4977" spans="1:11" x14ac:dyDescent="0.25">
      <c r="A4977" t="s">
        <v>5835</v>
      </c>
      <c r="B4977" t="s">
        <v>100</v>
      </c>
      <c r="C4977" t="s">
        <v>38</v>
      </c>
      <c r="D4977" t="s">
        <v>163</v>
      </c>
      <c r="E4977" s="2">
        <v>35</v>
      </c>
      <c r="F4977" s="4">
        <v>2</v>
      </c>
      <c r="G4977" s="2">
        <v>70</v>
      </c>
      <c r="H4977" t="s">
        <v>45</v>
      </c>
      <c r="I4977" t="s">
        <v>36</v>
      </c>
      <c r="J4977" s="1">
        <v>45469</v>
      </c>
      <c r="K4977" t="b">
        <v>1</v>
      </c>
    </row>
    <row r="4978" spans="1:11" x14ac:dyDescent="0.25">
      <c r="A4978" t="s">
        <v>2659</v>
      </c>
      <c r="B4978" t="s">
        <v>58</v>
      </c>
      <c r="C4978" t="s">
        <v>19</v>
      </c>
      <c r="D4978" t="s">
        <v>756</v>
      </c>
      <c r="E4978" s="2">
        <v>14</v>
      </c>
      <c r="F4978" s="4">
        <v>5</v>
      </c>
      <c r="G4978" s="2">
        <v>70</v>
      </c>
      <c r="H4978" t="s">
        <v>15</v>
      </c>
      <c r="I4978" t="s">
        <v>16</v>
      </c>
      <c r="J4978" s="1">
        <v>45302</v>
      </c>
      <c r="K4978" t="b">
        <v>1</v>
      </c>
    </row>
    <row r="4979" spans="1:11" x14ac:dyDescent="0.25">
      <c r="A4979" t="s">
        <v>7681</v>
      </c>
      <c r="B4979" t="s">
        <v>22</v>
      </c>
      <c r="C4979" t="s">
        <v>27</v>
      </c>
      <c r="D4979" t="s">
        <v>62</v>
      </c>
      <c r="E4979" s="2">
        <v>14</v>
      </c>
      <c r="F4979" s="4">
        <v>5</v>
      </c>
      <c r="G4979" s="2">
        <v>70</v>
      </c>
      <c r="H4979" t="s">
        <v>25</v>
      </c>
      <c r="I4979" t="s">
        <v>36</v>
      </c>
      <c r="J4979" s="1">
        <v>45187</v>
      </c>
      <c r="K4979" t="b">
        <v>1</v>
      </c>
    </row>
    <row r="4980" spans="1:11" x14ac:dyDescent="0.25">
      <c r="A4980" t="s">
        <v>1968</v>
      </c>
      <c r="B4980" t="s">
        <v>85</v>
      </c>
      <c r="C4980" t="s">
        <v>27</v>
      </c>
      <c r="D4980" t="s">
        <v>62</v>
      </c>
      <c r="E4980" s="2">
        <v>14</v>
      </c>
      <c r="F4980" s="4">
        <v>5</v>
      </c>
      <c r="G4980" s="2">
        <v>70</v>
      </c>
      <c r="H4980" t="s">
        <v>15</v>
      </c>
      <c r="I4980" t="s">
        <v>36</v>
      </c>
      <c r="J4980" s="1">
        <v>45127</v>
      </c>
      <c r="K4980" t="b">
        <v>0</v>
      </c>
    </row>
    <row r="4981" spans="1:11" x14ac:dyDescent="0.25">
      <c r="A4981" t="s">
        <v>6598</v>
      </c>
      <c r="B4981" t="s">
        <v>93</v>
      </c>
      <c r="C4981" t="s">
        <v>13</v>
      </c>
      <c r="D4981" t="s">
        <v>151</v>
      </c>
      <c r="E4981" s="2">
        <v>14</v>
      </c>
      <c r="F4981" s="4">
        <v>5</v>
      </c>
      <c r="G4981" s="2">
        <v>70</v>
      </c>
      <c r="H4981" t="s">
        <v>25</v>
      </c>
      <c r="I4981" t="s">
        <v>16</v>
      </c>
      <c r="J4981" s="1">
        <v>44711</v>
      </c>
      <c r="K4981" t="b">
        <v>0</v>
      </c>
    </row>
    <row r="4982" spans="1:11" x14ac:dyDescent="0.25">
      <c r="A4982" t="s">
        <v>6160</v>
      </c>
      <c r="B4982" t="s">
        <v>51</v>
      </c>
      <c r="C4982" t="s">
        <v>59</v>
      </c>
      <c r="D4982" t="s">
        <v>248</v>
      </c>
      <c r="E4982" s="2">
        <v>14</v>
      </c>
      <c r="F4982" s="4">
        <v>5</v>
      </c>
      <c r="G4982" s="2">
        <v>70</v>
      </c>
      <c r="H4982" t="s">
        <v>15</v>
      </c>
      <c r="I4982" t="s">
        <v>16</v>
      </c>
      <c r="J4982" s="1">
        <v>45031</v>
      </c>
      <c r="K4982" t="b">
        <v>0</v>
      </c>
    </row>
    <row r="4983" spans="1:11" x14ac:dyDescent="0.25">
      <c r="A4983" t="s">
        <v>4130</v>
      </c>
      <c r="B4983" t="s">
        <v>12</v>
      </c>
      <c r="C4983" t="s">
        <v>23</v>
      </c>
      <c r="D4983" t="s">
        <v>277</v>
      </c>
      <c r="E4983" s="2">
        <v>14</v>
      </c>
      <c r="F4983" s="4">
        <v>5</v>
      </c>
      <c r="G4983" s="2">
        <v>70</v>
      </c>
      <c r="H4983" t="s">
        <v>45</v>
      </c>
      <c r="I4983" t="s">
        <v>36</v>
      </c>
      <c r="J4983" s="1">
        <v>44924</v>
      </c>
      <c r="K4983" t="b">
        <v>0</v>
      </c>
    </row>
    <row r="4984" spans="1:11" x14ac:dyDescent="0.25">
      <c r="A4984" t="s">
        <v>6370</v>
      </c>
      <c r="B4984" t="s">
        <v>56</v>
      </c>
      <c r="C4984" t="s">
        <v>59</v>
      </c>
      <c r="D4984" t="s">
        <v>248</v>
      </c>
      <c r="E4984" s="2">
        <v>14</v>
      </c>
      <c r="F4984" s="4">
        <v>5</v>
      </c>
      <c r="G4984" s="2">
        <v>70</v>
      </c>
      <c r="H4984" t="s">
        <v>25</v>
      </c>
      <c r="I4984" t="s">
        <v>16</v>
      </c>
      <c r="J4984" s="1">
        <v>44681</v>
      </c>
      <c r="K4984" t="b">
        <v>1</v>
      </c>
    </row>
    <row r="4985" spans="1:11" x14ac:dyDescent="0.25">
      <c r="A4985" t="s">
        <v>2760</v>
      </c>
      <c r="B4985" t="s">
        <v>51</v>
      </c>
      <c r="C4985" t="s">
        <v>59</v>
      </c>
      <c r="D4985" t="s">
        <v>87</v>
      </c>
      <c r="E4985" s="2">
        <v>35</v>
      </c>
      <c r="F4985" s="4">
        <v>2</v>
      </c>
      <c r="G4985" s="2">
        <v>70</v>
      </c>
      <c r="H4985" t="s">
        <v>45</v>
      </c>
      <c r="I4985" t="s">
        <v>16</v>
      </c>
      <c r="J4985" s="1">
        <v>45359</v>
      </c>
      <c r="K4985" t="b">
        <v>1</v>
      </c>
    </row>
    <row r="4986" spans="1:11" x14ac:dyDescent="0.25">
      <c r="A4986" t="s">
        <v>3144</v>
      </c>
      <c r="B4986" t="s">
        <v>104</v>
      </c>
      <c r="C4986" t="s">
        <v>38</v>
      </c>
      <c r="D4986" t="s">
        <v>163</v>
      </c>
      <c r="E4986" s="2">
        <v>35</v>
      </c>
      <c r="F4986" s="4">
        <v>2</v>
      </c>
      <c r="G4986" s="2">
        <v>70</v>
      </c>
      <c r="H4986" t="s">
        <v>45</v>
      </c>
      <c r="I4986" t="s">
        <v>36</v>
      </c>
      <c r="J4986" s="1">
        <v>44829</v>
      </c>
      <c r="K4986" t="b">
        <v>0</v>
      </c>
    </row>
    <row r="4987" spans="1:11" x14ac:dyDescent="0.25">
      <c r="A4987" t="s">
        <v>3856</v>
      </c>
      <c r="B4987" t="s">
        <v>40</v>
      </c>
      <c r="C4987" t="s">
        <v>27</v>
      </c>
      <c r="D4987" t="s">
        <v>62</v>
      </c>
      <c r="E4987" s="2">
        <v>14</v>
      </c>
      <c r="F4987" s="4">
        <v>5</v>
      </c>
      <c r="G4987" s="2">
        <v>70</v>
      </c>
      <c r="H4987" t="s">
        <v>45</v>
      </c>
      <c r="I4987" t="s">
        <v>36</v>
      </c>
      <c r="J4987" s="1">
        <v>45465</v>
      </c>
      <c r="K4987" t="b">
        <v>1</v>
      </c>
    </row>
    <row r="4988" spans="1:11" x14ac:dyDescent="0.25">
      <c r="A4988" t="s">
        <v>1931</v>
      </c>
      <c r="B4988" t="s">
        <v>69</v>
      </c>
      <c r="C4988" t="s">
        <v>19</v>
      </c>
      <c r="D4988" t="s">
        <v>756</v>
      </c>
      <c r="E4988" s="2">
        <v>14</v>
      </c>
      <c r="F4988" s="4">
        <v>5</v>
      </c>
      <c r="G4988" s="2">
        <v>70</v>
      </c>
      <c r="H4988" t="s">
        <v>25</v>
      </c>
      <c r="I4988" t="s">
        <v>16</v>
      </c>
      <c r="J4988" s="1">
        <v>44785</v>
      </c>
      <c r="K4988" t="b">
        <v>0</v>
      </c>
    </row>
    <row r="4989" spans="1:11" x14ac:dyDescent="0.25">
      <c r="A4989" t="s">
        <v>7237</v>
      </c>
      <c r="B4989" t="s">
        <v>43</v>
      </c>
      <c r="C4989" t="s">
        <v>19</v>
      </c>
      <c r="D4989" t="s">
        <v>214</v>
      </c>
      <c r="E4989" s="2">
        <v>35</v>
      </c>
      <c r="F4989" s="4">
        <v>2</v>
      </c>
      <c r="G4989" s="2">
        <v>70</v>
      </c>
      <c r="H4989" t="s">
        <v>15</v>
      </c>
      <c r="I4989" t="s">
        <v>36</v>
      </c>
      <c r="J4989" s="1">
        <v>45618</v>
      </c>
      <c r="K4989" t="b">
        <v>0</v>
      </c>
    </row>
    <row r="4990" spans="1:11" x14ac:dyDescent="0.25">
      <c r="A4990" t="s">
        <v>3411</v>
      </c>
      <c r="B4990" t="s">
        <v>56</v>
      </c>
      <c r="C4990" t="s">
        <v>13</v>
      </c>
      <c r="D4990" t="s">
        <v>151</v>
      </c>
      <c r="E4990" s="2">
        <v>14</v>
      </c>
      <c r="F4990" s="4">
        <v>5</v>
      </c>
      <c r="G4990" s="2">
        <v>70</v>
      </c>
      <c r="H4990" t="s">
        <v>45</v>
      </c>
      <c r="I4990" t="s">
        <v>16</v>
      </c>
      <c r="J4990" s="1">
        <v>44833</v>
      </c>
      <c r="K4990" t="b">
        <v>0</v>
      </c>
    </row>
    <row r="4991" spans="1:11" x14ac:dyDescent="0.25">
      <c r="A4991" t="s">
        <v>862</v>
      </c>
      <c r="B4991" t="s">
        <v>51</v>
      </c>
      <c r="C4991" t="s">
        <v>23</v>
      </c>
      <c r="D4991" t="s">
        <v>179</v>
      </c>
      <c r="E4991" s="2">
        <v>35</v>
      </c>
      <c r="F4991" s="4">
        <v>2</v>
      </c>
      <c r="G4991" s="2">
        <v>70</v>
      </c>
      <c r="H4991" t="s">
        <v>15</v>
      </c>
      <c r="I4991" t="s">
        <v>36</v>
      </c>
      <c r="J4991" s="1">
        <v>44849</v>
      </c>
      <c r="K4991" t="b">
        <v>0</v>
      </c>
    </row>
    <row r="4992" spans="1:11" x14ac:dyDescent="0.25">
      <c r="A4992" t="s">
        <v>2467</v>
      </c>
      <c r="B4992" t="s">
        <v>51</v>
      </c>
      <c r="C4992" t="s">
        <v>59</v>
      </c>
      <c r="D4992" t="s">
        <v>87</v>
      </c>
      <c r="E4992" s="2">
        <v>35</v>
      </c>
      <c r="F4992" s="4">
        <v>2</v>
      </c>
      <c r="G4992" s="2">
        <v>70</v>
      </c>
      <c r="H4992" t="s">
        <v>15</v>
      </c>
      <c r="I4992" t="s">
        <v>36</v>
      </c>
      <c r="J4992" s="1">
        <v>45186</v>
      </c>
      <c r="K4992" t="b">
        <v>1</v>
      </c>
    </row>
    <row r="4993" spans="1:11" x14ac:dyDescent="0.25">
      <c r="A4993" t="s">
        <v>1155</v>
      </c>
      <c r="B4993" t="s">
        <v>104</v>
      </c>
      <c r="C4993" t="s">
        <v>110</v>
      </c>
      <c r="D4993" t="s">
        <v>176</v>
      </c>
      <c r="E4993" s="2">
        <v>14</v>
      </c>
      <c r="F4993" s="4">
        <v>5</v>
      </c>
      <c r="G4993" s="2">
        <v>70</v>
      </c>
      <c r="H4993" t="s">
        <v>15</v>
      </c>
      <c r="I4993" t="s">
        <v>36</v>
      </c>
      <c r="J4993" s="1">
        <v>45404</v>
      </c>
      <c r="K4993" t="b">
        <v>0</v>
      </c>
    </row>
    <row r="4994" spans="1:11" x14ac:dyDescent="0.25">
      <c r="A4994" t="s">
        <v>3417</v>
      </c>
      <c r="B4994" t="s">
        <v>40</v>
      </c>
      <c r="C4994" t="s">
        <v>59</v>
      </c>
      <c r="D4994" t="s">
        <v>248</v>
      </c>
      <c r="E4994" s="2">
        <v>14</v>
      </c>
      <c r="F4994" s="4">
        <v>5</v>
      </c>
      <c r="G4994" s="2">
        <v>70</v>
      </c>
      <c r="H4994" t="s">
        <v>25</v>
      </c>
      <c r="I4994" t="s">
        <v>16</v>
      </c>
      <c r="J4994" s="1">
        <v>45149</v>
      </c>
      <c r="K4994" t="b">
        <v>1</v>
      </c>
    </row>
    <row r="4995" spans="1:11" x14ac:dyDescent="0.25">
      <c r="A4995" t="s">
        <v>2280</v>
      </c>
      <c r="B4995" t="s">
        <v>58</v>
      </c>
      <c r="C4995" t="s">
        <v>23</v>
      </c>
      <c r="D4995" t="s">
        <v>179</v>
      </c>
      <c r="E4995" s="2">
        <v>35</v>
      </c>
      <c r="F4995" s="4">
        <v>2</v>
      </c>
      <c r="G4995" s="2">
        <v>70</v>
      </c>
      <c r="H4995" t="s">
        <v>45</v>
      </c>
      <c r="I4995" t="s">
        <v>16</v>
      </c>
      <c r="J4995" s="1">
        <v>44770</v>
      </c>
      <c r="K4995" t="b">
        <v>1</v>
      </c>
    </row>
    <row r="4996" spans="1:11" x14ac:dyDescent="0.25">
      <c r="A4996" t="s">
        <v>5077</v>
      </c>
      <c r="B4996" t="s">
        <v>40</v>
      </c>
      <c r="C4996" t="s">
        <v>110</v>
      </c>
      <c r="D4996" t="s">
        <v>176</v>
      </c>
      <c r="E4996" s="2">
        <v>14</v>
      </c>
      <c r="F4996" s="4">
        <v>5</v>
      </c>
      <c r="G4996" s="2">
        <v>70</v>
      </c>
      <c r="H4996" t="s">
        <v>15</v>
      </c>
      <c r="I4996" t="s">
        <v>16</v>
      </c>
      <c r="J4996" s="1">
        <v>45279</v>
      </c>
      <c r="K4996" t="b">
        <v>0</v>
      </c>
    </row>
    <row r="4997" spans="1:11" x14ac:dyDescent="0.25">
      <c r="A4997" t="s">
        <v>7199</v>
      </c>
      <c r="B4997" t="s">
        <v>142</v>
      </c>
      <c r="C4997" t="s">
        <v>23</v>
      </c>
      <c r="D4997" t="s">
        <v>277</v>
      </c>
      <c r="E4997" s="2">
        <v>14</v>
      </c>
      <c r="F4997" s="4">
        <v>5</v>
      </c>
      <c r="G4997" s="2">
        <v>70</v>
      </c>
      <c r="H4997" t="s">
        <v>45</v>
      </c>
      <c r="I4997" t="s">
        <v>36</v>
      </c>
      <c r="J4997" s="1">
        <v>44954</v>
      </c>
      <c r="K4997" t="b">
        <v>0</v>
      </c>
    </row>
    <row r="4998" spans="1:11" x14ac:dyDescent="0.25">
      <c r="A4998" t="s">
        <v>3309</v>
      </c>
      <c r="B4998" t="s">
        <v>26</v>
      </c>
      <c r="C4998" t="s">
        <v>31</v>
      </c>
      <c r="D4998" t="s">
        <v>905</v>
      </c>
      <c r="E4998" s="2">
        <v>35</v>
      </c>
      <c r="F4998" s="4">
        <v>2</v>
      </c>
      <c r="G4998" s="2">
        <v>70</v>
      </c>
      <c r="H4998" t="s">
        <v>45</v>
      </c>
      <c r="I4998" t="s">
        <v>16</v>
      </c>
      <c r="J4998" s="1">
        <v>44606</v>
      </c>
      <c r="K4998" t="b">
        <v>0</v>
      </c>
    </row>
    <row r="4999" spans="1:11" x14ac:dyDescent="0.25">
      <c r="A4999" t="s">
        <v>1739</v>
      </c>
      <c r="B4999" t="s">
        <v>142</v>
      </c>
      <c r="C4999" t="s">
        <v>19</v>
      </c>
      <c r="D4999" t="s">
        <v>756</v>
      </c>
      <c r="E4999" s="2">
        <v>14</v>
      </c>
      <c r="F4999" s="4">
        <v>5</v>
      </c>
      <c r="G4999" s="2">
        <v>70</v>
      </c>
      <c r="H4999" t="s">
        <v>45</v>
      </c>
      <c r="I4999" t="s">
        <v>16</v>
      </c>
      <c r="J4999" s="1">
        <v>45388</v>
      </c>
      <c r="K4999" t="b">
        <v>1</v>
      </c>
    </row>
    <row r="5000" spans="1:11" x14ac:dyDescent="0.25">
      <c r="A5000" t="s">
        <v>6511</v>
      </c>
      <c r="B5000" t="s">
        <v>142</v>
      </c>
      <c r="C5000" t="s">
        <v>27</v>
      </c>
      <c r="D5000" t="s">
        <v>62</v>
      </c>
      <c r="E5000" s="2">
        <v>14</v>
      </c>
      <c r="F5000" s="4">
        <v>5</v>
      </c>
      <c r="G5000" s="2">
        <v>70</v>
      </c>
      <c r="H5000" t="s">
        <v>15</v>
      </c>
      <c r="I5000" t="s">
        <v>16</v>
      </c>
      <c r="J5000" s="1">
        <v>45527</v>
      </c>
      <c r="K5000" t="b">
        <v>0</v>
      </c>
    </row>
    <row r="5001" spans="1:11" x14ac:dyDescent="0.25">
      <c r="A5001" t="s">
        <v>622</v>
      </c>
      <c r="B5001" t="s">
        <v>104</v>
      </c>
      <c r="C5001" t="s">
        <v>38</v>
      </c>
      <c r="D5001" t="s">
        <v>163</v>
      </c>
      <c r="E5001" s="2">
        <v>35</v>
      </c>
      <c r="F5001" s="4">
        <v>2</v>
      </c>
      <c r="G5001" s="2">
        <v>70</v>
      </c>
      <c r="H5001" t="s">
        <v>15</v>
      </c>
      <c r="I5001" t="s">
        <v>36</v>
      </c>
      <c r="J5001" s="1">
        <v>45189</v>
      </c>
      <c r="K5001" t="b">
        <v>1</v>
      </c>
    </row>
    <row r="5002" spans="1:11" x14ac:dyDescent="0.25">
      <c r="A5002" t="s">
        <v>6555</v>
      </c>
      <c r="B5002" t="s">
        <v>12</v>
      </c>
      <c r="C5002" t="s">
        <v>59</v>
      </c>
      <c r="D5002" t="s">
        <v>87</v>
      </c>
      <c r="E5002" s="2">
        <v>35</v>
      </c>
      <c r="F5002" s="4">
        <v>2</v>
      </c>
      <c r="G5002" s="2">
        <v>70</v>
      </c>
      <c r="H5002" t="s">
        <v>45</v>
      </c>
      <c r="I5002" t="s">
        <v>16</v>
      </c>
      <c r="J5002" s="1">
        <v>45106</v>
      </c>
      <c r="K5002" t="b">
        <v>1</v>
      </c>
    </row>
    <row r="5003" spans="1:11" x14ac:dyDescent="0.25">
      <c r="A5003" t="s">
        <v>2607</v>
      </c>
      <c r="B5003" t="s">
        <v>69</v>
      </c>
      <c r="C5003" t="s">
        <v>13</v>
      </c>
      <c r="D5003" t="s">
        <v>151</v>
      </c>
      <c r="E5003" s="2">
        <v>14</v>
      </c>
      <c r="F5003" s="4">
        <v>5</v>
      </c>
      <c r="G5003" s="2">
        <v>70</v>
      </c>
      <c r="H5003" t="s">
        <v>15</v>
      </c>
      <c r="I5003" t="s">
        <v>16</v>
      </c>
      <c r="J5003" s="1">
        <v>44840</v>
      </c>
      <c r="K5003" t="b">
        <v>0</v>
      </c>
    </row>
    <row r="5004" spans="1:11" x14ac:dyDescent="0.25">
      <c r="A5004" t="s">
        <v>4204</v>
      </c>
      <c r="B5004" t="s">
        <v>43</v>
      </c>
      <c r="C5004" t="s">
        <v>31</v>
      </c>
      <c r="D5004" t="s">
        <v>905</v>
      </c>
      <c r="E5004" s="2">
        <v>35</v>
      </c>
      <c r="F5004" s="4">
        <v>2</v>
      </c>
      <c r="G5004" s="2">
        <v>70</v>
      </c>
      <c r="H5004" t="s">
        <v>25</v>
      </c>
      <c r="I5004" t="s">
        <v>16</v>
      </c>
      <c r="J5004" s="1">
        <v>45098</v>
      </c>
      <c r="K5004" t="b">
        <v>0</v>
      </c>
    </row>
    <row r="5005" spans="1:11" x14ac:dyDescent="0.25">
      <c r="A5005" t="s">
        <v>5804</v>
      </c>
      <c r="B5005" t="s">
        <v>51</v>
      </c>
      <c r="C5005" t="s">
        <v>27</v>
      </c>
      <c r="D5005" t="s">
        <v>62</v>
      </c>
      <c r="E5005" s="2">
        <v>14</v>
      </c>
      <c r="F5005" s="4">
        <v>5</v>
      </c>
      <c r="G5005" s="2">
        <v>70</v>
      </c>
      <c r="H5005" t="s">
        <v>45</v>
      </c>
      <c r="I5005" t="s">
        <v>36</v>
      </c>
      <c r="J5005" s="1">
        <v>44837</v>
      </c>
      <c r="K5005" t="b">
        <v>0</v>
      </c>
    </row>
    <row r="5006" spans="1:11" x14ac:dyDescent="0.25">
      <c r="A5006" t="s">
        <v>3488</v>
      </c>
      <c r="B5006" t="s">
        <v>86</v>
      </c>
      <c r="C5006" t="s">
        <v>31</v>
      </c>
      <c r="D5006" t="s">
        <v>905</v>
      </c>
      <c r="E5006" s="2">
        <v>35</v>
      </c>
      <c r="F5006" s="4">
        <v>2</v>
      </c>
      <c r="G5006" s="2">
        <v>70</v>
      </c>
      <c r="H5006" t="s">
        <v>45</v>
      </c>
      <c r="I5006" t="s">
        <v>36</v>
      </c>
      <c r="J5006" s="1">
        <v>45669</v>
      </c>
      <c r="K5006" t="b">
        <v>1</v>
      </c>
    </row>
    <row r="5007" spans="1:11" x14ac:dyDescent="0.25">
      <c r="A5007" t="s">
        <v>3888</v>
      </c>
      <c r="B5007" t="s">
        <v>30</v>
      </c>
      <c r="C5007" t="s">
        <v>19</v>
      </c>
      <c r="D5007" t="s">
        <v>756</v>
      </c>
      <c r="E5007" s="2">
        <v>14</v>
      </c>
      <c r="F5007" s="4">
        <v>5</v>
      </c>
      <c r="G5007" s="2">
        <v>70</v>
      </c>
      <c r="H5007" t="s">
        <v>45</v>
      </c>
      <c r="I5007" t="s">
        <v>16</v>
      </c>
      <c r="J5007" s="1">
        <v>45424</v>
      </c>
      <c r="K5007" t="b">
        <v>1</v>
      </c>
    </row>
    <row r="5008" spans="1:11" x14ac:dyDescent="0.25">
      <c r="A5008" t="s">
        <v>3648</v>
      </c>
      <c r="B5008" t="s">
        <v>30</v>
      </c>
      <c r="C5008" t="s">
        <v>59</v>
      </c>
      <c r="D5008" t="s">
        <v>87</v>
      </c>
      <c r="E5008" s="2">
        <v>35</v>
      </c>
      <c r="F5008" s="4">
        <v>2</v>
      </c>
      <c r="G5008" s="2">
        <v>70</v>
      </c>
      <c r="H5008" t="s">
        <v>15</v>
      </c>
      <c r="I5008" t="s">
        <v>16</v>
      </c>
      <c r="J5008" s="1">
        <v>44650</v>
      </c>
      <c r="K5008" t="b">
        <v>1</v>
      </c>
    </row>
    <row r="5009" spans="1:11" x14ac:dyDescent="0.25">
      <c r="A5009" t="s">
        <v>213</v>
      </c>
      <c r="B5009" t="s">
        <v>93</v>
      </c>
      <c r="C5009" t="s">
        <v>19</v>
      </c>
      <c r="D5009" t="s">
        <v>214</v>
      </c>
      <c r="E5009" s="2">
        <v>35</v>
      </c>
      <c r="F5009" s="4">
        <v>2</v>
      </c>
      <c r="G5009" s="2">
        <v>70</v>
      </c>
      <c r="H5009" t="s">
        <v>25</v>
      </c>
      <c r="I5009" t="s">
        <v>36</v>
      </c>
      <c r="J5009" s="1">
        <v>44578</v>
      </c>
      <c r="K5009" t="b">
        <v>0</v>
      </c>
    </row>
    <row r="5010" spans="1:11" x14ac:dyDescent="0.25">
      <c r="A5010" t="s">
        <v>6512</v>
      </c>
      <c r="B5010" t="s">
        <v>58</v>
      </c>
      <c r="C5010" t="s">
        <v>38</v>
      </c>
      <c r="D5010" t="s">
        <v>123</v>
      </c>
      <c r="E5010" s="2">
        <v>14</v>
      </c>
      <c r="F5010" s="4">
        <v>5</v>
      </c>
      <c r="G5010" s="2">
        <v>70</v>
      </c>
      <c r="H5010" t="s">
        <v>45</v>
      </c>
      <c r="I5010" t="s">
        <v>16</v>
      </c>
      <c r="J5010" s="1">
        <v>45491</v>
      </c>
      <c r="K5010" t="b">
        <v>1</v>
      </c>
    </row>
    <row r="5011" spans="1:11" x14ac:dyDescent="0.25">
      <c r="A5011" t="s">
        <v>298</v>
      </c>
      <c r="B5011" t="s">
        <v>100</v>
      </c>
      <c r="C5011" t="s">
        <v>110</v>
      </c>
      <c r="D5011" t="s">
        <v>197</v>
      </c>
      <c r="E5011" s="2">
        <v>35</v>
      </c>
      <c r="F5011" s="4">
        <v>2</v>
      </c>
      <c r="G5011" s="2">
        <v>70</v>
      </c>
      <c r="H5011" t="s">
        <v>25</v>
      </c>
      <c r="I5011" t="s">
        <v>36</v>
      </c>
      <c r="J5011" s="1">
        <v>45534</v>
      </c>
      <c r="K5011" t="b">
        <v>0</v>
      </c>
    </row>
    <row r="5012" spans="1:11" x14ac:dyDescent="0.25">
      <c r="A5012" t="s">
        <v>1300</v>
      </c>
      <c r="B5012" t="s">
        <v>72</v>
      </c>
      <c r="C5012" t="s">
        <v>110</v>
      </c>
      <c r="D5012" t="s">
        <v>176</v>
      </c>
      <c r="E5012" s="2">
        <v>14</v>
      </c>
      <c r="F5012" s="4">
        <v>5</v>
      </c>
      <c r="G5012" s="2">
        <v>70</v>
      </c>
      <c r="H5012" t="s">
        <v>15</v>
      </c>
      <c r="I5012" t="s">
        <v>16</v>
      </c>
      <c r="J5012" s="1">
        <v>45514</v>
      </c>
      <c r="K5012" t="b">
        <v>0</v>
      </c>
    </row>
    <row r="5013" spans="1:11" x14ac:dyDescent="0.25">
      <c r="A5013" t="s">
        <v>7228</v>
      </c>
      <c r="B5013" t="s">
        <v>12</v>
      </c>
      <c r="C5013" t="s">
        <v>31</v>
      </c>
      <c r="D5013" t="s">
        <v>162</v>
      </c>
      <c r="E5013" s="2">
        <v>14</v>
      </c>
      <c r="F5013" s="4">
        <v>5</v>
      </c>
      <c r="G5013" s="2">
        <v>70</v>
      </c>
      <c r="H5013" t="s">
        <v>25</v>
      </c>
      <c r="I5013" t="s">
        <v>36</v>
      </c>
      <c r="J5013" s="1">
        <v>44598</v>
      </c>
      <c r="K5013" t="b">
        <v>0</v>
      </c>
    </row>
    <row r="5014" spans="1:11" x14ac:dyDescent="0.25">
      <c r="A5014" t="s">
        <v>1335</v>
      </c>
      <c r="B5014" t="s">
        <v>97</v>
      </c>
      <c r="C5014" t="s">
        <v>110</v>
      </c>
      <c r="D5014" t="s">
        <v>176</v>
      </c>
      <c r="E5014" s="2">
        <v>14</v>
      </c>
      <c r="F5014" s="4">
        <v>5</v>
      </c>
      <c r="G5014" s="2">
        <v>70</v>
      </c>
      <c r="H5014" t="s">
        <v>25</v>
      </c>
      <c r="I5014" t="s">
        <v>36</v>
      </c>
      <c r="J5014" s="1">
        <v>44671</v>
      </c>
      <c r="K5014" t="b">
        <v>0</v>
      </c>
    </row>
    <row r="5015" spans="1:11" x14ac:dyDescent="0.25">
      <c r="A5015" t="s">
        <v>2650</v>
      </c>
      <c r="B5015" t="s">
        <v>22</v>
      </c>
      <c r="C5015" t="s">
        <v>27</v>
      </c>
      <c r="D5015" t="s">
        <v>62</v>
      </c>
      <c r="E5015" s="2">
        <v>14</v>
      </c>
      <c r="F5015" s="4">
        <v>5</v>
      </c>
      <c r="G5015" s="2">
        <v>70</v>
      </c>
      <c r="H5015" t="s">
        <v>15</v>
      </c>
      <c r="I5015" t="s">
        <v>36</v>
      </c>
      <c r="J5015" s="1">
        <v>45479</v>
      </c>
      <c r="K5015" t="b">
        <v>0</v>
      </c>
    </row>
    <row r="5016" spans="1:11" x14ac:dyDescent="0.25">
      <c r="A5016" t="s">
        <v>4973</v>
      </c>
      <c r="B5016" t="s">
        <v>34</v>
      </c>
      <c r="C5016" t="s">
        <v>23</v>
      </c>
      <c r="D5016" t="s">
        <v>277</v>
      </c>
      <c r="E5016" s="2">
        <v>14</v>
      </c>
      <c r="F5016" s="4">
        <v>5</v>
      </c>
      <c r="G5016" s="2">
        <v>70</v>
      </c>
      <c r="H5016" t="s">
        <v>15</v>
      </c>
      <c r="I5016" t="s">
        <v>36</v>
      </c>
      <c r="J5016" s="1">
        <v>45230</v>
      </c>
      <c r="K5016" t="b">
        <v>0</v>
      </c>
    </row>
    <row r="5017" spans="1:11" x14ac:dyDescent="0.25">
      <c r="A5017" t="s">
        <v>157</v>
      </c>
      <c r="B5017" t="s">
        <v>63</v>
      </c>
      <c r="C5017" t="s">
        <v>59</v>
      </c>
      <c r="D5017" t="s">
        <v>87</v>
      </c>
      <c r="E5017" s="2">
        <v>35</v>
      </c>
      <c r="F5017" s="4">
        <v>2</v>
      </c>
      <c r="G5017" s="2">
        <v>70</v>
      </c>
      <c r="H5017" t="s">
        <v>15</v>
      </c>
      <c r="I5017" t="s">
        <v>36</v>
      </c>
      <c r="J5017" s="1">
        <v>45055</v>
      </c>
      <c r="K5017" t="b">
        <v>0</v>
      </c>
    </row>
    <row r="5018" spans="1:11" x14ac:dyDescent="0.25">
      <c r="A5018" t="s">
        <v>1497</v>
      </c>
      <c r="B5018" t="s">
        <v>30</v>
      </c>
      <c r="C5018" t="s">
        <v>31</v>
      </c>
      <c r="D5018" t="s">
        <v>905</v>
      </c>
      <c r="E5018" s="2">
        <v>35</v>
      </c>
      <c r="F5018" s="4">
        <v>2</v>
      </c>
      <c r="G5018" s="2">
        <v>70</v>
      </c>
      <c r="H5018" t="s">
        <v>45</v>
      </c>
      <c r="I5018" t="s">
        <v>36</v>
      </c>
      <c r="J5018" s="1">
        <v>45305</v>
      </c>
      <c r="K5018" t="b">
        <v>0</v>
      </c>
    </row>
    <row r="5019" spans="1:11" x14ac:dyDescent="0.25">
      <c r="A5019" t="s">
        <v>3739</v>
      </c>
      <c r="B5019" t="s">
        <v>61</v>
      </c>
      <c r="C5019" t="s">
        <v>110</v>
      </c>
      <c r="D5019" t="s">
        <v>176</v>
      </c>
      <c r="E5019" s="2">
        <v>14</v>
      </c>
      <c r="F5019" s="4">
        <v>5</v>
      </c>
      <c r="G5019" s="2">
        <v>70</v>
      </c>
      <c r="H5019" t="s">
        <v>45</v>
      </c>
      <c r="I5019" t="s">
        <v>36</v>
      </c>
      <c r="J5019" s="1">
        <v>45534</v>
      </c>
      <c r="K5019" t="b">
        <v>1</v>
      </c>
    </row>
    <row r="5020" spans="1:11" x14ac:dyDescent="0.25">
      <c r="A5020" t="s">
        <v>6794</v>
      </c>
      <c r="B5020" t="s">
        <v>26</v>
      </c>
      <c r="C5020" t="s">
        <v>59</v>
      </c>
      <c r="D5020" t="s">
        <v>87</v>
      </c>
      <c r="E5020" s="2">
        <v>35</v>
      </c>
      <c r="F5020" s="4">
        <v>2</v>
      </c>
      <c r="G5020" s="2">
        <v>70</v>
      </c>
      <c r="H5020" t="s">
        <v>25</v>
      </c>
      <c r="I5020" t="s">
        <v>36</v>
      </c>
      <c r="J5020" s="1">
        <v>45332</v>
      </c>
      <c r="K5020" t="b">
        <v>1</v>
      </c>
    </row>
    <row r="5021" spans="1:11" x14ac:dyDescent="0.25">
      <c r="A5021" t="s">
        <v>5118</v>
      </c>
      <c r="B5021" t="s">
        <v>30</v>
      </c>
      <c r="C5021" t="s">
        <v>38</v>
      </c>
      <c r="D5021" t="s">
        <v>123</v>
      </c>
      <c r="E5021" s="2">
        <v>14</v>
      </c>
      <c r="F5021" s="4">
        <v>5</v>
      </c>
      <c r="G5021" s="2">
        <v>70</v>
      </c>
      <c r="H5021" t="s">
        <v>25</v>
      </c>
      <c r="I5021" t="s">
        <v>16</v>
      </c>
      <c r="J5021" s="1">
        <v>45045</v>
      </c>
      <c r="K5021" t="b">
        <v>1</v>
      </c>
    </row>
    <row r="5022" spans="1:11" x14ac:dyDescent="0.25">
      <c r="A5022" t="s">
        <v>751</v>
      </c>
      <c r="B5022" t="s">
        <v>18</v>
      </c>
      <c r="C5022" t="s">
        <v>38</v>
      </c>
      <c r="D5022" t="s">
        <v>163</v>
      </c>
      <c r="E5022" s="2">
        <v>35</v>
      </c>
      <c r="F5022" s="4">
        <v>2</v>
      </c>
      <c r="G5022" s="2">
        <v>70</v>
      </c>
      <c r="H5022" t="s">
        <v>15</v>
      </c>
      <c r="I5022" t="s">
        <v>16</v>
      </c>
      <c r="J5022" s="1">
        <v>44706</v>
      </c>
      <c r="K5022" t="b">
        <v>1</v>
      </c>
    </row>
    <row r="5023" spans="1:11" x14ac:dyDescent="0.25">
      <c r="A5023" t="s">
        <v>3999</v>
      </c>
      <c r="B5023" t="s">
        <v>93</v>
      </c>
      <c r="C5023" t="s">
        <v>19</v>
      </c>
      <c r="D5023" t="s">
        <v>756</v>
      </c>
      <c r="E5023" s="2">
        <v>14</v>
      </c>
      <c r="F5023" s="4">
        <v>5</v>
      </c>
      <c r="G5023" s="2">
        <v>70</v>
      </c>
      <c r="H5023" t="s">
        <v>15</v>
      </c>
      <c r="I5023" t="s">
        <v>36</v>
      </c>
      <c r="J5023" s="1">
        <v>45672</v>
      </c>
      <c r="K5023" t="b">
        <v>1</v>
      </c>
    </row>
    <row r="5024" spans="1:11" x14ac:dyDescent="0.25">
      <c r="A5024" t="s">
        <v>6728</v>
      </c>
      <c r="B5024" t="s">
        <v>69</v>
      </c>
      <c r="C5024" t="s">
        <v>110</v>
      </c>
      <c r="D5024" t="s">
        <v>197</v>
      </c>
      <c r="E5024" s="2">
        <v>35</v>
      </c>
      <c r="F5024" s="4">
        <v>2</v>
      </c>
      <c r="G5024" s="2">
        <v>70</v>
      </c>
      <c r="H5024" t="s">
        <v>45</v>
      </c>
      <c r="I5024" t="s">
        <v>16</v>
      </c>
      <c r="J5024" s="1">
        <v>44706</v>
      </c>
      <c r="K5024" t="b">
        <v>0</v>
      </c>
    </row>
    <row r="5025" spans="1:11" x14ac:dyDescent="0.25">
      <c r="A5025" t="s">
        <v>5931</v>
      </c>
      <c r="B5025" t="s">
        <v>56</v>
      </c>
      <c r="C5025" t="s">
        <v>23</v>
      </c>
      <c r="D5025" t="s">
        <v>277</v>
      </c>
      <c r="E5025" s="2">
        <v>14</v>
      </c>
      <c r="F5025" s="4">
        <v>5</v>
      </c>
      <c r="G5025" s="2">
        <v>70</v>
      </c>
      <c r="H5025" t="s">
        <v>15</v>
      </c>
      <c r="I5025" t="s">
        <v>16</v>
      </c>
      <c r="J5025" s="1">
        <v>45079</v>
      </c>
      <c r="K5025" t="b">
        <v>1</v>
      </c>
    </row>
    <row r="5026" spans="1:11" x14ac:dyDescent="0.25">
      <c r="A5026" t="s">
        <v>3378</v>
      </c>
      <c r="B5026" t="s">
        <v>142</v>
      </c>
      <c r="C5026" t="s">
        <v>110</v>
      </c>
      <c r="D5026" t="s">
        <v>176</v>
      </c>
      <c r="E5026" s="2">
        <v>14</v>
      </c>
      <c r="F5026" s="4">
        <v>5</v>
      </c>
      <c r="G5026" s="2">
        <v>70</v>
      </c>
      <c r="H5026" t="s">
        <v>25</v>
      </c>
      <c r="I5026" t="s">
        <v>16</v>
      </c>
      <c r="J5026" s="1">
        <v>44855</v>
      </c>
      <c r="K5026" t="b">
        <v>0</v>
      </c>
    </row>
    <row r="5027" spans="1:11" x14ac:dyDescent="0.25">
      <c r="A5027" t="s">
        <v>2374</v>
      </c>
      <c r="B5027" t="s">
        <v>77</v>
      </c>
      <c r="C5027" t="s">
        <v>31</v>
      </c>
      <c r="D5027" t="s">
        <v>905</v>
      </c>
      <c r="E5027" s="2">
        <v>35</v>
      </c>
      <c r="F5027" s="4">
        <v>2</v>
      </c>
      <c r="G5027" s="2">
        <v>70</v>
      </c>
      <c r="H5027" t="s">
        <v>15</v>
      </c>
      <c r="I5027" t="s">
        <v>16</v>
      </c>
      <c r="J5027" s="1">
        <v>44746</v>
      </c>
      <c r="K5027" t="b">
        <v>0</v>
      </c>
    </row>
    <row r="5028" spans="1:11" x14ac:dyDescent="0.25">
      <c r="A5028" t="s">
        <v>7446</v>
      </c>
      <c r="B5028" t="s">
        <v>18</v>
      </c>
      <c r="C5028" t="s">
        <v>38</v>
      </c>
      <c r="D5028" t="s">
        <v>123</v>
      </c>
      <c r="E5028" s="2">
        <v>14</v>
      </c>
      <c r="F5028" s="4">
        <v>5</v>
      </c>
      <c r="G5028" s="2">
        <v>70</v>
      </c>
      <c r="H5028" t="s">
        <v>25</v>
      </c>
      <c r="I5028" t="s">
        <v>16</v>
      </c>
      <c r="J5028" s="1">
        <v>45329</v>
      </c>
      <c r="K5028" t="b">
        <v>1</v>
      </c>
    </row>
    <row r="5029" spans="1:11" x14ac:dyDescent="0.25">
      <c r="A5029" t="s">
        <v>5543</v>
      </c>
      <c r="B5029" t="s">
        <v>104</v>
      </c>
      <c r="C5029" t="s">
        <v>59</v>
      </c>
      <c r="D5029" t="s">
        <v>60</v>
      </c>
      <c r="E5029" s="2">
        <v>23</v>
      </c>
      <c r="F5029" s="4">
        <v>3</v>
      </c>
      <c r="G5029" s="2">
        <v>69</v>
      </c>
      <c r="H5029" t="s">
        <v>45</v>
      </c>
      <c r="I5029" t="s">
        <v>16</v>
      </c>
      <c r="J5029" s="1">
        <v>45489</v>
      </c>
      <c r="K5029" t="b">
        <v>0</v>
      </c>
    </row>
    <row r="5030" spans="1:11" x14ac:dyDescent="0.25">
      <c r="A5030" t="s">
        <v>4997</v>
      </c>
      <c r="B5030" t="s">
        <v>77</v>
      </c>
      <c r="C5030" t="s">
        <v>31</v>
      </c>
      <c r="D5030" t="s">
        <v>361</v>
      </c>
      <c r="E5030" s="2">
        <v>23</v>
      </c>
      <c r="F5030" s="4">
        <v>3</v>
      </c>
      <c r="G5030" s="2">
        <v>69</v>
      </c>
      <c r="H5030" t="s">
        <v>15</v>
      </c>
      <c r="I5030" t="s">
        <v>16</v>
      </c>
      <c r="J5030" s="1">
        <v>45628</v>
      </c>
      <c r="K5030" t="b">
        <v>1</v>
      </c>
    </row>
    <row r="5031" spans="1:11" x14ac:dyDescent="0.25">
      <c r="A5031" t="s">
        <v>542</v>
      </c>
      <c r="B5031" t="s">
        <v>77</v>
      </c>
      <c r="C5031" t="s">
        <v>13</v>
      </c>
      <c r="D5031" t="s">
        <v>292</v>
      </c>
      <c r="E5031" s="2">
        <v>23</v>
      </c>
      <c r="F5031" s="4">
        <v>3</v>
      </c>
      <c r="G5031" s="2">
        <v>69</v>
      </c>
      <c r="H5031" t="s">
        <v>45</v>
      </c>
      <c r="I5031" t="s">
        <v>36</v>
      </c>
      <c r="J5031" s="1">
        <v>44786</v>
      </c>
      <c r="K5031" t="b">
        <v>0</v>
      </c>
    </row>
    <row r="5032" spans="1:11" x14ac:dyDescent="0.25">
      <c r="A5032" t="s">
        <v>291</v>
      </c>
      <c r="B5032" t="s">
        <v>56</v>
      </c>
      <c r="C5032" t="s">
        <v>13</v>
      </c>
      <c r="D5032" t="s">
        <v>292</v>
      </c>
      <c r="E5032" s="2">
        <v>23</v>
      </c>
      <c r="F5032" s="4">
        <v>3</v>
      </c>
      <c r="G5032" s="2">
        <v>69</v>
      </c>
      <c r="H5032" t="s">
        <v>15</v>
      </c>
      <c r="I5032" t="s">
        <v>16</v>
      </c>
      <c r="J5032" s="1">
        <v>45335</v>
      </c>
      <c r="K5032" t="b">
        <v>1</v>
      </c>
    </row>
    <row r="5033" spans="1:11" x14ac:dyDescent="0.25">
      <c r="A5033" t="s">
        <v>5369</v>
      </c>
      <c r="B5033" t="s">
        <v>104</v>
      </c>
      <c r="C5033" t="s">
        <v>31</v>
      </c>
      <c r="D5033" t="s">
        <v>361</v>
      </c>
      <c r="E5033" s="2">
        <v>23</v>
      </c>
      <c r="F5033" s="4">
        <v>3</v>
      </c>
      <c r="G5033" s="2">
        <v>69</v>
      </c>
      <c r="H5033" t="s">
        <v>25</v>
      </c>
      <c r="I5033" t="s">
        <v>16</v>
      </c>
      <c r="J5033" s="1">
        <v>45483</v>
      </c>
      <c r="K5033" t="b">
        <v>0</v>
      </c>
    </row>
    <row r="5034" spans="1:11" x14ac:dyDescent="0.25">
      <c r="A5034" t="s">
        <v>6932</v>
      </c>
      <c r="B5034" t="s">
        <v>56</v>
      </c>
      <c r="C5034" t="s">
        <v>23</v>
      </c>
      <c r="D5034" t="s">
        <v>244</v>
      </c>
      <c r="E5034" s="2">
        <v>23</v>
      </c>
      <c r="F5034" s="4">
        <v>3</v>
      </c>
      <c r="G5034" s="2">
        <v>69</v>
      </c>
      <c r="H5034" t="s">
        <v>45</v>
      </c>
      <c r="I5034" t="s">
        <v>16</v>
      </c>
      <c r="J5034" s="1">
        <v>44919</v>
      </c>
      <c r="K5034" t="b">
        <v>0</v>
      </c>
    </row>
    <row r="5035" spans="1:11" x14ac:dyDescent="0.25">
      <c r="A5035" t="s">
        <v>4528</v>
      </c>
      <c r="B5035" t="s">
        <v>30</v>
      </c>
      <c r="C5035" t="s">
        <v>31</v>
      </c>
      <c r="D5035" t="s">
        <v>361</v>
      </c>
      <c r="E5035" s="2">
        <v>23</v>
      </c>
      <c r="F5035" s="4">
        <v>3</v>
      </c>
      <c r="G5035" s="2">
        <v>69</v>
      </c>
      <c r="H5035" t="s">
        <v>25</v>
      </c>
      <c r="I5035" t="s">
        <v>36</v>
      </c>
      <c r="J5035" s="1">
        <v>44718</v>
      </c>
      <c r="K5035" t="b">
        <v>0</v>
      </c>
    </row>
    <row r="5036" spans="1:11" x14ac:dyDescent="0.25">
      <c r="A5036" t="s">
        <v>4377</v>
      </c>
      <c r="B5036" t="s">
        <v>100</v>
      </c>
      <c r="C5036" t="s">
        <v>13</v>
      </c>
      <c r="D5036" t="s">
        <v>292</v>
      </c>
      <c r="E5036" s="2">
        <v>23</v>
      </c>
      <c r="F5036" s="4">
        <v>3</v>
      </c>
      <c r="G5036" s="2">
        <v>69</v>
      </c>
      <c r="H5036" t="s">
        <v>45</v>
      </c>
      <c r="I5036" t="s">
        <v>36</v>
      </c>
      <c r="J5036" s="1">
        <v>45273</v>
      </c>
      <c r="K5036" t="b">
        <v>1</v>
      </c>
    </row>
    <row r="5037" spans="1:11" x14ac:dyDescent="0.25">
      <c r="A5037" t="s">
        <v>6650</v>
      </c>
      <c r="B5037" t="s">
        <v>22</v>
      </c>
      <c r="C5037" t="s">
        <v>31</v>
      </c>
      <c r="D5037" t="s">
        <v>361</v>
      </c>
      <c r="E5037" s="2">
        <v>23</v>
      </c>
      <c r="F5037" s="4">
        <v>3</v>
      </c>
      <c r="G5037" s="2">
        <v>69</v>
      </c>
      <c r="H5037" t="s">
        <v>45</v>
      </c>
      <c r="I5037" t="s">
        <v>36</v>
      </c>
      <c r="J5037" s="1">
        <v>45041</v>
      </c>
      <c r="K5037" t="b">
        <v>1</v>
      </c>
    </row>
    <row r="5038" spans="1:11" x14ac:dyDescent="0.25">
      <c r="A5038" t="s">
        <v>2218</v>
      </c>
      <c r="B5038" t="s">
        <v>43</v>
      </c>
      <c r="C5038" t="s">
        <v>19</v>
      </c>
      <c r="D5038" t="s">
        <v>400</v>
      </c>
      <c r="E5038" s="2">
        <v>23</v>
      </c>
      <c r="F5038" s="4">
        <v>3</v>
      </c>
      <c r="G5038" s="2">
        <v>69</v>
      </c>
      <c r="H5038" t="s">
        <v>25</v>
      </c>
      <c r="I5038" t="s">
        <v>16</v>
      </c>
      <c r="J5038" s="1">
        <v>44653</v>
      </c>
      <c r="K5038" t="b">
        <v>0</v>
      </c>
    </row>
    <row r="5039" spans="1:11" x14ac:dyDescent="0.25">
      <c r="A5039" t="s">
        <v>398</v>
      </c>
      <c r="B5039" t="s">
        <v>61</v>
      </c>
      <c r="C5039" t="s">
        <v>23</v>
      </c>
      <c r="D5039" t="s">
        <v>244</v>
      </c>
      <c r="E5039" s="2">
        <v>23</v>
      </c>
      <c r="F5039" s="4">
        <v>3</v>
      </c>
      <c r="G5039" s="2">
        <v>69</v>
      </c>
      <c r="H5039" t="s">
        <v>25</v>
      </c>
      <c r="I5039" t="s">
        <v>16</v>
      </c>
      <c r="J5039" s="1">
        <v>45100</v>
      </c>
      <c r="K5039" t="b">
        <v>1</v>
      </c>
    </row>
    <row r="5040" spans="1:11" x14ac:dyDescent="0.25">
      <c r="A5040" t="s">
        <v>5318</v>
      </c>
      <c r="B5040" t="s">
        <v>93</v>
      </c>
      <c r="C5040" t="s">
        <v>23</v>
      </c>
      <c r="D5040" t="s">
        <v>244</v>
      </c>
      <c r="E5040" s="2">
        <v>23</v>
      </c>
      <c r="F5040" s="4">
        <v>3</v>
      </c>
      <c r="G5040" s="2">
        <v>69</v>
      </c>
      <c r="H5040" t="s">
        <v>25</v>
      </c>
      <c r="I5040" t="s">
        <v>16</v>
      </c>
      <c r="J5040" s="1">
        <v>45014</v>
      </c>
      <c r="K5040" t="b">
        <v>1</v>
      </c>
    </row>
    <row r="5041" spans="1:11" x14ac:dyDescent="0.25">
      <c r="A5041" t="s">
        <v>4712</v>
      </c>
      <c r="B5041" t="s">
        <v>86</v>
      </c>
      <c r="C5041" t="s">
        <v>19</v>
      </c>
      <c r="D5041" t="s">
        <v>400</v>
      </c>
      <c r="E5041" s="2">
        <v>23</v>
      </c>
      <c r="F5041" s="4">
        <v>3</v>
      </c>
      <c r="G5041" s="2">
        <v>69</v>
      </c>
      <c r="H5041" t="s">
        <v>25</v>
      </c>
      <c r="I5041" t="s">
        <v>36</v>
      </c>
      <c r="J5041" s="1">
        <v>44696</v>
      </c>
      <c r="K5041" t="b">
        <v>1</v>
      </c>
    </row>
    <row r="5042" spans="1:11" x14ac:dyDescent="0.25">
      <c r="A5042" t="s">
        <v>5373</v>
      </c>
      <c r="B5042" t="s">
        <v>63</v>
      </c>
      <c r="C5042" t="s">
        <v>59</v>
      </c>
      <c r="D5042" t="s">
        <v>60</v>
      </c>
      <c r="E5042" s="2">
        <v>23</v>
      </c>
      <c r="F5042" s="4">
        <v>3</v>
      </c>
      <c r="G5042" s="2">
        <v>69</v>
      </c>
      <c r="H5042" t="s">
        <v>25</v>
      </c>
      <c r="I5042" t="s">
        <v>16</v>
      </c>
      <c r="J5042" s="1">
        <v>45329</v>
      </c>
      <c r="K5042" t="b">
        <v>0</v>
      </c>
    </row>
    <row r="5043" spans="1:11" x14ac:dyDescent="0.25">
      <c r="A5043" t="s">
        <v>4090</v>
      </c>
      <c r="B5043" t="s">
        <v>104</v>
      </c>
      <c r="C5043" t="s">
        <v>110</v>
      </c>
      <c r="D5043" t="s">
        <v>232</v>
      </c>
      <c r="E5043" s="2">
        <v>23</v>
      </c>
      <c r="F5043" s="4">
        <v>3</v>
      </c>
      <c r="G5043" s="2">
        <v>69</v>
      </c>
      <c r="H5043" t="s">
        <v>45</v>
      </c>
      <c r="I5043" t="s">
        <v>16</v>
      </c>
      <c r="J5043" s="1">
        <v>44579</v>
      </c>
      <c r="K5043" t="b">
        <v>1</v>
      </c>
    </row>
    <row r="5044" spans="1:11" x14ac:dyDescent="0.25">
      <c r="A5044" t="s">
        <v>1351</v>
      </c>
      <c r="B5044" t="s">
        <v>93</v>
      </c>
      <c r="C5044" t="s">
        <v>27</v>
      </c>
      <c r="D5044" t="s">
        <v>947</v>
      </c>
      <c r="E5044" s="2">
        <v>23</v>
      </c>
      <c r="F5044" s="4">
        <v>3</v>
      </c>
      <c r="G5044" s="2">
        <v>69</v>
      </c>
      <c r="H5044" t="s">
        <v>15</v>
      </c>
      <c r="I5044" t="s">
        <v>36</v>
      </c>
      <c r="J5044" s="1">
        <v>45268</v>
      </c>
      <c r="K5044" t="b">
        <v>1</v>
      </c>
    </row>
    <row r="5045" spans="1:11" x14ac:dyDescent="0.25">
      <c r="A5045" t="s">
        <v>5207</v>
      </c>
      <c r="B5045" t="s">
        <v>72</v>
      </c>
      <c r="C5045" t="s">
        <v>59</v>
      </c>
      <c r="D5045" t="s">
        <v>60</v>
      </c>
      <c r="E5045" s="2">
        <v>23</v>
      </c>
      <c r="F5045" s="4">
        <v>3</v>
      </c>
      <c r="G5045" s="2">
        <v>69</v>
      </c>
      <c r="H5045" t="s">
        <v>25</v>
      </c>
      <c r="I5045" t="s">
        <v>36</v>
      </c>
      <c r="J5045" s="1">
        <v>45551</v>
      </c>
      <c r="K5045" t="b">
        <v>0</v>
      </c>
    </row>
    <row r="5046" spans="1:11" x14ac:dyDescent="0.25">
      <c r="A5046" t="s">
        <v>4949</v>
      </c>
      <c r="B5046" t="s">
        <v>72</v>
      </c>
      <c r="C5046" t="s">
        <v>19</v>
      </c>
      <c r="D5046" t="s">
        <v>400</v>
      </c>
      <c r="E5046" s="2">
        <v>23</v>
      </c>
      <c r="F5046" s="4">
        <v>3</v>
      </c>
      <c r="G5046" s="2">
        <v>69</v>
      </c>
      <c r="H5046" t="s">
        <v>25</v>
      </c>
      <c r="I5046" t="s">
        <v>16</v>
      </c>
      <c r="J5046" s="1">
        <v>45188</v>
      </c>
      <c r="K5046" t="b">
        <v>1</v>
      </c>
    </row>
    <row r="5047" spans="1:11" x14ac:dyDescent="0.25">
      <c r="A5047" t="s">
        <v>7177</v>
      </c>
      <c r="B5047" t="s">
        <v>40</v>
      </c>
      <c r="C5047" t="s">
        <v>59</v>
      </c>
      <c r="D5047" t="s">
        <v>60</v>
      </c>
      <c r="E5047" s="2">
        <v>23</v>
      </c>
      <c r="F5047" s="4">
        <v>3</v>
      </c>
      <c r="G5047" s="2">
        <v>69</v>
      </c>
      <c r="H5047" t="s">
        <v>45</v>
      </c>
      <c r="I5047" t="s">
        <v>36</v>
      </c>
      <c r="J5047" s="1">
        <v>44965</v>
      </c>
      <c r="K5047" t="b">
        <v>1</v>
      </c>
    </row>
    <row r="5048" spans="1:11" x14ac:dyDescent="0.25">
      <c r="A5048" t="s">
        <v>6094</v>
      </c>
      <c r="B5048" t="s">
        <v>142</v>
      </c>
      <c r="C5048" t="s">
        <v>31</v>
      </c>
      <c r="D5048" t="s">
        <v>361</v>
      </c>
      <c r="E5048" s="2">
        <v>23</v>
      </c>
      <c r="F5048" s="4">
        <v>3</v>
      </c>
      <c r="G5048" s="2">
        <v>69</v>
      </c>
      <c r="H5048" t="s">
        <v>25</v>
      </c>
      <c r="I5048" t="s">
        <v>16</v>
      </c>
      <c r="J5048" s="1">
        <v>44801</v>
      </c>
      <c r="K5048" t="b">
        <v>0</v>
      </c>
    </row>
    <row r="5049" spans="1:11" x14ac:dyDescent="0.25">
      <c r="A5049" t="s">
        <v>994</v>
      </c>
      <c r="B5049" t="s">
        <v>61</v>
      </c>
      <c r="C5049" t="s">
        <v>23</v>
      </c>
      <c r="D5049" t="s">
        <v>244</v>
      </c>
      <c r="E5049" s="2">
        <v>23</v>
      </c>
      <c r="F5049" s="4">
        <v>3</v>
      </c>
      <c r="G5049" s="2">
        <v>69</v>
      </c>
      <c r="H5049" t="s">
        <v>45</v>
      </c>
      <c r="I5049" t="s">
        <v>16</v>
      </c>
      <c r="J5049" s="1">
        <v>45316</v>
      </c>
      <c r="K5049" t="b">
        <v>1</v>
      </c>
    </row>
    <row r="5050" spans="1:11" x14ac:dyDescent="0.25">
      <c r="A5050" t="s">
        <v>5754</v>
      </c>
      <c r="B5050" t="s">
        <v>63</v>
      </c>
      <c r="C5050" t="s">
        <v>110</v>
      </c>
      <c r="D5050" t="s">
        <v>232</v>
      </c>
      <c r="E5050" s="2">
        <v>23</v>
      </c>
      <c r="F5050" s="4">
        <v>3</v>
      </c>
      <c r="G5050" s="2">
        <v>69</v>
      </c>
      <c r="H5050" t="s">
        <v>15</v>
      </c>
      <c r="I5050" t="s">
        <v>36</v>
      </c>
      <c r="J5050" s="1">
        <v>45651</v>
      </c>
      <c r="K5050" t="b">
        <v>1</v>
      </c>
    </row>
    <row r="5051" spans="1:11" x14ac:dyDescent="0.25">
      <c r="A5051" t="s">
        <v>3439</v>
      </c>
      <c r="B5051" t="s">
        <v>58</v>
      </c>
      <c r="C5051" t="s">
        <v>31</v>
      </c>
      <c r="D5051" t="s">
        <v>361</v>
      </c>
      <c r="E5051" s="2">
        <v>23</v>
      </c>
      <c r="F5051" s="4">
        <v>3</v>
      </c>
      <c r="G5051" s="2">
        <v>69</v>
      </c>
      <c r="H5051" t="s">
        <v>45</v>
      </c>
      <c r="I5051" t="s">
        <v>36</v>
      </c>
      <c r="J5051" s="1">
        <v>44668</v>
      </c>
      <c r="K5051" t="b">
        <v>1</v>
      </c>
    </row>
    <row r="5052" spans="1:11" x14ac:dyDescent="0.25">
      <c r="A5052" t="s">
        <v>6559</v>
      </c>
      <c r="B5052" t="s">
        <v>43</v>
      </c>
      <c r="C5052" t="s">
        <v>110</v>
      </c>
      <c r="D5052" t="s">
        <v>232</v>
      </c>
      <c r="E5052" s="2">
        <v>23</v>
      </c>
      <c r="F5052" s="4">
        <v>3</v>
      </c>
      <c r="G5052" s="2">
        <v>69</v>
      </c>
      <c r="H5052" t="s">
        <v>25</v>
      </c>
      <c r="I5052" t="s">
        <v>16</v>
      </c>
      <c r="J5052" s="1">
        <v>44594</v>
      </c>
      <c r="K5052" t="b">
        <v>0</v>
      </c>
    </row>
    <row r="5053" spans="1:11" x14ac:dyDescent="0.25">
      <c r="A5053" t="s">
        <v>3876</v>
      </c>
      <c r="B5053" t="s">
        <v>77</v>
      </c>
      <c r="C5053" t="s">
        <v>13</v>
      </c>
      <c r="D5053" t="s">
        <v>292</v>
      </c>
      <c r="E5053" s="2">
        <v>23</v>
      </c>
      <c r="F5053" s="4">
        <v>3</v>
      </c>
      <c r="G5053" s="2">
        <v>69</v>
      </c>
      <c r="H5053" t="s">
        <v>15</v>
      </c>
      <c r="I5053" t="s">
        <v>16</v>
      </c>
      <c r="J5053" s="1">
        <v>44638</v>
      </c>
      <c r="K5053" t="b">
        <v>1</v>
      </c>
    </row>
    <row r="5054" spans="1:11" x14ac:dyDescent="0.25">
      <c r="A5054" t="s">
        <v>6711</v>
      </c>
      <c r="B5054" t="s">
        <v>63</v>
      </c>
      <c r="C5054" t="s">
        <v>59</v>
      </c>
      <c r="D5054" t="s">
        <v>60</v>
      </c>
      <c r="E5054" s="2">
        <v>23</v>
      </c>
      <c r="F5054" s="4">
        <v>3</v>
      </c>
      <c r="G5054" s="2">
        <v>69</v>
      </c>
      <c r="H5054" t="s">
        <v>45</v>
      </c>
      <c r="I5054" t="s">
        <v>36</v>
      </c>
      <c r="J5054" s="1">
        <v>44683</v>
      </c>
      <c r="K5054" t="b">
        <v>0</v>
      </c>
    </row>
    <row r="5055" spans="1:11" x14ac:dyDescent="0.25">
      <c r="A5055" t="s">
        <v>7201</v>
      </c>
      <c r="B5055" t="s">
        <v>43</v>
      </c>
      <c r="C5055" t="s">
        <v>23</v>
      </c>
      <c r="D5055" t="s">
        <v>244</v>
      </c>
      <c r="E5055" s="2">
        <v>23</v>
      </c>
      <c r="F5055" s="4">
        <v>3</v>
      </c>
      <c r="G5055" s="2">
        <v>69</v>
      </c>
      <c r="H5055" t="s">
        <v>45</v>
      </c>
      <c r="I5055" t="s">
        <v>16</v>
      </c>
      <c r="J5055" s="1">
        <v>45280</v>
      </c>
      <c r="K5055" t="b">
        <v>0</v>
      </c>
    </row>
    <row r="5056" spans="1:11" x14ac:dyDescent="0.25">
      <c r="A5056" t="s">
        <v>664</v>
      </c>
      <c r="B5056" t="s">
        <v>93</v>
      </c>
      <c r="C5056" t="s">
        <v>23</v>
      </c>
      <c r="D5056" t="s">
        <v>244</v>
      </c>
      <c r="E5056" s="2">
        <v>23</v>
      </c>
      <c r="F5056" s="4">
        <v>3</v>
      </c>
      <c r="G5056" s="2">
        <v>69</v>
      </c>
      <c r="H5056" t="s">
        <v>15</v>
      </c>
      <c r="I5056" t="s">
        <v>36</v>
      </c>
      <c r="J5056" s="1">
        <v>45481</v>
      </c>
      <c r="K5056" t="b">
        <v>0</v>
      </c>
    </row>
    <row r="5057" spans="1:11" x14ac:dyDescent="0.25">
      <c r="A5057" t="s">
        <v>3374</v>
      </c>
      <c r="B5057" t="s">
        <v>22</v>
      </c>
      <c r="C5057" t="s">
        <v>19</v>
      </c>
      <c r="D5057" t="s">
        <v>400</v>
      </c>
      <c r="E5057" s="2">
        <v>23</v>
      </c>
      <c r="F5057" s="4">
        <v>3</v>
      </c>
      <c r="G5057" s="2">
        <v>69</v>
      </c>
      <c r="H5057" t="s">
        <v>15</v>
      </c>
      <c r="I5057" t="s">
        <v>16</v>
      </c>
      <c r="J5057" s="1">
        <v>44818</v>
      </c>
      <c r="K5057" t="b">
        <v>0</v>
      </c>
    </row>
    <row r="5058" spans="1:11" x14ac:dyDescent="0.25">
      <c r="A5058" t="s">
        <v>5841</v>
      </c>
      <c r="B5058" t="s">
        <v>142</v>
      </c>
      <c r="C5058" t="s">
        <v>13</v>
      </c>
      <c r="D5058" t="s">
        <v>292</v>
      </c>
      <c r="E5058" s="2">
        <v>23</v>
      </c>
      <c r="F5058" s="4">
        <v>3</v>
      </c>
      <c r="G5058" s="2">
        <v>69</v>
      </c>
      <c r="H5058" t="s">
        <v>15</v>
      </c>
      <c r="I5058" t="s">
        <v>36</v>
      </c>
      <c r="J5058" s="1">
        <v>45225</v>
      </c>
      <c r="K5058" t="b">
        <v>1</v>
      </c>
    </row>
    <row r="5059" spans="1:11" x14ac:dyDescent="0.25">
      <c r="A5059" t="s">
        <v>4964</v>
      </c>
      <c r="B5059" t="s">
        <v>66</v>
      </c>
      <c r="C5059" t="s">
        <v>19</v>
      </c>
      <c r="D5059" t="s">
        <v>400</v>
      </c>
      <c r="E5059" s="2">
        <v>23</v>
      </c>
      <c r="F5059" s="4">
        <v>3</v>
      </c>
      <c r="G5059" s="2">
        <v>69</v>
      </c>
      <c r="H5059" t="s">
        <v>25</v>
      </c>
      <c r="I5059" t="s">
        <v>16</v>
      </c>
      <c r="J5059" s="1">
        <v>45355</v>
      </c>
      <c r="K5059" t="b">
        <v>0</v>
      </c>
    </row>
    <row r="5060" spans="1:11" x14ac:dyDescent="0.25">
      <c r="A5060" t="s">
        <v>6137</v>
      </c>
      <c r="B5060" t="s">
        <v>72</v>
      </c>
      <c r="C5060" t="s">
        <v>110</v>
      </c>
      <c r="D5060" t="s">
        <v>232</v>
      </c>
      <c r="E5060" s="2">
        <v>23</v>
      </c>
      <c r="F5060" s="4">
        <v>3</v>
      </c>
      <c r="G5060" s="2">
        <v>69</v>
      </c>
      <c r="H5060" t="s">
        <v>45</v>
      </c>
      <c r="I5060" t="s">
        <v>36</v>
      </c>
      <c r="J5060" s="1">
        <v>45279</v>
      </c>
      <c r="K5060" t="b">
        <v>1</v>
      </c>
    </row>
    <row r="5061" spans="1:11" x14ac:dyDescent="0.25">
      <c r="A5061" t="s">
        <v>1132</v>
      </c>
      <c r="B5061" t="s">
        <v>37</v>
      </c>
      <c r="C5061" t="s">
        <v>23</v>
      </c>
      <c r="D5061" t="s">
        <v>244</v>
      </c>
      <c r="E5061" s="2">
        <v>23</v>
      </c>
      <c r="F5061" s="4">
        <v>3</v>
      </c>
      <c r="G5061" s="2">
        <v>69</v>
      </c>
      <c r="H5061" t="s">
        <v>45</v>
      </c>
      <c r="I5061" t="s">
        <v>16</v>
      </c>
      <c r="J5061" s="1">
        <v>45051</v>
      </c>
      <c r="K5061" t="b">
        <v>0</v>
      </c>
    </row>
    <row r="5062" spans="1:11" x14ac:dyDescent="0.25">
      <c r="A5062" t="s">
        <v>369</v>
      </c>
      <c r="B5062" t="s">
        <v>40</v>
      </c>
      <c r="C5062" t="s">
        <v>31</v>
      </c>
      <c r="D5062" t="s">
        <v>361</v>
      </c>
      <c r="E5062" s="2">
        <v>23</v>
      </c>
      <c r="F5062" s="4">
        <v>3</v>
      </c>
      <c r="G5062" s="2">
        <v>69</v>
      </c>
      <c r="H5062" t="s">
        <v>15</v>
      </c>
      <c r="I5062" t="s">
        <v>36</v>
      </c>
      <c r="J5062" s="1">
        <v>45121</v>
      </c>
      <c r="K5062" t="b">
        <v>0</v>
      </c>
    </row>
    <row r="5063" spans="1:11" x14ac:dyDescent="0.25">
      <c r="A5063" t="s">
        <v>3425</v>
      </c>
      <c r="B5063" t="s">
        <v>69</v>
      </c>
      <c r="C5063" t="s">
        <v>13</v>
      </c>
      <c r="D5063" t="s">
        <v>380</v>
      </c>
      <c r="E5063" s="2">
        <v>17</v>
      </c>
      <c r="F5063" s="4">
        <v>4</v>
      </c>
      <c r="G5063" s="2">
        <v>68</v>
      </c>
      <c r="H5063" t="s">
        <v>15</v>
      </c>
      <c r="I5063" t="s">
        <v>36</v>
      </c>
      <c r="J5063" s="1">
        <v>45209</v>
      </c>
      <c r="K5063" t="b">
        <v>1</v>
      </c>
    </row>
    <row r="5064" spans="1:11" x14ac:dyDescent="0.25">
      <c r="A5064" t="s">
        <v>5480</v>
      </c>
      <c r="B5064" t="s">
        <v>104</v>
      </c>
      <c r="C5064" t="s">
        <v>19</v>
      </c>
      <c r="D5064" t="s">
        <v>366</v>
      </c>
      <c r="E5064" s="2">
        <v>17</v>
      </c>
      <c r="F5064" s="4">
        <v>4</v>
      </c>
      <c r="G5064" s="2">
        <v>68</v>
      </c>
      <c r="H5064" t="s">
        <v>25</v>
      </c>
      <c r="I5064" t="s">
        <v>36</v>
      </c>
      <c r="J5064" s="1">
        <v>45244</v>
      </c>
      <c r="K5064" t="b">
        <v>0</v>
      </c>
    </row>
    <row r="5065" spans="1:11" x14ac:dyDescent="0.25">
      <c r="A5065" t="s">
        <v>6657</v>
      </c>
      <c r="B5065" t="s">
        <v>34</v>
      </c>
      <c r="C5065" t="s">
        <v>110</v>
      </c>
      <c r="D5065" t="s">
        <v>327</v>
      </c>
      <c r="E5065" s="2">
        <v>17</v>
      </c>
      <c r="F5065" s="4">
        <v>4</v>
      </c>
      <c r="G5065" s="2">
        <v>68</v>
      </c>
      <c r="H5065" t="s">
        <v>25</v>
      </c>
      <c r="I5065" t="s">
        <v>16</v>
      </c>
      <c r="J5065" s="1">
        <v>44736</v>
      </c>
      <c r="K5065" t="b">
        <v>0</v>
      </c>
    </row>
    <row r="5066" spans="1:11" x14ac:dyDescent="0.25">
      <c r="A5066" t="s">
        <v>1691</v>
      </c>
      <c r="B5066" t="s">
        <v>72</v>
      </c>
      <c r="C5066" t="s">
        <v>59</v>
      </c>
      <c r="D5066" t="s">
        <v>655</v>
      </c>
      <c r="E5066" s="2">
        <v>17</v>
      </c>
      <c r="F5066" s="4">
        <v>4</v>
      </c>
      <c r="G5066" s="2">
        <v>68</v>
      </c>
      <c r="H5066" t="s">
        <v>45</v>
      </c>
      <c r="I5066" t="s">
        <v>36</v>
      </c>
      <c r="J5066" s="1">
        <v>45052</v>
      </c>
      <c r="K5066" t="b">
        <v>0</v>
      </c>
    </row>
    <row r="5067" spans="1:11" x14ac:dyDescent="0.25">
      <c r="A5067" t="s">
        <v>6083</v>
      </c>
      <c r="B5067" t="s">
        <v>69</v>
      </c>
      <c r="C5067" t="s">
        <v>59</v>
      </c>
      <c r="D5067" t="s">
        <v>655</v>
      </c>
      <c r="E5067" s="2">
        <v>17</v>
      </c>
      <c r="F5067" s="4">
        <v>4</v>
      </c>
      <c r="G5067" s="2">
        <v>68</v>
      </c>
      <c r="H5067" t="s">
        <v>45</v>
      </c>
      <c r="I5067" t="s">
        <v>36</v>
      </c>
      <c r="J5067" s="1">
        <v>44625</v>
      </c>
      <c r="K5067" t="b">
        <v>1</v>
      </c>
    </row>
    <row r="5068" spans="1:11" x14ac:dyDescent="0.25">
      <c r="A5068" t="s">
        <v>5502</v>
      </c>
      <c r="B5068" t="s">
        <v>69</v>
      </c>
      <c r="C5068" t="s">
        <v>38</v>
      </c>
      <c r="D5068" t="s">
        <v>444</v>
      </c>
      <c r="E5068" s="2">
        <v>17</v>
      </c>
      <c r="F5068" s="4">
        <v>4</v>
      </c>
      <c r="G5068" s="2">
        <v>68</v>
      </c>
      <c r="H5068" t="s">
        <v>45</v>
      </c>
      <c r="I5068" t="s">
        <v>16</v>
      </c>
      <c r="J5068" s="1">
        <v>45055</v>
      </c>
      <c r="K5068" t="b">
        <v>0</v>
      </c>
    </row>
    <row r="5069" spans="1:11" x14ac:dyDescent="0.25">
      <c r="A5069" t="s">
        <v>2456</v>
      </c>
      <c r="B5069" t="s">
        <v>34</v>
      </c>
      <c r="C5069" t="s">
        <v>31</v>
      </c>
      <c r="D5069" t="s">
        <v>195</v>
      </c>
      <c r="E5069" s="2">
        <v>17</v>
      </c>
      <c r="F5069" s="4">
        <v>4</v>
      </c>
      <c r="G5069" s="2">
        <v>68</v>
      </c>
      <c r="H5069" t="s">
        <v>45</v>
      </c>
      <c r="I5069" t="s">
        <v>36</v>
      </c>
      <c r="J5069" s="1">
        <v>45451</v>
      </c>
      <c r="K5069" t="b">
        <v>1</v>
      </c>
    </row>
    <row r="5070" spans="1:11" x14ac:dyDescent="0.25">
      <c r="A5070" t="s">
        <v>2738</v>
      </c>
      <c r="B5070" t="s">
        <v>40</v>
      </c>
      <c r="C5070" t="s">
        <v>31</v>
      </c>
      <c r="D5070" t="s">
        <v>195</v>
      </c>
      <c r="E5070" s="2">
        <v>17</v>
      </c>
      <c r="F5070" s="4">
        <v>4</v>
      </c>
      <c r="G5070" s="2">
        <v>68</v>
      </c>
      <c r="H5070" t="s">
        <v>15</v>
      </c>
      <c r="I5070" t="s">
        <v>16</v>
      </c>
      <c r="J5070" s="1">
        <v>45122</v>
      </c>
      <c r="K5070" t="b">
        <v>1</v>
      </c>
    </row>
    <row r="5071" spans="1:11" x14ac:dyDescent="0.25">
      <c r="A5071" t="s">
        <v>6845</v>
      </c>
      <c r="B5071" t="s">
        <v>69</v>
      </c>
      <c r="C5071" t="s">
        <v>27</v>
      </c>
      <c r="D5071" t="s">
        <v>763</v>
      </c>
      <c r="E5071" s="2">
        <v>17</v>
      </c>
      <c r="F5071" s="4">
        <v>4</v>
      </c>
      <c r="G5071" s="2">
        <v>68</v>
      </c>
      <c r="H5071" t="s">
        <v>45</v>
      </c>
      <c r="I5071" t="s">
        <v>36</v>
      </c>
      <c r="J5071" s="1">
        <v>44565</v>
      </c>
      <c r="K5071" t="b">
        <v>0</v>
      </c>
    </row>
    <row r="5072" spans="1:11" x14ac:dyDescent="0.25">
      <c r="A5072" t="s">
        <v>6611</v>
      </c>
      <c r="B5072" t="s">
        <v>86</v>
      </c>
      <c r="C5072" t="s">
        <v>31</v>
      </c>
      <c r="D5072" t="s">
        <v>195</v>
      </c>
      <c r="E5072" s="2">
        <v>17</v>
      </c>
      <c r="F5072" s="4">
        <v>4</v>
      </c>
      <c r="G5072" s="2">
        <v>68</v>
      </c>
      <c r="H5072" t="s">
        <v>45</v>
      </c>
      <c r="I5072" t="s">
        <v>36</v>
      </c>
      <c r="J5072" s="1">
        <v>44920</v>
      </c>
      <c r="K5072" t="b">
        <v>1</v>
      </c>
    </row>
    <row r="5073" spans="1:11" x14ac:dyDescent="0.25">
      <c r="A5073" t="s">
        <v>920</v>
      </c>
      <c r="B5073" t="s">
        <v>22</v>
      </c>
      <c r="C5073" t="s">
        <v>59</v>
      </c>
      <c r="D5073" t="s">
        <v>655</v>
      </c>
      <c r="E5073" s="2">
        <v>17</v>
      </c>
      <c r="F5073" s="4">
        <v>4</v>
      </c>
      <c r="G5073" s="2">
        <v>68</v>
      </c>
      <c r="H5073" t="s">
        <v>15</v>
      </c>
      <c r="I5073" t="s">
        <v>16</v>
      </c>
      <c r="J5073" s="1">
        <v>44647</v>
      </c>
      <c r="K5073" t="b">
        <v>0</v>
      </c>
    </row>
    <row r="5074" spans="1:11" x14ac:dyDescent="0.25">
      <c r="A5074" t="s">
        <v>4057</v>
      </c>
      <c r="B5074" t="s">
        <v>56</v>
      </c>
      <c r="C5074" t="s">
        <v>110</v>
      </c>
      <c r="D5074" t="s">
        <v>327</v>
      </c>
      <c r="E5074" s="2">
        <v>17</v>
      </c>
      <c r="F5074" s="4">
        <v>4</v>
      </c>
      <c r="G5074" s="2">
        <v>68</v>
      </c>
      <c r="H5074" t="s">
        <v>15</v>
      </c>
      <c r="I5074" t="s">
        <v>16</v>
      </c>
      <c r="J5074" s="1">
        <v>45170</v>
      </c>
      <c r="K5074" t="b">
        <v>1</v>
      </c>
    </row>
    <row r="5075" spans="1:11" x14ac:dyDescent="0.25">
      <c r="A5075" t="s">
        <v>4395</v>
      </c>
      <c r="B5075" t="s">
        <v>56</v>
      </c>
      <c r="C5075" t="s">
        <v>110</v>
      </c>
      <c r="D5075" t="s">
        <v>327</v>
      </c>
      <c r="E5075" s="2">
        <v>17</v>
      </c>
      <c r="F5075" s="4">
        <v>4</v>
      </c>
      <c r="G5075" s="2">
        <v>68</v>
      </c>
      <c r="H5075" t="s">
        <v>15</v>
      </c>
      <c r="I5075" t="s">
        <v>36</v>
      </c>
      <c r="J5075" s="1">
        <v>45310</v>
      </c>
      <c r="K5075" t="b">
        <v>1</v>
      </c>
    </row>
    <row r="5076" spans="1:11" x14ac:dyDescent="0.25">
      <c r="A5076" t="s">
        <v>7395</v>
      </c>
      <c r="B5076" t="s">
        <v>69</v>
      </c>
      <c r="C5076" t="s">
        <v>59</v>
      </c>
      <c r="D5076" t="s">
        <v>655</v>
      </c>
      <c r="E5076" s="2">
        <v>17</v>
      </c>
      <c r="F5076" s="4">
        <v>4</v>
      </c>
      <c r="G5076" s="2">
        <v>68</v>
      </c>
      <c r="H5076" t="s">
        <v>45</v>
      </c>
      <c r="I5076" t="s">
        <v>16</v>
      </c>
      <c r="J5076" s="1">
        <v>44795</v>
      </c>
      <c r="K5076" t="b">
        <v>0</v>
      </c>
    </row>
    <row r="5077" spans="1:11" x14ac:dyDescent="0.25">
      <c r="A5077" t="s">
        <v>3959</v>
      </c>
      <c r="B5077" t="s">
        <v>56</v>
      </c>
      <c r="C5077" t="s">
        <v>19</v>
      </c>
      <c r="D5077" t="s">
        <v>366</v>
      </c>
      <c r="E5077" s="2">
        <v>17</v>
      </c>
      <c r="F5077" s="4">
        <v>4</v>
      </c>
      <c r="G5077" s="2">
        <v>68</v>
      </c>
      <c r="H5077" t="s">
        <v>25</v>
      </c>
      <c r="I5077" t="s">
        <v>16</v>
      </c>
      <c r="J5077" s="1">
        <v>45379</v>
      </c>
      <c r="K5077" t="b">
        <v>1</v>
      </c>
    </row>
    <row r="5078" spans="1:11" x14ac:dyDescent="0.25">
      <c r="A5078" t="s">
        <v>465</v>
      </c>
      <c r="B5078" t="s">
        <v>72</v>
      </c>
      <c r="C5078" t="s">
        <v>31</v>
      </c>
      <c r="D5078" t="s">
        <v>195</v>
      </c>
      <c r="E5078" s="2">
        <v>17</v>
      </c>
      <c r="F5078" s="4">
        <v>4</v>
      </c>
      <c r="G5078" s="2">
        <v>68</v>
      </c>
      <c r="H5078" t="s">
        <v>45</v>
      </c>
      <c r="I5078" t="s">
        <v>36</v>
      </c>
      <c r="J5078" s="1">
        <v>44955</v>
      </c>
      <c r="K5078" t="b">
        <v>1</v>
      </c>
    </row>
    <row r="5079" spans="1:11" x14ac:dyDescent="0.25">
      <c r="A5079" t="s">
        <v>1646</v>
      </c>
      <c r="B5079" t="s">
        <v>66</v>
      </c>
      <c r="C5079" t="s">
        <v>110</v>
      </c>
      <c r="D5079" t="s">
        <v>327</v>
      </c>
      <c r="E5079" s="2">
        <v>17</v>
      </c>
      <c r="F5079" s="4">
        <v>4</v>
      </c>
      <c r="G5079" s="2">
        <v>68</v>
      </c>
      <c r="H5079" t="s">
        <v>25</v>
      </c>
      <c r="I5079" t="s">
        <v>36</v>
      </c>
      <c r="J5079" s="1">
        <v>44573</v>
      </c>
      <c r="K5079" t="b">
        <v>0</v>
      </c>
    </row>
    <row r="5080" spans="1:11" x14ac:dyDescent="0.25">
      <c r="A5080" t="s">
        <v>5277</v>
      </c>
      <c r="B5080" t="s">
        <v>40</v>
      </c>
      <c r="C5080" t="s">
        <v>31</v>
      </c>
      <c r="D5080" t="s">
        <v>195</v>
      </c>
      <c r="E5080" s="2">
        <v>17</v>
      </c>
      <c r="F5080" s="4">
        <v>4</v>
      </c>
      <c r="G5080" s="2">
        <v>68</v>
      </c>
      <c r="H5080" t="s">
        <v>25</v>
      </c>
      <c r="I5080" t="s">
        <v>16</v>
      </c>
      <c r="J5080" s="1">
        <v>45420</v>
      </c>
      <c r="K5080" t="b">
        <v>1</v>
      </c>
    </row>
    <row r="5081" spans="1:11" x14ac:dyDescent="0.25">
      <c r="A5081" t="s">
        <v>443</v>
      </c>
      <c r="B5081" t="s">
        <v>26</v>
      </c>
      <c r="C5081" t="s">
        <v>38</v>
      </c>
      <c r="D5081" t="s">
        <v>444</v>
      </c>
      <c r="E5081" s="2">
        <v>17</v>
      </c>
      <c r="F5081" s="4">
        <v>4</v>
      </c>
      <c r="G5081" s="2">
        <v>68</v>
      </c>
      <c r="H5081" t="s">
        <v>45</v>
      </c>
      <c r="I5081" t="s">
        <v>36</v>
      </c>
      <c r="J5081" s="1">
        <v>44878</v>
      </c>
      <c r="K5081" t="b">
        <v>0</v>
      </c>
    </row>
    <row r="5082" spans="1:11" x14ac:dyDescent="0.25">
      <c r="A5082" t="s">
        <v>7258</v>
      </c>
      <c r="B5082" t="s">
        <v>34</v>
      </c>
      <c r="C5082" t="s">
        <v>38</v>
      </c>
      <c r="D5082" t="s">
        <v>444</v>
      </c>
      <c r="E5082" s="2">
        <v>17</v>
      </c>
      <c r="F5082" s="4">
        <v>4</v>
      </c>
      <c r="G5082" s="2">
        <v>68</v>
      </c>
      <c r="H5082" t="s">
        <v>25</v>
      </c>
      <c r="I5082" t="s">
        <v>36</v>
      </c>
      <c r="J5082" s="1">
        <v>44603</v>
      </c>
      <c r="K5082" t="b">
        <v>0</v>
      </c>
    </row>
    <row r="5083" spans="1:11" x14ac:dyDescent="0.25">
      <c r="A5083" t="s">
        <v>2067</v>
      </c>
      <c r="B5083" t="s">
        <v>77</v>
      </c>
      <c r="C5083" t="s">
        <v>59</v>
      </c>
      <c r="D5083" t="s">
        <v>655</v>
      </c>
      <c r="E5083" s="2">
        <v>17</v>
      </c>
      <c r="F5083" s="4">
        <v>4</v>
      </c>
      <c r="G5083" s="2">
        <v>68</v>
      </c>
      <c r="H5083" t="s">
        <v>15</v>
      </c>
      <c r="I5083" t="s">
        <v>16</v>
      </c>
      <c r="J5083" s="1">
        <v>44704</v>
      </c>
      <c r="K5083" t="b">
        <v>1</v>
      </c>
    </row>
    <row r="5084" spans="1:11" x14ac:dyDescent="0.25">
      <c r="A5084" t="s">
        <v>5915</v>
      </c>
      <c r="B5084" t="s">
        <v>61</v>
      </c>
      <c r="C5084" t="s">
        <v>19</v>
      </c>
      <c r="D5084" t="s">
        <v>626</v>
      </c>
      <c r="E5084" s="2">
        <v>33.5</v>
      </c>
      <c r="F5084" s="4">
        <v>2</v>
      </c>
      <c r="G5084" s="2">
        <v>67</v>
      </c>
      <c r="H5084" t="s">
        <v>25</v>
      </c>
      <c r="I5084" t="s">
        <v>16</v>
      </c>
      <c r="J5084" s="1">
        <v>45346</v>
      </c>
      <c r="K5084" t="b">
        <v>1</v>
      </c>
    </row>
    <row r="5085" spans="1:11" x14ac:dyDescent="0.25">
      <c r="A5085" t="s">
        <v>3243</v>
      </c>
      <c r="B5085" t="s">
        <v>100</v>
      </c>
      <c r="C5085" t="s">
        <v>38</v>
      </c>
      <c r="D5085" t="s">
        <v>434</v>
      </c>
      <c r="E5085" s="2">
        <v>33.5</v>
      </c>
      <c r="F5085" s="4">
        <v>2</v>
      </c>
      <c r="G5085" s="2">
        <v>67</v>
      </c>
      <c r="H5085" t="s">
        <v>15</v>
      </c>
      <c r="I5085" t="s">
        <v>36</v>
      </c>
      <c r="J5085" s="1">
        <v>45065</v>
      </c>
      <c r="K5085" t="b">
        <v>1</v>
      </c>
    </row>
    <row r="5086" spans="1:11" x14ac:dyDescent="0.25">
      <c r="A5086" t="s">
        <v>397</v>
      </c>
      <c r="B5086" t="s">
        <v>93</v>
      </c>
      <c r="C5086" t="s">
        <v>31</v>
      </c>
      <c r="D5086" t="s">
        <v>155</v>
      </c>
      <c r="E5086" s="2">
        <v>33.5</v>
      </c>
      <c r="F5086" s="4">
        <v>2</v>
      </c>
      <c r="G5086" s="2">
        <v>67</v>
      </c>
      <c r="H5086" t="s">
        <v>45</v>
      </c>
      <c r="I5086" t="s">
        <v>36</v>
      </c>
      <c r="J5086" s="1">
        <v>45221</v>
      </c>
      <c r="K5086" t="b">
        <v>0</v>
      </c>
    </row>
    <row r="5087" spans="1:11" x14ac:dyDescent="0.25">
      <c r="A5087" t="s">
        <v>7052</v>
      </c>
      <c r="B5087" t="s">
        <v>85</v>
      </c>
      <c r="C5087" t="s">
        <v>59</v>
      </c>
      <c r="D5087" t="s">
        <v>270</v>
      </c>
      <c r="E5087" s="2">
        <v>33.5</v>
      </c>
      <c r="F5087" s="4">
        <v>2</v>
      </c>
      <c r="G5087" s="2">
        <v>67</v>
      </c>
      <c r="H5087" t="s">
        <v>15</v>
      </c>
      <c r="I5087" t="s">
        <v>16</v>
      </c>
      <c r="J5087" s="1">
        <v>44823</v>
      </c>
      <c r="K5087" t="b">
        <v>0</v>
      </c>
    </row>
    <row r="5088" spans="1:11" x14ac:dyDescent="0.25">
      <c r="A5088" t="s">
        <v>5008</v>
      </c>
      <c r="B5088" t="s">
        <v>43</v>
      </c>
      <c r="C5088" t="s">
        <v>110</v>
      </c>
      <c r="D5088" t="s">
        <v>154</v>
      </c>
      <c r="E5088" s="2">
        <v>33.5</v>
      </c>
      <c r="F5088" s="4">
        <v>2</v>
      </c>
      <c r="G5088" s="2">
        <v>67</v>
      </c>
      <c r="H5088" t="s">
        <v>25</v>
      </c>
      <c r="I5088" t="s">
        <v>36</v>
      </c>
      <c r="J5088" s="1">
        <v>45394</v>
      </c>
      <c r="K5088" t="b">
        <v>0</v>
      </c>
    </row>
    <row r="5089" spans="1:11" x14ac:dyDescent="0.25">
      <c r="A5089" t="s">
        <v>5428</v>
      </c>
      <c r="B5089" t="s">
        <v>66</v>
      </c>
      <c r="C5089" t="s">
        <v>110</v>
      </c>
      <c r="D5089" t="s">
        <v>154</v>
      </c>
      <c r="E5089" s="2">
        <v>33.5</v>
      </c>
      <c r="F5089" s="4">
        <v>2</v>
      </c>
      <c r="G5089" s="2">
        <v>67</v>
      </c>
      <c r="H5089" t="s">
        <v>45</v>
      </c>
      <c r="I5089" t="s">
        <v>16</v>
      </c>
      <c r="J5089" s="1">
        <v>44978</v>
      </c>
      <c r="K5089" t="b">
        <v>0</v>
      </c>
    </row>
    <row r="5090" spans="1:11" x14ac:dyDescent="0.25">
      <c r="A5090" t="s">
        <v>4589</v>
      </c>
      <c r="B5090" t="s">
        <v>86</v>
      </c>
      <c r="C5090" t="s">
        <v>23</v>
      </c>
      <c r="D5090" t="s">
        <v>73</v>
      </c>
      <c r="E5090" s="2">
        <v>33.5</v>
      </c>
      <c r="F5090" s="4">
        <v>2</v>
      </c>
      <c r="G5090" s="2">
        <v>67</v>
      </c>
      <c r="H5090" t="s">
        <v>25</v>
      </c>
      <c r="I5090" t="s">
        <v>36</v>
      </c>
      <c r="J5090" s="1">
        <v>44858</v>
      </c>
      <c r="K5090" t="b">
        <v>0</v>
      </c>
    </row>
    <row r="5091" spans="1:11" x14ac:dyDescent="0.25">
      <c r="A5091" t="s">
        <v>3642</v>
      </c>
      <c r="B5091" t="s">
        <v>69</v>
      </c>
      <c r="C5091" t="s">
        <v>31</v>
      </c>
      <c r="D5091" t="s">
        <v>155</v>
      </c>
      <c r="E5091" s="2">
        <v>33.5</v>
      </c>
      <c r="F5091" s="4">
        <v>2</v>
      </c>
      <c r="G5091" s="2">
        <v>67</v>
      </c>
      <c r="H5091" t="s">
        <v>15</v>
      </c>
      <c r="I5091" t="s">
        <v>16</v>
      </c>
      <c r="J5091" s="1">
        <v>45044</v>
      </c>
      <c r="K5091" t="b">
        <v>1</v>
      </c>
    </row>
    <row r="5092" spans="1:11" x14ac:dyDescent="0.25">
      <c r="A5092" t="s">
        <v>5763</v>
      </c>
      <c r="B5092" t="s">
        <v>58</v>
      </c>
      <c r="C5092" t="s">
        <v>59</v>
      </c>
      <c r="D5092" t="s">
        <v>270</v>
      </c>
      <c r="E5092" s="2">
        <v>33.5</v>
      </c>
      <c r="F5092" s="4">
        <v>2</v>
      </c>
      <c r="G5092" s="2">
        <v>67</v>
      </c>
      <c r="H5092" t="s">
        <v>25</v>
      </c>
      <c r="I5092" t="s">
        <v>36</v>
      </c>
      <c r="J5092" s="1">
        <v>45022</v>
      </c>
      <c r="K5092" t="b">
        <v>0</v>
      </c>
    </row>
    <row r="5093" spans="1:11" x14ac:dyDescent="0.25">
      <c r="A5093" t="s">
        <v>1321</v>
      </c>
      <c r="B5093" t="s">
        <v>104</v>
      </c>
      <c r="C5093" t="s">
        <v>110</v>
      </c>
      <c r="D5093" t="s">
        <v>154</v>
      </c>
      <c r="E5093" s="2">
        <v>33.5</v>
      </c>
      <c r="F5093" s="4">
        <v>2</v>
      </c>
      <c r="G5093" s="2">
        <v>67</v>
      </c>
      <c r="H5093" t="s">
        <v>45</v>
      </c>
      <c r="I5093" t="s">
        <v>16</v>
      </c>
      <c r="J5093" s="1">
        <v>45367</v>
      </c>
      <c r="K5093" t="b">
        <v>0</v>
      </c>
    </row>
    <row r="5094" spans="1:11" x14ac:dyDescent="0.25">
      <c r="A5094" t="s">
        <v>2529</v>
      </c>
      <c r="B5094" t="s">
        <v>93</v>
      </c>
      <c r="C5094" t="s">
        <v>110</v>
      </c>
      <c r="D5094" t="s">
        <v>154</v>
      </c>
      <c r="E5094" s="2">
        <v>33.5</v>
      </c>
      <c r="F5094" s="4">
        <v>2</v>
      </c>
      <c r="G5094" s="2">
        <v>67</v>
      </c>
      <c r="H5094" t="s">
        <v>45</v>
      </c>
      <c r="I5094" t="s">
        <v>36</v>
      </c>
      <c r="J5094" s="1">
        <v>44662</v>
      </c>
      <c r="K5094" t="b">
        <v>1</v>
      </c>
    </row>
    <row r="5095" spans="1:11" x14ac:dyDescent="0.25">
      <c r="A5095" t="s">
        <v>7576</v>
      </c>
      <c r="B5095" t="s">
        <v>69</v>
      </c>
      <c r="C5095" t="s">
        <v>38</v>
      </c>
      <c r="D5095" t="s">
        <v>434</v>
      </c>
      <c r="E5095" s="2">
        <v>33.5</v>
      </c>
      <c r="F5095" s="4">
        <v>2</v>
      </c>
      <c r="G5095" s="2">
        <v>67</v>
      </c>
      <c r="H5095" t="s">
        <v>25</v>
      </c>
      <c r="I5095" t="s">
        <v>16</v>
      </c>
      <c r="J5095" s="1">
        <v>44656</v>
      </c>
      <c r="K5095" t="b">
        <v>0</v>
      </c>
    </row>
    <row r="5096" spans="1:11" x14ac:dyDescent="0.25">
      <c r="A5096" t="s">
        <v>625</v>
      </c>
      <c r="B5096" t="s">
        <v>85</v>
      </c>
      <c r="C5096" t="s">
        <v>19</v>
      </c>
      <c r="D5096" t="s">
        <v>626</v>
      </c>
      <c r="E5096" s="2">
        <v>33.5</v>
      </c>
      <c r="F5096" s="4">
        <v>2</v>
      </c>
      <c r="G5096" s="2">
        <v>67</v>
      </c>
      <c r="H5096" t="s">
        <v>15</v>
      </c>
      <c r="I5096" t="s">
        <v>36</v>
      </c>
      <c r="J5096" s="1">
        <v>44922</v>
      </c>
      <c r="K5096" t="b">
        <v>0</v>
      </c>
    </row>
    <row r="5097" spans="1:11" x14ac:dyDescent="0.25">
      <c r="A5097" t="s">
        <v>6409</v>
      </c>
      <c r="B5097" t="s">
        <v>77</v>
      </c>
      <c r="C5097" t="s">
        <v>31</v>
      </c>
      <c r="D5097" t="s">
        <v>155</v>
      </c>
      <c r="E5097" s="2">
        <v>33.5</v>
      </c>
      <c r="F5097" s="4">
        <v>2</v>
      </c>
      <c r="G5097" s="2">
        <v>67</v>
      </c>
      <c r="H5097" t="s">
        <v>25</v>
      </c>
      <c r="I5097" t="s">
        <v>36</v>
      </c>
      <c r="J5097" s="1">
        <v>44847</v>
      </c>
      <c r="K5097" t="b">
        <v>0</v>
      </c>
    </row>
    <row r="5098" spans="1:11" x14ac:dyDescent="0.25">
      <c r="A5098" t="s">
        <v>3935</v>
      </c>
      <c r="B5098" t="s">
        <v>56</v>
      </c>
      <c r="C5098" t="s">
        <v>59</v>
      </c>
      <c r="D5098" t="s">
        <v>270</v>
      </c>
      <c r="E5098" s="2">
        <v>33.5</v>
      </c>
      <c r="F5098" s="4">
        <v>2</v>
      </c>
      <c r="G5098" s="2">
        <v>67</v>
      </c>
      <c r="H5098" t="s">
        <v>15</v>
      </c>
      <c r="I5098" t="s">
        <v>36</v>
      </c>
      <c r="J5098" s="1">
        <v>44569</v>
      </c>
      <c r="K5098" t="b">
        <v>0</v>
      </c>
    </row>
    <row r="5099" spans="1:11" x14ac:dyDescent="0.25">
      <c r="A5099" t="s">
        <v>6725</v>
      </c>
      <c r="B5099" t="s">
        <v>100</v>
      </c>
      <c r="C5099" t="s">
        <v>13</v>
      </c>
      <c r="D5099" t="s">
        <v>375</v>
      </c>
      <c r="E5099" s="2">
        <v>33.5</v>
      </c>
      <c r="F5099" s="4">
        <v>2</v>
      </c>
      <c r="G5099" s="2">
        <v>67</v>
      </c>
      <c r="H5099" t="s">
        <v>15</v>
      </c>
      <c r="I5099" t="s">
        <v>36</v>
      </c>
      <c r="J5099" s="1">
        <v>45413</v>
      </c>
      <c r="K5099" t="b">
        <v>0</v>
      </c>
    </row>
    <row r="5100" spans="1:11" x14ac:dyDescent="0.25">
      <c r="A5100" t="s">
        <v>2547</v>
      </c>
      <c r="B5100" t="s">
        <v>72</v>
      </c>
      <c r="C5100" t="s">
        <v>19</v>
      </c>
      <c r="D5100" t="s">
        <v>626</v>
      </c>
      <c r="E5100" s="2">
        <v>33.5</v>
      </c>
      <c r="F5100" s="4">
        <v>2</v>
      </c>
      <c r="G5100" s="2">
        <v>67</v>
      </c>
      <c r="H5100" t="s">
        <v>15</v>
      </c>
      <c r="I5100" t="s">
        <v>36</v>
      </c>
      <c r="J5100" s="1">
        <v>45548</v>
      </c>
      <c r="K5100" t="b">
        <v>1</v>
      </c>
    </row>
    <row r="5101" spans="1:11" x14ac:dyDescent="0.25">
      <c r="A5101" t="s">
        <v>3340</v>
      </c>
      <c r="B5101" t="s">
        <v>58</v>
      </c>
      <c r="C5101" t="s">
        <v>23</v>
      </c>
      <c r="D5101" t="s">
        <v>73</v>
      </c>
      <c r="E5101" s="2">
        <v>33.5</v>
      </c>
      <c r="F5101" s="4">
        <v>2</v>
      </c>
      <c r="G5101" s="2">
        <v>67</v>
      </c>
      <c r="H5101" t="s">
        <v>25</v>
      </c>
      <c r="I5101" t="s">
        <v>16</v>
      </c>
      <c r="J5101" s="1">
        <v>45041</v>
      </c>
      <c r="K5101" t="b">
        <v>1</v>
      </c>
    </row>
    <row r="5102" spans="1:11" x14ac:dyDescent="0.25">
      <c r="A5102" t="s">
        <v>592</v>
      </c>
      <c r="B5102" t="s">
        <v>77</v>
      </c>
      <c r="C5102" t="s">
        <v>23</v>
      </c>
      <c r="D5102" t="s">
        <v>73</v>
      </c>
      <c r="E5102" s="2">
        <v>33.5</v>
      </c>
      <c r="F5102" s="4">
        <v>2</v>
      </c>
      <c r="G5102" s="2">
        <v>67</v>
      </c>
      <c r="H5102" t="s">
        <v>45</v>
      </c>
      <c r="I5102" t="s">
        <v>36</v>
      </c>
      <c r="J5102" s="1">
        <v>45536</v>
      </c>
      <c r="K5102" t="b">
        <v>1</v>
      </c>
    </row>
    <row r="5103" spans="1:11" x14ac:dyDescent="0.25">
      <c r="A5103" t="s">
        <v>6297</v>
      </c>
      <c r="B5103" t="s">
        <v>93</v>
      </c>
      <c r="C5103" t="s">
        <v>110</v>
      </c>
      <c r="D5103" t="s">
        <v>154</v>
      </c>
      <c r="E5103" s="2">
        <v>33.5</v>
      </c>
      <c r="F5103" s="4">
        <v>2</v>
      </c>
      <c r="G5103" s="2">
        <v>67</v>
      </c>
      <c r="H5103" t="s">
        <v>15</v>
      </c>
      <c r="I5103" t="s">
        <v>16</v>
      </c>
      <c r="J5103" s="1">
        <v>45675</v>
      </c>
      <c r="K5103" t="b">
        <v>1</v>
      </c>
    </row>
    <row r="5104" spans="1:11" x14ac:dyDescent="0.25">
      <c r="A5104" t="s">
        <v>6551</v>
      </c>
      <c r="B5104" t="s">
        <v>12</v>
      </c>
      <c r="C5104" t="s">
        <v>23</v>
      </c>
      <c r="D5104" t="s">
        <v>73</v>
      </c>
      <c r="E5104" s="2">
        <v>33.5</v>
      </c>
      <c r="F5104" s="4">
        <v>2</v>
      </c>
      <c r="G5104" s="2">
        <v>67</v>
      </c>
      <c r="H5104" t="s">
        <v>25</v>
      </c>
      <c r="I5104" t="s">
        <v>16</v>
      </c>
      <c r="J5104" s="1">
        <v>44882</v>
      </c>
      <c r="K5104" t="b">
        <v>0</v>
      </c>
    </row>
    <row r="5105" spans="1:11" x14ac:dyDescent="0.25">
      <c r="A5105" t="s">
        <v>1257</v>
      </c>
      <c r="B5105" t="s">
        <v>34</v>
      </c>
      <c r="C5105" t="s">
        <v>23</v>
      </c>
      <c r="D5105" t="s">
        <v>73</v>
      </c>
      <c r="E5105" s="2">
        <v>33.5</v>
      </c>
      <c r="F5105" s="4">
        <v>2</v>
      </c>
      <c r="G5105" s="2">
        <v>67</v>
      </c>
      <c r="H5105" t="s">
        <v>45</v>
      </c>
      <c r="I5105" t="s">
        <v>36</v>
      </c>
      <c r="J5105" s="1">
        <v>44684</v>
      </c>
      <c r="K5105" t="b">
        <v>1</v>
      </c>
    </row>
    <row r="5106" spans="1:11" x14ac:dyDescent="0.25">
      <c r="A5106" t="s">
        <v>6497</v>
      </c>
      <c r="B5106" t="s">
        <v>77</v>
      </c>
      <c r="C5106" t="s">
        <v>31</v>
      </c>
      <c r="D5106" t="s">
        <v>155</v>
      </c>
      <c r="E5106" s="2">
        <v>33.5</v>
      </c>
      <c r="F5106" s="4">
        <v>2</v>
      </c>
      <c r="G5106" s="2">
        <v>67</v>
      </c>
      <c r="H5106" t="s">
        <v>45</v>
      </c>
      <c r="I5106" t="s">
        <v>16</v>
      </c>
      <c r="J5106" s="1">
        <v>44665</v>
      </c>
      <c r="K5106" t="b">
        <v>1</v>
      </c>
    </row>
    <row r="5107" spans="1:11" x14ac:dyDescent="0.25">
      <c r="A5107" t="s">
        <v>6927</v>
      </c>
      <c r="B5107" t="s">
        <v>142</v>
      </c>
      <c r="C5107" t="s">
        <v>23</v>
      </c>
      <c r="D5107" t="s">
        <v>73</v>
      </c>
      <c r="E5107" s="2">
        <v>33.5</v>
      </c>
      <c r="F5107" s="4">
        <v>2</v>
      </c>
      <c r="G5107" s="2">
        <v>67</v>
      </c>
      <c r="H5107" t="s">
        <v>45</v>
      </c>
      <c r="I5107" t="s">
        <v>36</v>
      </c>
      <c r="J5107" s="1">
        <v>44738</v>
      </c>
      <c r="K5107" t="b">
        <v>0</v>
      </c>
    </row>
    <row r="5108" spans="1:11" x14ac:dyDescent="0.25">
      <c r="A5108" t="s">
        <v>4089</v>
      </c>
      <c r="B5108" t="s">
        <v>63</v>
      </c>
      <c r="C5108" t="s">
        <v>27</v>
      </c>
      <c r="D5108" t="s">
        <v>209</v>
      </c>
      <c r="E5108" s="2">
        <v>33.5</v>
      </c>
      <c r="F5108" s="4">
        <v>2</v>
      </c>
      <c r="G5108" s="2">
        <v>67</v>
      </c>
      <c r="H5108" t="s">
        <v>45</v>
      </c>
      <c r="I5108" t="s">
        <v>16</v>
      </c>
      <c r="J5108" s="1">
        <v>45059</v>
      </c>
      <c r="K5108" t="b">
        <v>0</v>
      </c>
    </row>
    <row r="5109" spans="1:11" x14ac:dyDescent="0.25">
      <c r="A5109" t="s">
        <v>7566</v>
      </c>
      <c r="B5109" t="s">
        <v>86</v>
      </c>
      <c r="C5109" t="s">
        <v>19</v>
      </c>
      <c r="D5109" t="s">
        <v>626</v>
      </c>
      <c r="E5109" s="2">
        <v>33.5</v>
      </c>
      <c r="F5109" s="4">
        <v>2</v>
      </c>
      <c r="G5109" s="2">
        <v>67</v>
      </c>
      <c r="H5109" t="s">
        <v>45</v>
      </c>
      <c r="I5109" t="s">
        <v>36</v>
      </c>
      <c r="J5109" s="1">
        <v>44876</v>
      </c>
      <c r="K5109" t="b">
        <v>1</v>
      </c>
    </row>
    <row r="5110" spans="1:11" x14ac:dyDescent="0.25">
      <c r="A5110" t="s">
        <v>1023</v>
      </c>
      <c r="B5110" t="s">
        <v>30</v>
      </c>
      <c r="C5110" t="s">
        <v>13</v>
      </c>
      <c r="D5110" t="s">
        <v>375</v>
      </c>
      <c r="E5110" s="2">
        <v>33.5</v>
      </c>
      <c r="F5110" s="4">
        <v>2</v>
      </c>
      <c r="G5110" s="2">
        <v>67</v>
      </c>
      <c r="H5110" t="s">
        <v>15</v>
      </c>
      <c r="I5110" t="s">
        <v>36</v>
      </c>
      <c r="J5110" s="1">
        <v>44948</v>
      </c>
      <c r="K5110" t="b">
        <v>0</v>
      </c>
    </row>
    <row r="5111" spans="1:11" x14ac:dyDescent="0.25">
      <c r="A5111" t="s">
        <v>2412</v>
      </c>
      <c r="B5111" t="s">
        <v>142</v>
      </c>
      <c r="C5111" t="s">
        <v>110</v>
      </c>
      <c r="D5111" t="s">
        <v>154</v>
      </c>
      <c r="E5111" s="2">
        <v>33.5</v>
      </c>
      <c r="F5111" s="4">
        <v>2</v>
      </c>
      <c r="G5111" s="2">
        <v>67</v>
      </c>
      <c r="H5111" t="s">
        <v>45</v>
      </c>
      <c r="I5111" t="s">
        <v>36</v>
      </c>
      <c r="J5111" s="1">
        <v>45159</v>
      </c>
      <c r="K5111" t="b">
        <v>1</v>
      </c>
    </row>
    <row r="5112" spans="1:11" x14ac:dyDescent="0.25">
      <c r="A5112" t="s">
        <v>4023</v>
      </c>
      <c r="B5112" t="s">
        <v>63</v>
      </c>
      <c r="C5112" t="s">
        <v>13</v>
      </c>
      <c r="D5112" t="s">
        <v>375</v>
      </c>
      <c r="E5112" s="2">
        <v>33.5</v>
      </c>
      <c r="F5112" s="4">
        <v>2</v>
      </c>
      <c r="G5112" s="2">
        <v>67</v>
      </c>
      <c r="H5112" t="s">
        <v>15</v>
      </c>
      <c r="I5112" t="s">
        <v>36</v>
      </c>
      <c r="J5112" s="1">
        <v>45555</v>
      </c>
      <c r="K5112" t="b">
        <v>1</v>
      </c>
    </row>
    <row r="5113" spans="1:11" x14ac:dyDescent="0.25">
      <c r="A5113" t="s">
        <v>5865</v>
      </c>
      <c r="B5113" t="s">
        <v>86</v>
      </c>
      <c r="C5113" t="s">
        <v>59</v>
      </c>
      <c r="D5113" t="s">
        <v>270</v>
      </c>
      <c r="E5113" s="2">
        <v>33.5</v>
      </c>
      <c r="F5113" s="4">
        <v>2</v>
      </c>
      <c r="G5113" s="2">
        <v>67</v>
      </c>
      <c r="H5113" t="s">
        <v>25</v>
      </c>
      <c r="I5113" t="s">
        <v>36</v>
      </c>
      <c r="J5113" s="1">
        <v>44566</v>
      </c>
      <c r="K5113" t="b">
        <v>0</v>
      </c>
    </row>
    <row r="5114" spans="1:11" x14ac:dyDescent="0.25">
      <c r="A5114" t="s">
        <v>6236</v>
      </c>
      <c r="B5114" t="s">
        <v>12</v>
      </c>
      <c r="C5114" t="s">
        <v>59</v>
      </c>
      <c r="D5114" t="s">
        <v>270</v>
      </c>
      <c r="E5114" s="2">
        <v>33.5</v>
      </c>
      <c r="F5114" s="4">
        <v>2</v>
      </c>
      <c r="G5114" s="2">
        <v>67</v>
      </c>
      <c r="H5114" t="s">
        <v>25</v>
      </c>
      <c r="I5114" t="s">
        <v>36</v>
      </c>
      <c r="J5114" s="1">
        <v>44750</v>
      </c>
      <c r="K5114" t="b">
        <v>1</v>
      </c>
    </row>
    <row r="5115" spans="1:11" x14ac:dyDescent="0.25">
      <c r="A5115" t="s">
        <v>469</v>
      </c>
      <c r="B5115" t="s">
        <v>26</v>
      </c>
      <c r="C5115" t="s">
        <v>23</v>
      </c>
      <c r="D5115" t="s">
        <v>73</v>
      </c>
      <c r="E5115" s="2">
        <v>33.5</v>
      </c>
      <c r="F5115" s="4">
        <v>2</v>
      </c>
      <c r="G5115" s="2">
        <v>67</v>
      </c>
      <c r="H5115" t="s">
        <v>25</v>
      </c>
      <c r="I5115" t="s">
        <v>36</v>
      </c>
      <c r="J5115" s="1">
        <v>45378</v>
      </c>
      <c r="K5115" t="b">
        <v>0</v>
      </c>
    </row>
    <row r="5116" spans="1:11" x14ac:dyDescent="0.25">
      <c r="A5116" t="s">
        <v>7565</v>
      </c>
      <c r="B5116" t="s">
        <v>104</v>
      </c>
      <c r="C5116" t="s">
        <v>23</v>
      </c>
      <c r="D5116" t="s">
        <v>73</v>
      </c>
      <c r="E5116" s="2">
        <v>33.5</v>
      </c>
      <c r="F5116" s="4">
        <v>2</v>
      </c>
      <c r="G5116" s="2">
        <v>67</v>
      </c>
      <c r="H5116" t="s">
        <v>15</v>
      </c>
      <c r="I5116" t="s">
        <v>16</v>
      </c>
      <c r="J5116" s="1">
        <v>45470</v>
      </c>
      <c r="K5116" t="b">
        <v>1</v>
      </c>
    </row>
    <row r="5117" spans="1:11" x14ac:dyDescent="0.25">
      <c r="A5117" t="s">
        <v>598</v>
      </c>
      <c r="B5117" t="s">
        <v>12</v>
      </c>
      <c r="C5117" t="s">
        <v>23</v>
      </c>
      <c r="D5117" t="s">
        <v>73</v>
      </c>
      <c r="E5117" s="2">
        <v>33.5</v>
      </c>
      <c r="F5117" s="4">
        <v>2</v>
      </c>
      <c r="G5117" s="2">
        <v>67</v>
      </c>
      <c r="H5117" t="s">
        <v>25</v>
      </c>
      <c r="I5117" t="s">
        <v>36</v>
      </c>
      <c r="J5117" s="1">
        <v>44997</v>
      </c>
      <c r="K5117" t="b">
        <v>0</v>
      </c>
    </row>
    <row r="5118" spans="1:11" x14ac:dyDescent="0.25">
      <c r="A5118" t="s">
        <v>6824</v>
      </c>
      <c r="B5118" t="s">
        <v>66</v>
      </c>
      <c r="C5118" t="s">
        <v>27</v>
      </c>
      <c r="D5118" t="s">
        <v>209</v>
      </c>
      <c r="E5118" s="2">
        <v>33.5</v>
      </c>
      <c r="F5118" s="4">
        <v>2</v>
      </c>
      <c r="G5118" s="2">
        <v>67</v>
      </c>
      <c r="H5118" t="s">
        <v>25</v>
      </c>
      <c r="I5118" t="s">
        <v>36</v>
      </c>
      <c r="J5118" s="1">
        <v>45282</v>
      </c>
      <c r="K5118" t="b">
        <v>1</v>
      </c>
    </row>
    <row r="5119" spans="1:11" x14ac:dyDescent="0.25">
      <c r="A5119" t="s">
        <v>433</v>
      </c>
      <c r="B5119" t="s">
        <v>37</v>
      </c>
      <c r="C5119" t="s">
        <v>38</v>
      </c>
      <c r="D5119" t="s">
        <v>434</v>
      </c>
      <c r="E5119" s="2">
        <v>33.5</v>
      </c>
      <c r="F5119" s="4">
        <v>2</v>
      </c>
      <c r="G5119" s="2">
        <v>67</v>
      </c>
      <c r="H5119" t="s">
        <v>45</v>
      </c>
      <c r="I5119" t="s">
        <v>16</v>
      </c>
      <c r="J5119" s="1">
        <v>44817</v>
      </c>
      <c r="K5119" t="b">
        <v>0</v>
      </c>
    </row>
    <row r="5120" spans="1:11" x14ac:dyDescent="0.25">
      <c r="A5120" t="s">
        <v>6473</v>
      </c>
      <c r="B5120" t="s">
        <v>63</v>
      </c>
      <c r="C5120" t="s">
        <v>27</v>
      </c>
      <c r="D5120" t="s">
        <v>209</v>
      </c>
      <c r="E5120" s="2">
        <v>33.5</v>
      </c>
      <c r="F5120" s="4">
        <v>2</v>
      </c>
      <c r="G5120" s="2">
        <v>67</v>
      </c>
      <c r="H5120" t="s">
        <v>15</v>
      </c>
      <c r="I5120" t="s">
        <v>36</v>
      </c>
      <c r="J5120" s="1">
        <v>45139</v>
      </c>
      <c r="K5120" t="b">
        <v>0</v>
      </c>
    </row>
    <row r="5121" spans="1:11" x14ac:dyDescent="0.25">
      <c r="A5121" t="s">
        <v>2156</v>
      </c>
      <c r="B5121" t="s">
        <v>77</v>
      </c>
      <c r="C5121" t="s">
        <v>31</v>
      </c>
      <c r="D5121" t="s">
        <v>155</v>
      </c>
      <c r="E5121" s="2">
        <v>33.5</v>
      </c>
      <c r="F5121" s="4">
        <v>2</v>
      </c>
      <c r="G5121" s="2">
        <v>67</v>
      </c>
      <c r="H5121" t="s">
        <v>45</v>
      </c>
      <c r="I5121" t="s">
        <v>16</v>
      </c>
      <c r="J5121" s="1">
        <v>45497</v>
      </c>
      <c r="K5121" t="b">
        <v>0</v>
      </c>
    </row>
    <row r="5122" spans="1:11" x14ac:dyDescent="0.25">
      <c r="A5122" t="s">
        <v>4135</v>
      </c>
      <c r="B5122" t="s">
        <v>66</v>
      </c>
      <c r="C5122" t="s">
        <v>27</v>
      </c>
      <c r="D5122" t="s">
        <v>147</v>
      </c>
      <c r="E5122" s="2">
        <v>9.5</v>
      </c>
      <c r="F5122" s="4">
        <v>7</v>
      </c>
      <c r="G5122" s="2">
        <v>66.5</v>
      </c>
      <c r="H5122" t="s">
        <v>15</v>
      </c>
      <c r="I5122" t="s">
        <v>16</v>
      </c>
      <c r="J5122" s="1">
        <v>44935</v>
      </c>
      <c r="K5122" t="b">
        <v>1</v>
      </c>
    </row>
    <row r="5123" spans="1:11" x14ac:dyDescent="0.25">
      <c r="A5123" t="s">
        <v>986</v>
      </c>
      <c r="B5123" t="s">
        <v>56</v>
      </c>
      <c r="C5123" t="s">
        <v>27</v>
      </c>
      <c r="D5123" t="s">
        <v>147</v>
      </c>
      <c r="E5123" s="2">
        <v>9.5</v>
      </c>
      <c r="F5123" s="4">
        <v>7</v>
      </c>
      <c r="G5123" s="2">
        <v>66.5</v>
      </c>
      <c r="H5123" t="s">
        <v>45</v>
      </c>
      <c r="I5123" t="s">
        <v>16</v>
      </c>
      <c r="J5123" s="1">
        <v>44765</v>
      </c>
      <c r="K5123" t="b">
        <v>0</v>
      </c>
    </row>
    <row r="5124" spans="1:11" x14ac:dyDescent="0.25">
      <c r="A5124" t="s">
        <v>7232</v>
      </c>
      <c r="B5124" t="s">
        <v>34</v>
      </c>
      <c r="C5124" t="s">
        <v>59</v>
      </c>
      <c r="D5124" t="s">
        <v>64</v>
      </c>
      <c r="E5124" s="2">
        <v>9.5</v>
      </c>
      <c r="F5124" s="4">
        <v>7</v>
      </c>
      <c r="G5124" s="2">
        <v>66.5</v>
      </c>
      <c r="H5124" t="s">
        <v>15</v>
      </c>
      <c r="I5124" t="s">
        <v>36</v>
      </c>
      <c r="J5124" s="1">
        <v>44894</v>
      </c>
      <c r="K5124" t="b">
        <v>1</v>
      </c>
    </row>
    <row r="5125" spans="1:11" x14ac:dyDescent="0.25">
      <c r="A5125" t="s">
        <v>1997</v>
      </c>
      <c r="B5125" t="s">
        <v>37</v>
      </c>
      <c r="C5125" t="s">
        <v>59</v>
      </c>
      <c r="D5125" t="s">
        <v>64</v>
      </c>
      <c r="E5125" s="2">
        <v>9.5</v>
      </c>
      <c r="F5125" s="4">
        <v>7</v>
      </c>
      <c r="G5125" s="2">
        <v>66.5</v>
      </c>
      <c r="H5125" t="s">
        <v>45</v>
      </c>
      <c r="I5125" t="s">
        <v>16</v>
      </c>
      <c r="J5125" s="1">
        <v>44695</v>
      </c>
      <c r="K5125" t="b">
        <v>1</v>
      </c>
    </row>
    <row r="5126" spans="1:11" x14ac:dyDescent="0.25">
      <c r="A5126" t="s">
        <v>4655</v>
      </c>
      <c r="B5126" t="s">
        <v>63</v>
      </c>
      <c r="C5126" t="s">
        <v>59</v>
      </c>
      <c r="D5126" t="s">
        <v>64</v>
      </c>
      <c r="E5126" s="2">
        <v>9.5</v>
      </c>
      <c r="F5126" s="4">
        <v>7</v>
      </c>
      <c r="G5126" s="2">
        <v>66.5</v>
      </c>
      <c r="H5126" t="s">
        <v>25</v>
      </c>
      <c r="I5126" t="s">
        <v>36</v>
      </c>
      <c r="J5126" s="1">
        <v>45494</v>
      </c>
      <c r="K5126" t="b">
        <v>1</v>
      </c>
    </row>
    <row r="5127" spans="1:11" x14ac:dyDescent="0.25">
      <c r="A5127" t="s">
        <v>3557</v>
      </c>
      <c r="B5127" t="s">
        <v>77</v>
      </c>
      <c r="C5127" t="s">
        <v>13</v>
      </c>
      <c r="D5127" t="s">
        <v>171</v>
      </c>
      <c r="E5127" s="2">
        <v>9.5</v>
      </c>
      <c r="F5127" s="4">
        <v>7</v>
      </c>
      <c r="G5127" s="2">
        <v>66.5</v>
      </c>
      <c r="H5127" t="s">
        <v>15</v>
      </c>
      <c r="I5127" t="s">
        <v>36</v>
      </c>
      <c r="J5127" s="1">
        <v>44763</v>
      </c>
      <c r="K5127" t="b">
        <v>0</v>
      </c>
    </row>
    <row r="5128" spans="1:11" x14ac:dyDescent="0.25">
      <c r="A5128" t="s">
        <v>7103</v>
      </c>
      <c r="B5128" t="s">
        <v>66</v>
      </c>
      <c r="C5128" t="s">
        <v>59</v>
      </c>
      <c r="D5128" t="s">
        <v>64</v>
      </c>
      <c r="E5128" s="2">
        <v>9.5</v>
      </c>
      <c r="F5128" s="4">
        <v>7</v>
      </c>
      <c r="G5128" s="2">
        <v>66.5</v>
      </c>
      <c r="H5128" t="s">
        <v>15</v>
      </c>
      <c r="I5128" t="s">
        <v>36</v>
      </c>
      <c r="J5128" s="1">
        <v>45464</v>
      </c>
      <c r="K5128" t="b">
        <v>0</v>
      </c>
    </row>
    <row r="5129" spans="1:11" x14ac:dyDescent="0.25">
      <c r="A5129" t="s">
        <v>1083</v>
      </c>
      <c r="B5129" t="s">
        <v>85</v>
      </c>
      <c r="C5129" t="s">
        <v>19</v>
      </c>
      <c r="D5129" t="s">
        <v>174</v>
      </c>
      <c r="E5129" s="2">
        <v>9.5</v>
      </c>
      <c r="F5129" s="4">
        <v>7</v>
      </c>
      <c r="G5129" s="2">
        <v>66.5</v>
      </c>
      <c r="H5129" t="s">
        <v>45</v>
      </c>
      <c r="I5129" t="s">
        <v>16</v>
      </c>
      <c r="J5129" s="1">
        <v>45041</v>
      </c>
      <c r="K5129" t="b">
        <v>1</v>
      </c>
    </row>
    <row r="5130" spans="1:11" x14ac:dyDescent="0.25">
      <c r="A5130" t="s">
        <v>1176</v>
      </c>
      <c r="B5130" t="s">
        <v>104</v>
      </c>
      <c r="C5130" t="s">
        <v>27</v>
      </c>
      <c r="D5130" t="s">
        <v>147</v>
      </c>
      <c r="E5130" s="2">
        <v>9.5</v>
      </c>
      <c r="F5130" s="4">
        <v>7</v>
      </c>
      <c r="G5130" s="2">
        <v>66.5</v>
      </c>
      <c r="H5130" t="s">
        <v>15</v>
      </c>
      <c r="I5130" t="s">
        <v>36</v>
      </c>
      <c r="J5130" s="1">
        <v>45361</v>
      </c>
      <c r="K5130" t="b">
        <v>0</v>
      </c>
    </row>
    <row r="5131" spans="1:11" x14ac:dyDescent="0.25">
      <c r="A5131" t="s">
        <v>7035</v>
      </c>
      <c r="B5131" t="s">
        <v>37</v>
      </c>
      <c r="C5131" t="s">
        <v>31</v>
      </c>
      <c r="D5131" t="s">
        <v>168</v>
      </c>
      <c r="E5131" s="2">
        <v>9.5</v>
      </c>
      <c r="F5131" s="4">
        <v>7</v>
      </c>
      <c r="G5131" s="2">
        <v>66.5</v>
      </c>
      <c r="H5131" t="s">
        <v>15</v>
      </c>
      <c r="I5131" t="s">
        <v>16</v>
      </c>
      <c r="J5131" s="1">
        <v>44724</v>
      </c>
      <c r="K5131" t="b">
        <v>1</v>
      </c>
    </row>
    <row r="5132" spans="1:11" x14ac:dyDescent="0.25">
      <c r="A5132" t="s">
        <v>5556</v>
      </c>
      <c r="B5132" t="s">
        <v>77</v>
      </c>
      <c r="C5132" t="s">
        <v>31</v>
      </c>
      <c r="D5132" t="s">
        <v>168</v>
      </c>
      <c r="E5132" s="2">
        <v>9.5</v>
      </c>
      <c r="F5132" s="4">
        <v>7</v>
      </c>
      <c r="G5132" s="2">
        <v>66.5</v>
      </c>
      <c r="H5132" t="s">
        <v>45</v>
      </c>
      <c r="I5132" t="s">
        <v>16</v>
      </c>
      <c r="J5132" s="1">
        <v>45371</v>
      </c>
      <c r="K5132" t="b">
        <v>0</v>
      </c>
    </row>
    <row r="5133" spans="1:11" x14ac:dyDescent="0.25">
      <c r="A5133" t="s">
        <v>6439</v>
      </c>
      <c r="B5133" t="s">
        <v>69</v>
      </c>
      <c r="C5133" t="s">
        <v>13</v>
      </c>
      <c r="D5133" t="s">
        <v>171</v>
      </c>
      <c r="E5133" s="2">
        <v>9.5</v>
      </c>
      <c r="F5133" s="4">
        <v>7</v>
      </c>
      <c r="G5133" s="2">
        <v>66.5</v>
      </c>
      <c r="H5133" t="s">
        <v>15</v>
      </c>
      <c r="I5133" t="s">
        <v>16</v>
      </c>
      <c r="J5133" s="1">
        <v>45278</v>
      </c>
      <c r="K5133" t="b">
        <v>1</v>
      </c>
    </row>
    <row r="5134" spans="1:11" x14ac:dyDescent="0.25">
      <c r="A5134" t="s">
        <v>1004</v>
      </c>
      <c r="B5134" t="s">
        <v>86</v>
      </c>
      <c r="C5134" t="s">
        <v>27</v>
      </c>
      <c r="D5134" t="s">
        <v>147</v>
      </c>
      <c r="E5134" s="2">
        <v>9.5</v>
      </c>
      <c r="F5134" s="4">
        <v>7</v>
      </c>
      <c r="G5134" s="2">
        <v>66.5</v>
      </c>
      <c r="H5134" t="s">
        <v>15</v>
      </c>
      <c r="I5134" t="s">
        <v>16</v>
      </c>
      <c r="J5134" s="1">
        <v>44858</v>
      </c>
      <c r="K5134" t="b">
        <v>1</v>
      </c>
    </row>
    <row r="5135" spans="1:11" x14ac:dyDescent="0.25">
      <c r="A5135" t="s">
        <v>5718</v>
      </c>
      <c r="B5135" t="s">
        <v>22</v>
      </c>
      <c r="C5135" t="s">
        <v>13</v>
      </c>
      <c r="D5135" t="s">
        <v>171</v>
      </c>
      <c r="E5135" s="2">
        <v>9.5</v>
      </c>
      <c r="F5135" s="4">
        <v>7</v>
      </c>
      <c r="G5135" s="2">
        <v>66.5</v>
      </c>
      <c r="H5135" t="s">
        <v>25</v>
      </c>
      <c r="I5135" t="s">
        <v>16</v>
      </c>
      <c r="J5135" s="1">
        <v>45089</v>
      </c>
      <c r="K5135" t="b">
        <v>1</v>
      </c>
    </row>
    <row r="5136" spans="1:11" x14ac:dyDescent="0.25">
      <c r="A5136" t="s">
        <v>3427</v>
      </c>
      <c r="B5136" t="s">
        <v>34</v>
      </c>
      <c r="C5136" t="s">
        <v>13</v>
      </c>
      <c r="D5136" t="s">
        <v>171</v>
      </c>
      <c r="E5136" s="2">
        <v>9.5</v>
      </c>
      <c r="F5136" s="4">
        <v>7</v>
      </c>
      <c r="G5136" s="2">
        <v>66.5</v>
      </c>
      <c r="H5136" t="s">
        <v>25</v>
      </c>
      <c r="I5136" t="s">
        <v>16</v>
      </c>
      <c r="J5136" s="1">
        <v>44941</v>
      </c>
      <c r="K5136" t="b">
        <v>0</v>
      </c>
    </row>
    <row r="5137" spans="1:11" x14ac:dyDescent="0.25">
      <c r="A5137" t="s">
        <v>7639</v>
      </c>
      <c r="B5137" t="s">
        <v>12</v>
      </c>
      <c r="C5137" t="s">
        <v>19</v>
      </c>
      <c r="D5137" t="s">
        <v>174</v>
      </c>
      <c r="E5137" s="2">
        <v>9.5</v>
      </c>
      <c r="F5137" s="4">
        <v>7</v>
      </c>
      <c r="G5137" s="2">
        <v>66.5</v>
      </c>
      <c r="H5137" t="s">
        <v>15</v>
      </c>
      <c r="I5137" t="s">
        <v>36</v>
      </c>
      <c r="J5137" s="1">
        <v>45573</v>
      </c>
      <c r="K5137" t="b">
        <v>1</v>
      </c>
    </row>
    <row r="5138" spans="1:11" x14ac:dyDescent="0.25">
      <c r="A5138" t="s">
        <v>6881</v>
      </c>
      <c r="B5138" t="s">
        <v>58</v>
      </c>
      <c r="C5138" t="s">
        <v>27</v>
      </c>
      <c r="D5138" t="s">
        <v>147</v>
      </c>
      <c r="E5138" s="2">
        <v>9.5</v>
      </c>
      <c r="F5138" s="4">
        <v>7</v>
      </c>
      <c r="G5138" s="2">
        <v>66.5</v>
      </c>
      <c r="H5138" t="s">
        <v>25</v>
      </c>
      <c r="I5138" t="s">
        <v>16</v>
      </c>
      <c r="J5138" s="1">
        <v>45454</v>
      </c>
      <c r="K5138" t="b">
        <v>0</v>
      </c>
    </row>
    <row r="5139" spans="1:11" x14ac:dyDescent="0.25">
      <c r="A5139" t="s">
        <v>5097</v>
      </c>
      <c r="B5139" t="s">
        <v>93</v>
      </c>
      <c r="C5139" t="s">
        <v>13</v>
      </c>
      <c r="D5139" t="s">
        <v>171</v>
      </c>
      <c r="E5139" s="2">
        <v>9.5</v>
      </c>
      <c r="F5139" s="4">
        <v>7</v>
      </c>
      <c r="G5139" s="2">
        <v>66.5</v>
      </c>
      <c r="H5139" t="s">
        <v>15</v>
      </c>
      <c r="I5139" t="s">
        <v>16</v>
      </c>
      <c r="J5139" s="1">
        <v>44863</v>
      </c>
      <c r="K5139" t="b">
        <v>0</v>
      </c>
    </row>
    <row r="5140" spans="1:11" x14ac:dyDescent="0.25">
      <c r="A5140" t="s">
        <v>2176</v>
      </c>
      <c r="B5140" t="s">
        <v>93</v>
      </c>
      <c r="C5140" t="s">
        <v>59</v>
      </c>
      <c r="D5140" t="s">
        <v>64</v>
      </c>
      <c r="E5140" s="2">
        <v>9.5</v>
      </c>
      <c r="F5140" s="4">
        <v>7</v>
      </c>
      <c r="G5140" s="2">
        <v>66.5</v>
      </c>
      <c r="H5140" t="s">
        <v>45</v>
      </c>
      <c r="I5140" t="s">
        <v>36</v>
      </c>
      <c r="J5140" s="1">
        <v>45258</v>
      </c>
      <c r="K5140" t="b">
        <v>0</v>
      </c>
    </row>
    <row r="5141" spans="1:11" x14ac:dyDescent="0.25">
      <c r="A5141" t="s">
        <v>7321</v>
      </c>
      <c r="B5141" t="s">
        <v>37</v>
      </c>
      <c r="C5141" t="s">
        <v>59</v>
      </c>
      <c r="D5141" t="s">
        <v>64</v>
      </c>
      <c r="E5141" s="2">
        <v>9.5</v>
      </c>
      <c r="F5141" s="4">
        <v>7</v>
      </c>
      <c r="G5141" s="2">
        <v>66.5</v>
      </c>
      <c r="H5141" t="s">
        <v>45</v>
      </c>
      <c r="I5141" t="s">
        <v>36</v>
      </c>
      <c r="J5141" s="1">
        <v>44684</v>
      </c>
      <c r="K5141" t="b">
        <v>1</v>
      </c>
    </row>
    <row r="5142" spans="1:11" x14ac:dyDescent="0.25">
      <c r="A5142" t="s">
        <v>2999</v>
      </c>
      <c r="B5142" t="s">
        <v>37</v>
      </c>
      <c r="C5142" t="s">
        <v>19</v>
      </c>
      <c r="D5142" t="s">
        <v>174</v>
      </c>
      <c r="E5142" s="2">
        <v>9.5</v>
      </c>
      <c r="F5142" s="4">
        <v>7</v>
      </c>
      <c r="G5142" s="2">
        <v>66.5</v>
      </c>
      <c r="H5142" t="s">
        <v>45</v>
      </c>
      <c r="I5142" t="s">
        <v>16</v>
      </c>
      <c r="J5142" s="1">
        <v>44569</v>
      </c>
      <c r="K5142" t="b">
        <v>1</v>
      </c>
    </row>
    <row r="5143" spans="1:11" x14ac:dyDescent="0.25">
      <c r="A5143" t="s">
        <v>6329</v>
      </c>
      <c r="B5143" t="s">
        <v>100</v>
      </c>
      <c r="C5143" t="s">
        <v>38</v>
      </c>
      <c r="D5143" t="s">
        <v>414</v>
      </c>
      <c r="E5143" s="2">
        <v>9.5</v>
      </c>
      <c r="F5143" s="4">
        <v>7</v>
      </c>
      <c r="G5143" s="2">
        <v>66.5</v>
      </c>
      <c r="H5143" t="s">
        <v>45</v>
      </c>
      <c r="I5143" t="s">
        <v>16</v>
      </c>
      <c r="J5143" s="1">
        <v>44571</v>
      </c>
      <c r="K5143" t="b">
        <v>0</v>
      </c>
    </row>
    <row r="5144" spans="1:11" x14ac:dyDescent="0.25">
      <c r="A5144" t="s">
        <v>7654</v>
      </c>
      <c r="B5144" t="s">
        <v>86</v>
      </c>
      <c r="C5144" t="s">
        <v>13</v>
      </c>
      <c r="D5144" t="s">
        <v>171</v>
      </c>
      <c r="E5144" s="2">
        <v>9.5</v>
      </c>
      <c r="F5144" s="4">
        <v>7</v>
      </c>
      <c r="G5144" s="2">
        <v>66.5</v>
      </c>
      <c r="H5144" t="s">
        <v>45</v>
      </c>
      <c r="I5144" t="s">
        <v>16</v>
      </c>
      <c r="J5144" s="1">
        <v>44814</v>
      </c>
      <c r="K5144" t="b">
        <v>0</v>
      </c>
    </row>
    <row r="5145" spans="1:11" x14ac:dyDescent="0.25">
      <c r="A5145" t="s">
        <v>3797</v>
      </c>
      <c r="B5145" t="s">
        <v>72</v>
      </c>
      <c r="C5145" t="s">
        <v>31</v>
      </c>
      <c r="D5145" t="s">
        <v>168</v>
      </c>
      <c r="E5145" s="2">
        <v>9.5</v>
      </c>
      <c r="F5145" s="4">
        <v>7</v>
      </c>
      <c r="G5145" s="2">
        <v>66.5</v>
      </c>
      <c r="H5145" t="s">
        <v>25</v>
      </c>
      <c r="I5145" t="s">
        <v>16</v>
      </c>
      <c r="J5145" s="1">
        <v>45177</v>
      </c>
      <c r="K5145" t="b">
        <v>0</v>
      </c>
    </row>
    <row r="5146" spans="1:11" x14ac:dyDescent="0.25">
      <c r="A5146" t="s">
        <v>3393</v>
      </c>
      <c r="B5146" t="s">
        <v>66</v>
      </c>
      <c r="C5146" t="s">
        <v>13</v>
      </c>
      <c r="D5146" t="s">
        <v>171</v>
      </c>
      <c r="E5146" s="2">
        <v>9.5</v>
      </c>
      <c r="F5146" s="4">
        <v>7</v>
      </c>
      <c r="G5146" s="2">
        <v>66.5</v>
      </c>
      <c r="H5146" t="s">
        <v>45</v>
      </c>
      <c r="I5146" t="s">
        <v>36</v>
      </c>
      <c r="J5146" s="1">
        <v>45462</v>
      </c>
      <c r="K5146" t="b">
        <v>0</v>
      </c>
    </row>
    <row r="5147" spans="1:11" x14ac:dyDescent="0.25">
      <c r="A5147" t="s">
        <v>2119</v>
      </c>
      <c r="B5147" t="s">
        <v>40</v>
      </c>
      <c r="C5147" t="s">
        <v>27</v>
      </c>
      <c r="D5147" t="s">
        <v>147</v>
      </c>
      <c r="E5147" s="2">
        <v>9.5</v>
      </c>
      <c r="F5147" s="4">
        <v>7</v>
      </c>
      <c r="G5147" s="2">
        <v>66.5</v>
      </c>
      <c r="H5147" t="s">
        <v>25</v>
      </c>
      <c r="I5147" t="s">
        <v>36</v>
      </c>
      <c r="J5147" s="1">
        <v>44670</v>
      </c>
      <c r="K5147" t="b">
        <v>0</v>
      </c>
    </row>
    <row r="5148" spans="1:11" x14ac:dyDescent="0.25">
      <c r="A5148" t="s">
        <v>5668</v>
      </c>
      <c r="B5148" t="s">
        <v>30</v>
      </c>
      <c r="C5148" t="s">
        <v>23</v>
      </c>
      <c r="D5148" t="s">
        <v>410</v>
      </c>
      <c r="E5148" s="2">
        <v>11</v>
      </c>
      <c r="F5148" s="4">
        <v>6</v>
      </c>
      <c r="G5148" s="2">
        <v>66</v>
      </c>
      <c r="H5148" t="s">
        <v>15</v>
      </c>
      <c r="I5148" t="s">
        <v>16</v>
      </c>
      <c r="J5148" s="1">
        <v>45375</v>
      </c>
      <c r="K5148" t="b">
        <v>1</v>
      </c>
    </row>
    <row r="5149" spans="1:11" x14ac:dyDescent="0.25">
      <c r="A5149" t="s">
        <v>6609</v>
      </c>
      <c r="B5149" t="s">
        <v>22</v>
      </c>
      <c r="C5149" t="s">
        <v>38</v>
      </c>
      <c r="D5149" t="s">
        <v>193</v>
      </c>
      <c r="E5149" s="2">
        <v>11</v>
      </c>
      <c r="F5149" s="4">
        <v>6</v>
      </c>
      <c r="G5149" s="2">
        <v>66</v>
      </c>
      <c r="H5149" t="s">
        <v>25</v>
      </c>
      <c r="I5149" t="s">
        <v>36</v>
      </c>
      <c r="J5149" s="1">
        <v>45353</v>
      </c>
      <c r="K5149" t="b">
        <v>0</v>
      </c>
    </row>
    <row r="5150" spans="1:11" x14ac:dyDescent="0.25">
      <c r="A5150" t="s">
        <v>5108</v>
      </c>
      <c r="B5150" t="s">
        <v>51</v>
      </c>
      <c r="C5150" t="s">
        <v>19</v>
      </c>
      <c r="D5150" t="s">
        <v>689</v>
      </c>
      <c r="E5150" s="2">
        <v>11</v>
      </c>
      <c r="F5150" s="4">
        <v>6</v>
      </c>
      <c r="G5150" s="2">
        <v>66</v>
      </c>
      <c r="H5150" t="s">
        <v>25</v>
      </c>
      <c r="I5150" t="s">
        <v>36</v>
      </c>
      <c r="J5150" s="1">
        <v>45434</v>
      </c>
      <c r="K5150" t="b">
        <v>0</v>
      </c>
    </row>
    <row r="5151" spans="1:11" x14ac:dyDescent="0.25">
      <c r="A5151" t="s">
        <v>1904</v>
      </c>
      <c r="B5151" t="s">
        <v>26</v>
      </c>
      <c r="C5151" t="s">
        <v>38</v>
      </c>
      <c r="D5151" t="s">
        <v>193</v>
      </c>
      <c r="E5151" s="2">
        <v>11</v>
      </c>
      <c r="F5151" s="4">
        <v>6</v>
      </c>
      <c r="G5151" s="2">
        <v>66</v>
      </c>
      <c r="H5151" t="s">
        <v>25</v>
      </c>
      <c r="I5151" t="s">
        <v>36</v>
      </c>
      <c r="J5151" s="1">
        <v>45030</v>
      </c>
      <c r="K5151" t="b">
        <v>0</v>
      </c>
    </row>
    <row r="5152" spans="1:11" x14ac:dyDescent="0.25">
      <c r="A5152" t="s">
        <v>2234</v>
      </c>
      <c r="B5152" t="s">
        <v>72</v>
      </c>
      <c r="C5152" t="s">
        <v>110</v>
      </c>
      <c r="D5152" t="s">
        <v>118</v>
      </c>
      <c r="E5152" s="2">
        <v>11</v>
      </c>
      <c r="F5152" s="4">
        <v>6</v>
      </c>
      <c r="G5152" s="2">
        <v>66</v>
      </c>
      <c r="H5152" t="s">
        <v>25</v>
      </c>
      <c r="I5152" t="s">
        <v>16</v>
      </c>
      <c r="J5152" s="1">
        <v>44806</v>
      </c>
      <c r="K5152" t="b">
        <v>0</v>
      </c>
    </row>
    <row r="5153" spans="1:11" x14ac:dyDescent="0.25">
      <c r="A5153" t="s">
        <v>2227</v>
      </c>
      <c r="B5153" t="s">
        <v>86</v>
      </c>
      <c r="C5153" t="s">
        <v>31</v>
      </c>
      <c r="D5153" t="s">
        <v>318</v>
      </c>
      <c r="E5153" s="2">
        <v>11</v>
      </c>
      <c r="F5153" s="4">
        <v>6</v>
      </c>
      <c r="G5153" s="2">
        <v>66</v>
      </c>
      <c r="H5153" t="s">
        <v>15</v>
      </c>
      <c r="I5153" t="s">
        <v>16</v>
      </c>
      <c r="J5153" s="1">
        <v>45084</v>
      </c>
      <c r="K5153" t="b">
        <v>0</v>
      </c>
    </row>
    <row r="5154" spans="1:11" x14ac:dyDescent="0.25">
      <c r="A5154" t="s">
        <v>1412</v>
      </c>
      <c r="B5154" t="s">
        <v>93</v>
      </c>
      <c r="C5154" t="s">
        <v>31</v>
      </c>
      <c r="D5154" t="s">
        <v>318</v>
      </c>
      <c r="E5154" s="2">
        <v>11</v>
      </c>
      <c r="F5154" s="4">
        <v>6</v>
      </c>
      <c r="G5154" s="2">
        <v>66</v>
      </c>
      <c r="H5154" t="s">
        <v>45</v>
      </c>
      <c r="I5154" t="s">
        <v>36</v>
      </c>
      <c r="J5154" s="1">
        <v>45070</v>
      </c>
      <c r="K5154" t="b">
        <v>0</v>
      </c>
    </row>
    <row r="5155" spans="1:11" x14ac:dyDescent="0.25">
      <c r="A5155" t="s">
        <v>4486</v>
      </c>
      <c r="B5155" t="s">
        <v>51</v>
      </c>
      <c r="C5155" t="s">
        <v>38</v>
      </c>
      <c r="D5155" t="s">
        <v>193</v>
      </c>
      <c r="E5155" s="2">
        <v>11</v>
      </c>
      <c r="F5155" s="4">
        <v>6</v>
      </c>
      <c r="G5155" s="2">
        <v>66</v>
      </c>
      <c r="H5155" t="s">
        <v>45</v>
      </c>
      <c r="I5155" t="s">
        <v>36</v>
      </c>
      <c r="J5155" s="1">
        <v>45347</v>
      </c>
      <c r="K5155" t="b">
        <v>1</v>
      </c>
    </row>
    <row r="5156" spans="1:11" x14ac:dyDescent="0.25">
      <c r="A5156" t="s">
        <v>3994</v>
      </c>
      <c r="B5156" t="s">
        <v>40</v>
      </c>
      <c r="C5156" t="s">
        <v>23</v>
      </c>
      <c r="D5156" t="s">
        <v>410</v>
      </c>
      <c r="E5156" s="2">
        <v>11</v>
      </c>
      <c r="F5156" s="4">
        <v>6</v>
      </c>
      <c r="G5156" s="2">
        <v>66</v>
      </c>
      <c r="H5156" t="s">
        <v>25</v>
      </c>
      <c r="I5156" t="s">
        <v>36</v>
      </c>
      <c r="J5156" s="1">
        <v>45415</v>
      </c>
      <c r="K5156" t="b">
        <v>1</v>
      </c>
    </row>
    <row r="5157" spans="1:11" x14ac:dyDescent="0.25">
      <c r="A5157" t="s">
        <v>7075</v>
      </c>
      <c r="B5157" t="s">
        <v>30</v>
      </c>
      <c r="C5157" t="s">
        <v>38</v>
      </c>
      <c r="D5157" t="s">
        <v>193</v>
      </c>
      <c r="E5157" s="2">
        <v>11</v>
      </c>
      <c r="F5157" s="4">
        <v>6</v>
      </c>
      <c r="G5157" s="2">
        <v>66</v>
      </c>
      <c r="H5157" t="s">
        <v>25</v>
      </c>
      <c r="I5157" t="s">
        <v>16</v>
      </c>
      <c r="J5157" s="1">
        <v>45291</v>
      </c>
      <c r="K5157" t="b">
        <v>1</v>
      </c>
    </row>
    <row r="5158" spans="1:11" x14ac:dyDescent="0.25">
      <c r="A5158" t="s">
        <v>4588</v>
      </c>
      <c r="B5158" t="s">
        <v>142</v>
      </c>
      <c r="C5158" t="s">
        <v>13</v>
      </c>
      <c r="D5158" t="s">
        <v>471</v>
      </c>
      <c r="E5158" s="2">
        <v>11</v>
      </c>
      <c r="F5158" s="4">
        <v>6</v>
      </c>
      <c r="G5158" s="2">
        <v>66</v>
      </c>
      <c r="H5158" t="s">
        <v>15</v>
      </c>
      <c r="I5158" t="s">
        <v>36</v>
      </c>
      <c r="J5158" s="1">
        <v>45089</v>
      </c>
      <c r="K5158" t="b">
        <v>1</v>
      </c>
    </row>
    <row r="5159" spans="1:11" x14ac:dyDescent="0.25">
      <c r="A5159" t="s">
        <v>1591</v>
      </c>
      <c r="B5159" t="s">
        <v>51</v>
      </c>
      <c r="C5159" t="s">
        <v>31</v>
      </c>
      <c r="D5159" t="s">
        <v>318</v>
      </c>
      <c r="E5159" s="2">
        <v>11</v>
      </c>
      <c r="F5159" s="4">
        <v>6</v>
      </c>
      <c r="G5159" s="2">
        <v>66</v>
      </c>
      <c r="H5159" t="s">
        <v>45</v>
      </c>
      <c r="I5159" t="s">
        <v>16</v>
      </c>
      <c r="J5159" s="1">
        <v>44983</v>
      </c>
      <c r="K5159" t="b">
        <v>1</v>
      </c>
    </row>
    <row r="5160" spans="1:11" x14ac:dyDescent="0.25">
      <c r="A5160" t="s">
        <v>2182</v>
      </c>
      <c r="B5160" t="s">
        <v>34</v>
      </c>
      <c r="C5160" t="s">
        <v>31</v>
      </c>
      <c r="D5160" t="s">
        <v>318</v>
      </c>
      <c r="E5160" s="2">
        <v>11</v>
      </c>
      <c r="F5160" s="4">
        <v>6</v>
      </c>
      <c r="G5160" s="2">
        <v>66</v>
      </c>
      <c r="H5160" t="s">
        <v>15</v>
      </c>
      <c r="I5160" t="s">
        <v>16</v>
      </c>
      <c r="J5160" s="1">
        <v>45300</v>
      </c>
      <c r="K5160" t="b">
        <v>0</v>
      </c>
    </row>
    <row r="5161" spans="1:11" x14ac:dyDescent="0.25">
      <c r="A5161" t="s">
        <v>3049</v>
      </c>
      <c r="B5161" t="s">
        <v>12</v>
      </c>
      <c r="C5161" t="s">
        <v>31</v>
      </c>
      <c r="D5161" t="s">
        <v>318</v>
      </c>
      <c r="E5161" s="2">
        <v>11</v>
      </c>
      <c r="F5161" s="4">
        <v>6</v>
      </c>
      <c r="G5161" s="2">
        <v>66</v>
      </c>
      <c r="H5161" t="s">
        <v>25</v>
      </c>
      <c r="I5161" t="s">
        <v>16</v>
      </c>
      <c r="J5161" s="1">
        <v>45402</v>
      </c>
      <c r="K5161" t="b">
        <v>1</v>
      </c>
    </row>
    <row r="5162" spans="1:11" x14ac:dyDescent="0.25">
      <c r="A5162" t="s">
        <v>7066</v>
      </c>
      <c r="B5162" t="s">
        <v>85</v>
      </c>
      <c r="C5162" t="s">
        <v>110</v>
      </c>
      <c r="D5162" t="s">
        <v>118</v>
      </c>
      <c r="E5162" s="2">
        <v>11</v>
      </c>
      <c r="F5162" s="4">
        <v>6</v>
      </c>
      <c r="G5162" s="2">
        <v>66</v>
      </c>
      <c r="H5162" t="s">
        <v>45</v>
      </c>
      <c r="I5162" t="s">
        <v>36</v>
      </c>
      <c r="J5162" s="1">
        <v>45585</v>
      </c>
      <c r="K5162" t="b">
        <v>0</v>
      </c>
    </row>
    <row r="5163" spans="1:11" x14ac:dyDescent="0.25">
      <c r="A5163" t="s">
        <v>6007</v>
      </c>
      <c r="B5163" t="s">
        <v>63</v>
      </c>
      <c r="C5163" t="s">
        <v>110</v>
      </c>
      <c r="D5163" t="s">
        <v>118</v>
      </c>
      <c r="E5163" s="2">
        <v>11</v>
      </c>
      <c r="F5163" s="4">
        <v>6</v>
      </c>
      <c r="G5163" s="2">
        <v>66</v>
      </c>
      <c r="H5163" t="s">
        <v>15</v>
      </c>
      <c r="I5163" t="s">
        <v>36</v>
      </c>
      <c r="J5163" s="1">
        <v>45510</v>
      </c>
      <c r="K5163" t="b">
        <v>1</v>
      </c>
    </row>
    <row r="5164" spans="1:11" x14ac:dyDescent="0.25">
      <c r="A5164" t="s">
        <v>4285</v>
      </c>
      <c r="B5164" t="s">
        <v>12</v>
      </c>
      <c r="C5164" t="s">
        <v>31</v>
      </c>
      <c r="D5164" t="s">
        <v>318</v>
      </c>
      <c r="E5164" s="2">
        <v>11</v>
      </c>
      <c r="F5164" s="4">
        <v>6</v>
      </c>
      <c r="G5164" s="2">
        <v>66</v>
      </c>
      <c r="H5164" t="s">
        <v>25</v>
      </c>
      <c r="I5164" t="s">
        <v>36</v>
      </c>
      <c r="J5164" s="1">
        <v>45472</v>
      </c>
      <c r="K5164" t="b">
        <v>0</v>
      </c>
    </row>
    <row r="5165" spans="1:11" x14ac:dyDescent="0.25">
      <c r="A5165" t="s">
        <v>4040</v>
      </c>
      <c r="B5165" t="s">
        <v>69</v>
      </c>
      <c r="C5165" t="s">
        <v>31</v>
      </c>
      <c r="D5165" t="s">
        <v>318</v>
      </c>
      <c r="E5165" s="2">
        <v>11</v>
      </c>
      <c r="F5165" s="4">
        <v>6</v>
      </c>
      <c r="G5165" s="2">
        <v>66</v>
      </c>
      <c r="H5165" t="s">
        <v>15</v>
      </c>
      <c r="I5165" t="s">
        <v>36</v>
      </c>
      <c r="J5165" s="1">
        <v>45427</v>
      </c>
      <c r="K5165" t="b">
        <v>1</v>
      </c>
    </row>
    <row r="5166" spans="1:11" x14ac:dyDescent="0.25">
      <c r="A5166" t="s">
        <v>346</v>
      </c>
      <c r="B5166" t="s">
        <v>61</v>
      </c>
      <c r="C5166" t="s">
        <v>59</v>
      </c>
      <c r="D5166" t="s">
        <v>347</v>
      </c>
      <c r="E5166" s="2">
        <v>11</v>
      </c>
      <c r="F5166" s="4">
        <v>6</v>
      </c>
      <c r="G5166" s="2">
        <v>66</v>
      </c>
      <c r="H5166" t="s">
        <v>15</v>
      </c>
      <c r="I5166" t="s">
        <v>36</v>
      </c>
      <c r="J5166" s="1">
        <v>44825</v>
      </c>
      <c r="K5166" t="b">
        <v>1</v>
      </c>
    </row>
    <row r="5167" spans="1:11" x14ac:dyDescent="0.25">
      <c r="A5167" t="s">
        <v>1617</v>
      </c>
      <c r="B5167" t="s">
        <v>61</v>
      </c>
      <c r="C5167" t="s">
        <v>31</v>
      </c>
      <c r="D5167" t="s">
        <v>318</v>
      </c>
      <c r="E5167" s="2">
        <v>11</v>
      </c>
      <c r="F5167" s="4">
        <v>6</v>
      </c>
      <c r="G5167" s="2">
        <v>66</v>
      </c>
      <c r="H5167" t="s">
        <v>15</v>
      </c>
      <c r="I5167" t="s">
        <v>36</v>
      </c>
      <c r="J5167" s="1">
        <v>45238</v>
      </c>
      <c r="K5167" t="b">
        <v>0</v>
      </c>
    </row>
    <row r="5168" spans="1:11" x14ac:dyDescent="0.25">
      <c r="A5168" t="s">
        <v>4877</v>
      </c>
      <c r="B5168" t="s">
        <v>37</v>
      </c>
      <c r="C5168" t="s">
        <v>31</v>
      </c>
      <c r="D5168" t="s">
        <v>318</v>
      </c>
      <c r="E5168" s="2">
        <v>11</v>
      </c>
      <c r="F5168" s="4">
        <v>6</v>
      </c>
      <c r="G5168" s="2">
        <v>66</v>
      </c>
      <c r="H5168" t="s">
        <v>15</v>
      </c>
      <c r="I5168" t="s">
        <v>36</v>
      </c>
      <c r="J5168" s="1">
        <v>45165</v>
      </c>
      <c r="K5168" t="b">
        <v>0</v>
      </c>
    </row>
    <row r="5169" spans="1:11" x14ac:dyDescent="0.25">
      <c r="A5169" t="s">
        <v>7224</v>
      </c>
      <c r="B5169" t="s">
        <v>40</v>
      </c>
      <c r="C5169" t="s">
        <v>23</v>
      </c>
      <c r="D5169" t="s">
        <v>410</v>
      </c>
      <c r="E5169" s="2">
        <v>11</v>
      </c>
      <c r="F5169" s="4">
        <v>6</v>
      </c>
      <c r="G5169" s="2">
        <v>66</v>
      </c>
      <c r="H5169" t="s">
        <v>25</v>
      </c>
      <c r="I5169" t="s">
        <v>16</v>
      </c>
      <c r="J5169" s="1">
        <v>44567</v>
      </c>
      <c r="K5169" t="b">
        <v>1</v>
      </c>
    </row>
    <row r="5170" spans="1:11" x14ac:dyDescent="0.25">
      <c r="A5170" t="s">
        <v>117</v>
      </c>
      <c r="B5170" t="s">
        <v>40</v>
      </c>
      <c r="C5170" t="s">
        <v>110</v>
      </c>
      <c r="D5170" t="s">
        <v>118</v>
      </c>
      <c r="E5170" s="2">
        <v>11</v>
      </c>
      <c r="F5170" s="4">
        <v>6</v>
      </c>
      <c r="G5170" s="2">
        <v>66</v>
      </c>
      <c r="H5170" t="s">
        <v>25</v>
      </c>
      <c r="I5170" t="s">
        <v>16</v>
      </c>
      <c r="J5170" s="1">
        <v>45360</v>
      </c>
      <c r="K5170" t="b">
        <v>1</v>
      </c>
    </row>
    <row r="5171" spans="1:11" x14ac:dyDescent="0.25">
      <c r="A5171" t="s">
        <v>7593</v>
      </c>
      <c r="B5171" t="s">
        <v>61</v>
      </c>
      <c r="C5171" t="s">
        <v>59</v>
      </c>
      <c r="D5171" t="s">
        <v>347</v>
      </c>
      <c r="E5171" s="2">
        <v>11</v>
      </c>
      <c r="F5171" s="4">
        <v>6</v>
      </c>
      <c r="G5171" s="2">
        <v>66</v>
      </c>
      <c r="H5171" t="s">
        <v>45</v>
      </c>
      <c r="I5171" t="s">
        <v>16</v>
      </c>
      <c r="J5171" s="1">
        <v>45595</v>
      </c>
      <c r="K5171" t="b">
        <v>0</v>
      </c>
    </row>
    <row r="5172" spans="1:11" x14ac:dyDescent="0.25">
      <c r="A5172" t="s">
        <v>5673</v>
      </c>
      <c r="B5172" t="s">
        <v>30</v>
      </c>
      <c r="C5172" t="s">
        <v>110</v>
      </c>
      <c r="D5172" t="s">
        <v>118</v>
      </c>
      <c r="E5172" s="2">
        <v>11</v>
      </c>
      <c r="F5172" s="4">
        <v>6</v>
      </c>
      <c r="G5172" s="2">
        <v>66</v>
      </c>
      <c r="H5172" t="s">
        <v>25</v>
      </c>
      <c r="I5172" t="s">
        <v>16</v>
      </c>
      <c r="J5172" s="1">
        <v>45551</v>
      </c>
      <c r="K5172" t="b">
        <v>0</v>
      </c>
    </row>
    <row r="5173" spans="1:11" x14ac:dyDescent="0.25">
      <c r="A5173" t="s">
        <v>2929</v>
      </c>
      <c r="B5173" t="s">
        <v>93</v>
      </c>
      <c r="C5173" t="s">
        <v>38</v>
      </c>
      <c r="D5173" t="s">
        <v>193</v>
      </c>
      <c r="E5173" s="2">
        <v>11</v>
      </c>
      <c r="F5173" s="4">
        <v>6</v>
      </c>
      <c r="G5173" s="2">
        <v>66</v>
      </c>
      <c r="H5173" t="s">
        <v>15</v>
      </c>
      <c r="I5173" t="s">
        <v>16</v>
      </c>
      <c r="J5173" s="1">
        <v>45650</v>
      </c>
      <c r="K5173" t="b">
        <v>1</v>
      </c>
    </row>
    <row r="5174" spans="1:11" x14ac:dyDescent="0.25">
      <c r="A5174" t="s">
        <v>3929</v>
      </c>
      <c r="B5174" t="s">
        <v>37</v>
      </c>
      <c r="C5174" t="s">
        <v>31</v>
      </c>
      <c r="D5174" t="s">
        <v>318</v>
      </c>
      <c r="E5174" s="2">
        <v>11</v>
      </c>
      <c r="F5174" s="4">
        <v>6</v>
      </c>
      <c r="G5174" s="2">
        <v>66</v>
      </c>
      <c r="H5174" t="s">
        <v>15</v>
      </c>
      <c r="I5174" t="s">
        <v>36</v>
      </c>
      <c r="J5174" s="1">
        <v>44886</v>
      </c>
      <c r="K5174" t="b">
        <v>0</v>
      </c>
    </row>
    <row r="5175" spans="1:11" x14ac:dyDescent="0.25">
      <c r="A5175" t="s">
        <v>3628</v>
      </c>
      <c r="B5175" t="s">
        <v>69</v>
      </c>
      <c r="C5175" t="s">
        <v>31</v>
      </c>
      <c r="D5175" t="s">
        <v>318</v>
      </c>
      <c r="E5175" s="2">
        <v>11</v>
      </c>
      <c r="F5175" s="4">
        <v>6</v>
      </c>
      <c r="G5175" s="2">
        <v>66</v>
      </c>
      <c r="H5175" t="s">
        <v>15</v>
      </c>
      <c r="I5175" t="s">
        <v>36</v>
      </c>
      <c r="J5175" s="1">
        <v>45578</v>
      </c>
      <c r="K5175" t="b">
        <v>0</v>
      </c>
    </row>
    <row r="5176" spans="1:11" x14ac:dyDescent="0.25">
      <c r="A5176" t="s">
        <v>3949</v>
      </c>
      <c r="B5176" t="s">
        <v>12</v>
      </c>
      <c r="C5176" t="s">
        <v>23</v>
      </c>
      <c r="D5176" t="s">
        <v>410</v>
      </c>
      <c r="E5176" s="2">
        <v>11</v>
      </c>
      <c r="F5176" s="4">
        <v>6</v>
      </c>
      <c r="G5176" s="2">
        <v>66</v>
      </c>
      <c r="H5176" t="s">
        <v>25</v>
      </c>
      <c r="I5176" t="s">
        <v>16</v>
      </c>
      <c r="J5176" s="1">
        <v>44584</v>
      </c>
      <c r="K5176" t="b">
        <v>1</v>
      </c>
    </row>
    <row r="5177" spans="1:11" x14ac:dyDescent="0.25">
      <c r="A5177" t="s">
        <v>6678</v>
      </c>
      <c r="B5177" t="s">
        <v>69</v>
      </c>
      <c r="C5177" t="s">
        <v>59</v>
      </c>
      <c r="D5177" t="s">
        <v>347</v>
      </c>
      <c r="E5177" s="2">
        <v>11</v>
      </c>
      <c r="F5177" s="4">
        <v>6</v>
      </c>
      <c r="G5177" s="2">
        <v>66</v>
      </c>
      <c r="H5177" t="s">
        <v>15</v>
      </c>
      <c r="I5177" t="s">
        <v>36</v>
      </c>
      <c r="J5177" s="1">
        <v>45092</v>
      </c>
      <c r="K5177" t="b">
        <v>0</v>
      </c>
    </row>
    <row r="5178" spans="1:11" x14ac:dyDescent="0.25">
      <c r="A5178" t="s">
        <v>985</v>
      </c>
      <c r="B5178" t="s">
        <v>100</v>
      </c>
      <c r="C5178" t="s">
        <v>110</v>
      </c>
      <c r="D5178" t="s">
        <v>118</v>
      </c>
      <c r="E5178" s="2">
        <v>11</v>
      </c>
      <c r="F5178" s="4">
        <v>6</v>
      </c>
      <c r="G5178" s="2">
        <v>66</v>
      </c>
      <c r="H5178" t="s">
        <v>15</v>
      </c>
      <c r="I5178" t="s">
        <v>36</v>
      </c>
      <c r="J5178" s="1">
        <v>45673</v>
      </c>
      <c r="K5178" t="b">
        <v>0</v>
      </c>
    </row>
    <row r="5179" spans="1:11" x14ac:dyDescent="0.25">
      <c r="A5179" t="s">
        <v>4897</v>
      </c>
      <c r="B5179" t="s">
        <v>22</v>
      </c>
      <c r="C5179" t="s">
        <v>59</v>
      </c>
      <c r="D5179" t="s">
        <v>347</v>
      </c>
      <c r="E5179" s="2">
        <v>11</v>
      </c>
      <c r="F5179" s="4">
        <v>6</v>
      </c>
      <c r="G5179" s="2">
        <v>66</v>
      </c>
      <c r="H5179" t="s">
        <v>15</v>
      </c>
      <c r="I5179" t="s">
        <v>36</v>
      </c>
      <c r="J5179" s="1">
        <v>45241</v>
      </c>
      <c r="K5179" t="b">
        <v>1</v>
      </c>
    </row>
    <row r="5180" spans="1:11" x14ac:dyDescent="0.25">
      <c r="A5180" t="s">
        <v>2019</v>
      </c>
      <c r="B5180" t="s">
        <v>61</v>
      </c>
      <c r="C5180" t="s">
        <v>27</v>
      </c>
      <c r="D5180" t="s">
        <v>246</v>
      </c>
      <c r="E5180" s="2">
        <v>6.5</v>
      </c>
      <c r="F5180" s="4">
        <v>10</v>
      </c>
      <c r="G5180" s="2">
        <v>65</v>
      </c>
      <c r="H5180" t="s">
        <v>25</v>
      </c>
      <c r="I5180" t="s">
        <v>16</v>
      </c>
      <c r="J5180" s="1">
        <v>44683</v>
      </c>
      <c r="K5180" t="b">
        <v>0</v>
      </c>
    </row>
    <row r="5181" spans="1:11" x14ac:dyDescent="0.25">
      <c r="A5181" t="s">
        <v>1703</v>
      </c>
      <c r="B5181" t="s">
        <v>61</v>
      </c>
      <c r="C5181" t="s">
        <v>31</v>
      </c>
      <c r="D5181" t="s">
        <v>49</v>
      </c>
      <c r="E5181" s="2">
        <v>6.5</v>
      </c>
      <c r="F5181" s="4">
        <v>10</v>
      </c>
      <c r="G5181" s="2">
        <v>65</v>
      </c>
      <c r="H5181" t="s">
        <v>45</v>
      </c>
      <c r="I5181" t="s">
        <v>36</v>
      </c>
      <c r="J5181" s="1">
        <v>44851</v>
      </c>
      <c r="K5181" t="b">
        <v>0</v>
      </c>
    </row>
    <row r="5182" spans="1:11" x14ac:dyDescent="0.25">
      <c r="A5182" t="s">
        <v>843</v>
      </c>
      <c r="B5182" t="s">
        <v>85</v>
      </c>
      <c r="C5182" t="s">
        <v>19</v>
      </c>
      <c r="D5182" t="s">
        <v>308</v>
      </c>
      <c r="E5182" s="2">
        <v>6.5</v>
      </c>
      <c r="F5182" s="4">
        <v>10</v>
      </c>
      <c r="G5182" s="2">
        <v>65</v>
      </c>
      <c r="H5182" t="s">
        <v>25</v>
      </c>
      <c r="I5182" t="s">
        <v>36</v>
      </c>
      <c r="J5182" s="1">
        <v>45476</v>
      </c>
      <c r="K5182" t="b">
        <v>1</v>
      </c>
    </row>
    <row r="5183" spans="1:11" x14ac:dyDescent="0.25">
      <c r="A5183" t="s">
        <v>6738</v>
      </c>
      <c r="B5183" t="s">
        <v>69</v>
      </c>
      <c r="C5183" t="s">
        <v>38</v>
      </c>
      <c r="D5183" t="s">
        <v>235</v>
      </c>
      <c r="E5183" s="2">
        <v>6.5</v>
      </c>
      <c r="F5183" s="4">
        <v>10</v>
      </c>
      <c r="G5183" s="2">
        <v>65</v>
      </c>
      <c r="H5183" t="s">
        <v>15</v>
      </c>
      <c r="I5183" t="s">
        <v>36</v>
      </c>
      <c r="J5183" s="1">
        <v>44681</v>
      </c>
      <c r="K5183" t="b">
        <v>1</v>
      </c>
    </row>
    <row r="5184" spans="1:11" x14ac:dyDescent="0.25">
      <c r="A5184" t="s">
        <v>1950</v>
      </c>
      <c r="B5184" t="s">
        <v>85</v>
      </c>
      <c r="C5184" t="s">
        <v>38</v>
      </c>
      <c r="D5184" t="s">
        <v>235</v>
      </c>
      <c r="E5184" s="2">
        <v>6.5</v>
      </c>
      <c r="F5184" s="4">
        <v>10</v>
      </c>
      <c r="G5184" s="2">
        <v>65</v>
      </c>
      <c r="H5184" t="s">
        <v>25</v>
      </c>
      <c r="I5184" t="s">
        <v>36</v>
      </c>
      <c r="J5184" s="1">
        <v>44616</v>
      </c>
      <c r="K5184" t="b">
        <v>0</v>
      </c>
    </row>
    <row r="5185" spans="1:11" x14ac:dyDescent="0.25">
      <c r="A5185" t="s">
        <v>2495</v>
      </c>
      <c r="B5185" t="s">
        <v>18</v>
      </c>
      <c r="C5185" t="s">
        <v>27</v>
      </c>
      <c r="D5185" t="s">
        <v>246</v>
      </c>
      <c r="E5185" s="2">
        <v>6.5</v>
      </c>
      <c r="F5185" s="4">
        <v>10</v>
      </c>
      <c r="G5185" s="2">
        <v>65</v>
      </c>
      <c r="H5185" t="s">
        <v>15</v>
      </c>
      <c r="I5185" t="s">
        <v>16</v>
      </c>
      <c r="J5185" s="1">
        <v>45458</v>
      </c>
      <c r="K5185" t="b">
        <v>0</v>
      </c>
    </row>
    <row r="5186" spans="1:11" x14ac:dyDescent="0.25">
      <c r="A5186" t="s">
        <v>4755</v>
      </c>
      <c r="B5186" t="s">
        <v>77</v>
      </c>
      <c r="C5186" t="s">
        <v>110</v>
      </c>
      <c r="D5186" t="s">
        <v>221</v>
      </c>
      <c r="E5186" s="2">
        <v>6.5</v>
      </c>
      <c r="F5186" s="4">
        <v>10</v>
      </c>
      <c r="G5186" s="2">
        <v>65</v>
      </c>
      <c r="H5186" t="s">
        <v>45</v>
      </c>
      <c r="I5186" t="s">
        <v>36</v>
      </c>
      <c r="J5186" s="1">
        <v>44818</v>
      </c>
      <c r="K5186" t="b">
        <v>1</v>
      </c>
    </row>
    <row r="5187" spans="1:11" x14ac:dyDescent="0.25">
      <c r="A5187" t="s">
        <v>3535</v>
      </c>
      <c r="B5187" t="s">
        <v>58</v>
      </c>
      <c r="C5187" t="s">
        <v>27</v>
      </c>
      <c r="D5187" t="s">
        <v>246</v>
      </c>
      <c r="E5187" s="2">
        <v>6.5</v>
      </c>
      <c r="F5187" s="4">
        <v>10</v>
      </c>
      <c r="G5187" s="2">
        <v>65</v>
      </c>
      <c r="H5187" t="s">
        <v>15</v>
      </c>
      <c r="I5187" t="s">
        <v>36</v>
      </c>
      <c r="J5187" s="1">
        <v>45579</v>
      </c>
      <c r="K5187" t="b">
        <v>1</v>
      </c>
    </row>
    <row r="5188" spans="1:11" x14ac:dyDescent="0.25">
      <c r="A5188" t="s">
        <v>1467</v>
      </c>
      <c r="B5188" t="s">
        <v>77</v>
      </c>
      <c r="C5188" t="s">
        <v>38</v>
      </c>
      <c r="D5188" t="s">
        <v>235</v>
      </c>
      <c r="E5188" s="2">
        <v>6.5</v>
      </c>
      <c r="F5188" s="4">
        <v>10</v>
      </c>
      <c r="G5188" s="2">
        <v>65</v>
      </c>
      <c r="H5188" t="s">
        <v>25</v>
      </c>
      <c r="I5188" t="s">
        <v>36</v>
      </c>
      <c r="J5188" s="1">
        <v>45221</v>
      </c>
      <c r="K5188" t="b">
        <v>1</v>
      </c>
    </row>
    <row r="5189" spans="1:11" x14ac:dyDescent="0.25">
      <c r="A5189" t="s">
        <v>569</v>
      </c>
      <c r="B5189" t="s">
        <v>104</v>
      </c>
      <c r="C5189" t="s">
        <v>19</v>
      </c>
      <c r="D5189" t="s">
        <v>308</v>
      </c>
      <c r="E5189" s="2">
        <v>6.5</v>
      </c>
      <c r="F5189" s="4">
        <v>10</v>
      </c>
      <c r="G5189" s="2">
        <v>65</v>
      </c>
      <c r="H5189" t="s">
        <v>25</v>
      </c>
      <c r="I5189" t="s">
        <v>16</v>
      </c>
      <c r="J5189" s="1">
        <v>45097</v>
      </c>
      <c r="K5189" t="b">
        <v>1</v>
      </c>
    </row>
    <row r="5190" spans="1:11" x14ac:dyDescent="0.25">
      <c r="A5190" t="s">
        <v>1201</v>
      </c>
      <c r="B5190" t="s">
        <v>63</v>
      </c>
      <c r="C5190" t="s">
        <v>27</v>
      </c>
      <c r="D5190" t="s">
        <v>246</v>
      </c>
      <c r="E5190" s="2">
        <v>6.5</v>
      </c>
      <c r="F5190" s="4">
        <v>10</v>
      </c>
      <c r="G5190" s="2">
        <v>65</v>
      </c>
      <c r="H5190" t="s">
        <v>45</v>
      </c>
      <c r="I5190" t="s">
        <v>36</v>
      </c>
      <c r="J5190" s="1">
        <v>44999</v>
      </c>
      <c r="K5190" t="b">
        <v>0</v>
      </c>
    </row>
    <row r="5191" spans="1:11" x14ac:dyDescent="0.25">
      <c r="A5191" t="s">
        <v>5807</v>
      </c>
      <c r="B5191" t="s">
        <v>77</v>
      </c>
      <c r="C5191" t="s">
        <v>38</v>
      </c>
      <c r="D5191" t="s">
        <v>235</v>
      </c>
      <c r="E5191" s="2">
        <v>6.5</v>
      </c>
      <c r="F5191" s="4">
        <v>10</v>
      </c>
      <c r="G5191" s="2">
        <v>65</v>
      </c>
      <c r="H5191" t="s">
        <v>25</v>
      </c>
      <c r="I5191" t="s">
        <v>16</v>
      </c>
      <c r="J5191" s="1">
        <v>44750</v>
      </c>
      <c r="K5191" t="b">
        <v>0</v>
      </c>
    </row>
    <row r="5192" spans="1:11" x14ac:dyDescent="0.25">
      <c r="A5192" t="s">
        <v>5895</v>
      </c>
      <c r="B5192" t="s">
        <v>26</v>
      </c>
      <c r="C5192" t="s">
        <v>27</v>
      </c>
      <c r="D5192" t="s">
        <v>246</v>
      </c>
      <c r="E5192" s="2">
        <v>6.5</v>
      </c>
      <c r="F5192" s="4">
        <v>10</v>
      </c>
      <c r="G5192" s="2">
        <v>65</v>
      </c>
      <c r="H5192" t="s">
        <v>25</v>
      </c>
      <c r="I5192" t="s">
        <v>16</v>
      </c>
      <c r="J5192" s="1">
        <v>44693</v>
      </c>
      <c r="K5192" t="b">
        <v>0</v>
      </c>
    </row>
    <row r="5193" spans="1:11" x14ac:dyDescent="0.25">
      <c r="A5193" t="s">
        <v>3661</v>
      </c>
      <c r="B5193" t="s">
        <v>104</v>
      </c>
      <c r="C5193" t="s">
        <v>38</v>
      </c>
      <c r="D5193" t="s">
        <v>235</v>
      </c>
      <c r="E5193" s="2">
        <v>6.5</v>
      </c>
      <c r="F5193" s="4">
        <v>10</v>
      </c>
      <c r="G5193" s="2">
        <v>65</v>
      </c>
      <c r="H5193" t="s">
        <v>25</v>
      </c>
      <c r="I5193" t="s">
        <v>16</v>
      </c>
      <c r="J5193" s="1">
        <v>45122</v>
      </c>
      <c r="K5193" t="b">
        <v>0</v>
      </c>
    </row>
    <row r="5194" spans="1:11" x14ac:dyDescent="0.25">
      <c r="A5194" t="s">
        <v>7138</v>
      </c>
      <c r="B5194" t="s">
        <v>77</v>
      </c>
      <c r="C5194" t="s">
        <v>38</v>
      </c>
      <c r="D5194" t="s">
        <v>235</v>
      </c>
      <c r="E5194" s="2">
        <v>6.5</v>
      </c>
      <c r="F5194" s="4">
        <v>10</v>
      </c>
      <c r="G5194" s="2">
        <v>65</v>
      </c>
      <c r="H5194" t="s">
        <v>25</v>
      </c>
      <c r="I5194" t="s">
        <v>36</v>
      </c>
      <c r="J5194" s="1">
        <v>45160</v>
      </c>
      <c r="K5194" t="b">
        <v>0</v>
      </c>
    </row>
    <row r="5195" spans="1:11" x14ac:dyDescent="0.25">
      <c r="A5195" t="s">
        <v>5497</v>
      </c>
      <c r="B5195" t="s">
        <v>66</v>
      </c>
      <c r="C5195" t="s">
        <v>23</v>
      </c>
      <c r="D5195" t="s">
        <v>137</v>
      </c>
      <c r="E5195" s="2">
        <v>6.5</v>
      </c>
      <c r="F5195" s="4">
        <v>10</v>
      </c>
      <c r="G5195" s="2">
        <v>65</v>
      </c>
      <c r="H5195" t="s">
        <v>25</v>
      </c>
      <c r="I5195" t="s">
        <v>36</v>
      </c>
      <c r="J5195" s="1">
        <v>45564</v>
      </c>
      <c r="K5195" t="b">
        <v>0</v>
      </c>
    </row>
    <row r="5196" spans="1:11" x14ac:dyDescent="0.25">
      <c r="A5196" t="s">
        <v>3710</v>
      </c>
      <c r="B5196" t="s">
        <v>18</v>
      </c>
      <c r="C5196" t="s">
        <v>27</v>
      </c>
      <c r="D5196" t="s">
        <v>246</v>
      </c>
      <c r="E5196" s="2">
        <v>6.5</v>
      </c>
      <c r="F5196" s="4">
        <v>10</v>
      </c>
      <c r="G5196" s="2">
        <v>65</v>
      </c>
      <c r="H5196" t="s">
        <v>15</v>
      </c>
      <c r="I5196" t="s">
        <v>16</v>
      </c>
      <c r="J5196" s="1">
        <v>45223</v>
      </c>
      <c r="K5196" t="b">
        <v>1</v>
      </c>
    </row>
    <row r="5197" spans="1:11" x14ac:dyDescent="0.25">
      <c r="A5197" t="s">
        <v>2500</v>
      </c>
      <c r="B5197" t="s">
        <v>86</v>
      </c>
      <c r="C5197" t="s">
        <v>38</v>
      </c>
      <c r="D5197" t="s">
        <v>235</v>
      </c>
      <c r="E5197" s="2">
        <v>6.5</v>
      </c>
      <c r="F5197" s="4">
        <v>10</v>
      </c>
      <c r="G5197" s="2">
        <v>65</v>
      </c>
      <c r="H5197" t="s">
        <v>45</v>
      </c>
      <c r="I5197" t="s">
        <v>36</v>
      </c>
      <c r="J5197" s="1">
        <v>45065</v>
      </c>
      <c r="K5197" t="b">
        <v>1</v>
      </c>
    </row>
    <row r="5198" spans="1:11" x14ac:dyDescent="0.25">
      <c r="A5198" t="s">
        <v>5625</v>
      </c>
      <c r="B5198" t="s">
        <v>97</v>
      </c>
      <c r="C5198" t="s">
        <v>59</v>
      </c>
      <c r="D5198" t="s">
        <v>541</v>
      </c>
      <c r="E5198" s="2">
        <v>6.5</v>
      </c>
      <c r="F5198" s="4">
        <v>10</v>
      </c>
      <c r="G5198" s="2">
        <v>65</v>
      </c>
      <c r="H5198" t="s">
        <v>45</v>
      </c>
      <c r="I5198" t="s">
        <v>36</v>
      </c>
      <c r="J5198" s="1">
        <v>44695</v>
      </c>
      <c r="K5198" t="b">
        <v>0</v>
      </c>
    </row>
    <row r="5199" spans="1:11" x14ac:dyDescent="0.25">
      <c r="A5199" t="s">
        <v>4438</v>
      </c>
      <c r="B5199" t="s">
        <v>40</v>
      </c>
      <c r="C5199" t="s">
        <v>19</v>
      </c>
      <c r="D5199" t="s">
        <v>308</v>
      </c>
      <c r="E5199" s="2">
        <v>6.5</v>
      </c>
      <c r="F5199" s="4">
        <v>10</v>
      </c>
      <c r="G5199" s="2">
        <v>65</v>
      </c>
      <c r="H5199" t="s">
        <v>25</v>
      </c>
      <c r="I5199" t="s">
        <v>36</v>
      </c>
      <c r="J5199" s="1">
        <v>44855</v>
      </c>
      <c r="K5199" t="b">
        <v>0</v>
      </c>
    </row>
    <row r="5200" spans="1:11" x14ac:dyDescent="0.25">
      <c r="A5200" t="s">
        <v>805</v>
      </c>
      <c r="B5200" t="s">
        <v>61</v>
      </c>
      <c r="C5200" t="s">
        <v>110</v>
      </c>
      <c r="D5200" t="s">
        <v>221</v>
      </c>
      <c r="E5200" s="2">
        <v>6.5</v>
      </c>
      <c r="F5200" s="4">
        <v>10</v>
      </c>
      <c r="G5200" s="2">
        <v>65</v>
      </c>
      <c r="H5200" t="s">
        <v>45</v>
      </c>
      <c r="I5200" t="s">
        <v>16</v>
      </c>
      <c r="J5200" s="1">
        <v>45672</v>
      </c>
      <c r="K5200" t="b">
        <v>0</v>
      </c>
    </row>
    <row r="5201" spans="1:11" x14ac:dyDescent="0.25">
      <c r="A5201" t="s">
        <v>3766</v>
      </c>
      <c r="B5201" t="s">
        <v>26</v>
      </c>
      <c r="C5201" t="s">
        <v>110</v>
      </c>
      <c r="D5201" t="s">
        <v>221</v>
      </c>
      <c r="E5201" s="2">
        <v>6.5</v>
      </c>
      <c r="F5201" s="4">
        <v>10</v>
      </c>
      <c r="G5201" s="2">
        <v>65</v>
      </c>
      <c r="H5201" t="s">
        <v>15</v>
      </c>
      <c r="I5201" t="s">
        <v>16</v>
      </c>
      <c r="J5201" s="1">
        <v>45524</v>
      </c>
      <c r="K5201" t="b">
        <v>1</v>
      </c>
    </row>
    <row r="5202" spans="1:11" x14ac:dyDescent="0.25">
      <c r="A5202" t="s">
        <v>5448</v>
      </c>
      <c r="B5202" t="s">
        <v>85</v>
      </c>
      <c r="C5202" t="s">
        <v>38</v>
      </c>
      <c r="D5202" t="s">
        <v>235</v>
      </c>
      <c r="E5202" s="2">
        <v>6.5</v>
      </c>
      <c r="F5202" s="4">
        <v>10</v>
      </c>
      <c r="G5202" s="2">
        <v>65</v>
      </c>
      <c r="H5202" t="s">
        <v>45</v>
      </c>
      <c r="I5202" t="s">
        <v>36</v>
      </c>
      <c r="J5202" s="1">
        <v>44719</v>
      </c>
      <c r="K5202" t="b">
        <v>1</v>
      </c>
    </row>
    <row r="5203" spans="1:11" x14ac:dyDescent="0.25">
      <c r="A5203" t="s">
        <v>5995</v>
      </c>
      <c r="B5203" t="s">
        <v>69</v>
      </c>
      <c r="C5203" t="s">
        <v>38</v>
      </c>
      <c r="D5203" t="s">
        <v>235</v>
      </c>
      <c r="E5203" s="2">
        <v>6.5</v>
      </c>
      <c r="F5203" s="4">
        <v>10</v>
      </c>
      <c r="G5203" s="2">
        <v>65</v>
      </c>
      <c r="H5203" t="s">
        <v>15</v>
      </c>
      <c r="I5203" t="s">
        <v>36</v>
      </c>
      <c r="J5203" s="1">
        <v>45091</v>
      </c>
      <c r="K5203" t="b">
        <v>1</v>
      </c>
    </row>
    <row r="5204" spans="1:11" x14ac:dyDescent="0.25">
      <c r="A5204" t="s">
        <v>4907</v>
      </c>
      <c r="B5204" t="s">
        <v>56</v>
      </c>
      <c r="C5204" t="s">
        <v>38</v>
      </c>
      <c r="D5204" t="s">
        <v>235</v>
      </c>
      <c r="E5204" s="2">
        <v>6.5</v>
      </c>
      <c r="F5204" s="4">
        <v>10</v>
      </c>
      <c r="G5204" s="2">
        <v>65</v>
      </c>
      <c r="H5204" t="s">
        <v>15</v>
      </c>
      <c r="I5204" t="s">
        <v>36</v>
      </c>
      <c r="J5204" s="1">
        <v>45666</v>
      </c>
      <c r="K5204" t="b">
        <v>1</v>
      </c>
    </row>
    <row r="5205" spans="1:11" x14ac:dyDescent="0.25">
      <c r="A5205" t="s">
        <v>3009</v>
      </c>
      <c r="B5205" t="s">
        <v>26</v>
      </c>
      <c r="C5205" t="s">
        <v>27</v>
      </c>
      <c r="D5205" t="s">
        <v>246</v>
      </c>
      <c r="E5205" s="2">
        <v>6.5</v>
      </c>
      <c r="F5205" s="4">
        <v>10</v>
      </c>
      <c r="G5205" s="2">
        <v>65</v>
      </c>
      <c r="H5205" t="s">
        <v>45</v>
      </c>
      <c r="I5205" t="s">
        <v>36</v>
      </c>
      <c r="J5205" s="1">
        <v>44569</v>
      </c>
      <c r="K5205" t="b">
        <v>0</v>
      </c>
    </row>
    <row r="5206" spans="1:11" x14ac:dyDescent="0.25">
      <c r="A5206" t="s">
        <v>3589</v>
      </c>
      <c r="B5206" t="s">
        <v>58</v>
      </c>
      <c r="C5206" t="s">
        <v>13</v>
      </c>
      <c r="D5206" t="s">
        <v>428</v>
      </c>
      <c r="E5206" s="2">
        <v>6.5</v>
      </c>
      <c r="F5206" s="4">
        <v>10</v>
      </c>
      <c r="G5206" s="2">
        <v>65</v>
      </c>
      <c r="H5206" t="s">
        <v>45</v>
      </c>
      <c r="I5206" t="s">
        <v>36</v>
      </c>
      <c r="J5206" s="1">
        <v>44665</v>
      </c>
      <c r="K5206" t="b">
        <v>1</v>
      </c>
    </row>
    <row r="5207" spans="1:11" x14ac:dyDescent="0.25">
      <c r="A5207" t="s">
        <v>4635</v>
      </c>
      <c r="B5207" t="s">
        <v>61</v>
      </c>
      <c r="C5207" t="s">
        <v>13</v>
      </c>
      <c r="D5207" t="s">
        <v>428</v>
      </c>
      <c r="E5207" s="2">
        <v>6.5</v>
      </c>
      <c r="F5207" s="4">
        <v>10</v>
      </c>
      <c r="G5207" s="2">
        <v>65</v>
      </c>
      <c r="H5207" t="s">
        <v>45</v>
      </c>
      <c r="I5207" t="s">
        <v>16</v>
      </c>
      <c r="J5207" s="1">
        <v>44626</v>
      </c>
      <c r="K5207" t="b">
        <v>0</v>
      </c>
    </row>
    <row r="5208" spans="1:11" x14ac:dyDescent="0.25">
      <c r="A5208" t="s">
        <v>7061</v>
      </c>
      <c r="B5208" t="s">
        <v>85</v>
      </c>
      <c r="C5208" t="s">
        <v>110</v>
      </c>
      <c r="D5208" t="s">
        <v>221</v>
      </c>
      <c r="E5208" s="2">
        <v>6.5</v>
      </c>
      <c r="F5208" s="4">
        <v>10</v>
      </c>
      <c r="G5208" s="2">
        <v>65</v>
      </c>
      <c r="H5208" t="s">
        <v>45</v>
      </c>
      <c r="I5208" t="s">
        <v>36</v>
      </c>
      <c r="J5208" s="1">
        <v>44706</v>
      </c>
      <c r="K5208" t="b">
        <v>1</v>
      </c>
    </row>
    <row r="5209" spans="1:11" x14ac:dyDescent="0.25">
      <c r="A5209" t="s">
        <v>2878</v>
      </c>
      <c r="B5209" t="s">
        <v>100</v>
      </c>
      <c r="C5209" t="s">
        <v>38</v>
      </c>
      <c r="D5209" t="s">
        <v>235</v>
      </c>
      <c r="E5209" s="2">
        <v>6.5</v>
      </c>
      <c r="F5209" s="4">
        <v>10</v>
      </c>
      <c r="G5209" s="2">
        <v>65</v>
      </c>
      <c r="H5209" t="s">
        <v>45</v>
      </c>
      <c r="I5209" t="s">
        <v>36</v>
      </c>
      <c r="J5209" s="1">
        <v>45403</v>
      </c>
      <c r="K5209" t="b">
        <v>0</v>
      </c>
    </row>
    <row r="5210" spans="1:11" x14ac:dyDescent="0.25">
      <c r="A5210" t="s">
        <v>3751</v>
      </c>
      <c r="B5210" t="s">
        <v>22</v>
      </c>
      <c r="C5210" t="s">
        <v>13</v>
      </c>
      <c r="D5210" t="s">
        <v>428</v>
      </c>
      <c r="E5210" s="2">
        <v>6.5</v>
      </c>
      <c r="F5210" s="4">
        <v>10</v>
      </c>
      <c r="G5210" s="2">
        <v>65</v>
      </c>
      <c r="H5210" t="s">
        <v>15</v>
      </c>
      <c r="I5210" t="s">
        <v>16</v>
      </c>
      <c r="J5210" s="1">
        <v>44726</v>
      </c>
      <c r="K5210" t="b">
        <v>1</v>
      </c>
    </row>
    <row r="5211" spans="1:11" x14ac:dyDescent="0.25">
      <c r="A5211" t="s">
        <v>7752</v>
      </c>
      <c r="B5211" t="s">
        <v>37</v>
      </c>
      <c r="C5211" t="s">
        <v>110</v>
      </c>
      <c r="D5211" t="s">
        <v>221</v>
      </c>
      <c r="E5211" s="2">
        <v>6.5</v>
      </c>
      <c r="F5211" s="4">
        <v>10</v>
      </c>
      <c r="G5211" s="2">
        <v>65</v>
      </c>
      <c r="H5211" t="s">
        <v>25</v>
      </c>
      <c r="I5211" t="s">
        <v>16</v>
      </c>
      <c r="J5211" s="1">
        <v>44658</v>
      </c>
      <c r="K5211" t="b">
        <v>1</v>
      </c>
    </row>
    <row r="5212" spans="1:11" x14ac:dyDescent="0.25">
      <c r="A5212" t="s">
        <v>6467</v>
      </c>
      <c r="B5212" t="s">
        <v>37</v>
      </c>
      <c r="C5212" t="s">
        <v>110</v>
      </c>
      <c r="D5212" t="s">
        <v>221</v>
      </c>
      <c r="E5212" s="2">
        <v>6.5</v>
      </c>
      <c r="F5212" s="4">
        <v>10</v>
      </c>
      <c r="G5212" s="2">
        <v>65</v>
      </c>
      <c r="H5212" t="s">
        <v>25</v>
      </c>
      <c r="I5212" t="s">
        <v>16</v>
      </c>
      <c r="J5212" s="1">
        <v>45457</v>
      </c>
      <c r="K5212" t="b">
        <v>0</v>
      </c>
    </row>
    <row r="5213" spans="1:11" x14ac:dyDescent="0.25">
      <c r="A5213" t="s">
        <v>3509</v>
      </c>
      <c r="B5213" t="s">
        <v>51</v>
      </c>
      <c r="C5213" t="s">
        <v>19</v>
      </c>
      <c r="D5213" t="s">
        <v>308</v>
      </c>
      <c r="E5213" s="2">
        <v>6.5</v>
      </c>
      <c r="F5213" s="4">
        <v>10</v>
      </c>
      <c r="G5213" s="2">
        <v>65</v>
      </c>
      <c r="H5213" t="s">
        <v>45</v>
      </c>
      <c r="I5213" t="s">
        <v>16</v>
      </c>
      <c r="J5213" s="1">
        <v>44568</v>
      </c>
      <c r="K5213" t="b">
        <v>0</v>
      </c>
    </row>
    <row r="5214" spans="1:11" x14ac:dyDescent="0.25">
      <c r="A5214" t="s">
        <v>5014</v>
      </c>
      <c r="B5214" t="s">
        <v>40</v>
      </c>
      <c r="C5214" t="s">
        <v>38</v>
      </c>
      <c r="D5214" t="s">
        <v>235</v>
      </c>
      <c r="E5214" s="2">
        <v>6.5</v>
      </c>
      <c r="F5214" s="4">
        <v>10</v>
      </c>
      <c r="G5214" s="2">
        <v>65</v>
      </c>
      <c r="H5214" t="s">
        <v>25</v>
      </c>
      <c r="I5214" t="s">
        <v>36</v>
      </c>
      <c r="J5214" s="1">
        <v>44928</v>
      </c>
      <c r="K5214" t="b">
        <v>1</v>
      </c>
    </row>
    <row r="5215" spans="1:11" x14ac:dyDescent="0.25">
      <c r="A5215" t="s">
        <v>2256</v>
      </c>
      <c r="B5215" t="s">
        <v>93</v>
      </c>
      <c r="C5215" t="s">
        <v>59</v>
      </c>
      <c r="D5215" t="s">
        <v>541</v>
      </c>
      <c r="E5215" s="2">
        <v>6.5</v>
      </c>
      <c r="F5215" s="4">
        <v>10</v>
      </c>
      <c r="G5215" s="2">
        <v>65</v>
      </c>
      <c r="H5215" t="s">
        <v>15</v>
      </c>
      <c r="I5215" t="s">
        <v>16</v>
      </c>
      <c r="J5215" s="1">
        <v>44850</v>
      </c>
      <c r="K5215" t="b">
        <v>1</v>
      </c>
    </row>
    <row r="5216" spans="1:11" x14ac:dyDescent="0.25">
      <c r="A5216" t="s">
        <v>2072</v>
      </c>
      <c r="B5216" t="s">
        <v>22</v>
      </c>
      <c r="C5216" t="s">
        <v>27</v>
      </c>
      <c r="D5216" t="s">
        <v>315</v>
      </c>
      <c r="E5216" s="2">
        <v>21.5</v>
      </c>
      <c r="F5216" s="4">
        <v>3</v>
      </c>
      <c r="G5216" s="2">
        <v>64.5</v>
      </c>
      <c r="H5216" t="s">
        <v>15</v>
      </c>
      <c r="I5216" t="s">
        <v>16</v>
      </c>
      <c r="J5216" s="1">
        <v>44621</v>
      </c>
      <c r="K5216" t="b">
        <v>0</v>
      </c>
    </row>
    <row r="5217" spans="1:11" x14ac:dyDescent="0.25">
      <c r="A5217" t="s">
        <v>3311</v>
      </c>
      <c r="B5217" t="s">
        <v>85</v>
      </c>
      <c r="C5217" t="s">
        <v>27</v>
      </c>
      <c r="D5217" t="s">
        <v>315</v>
      </c>
      <c r="E5217" s="2">
        <v>21.5</v>
      </c>
      <c r="F5217" s="4">
        <v>3</v>
      </c>
      <c r="G5217" s="2">
        <v>64.5</v>
      </c>
      <c r="H5217" t="s">
        <v>25</v>
      </c>
      <c r="I5217" t="s">
        <v>36</v>
      </c>
      <c r="J5217" s="1">
        <v>45166</v>
      </c>
      <c r="K5217" t="b">
        <v>0</v>
      </c>
    </row>
    <row r="5218" spans="1:11" x14ac:dyDescent="0.25">
      <c r="A5218" t="s">
        <v>4620</v>
      </c>
      <c r="B5218" t="s">
        <v>58</v>
      </c>
      <c r="C5218" t="s">
        <v>27</v>
      </c>
      <c r="D5218" t="s">
        <v>315</v>
      </c>
      <c r="E5218" s="2">
        <v>21.5</v>
      </c>
      <c r="F5218" s="4">
        <v>3</v>
      </c>
      <c r="G5218" s="2">
        <v>64.5</v>
      </c>
      <c r="H5218" t="s">
        <v>45</v>
      </c>
      <c r="I5218" t="s">
        <v>16</v>
      </c>
      <c r="J5218" s="1">
        <v>45214</v>
      </c>
      <c r="K5218" t="b">
        <v>1</v>
      </c>
    </row>
    <row r="5219" spans="1:11" x14ac:dyDescent="0.25">
      <c r="A5219" t="s">
        <v>7466</v>
      </c>
      <c r="B5219" t="s">
        <v>142</v>
      </c>
      <c r="C5219" t="s">
        <v>13</v>
      </c>
      <c r="D5219" t="s">
        <v>141</v>
      </c>
      <c r="E5219" s="2">
        <v>21.5</v>
      </c>
      <c r="F5219" s="4">
        <v>3</v>
      </c>
      <c r="G5219" s="2">
        <v>64.5</v>
      </c>
      <c r="H5219" t="s">
        <v>45</v>
      </c>
      <c r="I5219" t="s">
        <v>16</v>
      </c>
      <c r="J5219" s="1">
        <v>44937</v>
      </c>
      <c r="K5219" t="b">
        <v>1</v>
      </c>
    </row>
    <row r="5220" spans="1:11" x14ac:dyDescent="0.25">
      <c r="A5220" t="s">
        <v>5045</v>
      </c>
      <c r="B5220" t="s">
        <v>72</v>
      </c>
      <c r="C5220" t="s">
        <v>13</v>
      </c>
      <c r="D5220" t="s">
        <v>141</v>
      </c>
      <c r="E5220" s="2">
        <v>21.5</v>
      </c>
      <c r="F5220" s="4">
        <v>3</v>
      </c>
      <c r="G5220" s="2">
        <v>64.5</v>
      </c>
      <c r="H5220" t="s">
        <v>45</v>
      </c>
      <c r="I5220" t="s">
        <v>16</v>
      </c>
      <c r="J5220" s="1">
        <v>44869</v>
      </c>
      <c r="K5220" t="b">
        <v>0</v>
      </c>
    </row>
    <row r="5221" spans="1:11" x14ac:dyDescent="0.25">
      <c r="A5221" t="s">
        <v>1534</v>
      </c>
      <c r="B5221" t="s">
        <v>86</v>
      </c>
      <c r="C5221" t="s">
        <v>31</v>
      </c>
      <c r="D5221" t="s">
        <v>108</v>
      </c>
      <c r="E5221" s="2">
        <v>21.5</v>
      </c>
      <c r="F5221" s="4">
        <v>3</v>
      </c>
      <c r="G5221" s="2">
        <v>64.5</v>
      </c>
      <c r="H5221" t="s">
        <v>15</v>
      </c>
      <c r="I5221" t="s">
        <v>36</v>
      </c>
      <c r="J5221" s="1">
        <v>44878</v>
      </c>
      <c r="K5221" t="b">
        <v>0</v>
      </c>
    </row>
    <row r="5222" spans="1:11" x14ac:dyDescent="0.25">
      <c r="A5222" t="s">
        <v>5508</v>
      </c>
      <c r="B5222" t="s">
        <v>30</v>
      </c>
      <c r="C5222" t="s">
        <v>13</v>
      </c>
      <c r="D5222" t="s">
        <v>141</v>
      </c>
      <c r="E5222" s="2">
        <v>21.5</v>
      </c>
      <c r="F5222" s="4">
        <v>3</v>
      </c>
      <c r="G5222" s="2">
        <v>64.5</v>
      </c>
      <c r="H5222" t="s">
        <v>15</v>
      </c>
      <c r="I5222" t="s">
        <v>36</v>
      </c>
      <c r="J5222" s="1">
        <v>44942</v>
      </c>
      <c r="K5222" t="b">
        <v>0</v>
      </c>
    </row>
    <row r="5223" spans="1:11" x14ac:dyDescent="0.25">
      <c r="A5223" t="s">
        <v>6886</v>
      </c>
      <c r="B5223" t="s">
        <v>40</v>
      </c>
      <c r="C5223" t="s">
        <v>110</v>
      </c>
      <c r="D5223" t="s">
        <v>451</v>
      </c>
      <c r="E5223" s="2">
        <v>21.5</v>
      </c>
      <c r="F5223" s="4">
        <v>3</v>
      </c>
      <c r="G5223" s="2">
        <v>64.5</v>
      </c>
      <c r="H5223" t="s">
        <v>25</v>
      </c>
      <c r="I5223" t="s">
        <v>36</v>
      </c>
      <c r="J5223" s="1">
        <v>45239</v>
      </c>
      <c r="K5223" t="b">
        <v>1</v>
      </c>
    </row>
    <row r="5224" spans="1:11" x14ac:dyDescent="0.25">
      <c r="A5224" t="s">
        <v>3038</v>
      </c>
      <c r="B5224" t="s">
        <v>40</v>
      </c>
      <c r="C5224" t="s">
        <v>13</v>
      </c>
      <c r="D5224" t="s">
        <v>141</v>
      </c>
      <c r="E5224" s="2">
        <v>21.5</v>
      </c>
      <c r="F5224" s="4">
        <v>3</v>
      </c>
      <c r="G5224" s="2">
        <v>64.5</v>
      </c>
      <c r="H5224" t="s">
        <v>45</v>
      </c>
      <c r="I5224" t="s">
        <v>16</v>
      </c>
      <c r="J5224" s="1">
        <v>45116</v>
      </c>
      <c r="K5224" t="b">
        <v>0</v>
      </c>
    </row>
    <row r="5225" spans="1:11" x14ac:dyDescent="0.25">
      <c r="A5225" t="s">
        <v>4682</v>
      </c>
      <c r="B5225" t="s">
        <v>34</v>
      </c>
      <c r="C5225" t="s">
        <v>23</v>
      </c>
      <c r="D5225" t="s">
        <v>24</v>
      </c>
      <c r="E5225" s="2">
        <v>21.5</v>
      </c>
      <c r="F5225" s="4">
        <v>3</v>
      </c>
      <c r="G5225" s="2">
        <v>64.5</v>
      </c>
      <c r="H5225" t="s">
        <v>25</v>
      </c>
      <c r="I5225" t="s">
        <v>16</v>
      </c>
      <c r="J5225" s="1">
        <v>45240</v>
      </c>
      <c r="K5225" t="b">
        <v>0</v>
      </c>
    </row>
    <row r="5226" spans="1:11" x14ac:dyDescent="0.25">
      <c r="A5226" t="s">
        <v>3625</v>
      </c>
      <c r="B5226" t="s">
        <v>86</v>
      </c>
      <c r="C5226" t="s">
        <v>23</v>
      </c>
      <c r="D5226" t="s">
        <v>24</v>
      </c>
      <c r="E5226" s="2">
        <v>21.5</v>
      </c>
      <c r="F5226" s="4">
        <v>3</v>
      </c>
      <c r="G5226" s="2">
        <v>64.5</v>
      </c>
      <c r="H5226" t="s">
        <v>25</v>
      </c>
      <c r="I5226" t="s">
        <v>36</v>
      </c>
      <c r="J5226" s="1">
        <v>44564</v>
      </c>
      <c r="K5226" t="b">
        <v>1</v>
      </c>
    </row>
    <row r="5227" spans="1:11" x14ac:dyDescent="0.25">
      <c r="A5227" t="s">
        <v>6054</v>
      </c>
      <c r="B5227" t="s">
        <v>22</v>
      </c>
      <c r="C5227" t="s">
        <v>31</v>
      </c>
      <c r="D5227" t="s">
        <v>108</v>
      </c>
      <c r="E5227" s="2">
        <v>21.5</v>
      </c>
      <c r="F5227" s="4">
        <v>3</v>
      </c>
      <c r="G5227" s="2">
        <v>64.5</v>
      </c>
      <c r="H5227" t="s">
        <v>15</v>
      </c>
      <c r="I5227" t="s">
        <v>36</v>
      </c>
      <c r="J5227" s="1">
        <v>45513</v>
      </c>
      <c r="K5227" t="b">
        <v>0</v>
      </c>
    </row>
    <row r="5228" spans="1:11" x14ac:dyDescent="0.25">
      <c r="A5228" t="s">
        <v>5313</v>
      </c>
      <c r="B5228" t="s">
        <v>43</v>
      </c>
      <c r="C5228" t="s">
        <v>110</v>
      </c>
      <c r="D5228" t="s">
        <v>451</v>
      </c>
      <c r="E5228" s="2">
        <v>21.5</v>
      </c>
      <c r="F5228" s="4">
        <v>3</v>
      </c>
      <c r="G5228" s="2">
        <v>64.5</v>
      </c>
      <c r="H5228" t="s">
        <v>45</v>
      </c>
      <c r="I5228" t="s">
        <v>36</v>
      </c>
      <c r="J5228" s="1">
        <v>44681</v>
      </c>
      <c r="K5228" t="b">
        <v>1</v>
      </c>
    </row>
    <row r="5229" spans="1:11" x14ac:dyDescent="0.25">
      <c r="A5229" t="s">
        <v>5288</v>
      </c>
      <c r="B5229" t="s">
        <v>72</v>
      </c>
      <c r="C5229" t="s">
        <v>59</v>
      </c>
      <c r="D5229" t="s">
        <v>288</v>
      </c>
      <c r="E5229" s="2">
        <v>21.5</v>
      </c>
      <c r="F5229" s="4">
        <v>3</v>
      </c>
      <c r="G5229" s="2">
        <v>64.5</v>
      </c>
      <c r="H5229" t="s">
        <v>25</v>
      </c>
      <c r="I5229" t="s">
        <v>16</v>
      </c>
      <c r="J5229" s="1">
        <v>45178</v>
      </c>
      <c r="K5229" t="b">
        <v>0</v>
      </c>
    </row>
    <row r="5230" spans="1:11" x14ac:dyDescent="0.25">
      <c r="A5230" t="s">
        <v>4864</v>
      </c>
      <c r="B5230" t="s">
        <v>93</v>
      </c>
      <c r="C5230" t="s">
        <v>110</v>
      </c>
      <c r="D5230" t="s">
        <v>451</v>
      </c>
      <c r="E5230" s="2">
        <v>21.5</v>
      </c>
      <c r="F5230" s="4">
        <v>3</v>
      </c>
      <c r="G5230" s="2">
        <v>64.5</v>
      </c>
      <c r="H5230" t="s">
        <v>15</v>
      </c>
      <c r="I5230" t="s">
        <v>16</v>
      </c>
      <c r="J5230" s="1">
        <v>45411</v>
      </c>
      <c r="K5230" t="b">
        <v>0</v>
      </c>
    </row>
    <row r="5231" spans="1:11" x14ac:dyDescent="0.25">
      <c r="A5231" t="s">
        <v>4775</v>
      </c>
      <c r="B5231" t="s">
        <v>142</v>
      </c>
      <c r="C5231" t="s">
        <v>23</v>
      </c>
      <c r="D5231" t="s">
        <v>24</v>
      </c>
      <c r="E5231" s="2">
        <v>21.5</v>
      </c>
      <c r="F5231" s="4">
        <v>3</v>
      </c>
      <c r="G5231" s="2">
        <v>64.5</v>
      </c>
      <c r="H5231" t="s">
        <v>25</v>
      </c>
      <c r="I5231" t="s">
        <v>36</v>
      </c>
      <c r="J5231" s="1">
        <v>45191</v>
      </c>
      <c r="K5231" t="b">
        <v>0</v>
      </c>
    </row>
    <row r="5232" spans="1:11" x14ac:dyDescent="0.25">
      <c r="A5232" t="s">
        <v>6166</v>
      </c>
      <c r="B5232" t="s">
        <v>97</v>
      </c>
      <c r="C5232" t="s">
        <v>23</v>
      </c>
      <c r="D5232" t="s">
        <v>24</v>
      </c>
      <c r="E5232" s="2">
        <v>21.5</v>
      </c>
      <c r="F5232" s="4">
        <v>3</v>
      </c>
      <c r="G5232" s="2">
        <v>64.5</v>
      </c>
      <c r="H5232" t="s">
        <v>15</v>
      </c>
      <c r="I5232" t="s">
        <v>16</v>
      </c>
      <c r="J5232" s="1">
        <v>45165</v>
      </c>
      <c r="K5232" t="b">
        <v>1</v>
      </c>
    </row>
    <row r="5233" spans="1:11" x14ac:dyDescent="0.25">
      <c r="A5233" t="s">
        <v>5427</v>
      </c>
      <c r="B5233" t="s">
        <v>85</v>
      </c>
      <c r="C5233" t="s">
        <v>13</v>
      </c>
      <c r="D5233" t="s">
        <v>141</v>
      </c>
      <c r="E5233" s="2">
        <v>21.5</v>
      </c>
      <c r="F5233" s="4">
        <v>3</v>
      </c>
      <c r="G5233" s="2">
        <v>64.5</v>
      </c>
      <c r="H5233" t="s">
        <v>45</v>
      </c>
      <c r="I5233" t="s">
        <v>16</v>
      </c>
      <c r="J5233" s="1">
        <v>45568</v>
      </c>
      <c r="K5233" t="b">
        <v>0</v>
      </c>
    </row>
    <row r="5234" spans="1:11" x14ac:dyDescent="0.25">
      <c r="A5234" t="s">
        <v>3844</v>
      </c>
      <c r="B5234" t="s">
        <v>37</v>
      </c>
      <c r="C5234" t="s">
        <v>110</v>
      </c>
      <c r="D5234" t="s">
        <v>451</v>
      </c>
      <c r="E5234" s="2">
        <v>21.5</v>
      </c>
      <c r="F5234" s="4">
        <v>3</v>
      </c>
      <c r="G5234" s="2">
        <v>64.5</v>
      </c>
      <c r="H5234" t="s">
        <v>15</v>
      </c>
      <c r="I5234" t="s">
        <v>16</v>
      </c>
      <c r="J5234" s="1">
        <v>44963</v>
      </c>
      <c r="K5234" t="b">
        <v>1</v>
      </c>
    </row>
    <row r="5235" spans="1:11" x14ac:dyDescent="0.25">
      <c r="A5235" t="s">
        <v>5518</v>
      </c>
      <c r="B5235" t="s">
        <v>63</v>
      </c>
      <c r="C5235" t="s">
        <v>13</v>
      </c>
      <c r="D5235" t="s">
        <v>141</v>
      </c>
      <c r="E5235" s="2">
        <v>21.5</v>
      </c>
      <c r="F5235" s="4">
        <v>3</v>
      </c>
      <c r="G5235" s="2">
        <v>64.5</v>
      </c>
      <c r="H5235" t="s">
        <v>25</v>
      </c>
      <c r="I5235" t="s">
        <v>16</v>
      </c>
      <c r="J5235" s="1">
        <v>45182</v>
      </c>
      <c r="K5235" t="b">
        <v>1</v>
      </c>
    </row>
    <row r="5236" spans="1:11" x14ac:dyDescent="0.25">
      <c r="A5236" t="s">
        <v>4732</v>
      </c>
      <c r="B5236" t="s">
        <v>69</v>
      </c>
      <c r="C5236" t="s">
        <v>59</v>
      </c>
      <c r="D5236" t="s">
        <v>288</v>
      </c>
      <c r="E5236" s="2">
        <v>21.5</v>
      </c>
      <c r="F5236" s="4">
        <v>3</v>
      </c>
      <c r="G5236" s="2">
        <v>64.5</v>
      </c>
      <c r="H5236" t="s">
        <v>25</v>
      </c>
      <c r="I5236" t="s">
        <v>36</v>
      </c>
      <c r="J5236" s="1">
        <v>45324</v>
      </c>
      <c r="K5236" t="b">
        <v>0</v>
      </c>
    </row>
    <row r="5237" spans="1:11" x14ac:dyDescent="0.25">
      <c r="A5237" t="s">
        <v>2114</v>
      </c>
      <c r="B5237" t="s">
        <v>12</v>
      </c>
      <c r="C5237" t="s">
        <v>23</v>
      </c>
      <c r="D5237" t="s">
        <v>24</v>
      </c>
      <c r="E5237" s="2">
        <v>21.5</v>
      </c>
      <c r="F5237" s="4">
        <v>3</v>
      </c>
      <c r="G5237" s="2">
        <v>64.5</v>
      </c>
      <c r="H5237" t="s">
        <v>45</v>
      </c>
      <c r="I5237" t="s">
        <v>36</v>
      </c>
      <c r="J5237" s="1">
        <v>44684</v>
      </c>
      <c r="K5237" t="b">
        <v>0</v>
      </c>
    </row>
    <row r="5238" spans="1:11" x14ac:dyDescent="0.25">
      <c r="A5238" t="s">
        <v>4189</v>
      </c>
      <c r="B5238" t="s">
        <v>63</v>
      </c>
      <c r="C5238" t="s">
        <v>23</v>
      </c>
      <c r="D5238" t="s">
        <v>24</v>
      </c>
      <c r="E5238" s="2">
        <v>21.5</v>
      </c>
      <c r="F5238" s="4">
        <v>3</v>
      </c>
      <c r="G5238" s="2">
        <v>64.5</v>
      </c>
      <c r="H5238" t="s">
        <v>25</v>
      </c>
      <c r="I5238" t="s">
        <v>36</v>
      </c>
      <c r="J5238" s="1">
        <v>44710</v>
      </c>
      <c r="K5238" t="b">
        <v>0</v>
      </c>
    </row>
    <row r="5239" spans="1:11" x14ac:dyDescent="0.25">
      <c r="A5239" t="s">
        <v>2594</v>
      </c>
      <c r="B5239" t="s">
        <v>18</v>
      </c>
      <c r="C5239" t="s">
        <v>23</v>
      </c>
      <c r="D5239" t="s">
        <v>24</v>
      </c>
      <c r="E5239" s="2">
        <v>21.5</v>
      </c>
      <c r="F5239" s="4">
        <v>3</v>
      </c>
      <c r="G5239" s="2">
        <v>64.5</v>
      </c>
      <c r="H5239" t="s">
        <v>45</v>
      </c>
      <c r="I5239" t="s">
        <v>36</v>
      </c>
      <c r="J5239" s="1">
        <v>45166</v>
      </c>
      <c r="K5239" t="b">
        <v>1</v>
      </c>
    </row>
    <row r="5240" spans="1:11" x14ac:dyDescent="0.25">
      <c r="A5240" t="s">
        <v>945</v>
      </c>
      <c r="B5240" t="s">
        <v>104</v>
      </c>
      <c r="C5240" t="s">
        <v>27</v>
      </c>
      <c r="D5240" t="s">
        <v>315</v>
      </c>
      <c r="E5240" s="2">
        <v>21.5</v>
      </c>
      <c r="F5240" s="4">
        <v>3</v>
      </c>
      <c r="G5240" s="2">
        <v>64.5</v>
      </c>
      <c r="H5240" t="s">
        <v>25</v>
      </c>
      <c r="I5240" t="s">
        <v>36</v>
      </c>
      <c r="J5240" s="1">
        <v>44799</v>
      </c>
      <c r="K5240" t="b">
        <v>0</v>
      </c>
    </row>
    <row r="5241" spans="1:11" x14ac:dyDescent="0.25">
      <c r="A5241" t="s">
        <v>4537</v>
      </c>
      <c r="B5241" t="s">
        <v>51</v>
      </c>
      <c r="C5241" t="s">
        <v>27</v>
      </c>
      <c r="D5241" t="s">
        <v>315</v>
      </c>
      <c r="E5241" s="2">
        <v>21.5</v>
      </c>
      <c r="F5241" s="4">
        <v>3</v>
      </c>
      <c r="G5241" s="2">
        <v>64.5</v>
      </c>
      <c r="H5241" t="s">
        <v>45</v>
      </c>
      <c r="I5241" t="s">
        <v>16</v>
      </c>
      <c r="J5241" s="1">
        <v>45572</v>
      </c>
      <c r="K5241" t="b">
        <v>1</v>
      </c>
    </row>
    <row r="5242" spans="1:11" x14ac:dyDescent="0.25">
      <c r="A5242" t="s">
        <v>1791</v>
      </c>
      <c r="B5242" t="s">
        <v>61</v>
      </c>
      <c r="C5242" t="s">
        <v>27</v>
      </c>
      <c r="D5242" t="s">
        <v>315</v>
      </c>
      <c r="E5242" s="2">
        <v>21.5</v>
      </c>
      <c r="F5242" s="4">
        <v>3</v>
      </c>
      <c r="G5242" s="2">
        <v>64.5</v>
      </c>
      <c r="H5242" t="s">
        <v>15</v>
      </c>
      <c r="I5242" t="s">
        <v>36</v>
      </c>
      <c r="J5242" s="1">
        <v>44735</v>
      </c>
      <c r="K5242" t="b">
        <v>0</v>
      </c>
    </row>
    <row r="5243" spans="1:11" x14ac:dyDescent="0.25">
      <c r="A5243" t="s">
        <v>4624</v>
      </c>
      <c r="B5243" t="s">
        <v>12</v>
      </c>
      <c r="C5243" t="s">
        <v>59</v>
      </c>
      <c r="D5243" t="s">
        <v>288</v>
      </c>
      <c r="E5243" s="2">
        <v>21.5</v>
      </c>
      <c r="F5243" s="4">
        <v>3</v>
      </c>
      <c r="G5243" s="2">
        <v>64.5</v>
      </c>
      <c r="H5243" t="s">
        <v>15</v>
      </c>
      <c r="I5243" t="s">
        <v>16</v>
      </c>
      <c r="J5243" s="1">
        <v>45425</v>
      </c>
      <c r="K5243" t="b">
        <v>1</v>
      </c>
    </row>
    <row r="5244" spans="1:11" x14ac:dyDescent="0.25">
      <c r="A5244" t="s">
        <v>4738</v>
      </c>
      <c r="B5244" t="s">
        <v>142</v>
      </c>
      <c r="C5244" t="s">
        <v>31</v>
      </c>
      <c r="D5244" t="s">
        <v>108</v>
      </c>
      <c r="E5244" s="2">
        <v>21.5</v>
      </c>
      <c r="F5244" s="4">
        <v>3</v>
      </c>
      <c r="G5244" s="2">
        <v>64.5</v>
      </c>
      <c r="H5244" t="s">
        <v>15</v>
      </c>
      <c r="I5244" t="s">
        <v>16</v>
      </c>
      <c r="J5244" s="1">
        <v>44644</v>
      </c>
      <c r="K5244" t="b">
        <v>0</v>
      </c>
    </row>
    <row r="5245" spans="1:11" x14ac:dyDescent="0.25">
      <c r="A5245" t="s">
        <v>2511</v>
      </c>
      <c r="B5245" t="s">
        <v>43</v>
      </c>
      <c r="C5245" t="s">
        <v>31</v>
      </c>
      <c r="D5245" t="s">
        <v>108</v>
      </c>
      <c r="E5245" s="2">
        <v>21.5</v>
      </c>
      <c r="F5245" s="4">
        <v>3</v>
      </c>
      <c r="G5245" s="2">
        <v>64.5</v>
      </c>
      <c r="H5245" t="s">
        <v>15</v>
      </c>
      <c r="I5245" t="s">
        <v>16</v>
      </c>
      <c r="J5245" s="1">
        <v>45169</v>
      </c>
      <c r="K5245" t="b">
        <v>1</v>
      </c>
    </row>
    <row r="5246" spans="1:11" x14ac:dyDescent="0.25">
      <c r="A5246" t="s">
        <v>5463</v>
      </c>
      <c r="B5246" t="s">
        <v>30</v>
      </c>
      <c r="C5246" t="s">
        <v>110</v>
      </c>
      <c r="D5246" t="s">
        <v>451</v>
      </c>
      <c r="E5246" s="2">
        <v>21.5</v>
      </c>
      <c r="F5246" s="4">
        <v>3</v>
      </c>
      <c r="G5246" s="2">
        <v>64.5</v>
      </c>
      <c r="H5246" t="s">
        <v>25</v>
      </c>
      <c r="I5246" t="s">
        <v>36</v>
      </c>
      <c r="J5246" s="1">
        <v>45446</v>
      </c>
      <c r="K5246" t="b">
        <v>0</v>
      </c>
    </row>
    <row r="5247" spans="1:11" x14ac:dyDescent="0.25">
      <c r="A5247" t="s">
        <v>5590</v>
      </c>
      <c r="B5247" t="s">
        <v>22</v>
      </c>
      <c r="C5247" t="s">
        <v>31</v>
      </c>
      <c r="D5247" t="s">
        <v>108</v>
      </c>
      <c r="E5247" s="2">
        <v>21.5</v>
      </c>
      <c r="F5247" s="4">
        <v>3</v>
      </c>
      <c r="G5247" s="2">
        <v>64.5</v>
      </c>
      <c r="H5247" t="s">
        <v>25</v>
      </c>
      <c r="I5247" t="s">
        <v>36</v>
      </c>
      <c r="J5247" s="1">
        <v>45090</v>
      </c>
      <c r="K5247" t="b">
        <v>0</v>
      </c>
    </row>
    <row r="5248" spans="1:11" x14ac:dyDescent="0.25">
      <c r="A5248" t="s">
        <v>1590</v>
      </c>
      <c r="B5248" t="s">
        <v>26</v>
      </c>
      <c r="C5248" t="s">
        <v>110</v>
      </c>
      <c r="D5248" t="s">
        <v>451</v>
      </c>
      <c r="E5248" s="2">
        <v>21.5</v>
      </c>
      <c r="F5248" s="4">
        <v>3</v>
      </c>
      <c r="G5248" s="2">
        <v>64.5</v>
      </c>
      <c r="H5248" t="s">
        <v>45</v>
      </c>
      <c r="I5248" t="s">
        <v>16</v>
      </c>
      <c r="J5248" s="1">
        <v>45649</v>
      </c>
      <c r="K5248" t="b">
        <v>0</v>
      </c>
    </row>
    <row r="5249" spans="1:11" x14ac:dyDescent="0.25">
      <c r="A5249" t="s">
        <v>634</v>
      </c>
      <c r="B5249" t="s">
        <v>77</v>
      </c>
      <c r="C5249" t="s">
        <v>13</v>
      </c>
      <c r="D5249" t="s">
        <v>141</v>
      </c>
      <c r="E5249" s="2">
        <v>21.5</v>
      </c>
      <c r="F5249" s="4">
        <v>3</v>
      </c>
      <c r="G5249" s="2">
        <v>64.5</v>
      </c>
      <c r="H5249" t="s">
        <v>15</v>
      </c>
      <c r="I5249" t="s">
        <v>16</v>
      </c>
      <c r="J5249" s="1">
        <v>45177</v>
      </c>
      <c r="K5249" t="b">
        <v>1</v>
      </c>
    </row>
    <row r="5250" spans="1:11" x14ac:dyDescent="0.25">
      <c r="A5250" t="s">
        <v>3274</v>
      </c>
      <c r="B5250" t="s">
        <v>40</v>
      </c>
      <c r="C5250" t="s">
        <v>27</v>
      </c>
      <c r="D5250" t="s">
        <v>315</v>
      </c>
      <c r="E5250" s="2">
        <v>21.5</v>
      </c>
      <c r="F5250" s="4">
        <v>3</v>
      </c>
      <c r="G5250" s="2">
        <v>64.5</v>
      </c>
      <c r="H5250" t="s">
        <v>45</v>
      </c>
      <c r="I5250" t="s">
        <v>16</v>
      </c>
      <c r="J5250" s="1">
        <v>45459</v>
      </c>
      <c r="K5250" t="b">
        <v>0</v>
      </c>
    </row>
    <row r="5251" spans="1:11" x14ac:dyDescent="0.25">
      <c r="A5251" t="s">
        <v>3838</v>
      </c>
      <c r="B5251" t="s">
        <v>97</v>
      </c>
      <c r="C5251" t="s">
        <v>110</v>
      </c>
      <c r="D5251" t="s">
        <v>451</v>
      </c>
      <c r="E5251" s="2">
        <v>21.5</v>
      </c>
      <c r="F5251" s="4">
        <v>3</v>
      </c>
      <c r="G5251" s="2">
        <v>64.5</v>
      </c>
      <c r="H5251" t="s">
        <v>45</v>
      </c>
      <c r="I5251" t="s">
        <v>36</v>
      </c>
      <c r="J5251" s="1">
        <v>45561</v>
      </c>
      <c r="K5251" t="b">
        <v>1</v>
      </c>
    </row>
    <row r="5252" spans="1:11" x14ac:dyDescent="0.25">
      <c r="A5252" t="s">
        <v>5925</v>
      </c>
      <c r="B5252" t="s">
        <v>85</v>
      </c>
      <c r="C5252" t="s">
        <v>27</v>
      </c>
      <c r="D5252" t="s">
        <v>315</v>
      </c>
      <c r="E5252" s="2">
        <v>21.5</v>
      </c>
      <c r="F5252" s="4">
        <v>3</v>
      </c>
      <c r="G5252" s="2">
        <v>64.5</v>
      </c>
      <c r="H5252" t="s">
        <v>25</v>
      </c>
      <c r="I5252" t="s">
        <v>16</v>
      </c>
      <c r="J5252" s="1">
        <v>44958</v>
      </c>
      <c r="K5252" t="b">
        <v>1</v>
      </c>
    </row>
    <row r="5253" spans="1:11" x14ac:dyDescent="0.25">
      <c r="A5253" t="s">
        <v>2085</v>
      </c>
      <c r="B5253" t="s">
        <v>34</v>
      </c>
      <c r="C5253" t="s">
        <v>59</v>
      </c>
      <c r="D5253" t="s">
        <v>288</v>
      </c>
      <c r="E5253" s="2">
        <v>21.5</v>
      </c>
      <c r="F5253" s="4">
        <v>3</v>
      </c>
      <c r="G5253" s="2">
        <v>64.5</v>
      </c>
      <c r="H5253" t="s">
        <v>15</v>
      </c>
      <c r="I5253" t="s">
        <v>36</v>
      </c>
      <c r="J5253" s="1">
        <v>44784</v>
      </c>
      <c r="K5253" t="b">
        <v>0</v>
      </c>
    </row>
    <row r="5254" spans="1:11" x14ac:dyDescent="0.25">
      <c r="A5254" t="s">
        <v>4972</v>
      </c>
      <c r="B5254" t="s">
        <v>86</v>
      </c>
      <c r="C5254" t="s">
        <v>27</v>
      </c>
      <c r="D5254" t="s">
        <v>315</v>
      </c>
      <c r="E5254" s="2">
        <v>21.5</v>
      </c>
      <c r="F5254" s="4">
        <v>3</v>
      </c>
      <c r="G5254" s="2">
        <v>64.5</v>
      </c>
      <c r="H5254" t="s">
        <v>15</v>
      </c>
      <c r="I5254" t="s">
        <v>16</v>
      </c>
      <c r="J5254" s="1">
        <v>44741</v>
      </c>
      <c r="K5254" t="b">
        <v>1</v>
      </c>
    </row>
    <row r="5255" spans="1:11" x14ac:dyDescent="0.25">
      <c r="A5255" t="s">
        <v>6868</v>
      </c>
      <c r="B5255" t="s">
        <v>43</v>
      </c>
      <c r="C5255" t="s">
        <v>59</v>
      </c>
      <c r="D5255" t="s">
        <v>288</v>
      </c>
      <c r="E5255" s="2">
        <v>21.5</v>
      </c>
      <c r="F5255" s="4">
        <v>3</v>
      </c>
      <c r="G5255" s="2">
        <v>64.5</v>
      </c>
      <c r="H5255" t="s">
        <v>45</v>
      </c>
      <c r="I5255" t="s">
        <v>16</v>
      </c>
      <c r="J5255" s="1">
        <v>45242</v>
      </c>
      <c r="K5255" t="b">
        <v>1</v>
      </c>
    </row>
    <row r="5256" spans="1:11" x14ac:dyDescent="0.25">
      <c r="A5256" t="s">
        <v>3430</v>
      </c>
      <c r="B5256" t="s">
        <v>61</v>
      </c>
      <c r="C5256" t="s">
        <v>27</v>
      </c>
      <c r="D5256" t="s">
        <v>315</v>
      </c>
      <c r="E5256" s="2">
        <v>21.5</v>
      </c>
      <c r="F5256" s="4">
        <v>3</v>
      </c>
      <c r="G5256" s="2">
        <v>64.5</v>
      </c>
      <c r="H5256" t="s">
        <v>15</v>
      </c>
      <c r="I5256" t="s">
        <v>16</v>
      </c>
      <c r="J5256" s="1">
        <v>45226</v>
      </c>
      <c r="K5256" t="b">
        <v>0</v>
      </c>
    </row>
    <row r="5257" spans="1:11" x14ac:dyDescent="0.25">
      <c r="A5257" t="s">
        <v>4730</v>
      </c>
      <c r="B5257" t="s">
        <v>34</v>
      </c>
      <c r="C5257" t="s">
        <v>23</v>
      </c>
      <c r="D5257" t="s">
        <v>24</v>
      </c>
      <c r="E5257" s="2">
        <v>21.5</v>
      </c>
      <c r="F5257" s="4">
        <v>3</v>
      </c>
      <c r="G5257" s="2">
        <v>64.5</v>
      </c>
      <c r="H5257" t="s">
        <v>25</v>
      </c>
      <c r="I5257" t="s">
        <v>36</v>
      </c>
      <c r="J5257" s="1">
        <v>44774</v>
      </c>
      <c r="K5257" t="b">
        <v>0</v>
      </c>
    </row>
    <row r="5258" spans="1:11" x14ac:dyDescent="0.25">
      <c r="A5258" t="s">
        <v>5732</v>
      </c>
      <c r="B5258" t="s">
        <v>61</v>
      </c>
      <c r="C5258" t="s">
        <v>110</v>
      </c>
      <c r="D5258" t="s">
        <v>451</v>
      </c>
      <c r="E5258" s="2">
        <v>21.5</v>
      </c>
      <c r="F5258" s="4">
        <v>3</v>
      </c>
      <c r="G5258" s="2">
        <v>64.5</v>
      </c>
      <c r="H5258" t="s">
        <v>15</v>
      </c>
      <c r="I5258" t="s">
        <v>16</v>
      </c>
      <c r="J5258" s="1">
        <v>45559</v>
      </c>
      <c r="K5258" t="b">
        <v>0</v>
      </c>
    </row>
    <row r="5259" spans="1:11" x14ac:dyDescent="0.25">
      <c r="A5259" t="s">
        <v>1436</v>
      </c>
      <c r="B5259" t="s">
        <v>26</v>
      </c>
      <c r="C5259" t="s">
        <v>19</v>
      </c>
      <c r="D5259" t="s">
        <v>120</v>
      </c>
      <c r="E5259" s="2">
        <v>32</v>
      </c>
      <c r="F5259" s="4">
        <v>2</v>
      </c>
      <c r="G5259" s="2">
        <v>64</v>
      </c>
      <c r="H5259" t="s">
        <v>15</v>
      </c>
      <c r="I5259" t="s">
        <v>36</v>
      </c>
      <c r="J5259" s="1">
        <v>45633</v>
      </c>
      <c r="K5259" t="b">
        <v>0</v>
      </c>
    </row>
    <row r="5260" spans="1:11" x14ac:dyDescent="0.25">
      <c r="A5260" t="s">
        <v>1649</v>
      </c>
      <c r="B5260" t="s">
        <v>12</v>
      </c>
      <c r="C5260" t="s">
        <v>110</v>
      </c>
      <c r="D5260" t="s">
        <v>282</v>
      </c>
      <c r="E5260" s="2">
        <v>32</v>
      </c>
      <c r="F5260" s="4">
        <v>2</v>
      </c>
      <c r="G5260" s="2">
        <v>64</v>
      </c>
      <c r="H5260" t="s">
        <v>25</v>
      </c>
      <c r="I5260" t="s">
        <v>16</v>
      </c>
      <c r="J5260" s="1">
        <v>44632</v>
      </c>
      <c r="K5260" t="b">
        <v>1</v>
      </c>
    </row>
    <row r="5261" spans="1:11" x14ac:dyDescent="0.25">
      <c r="A5261" t="s">
        <v>5505</v>
      </c>
      <c r="B5261" t="s">
        <v>142</v>
      </c>
      <c r="C5261" t="s">
        <v>38</v>
      </c>
      <c r="D5261" t="s">
        <v>748</v>
      </c>
      <c r="E5261" s="2">
        <v>32</v>
      </c>
      <c r="F5261" s="4">
        <v>2</v>
      </c>
      <c r="G5261" s="2">
        <v>64</v>
      </c>
      <c r="H5261" t="s">
        <v>45</v>
      </c>
      <c r="I5261" t="s">
        <v>16</v>
      </c>
      <c r="J5261" s="1">
        <v>44859</v>
      </c>
      <c r="K5261" t="b">
        <v>1</v>
      </c>
    </row>
    <row r="5262" spans="1:11" x14ac:dyDescent="0.25">
      <c r="A5262" t="s">
        <v>3552</v>
      </c>
      <c r="B5262" t="s">
        <v>12</v>
      </c>
      <c r="C5262" t="s">
        <v>27</v>
      </c>
      <c r="D5262" t="s">
        <v>357</v>
      </c>
      <c r="E5262" s="2">
        <v>8</v>
      </c>
      <c r="F5262" s="4">
        <v>8</v>
      </c>
      <c r="G5262" s="2">
        <v>64</v>
      </c>
      <c r="H5262" t="s">
        <v>15</v>
      </c>
      <c r="I5262" t="s">
        <v>16</v>
      </c>
      <c r="J5262" s="1">
        <v>45511</v>
      </c>
      <c r="K5262" t="b">
        <v>1</v>
      </c>
    </row>
    <row r="5263" spans="1:11" x14ac:dyDescent="0.25">
      <c r="A5263" t="s">
        <v>2231</v>
      </c>
      <c r="B5263" t="s">
        <v>58</v>
      </c>
      <c r="C5263" t="s">
        <v>23</v>
      </c>
      <c r="D5263" t="s">
        <v>47</v>
      </c>
      <c r="E5263" s="2">
        <v>8</v>
      </c>
      <c r="F5263" s="4">
        <v>8</v>
      </c>
      <c r="G5263" s="2">
        <v>64</v>
      </c>
      <c r="H5263" t="s">
        <v>25</v>
      </c>
      <c r="I5263" t="s">
        <v>36</v>
      </c>
      <c r="J5263" s="1">
        <v>44929</v>
      </c>
      <c r="K5263" t="b">
        <v>0</v>
      </c>
    </row>
    <row r="5264" spans="1:11" x14ac:dyDescent="0.25">
      <c r="A5264" t="s">
        <v>770</v>
      </c>
      <c r="B5264" t="s">
        <v>56</v>
      </c>
      <c r="C5264" t="s">
        <v>13</v>
      </c>
      <c r="D5264" t="s">
        <v>426</v>
      </c>
      <c r="E5264" s="2">
        <v>32</v>
      </c>
      <c r="F5264" s="4">
        <v>2</v>
      </c>
      <c r="G5264" s="2">
        <v>64</v>
      </c>
      <c r="H5264" t="s">
        <v>15</v>
      </c>
      <c r="I5264" t="s">
        <v>36</v>
      </c>
      <c r="J5264" s="1">
        <v>45320</v>
      </c>
      <c r="K5264" t="b">
        <v>0</v>
      </c>
    </row>
    <row r="5265" spans="1:11" x14ac:dyDescent="0.25">
      <c r="A5265" t="s">
        <v>1156</v>
      </c>
      <c r="B5265" t="s">
        <v>93</v>
      </c>
      <c r="C5265" t="s">
        <v>110</v>
      </c>
      <c r="D5265" t="s">
        <v>282</v>
      </c>
      <c r="E5265" s="2">
        <v>32</v>
      </c>
      <c r="F5265" s="4">
        <v>2</v>
      </c>
      <c r="G5265" s="2">
        <v>64</v>
      </c>
      <c r="H5265" t="s">
        <v>15</v>
      </c>
      <c r="I5265" t="s">
        <v>16</v>
      </c>
      <c r="J5265" s="1">
        <v>45201</v>
      </c>
      <c r="K5265" t="b">
        <v>0</v>
      </c>
    </row>
    <row r="5266" spans="1:11" x14ac:dyDescent="0.25">
      <c r="A5266" t="s">
        <v>1143</v>
      </c>
      <c r="B5266" t="s">
        <v>37</v>
      </c>
      <c r="C5266" t="s">
        <v>59</v>
      </c>
      <c r="D5266" t="s">
        <v>254</v>
      </c>
      <c r="E5266" s="2">
        <v>32</v>
      </c>
      <c r="F5266" s="4">
        <v>2</v>
      </c>
      <c r="G5266" s="2">
        <v>64</v>
      </c>
      <c r="H5266" t="s">
        <v>25</v>
      </c>
      <c r="I5266" t="s">
        <v>16</v>
      </c>
      <c r="J5266" s="1">
        <v>44822</v>
      </c>
      <c r="K5266" t="b">
        <v>1</v>
      </c>
    </row>
    <row r="5267" spans="1:11" x14ac:dyDescent="0.25">
      <c r="A5267" t="s">
        <v>5528</v>
      </c>
      <c r="B5267" t="s">
        <v>30</v>
      </c>
      <c r="C5267" t="s">
        <v>23</v>
      </c>
      <c r="D5267" t="s">
        <v>47</v>
      </c>
      <c r="E5267" s="2">
        <v>8</v>
      </c>
      <c r="F5267" s="4">
        <v>8</v>
      </c>
      <c r="G5267" s="2">
        <v>64</v>
      </c>
      <c r="H5267" t="s">
        <v>25</v>
      </c>
      <c r="I5267" t="s">
        <v>16</v>
      </c>
      <c r="J5267" s="1">
        <v>45571</v>
      </c>
      <c r="K5267" t="b">
        <v>1</v>
      </c>
    </row>
    <row r="5268" spans="1:11" x14ac:dyDescent="0.25">
      <c r="A5268" t="s">
        <v>7131</v>
      </c>
      <c r="B5268" t="s">
        <v>37</v>
      </c>
      <c r="C5268" t="s">
        <v>59</v>
      </c>
      <c r="D5268" t="s">
        <v>254</v>
      </c>
      <c r="E5268" s="2">
        <v>32</v>
      </c>
      <c r="F5268" s="4">
        <v>2</v>
      </c>
      <c r="G5268" s="2">
        <v>64</v>
      </c>
      <c r="H5268" t="s">
        <v>15</v>
      </c>
      <c r="I5268" t="s">
        <v>36</v>
      </c>
      <c r="J5268" s="1">
        <v>44949</v>
      </c>
      <c r="K5268" t="b">
        <v>1</v>
      </c>
    </row>
    <row r="5269" spans="1:11" x14ac:dyDescent="0.25">
      <c r="A5269" t="s">
        <v>7594</v>
      </c>
      <c r="B5269" t="s">
        <v>100</v>
      </c>
      <c r="C5269" t="s">
        <v>19</v>
      </c>
      <c r="D5269" t="s">
        <v>226</v>
      </c>
      <c r="E5269" s="2">
        <v>8</v>
      </c>
      <c r="F5269" s="4">
        <v>8</v>
      </c>
      <c r="G5269" s="2">
        <v>64</v>
      </c>
      <c r="H5269" t="s">
        <v>15</v>
      </c>
      <c r="I5269" t="s">
        <v>36</v>
      </c>
      <c r="J5269" s="1">
        <v>45204</v>
      </c>
      <c r="K5269" t="b">
        <v>1</v>
      </c>
    </row>
    <row r="5270" spans="1:11" x14ac:dyDescent="0.25">
      <c r="A5270" t="s">
        <v>5765</v>
      </c>
      <c r="B5270" t="s">
        <v>40</v>
      </c>
      <c r="C5270" t="s">
        <v>27</v>
      </c>
      <c r="D5270" t="s">
        <v>207</v>
      </c>
      <c r="E5270" s="2">
        <v>32</v>
      </c>
      <c r="F5270" s="4">
        <v>2</v>
      </c>
      <c r="G5270" s="2">
        <v>64</v>
      </c>
      <c r="H5270" t="s">
        <v>45</v>
      </c>
      <c r="I5270" t="s">
        <v>16</v>
      </c>
      <c r="J5270" s="1">
        <v>45048</v>
      </c>
      <c r="K5270" t="b">
        <v>1</v>
      </c>
    </row>
    <row r="5271" spans="1:11" x14ac:dyDescent="0.25">
      <c r="A5271" t="s">
        <v>5979</v>
      </c>
      <c r="B5271" t="s">
        <v>34</v>
      </c>
      <c r="C5271" t="s">
        <v>19</v>
      </c>
      <c r="D5271" t="s">
        <v>226</v>
      </c>
      <c r="E5271" s="2">
        <v>8</v>
      </c>
      <c r="F5271" s="4">
        <v>8</v>
      </c>
      <c r="G5271" s="2">
        <v>64</v>
      </c>
      <c r="H5271" t="s">
        <v>15</v>
      </c>
      <c r="I5271" t="s">
        <v>16</v>
      </c>
      <c r="J5271" s="1">
        <v>44927</v>
      </c>
      <c r="K5271" t="b">
        <v>1</v>
      </c>
    </row>
    <row r="5272" spans="1:11" x14ac:dyDescent="0.25">
      <c r="A5272" t="s">
        <v>6777</v>
      </c>
      <c r="B5272" t="s">
        <v>63</v>
      </c>
      <c r="C5272" t="s">
        <v>38</v>
      </c>
      <c r="D5272" t="s">
        <v>697</v>
      </c>
      <c r="E5272" s="2">
        <v>8</v>
      </c>
      <c r="F5272" s="4">
        <v>8</v>
      </c>
      <c r="G5272" s="2">
        <v>64</v>
      </c>
      <c r="H5272" t="s">
        <v>15</v>
      </c>
      <c r="I5272" t="s">
        <v>16</v>
      </c>
      <c r="J5272" s="1">
        <v>45363</v>
      </c>
      <c r="K5272" t="b">
        <v>1</v>
      </c>
    </row>
    <row r="5273" spans="1:11" x14ac:dyDescent="0.25">
      <c r="A5273" t="s">
        <v>5897</v>
      </c>
      <c r="B5273" t="s">
        <v>85</v>
      </c>
      <c r="C5273" t="s">
        <v>13</v>
      </c>
      <c r="D5273" t="s">
        <v>969</v>
      </c>
      <c r="E5273" s="2">
        <v>8</v>
      </c>
      <c r="F5273" s="4">
        <v>8</v>
      </c>
      <c r="G5273" s="2">
        <v>64</v>
      </c>
      <c r="H5273" t="s">
        <v>45</v>
      </c>
      <c r="I5273" t="s">
        <v>16</v>
      </c>
      <c r="J5273" s="1">
        <v>44634</v>
      </c>
      <c r="K5273" t="b">
        <v>0</v>
      </c>
    </row>
    <row r="5274" spans="1:11" x14ac:dyDescent="0.25">
      <c r="A5274" t="s">
        <v>4177</v>
      </c>
      <c r="B5274" t="s">
        <v>34</v>
      </c>
      <c r="C5274" t="s">
        <v>31</v>
      </c>
      <c r="D5274" t="s">
        <v>106</v>
      </c>
      <c r="E5274" s="2">
        <v>8</v>
      </c>
      <c r="F5274" s="4">
        <v>8</v>
      </c>
      <c r="G5274" s="2">
        <v>64</v>
      </c>
      <c r="H5274" t="s">
        <v>15</v>
      </c>
      <c r="I5274" t="s">
        <v>16</v>
      </c>
      <c r="J5274" s="1">
        <v>44608</v>
      </c>
      <c r="K5274" t="b">
        <v>1</v>
      </c>
    </row>
    <row r="5275" spans="1:11" x14ac:dyDescent="0.25">
      <c r="A5275" t="s">
        <v>5955</v>
      </c>
      <c r="B5275" t="s">
        <v>63</v>
      </c>
      <c r="C5275" t="s">
        <v>38</v>
      </c>
      <c r="D5275" t="s">
        <v>697</v>
      </c>
      <c r="E5275" s="2">
        <v>8</v>
      </c>
      <c r="F5275" s="4">
        <v>8</v>
      </c>
      <c r="G5275" s="2">
        <v>64</v>
      </c>
      <c r="H5275" t="s">
        <v>45</v>
      </c>
      <c r="I5275" t="s">
        <v>16</v>
      </c>
      <c r="J5275" s="1">
        <v>44651</v>
      </c>
      <c r="K5275" t="b">
        <v>0</v>
      </c>
    </row>
    <row r="5276" spans="1:11" x14ac:dyDescent="0.25">
      <c r="A5276" t="s">
        <v>6660</v>
      </c>
      <c r="B5276" t="s">
        <v>66</v>
      </c>
      <c r="C5276" t="s">
        <v>38</v>
      </c>
      <c r="D5276" t="s">
        <v>697</v>
      </c>
      <c r="E5276" s="2">
        <v>8</v>
      </c>
      <c r="F5276" s="4">
        <v>8</v>
      </c>
      <c r="G5276" s="2">
        <v>64</v>
      </c>
      <c r="H5276" t="s">
        <v>45</v>
      </c>
      <c r="I5276" t="s">
        <v>36</v>
      </c>
      <c r="J5276" s="1">
        <v>45546</v>
      </c>
      <c r="K5276" t="b">
        <v>1</v>
      </c>
    </row>
    <row r="5277" spans="1:11" x14ac:dyDescent="0.25">
      <c r="A5277" t="s">
        <v>1559</v>
      </c>
      <c r="B5277" t="s">
        <v>12</v>
      </c>
      <c r="C5277" t="s">
        <v>59</v>
      </c>
      <c r="D5277" t="s">
        <v>254</v>
      </c>
      <c r="E5277" s="2">
        <v>32</v>
      </c>
      <c r="F5277" s="4">
        <v>2</v>
      </c>
      <c r="G5277" s="2">
        <v>64</v>
      </c>
      <c r="H5277" t="s">
        <v>45</v>
      </c>
      <c r="I5277" t="s">
        <v>16</v>
      </c>
      <c r="J5277" s="1">
        <v>45130</v>
      </c>
      <c r="K5277" t="b">
        <v>1</v>
      </c>
    </row>
    <row r="5278" spans="1:11" x14ac:dyDescent="0.25">
      <c r="A5278" t="s">
        <v>1188</v>
      </c>
      <c r="B5278" t="s">
        <v>93</v>
      </c>
      <c r="C5278" t="s">
        <v>27</v>
      </c>
      <c r="D5278" t="s">
        <v>207</v>
      </c>
      <c r="E5278" s="2">
        <v>32</v>
      </c>
      <c r="F5278" s="4">
        <v>2</v>
      </c>
      <c r="G5278" s="2">
        <v>64</v>
      </c>
      <c r="H5278" t="s">
        <v>45</v>
      </c>
      <c r="I5278" t="s">
        <v>36</v>
      </c>
      <c r="J5278" s="1">
        <v>45196</v>
      </c>
      <c r="K5278" t="b">
        <v>0</v>
      </c>
    </row>
    <row r="5279" spans="1:11" x14ac:dyDescent="0.25">
      <c r="A5279" t="s">
        <v>6384</v>
      </c>
      <c r="B5279" t="s">
        <v>26</v>
      </c>
      <c r="C5279" t="s">
        <v>19</v>
      </c>
      <c r="D5279" t="s">
        <v>226</v>
      </c>
      <c r="E5279" s="2">
        <v>8</v>
      </c>
      <c r="F5279" s="4">
        <v>8</v>
      </c>
      <c r="G5279" s="2">
        <v>64</v>
      </c>
      <c r="H5279" t="s">
        <v>45</v>
      </c>
      <c r="I5279" t="s">
        <v>36</v>
      </c>
      <c r="J5279" s="1">
        <v>45612</v>
      </c>
      <c r="K5279" t="b">
        <v>0</v>
      </c>
    </row>
    <row r="5280" spans="1:11" x14ac:dyDescent="0.25">
      <c r="A5280" t="s">
        <v>3123</v>
      </c>
      <c r="B5280" t="s">
        <v>100</v>
      </c>
      <c r="C5280" t="s">
        <v>38</v>
      </c>
      <c r="D5280" t="s">
        <v>748</v>
      </c>
      <c r="E5280" s="2">
        <v>32</v>
      </c>
      <c r="F5280" s="4">
        <v>2</v>
      </c>
      <c r="G5280" s="2">
        <v>64</v>
      </c>
      <c r="H5280" t="s">
        <v>45</v>
      </c>
      <c r="I5280" t="s">
        <v>16</v>
      </c>
      <c r="J5280" s="1">
        <v>44966</v>
      </c>
      <c r="K5280" t="b">
        <v>1</v>
      </c>
    </row>
    <row r="5281" spans="1:11" x14ac:dyDescent="0.25">
      <c r="A5281" t="s">
        <v>5269</v>
      </c>
      <c r="B5281" t="s">
        <v>77</v>
      </c>
      <c r="C5281" t="s">
        <v>19</v>
      </c>
      <c r="D5281" t="s">
        <v>226</v>
      </c>
      <c r="E5281" s="2">
        <v>8</v>
      </c>
      <c r="F5281" s="4">
        <v>8</v>
      </c>
      <c r="G5281" s="2">
        <v>64</v>
      </c>
      <c r="H5281" t="s">
        <v>25</v>
      </c>
      <c r="I5281" t="s">
        <v>16</v>
      </c>
      <c r="J5281" s="1">
        <v>44782</v>
      </c>
      <c r="K5281" t="b">
        <v>1</v>
      </c>
    </row>
    <row r="5282" spans="1:11" x14ac:dyDescent="0.25">
      <c r="A5282" t="s">
        <v>2139</v>
      </c>
      <c r="B5282" t="s">
        <v>77</v>
      </c>
      <c r="C5282" t="s">
        <v>13</v>
      </c>
      <c r="D5282" t="s">
        <v>969</v>
      </c>
      <c r="E5282" s="2">
        <v>8</v>
      </c>
      <c r="F5282" s="4">
        <v>8</v>
      </c>
      <c r="G5282" s="2">
        <v>64</v>
      </c>
      <c r="H5282" t="s">
        <v>15</v>
      </c>
      <c r="I5282" t="s">
        <v>36</v>
      </c>
      <c r="J5282" s="1">
        <v>45420</v>
      </c>
      <c r="K5282" t="b">
        <v>1</v>
      </c>
    </row>
    <row r="5283" spans="1:11" x14ac:dyDescent="0.25">
      <c r="A5283" t="s">
        <v>356</v>
      </c>
      <c r="B5283" t="s">
        <v>37</v>
      </c>
      <c r="C5283" t="s">
        <v>27</v>
      </c>
      <c r="D5283" t="s">
        <v>357</v>
      </c>
      <c r="E5283" s="2">
        <v>8</v>
      </c>
      <c r="F5283" s="4">
        <v>8</v>
      </c>
      <c r="G5283" s="2">
        <v>64</v>
      </c>
      <c r="H5283" t="s">
        <v>15</v>
      </c>
      <c r="I5283" t="s">
        <v>16</v>
      </c>
      <c r="J5283" s="1">
        <v>45369</v>
      </c>
      <c r="K5283" t="b">
        <v>1</v>
      </c>
    </row>
    <row r="5284" spans="1:11" x14ac:dyDescent="0.25">
      <c r="A5284" t="s">
        <v>499</v>
      </c>
      <c r="B5284" t="s">
        <v>30</v>
      </c>
      <c r="C5284" t="s">
        <v>59</v>
      </c>
      <c r="D5284" t="s">
        <v>254</v>
      </c>
      <c r="E5284" s="2">
        <v>32</v>
      </c>
      <c r="F5284" s="4">
        <v>2</v>
      </c>
      <c r="G5284" s="2">
        <v>64</v>
      </c>
      <c r="H5284" t="s">
        <v>45</v>
      </c>
      <c r="I5284" t="s">
        <v>36</v>
      </c>
      <c r="J5284" s="1">
        <v>44965</v>
      </c>
      <c r="K5284" t="b">
        <v>1</v>
      </c>
    </row>
    <row r="5285" spans="1:11" x14ac:dyDescent="0.25">
      <c r="A5285" t="s">
        <v>7086</v>
      </c>
      <c r="B5285" t="s">
        <v>58</v>
      </c>
      <c r="C5285" t="s">
        <v>19</v>
      </c>
      <c r="D5285" t="s">
        <v>120</v>
      </c>
      <c r="E5285" s="2">
        <v>32</v>
      </c>
      <c r="F5285" s="4">
        <v>2</v>
      </c>
      <c r="G5285" s="2">
        <v>64</v>
      </c>
      <c r="H5285" t="s">
        <v>25</v>
      </c>
      <c r="I5285" t="s">
        <v>36</v>
      </c>
      <c r="J5285" s="1">
        <v>44651</v>
      </c>
      <c r="K5285" t="b">
        <v>1</v>
      </c>
    </row>
    <row r="5286" spans="1:11" x14ac:dyDescent="0.25">
      <c r="A5286" t="s">
        <v>5655</v>
      </c>
      <c r="B5286" t="s">
        <v>12</v>
      </c>
      <c r="C5286" t="s">
        <v>23</v>
      </c>
      <c r="D5286" t="s">
        <v>47</v>
      </c>
      <c r="E5286" s="2">
        <v>8</v>
      </c>
      <c r="F5286" s="4">
        <v>8</v>
      </c>
      <c r="G5286" s="2">
        <v>64</v>
      </c>
      <c r="H5286" t="s">
        <v>25</v>
      </c>
      <c r="I5286" t="s">
        <v>36</v>
      </c>
      <c r="J5286" s="1">
        <v>44986</v>
      </c>
      <c r="K5286" t="b">
        <v>1</v>
      </c>
    </row>
    <row r="5287" spans="1:11" x14ac:dyDescent="0.25">
      <c r="A5287" t="s">
        <v>6817</v>
      </c>
      <c r="B5287" t="s">
        <v>58</v>
      </c>
      <c r="C5287" t="s">
        <v>13</v>
      </c>
      <c r="D5287" t="s">
        <v>969</v>
      </c>
      <c r="E5287" s="2">
        <v>8</v>
      </c>
      <c r="F5287" s="4">
        <v>8</v>
      </c>
      <c r="G5287" s="2">
        <v>64</v>
      </c>
      <c r="H5287" t="s">
        <v>15</v>
      </c>
      <c r="I5287" t="s">
        <v>16</v>
      </c>
      <c r="J5287" s="1">
        <v>44813</v>
      </c>
      <c r="K5287" t="b">
        <v>1</v>
      </c>
    </row>
    <row r="5288" spans="1:11" x14ac:dyDescent="0.25">
      <c r="A5288" t="s">
        <v>7059</v>
      </c>
      <c r="B5288" t="s">
        <v>22</v>
      </c>
      <c r="C5288" t="s">
        <v>38</v>
      </c>
      <c r="D5288" t="s">
        <v>697</v>
      </c>
      <c r="E5288" s="2">
        <v>8</v>
      </c>
      <c r="F5288" s="4">
        <v>8</v>
      </c>
      <c r="G5288" s="2">
        <v>64</v>
      </c>
      <c r="H5288" t="s">
        <v>15</v>
      </c>
      <c r="I5288" t="s">
        <v>36</v>
      </c>
      <c r="J5288" s="1">
        <v>44786</v>
      </c>
      <c r="K5288" t="b">
        <v>1</v>
      </c>
    </row>
    <row r="5289" spans="1:11" x14ac:dyDescent="0.25">
      <c r="A5289" t="s">
        <v>1919</v>
      </c>
      <c r="B5289" t="s">
        <v>12</v>
      </c>
      <c r="C5289" t="s">
        <v>110</v>
      </c>
      <c r="D5289" t="s">
        <v>741</v>
      </c>
      <c r="E5289" s="2">
        <v>8</v>
      </c>
      <c r="F5289" s="4">
        <v>8</v>
      </c>
      <c r="G5289" s="2">
        <v>64</v>
      </c>
      <c r="H5289" t="s">
        <v>25</v>
      </c>
      <c r="I5289" t="s">
        <v>16</v>
      </c>
      <c r="J5289" s="1">
        <v>44902</v>
      </c>
      <c r="K5289" t="b">
        <v>1</v>
      </c>
    </row>
    <row r="5290" spans="1:11" x14ac:dyDescent="0.25">
      <c r="A5290" t="s">
        <v>6310</v>
      </c>
      <c r="B5290" t="s">
        <v>86</v>
      </c>
      <c r="C5290" t="s">
        <v>59</v>
      </c>
      <c r="D5290" t="s">
        <v>254</v>
      </c>
      <c r="E5290" s="2">
        <v>32</v>
      </c>
      <c r="F5290" s="4">
        <v>2</v>
      </c>
      <c r="G5290" s="2">
        <v>64</v>
      </c>
      <c r="H5290" t="s">
        <v>15</v>
      </c>
      <c r="I5290" t="s">
        <v>36</v>
      </c>
      <c r="J5290" s="1">
        <v>44667</v>
      </c>
      <c r="K5290" t="b">
        <v>0</v>
      </c>
    </row>
    <row r="5291" spans="1:11" x14ac:dyDescent="0.25">
      <c r="A5291" t="s">
        <v>5251</v>
      </c>
      <c r="B5291" t="s">
        <v>72</v>
      </c>
      <c r="C5291" t="s">
        <v>110</v>
      </c>
      <c r="D5291" t="s">
        <v>741</v>
      </c>
      <c r="E5291" s="2">
        <v>8</v>
      </c>
      <c r="F5291" s="4">
        <v>8</v>
      </c>
      <c r="G5291" s="2">
        <v>64</v>
      </c>
      <c r="H5291" t="s">
        <v>25</v>
      </c>
      <c r="I5291" t="s">
        <v>16</v>
      </c>
      <c r="J5291" s="1">
        <v>45134</v>
      </c>
      <c r="K5291" t="b">
        <v>1</v>
      </c>
    </row>
    <row r="5292" spans="1:11" x14ac:dyDescent="0.25">
      <c r="A5292" t="s">
        <v>1152</v>
      </c>
      <c r="B5292" t="s">
        <v>100</v>
      </c>
      <c r="C5292" t="s">
        <v>19</v>
      </c>
      <c r="D5292" t="s">
        <v>120</v>
      </c>
      <c r="E5292" s="2">
        <v>32</v>
      </c>
      <c r="F5292" s="4">
        <v>2</v>
      </c>
      <c r="G5292" s="2">
        <v>64</v>
      </c>
      <c r="H5292" t="s">
        <v>45</v>
      </c>
      <c r="I5292" t="s">
        <v>16</v>
      </c>
      <c r="J5292" s="1">
        <v>44597</v>
      </c>
      <c r="K5292" t="b">
        <v>1</v>
      </c>
    </row>
    <row r="5293" spans="1:11" x14ac:dyDescent="0.25">
      <c r="A5293" t="s">
        <v>1665</v>
      </c>
      <c r="B5293" t="s">
        <v>34</v>
      </c>
      <c r="C5293" t="s">
        <v>19</v>
      </c>
      <c r="D5293" t="s">
        <v>226</v>
      </c>
      <c r="E5293" s="2">
        <v>8</v>
      </c>
      <c r="F5293" s="4">
        <v>8</v>
      </c>
      <c r="G5293" s="2">
        <v>64</v>
      </c>
      <c r="H5293" t="s">
        <v>25</v>
      </c>
      <c r="I5293" t="s">
        <v>36</v>
      </c>
      <c r="J5293" s="1">
        <v>45422</v>
      </c>
      <c r="K5293" t="b">
        <v>1</v>
      </c>
    </row>
    <row r="5294" spans="1:11" x14ac:dyDescent="0.25">
      <c r="A5294" t="s">
        <v>6882</v>
      </c>
      <c r="B5294" t="s">
        <v>86</v>
      </c>
      <c r="C5294" t="s">
        <v>110</v>
      </c>
      <c r="D5294" t="s">
        <v>282</v>
      </c>
      <c r="E5294" s="2">
        <v>32</v>
      </c>
      <c r="F5294" s="4">
        <v>2</v>
      </c>
      <c r="G5294" s="2">
        <v>64</v>
      </c>
      <c r="H5294" t="s">
        <v>25</v>
      </c>
      <c r="I5294" t="s">
        <v>36</v>
      </c>
      <c r="J5294" s="1">
        <v>45189</v>
      </c>
      <c r="K5294" t="b">
        <v>1</v>
      </c>
    </row>
    <row r="5295" spans="1:11" x14ac:dyDescent="0.25">
      <c r="A5295" t="s">
        <v>4403</v>
      </c>
      <c r="B5295" t="s">
        <v>56</v>
      </c>
      <c r="C5295" t="s">
        <v>110</v>
      </c>
      <c r="D5295" t="s">
        <v>282</v>
      </c>
      <c r="E5295" s="2">
        <v>32</v>
      </c>
      <c r="F5295" s="4">
        <v>2</v>
      </c>
      <c r="G5295" s="2">
        <v>64</v>
      </c>
      <c r="H5295" t="s">
        <v>15</v>
      </c>
      <c r="I5295" t="s">
        <v>36</v>
      </c>
      <c r="J5295" s="1">
        <v>45294</v>
      </c>
      <c r="K5295" t="b">
        <v>0</v>
      </c>
    </row>
    <row r="5296" spans="1:11" x14ac:dyDescent="0.25">
      <c r="A5296" t="s">
        <v>5956</v>
      </c>
      <c r="B5296" t="s">
        <v>40</v>
      </c>
      <c r="C5296" t="s">
        <v>59</v>
      </c>
      <c r="D5296" t="s">
        <v>254</v>
      </c>
      <c r="E5296" s="2">
        <v>32</v>
      </c>
      <c r="F5296" s="4">
        <v>2</v>
      </c>
      <c r="G5296" s="2">
        <v>64</v>
      </c>
      <c r="H5296" t="s">
        <v>45</v>
      </c>
      <c r="I5296" t="s">
        <v>16</v>
      </c>
      <c r="J5296" s="1">
        <v>44717</v>
      </c>
      <c r="K5296" t="b">
        <v>1</v>
      </c>
    </row>
    <row r="5297" spans="1:11" x14ac:dyDescent="0.25">
      <c r="A5297" t="s">
        <v>3238</v>
      </c>
      <c r="B5297" t="s">
        <v>18</v>
      </c>
      <c r="C5297" t="s">
        <v>19</v>
      </c>
      <c r="D5297" t="s">
        <v>120</v>
      </c>
      <c r="E5297" s="2">
        <v>32</v>
      </c>
      <c r="F5297" s="4">
        <v>2</v>
      </c>
      <c r="G5297" s="2">
        <v>64</v>
      </c>
      <c r="H5297" t="s">
        <v>45</v>
      </c>
      <c r="I5297" t="s">
        <v>16</v>
      </c>
      <c r="J5297" s="1">
        <v>44754</v>
      </c>
      <c r="K5297" t="b">
        <v>1</v>
      </c>
    </row>
    <row r="5298" spans="1:11" x14ac:dyDescent="0.25">
      <c r="A5298" t="s">
        <v>7325</v>
      </c>
      <c r="B5298" t="s">
        <v>66</v>
      </c>
      <c r="C5298" t="s">
        <v>110</v>
      </c>
      <c r="D5298" t="s">
        <v>282</v>
      </c>
      <c r="E5298" s="2">
        <v>32</v>
      </c>
      <c r="F5298" s="4">
        <v>2</v>
      </c>
      <c r="G5298" s="2">
        <v>64</v>
      </c>
      <c r="H5298" t="s">
        <v>15</v>
      </c>
      <c r="I5298" t="s">
        <v>16</v>
      </c>
      <c r="J5298" s="1">
        <v>45647</v>
      </c>
      <c r="K5298" t="b">
        <v>1</v>
      </c>
    </row>
    <row r="5299" spans="1:11" x14ac:dyDescent="0.25">
      <c r="A5299" t="s">
        <v>6772</v>
      </c>
      <c r="B5299" t="s">
        <v>43</v>
      </c>
      <c r="C5299" t="s">
        <v>110</v>
      </c>
      <c r="D5299" t="s">
        <v>282</v>
      </c>
      <c r="E5299" s="2">
        <v>32</v>
      </c>
      <c r="F5299" s="4">
        <v>2</v>
      </c>
      <c r="G5299" s="2">
        <v>64</v>
      </c>
      <c r="H5299" t="s">
        <v>45</v>
      </c>
      <c r="I5299" t="s">
        <v>16</v>
      </c>
      <c r="J5299" s="1">
        <v>45544</v>
      </c>
      <c r="K5299" t="b">
        <v>1</v>
      </c>
    </row>
    <row r="5300" spans="1:11" x14ac:dyDescent="0.25">
      <c r="A5300" t="s">
        <v>2335</v>
      </c>
      <c r="B5300" t="s">
        <v>77</v>
      </c>
      <c r="C5300" t="s">
        <v>59</v>
      </c>
      <c r="D5300" t="s">
        <v>254</v>
      </c>
      <c r="E5300" s="2">
        <v>32</v>
      </c>
      <c r="F5300" s="4">
        <v>2</v>
      </c>
      <c r="G5300" s="2">
        <v>64</v>
      </c>
      <c r="H5300" t="s">
        <v>45</v>
      </c>
      <c r="I5300" t="s">
        <v>36</v>
      </c>
      <c r="J5300" s="1">
        <v>45302</v>
      </c>
      <c r="K5300" t="b">
        <v>1</v>
      </c>
    </row>
    <row r="5301" spans="1:11" x14ac:dyDescent="0.25">
      <c r="A5301" t="s">
        <v>1955</v>
      </c>
      <c r="B5301" t="s">
        <v>26</v>
      </c>
      <c r="C5301" t="s">
        <v>19</v>
      </c>
      <c r="D5301" t="s">
        <v>226</v>
      </c>
      <c r="E5301" s="2">
        <v>8</v>
      </c>
      <c r="F5301" s="4">
        <v>8</v>
      </c>
      <c r="G5301" s="2">
        <v>64</v>
      </c>
      <c r="H5301" t="s">
        <v>15</v>
      </c>
      <c r="I5301" t="s">
        <v>36</v>
      </c>
      <c r="J5301" s="1">
        <v>44598</v>
      </c>
      <c r="K5301" t="b">
        <v>1</v>
      </c>
    </row>
    <row r="5302" spans="1:11" x14ac:dyDescent="0.25">
      <c r="A5302" t="s">
        <v>690</v>
      </c>
      <c r="B5302" t="s">
        <v>72</v>
      </c>
      <c r="C5302" t="s">
        <v>19</v>
      </c>
      <c r="D5302" t="s">
        <v>120</v>
      </c>
      <c r="E5302" s="2">
        <v>32</v>
      </c>
      <c r="F5302" s="4">
        <v>2</v>
      </c>
      <c r="G5302" s="2">
        <v>64</v>
      </c>
      <c r="H5302" t="s">
        <v>25</v>
      </c>
      <c r="I5302" t="s">
        <v>36</v>
      </c>
      <c r="J5302" s="1">
        <v>45636</v>
      </c>
      <c r="K5302" t="b">
        <v>0</v>
      </c>
    </row>
    <row r="5303" spans="1:11" x14ac:dyDescent="0.25">
      <c r="A5303" t="s">
        <v>1946</v>
      </c>
      <c r="B5303" t="s">
        <v>37</v>
      </c>
      <c r="C5303" t="s">
        <v>110</v>
      </c>
      <c r="D5303" t="s">
        <v>282</v>
      </c>
      <c r="E5303" s="2">
        <v>32</v>
      </c>
      <c r="F5303" s="4">
        <v>2</v>
      </c>
      <c r="G5303" s="2">
        <v>64</v>
      </c>
      <c r="H5303" t="s">
        <v>45</v>
      </c>
      <c r="I5303" t="s">
        <v>16</v>
      </c>
      <c r="J5303" s="1">
        <v>45493</v>
      </c>
      <c r="K5303" t="b">
        <v>0</v>
      </c>
    </row>
    <row r="5304" spans="1:11" x14ac:dyDescent="0.25">
      <c r="A5304" t="s">
        <v>1794</v>
      </c>
      <c r="B5304" t="s">
        <v>30</v>
      </c>
      <c r="C5304" t="s">
        <v>27</v>
      </c>
      <c r="D5304" t="s">
        <v>207</v>
      </c>
      <c r="E5304" s="2">
        <v>32</v>
      </c>
      <c r="F5304" s="4">
        <v>2</v>
      </c>
      <c r="G5304" s="2">
        <v>64</v>
      </c>
      <c r="H5304" t="s">
        <v>25</v>
      </c>
      <c r="I5304" t="s">
        <v>36</v>
      </c>
      <c r="J5304" s="1">
        <v>45362</v>
      </c>
      <c r="K5304" t="b">
        <v>0</v>
      </c>
    </row>
    <row r="5305" spans="1:11" x14ac:dyDescent="0.25">
      <c r="A5305" t="s">
        <v>6873</v>
      </c>
      <c r="B5305" t="s">
        <v>26</v>
      </c>
      <c r="C5305" t="s">
        <v>59</v>
      </c>
      <c r="D5305" t="s">
        <v>177</v>
      </c>
      <c r="E5305" s="2">
        <v>12.5</v>
      </c>
      <c r="F5305" s="4">
        <v>5</v>
      </c>
      <c r="G5305" s="2">
        <v>62.5</v>
      </c>
      <c r="H5305" t="s">
        <v>15</v>
      </c>
      <c r="I5305" t="s">
        <v>36</v>
      </c>
      <c r="J5305" s="1">
        <v>44879</v>
      </c>
      <c r="K5305" t="b">
        <v>0</v>
      </c>
    </row>
    <row r="5306" spans="1:11" x14ac:dyDescent="0.25">
      <c r="A5306" t="s">
        <v>2031</v>
      </c>
      <c r="B5306" t="s">
        <v>56</v>
      </c>
      <c r="C5306" t="s">
        <v>38</v>
      </c>
      <c r="D5306" t="s">
        <v>480</v>
      </c>
      <c r="E5306" s="2">
        <v>12.5</v>
      </c>
      <c r="F5306" s="4">
        <v>5</v>
      </c>
      <c r="G5306" s="2">
        <v>62.5</v>
      </c>
      <c r="H5306" t="s">
        <v>15</v>
      </c>
      <c r="I5306" t="s">
        <v>16</v>
      </c>
      <c r="J5306" s="1">
        <v>44584</v>
      </c>
      <c r="K5306" t="b">
        <v>1</v>
      </c>
    </row>
    <row r="5307" spans="1:11" x14ac:dyDescent="0.25">
      <c r="A5307" t="s">
        <v>6233</v>
      </c>
      <c r="B5307" t="s">
        <v>51</v>
      </c>
      <c r="C5307" t="s">
        <v>23</v>
      </c>
      <c r="D5307" t="s">
        <v>437</v>
      </c>
      <c r="E5307" s="2">
        <v>12.5</v>
      </c>
      <c r="F5307" s="4">
        <v>5</v>
      </c>
      <c r="G5307" s="2">
        <v>62.5</v>
      </c>
      <c r="H5307" t="s">
        <v>15</v>
      </c>
      <c r="I5307" t="s">
        <v>36</v>
      </c>
      <c r="J5307" s="1">
        <v>45660</v>
      </c>
      <c r="K5307" t="b">
        <v>0</v>
      </c>
    </row>
    <row r="5308" spans="1:11" x14ac:dyDescent="0.25">
      <c r="A5308" t="s">
        <v>2723</v>
      </c>
      <c r="B5308" t="s">
        <v>18</v>
      </c>
      <c r="C5308" t="s">
        <v>19</v>
      </c>
      <c r="D5308" t="s">
        <v>128</v>
      </c>
      <c r="E5308" s="2">
        <v>12.5</v>
      </c>
      <c r="F5308" s="4">
        <v>5</v>
      </c>
      <c r="G5308" s="2">
        <v>62.5</v>
      </c>
      <c r="H5308" t="s">
        <v>15</v>
      </c>
      <c r="I5308" t="s">
        <v>36</v>
      </c>
      <c r="J5308" s="1">
        <v>44562</v>
      </c>
      <c r="K5308" t="b">
        <v>0</v>
      </c>
    </row>
    <row r="5309" spans="1:11" x14ac:dyDescent="0.25">
      <c r="A5309" t="s">
        <v>3397</v>
      </c>
      <c r="B5309" t="s">
        <v>58</v>
      </c>
      <c r="C5309" t="s">
        <v>38</v>
      </c>
      <c r="D5309" t="s">
        <v>480</v>
      </c>
      <c r="E5309" s="2">
        <v>12.5</v>
      </c>
      <c r="F5309" s="4">
        <v>5</v>
      </c>
      <c r="G5309" s="2">
        <v>62.5</v>
      </c>
      <c r="H5309" t="s">
        <v>15</v>
      </c>
      <c r="I5309" t="s">
        <v>36</v>
      </c>
      <c r="J5309" s="1">
        <v>45041</v>
      </c>
      <c r="K5309" t="b">
        <v>0</v>
      </c>
    </row>
    <row r="5310" spans="1:11" x14ac:dyDescent="0.25">
      <c r="A5310" t="s">
        <v>601</v>
      </c>
      <c r="B5310" t="s">
        <v>69</v>
      </c>
      <c r="C5310" t="s">
        <v>31</v>
      </c>
      <c r="D5310" t="s">
        <v>32</v>
      </c>
      <c r="E5310" s="2">
        <v>12.5</v>
      </c>
      <c r="F5310" s="4">
        <v>5</v>
      </c>
      <c r="G5310" s="2">
        <v>62.5</v>
      </c>
      <c r="H5310" t="s">
        <v>25</v>
      </c>
      <c r="I5310" t="s">
        <v>36</v>
      </c>
      <c r="J5310" s="1">
        <v>44657</v>
      </c>
      <c r="K5310" t="b">
        <v>0</v>
      </c>
    </row>
    <row r="5311" spans="1:11" x14ac:dyDescent="0.25">
      <c r="A5311" t="s">
        <v>4323</v>
      </c>
      <c r="B5311" t="s">
        <v>22</v>
      </c>
      <c r="C5311" t="s">
        <v>38</v>
      </c>
      <c r="D5311" t="s">
        <v>480</v>
      </c>
      <c r="E5311" s="2">
        <v>12.5</v>
      </c>
      <c r="F5311" s="4">
        <v>5</v>
      </c>
      <c r="G5311" s="2">
        <v>62.5</v>
      </c>
      <c r="H5311" t="s">
        <v>15</v>
      </c>
      <c r="I5311" t="s">
        <v>16</v>
      </c>
      <c r="J5311" s="1">
        <v>45062</v>
      </c>
      <c r="K5311" t="b">
        <v>1</v>
      </c>
    </row>
    <row r="5312" spans="1:11" x14ac:dyDescent="0.25">
      <c r="A5312" t="s">
        <v>5879</v>
      </c>
      <c r="B5312" t="s">
        <v>51</v>
      </c>
      <c r="C5312" t="s">
        <v>27</v>
      </c>
      <c r="D5312" t="s">
        <v>217</v>
      </c>
      <c r="E5312" s="2">
        <v>12.5</v>
      </c>
      <c r="F5312" s="4">
        <v>5</v>
      </c>
      <c r="G5312" s="2">
        <v>62.5</v>
      </c>
      <c r="H5312" t="s">
        <v>45</v>
      </c>
      <c r="I5312" t="s">
        <v>36</v>
      </c>
      <c r="J5312" s="1">
        <v>44956</v>
      </c>
      <c r="K5312" t="b">
        <v>1</v>
      </c>
    </row>
    <row r="5313" spans="1:11" x14ac:dyDescent="0.25">
      <c r="A5313" t="s">
        <v>7775</v>
      </c>
      <c r="B5313" t="s">
        <v>58</v>
      </c>
      <c r="C5313" t="s">
        <v>19</v>
      </c>
      <c r="D5313" t="s">
        <v>128</v>
      </c>
      <c r="E5313" s="2">
        <v>12.5</v>
      </c>
      <c r="F5313" s="4">
        <v>5</v>
      </c>
      <c r="G5313" s="2">
        <v>62.5</v>
      </c>
      <c r="H5313" t="s">
        <v>45</v>
      </c>
      <c r="I5313" t="s">
        <v>36</v>
      </c>
      <c r="J5313" s="1">
        <v>45591</v>
      </c>
      <c r="K5313" t="b">
        <v>1</v>
      </c>
    </row>
    <row r="5314" spans="1:11" x14ac:dyDescent="0.25">
      <c r="A5314" t="s">
        <v>2454</v>
      </c>
      <c r="B5314" t="s">
        <v>61</v>
      </c>
      <c r="C5314" t="s">
        <v>19</v>
      </c>
      <c r="D5314" t="s">
        <v>128</v>
      </c>
      <c r="E5314" s="2">
        <v>12.5</v>
      </c>
      <c r="F5314" s="4">
        <v>5</v>
      </c>
      <c r="G5314" s="2">
        <v>62.5</v>
      </c>
      <c r="H5314" t="s">
        <v>45</v>
      </c>
      <c r="I5314" t="s">
        <v>16</v>
      </c>
      <c r="J5314" s="1">
        <v>44654</v>
      </c>
      <c r="K5314" t="b">
        <v>0</v>
      </c>
    </row>
    <row r="5315" spans="1:11" x14ac:dyDescent="0.25">
      <c r="A5315" t="s">
        <v>7148</v>
      </c>
      <c r="B5315" t="s">
        <v>61</v>
      </c>
      <c r="C5315" t="s">
        <v>23</v>
      </c>
      <c r="D5315" t="s">
        <v>437</v>
      </c>
      <c r="E5315" s="2">
        <v>12.5</v>
      </c>
      <c r="F5315" s="4">
        <v>5</v>
      </c>
      <c r="G5315" s="2">
        <v>62.5</v>
      </c>
      <c r="H5315" t="s">
        <v>15</v>
      </c>
      <c r="I5315" t="s">
        <v>16</v>
      </c>
      <c r="J5315" s="1">
        <v>44585</v>
      </c>
      <c r="K5315" t="b">
        <v>0</v>
      </c>
    </row>
    <row r="5316" spans="1:11" x14ac:dyDescent="0.25">
      <c r="A5316" t="s">
        <v>7618</v>
      </c>
      <c r="B5316" t="s">
        <v>63</v>
      </c>
      <c r="C5316" t="s">
        <v>59</v>
      </c>
      <c r="D5316" t="s">
        <v>177</v>
      </c>
      <c r="E5316" s="2">
        <v>12.5</v>
      </c>
      <c r="F5316" s="4">
        <v>5</v>
      </c>
      <c r="G5316" s="2">
        <v>62.5</v>
      </c>
      <c r="H5316" t="s">
        <v>45</v>
      </c>
      <c r="I5316" t="s">
        <v>16</v>
      </c>
      <c r="J5316" s="1">
        <v>45506</v>
      </c>
      <c r="K5316" t="b">
        <v>0</v>
      </c>
    </row>
    <row r="5317" spans="1:11" x14ac:dyDescent="0.25">
      <c r="A5317" t="s">
        <v>238</v>
      </c>
      <c r="B5317" t="s">
        <v>77</v>
      </c>
      <c r="C5317" t="s">
        <v>27</v>
      </c>
      <c r="D5317" t="s">
        <v>217</v>
      </c>
      <c r="E5317" s="2">
        <v>12.5</v>
      </c>
      <c r="F5317" s="4">
        <v>5</v>
      </c>
      <c r="G5317" s="2">
        <v>62.5</v>
      </c>
      <c r="H5317" t="s">
        <v>45</v>
      </c>
      <c r="I5317" t="s">
        <v>16</v>
      </c>
      <c r="J5317" s="1">
        <v>44965</v>
      </c>
      <c r="K5317" t="b">
        <v>0</v>
      </c>
    </row>
    <row r="5318" spans="1:11" x14ac:dyDescent="0.25">
      <c r="A5318" t="s">
        <v>6781</v>
      </c>
      <c r="B5318" t="s">
        <v>100</v>
      </c>
      <c r="C5318" t="s">
        <v>110</v>
      </c>
      <c r="D5318" t="s">
        <v>234</v>
      </c>
      <c r="E5318" s="2">
        <v>12.5</v>
      </c>
      <c r="F5318" s="4">
        <v>5</v>
      </c>
      <c r="G5318" s="2">
        <v>62.5</v>
      </c>
      <c r="H5318" t="s">
        <v>25</v>
      </c>
      <c r="I5318" t="s">
        <v>16</v>
      </c>
      <c r="J5318" s="1">
        <v>45143</v>
      </c>
      <c r="K5318" t="b">
        <v>0</v>
      </c>
    </row>
    <row r="5319" spans="1:11" x14ac:dyDescent="0.25">
      <c r="A5319" t="s">
        <v>3083</v>
      </c>
      <c r="B5319" t="s">
        <v>26</v>
      </c>
      <c r="C5319" t="s">
        <v>13</v>
      </c>
      <c r="D5319" t="s">
        <v>84</v>
      </c>
      <c r="E5319" s="2">
        <v>12.5</v>
      </c>
      <c r="F5319" s="4">
        <v>5</v>
      </c>
      <c r="G5319" s="2">
        <v>62.5</v>
      </c>
      <c r="H5319" t="s">
        <v>45</v>
      </c>
      <c r="I5319" t="s">
        <v>36</v>
      </c>
      <c r="J5319" s="1">
        <v>45360</v>
      </c>
      <c r="K5319" t="b">
        <v>0</v>
      </c>
    </row>
    <row r="5320" spans="1:11" x14ac:dyDescent="0.25">
      <c r="A5320" t="s">
        <v>2678</v>
      </c>
      <c r="B5320" t="s">
        <v>142</v>
      </c>
      <c r="C5320" t="s">
        <v>31</v>
      </c>
      <c r="D5320" t="s">
        <v>32</v>
      </c>
      <c r="E5320" s="2">
        <v>12.5</v>
      </c>
      <c r="F5320" s="4">
        <v>5</v>
      </c>
      <c r="G5320" s="2">
        <v>62.5</v>
      </c>
      <c r="H5320" t="s">
        <v>15</v>
      </c>
      <c r="I5320" t="s">
        <v>16</v>
      </c>
      <c r="J5320" s="1">
        <v>44622</v>
      </c>
      <c r="K5320" t="b">
        <v>0</v>
      </c>
    </row>
    <row r="5321" spans="1:11" x14ac:dyDescent="0.25">
      <c r="A5321" t="s">
        <v>3159</v>
      </c>
      <c r="B5321" t="s">
        <v>37</v>
      </c>
      <c r="C5321" t="s">
        <v>31</v>
      </c>
      <c r="D5321" t="s">
        <v>32</v>
      </c>
      <c r="E5321" s="2">
        <v>12.5</v>
      </c>
      <c r="F5321" s="4">
        <v>5</v>
      </c>
      <c r="G5321" s="2">
        <v>62.5</v>
      </c>
      <c r="H5321" t="s">
        <v>25</v>
      </c>
      <c r="I5321" t="s">
        <v>16</v>
      </c>
      <c r="J5321" s="1">
        <v>45671</v>
      </c>
      <c r="K5321" t="b">
        <v>0</v>
      </c>
    </row>
    <row r="5322" spans="1:11" x14ac:dyDescent="0.25">
      <c r="A5322" t="s">
        <v>3494</v>
      </c>
      <c r="B5322" t="s">
        <v>58</v>
      </c>
      <c r="C5322" t="s">
        <v>59</v>
      </c>
      <c r="D5322" t="s">
        <v>177</v>
      </c>
      <c r="E5322" s="2">
        <v>12.5</v>
      </c>
      <c r="F5322" s="4">
        <v>5</v>
      </c>
      <c r="G5322" s="2">
        <v>62.5</v>
      </c>
      <c r="H5322" t="s">
        <v>45</v>
      </c>
      <c r="I5322" t="s">
        <v>36</v>
      </c>
      <c r="J5322" s="1">
        <v>44777</v>
      </c>
      <c r="K5322" t="b">
        <v>0</v>
      </c>
    </row>
    <row r="5323" spans="1:11" x14ac:dyDescent="0.25">
      <c r="A5323" t="s">
        <v>1310</v>
      </c>
      <c r="B5323" t="s">
        <v>12</v>
      </c>
      <c r="C5323" t="s">
        <v>38</v>
      </c>
      <c r="D5323" t="s">
        <v>480</v>
      </c>
      <c r="E5323" s="2">
        <v>12.5</v>
      </c>
      <c r="F5323" s="4">
        <v>5</v>
      </c>
      <c r="G5323" s="2">
        <v>62.5</v>
      </c>
      <c r="H5323" t="s">
        <v>25</v>
      </c>
      <c r="I5323" t="s">
        <v>36</v>
      </c>
      <c r="J5323" s="1">
        <v>45328</v>
      </c>
      <c r="K5323" t="b">
        <v>0</v>
      </c>
    </row>
    <row r="5324" spans="1:11" x14ac:dyDescent="0.25">
      <c r="A5324" t="s">
        <v>6119</v>
      </c>
      <c r="B5324" t="s">
        <v>142</v>
      </c>
      <c r="C5324" t="s">
        <v>110</v>
      </c>
      <c r="D5324" t="s">
        <v>234</v>
      </c>
      <c r="E5324" s="2">
        <v>12.5</v>
      </c>
      <c r="F5324" s="4">
        <v>5</v>
      </c>
      <c r="G5324" s="2">
        <v>62.5</v>
      </c>
      <c r="H5324" t="s">
        <v>25</v>
      </c>
      <c r="I5324" t="s">
        <v>16</v>
      </c>
      <c r="J5324" s="1">
        <v>45188</v>
      </c>
      <c r="K5324" t="b">
        <v>1</v>
      </c>
    </row>
    <row r="5325" spans="1:11" x14ac:dyDescent="0.25">
      <c r="A5325" t="s">
        <v>5899</v>
      </c>
      <c r="B5325" t="s">
        <v>30</v>
      </c>
      <c r="C5325" t="s">
        <v>59</v>
      </c>
      <c r="D5325" t="s">
        <v>177</v>
      </c>
      <c r="E5325" s="2">
        <v>12.5</v>
      </c>
      <c r="F5325" s="4">
        <v>5</v>
      </c>
      <c r="G5325" s="2">
        <v>62.5</v>
      </c>
      <c r="H5325" t="s">
        <v>45</v>
      </c>
      <c r="I5325" t="s">
        <v>16</v>
      </c>
      <c r="J5325" s="1">
        <v>45140</v>
      </c>
      <c r="K5325" t="b">
        <v>0</v>
      </c>
    </row>
    <row r="5326" spans="1:11" x14ac:dyDescent="0.25">
      <c r="A5326" t="s">
        <v>6937</v>
      </c>
      <c r="B5326" t="s">
        <v>34</v>
      </c>
      <c r="C5326" t="s">
        <v>38</v>
      </c>
      <c r="D5326" t="s">
        <v>480</v>
      </c>
      <c r="E5326" s="2">
        <v>12.5</v>
      </c>
      <c r="F5326" s="4">
        <v>5</v>
      </c>
      <c r="G5326" s="2">
        <v>62.5</v>
      </c>
      <c r="H5326" t="s">
        <v>45</v>
      </c>
      <c r="I5326" t="s">
        <v>36</v>
      </c>
      <c r="J5326" s="1">
        <v>44612</v>
      </c>
      <c r="K5326" t="b">
        <v>0</v>
      </c>
    </row>
    <row r="5327" spans="1:11" x14ac:dyDescent="0.25">
      <c r="A5327" t="s">
        <v>3003</v>
      </c>
      <c r="B5327" t="s">
        <v>30</v>
      </c>
      <c r="C5327" t="s">
        <v>38</v>
      </c>
      <c r="D5327" t="s">
        <v>480</v>
      </c>
      <c r="E5327" s="2">
        <v>12.5</v>
      </c>
      <c r="F5327" s="4">
        <v>5</v>
      </c>
      <c r="G5327" s="2">
        <v>62.5</v>
      </c>
      <c r="H5327" t="s">
        <v>45</v>
      </c>
      <c r="I5327" t="s">
        <v>36</v>
      </c>
      <c r="J5327" s="1">
        <v>44899</v>
      </c>
      <c r="K5327" t="b">
        <v>0</v>
      </c>
    </row>
    <row r="5328" spans="1:11" x14ac:dyDescent="0.25">
      <c r="A5328" t="s">
        <v>2601</v>
      </c>
      <c r="B5328" t="s">
        <v>104</v>
      </c>
      <c r="C5328" t="s">
        <v>38</v>
      </c>
      <c r="D5328" t="s">
        <v>480</v>
      </c>
      <c r="E5328" s="2">
        <v>12.5</v>
      </c>
      <c r="F5328" s="4">
        <v>5</v>
      </c>
      <c r="G5328" s="2">
        <v>62.5</v>
      </c>
      <c r="H5328" t="s">
        <v>25</v>
      </c>
      <c r="I5328" t="s">
        <v>36</v>
      </c>
      <c r="J5328" s="1">
        <v>45675</v>
      </c>
      <c r="K5328" t="b">
        <v>0</v>
      </c>
    </row>
    <row r="5329" spans="1:11" x14ac:dyDescent="0.25">
      <c r="A5329" t="s">
        <v>502</v>
      </c>
      <c r="B5329" t="s">
        <v>142</v>
      </c>
      <c r="C5329" t="s">
        <v>110</v>
      </c>
      <c r="D5329" t="s">
        <v>234</v>
      </c>
      <c r="E5329" s="2">
        <v>12.5</v>
      </c>
      <c r="F5329" s="4">
        <v>5</v>
      </c>
      <c r="G5329" s="2">
        <v>62.5</v>
      </c>
      <c r="H5329" t="s">
        <v>25</v>
      </c>
      <c r="I5329" t="s">
        <v>16</v>
      </c>
      <c r="J5329" s="1">
        <v>45224</v>
      </c>
      <c r="K5329" t="b">
        <v>1</v>
      </c>
    </row>
    <row r="5330" spans="1:11" x14ac:dyDescent="0.25">
      <c r="A5330" t="s">
        <v>5536</v>
      </c>
      <c r="B5330" t="s">
        <v>72</v>
      </c>
      <c r="C5330" t="s">
        <v>38</v>
      </c>
      <c r="D5330" t="s">
        <v>480</v>
      </c>
      <c r="E5330" s="2">
        <v>12.5</v>
      </c>
      <c r="F5330" s="4">
        <v>5</v>
      </c>
      <c r="G5330" s="2">
        <v>62.5</v>
      </c>
      <c r="H5330" t="s">
        <v>15</v>
      </c>
      <c r="I5330" t="s">
        <v>16</v>
      </c>
      <c r="J5330" s="1">
        <v>45530</v>
      </c>
      <c r="K5330" t="b">
        <v>0</v>
      </c>
    </row>
    <row r="5331" spans="1:11" x14ac:dyDescent="0.25">
      <c r="A5331" t="s">
        <v>7388</v>
      </c>
      <c r="B5331" t="s">
        <v>12</v>
      </c>
      <c r="C5331" t="s">
        <v>23</v>
      </c>
      <c r="D5331" t="s">
        <v>437</v>
      </c>
      <c r="E5331" s="2">
        <v>12.5</v>
      </c>
      <c r="F5331" s="4">
        <v>5</v>
      </c>
      <c r="G5331" s="2">
        <v>62.5</v>
      </c>
      <c r="H5331" t="s">
        <v>15</v>
      </c>
      <c r="I5331" t="s">
        <v>16</v>
      </c>
      <c r="J5331" s="1">
        <v>45135</v>
      </c>
      <c r="K5331" t="b">
        <v>1</v>
      </c>
    </row>
    <row r="5332" spans="1:11" x14ac:dyDescent="0.25">
      <c r="A5332" t="s">
        <v>5156</v>
      </c>
      <c r="B5332" t="s">
        <v>56</v>
      </c>
      <c r="C5332" t="s">
        <v>31</v>
      </c>
      <c r="D5332" t="s">
        <v>32</v>
      </c>
      <c r="E5332" s="2">
        <v>12.5</v>
      </c>
      <c r="F5332" s="4">
        <v>5</v>
      </c>
      <c r="G5332" s="2">
        <v>62.5</v>
      </c>
      <c r="H5332" t="s">
        <v>15</v>
      </c>
      <c r="I5332" t="s">
        <v>36</v>
      </c>
      <c r="J5332" s="1">
        <v>44722</v>
      </c>
      <c r="K5332" t="b">
        <v>1</v>
      </c>
    </row>
    <row r="5333" spans="1:11" x14ac:dyDescent="0.25">
      <c r="A5333" t="s">
        <v>4604</v>
      </c>
      <c r="B5333" t="s">
        <v>61</v>
      </c>
      <c r="C5333" t="s">
        <v>13</v>
      </c>
      <c r="D5333" t="s">
        <v>84</v>
      </c>
      <c r="E5333" s="2">
        <v>12.5</v>
      </c>
      <c r="F5333" s="4">
        <v>5</v>
      </c>
      <c r="G5333" s="2">
        <v>62.5</v>
      </c>
      <c r="H5333" t="s">
        <v>15</v>
      </c>
      <c r="I5333" t="s">
        <v>36</v>
      </c>
      <c r="J5333" s="1">
        <v>44909</v>
      </c>
      <c r="K5333" t="b">
        <v>0</v>
      </c>
    </row>
    <row r="5334" spans="1:11" x14ac:dyDescent="0.25">
      <c r="A5334" t="s">
        <v>6376</v>
      </c>
      <c r="B5334" t="s">
        <v>43</v>
      </c>
      <c r="C5334" t="s">
        <v>13</v>
      </c>
      <c r="D5334" t="s">
        <v>84</v>
      </c>
      <c r="E5334" s="2">
        <v>12.5</v>
      </c>
      <c r="F5334" s="4">
        <v>5</v>
      </c>
      <c r="G5334" s="2">
        <v>62.5</v>
      </c>
      <c r="H5334" t="s">
        <v>15</v>
      </c>
      <c r="I5334" t="s">
        <v>36</v>
      </c>
      <c r="J5334" s="1">
        <v>44858</v>
      </c>
      <c r="K5334" t="b">
        <v>1</v>
      </c>
    </row>
    <row r="5335" spans="1:11" x14ac:dyDescent="0.25">
      <c r="A5335" t="s">
        <v>1508</v>
      </c>
      <c r="B5335" t="s">
        <v>43</v>
      </c>
      <c r="C5335" t="s">
        <v>59</v>
      </c>
      <c r="D5335" t="s">
        <v>177</v>
      </c>
      <c r="E5335" s="2">
        <v>12.5</v>
      </c>
      <c r="F5335" s="4">
        <v>5</v>
      </c>
      <c r="G5335" s="2">
        <v>62.5</v>
      </c>
      <c r="H5335" t="s">
        <v>25</v>
      </c>
      <c r="I5335" t="s">
        <v>36</v>
      </c>
      <c r="J5335" s="1">
        <v>45139</v>
      </c>
      <c r="K5335" t="b">
        <v>1</v>
      </c>
    </row>
    <row r="5336" spans="1:11" x14ac:dyDescent="0.25">
      <c r="A5336" t="s">
        <v>2746</v>
      </c>
      <c r="B5336" t="s">
        <v>93</v>
      </c>
      <c r="C5336" t="s">
        <v>59</v>
      </c>
      <c r="D5336" t="s">
        <v>177</v>
      </c>
      <c r="E5336" s="2">
        <v>12.5</v>
      </c>
      <c r="F5336" s="4">
        <v>5</v>
      </c>
      <c r="G5336" s="2">
        <v>62.5</v>
      </c>
      <c r="H5336" t="s">
        <v>45</v>
      </c>
      <c r="I5336" t="s">
        <v>36</v>
      </c>
      <c r="J5336" s="1">
        <v>45098</v>
      </c>
      <c r="K5336" t="b">
        <v>0</v>
      </c>
    </row>
    <row r="5337" spans="1:11" x14ac:dyDescent="0.25">
      <c r="A5337" t="s">
        <v>3886</v>
      </c>
      <c r="B5337" t="s">
        <v>51</v>
      </c>
      <c r="C5337" t="s">
        <v>31</v>
      </c>
      <c r="D5337" t="s">
        <v>32</v>
      </c>
      <c r="E5337" s="2">
        <v>12.5</v>
      </c>
      <c r="F5337" s="4">
        <v>5</v>
      </c>
      <c r="G5337" s="2">
        <v>62.5</v>
      </c>
      <c r="H5337" t="s">
        <v>45</v>
      </c>
      <c r="I5337" t="s">
        <v>36</v>
      </c>
      <c r="J5337" s="1">
        <v>45461</v>
      </c>
      <c r="K5337" t="b">
        <v>0</v>
      </c>
    </row>
    <row r="5338" spans="1:11" x14ac:dyDescent="0.25">
      <c r="A5338" t="s">
        <v>1929</v>
      </c>
      <c r="B5338" t="s">
        <v>97</v>
      </c>
      <c r="C5338" t="s">
        <v>59</v>
      </c>
      <c r="D5338" t="s">
        <v>201</v>
      </c>
      <c r="E5338" s="2">
        <v>15.5</v>
      </c>
      <c r="F5338" s="4">
        <v>4</v>
      </c>
      <c r="G5338" s="2">
        <v>62</v>
      </c>
      <c r="H5338" t="s">
        <v>25</v>
      </c>
      <c r="I5338" t="s">
        <v>16</v>
      </c>
      <c r="J5338" s="1">
        <v>45257</v>
      </c>
      <c r="K5338" t="b">
        <v>1</v>
      </c>
    </row>
    <row r="5339" spans="1:11" x14ac:dyDescent="0.25">
      <c r="A5339" t="s">
        <v>3477</v>
      </c>
      <c r="B5339" t="s">
        <v>86</v>
      </c>
      <c r="C5339" t="s">
        <v>13</v>
      </c>
      <c r="D5339" t="s">
        <v>389</v>
      </c>
      <c r="E5339" s="2">
        <v>15.5</v>
      </c>
      <c r="F5339" s="4">
        <v>4</v>
      </c>
      <c r="G5339" s="2">
        <v>62</v>
      </c>
      <c r="H5339" t="s">
        <v>45</v>
      </c>
      <c r="I5339" t="s">
        <v>16</v>
      </c>
      <c r="J5339" s="1">
        <v>44918</v>
      </c>
      <c r="K5339" t="b">
        <v>0</v>
      </c>
    </row>
    <row r="5340" spans="1:11" x14ac:dyDescent="0.25">
      <c r="A5340" t="s">
        <v>4401</v>
      </c>
      <c r="B5340" t="s">
        <v>86</v>
      </c>
      <c r="C5340" t="s">
        <v>27</v>
      </c>
      <c r="D5340" t="s">
        <v>105</v>
      </c>
      <c r="E5340" s="2">
        <v>15.5</v>
      </c>
      <c r="F5340" s="4">
        <v>4</v>
      </c>
      <c r="G5340" s="2">
        <v>62</v>
      </c>
      <c r="H5340" t="s">
        <v>45</v>
      </c>
      <c r="I5340" t="s">
        <v>36</v>
      </c>
      <c r="J5340" s="1">
        <v>45303</v>
      </c>
      <c r="K5340" t="b">
        <v>1</v>
      </c>
    </row>
    <row r="5341" spans="1:11" x14ac:dyDescent="0.25">
      <c r="A5341" t="s">
        <v>7353</v>
      </c>
      <c r="B5341" t="s">
        <v>40</v>
      </c>
      <c r="C5341" t="s">
        <v>31</v>
      </c>
      <c r="D5341" t="s">
        <v>585</v>
      </c>
      <c r="E5341" s="2">
        <v>15.5</v>
      </c>
      <c r="F5341" s="4">
        <v>4</v>
      </c>
      <c r="G5341" s="2">
        <v>62</v>
      </c>
      <c r="H5341" t="s">
        <v>15</v>
      </c>
      <c r="I5341" t="s">
        <v>36</v>
      </c>
      <c r="J5341" s="1">
        <v>45604</v>
      </c>
      <c r="K5341" t="b">
        <v>1</v>
      </c>
    </row>
    <row r="5342" spans="1:11" x14ac:dyDescent="0.25">
      <c r="A5342" t="s">
        <v>5815</v>
      </c>
      <c r="B5342" t="s">
        <v>97</v>
      </c>
      <c r="C5342" t="s">
        <v>19</v>
      </c>
      <c r="D5342" t="s">
        <v>166</v>
      </c>
      <c r="E5342" s="2">
        <v>15.5</v>
      </c>
      <c r="F5342" s="4">
        <v>4</v>
      </c>
      <c r="G5342" s="2">
        <v>62</v>
      </c>
      <c r="H5342" t="s">
        <v>45</v>
      </c>
      <c r="I5342" t="s">
        <v>36</v>
      </c>
      <c r="J5342" s="1">
        <v>44951</v>
      </c>
      <c r="K5342" t="b">
        <v>1</v>
      </c>
    </row>
    <row r="5343" spans="1:11" x14ac:dyDescent="0.25">
      <c r="A5343" t="s">
        <v>7374</v>
      </c>
      <c r="B5343" t="s">
        <v>22</v>
      </c>
      <c r="C5343" t="s">
        <v>13</v>
      </c>
      <c r="D5343" t="s">
        <v>389</v>
      </c>
      <c r="E5343" s="2">
        <v>15.5</v>
      </c>
      <c r="F5343" s="4">
        <v>4</v>
      </c>
      <c r="G5343" s="2">
        <v>62</v>
      </c>
      <c r="H5343" t="s">
        <v>25</v>
      </c>
      <c r="I5343" t="s">
        <v>16</v>
      </c>
      <c r="J5343" s="1">
        <v>45011</v>
      </c>
      <c r="K5343" t="b">
        <v>0</v>
      </c>
    </row>
    <row r="5344" spans="1:11" x14ac:dyDescent="0.25">
      <c r="A5344" t="s">
        <v>200</v>
      </c>
      <c r="B5344" t="s">
        <v>43</v>
      </c>
      <c r="C5344" t="s">
        <v>59</v>
      </c>
      <c r="D5344" t="s">
        <v>201</v>
      </c>
      <c r="E5344" s="2">
        <v>15.5</v>
      </c>
      <c r="F5344" s="4">
        <v>4</v>
      </c>
      <c r="G5344" s="2">
        <v>62</v>
      </c>
      <c r="H5344" t="s">
        <v>15</v>
      </c>
      <c r="I5344" t="s">
        <v>36</v>
      </c>
      <c r="J5344" s="1">
        <v>45304</v>
      </c>
      <c r="K5344" t="b">
        <v>0</v>
      </c>
    </row>
    <row r="5345" spans="1:11" x14ac:dyDescent="0.25">
      <c r="A5345" t="s">
        <v>7464</v>
      </c>
      <c r="B5345" t="s">
        <v>18</v>
      </c>
      <c r="C5345" t="s">
        <v>13</v>
      </c>
      <c r="D5345" t="s">
        <v>389</v>
      </c>
      <c r="E5345" s="2">
        <v>15.5</v>
      </c>
      <c r="F5345" s="4">
        <v>4</v>
      </c>
      <c r="G5345" s="2">
        <v>62</v>
      </c>
      <c r="H5345" t="s">
        <v>25</v>
      </c>
      <c r="I5345" t="s">
        <v>16</v>
      </c>
      <c r="J5345" s="1">
        <v>44938</v>
      </c>
      <c r="K5345" t="b">
        <v>0</v>
      </c>
    </row>
    <row r="5346" spans="1:11" x14ac:dyDescent="0.25">
      <c r="A5346" t="s">
        <v>5170</v>
      </c>
      <c r="B5346" t="s">
        <v>66</v>
      </c>
      <c r="C5346" t="s">
        <v>31</v>
      </c>
      <c r="D5346" t="s">
        <v>585</v>
      </c>
      <c r="E5346" s="2">
        <v>15.5</v>
      </c>
      <c r="F5346" s="4">
        <v>4</v>
      </c>
      <c r="G5346" s="2">
        <v>62</v>
      </c>
      <c r="H5346" t="s">
        <v>25</v>
      </c>
      <c r="I5346" t="s">
        <v>36</v>
      </c>
      <c r="J5346" s="1">
        <v>45484</v>
      </c>
      <c r="K5346" t="b">
        <v>1</v>
      </c>
    </row>
    <row r="5347" spans="1:11" x14ac:dyDescent="0.25">
      <c r="A5347" t="s">
        <v>5577</v>
      </c>
      <c r="B5347" t="s">
        <v>51</v>
      </c>
      <c r="C5347" t="s">
        <v>38</v>
      </c>
      <c r="D5347" t="s">
        <v>241</v>
      </c>
      <c r="E5347" s="2">
        <v>15.5</v>
      </c>
      <c r="F5347" s="4">
        <v>4</v>
      </c>
      <c r="G5347" s="2">
        <v>62</v>
      </c>
      <c r="H5347" t="s">
        <v>45</v>
      </c>
      <c r="I5347" t="s">
        <v>36</v>
      </c>
      <c r="J5347" s="1">
        <v>44803</v>
      </c>
      <c r="K5347" t="b">
        <v>0</v>
      </c>
    </row>
    <row r="5348" spans="1:11" x14ac:dyDescent="0.25">
      <c r="A5348" t="s">
        <v>4688</v>
      </c>
      <c r="B5348" t="s">
        <v>61</v>
      </c>
      <c r="C5348" t="s">
        <v>13</v>
      </c>
      <c r="D5348" t="s">
        <v>389</v>
      </c>
      <c r="E5348" s="2">
        <v>15.5</v>
      </c>
      <c r="F5348" s="4">
        <v>4</v>
      </c>
      <c r="G5348" s="2">
        <v>62</v>
      </c>
      <c r="H5348" t="s">
        <v>45</v>
      </c>
      <c r="I5348" t="s">
        <v>16</v>
      </c>
      <c r="J5348" s="1">
        <v>44840</v>
      </c>
      <c r="K5348" t="b">
        <v>0</v>
      </c>
    </row>
    <row r="5349" spans="1:11" x14ac:dyDescent="0.25">
      <c r="A5349" t="s">
        <v>1668</v>
      </c>
      <c r="B5349" t="s">
        <v>77</v>
      </c>
      <c r="C5349" t="s">
        <v>13</v>
      </c>
      <c r="D5349" t="s">
        <v>389</v>
      </c>
      <c r="E5349" s="2">
        <v>15.5</v>
      </c>
      <c r="F5349" s="4">
        <v>4</v>
      </c>
      <c r="G5349" s="2">
        <v>62</v>
      </c>
      <c r="H5349" t="s">
        <v>25</v>
      </c>
      <c r="I5349" t="s">
        <v>16</v>
      </c>
      <c r="J5349" s="1">
        <v>45640</v>
      </c>
      <c r="K5349" t="b">
        <v>0</v>
      </c>
    </row>
    <row r="5350" spans="1:11" x14ac:dyDescent="0.25">
      <c r="A5350" t="s">
        <v>4171</v>
      </c>
      <c r="B5350" t="s">
        <v>43</v>
      </c>
      <c r="C5350" t="s">
        <v>13</v>
      </c>
      <c r="D5350" t="s">
        <v>389</v>
      </c>
      <c r="E5350" s="2">
        <v>15.5</v>
      </c>
      <c r="F5350" s="4">
        <v>4</v>
      </c>
      <c r="G5350" s="2">
        <v>62</v>
      </c>
      <c r="H5350" t="s">
        <v>25</v>
      </c>
      <c r="I5350" t="s">
        <v>36</v>
      </c>
      <c r="J5350" s="1">
        <v>45016</v>
      </c>
      <c r="K5350" t="b">
        <v>0</v>
      </c>
    </row>
    <row r="5351" spans="1:11" x14ac:dyDescent="0.25">
      <c r="A5351" t="s">
        <v>3026</v>
      </c>
      <c r="B5351" t="s">
        <v>100</v>
      </c>
      <c r="C5351" t="s">
        <v>19</v>
      </c>
      <c r="D5351" t="s">
        <v>166</v>
      </c>
      <c r="E5351" s="2">
        <v>15.5</v>
      </c>
      <c r="F5351" s="4">
        <v>4</v>
      </c>
      <c r="G5351" s="2">
        <v>62</v>
      </c>
      <c r="H5351" t="s">
        <v>15</v>
      </c>
      <c r="I5351" t="s">
        <v>36</v>
      </c>
      <c r="J5351" s="1">
        <v>44890</v>
      </c>
      <c r="K5351" t="b">
        <v>1</v>
      </c>
    </row>
    <row r="5352" spans="1:11" x14ac:dyDescent="0.25">
      <c r="A5352" t="s">
        <v>600</v>
      </c>
      <c r="B5352" t="s">
        <v>30</v>
      </c>
      <c r="C5352" t="s">
        <v>27</v>
      </c>
      <c r="D5352" t="s">
        <v>105</v>
      </c>
      <c r="E5352" s="2">
        <v>15.5</v>
      </c>
      <c r="F5352" s="4">
        <v>4</v>
      </c>
      <c r="G5352" s="2">
        <v>62</v>
      </c>
      <c r="H5352" t="s">
        <v>45</v>
      </c>
      <c r="I5352" t="s">
        <v>36</v>
      </c>
      <c r="J5352" s="1">
        <v>44991</v>
      </c>
      <c r="K5352" t="b">
        <v>0</v>
      </c>
    </row>
    <row r="5353" spans="1:11" x14ac:dyDescent="0.25">
      <c r="A5353" t="s">
        <v>3132</v>
      </c>
      <c r="B5353" t="s">
        <v>30</v>
      </c>
      <c r="C5353" t="s">
        <v>19</v>
      </c>
      <c r="D5353" t="s">
        <v>166</v>
      </c>
      <c r="E5353" s="2">
        <v>15.5</v>
      </c>
      <c r="F5353" s="4">
        <v>4</v>
      </c>
      <c r="G5353" s="2">
        <v>62</v>
      </c>
      <c r="H5353" t="s">
        <v>15</v>
      </c>
      <c r="I5353" t="s">
        <v>16</v>
      </c>
      <c r="J5353" s="1">
        <v>45027</v>
      </c>
      <c r="K5353" t="b">
        <v>1</v>
      </c>
    </row>
    <row r="5354" spans="1:11" x14ac:dyDescent="0.25">
      <c r="A5354" t="s">
        <v>7394</v>
      </c>
      <c r="B5354" t="s">
        <v>58</v>
      </c>
      <c r="C5354" t="s">
        <v>38</v>
      </c>
      <c r="D5354" t="s">
        <v>241</v>
      </c>
      <c r="E5354" s="2">
        <v>15.5</v>
      </c>
      <c r="F5354" s="4">
        <v>4</v>
      </c>
      <c r="G5354" s="2">
        <v>62</v>
      </c>
      <c r="H5354" t="s">
        <v>45</v>
      </c>
      <c r="I5354" t="s">
        <v>16</v>
      </c>
      <c r="J5354" s="1">
        <v>45000</v>
      </c>
      <c r="K5354" t="b">
        <v>0</v>
      </c>
    </row>
    <row r="5355" spans="1:11" x14ac:dyDescent="0.25">
      <c r="A5355" t="s">
        <v>3562</v>
      </c>
      <c r="B5355" t="s">
        <v>40</v>
      </c>
      <c r="C5355" t="s">
        <v>38</v>
      </c>
      <c r="D5355" t="s">
        <v>241</v>
      </c>
      <c r="E5355" s="2">
        <v>15.5</v>
      </c>
      <c r="F5355" s="4">
        <v>4</v>
      </c>
      <c r="G5355" s="2">
        <v>62</v>
      </c>
      <c r="H5355" t="s">
        <v>45</v>
      </c>
      <c r="I5355" t="s">
        <v>16</v>
      </c>
      <c r="J5355" s="1">
        <v>45440</v>
      </c>
      <c r="K5355" t="b">
        <v>1</v>
      </c>
    </row>
    <row r="5356" spans="1:11" x14ac:dyDescent="0.25">
      <c r="A5356" t="s">
        <v>1612</v>
      </c>
      <c r="B5356" t="s">
        <v>66</v>
      </c>
      <c r="C5356" t="s">
        <v>110</v>
      </c>
      <c r="D5356" t="s">
        <v>199</v>
      </c>
      <c r="E5356" s="2">
        <v>15.5</v>
      </c>
      <c r="F5356" s="4">
        <v>4</v>
      </c>
      <c r="G5356" s="2">
        <v>62</v>
      </c>
      <c r="H5356" t="s">
        <v>25</v>
      </c>
      <c r="I5356" t="s">
        <v>36</v>
      </c>
      <c r="J5356" s="1">
        <v>45406</v>
      </c>
      <c r="K5356" t="b">
        <v>0</v>
      </c>
    </row>
    <row r="5357" spans="1:11" x14ac:dyDescent="0.25">
      <c r="A5357" t="s">
        <v>2517</v>
      </c>
      <c r="B5357" t="s">
        <v>34</v>
      </c>
      <c r="C5357" t="s">
        <v>13</v>
      </c>
      <c r="D5357" t="s">
        <v>389</v>
      </c>
      <c r="E5357" s="2">
        <v>15.5</v>
      </c>
      <c r="F5357" s="4">
        <v>4</v>
      </c>
      <c r="G5357" s="2">
        <v>62</v>
      </c>
      <c r="H5357" t="s">
        <v>45</v>
      </c>
      <c r="I5357" t="s">
        <v>16</v>
      </c>
      <c r="J5357" s="1">
        <v>45565</v>
      </c>
      <c r="K5357" t="b">
        <v>0</v>
      </c>
    </row>
    <row r="5358" spans="1:11" x14ac:dyDescent="0.25">
      <c r="A5358" t="s">
        <v>7164</v>
      </c>
      <c r="B5358" t="s">
        <v>85</v>
      </c>
      <c r="C5358" t="s">
        <v>110</v>
      </c>
      <c r="D5358" t="s">
        <v>199</v>
      </c>
      <c r="E5358" s="2">
        <v>15.5</v>
      </c>
      <c r="F5358" s="4">
        <v>4</v>
      </c>
      <c r="G5358" s="2">
        <v>62</v>
      </c>
      <c r="H5358" t="s">
        <v>45</v>
      </c>
      <c r="I5358" t="s">
        <v>36</v>
      </c>
      <c r="J5358" s="1">
        <v>45407</v>
      </c>
      <c r="K5358" t="b">
        <v>1</v>
      </c>
    </row>
    <row r="5359" spans="1:11" x14ac:dyDescent="0.25">
      <c r="A5359" t="s">
        <v>6724</v>
      </c>
      <c r="B5359" t="s">
        <v>22</v>
      </c>
      <c r="C5359" t="s">
        <v>23</v>
      </c>
      <c r="D5359" t="s">
        <v>187</v>
      </c>
      <c r="E5359" s="2">
        <v>15.5</v>
      </c>
      <c r="F5359" s="4">
        <v>4</v>
      </c>
      <c r="G5359" s="2">
        <v>62</v>
      </c>
      <c r="H5359" t="s">
        <v>25</v>
      </c>
      <c r="I5359" t="s">
        <v>36</v>
      </c>
      <c r="J5359" s="1">
        <v>44727</v>
      </c>
      <c r="K5359" t="b">
        <v>0</v>
      </c>
    </row>
    <row r="5360" spans="1:11" x14ac:dyDescent="0.25">
      <c r="A5360" t="s">
        <v>1687</v>
      </c>
      <c r="B5360" t="s">
        <v>12</v>
      </c>
      <c r="C5360" t="s">
        <v>19</v>
      </c>
      <c r="D5360" t="s">
        <v>166</v>
      </c>
      <c r="E5360" s="2">
        <v>15.5</v>
      </c>
      <c r="F5360" s="4">
        <v>4</v>
      </c>
      <c r="G5360" s="2">
        <v>62</v>
      </c>
      <c r="H5360" t="s">
        <v>15</v>
      </c>
      <c r="I5360" t="s">
        <v>36</v>
      </c>
      <c r="J5360" s="1">
        <v>45081</v>
      </c>
      <c r="K5360" t="b">
        <v>1</v>
      </c>
    </row>
    <row r="5361" spans="1:11" x14ac:dyDescent="0.25">
      <c r="A5361" t="s">
        <v>928</v>
      </c>
      <c r="B5361" t="s">
        <v>34</v>
      </c>
      <c r="C5361" t="s">
        <v>59</v>
      </c>
      <c r="D5361" t="s">
        <v>201</v>
      </c>
      <c r="E5361" s="2">
        <v>15.5</v>
      </c>
      <c r="F5361" s="4">
        <v>4</v>
      </c>
      <c r="G5361" s="2">
        <v>62</v>
      </c>
      <c r="H5361" t="s">
        <v>15</v>
      </c>
      <c r="I5361" t="s">
        <v>16</v>
      </c>
      <c r="J5361" s="1">
        <v>45153</v>
      </c>
      <c r="K5361" t="b">
        <v>0</v>
      </c>
    </row>
    <row r="5362" spans="1:11" x14ac:dyDescent="0.25">
      <c r="A5362" t="s">
        <v>2556</v>
      </c>
      <c r="B5362" t="s">
        <v>40</v>
      </c>
      <c r="C5362" t="s">
        <v>13</v>
      </c>
      <c r="D5362" t="s">
        <v>389</v>
      </c>
      <c r="E5362" s="2">
        <v>15.5</v>
      </c>
      <c r="F5362" s="4">
        <v>4</v>
      </c>
      <c r="G5362" s="2">
        <v>62</v>
      </c>
      <c r="H5362" t="s">
        <v>25</v>
      </c>
      <c r="I5362" t="s">
        <v>16</v>
      </c>
      <c r="J5362" s="1">
        <v>44855</v>
      </c>
      <c r="K5362" t="b">
        <v>1</v>
      </c>
    </row>
    <row r="5363" spans="1:11" x14ac:dyDescent="0.25">
      <c r="A5363" t="s">
        <v>4256</v>
      </c>
      <c r="B5363" t="s">
        <v>26</v>
      </c>
      <c r="C5363" t="s">
        <v>31</v>
      </c>
      <c r="D5363" t="s">
        <v>585</v>
      </c>
      <c r="E5363" s="2">
        <v>15.5</v>
      </c>
      <c r="F5363" s="4">
        <v>4</v>
      </c>
      <c r="G5363" s="2">
        <v>62</v>
      </c>
      <c r="H5363" t="s">
        <v>45</v>
      </c>
      <c r="I5363" t="s">
        <v>16</v>
      </c>
      <c r="J5363" s="1">
        <v>44748</v>
      </c>
      <c r="K5363" t="b">
        <v>0</v>
      </c>
    </row>
    <row r="5364" spans="1:11" x14ac:dyDescent="0.25">
      <c r="A5364" t="s">
        <v>1354</v>
      </c>
      <c r="B5364" t="s">
        <v>51</v>
      </c>
      <c r="C5364" t="s">
        <v>59</v>
      </c>
      <c r="D5364" t="s">
        <v>201</v>
      </c>
      <c r="E5364" s="2">
        <v>15.5</v>
      </c>
      <c r="F5364" s="4">
        <v>4</v>
      </c>
      <c r="G5364" s="2">
        <v>62</v>
      </c>
      <c r="H5364" t="s">
        <v>15</v>
      </c>
      <c r="I5364" t="s">
        <v>36</v>
      </c>
      <c r="J5364" s="1">
        <v>45455</v>
      </c>
      <c r="K5364" t="b">
        <v>1</v>
      </c>
    </row>
    <row r="5365" spans="1:11" x14ac:dyDescent="0.25">
      <c r="A5365" t="s">
        <v>5015</v>
      </c>
      <c r="B5365" t="s">
        <v>100</v>
      </c>
      <c r="C5365" t="s">
        <v>19</v>
      </c>
      <c r="D5365" t="s">
        <v>166</v>
      </c>
      <c r="E5365" s="2">
        <v>15.5</v>
      </c>
      <c r="F5365" s="4">
        <v>4</v>
      </c>
      <c r="G5365" s="2">
        <v>62</v>
      </c>
      <c r="H5365" t="s">
        <v>25</v>
      </c>
      <c r="I5365" t="s">
        <v>36</v>
      </c>
      <c r="J5365" s="1">
        <v>45588</v>
      </c>
      <c r="K5365" t="b">
        <v>1</v>
      </c>
    </row>
    <row r="5366" spans="1:11" x14ac:dyDescent="0.25">
      <c r="A5366" t="s">
        <v>6243</v>
      </c>
      <c r="B5366" t="s">
        <v>30</v>
      </c>
      <c r="C5366" t="s">
        <v>38</v>
      </c>
      <c r="D5366" t="s">
        <v>241</v>
      </c>
      <c r="E5366" s="2">
        <v>15.5</v>
      </c>
      <c r="F5366" s="4">
        <v>4</v>
      </c>
      <c r="G5366" s="2">
        <v>62</v>
      </c>
      <c r="H5366" t="s">
        <v>15</v>
      </c>
      <c r="I5366" t="s">
        <v>36</v>
      </c>
      <c r="J5366" s="1">
        <v>45209</v>
      </c>
      <c r="K5366" t="b">
        <v>0</v>
      </c>
    </row>
    <row r="5367" spans="1:11" x14ac:dyDescent="0.25">
      <c r="A5367" t="s">
        <v>7592</v>
      </c>
      <c r="B5367" t="s">
        <v>77</v>
      </c>
      <c r="C5367" t="s">
        <v>27</v>
      </c>
      <c r="D5367" t="s">
        <v>105</v>
      </c>
      <c r="E5367" s="2">
        <v>15.5</v>
      </c>
      <c r="F5367" s="4">
        <v>4</v>
      </c>
      <c r="G5367" s="2">
        <v>62</v>
      </c>
      <c r="H5367" t="s">
        <v>15</v>
      </c>
      <c r="I5367" t="s">
        <v>16</v>
      </c>
      <c r="J5367" s="1">
        <v>44718</v>
      </c>
      <c r="K5367" t="b">
        <v>1</v>
      </c>
    </row>
    <row r="5368" spans="1:11" x14ac:dyDescent="0.25">
      <c r="A5368" t="s">
        <v>5248</v>
      </c>
      <c r="B5368" t="s">
        <v>40</v>
      </c>
      <c r="C5368" t="s">
        <v>13</v>
      </c>
      <c r="D5368" t="s">
        <v>389</v>
      </c>
      <c r="E5368" s="2">
        <v>15.5</v>
      </c>
      <c r="F5368" s="4">
        <v>4</v>
      </c>
      <c r="G5368" s="2">
        <v>62</v>
      </c>
      <c r="H5368" t="s">
        <v>45</v>
      </c>
      <c r="I5368" t="s">
        <v>16</v>
      </c>
      <c r="J5368" s="1">
        <v>44749</v>
      </c>
      <c r="K5368" t="b">
        <v>1</v>
      </c>
    </row>
    <row r="5369" spans="1:11" x14ac:dyDescent="0.25">
      <c r="A5369" t="s">
        <v>4520</v>
      </c>
      <c r="B5369" t="s">
        <v>93</v>
      </c>
      <c r="C5369" t="s">
        <v>19</v>
      </c>
      <c r="D5369" t="s">
        <v>166</v>
      </c>
      <c r="E5369" s="2">
        <v>15.5</v>
      </c>
      <c r="F5369" s="4">
        <v>4</v>
      </c>
      <c r="G5369" s="2">
        <v>62</v>
      </c>
      <c r="H5369" t="s">
        <v>45</v>
      </c>
      <c r="I5369" t="s">
        <v>16</v>
      </c>
      <c r="J5369" s="1">
        <v>44871</v>
      </c>
      <c r="K5369" t="b">
        <v>1</v>
      </c>
    </row>
    <row r="5370" spans="1:11" x14ac:dyDescent="0.25">
      <c r="A5370" t="s">
        <v>2117</v>
      </c>
      <c r="B5370" t="s">
        <v>26</v>
      </c>
      <c r="C5370" t="s">
        <v>38</v>
      </c>
      <c r="D5370" t="s">
        <v>241</v>
      </c>
      <c r="E5370" s="2">
        <v>15.5</v>
      </c>
      <c r="F5370" s="4">
        <v>4</v>
      </c>
      <c r="G5370" s="2">
        <v>62</v>
      </c>
      <c r="H5370" t="s">
        <v>15</v>
      </c>
      <c r="I5370" t="s">
        <v>36</v>
      </c>
      <c r="J5370" s="1">
        <v>45234</v>
      </c>
      <c r="K5370" t="b">
        <v>0</v>
      </c>
    </row>
    <row r="5371" spans="1:11" x14ac:dyDescent="0.25">
      <c r="A5371" t="s">
        <v>4553</v>
      </c>
      <c r="B5371" t="s">
        <v>85</v>
      </c>
      <c r="C5371" t="s">
        <v>19</v>
      </c>
      <c r="D5371" t="s">
        <v>166</v>
      </c>
      <c r="E5371" s="2">
        <v>15.5</v>
      </c>
      <c r="F5371" s="4">
        <v>4</v>
      </c>
      <c r="G5371" s="2">
        <v>62</v>
      </c>
      <c r="H5371" t="s">
        <v>25</v>
      </c>
      <c r="I5371" t="s">
        <v>16</v>
      </c>
      <c r="J5371" s="1">
        <v>45130</v>
      </c>
      <c r="K5371" t="b">
        <v>0</v>
      </c>
    </row>
    <row r="5372" spans="1:11" x14ac:dyDescent="0.25">
      <c r="A5372" t="s">
        <v>1843</v>
      </c>
      <c r="B5372" t="s">
        <v>30</v>
      </c>
      <c r="C5372" t="s">
        <v>38</v>
      </c>
      <c r="D5372" t="s">
        <v>241</v>
      </c>
      <c r="E5372" s="2">
        <v>15.5</v>
      </c>
      <c r="F5372" s="4">
        <v>4</v>
      </c>
      <c r="G5372" s="2">
        <v>62</v>
      </c>
      <c r="H5372" t="s">
        <v>45</v>
      </c>
      <c r="I5372" t="s">
        <v>16</v>
      </c>
      <c r="J5372" s="1">
        <v>44984</v>
      </c>
      <c r="K5372" t="b">
        <v>0</v>
      </c>
    </row>
    <row r="5373" spans="1:11" x14ac:dyDescent="0.25">
      <c r="A5373" t="s">
        <v>1172</v>
      </c>
      <c r="B5373" t="s">
        <v>93</v>
      </c>
      <c r="C5373" t="s">
        <v>38</v>
      </c>
      <c r="D5373" t="s">
        <v>241</v>
      </c>
      <c r="E5373" s="2">
        <v>15.5</v>
      </c>
      <c r="F5373" s="4">
        <v>4</v>
      </c>
      <c r="G5373" s="2">
        <v>62</v>
      </c>
      <c r="H5373" t="s">
        <v>25</v>
      </c>
      <c r="I5373" t="s">
        <v>16</v>
      </c>
      <c r="J5373" s="1">
        <v>45305</v>
      </c>
      <c r="K5373" t="b">
        <v>0</v>
      </c>
    </row>
    <row r="5374" spans="1:11" x14ac:dyDescent="0.25">
      <c r="A5374" t="s">
        <v>1698</v>
      </c>
      <c r="B5374" t="s">
        <v>93</v>
      </c>
      <c r="C5374" t="s">
        <v>38</v>
      </c>
      <c r="D5374" t="s">
        <v>241</v>
      </c>
      <c r="E5374" s="2">
        <v>15.5</v>
      </c>
      <c r="F5374" s="4">
        <v>4</v>
      </c>
      <c r="G5374" s="2">
        <v>62</v>
      </c>
      <c r="H5374" t="s">
        <v>15</v>
      </c>
      <c r="I5374" t="s">
        <v>36</v>
      </c>
      <c r="J5374" s="1">
        <v>44730</v>
      </c>
      <c r="K5374" t="b">
        <v>1</v>
      </c>
    </row>
    <row r="5375" spans="1:11" x14ac:dyDescent="0.25">
      <c r="A5375" t="s">
        <v>3587</v>
      </c>
      <c r="B5375" t="s">
        <v>22</v>
      </c>
      <c r="C5375" t="s">
        <v>38</v>
      </c>
      <c r="D5375" t="s">
        <v>241</v>
      </c>
      <c r="E5375" s="2">
        <v>15.5</v>
      </c>
      <c r="F5375" s="4">
        <v>4</v>
      </c>
      <c r="G5375" s="2">
        <v>62</v>
      </c>
      <c r="H5375" t="s">
        <v>25</v>
      </c>
      <c r="I5375" t="s">
        <v>36</v>
      </c>
      <c r="J5375" s="1">
        <v>45510</v>
      </c>
      <c r="K5375" t="b">
        <v>1</v>
      </c>
    </row>
    <row r="5376" spans="1:11" x14ac:dyDescent="0.25">
      <c r="A5376" t="s">
        <v>6503</v>
      </c>
      <c r="B5376" t="s">
        <v>37</v>
      </c>
      <c r="C5376" t="s">
        <v>23</v>
      </c>
      <c r="D5376" t="s">
        <v>187</v>
      </c>
      <c r="E5376" s="2">
        <v>15.5</v>
      </c>
      <c r="F5376" s="4">
        <v>4</v>
      </c>
      <c r="G5376" s="2">
        <v>62</v>
      </c>
      <c r="H5376" t="s">
        <v>45</v>
      </c>
      <c r="I5376" t="s">
        <v>16</v>
      </c>
      <c r="J5376" s="1">
        <v>44813</v>
      </c>
      <c r="K5376" t="b">
        <v>0</v>
      </c>
    </row>
    <row r="5377" spans="1:11" x14ac:dyDescent="0.25">
      <c r="A5377" t="s">
        <v>5090</v>
      </c>
      <c r="B5377" t="s">
        <v>66</v>
      </c>
      <c r="C5377" t="s">
        <v>38</v>
      </c>
      <c r="D5377" t="s">
        <v>780</v>
      </c>
      <c r="E5377" s="2">
        <v>30.5</v>
      </c>
      <c r="F5377" s="4">
        <v>2</v>
      </c>
      <c r="G5377" s="2">
        <v>61</v>
      </c>
      <c r="H5377" t="s">
        <v>45</v>
      </c>
      <c r="I5377" t="s">
        <v>36</v>
      </c>
      <c r="J5377" s="1">
        <v>45564</v>
      </c>
      <c r="K5377" t="b">
        <v>1</v>
      </c>
    </row>
    <row r="5378" spans="1:11" x14ac:dyDescent="0.25">
      <c r="A5378" t="s">
        <v>2909</v>
      </c>
      <c r="B5378" t="s">
        <v>40</v>
      </c>
      <c r="C5378" t="s">
        <v>19</v>
      </c>
      <c r="D5378" t="s">
        <v>474</v>
      </c>
      <c r="E5378" s="2">
        <v>30.5</v>
      </c>
      <c r="F5378" s="4">
        <v>2</v>
      </c>
      <c r="G5378" s="2">
        <v>61</v>
      </c>
      <c r="H5378" t="s">
        <v>25</v>
      </c>
      <c r="I5378" t="s">
        <v>36</v>
      </c>
      <c r="J5378" s="1">
        <v>45240</v>
      </c>
      <c r="K5378" t="b">
        <v>0</v>
      </c>
    </row>
    <row r="5379" spans="1:11" x14ac:dyDescent="0.25">
      <c r="A5379" t="s">
        <v>675</v>
      </c>
      <c r="B5379" t="s">
        <v>93</v>
      </c>
      <c r="C5379" t="s">
        <v>59</v>
      </c>
      <c r="D5379" t="s">
        <v>676</v>
      </c>
      <c r="E5379" s="2">
        <v>30.5</v>
      </c>
      <c r="F5379" s="4">
        <v>2</v>
      </c>
      <c r="G5379" s="2">
        <v>61</v>
      </c>
      <c r="H5379" t="s">
        <v>15</v>
      </c>
      <c r="I5379" t="s">
        <v>16</v>
      </c>
      <c r="J5379" s="1">
        <v>44887</v>
      </c>
      <c r="K5379" t="b">
        <v>0</v>
      </c>
    </row>
    <row r="5380" spans="1:11" x14ac:dyDescent="0.25">
      <c r="A5380" t="s">
        <v>3045</v>
      </c>
      <c r="B5380" t="s">
        <v>12</v>
      </c>
      <c r="C5380" t="s">
        <v>19</v>
      </c>
      <c r="D5380" t="s">
        <v>474</v>
      </c>
      <c r="E5380" s="2">
        <v>30.5</v>
      </c>
      <c r="F5380" s="4">
        <v>2</v>
      </c>
      <c r="G5380" s="2">
        <v>61</v>
      </c>
      <c r="H5380" t="s">
        <v>45</v>
      </c>
      <c r="I5380" t="s">
        <v>16</v>
      </c>
      <c r="J5380" s="1">
        <v>45512</v>
      </c>
      <c r="K5380" t="b">
        <v>1</v>
      </c>
    </row>
    <row r="5381" spans="1:11" x14ac:dyDescent="0.25">
      <c r="A5381" t="s">
        <v>5736</v>
      </c>
      <c r="B5381" t="s">
        <v>69</v>
      </c>
      <c r="C5381" t="s">
        <v>59</v>
      </c>
      <c r="D5381" t="s">
        <v>676</v>
      </c>
      <c r="E5381" s="2">
        <v>30.5</v>
      </c>
      <c r="F5381" s="4">
        <v>2</v>
      </c>
      <c r="G5381" s="2">
        <v>61</v>
      </c>
      <c r="H5381" t="s">
        <v>45</v>
      </c>
      <c r="I5381" t="s">
        <v>36</v>
      </c>
      <c r="J5381" s="1">
        <v>45417</v>
      </c>
      <c r="K5381" t="b">
        <v>0</v>
      </c>
    </row>
    <row r="5382" spans="1:11" x14ac:dyDescent="0.25">
      <c r="A5382" t="s">
        <v>408</v>
      </c>
      <c r="B5382" t="s">
        <v>37</v>
      </c>
      <c r="C5382" t="s">
        <v>110</v>
      </c>
      <c r="D5382" t="s">
        <v>256</v>
      </c>
      <c r="E5382" s="2">
        <v>30.5</v>
      </c>
      <c r="F5382" s="4">
        <v>2</v>
      </c>
      <c r="G5382" s="2">
        <v>61</v>
      </c>
      <c r="H5382" t="s">
        <v>15</v>
      </c>
      <c r="I5382" t="s">
        <v>36</v>
      </c>
      <c r="J5382" s="1">
        <v>45619</v>
      </c>
      <c r="K5382" t="b">
        <v>1</v>
      </c>
    </row>
    <row r="5383" spans="1:11" x14ac:dyDescent="0.25">
      <c r="A5383" t="s">
        <v>2440</v>
      </c>
      <c r="B5383" t="s">
        <v>104</v>
      </c>
      <c r="C5383" t="s">
        <v>23</v>
      </c>
      <c r="D5383" t="s">
        <v>223</v>
      </c>
      <c r="E5383" s="2">
        <v>30.5</v>
      </c>
      <c r="F5383" s="4">
        <v>2</v>
      </c>
      <c r="G5383" s="2">
        <v>61</v>
      </c>
      <c r="H5383" t="s">
        <v>15</v>
      </c>
      <c r="I5383" t="s">
        <v>36</v>
      </c>
      <c r="J5383" s="1">
        <v>45323</v>
      </c>
      <c r="K5383" t="b">
        <v>0</v>
      </c>
    </row>
    <row r="5384" spans="1:11" x14ac:dyDescent="0.25">
      <c r="A5384" t="s">
        <v>6935</v>
      </c>
      <c r="B5384" t="s">
        <v>18</v>
      </c>
      <c r="C5384" t="s">
        <v>110</v>
      </c>
      <c r="D5384" t="s">
        <v>256</v>
      </c>
      <c r="E5384" s="2">
        <v>30.5</v>
      </c>
      <c r="F5384" s="4">
        <v>2</v>
      </c>
      <c r="G5384" s="2">
        <v>61</v>
      </c>
      <c r="H5384" t="s">
        <v>25</v>
      </c>
      <c r="I5384" t="s">
        <v>36</v>
      </c>
      <c r="J5384" s="1">
        <v>44745</v>
      </c>
      <c r="K5384" t="b">
        <v>1</v>
      </c>
    </row>
    <row r="5385" spans="1:11" x14ac:dyDescent="0.25">
      <c r="A5385" t="s">
        <v>3702</v>
      </c>
      <c r="B5385" t="s">
        <v>100</v>
      </c>
      <c r="C5385" t="s">
        <v>59</v>
      </c>
      <c r="D5385" t="s">
        <v>676</v>
      </c>
      <c r="E5385" s="2">
        <v>30.5</v>
      </c>
      <c r="F5385" s="4">
        <v>2</v>
      </c>
      <c r="G5385" s="2">
        <v>61</v>
      </c>
      <c r="H5385" t="s">
        <v>45</v>
      </c>
      <c r="I5385" t="s">
        <v>36</v>
      </c>
      <c r="J5385" s="1">
        <v>45167</v>
      </c>
      <c r="K5385" t="b">
        <v>0</v>
      </c>
    </row>
    <row r="5386" spans="1:11" x14ac:dyDescent="0.25">
      <c r="A5386" t="s">
        <v>5450</v>
      </c>
      <c r="B5386" t="s">
        <v>58</v>
      </c>
      <c r="C5386" t="s">
        <v>27</v>
      </c>
      <c r="D5386" t="s">
        <v>524</v>
      </c>
      <c r="E5386" s="2">
        <v>30.5</v>
      </c>
      <c r="F5386" s="4">
        <v>2</v>
      </c>
      <c r="G5386" s="2">
        <v>61</v>
      </c>
      <c r="H5386" t="s">
        <v>45</v>
      </c>
      <c r="I5386" t="s">
        <v>16</v>
      </c>
      <c r="J5386" s="1">
        <v>45417</v>
      </c>
      <c r="K5386" t="b">
        <v>1</v>
      </c>
    </row>
    <row r="5387" spans="1:11" x14ac:dyDescent="0.25">
      <c r="A5387" t="s">
        <v>6750</v>
      </c>
      <c r="B5387" t="s">
        <v>30</v>
      </c>
      <c r="C5387" t="s">
        <v>23</v>
      </c>
      <c r="D5387" t="s">
        <v>223</v>
      </c>
      <c r="E5387" s="2">
        <v>30.5</v>
      </c>
      <c r="F5387" s="4">
        <v>2</v>
      </c>
      <c r="G5387" s="2">
        <v>61</v>
      </c>
      <c r="H5387" t="s">
        <v>45</v>
      </c>
      <c r="I5387" t="s">
        <v>36</v>
      </c>
      <c r="J5387" s="1">
        <v>44624</v>
      </c>
      <c r="K5387" t="b">
        <v>0</v>
      </c>
    </row>
    <row r="5388" spans="1:11" x14ac:dyDescent="0.25">
      <c r="A5388" t="s">
        <v>293</v>
      </c>
      <c r="B5388" t="s">
        <v>66</v>
      </c>
      <c r="C5388" t="s">
        <v>31</v>
      </c>
      <c r="D5388" t="s">
        <v>144</v>
      </c>
      <c r="E5388" s="2">
        <v>30.5</v>
      </c>
      <c r="F5388" s="4">
        <v>2</v>
      </c>
      <c r="G5388" s="2">
        <v>61</v>
      </c>
      <c r="H5388" t="s">
        <v>45</v>
      </c>
      <c r="I5388" t="s">
        <v>36</v>
      </c>
      <c r="J5388" s="1">
        <v>44581</v>
      </c>
      <c r="K5388" t="b">
        <v>0</v>
      </c>
    </row>
    <row r="5389" spans="1:11" x14ac:dyDescent="0.25">
      <c r="A5389" t="s">
        <v>5037</v>
      </c>
      <c r="B5389" t="s">
        <v>104</v>
      </c>
      <c r="C5389" t="s">
        <v>110</v>
      </c>
      <c r="D5389" t="s">
        <v>256</v>
      </c>
      <c r="E5389" s="2">
        <v>30.5</v>
      </c>
      <c r="F5389" s="4">
        <v>2</v>
      </c>
      <c r="G5389" s="2">
        <v>61</v>
      </c>
      <c r="H5389" t="s">
        <v>25</v>
      </c>
      <c r="I5389" t="s">
        <v>36</v>
      </c>
      <c r="J5389" s="1">
        <v>44870</v>
      </c>
      <c r="K5389" t="b">
        <v>1</v>
      </c>
    </row>
    <row r="5390" spans="1:11" x14ac:dyDescent="0.25">
      <c r="A5390" t="s">
        <v>6778</v>
      </c>
      <c r="B5390" t="s">
        <v>26</v>
      </c>
      <c r="C5390" t="s">
        <v>13</v>
      </c>
      <c r="D5390" t="s">
        <v>1016</v>
      </c>
      <c r="E5390" s="2">
        <v>30.5</v>
      </c>
      <c r="F5390" s="4">
        <v>2</v>
      </c>
      <c r="G5390" s="2">
        <v>61</v>
      </c>
      <c r="H5390" t="s">
        <v>15</v>
      </c>
      <c r="I5390" t="s">
        <v>36</v>
      </c>
      <c r="J5390" s="1">
        <v>44568</v>
      </c>
      <c r="K5390" t="b">
        <v>0</v>
      </c>
    </row>
    <row r="5391" spans="1:11" x14ac:dyDescent="0.25">
      <c r="A5391" t="s">
        <v>1896</v>
      </c>
      <c r="B5391" t="s">
        <v>34</v>
      </c>
      <c r="C5391" t="s">
        <v>110</v>
      </c>
      <c r="D5391" t="s">
        <v>256</v>
      </c>
      <c r="E5391" s="2">
        <v>30.5</v>
      </c>
      <c r="F5391" s="4">
        <v>2</v>
      </c>
      <c r="G5391" s="2">
        <v>61</v>
      </c>
      <c r="H5391" t="s">
        <v>25</v>
      </c>
      <c r="I5391" t="s">
        <v>16</v>
      </c>
      <c r="J5391" s="1">
        <v>44676</v>
      </c>
      <c r="K5391" t="b">
        <v>0</v>
      </c>
    </row>
    <row r="5392" spans="1:11" x14ac:dyDescent="0.25">
      <c r="A5392" t="s">
        <v>6885</v>
      </c>
      <c r="B5392" t="s">
        <v>26</v>
      </c>
      <c r="C5392" t="s">
        <v>31</v>
      </c>
      <c r="D5392" t="s">
        <v>144</v>
      </c>
      <c r="E5392" s="2">
        <v>30.5</v>
      </c>
      <c r="F5392" s="4">
        <v>2</v>
      </c>
      <c r="G5392" s="2">
        <v>61</v>
      </c>
      <c r="H5392" t="s">
        <v>25</v>
      </c>
      <c r="I5392" t="s">
        <v>36</v>
      </c>
      <c r="J5392" s="1">
        <v>45565</v>
      </c>
      <c r="K5392" t="b">
        <v>0</v>
      </c>
    </row>
    <row r="5393" spans="1:11" x14ac:dyDescent="0.25">
      <c r="A5393" t="s">
        <v>1470</v>
      </c>
      <c r="B5393" t="s">
        <v>58</v>
      </c>
      <c r="C5393" t="s">
        <v>59</v>
      </c>
      <c r="D5393" t="s">
        <v>676</v>
      </c>
      <c r="E5393" s="2">
        <v>30.5</v>
      </c>
      <c r="F5393" s="4">
        <v>2</v>
      </c>
      <c r="G5393" s="2">
        <v>61</v>
      </c>
      <c r="H5393" t="s">
        <v>25</v>
      </c>
      <c r="I5393" t="s">
        <v>36</v>
      </c>
      <c r="J5393" s="1">
        <v>44746</v>
      </c>
      <c r="K5393" t="b">
        <v>0</v>
      </c>
    </row>
    <row r="5394" spans="1:11" x14ac:dyDescent="0.25">
      <c r="A5394" t="s">
        <v>2450</v>
      </c>
      <c r="B5394" t="s">
        <v>77</v>
      </c>
      <c r="C5394" t="s">
        <v>13</v>
      </c>
      <c r="D5394" t="s">
        <v>1016</v>
      </c>
      <c r="E5394" s="2">
        <v>30.5</v>
      </c>
      <c r="F5394" s="4">
        <v>2</v>
      </c>
      <c r="G5394" s="2">
        <v>61</v>
      </c>
      <c r="H5394" t="s">
        <v>45</v>
      </c>
      <c r="I5394" t="s">
        <v>16</v>
      </c>
      <c r="J5394" s="1">
        <v>45073</v>
      </c>
      <c r="K5394" t="b">
        <v>1</v>
      </c>
    </row>
    <row r="5395" spans="1:11" x14ac:dyDescent="0.25">
      <c r="A5395" t="s">
        <v>3259</v>
      </c>
      <c r="B5395" t="s">
        <v>18</v>
      </c>
      <c r="C5395" t="s">
        <v>23</v>
      </c>
      <c r="D5395" t="s">
        <v>223</v>
      </c>
      <c r="E5395" s="2">
        <v>30.5</v>
      </c>
      <c r="F5395" s="4">
        <v>2</v>
      </c>
      <c r="G5395" s="2">
        <v>61</v>
      </c>
      <c r="H5395" t="s">
        <v>25</v>
      </c>
      <c r="I5395" t="s">
        <v>16</v>
      </c>
      <c r="J5395" s="1">
        <v>45540</v>
      </c>
      <c r="K5395" t="b">
        <v>1</v>
      </c>
    </row>
    <row r="5396" spans="1:11" x14ac:dyDescent="0.25">
      <c r="A5396" t="s">
        <v>3033</v>
      </c>
      <c r="B5396" t="s">
        <v>26</v>
      </c>
      <c r="C5396" t="s">
        <v>19</v>
      </c>
      <c r="D5396" t="s">
        <v>228</v>
      </c>
      <c r="E5396" s="2">
        <v>20</v>
      </c>
      <c r="F5396" s="4">
        <v>3</v>
      </c>
      <c r="G5396" s="2">
        <v>60</v>
      </c>
      <c r="H5396" t="s">
        <v>15</v>
      </c>
      <c r="I5396" t="s">
        <v>36</v>
      </c>
      <c r="J5396" s="1">
        <v>45241</v>
      </c>
      <c r="K5396" t="b">
        <v>1</v>
      </c>
    </row>
    <row r="5397" spans="1:11" x14ac:dyDescent="0.25">
      <c r="A5397" t="s">
        <v>2389</v>
      </c>
      <c r="B5397" t="s">
        <v>77</v>
      </c>
      <c r="C5397" t="s">
        <v>31</v>
      </c>
      <c r="D5397" t="s">
        <v>82</v>
      </c>
      <c r="E5397" s="2">
        <v>20</v>
      </c>
      <c r="F5397" s="4">
        <v>3</v>
      </c>
      <c r="G5397" s="2">
        <v>60</v>
      </c>
      <c r="H5397" t="s">
        <v>25</v>
      </c>
      <c r="I5397" t="s">
        <v>16</v>
      </c>
      <c r="J5397" s="1">
        <v>45236</v>
      </c>
      <c r="K5397" t="b">
        <v>1</v>
      </c>
    </row>
    <row r="5398" spans="1:11" x14ac:dyDescent="0.25">
      <c r="A5398" t="s">
        <v>284</v>
      </c>
      <c r="B5398" t="s">
        <v>58</v>
      </c>
      <c r="C5398" t="s">
        <v>110</v>
      </c>
      <c r="D5398" t="s">
        <v>263</v>
      </c>
      <c r="E5398" s="2">
        <v>20</v>
      </c>
      <c r="F5398" s="4">
        <v>3</v>
      </c>
      <c r="G5398" s="2">
        <v>60</v>
      </c>
      <c r="H5398" t="s">
        <v>45</v>
      </c>
      <c r="I5398" t="s">
        <v>16</v>
      </c>
      <c r="J5398" s="1">
        <v>45124</v>
      </c>
      <c r="K5398" t="b">
        <v>0</v>
      </c>
    </row>
    <row r="5399" spans="1:11" x14ac:dyDescent="0.25">
      <c r="A5399" t="s">
        <v>6951</v>
      </c>
      <c r="B5399" t="s">
        <v>51</v>
      </c>
      <c r="C5399" t="s">
        <v>13</v>
      </c>
      <c r="D5399" t="s">
        <v>113</v>
      </c>
      <c r="E5399" s="2">
        <v>20</v>
      </c>
      <c r="F5399" s="4">
        <v>3</v>
      </c>
      <c r="G5399" s="2">
        <v>60</v>
      </c>
      <c r="H5399" t="s">
        <v>25</v>
      </c>
      <c r="I5399" t="s">
        <v>16</v>
      </c>
      <c r="J5399" s="1">
        <v>45006</v>
      </c>
      <c r="K5399" t="b">
        <v>0</v>
      </c>
    </row>
    <row r="5400" spans="1:11" x14ac:dyDescent="0.25">
      <c r="A5400" t="s">
        <v>5962</v>
      </c>
      <c r="B5400" t="s">
        <v>61</v>
      </c>
      <c r="C5400" t="s">
        <v>38</v>
      </c>
      <c r="D5400" t="s">
        <v>159</v>
      </c>
      <c r="E5400" s="2">
        <v>20</v>
      </c>
      <c r="F5400" s="4">
        <v>3</v>
      </c>
      <c r="G5400" s="2">
        <v>60</v>
      </c>
      <c r="H5400" t="s">
        <v>15</v>
      </c>
      <c r="I5400" t="s">
        <v>36</v>
      </c>
      <c r="J5400" s="1">
        <v>45064</v>
      </c>
      <c r="K5400" t="b">
        <v>0</v>
      </c>
    </row>
    <row r="5401" spans="1:11" x14ac:dyDescent="0.25">
      <c r="A5401" t="s">
        <v>1532</v>
      </c>
      <c r="B5401" t="s">
        <v>93</v>
      </c>
      <c r="C5401" t="s">
        <v>31</v>
      </c>
      <c r="D5401" t="s">
        <v>82</v>
      </c>
      <c r="E5401" s="2">
        <v>20</v>
      </c>
      <c r="F5401" s="4">
        <v>3</v>
      </c>
      <c r="G5401" s="2">
        <v>60</v>
      </c>
      <c r="H5401" t="s">
        <v>25</v>
      </c>
      <c r="I5401" t="s">
        <v>16</v>
      </c>
      <c r="J5401" s="1">
        <v>45653</v>
      </c>
      <c r="K5401" t="b">
        <v>1</v>
      </c>
    </row>
    <row r="5402" spans="1:11" x14ac:dyDescent="0.25">
      <c r="A5402" t="s">
        <v>518</v>
      </c>
      <c r="B5402" t="s">
        <v>12</v>
      </c>
      <c r="C5402" t="s">
        <v>38</v>
      </c>
      <c r="D5402" t="s">
        <v>159</v>
      </c>
      <c r="E5402" s="2">
        <v>20</v>
      </c>
      <c r="F5402" s="4">
        <v>3</v>
      </c>
      <c r="G5402" s="2">
        <v>60</v>
      </c>
      <c r="H5402" t="s">
        <v>25</v>
      </c>
      <c r="I5402" t="s">
        <v>16</v>
      </c>
      <c r="J5402" s="1">
        <v>44719</v>
      </c>
      <c r="K5402" t="b">
        <v>0</v>
      </c>
    </row>
    <row r="5403" spans="1:11" x14ac:dyDescent="0.25">
      <c r="A5403" t="s">
        <v>7122</v>
      </c>
      <c r="B5403" t="s">
        <v>40</v>
      </c>
      <c r="C5403" t="s">
        <v>110</v>
      </c>
      <c r="D5403" t="s">
        <v>263</v>
      </c>
      <c r="E5403" s="2">
        <v>20</v>
      </c>
      <c r="F5403" s="4">
        <v>3</v>
      </c>
      <c r="G5403" s="2">
        <v>60</v>
      </c>
      <c r="H5403" t="s">
        <v>15</v>
      </c>
      <c r="I5403" t="s">
        <v>16</v>
      </c>
      <c r="J5403" s="1">
        <v>45461</v>
      </c>
      <c r="K5403" t="b">
        <v>0</v>
      </c>
    </row>
    <row r="5404" spans="1:11" x14ac:dyDescent="0.25">
      <c r="A5404" t="s">
        <v>5311</v>
      </c>
      <c r="B5404" t="s">
        <v>58</v>
      </c>
      <c r="C5404" t="s">
        <v>110</v>
      </c>
      <c r="D5404" t="s">
        <v>263</v>
      </c>
      <c r="E5404" s="2">
        <v>20</v>
      </c>
      <c r="F5404" s="4">
        <v>3</v>
      </c>
      <c r="G5404" s="2">
        <v>60</v>
      </c>
      <c r="H5404" t="s">
        <v>25</v>
      </c>
      <c r="I5404" t="s">
        <v>36</v>
      </c>
      <c r="J5404" s="1">
        <v>45185</v>
      </c>
      <c r="K5404" t="b">
        <v>1</v>
      </c>
    </row>
    <row r="5405" spans="1:11" x14ac:dyDescent="0.25">
      <c r="A5405" t="s">
        <v>5944</v>
      </c>
      <c r="B5405" t="s">
        <v>104</v>
      </c>
      <c r="C5405" t="s">
        <v>13</v>
      </c>
      <c r="D5405" t="s">
        <v>113</v>
      </c>
      <c r="E5405" s="2">
        <v>20</v>
      </c>
      <c r="F5405" s="4">
        <v>3</v>
      </c>
      <c r="G5405" s="2">
        <v>60</v>
      </c>
      <c r="H5405" t="s">
        <v>45</v>
      </c>
      <c r="I5405" t="s">
        <v>36</v>
      </c>
      <c r="J5405" s="1">
        <v>45322</v>
      </c>
      <c r="K5405" t="b">
        <v>1</v>
      </c>
    </row>
    <row r="5406" spans="1:11" x14ac:dyDescent="0.25">
      <c r="A5406" t="s">
        <v>1261</v>
      </c>
      <c r="B5406" t="s">
        <v>104</v>
      </c>
      <c r="C5406" t="s">
        <v>110</v>
      </c>
      <c r="D5406" t="s">
        <v>263</v>
      </c>
      <c r="E5406" s="2">
        <v>20</v>
      </c>
      <c r="F5406" s="4">
        <v>3</v>
      </c>
      <c r="G5406" s="2">
        <v>60</v>
      </c>
      <c r="H5406" t="s">
        <v>25</v>
      </c>
      <c r="I5406" t="s">
        <v>36</v>
      </c>
      <c r="J5406" s="1">
        <v>45046</v>
      </c>
      <c r="K5406" t="b">
        <v>0</v>
      </c>
    </row>
    <row r="5407" spans="1:11" x14ac:dyDescent="0.25">
      <c r="A5407" t="s">
        <v>3006</v>
      </c>
      <c r="B5407" t="s">
        <v>63</v>
      </c>
      <c r="C5407" t="s">
        <v>13</v>
      </c>
      <c r="D5407" t="s">
        <v>113</v>
      </c>
      <c r="E5407" s="2">
        <v>20</v>
      </c>
      <c r="F5407" s="4">
        <v>3</v>
      </c>
      <c r="G5407" s="2">
        <v>60</v>
      </c>
      <c r="H5407" t="s">
        <v>25</v>
      </c>
      <c r="I5407" t="s">
        <v>36</v>
      </c>
      <c r="J5407" s="1">
        <v>45274</v>
      </c>
      <c r="K5407" t="b">
        <v>0</v>
      </c>
    </row>
    <row r="5408" spans="1:11" x14ac:dyDescent="0.25">
      <c r="A5408" t="s">
        <v>3080</v>
      </c>
      <c r="B5408" t="s">
        <v>22</v>
      </c>
      <c r="C5408" t="s">
        <v>31</v>
      </c>
      <c r="D5408" t="s">
        <v>82</v>
      </c>
      <c r="E5408" s="2">
        <v>20</v>
      </c>
      <c r="F5408" s="4">
        <v>3</v>
      </c>
      <c r="G5408" s="2">
        <v>60</v>
      </c>
      <c r="H5408" t="s">
        <v>15</v>
      </c>
      <c r="I5408" t="s">
        <v>36</v>
      </c>
      <c r="J5408" s="1">
        <v>44966</v>
      </c>
      <c r="K5408" t="b">
        <v>0</v>
      </c>
    </row>
    <row r="5409" spans="1:11" x14ac:dyDescent="0.25">
      <c r="A5409" t="s">
        <v>2989</v>
      </c>
      <c r="B5409" t="s">
        <v>34</v>
      </c>
      <c r="C5409" t="s">
        <v>31</v>
      </c>
      <c r="D5409" t="s">
        <v>82</v>
      </c>
      <c r="E5409" s="2">
        <v>20</v>
      </c>
      <c r="F5409" s="4">
        <v>3</v>
      </c>
      <c r="G5409" s="2">
        <v>60</v>
      </c>
      <c r="H5409" t="s">
        <v>45</v>
      </c>
      <c r="I5409" t="s">
        <v>36</v>
      </c>
      <c r="J5409" s="1">
        <v>45484</v>
      </c>
      <c r="K5409" t="b">
        <v>1</v>
      </c>
    </row>
    <row r="5410" spans="1:11" x14ac:dyDescent="0.25">
      <c r="A5410" t="s">
        <v>1525</v>
      </c>
      <c r="B5410" t="s">
        <v>93</v>
      </c>
      <c r="C5410" t="s">
        <v>13</v>
      </c>
      <c r="D5410" t="s">
        <v>113</v>
      </c>
      <c r="E5410" s="2">
        <v>20</v>
      </c>
      <c r="F5410" s="4">
        <v>3</v>
      </c>
      <c r="G5410" s="2">
        <v>60</v>
      </c>
      <c r="H5410" t="s">
        <v>25</v>
      </c>
      <c r="I5410" t="s">
        <v>36</v>
      </c>
      <c r="J5410" s="1">
        <v>45633</v>
      </c>
      <c r="K5410" t="b">
        <v>1</v>
      </c>
    </row>
    <row r="5411" spans="1:11" x14ac:dyDescent="0.25">
      <c r="A5411" t="s">
        <v>4573</v>
      </c>
      <c r="B5411" t="s">
        <v>26</v>
      </c>
      <c r="C5411" t="s">
        <v>31</v>
      </c>
      <c r="D5411" t="s">
        <v>82</v>
      </c>
      <c r="E5411" s="2">
        <v>20</v>
      </c>
      <c r="F5411" s="4">
        <v>3</v>
      </c>
      <c r="G5411" s="2">
        <v>60</v>
      </c>
      <c r="H5411" t="s">
        <v>45</v>
      </c>
      <c r="I5411" t="s">
        <v>16</v>
      </c>
      <c r="J5411" s="1">
        <v>45361</v>
      </c>
      <c r="K5411" t="b">
        <v>1</v>
      </c>
    </row>
    <row r="5412" spans="1:11" x14ac:dyDescent="0.25">
      <c r="A5412" t="s">
        <v>4157</v>
      </c>
      <c r="B5412" t="s">
        <v>69</v>
      </c>
      <c r="C5412" t="s">
        <v>13</v>
      </c>
      <c r="D5412" t="s">
        <v>113</v>
      </c>
      <c r="E5412" s="2">
        <v>20</v>
      </c>
      <c r="F5412" s="4">
        <v>3</v>
      </c>
      <c r="G5412" s="2">
        <v>60</v>
      </c>
      <c r="H5412" t="s">
        <v>45</v>
      </c>
      <c r="I5412" t="s">
        <v>36</v>
      </c>
      <c r="J5412" s="1">
        <v>45567</v>
      </c>
      <c r="K5412" t="b">
        <v>0</v>
      </c>
    </row>
    <row r="5413" spans="1:11" x14ac:dyDescent="0.25">
      <c r="A5413" t="s">
        <v>4523</v>
      </c>
      <c r="B5413" t="s">
        <v>40</v>
      </c>
      <c r="C5413" t="s">
        <v>31</v>
      </c>
      <c r="D5413" t="s">
        <v>82</v>
      </c>
      <c r="E5413" s="2">
        <v>20</v>
      </c>
      <c r="F5413" s="4">
        <v>3</v>
      </c>
      <c r="G5413" s="2">
        <v>60</v>
      </c>
      <c r="H5413" t="s">
        <v>15</v>
      </c>
      <c r="I5413" t="s">
        <v>36</v>
      </c>
      <c r="J5413" s="1">
        <v>45631</v>
      </c>
      <c r="K5413" t="b">
        <v>1</v>
      </c>
    </row>
    <row r="5414" spans="1:11" x14ac:dyDescent="0.25">
      <c r="A5414" t="s">
        <v>4093</v>
      </c>
      <c r="B5414" t="s">
        <v>61</v>
      </c>
      <c r="C5414" t="s">
        <v>19</v>
      </c>
      <c r="D5414" t="s">
        <v>228</v>
      </c>
      <c r="E5414" s="2">
        <v>20</v>
      </c>
      <c r="F5414" s="4">
        <v>3</v>
      </c>
      <c r="G5414" s="2">
        <v>60</v>
      </c>
      <c r="H5414" t="s">
        <v>45</v>
      </c>
      <c r="I5414" t="s">
        <v>16</v>
      </c>
      <c r="J5414" s="1">
        <v>44603</v>
      </c>
      <c r="K5414" t="b">
        <v>1</v>
      </c>
    </row>
    <row r="5415" spans="1:11" x14ac:dyDescent="0.25">
      <c r="A5415" t="s">
        <v>6396</v>
      </c>
      <c r="B5415" t="s">
        <v>63</v>
      </c>
      <c r="C5415" t="s">
        <v>19</v>
      </c>
      <c r="D5415" t="s">
        <v>228</v>
      </c>
      <c r="E5415" s="2">
        <v>20</v>
      </c>
      <c r="F5415" s="4">
        <v>3</v>
      </c>
      <c r="G5415" s="2">
        <v>60</v>
      </c>
      <c r="H5415" t="s">
        <v>45</v>
      </c>
      <c r="I5415" t="s">
        <v>16</v>
      </c>
      <c r="J5415" s="1">
        <v>45556</v>
      </c>
      <c r="K5415" t="b">
        <v>0</v>
      </c>
    </row>
    <row r="5416" spans="1:11" x14ac:dyDescent="0.25">
      <c r="A5416" t="s">
        <v>6217</v>
      </c>
      <c r="B5416" t="s">
        <v>40</v>
      </c>
      <c r="C5416" t="s">
        <v>38</v>
      </c>
      <c r="D5416" t="s">
        <v>159</v>
      </c>
      <c r="E5416" s="2">
        <v>20</v>
      </c>
      <c r="F5416" s="4">
        <v>3</v>
      </c>
      <c r="G5416" s="2">
        <v>60</v>
      </c>
      <c r="H5416" t="s">
        <v>45</v>
      </c>
      <c r="I5416" t="s">
        <v>36</v>
      </c>
      <c r="J5416" s="1">
        <v>45409</v>
      </c>
      <c r="K5416" t="b">
        <v>0</v>
      </c>
    </row>
    <row r="5417" spans="1:11" x14ac:dyDescent="0.25">
      <c r="A5417" t="s">
        <v>794</v>
      </c>
      <c r="B5417" t="s">
        <v>34</v>
      </c>
      <c r="C5417" t="s">
        <v>27</v>
      </c>
      <c r="D5417" t="s">
        <v>95</v>
      </c>
      <c r="E5417" s="2">
        <v>20</v>
      </c>
      <c r="F5417" s="4">
        <v>3</v>
      </c>
      <c r="G5417" s="2">
        <v>60</v>
      </c>
      <c r="H5417" t="s">
        <v>25</v>
      </c>
      <c r="I5417" t="s">
        <v>16</v>
      </c>
      <c r="J5417" s="1">
        <v>45197</v>
      </c>
      <c r="K5417" t="b">
        <v>0</v>
      </c>
    </row>
    <row r="5418" spans="1:11" x14ac:dyDescent="0.25">
      <c r="A5418" t="s">
        <v>5789</v>
      </c>
      <c r="B5418" t="s">
        <v>12</v>
      </c>
      <c r="C5418" t="s">
        <v>38</v>
      </c>
      <c r="D5418" t="s">
        <v>159</v>
      </c>
      <c r="E5418" s="2">
        <v>20</v>
      </c>
      <c r="F5418" s="4">
        <v>3</v>
      </c>
      <c r="G5418" s="2">
        <v>60</v>
      </c>
      <c r="H5418" t="s">
        <v>25</v>
      </c>
      <c r="I5418" t="s">
        <v>16</v>
      </c>
      <c r="J5418" s="1">
        <v>44761</v>
      </c>
      <c r="K5418" t="b">
        <v>0</v>
      </c>
    </row>
    <row r="5419" spans="1:11" x14ac:dyDescent="0.25">
      <c r="A5419" t="s">
        <v>2328</v>
      </c>
      <c r="B5419" t="s">
        <v>97</v>
      </c>
      <c r="C5419" t="s">
        <v>38</v>
      </c>
      <c r="D5419" t="s">
        <v>159</v>
      </c>
      <c r="E5419" s="2">
        <v>20</v>
      </c>
      <c r="F5419" s="4">
        <v>3</v>
      </c>
      <c r="G5419" s="2">
        <v>60</v>
      </c>
      <c r="H5419" t="s">
        <v>25</v>
      </c>
      <c r="I5419" t="s">
        <v>16</v>
      </c>
      <c r="J5419" s="1">
        <v>45577</v>
      </c>
      <c r="K5419" t="b">
        <v>0</v>
      </c>
    </row>
    <row r="5420" spans="1:11" x14ac:dyDescent="0.25">
      <c r="A5420" t="s">
        <v>488</v>
      </c>
      <c r="B5420" t="s">
        <v>104</v>
      </c>
      <c r="C5420" t="s">
        <v>38</v>
      </c>
      <c r="D5420" t="s">
        <v>159</v>
      </c>
      <c r="E5420" s="2">
        <v>20</v>
      </c>
      <c r="F5420" s="4">
        <v>3</v>
      </c>
      <c r="G5420" s="2">
        <v>60</v>
      </c>
      <c r="H5420" t="s">
        <v>15</v>
      </c>
      <c r="I5420" t="s">
        <v>16</v>
      </c>
      <c r="J5420" s="1">
        <v>45376</v>
      </c>
      <c r="K5420" t="b">
        <v>0</v>
      </c>
    </row>
    <row r="5421" spans="1:11" x14ac:dyDescent="0.25">
      <c r="A5421" t="s">
        <v>1858</v>
      </c>
      <c r="B5421" t="s">
        <v>72</v>
      </c>
      <c r="C5421" t="s">
        <v>13</v>
      </c>
      <c r="D5421" t="s">
        <v>113</v>
      </c>
      <c r="E5421" s="2">
        <v>20</v>
      </c>
      <c r="F5421" s="4">
        <v>3</v>
      </c>
      <c r="G5421" s="2">
        <v>60</v>
      </c>
      <c r="H5421" t="s">
        <v>45</v>
      </c>
      <c r="I5421" t="s">
        <v>16</v>
      </c>
      <c r="J5421" s="1">
        <v>44879</v>
      </c>
      <c r="K5421" t="b">
        <v>1</v>
      </c>
    </row>
    <row r="5422" spans="1:11" x14ac:dyDescent="0.25">
      <c r="A5422" t="s">
        <v>4592</v>
      </c>
      <c r="B5422" t="s">
        <v>26</v>
      </c>
      <c r="C5422" t="s">
        <v>38</v>
      </c>
      <c r="D5422" t="s">
        <v>159</v>
      </c>
      <c r="E5422" s="2">
        <v>20</v>
      </c>
      <c r="F5422" s="4">
        <v>3</v>
      </c>
      <c r="G5422" s="2">
        <v>60</v>
      </c>
      <c r="H5422" t="s">
        <v>25</v>
      </c>
      <c r="I5422" t="s">
        <v>36</v>
      </c>
      <c r="J5422" s="1">
        <v>44725</v>
      </c>
      <c r="K5422" t="b">
        <v>1</v>
      </c>
    </row>
    <row r="5423" spans="1:11" x14ac:dyDescent="0.25">
      <c r="A5423" t="s">
        <v>3617</v>
      </c>
      <c r="B5423" t="s">
        <v>72</v>
      </c>
      <c r="C5423" t="s">
        <v>19</v>
      </c>
      <c r="D5423" t="s">
        <v>228</v>
      </c>
      <c r="E5423" s="2">
        <v>20</v>
      </c>
      <c r="F5423" s="4">
        <v>3</v>
      </c>
      <c r="G5423" s="2">
        <v>60</v>
      </c>
      <c r="H5423" t="s">
        <v>15</v>
      </c>
      <c r="I5423" t="s">
        <v>16</v>
      </c>
      <c r="J5423" s="1">
        <v>44642</v>
      </c>
      <c r="K5423" t="b">
        <v>1</v>
      </c>
    </row>
    <row r="5424" spans="1:11" x14ac:dyDescent="0.25">
      <c r="A5424" t="s">
        <v>2643</v>
      </c>
      <c r="B5424" t="s">
        <v>22</v>
      </c>
      <c r="C5424" t="s">
        <v>13</v>
      </c>
      <c r="D5424" t="s">
        <v>113</v>
      </c>
      <c r="E5424" s="2">
        <v>20</v>
      </c>
      <c r="F5424" s="4">
        <v>3</v>
      </c>
      <c r="G5424" s="2">
        <v>60</v>
      </c>
      <c r="H5424" t="s">
        <v>15</v>
      </c>
      <c r="I5424" t="s">
        <v>16</v>
      </c>
      <c r="J5424" s="1">
        <v>44579</v>
      </c>
      <c r="K5424" t="b">
        <v>1</v>
      </c>
    </row>
    <row r="5425" spans="1:11" x14ac:dyDescent="0.25">
      <c r="A5425" t="s">
        <v>2728</v>
      </c>
      <c r="B5425" t="s">
        <v>43</v>
      </c>
      <c r="C5425" t="s">
        <v>27</v>
      </c>
      <c r="D5425" t="s">
        <v>95</v>
      </c>
      <c r="E5425" s="2">
        <v>20</v>
      </c>
      <c r="F5425" s="4">
        <v>3</v>
      </c>
      <c r="G5425" s="2">
        <v>60</v>
      </c>
      <c r="H5425" t="s">
        <v>15</v>
      </c>
      <c r="I5425" t="s">
        <v>36</v>
      </c>
      <c r="J5425" s="1">
        <v>45474</v>
      </c>
      <c r="K5425" t="b">
        <v>0</v>
      </c>
    </row>
    <row r="5426" spans="1:11" x14ac:dyDescent="0.25">
      <c r="A5426" t="s">
        <v>2853</v>
      </c>
      <c r="B5426" t="s">
        <v>66</v>
      </c>
      <c r="C5426" t="s">
        <v>27</v>
      </c>
      <c r="D5426" t="s">
        <v>95</v>
      </c>
      <c r="E5426" s="2">
        <v>20</v>
      </c>
      <c r="F5426" s="4">
        <v>3</v>
      </c>
      <c r="G5426" s="2">
        <v>60</v>
      </c>
      <c r="H5426" t="s">
        <v>15</v>
      </c>
      <c r="I5426" t="s">
        <v>16</v>
      </c>
      <c r="J5426" s="1">
        <v>45610</v>
      </c>
      <c r="K5426" t="b">
        <v>0</v>
      </c>
    </row>
    <row r="5427" spans="1:11" x14ac:dyDescent="0.25">
      <c r="A5427" t="s">
        <v>6016</v>
      </c>
      <c r="B5427" t="s">
        <v>86</v>
      </c>
      <c r="C5427" t="s">
        <v>27</v>
      </c>
      <c r="D5427" t="s">
        <v>95</v>
      </c>
      <c r="E5427" s="2">
        <v>20</v>
      </c>
      <c r="F5427" s="4">
        <v>3</v>
      </c>
      <c r="G5427" s="2">
        <v>60</v>
      </c>
      <c r="H5427" t="s">
        <v>25</v>
      </c>
      <c r="I5427" t="s">
        <v>16</v>
      </c>
      <c r="J5427" s="1">
        <v>45448</v>
      </c>
      <c r="K5427" t="b">
        <v>0</v>
      </c>
    </row>
    <row r="5428" spans="1:11" x14ac:dyDescent="0.25">
      <c r="A5428" t="s">
        <v>6722</v>
      </c>
      <c r="B5428" t="s">
        <v>93</v>
      </c>
      <c r="C5428" t="s">
        <v>31</v>
      </c>
      <c r="D5428" t="s">
        <v>82</v>
      </c>
      <c r="E5428" s="2">
        <v>20</v>
      </c>
      <c r="F5428" s="4">
        <v>3</v>
      </c>
      <c r="G5428" s="2">
        <v>60</v>
      </c>
      <c r="H5428" t="s">
        <v>25</v>
      </c>
      <c r="I5428" t="s">
        <v>36</v>
      </c>
      <c r="J5428" s="1">
        <v>45663</v>
      </c>
      <c r="K5428" t="b">
        <v>0</v>
      </c>
    </row>
    <row r="5429" spans="1:11" x14ac:dyDescent="0.25">
      <c r="A5429" t="s">
        <v>3055</v>
      </c>
      <c r="B5429" t="s">
        <v>69</v>
      </c>
      <c r="C5429" t="s">
        <v>59</v>
      </c>
      <c r="D5429" t="s">
        <v>365</v>
      </c>
      <c r="E5429" s="2">
        <v>20</v>
      </c>
      <c r="F5429" s="4">
        <v>3</v>
      </c>
      <c r="G5429" s="2">
        <v>60</v>
      </c>
      <c r="H5429" t="s">
        <v>15</v>
      </c>
      <c r="I5429" t="s">
        <v>16</v>
      </c>
      <c r="J5429" s="1">
        <v>45524</v>
      </c>
      <c r="K5429" t="b">
        <v>1</v>
      </c>
    </row>
    <row r="5430" spans="1:11" x14ac:dyDescent="0.25">
      <c r="A5430" t="s">
        <v>7091</v>
      </c>
      <c r="B5430" t="s">
        <v>61</v>
      </c>
      <c r="C5430" t="s">
        <v>27</v>
      </c>
      <c r="D5430" t="s">
        <v>95</v>
      </c>
      <c r="E5430" s="2">
        <v>20</v>
      </c>
      <c r="F5430" s="4">
        <v>3</v>
      </c>
      <c r="G5430" s="2">
        <v>60</v>
      </c>
      <c r="H5430" t="s">
        <v>45</v>
      </c>
      <c r="I5430" t="s">
        <v>16</v>
      </c>
      <c r="J5430" s="1">
        <v>45068</v>
      </c>
      <c r="K5430" t="b">
        <v>1</v>
      </c>
    </row>
    <row r="5431" spans="1:11" x14ac:dyDescent="0.25">
      <c r="A5431" t="s">
        <v>440</v>
      </c>
      <c r="B5431" t="s">
        <v>58</v>
      </c>
      <c r="C5431" t="s">
        <v>31</v>
      </c>
      <c r="D5431" t="s">
        <v>82</v>
      </c>
      <c r="E5431" s="2">
        <v>20</v>
      </c>
      <c r="F5431" s="4">
        <v>3</v>
      </c>
      <c r="G5431" s="2">
        <v>60</v>
      </c>
      <c r="H5431" t="s">
        <v>45</v>
      </c>
      <c r="I5431" t="s">
        <v>16</v>
      </c>
      <c r="J5431" s="1">
        <v>45417</v>
      </c>
      <c r="K5431" t="b">
        <v>0</v>
      </c>
    </row>
    <row r="5432" spans="1:11" x14ac:dyDescent="0.25">
      <c r="A5432" t="s">
        <v>5003</v>
      </c>
      <c r="B5432" t="s">
        <v>18</v>
      </c>
      <c r="C5432" t="s">
        <v>13</v>
      </c>
      <c r="D5432" t="s">
        <v>113</v>
      </c>
      <c r="E5432" s="2">
        <v>20</v>
      </c>
      <c r="F5432" s="4">
        <v>3</v>
      </c>
      <c r="G5432" s="2">
        <v>60</v>
      </c>
      <c r="H5432" t="s">
        <v>25</v>
      </c>
      <c r="I5432" t="s">
        <v>16</v>
      </c>
      <c r="J5432" s="1">
        <v>45469</v>
      </c>
      <c r="K5432" t="b">
        <v>1</v>
      </c>
    </row>
    <row r="5433" spans="1:11" x14ac:dyDescent="0.25">
      <c r="A5433" t="s">
        <v>7601</v>
      </c>
      <c r="B5433" t="s">
        <v>93</v>
      </c>
      <c r="C5433" t="s">
        <v>110</v>
      </c>
      <c r="D5433" t="s">
        <v>263</v>
      </c>
      <c r="E5433" s="2">
        <v>20</v>
      </c>
      <c r="F5433" s="4">
        <v>3</v>
      </c>
      <c r="G5433" s="2">
        <v>60</v>
      </c>
      <c r="H5433" t="s">
        <v>25</v>
      </c>
      <c r="I5433" t="s">
        <v>16</v>
      </c>
      <c r="J5433" s="1">
        <v>45394</v>
      </c>
      <c r="K5433" t="b">
        <v>0</v>
      </c>
    </row>
    <row r="5434" spans="1:11" x14ac:dyDescent="0.25">
      <c r="A5434" t="s">
        <v>5278</v>
      </c>
      <c r="B5434" t="s">
        <v>58</v>
      </c>
      <c r="C5434" t="s">
        <v>13</v>
      </c>
      <c r="D5434" t="s">
        <v>113</v>
      </c>
      <c r="E5434" s="2">
        <v>20</v>
      </c>
      <c r="F5434" s="4">
        <v>3</v>
      </c>
      <c r="G5434" s="2">
        <v>60</v>
      </c>
      <c r="H5434" t="s">
        <v>25</v>
      </c>
      <c r="I5434" t="s">
        <v>36</v>
      </c>
      <c r="J5434" s="1">
        <v>45269</v>
      </c>
      <c r="K5434" t="b">
        <v>0</v>
      </c>
    </row>
    <row r="5435" spans="1:11" x14ac:dyDescent="0.25">
      <c r="A5435" t="s">
        <v>1262</v>
      </c>
      <c r="B5435" t="s">
        <v>56</v>
      </c>
      <c r="C5435" t="s">
        <v>110</v>
      </c>
      <c r="D5435" t="s">
        <v>263</v>
      </c>
      <c r="E5435" s="2">
        <v>20</v>
      </c>
      <c r="F5435" s="4">
        <v>3</v>
      </c>
      <c r="G5435" s="2">
        <v>60</v>
      </c>
      <c r="H5435" t="s">
        <v>25</v>
      </c>
      <c r="I5435" t="s">
        <v>36</v>
      </c>
      <c r="J5435" s="1">
        <v>44690</v>
      </c>
      <c r="K5435" t="b">
        <v>0</v>
      </c>
    </row>
    <row r="5436" spans="1:11" x14ac:dyDescent="0.25">
      <c r="A5436" t="s">
        <v>1623</v>
      </c>
      <c r="B5436" t="s">
        <v>69</v>
      </c>
      <c r="C5436" t="s">
        <v>31</v>
      </c>
      <c r="D5436" t="s">
        <v>82</v>
      </c>
      <c r="E5436" s="2">
        <v>20</v>
      </c>
      <c r="F5436" s="4">
        <v>3</v>
      </c>
      <c r="G5436" s="2">
        <v>60</v>
      </c>
      <c r="H5436" t="s">
        <v>45</v>
      </c>
      <c r="I5436" t="s">
        <v>16</v>
      </c>
      <c r="J5436" s="1">
        <v>45215</v>
      </c>
      <c r="K5436" t="b">
        <v>0</v>
      </c>
    </row>
    <row r="5437" spans="1:11" x14ac:dyDescent="0.25">
      <c r="A5437" t="s">
        <v>5694</v>
      </c>
      <c r="B5437" t="s">
        <v>34</v>
      </c>
      <c r="C5437" t="s">
        <v>38</v>
      </c>
      <c r="D5437" t="s">
        <v>159</v>
      </c>
      <c r="E5437" s="2">
        <v>20</v>
      </c>
      <c r="F5437" s="4">
        <v>3</v>
      </c>
      <c r="G5437" s="2">
        <v>60</v>
      </c>
      <c r="H5437" t="s">
        <v>45</v>
      </c>
      <c r="I5437" t="s">
        <v>16</v>
      </c>
      <c r="J5437" s="1">
        <v>45557</v>
      </c>
      <c r="K5437" t="b">
        <v>0</v>
      </c>
    </row>
    <row r="5438" spans="1:11" x14ac:dyDescent="0.25">
      <c r="A5438" t="s">
        <v>4517</v>
      </c>
      <c r="B5438" t="s">
        <v>142</v>
      </c>
      <c r="C5438" t="s">
        <v>110</v>
      </c>
      <c r="D5438" t="s">
        <v>263</v>
      </c>
      <c r="E5438" s="2">
        <v>20</v>
      </c>
      <c r="F5438" s="4">
        <v>3</v>
      </c>
      <c r="G5438" s="2">
        <v>60</v>
      </c>
      <c r="H5438" t="s">
        <v>25</v>
      </c>
      <c r="I5438" t="s">
        <v>36</v>
      </c>
      <c r="J5438" s="1">
        <v>45411</v>
      </c>
      <c r="K5438" t="b">
        <v>0</v>
      </c>
    </row>
    <row r="5439" spans="1:11" x14ac:dyDescent="0.25">
      <c r="A5439" t="s">
        <v>6536</v>
      </c>
      <c r="B5439" t="s">
        <v>12</v>
      </c>
      <c r="C5439" t="s">
        <v>19</v>
      </c>
      <c r="D5439" t="s">
        <v>228</v>
      </c>
      <c r="E5439" s="2">
        <v>20</v>
      </c>
      <c r="F5439" s="4">
        <v>3</v>
      </c>
      <c r="G5439" s="2">
        <v>60</v>
      </c>
      <c r="H5439" t="s">
        <v>15</v>
      </c>
      <c r="I5439" t="s">
        <v>16</v>
      </c>
      <c r="J5439" s="1">
        <v>44879</v>
      </c>
      <c r="K5439" t="b">
        <v>1</v>
      </c>
    </row>
    <row r="5440" spans="1:11" x14ac:dyDescent="0.25">
      <c r="A5440" t="s">
        <v>6131</v>
      </c>
      <c r="B5440" t="s">
        <v>12</v>
      </c>
      <c r="C5440" t="s">
        <v>38</v>
      </c>
      <c r="D5440" t="s">
        <v>159</v>
      </c>
      <c r="E5440" s="2">
        <v>20</v>
      </c>
      <c r="F5440" s="4">
        <v>3</v>
      </c>
      <c r="G5440" s="2">
        <v>60</v>
      </c>
      <c r="H5440" t="s">
        <v>25</v>
      </c>
      <c r="I5440" t="s">
        <v>36</v>
      </c>
      <c r="J5440" s="1">
        <v>44898</v>
      </c>
      <c r="K5440" t="b">
        <v>0</v>
      </c>
    </row>
    <row r="5441" spans="1:11" x14ac:dyDescent="0.25">
      <c r="A5441" t="s">
        <v>6542</v>
      </c>
      <c r="B5441" t="s">
        <v>72</v>
      </c>
      <c r="C5441" t="s">
        <v>27</v>
      </c>
      <c r="D5441" t="s">
        <v>95</v>
      </c>
      <c r="E5441" s="2">
        <v>20</v>
      </c>
      <c r="F5441" s="4">
        <v>3</v>
      </c>
      <c r="G5441" s="2">
        <v>60</v>
      </c>
      <c r="H5441" t="s">
        <v>45</v>
      </c>
      <c r="I5441" t="s">
        <v>36</v>
      </c>
      <c r="J5441" s="1">
        <v>45420</v>
      </c>
      <c r="K5441" t="b">
        <v>1</v>
      </c>
    </row>
    <row r="5442" spans="1:11" x14ac:dyDescent="0.25">
      <c r="A5442" t="s">
        <v>2396</v>
      </c>
      <c r="B5442" t="s">
        <v>85</v>
      </c>
      <c r="C5442" t="s">
        <v>19</v>
      </c>
      <c r="D5442" t="s">
        <v>228</v>
      </c>
      <c r="E5442" s="2">
        <v>20</v>
      </c>
      <c r="F5442" s="4">
        <v>3</v>
      </c>
      <c r="G5442" s="2">
        <v>60</v>
      </c>
      <c r="H5442" t="s">
        <v>45</v>
      </c>
      <c r="I5442" t="s">
        <v>36</v>
      </c>
      <c r="J5442" s="1">
        <v>44904</v>
      </c>
      <c r="K5442" t="b">
        <v>0</v>
      </c>
    </row>
    <row r="5443" spans="1:11" x14ac:dyDescent="0.25">
      <c r="A5443" t="s">
        <v>599</v>
      </c>
      <c r="B5443" t="s">
        <v>97</v>
      </c>
      <c r="C5443" t="s">
        <v>27</v>
      </c>
      <c r="D5443" t="s">
        <v>95</v>
      </c>
      <c r="E5443" s="2">
        <v>20</v>
      </c>
      <c r="F5443" s="4">
        <v>3</v>
      </c>
      <c r="G5443" s="2">
        <v>60</v>
      </c>
      <c r="H5443" t="s">
        <v>25</v>
      </c>
      <c r="I5443" t="s">
        <v>16</v>
      </c>
      <c r="J5443" s="1">
        <v>44881</v>
      </c>
      <c r="K5443" t="b">
        <v>1</v>
      </c>
    </row>
    <row r="5444" spans="1:11" x14ac:dyDescent="0.25">
      <c r="A5444" t="s">
        <v>390</v>
      </c>
      <c r="B5444" t="s">
        <v>43</v>
      </c>
      <c r="C5444" t="s">
        <v>13</v>
      </c>
      <c r="D5444" t="s">
        <v>113</v>
      </c>
      <c r="E5444" s="2">
        <v>20</v>
      </c>
      <c r="F5444" s="4">
        <v>3</v>
      </c>
      <c r="G5444" s="2">
        <v>60</v>
      </c>
      <c r="H5444" t="s">
        <v>15</v>
      </c>
      <c r="I5444" t="s">
        <v>16</v>
      </c>
      <c r="J5444" s="1">
        <v>44957</v>
      </c>
      <c r="K5444" t="b">
        <v>0</v>
      </c>
    </row>
    <row r="5445" spans="1:11" x14ac:dyDescent="0.25">
      <c r="A5445" t="s">
        <v>5787</v>
      </c>
      <c r="B5445" t="s">
        <v>12</v>
      </c>
      <c r="C5445" t="s">
        <v>19</v>
      </c>
      <c r="D5445" t="s">
        <v>308</v>
      </c>
      <c r="E5445" s="2">
        <v>6.5</v>
      </c>
      <c r="F5445" s="4">
        <v>9</v>
      </c>
      <c r="G5445" s="2">
        <v>58.5</v>
      </c>
      <c r="H5445" t="s">
        <v>25</v>
      </c>
      <c r="I5445" t="s">
        <v>36</v>
      </c>
      <c r="J5445" s="1">
        <v>45513</v>
      </c>
      <c r="K5445" t="b">
        <v>1</v>
      </c>
    </row>
    <row r="5446" spans="1:11" x14ac:dyDescent="0.25">
      <c r="A5446" t="s">
        <v>3444</v>
      </c>
      <c r="B5446" t="s">
        <v>40</v>
      </c>
      <c r="C5446" t="s">
        <v>13</v>
      </c>
      <c r="D5446" t="s">
        <v>428</v>
      </c>
      <c r="E5446" s="2">
        <v>6.5</v>
      </c>
      <c r="F5446" s="4">
        <v>9</v>
      </c>
      <c r="G5446" s="2">
        <v>58.5</v>
      </c>
      <c r="H5446" t="s">
        <v>45</v>
      </c>
      <c r="I5446" t="s">
        <v>36</v>
      </c>
      <c r="J5446" s="1">
        <v>44784</v>
      </c>
      <c r="K5446" t="b">
        <v>0</v>
      </c>
    </row>
    <row r="5447" spans="1:11" x14ac:dyDescent="0.25">
      <c r="A5447" t="s">
        <v>2955</v>
      </c>
      <c r="B5447" t="s">
        <v>66</v>
      </c>
      <c r="C5447" t="s">
        <v>27</v>
      </c>
      <c r="D5447" t="s">
        <v>246</v>
      </c>
      <c r="E5447" s="2">
        <v>6.5</v>
      </c>
      <c r="F5447" s="4">
        <v>9</v>
      </c>
      <c r="G5447" s="2">
        <v>58.5</v>
      </c>
      <c r="H5447" t="s">
        <v>25</v>
      </c>
      <c r="I5447" t="s">
        <v>36</v>
      </c>
      <c r="J5447" s="1">
        <v>44765</v>
      </c>
      <c r="K5447" t="b">
        <v>1</v>
      </c>
    </row>
    <row r="5448" spans="1:11" x14ac:dyDescent="0.25">
      <c r="A5448" t="s">
        <v>6519</v>
      </c>
      <c r="B5448" t="s">
        <v>40</v>
      </c>
      <c r="C5448" t="s">
        <v>110</v>
      </c>
      <c r="D5448" t="s">
        <v>221</v>
      </c>
      <c r="E5448" s="2">
        <v>6.5</v>
      </c>
      <c r="F5448" s="4">
        <v>9</v>
      </c>
      <c r="G5448" s="2">
        <v>58.5</v>
      </c>
      <c r="H5448" t="s">
        <v>25</v>
      </c>
      <c r="I5448" t="s">
        <v>16</v>
      </c>
      <c r="J5448" s="1">
        <v>45240</v>
      </c>
      <c r="K5448" t="b">
        <v>0</v>
      </c>
    </row>
    <row r="5449" spans="1:11" x14ac:dyDescent="0.25">
      <c r="A5449" t="s">
        <v>6283</v>
      </c>
      <c r="B5449" t="s">
        <v>69</v>
      </c>
      <c r="C5449" t="s">
        <v>13</v>
      </c>
      <c r="D5449" t="s">
        <v>428</v>
      </c>
      <c r="E5449" s="2">
        <v>6.5</v>
      </c>
      <c r="F5449" s="4">
        <v>9</v>
      </c>
      <c r="G5449" s="2">
        <v>58.5</v>
      </c>
      <c r="H5449" t="s">
        <v>15</v>
      </c>
      <c r="I5449" t="s">
        <v>36</v>
      </c>
      <c r="J5449" s="1">
        <v>45478</v>
      </c>
      <c r="K5449" t="b">
        <v>1</v>
      </c>
    </row>
    <row r="5450" spans="1:11" x14ac:dyDescent="0.25">
      <c r="A5450" t="s">
        <v>2911</v>
      </c>
      <c r="B5450" t="s">
        <v>30</v>
      </c>
      <c r="C5450" t="s">
        <v>59</v>
      </c>
      <c r="D5450" t="s">
        <v>541</v>
      </c>
      <c r="E5450" s="2">
        <v>6.5</v>
      </c>
      <c r="F5450" s="4">
        <v>9</v>
      </c>
      <c r="G5450" s="2">
        <v>58.5</v>
      </c>
      <c r="H5450" t="s">
        <v>25</v>
      </c>
      <c r="I5450" t="s">
        <v>16</v>
      </c>
      <c r="J5450" s="1">
        <v>44753</v>
      </c>
      <c r="K5450" t="b">
        <v>1</v>
      </c>
    </row>
    <row r="5451" spans="1:11" x14ac:dyDescent="0.25">
      <c r="A5451" t="s">
        <v>704</v>
      </c>
      <c r="B5451" t="s">
        <v>93</v>
      </c>
      <c r="C5451" t="s">
        <v>38</v>
      </c>
      <c r="D5451" t="s">
        <v>235</v>
      </c>
      <c r="E5451" s="2">
        <v>6.5</v>
      </c>
      <c r="F5451" s="4">
        <v>9</v>
      </c>
      <c r="G5451" s="2">
        <v>58.5</v>
      </c>
      <c r="H5451" t="s">
        <v>25</v>
      </c>
      <c r="I5451" t="s">
        <v>16</v>
      </c>
      <c r="J5451" s="1">
        <v>45353</v>
      </c>
      <c r="K5451" t="b">
        <v>1</v>
      </c>
    </row>
    <row r="5452" spans="1:11" x14ac:dyDescent="0.25">
      <c r="A5452" t="s">
        <v>7826</v>
      </c>
      <c r="B5452" t="s">
        <v>142</v>
      </c>
      <c r="C5452" t="s">
        <v>27</v>
      </c>
      <c r="D5452" t="s">
        <v>246</v>
      </c>
      <c r="E5452" s="2">
        <v>6.5</v>
      </c>
      <c r="F5452" s="4">
        <v>9</v>
      </c>
      <c r="G5452" s="2">
        <v>58.5</v>
      </c>
      <c r="H5452" t="s">
        <v>45</v>
      </c>
      <c r="I5452" t="s">
        <v>16</v>
      </c>
      <c r="J5452" s="1">
        <v>44785</v>
      </c>
      <c r="K5452" t="b">
        <v>0</v>
      </c>
    </row>
    <row r="5453" spans="1:11" x14ac:dyDescent="0.25">
      <c r="A5453" t="s">
        <v>1979</v>
      </c>
      <c r="B5453" t="s">
        <v>61</v>
      </c>
      <c r="C5453" t="s">
        <v>110</v>
      </c>
      <c r="D5453" t="s">
        <v>221</v>
      </c>
      <c r="E5453" s="2">
        <v>6.5</v>
      </c>
      <c r="F5453" s="4">
        <v>9</v>
      </c>
      <c r="G5453" s="2">
        <v>58.5</v>
      </c>
      <c r="H5453" t="s">
        <v>45</v>
      </c>
      <c r="I5453" t="s">
        <v>16</v>
      </c>
      <c r="J5453" s="1">
        <v>44860</v>
      </c>
      <c r="K5453" t="b">
        <v>1</v>
      </c>
    </row>
    <row r="5454" spans="1:11" x14ac:dyDescent="0.25">
      <c r="A5454" t="s">
        <v>4453</v>
      </c>
      <c r="B5454" t="s">
        <v>43</v>
      </c>
      <c r="C5454" t="s">
        <v>31</v>
      </c>
      <c r="D5454" t="s">
        <v>49</v>
      </c>
      <c r="E5454" s="2">
        <v>6.5</v>
      </c>
      <c r="F5454" s="4">
        <v>9</v>
      </c>
      <c r="G5454" s="2">
        <v>58.5</v>
      </c>
      <c r="H5454" t="s">
        <v>25</v>
      </c>
      <c r="I5454" t="s">
        <v>36</v>
      </c>
      <c r="J5454" s="1">
        <v>45190</v>
      </c>
      <c r="K5454" t="b">
        <v>0</v>
      </c>
    </row>
    <row r="5455" spans="1:11" x14ac:dyDescent="0.25">
      <c r="A5455" t="s">
        <v>7564</v>
      </c>
      <c r="B5455" t="s">
        <v>100</v>
      </c>
      <c r="C5455" t="s">
        <v>110</v>
      </c>
      <c r="D5455" t="s">
        <v>221</v>
      </c>
      <c r="E5455" s="2">
        <v>6.5</v>
      </c>
      <c r="F5455" s="4">
        <v>9</v>
      </c>
      <c r="G5455" s="2">
        <v>58.5</v>
      </c>
      <c r="H5455" t="s">
        <v>25</v>
      </c>
      <c r="I5455" t="s">
        <v>36</v>
      </c>
      <c r="J5455" s="1">
        <v>45024</v>
      </c>
      <c r="K5455" t="b">
        <v>0</v>
      </c>
    </row>
    <row r="5456" spans="1:11" x14ac:dyDescent="0.25">
      <c r="A5456" t="s">
        <v>5545</v>
      </c>
      <c r="B5456" t="s">
        <v>61</v>
      </c>
      <c r="C5456" t="s">
        <v>19</v>
      </c>
      <c r="D5456" t="s">
        <v>308</v>
      </c>
      <c r="E5456" s="2">
        <v>6.5</v>
      </c>
      <c r="F5456" s="4">
        <v>9</v>
      </c>
      <c r="G5456" s="2">
        <v>58.5</v>
      </c>
      <c r="H5456" t="s">
        <v>45</v>
      </c>
      <c r="I5456" t="s">
        <v>16</v>
      </c>
      <c r="J5456" s="1">
        <v>45325</v>
      </c>
      <c r="K5456" t="b">
        <v>1</v>
      </c>
    </row>
    <row r="5457" spans="1:11" x14ac:dyDescent="0.25">
      <c r="A5457" t="s">
        <v>1463</v>
      </c>
      <c r="B5457" t="s">
        <v>97</v>
      </c>
      <c r="C5457" t="s">
        <v>13</v>
      </c>
      <c r="D5457" t="s">
        <v>428</v>
      </c>
      <c r="E5457" s="2">
        <v>6.5</v>
      </c>
      <c r="F5457" s="4">
        <v>9</v>
      </c>
      <c r="G5457" s="2">
        <v>58.5</v>
      </c>
      <c r="H5457" t="s">
        <v>45</v>
      </c>
      <c r="I5457" t="s">
        <v>16</v>
      </c>
      <c r="J5457" s="1">
        <v>44967</v>
      </c>
      <c r="K5457" t="b">
        <v>0</v>
      </c>
    </row>
    <row r="5458" spans="1:11" x14ac:dyDescent="0.25">
      <c r="A5458" t="s">
        <v>4793</v>
      </c>
      <c r="B5458" t="s">
        <v>30</v>
      </c>
      <c r="C5458" t="s">
        <v>31</v>
      </c>
      <c r="D5458" t="s">
        <v>49</v>
      </c>
      <c r="E5458" s="2">
        <v>6.5</v>
      </c>
      <c r="F5458" s="4">
        <v>9</v>
      </c>
      <c r="G5458" s="2">
        <v>58.5</v>
      </c>
      <c r="H5458" t="s">
        <v>25</v>
      </c>
      <c r="I5458" t="s">
        <v>16</v>
      </c>
      <c r="J5458" s="1">
        <v>45153</v>
      </c>
      <c r="K5458" t="b">
        <v>1</v>
      </c>
    </row>
    <row r="5459" spans="1:11" x14ac:dyDescent="0.25">
      <c r="A5459" t="s">
        <v>7791</v>
      </c>
      <c r="B5459" t="s">
        <v>63</v>
      </c>
      <c r="C5459" t="s">
        <v>23</v>
      </c>
      <c r="D5459" t="s">
        <v>137</v>
      </c>
      <c r="E5459" s="2">
        <v>6.5</v>
      </c>
      <c r="F5459" s="4">
        <v>9</v>
      </c>
      <c r="G5459" s="2">
        <v>58.5</v>
      </c>
      <c r="H5459" t="s">
        <v>15</v>
      </c>
      <c r="I5459" t="s">
        <v>16</v>
      </c>
      <c r="J5459" s="1">
        <v>45495</v>
      </c>
      <c r="K5459" t="b">
        <v>1</v>
      </c>
    </row>
    <row r="5460" spans="1:11" x14ac:dyDescent="0.25">
      <c r="A5460" t="s">
        <v>4158</v>
      </c>
      <c r="B5460" t="s">
        <v>22</v>
      </c>
      <c r="C5460" t="s">
        <v>19</v>
      </c>
      <c r="D5460" t="s">
        <v>308</v>
      </c>
      <c r="E5460" s="2">
        <v>6.5</v>
      </c>
      <c r="F5460" s="4">
        <v>9</v>
      </c>
      <c r="G5460" s="2">
        <v>58.5</v>
      </c>
      <c r="H5460" t="s">
        <v>25</v>
      </c>
      <c r="I5460" t="s">
        <v>16</v>
      </c>
      <c r="J5460" s="1">
        <v>45144</v>
      </c>
      <c r="K5460" t="b">
        <v>1</v>
      </c>
    </row>
    <row r="5461" spans="1:11" x14ac:dyDescent="0.25">
      <c r="A5461" t="s">
        <v>4603</v>
      </c>
      <c r="B5461" t="s">
        <v>77</v>
      </c>
      <c r="C5461" t="s">
        <v>110</v>
      </c>
      <c r="D5461" t="s">
        <v>221</v>
      </c>
      <c r="E5461" s="2">
        <v>6.5</v>
      </c>
      <c r="F5461" s="4">
        <v>9</v>
      </c>
      <c r="G5461" s="2">
        <v>58.5</v>
      </c>
      <c r="H5461" t="s">
        <v>15</v>
      </c>
      <c r="I5461" t="s">
        <v>16</v>
      </c>
      <c r="J5461" s="1">
        <v>45248</v>
      </c>
      <c r="K5461" t="b">
        <v>1</v>
      </c>
    </row>
    <row r="5462" spans="1:11" x14ac:dyDescent="0.25">
      <c r="A5462" t="s">
        <v>5319</v>
      </c>
      <c r="B5462" t="s">
        <v>104</v>
      </c>
      <c r="C5462" t="s">
        <v>27</v>
      </c>
      <c r="D5462" t="s">
        <v>246</v>
      </c>
      <c r="E5462" s="2">
        <v>6.5</v>
      </c>
      <c r="F5462" s="4">
        <v>9</v>
      </c>
      <c r="G5462" s="2">
        <v>58.5</v>
      </c>
      <c r="H5462" t="s">
        <v>15</v>
      </c>
      <c r="I5462" t="s">
        <v>36</v>
      </c>
      <c r="J5462" s="1">
        <v>44870</v>
      </c>
      <c r="K5462" t="b">
        <v>1</v>
      </c>
    </row>
    <row r="5463" spans="1:11" x14ac:dyDescent="0.25">
      <c r="A5463" t="s">
        <v>4369</v>
      </c>
      <c r="B5463" t="s">
        <v>56</v>
      </c>
      <c r="C5463" t="s">
        <v>59</v>
      </c>
      <c r="D5463" t="s">
        <v>541</v>
      </c>
      <c r="E5463" s="2">
        <v>6.5</v>
      </c>
      <c r="F5463" s="4">
        <v>9</v>
      </c>
      <c r="G5463" s="2">
        <v>58.5</v>
      </c>
      <c r="H5463" t="s">
        <v>25</v>
      </c>
      <c r="I5463" t="s">
        <v>36</v>
      </c>
      <c r="J5463" s="1">
        <v>45282</v>
      </c>
      <c r="K5463" t="b">
        <v>0</v>
      </c>
    </row>
    <row r="5464" spans="1:11" x14ac:dyDescent="0.25">
      <c r="A5464" t="s">
        <v>2271</v>
      </c>
      <c r="B5464" t="s">
        <v>85</v>
      </c>
      <c r="C5464" t="s">
        <v>19</v>
      </c>
      <c r="D5464" t="s">
        <v>308</v>
      </c>
      <c r="E5464" s="2">
        <v>6.5</v>
      </c>
      <c r="F5464" s="4">
        <v>9</v>
      </c>
      <c r="G5464" s="2">
        <v>58.5</v>
      </c>
      <c r="H5464" t="s">
        <v>15</v>
      </c>
      <c r="I5464" t="s">
        <v>36</v>
      </c>
      <c r="J5464" s="1">
        <v>45053</v>
      </c>
      <c r="K5464" t="b">
        <v>0</v>
      </c>
    </row>
    <row r="5465" spans="1:11" x14ac:dyDescent="0.25">
      <c r="A5465" t="s">
        <v>3908</v>
      </c>
      <c r="B5465" t="s">
        <v>93</v>
      </c>
      <c r="C5465" t="s">
        <v>110</v>
      </c>
      <c r="D5465" t="s">
        <v>221</v>
      </c>
      <c r="E5465" s="2">
        <v>6.5</v>
      </c>
      <c r="F5465" s="4">
        <v>9</v>
      </c>
      <c r="G5465" s="2">
        <v>58.5</v>
      </c>
      <c r="H5465" t="s">
        <v>15</v>
      </c>
      <c r="I5465" t="s">
        <v>16</v>
      </c>
      <c r="J5465" s="1">
        <v>44699</v>
      </c>
      <c r="K5465" t="b">
        <v>0</v>
      </c>
    </row>
    <row r="5466" spans="1:11" x14ac:dyDescent="0.25">
      <c r="A5466" t="s">
        <v>5350</v>
      </c>
      <c r="B5466" t="s">
        <v>51</v>
      </c>
      <c r="C5466" t="s">
        <v>59</v>
      </c>
      <c r="D5466" t="s">
        <v>541</v>
      </c>
      <c r="E5466" s="2">
        <v>6.5</v>
      </c>
      <c r="F5466" s="4">
        <v>9</v>
      </c>
      <c r="G5466" s="2">
        <v>58.5</v>
      </c>
      <c r="H5466" t="s">
        <v>25</v>
      </c>
      <c r="I5466" t="s">
        <v>16</v>
      </c>
      <c r="J5466" s="1">
        <v>44826</v>
      </c>
      <c r="K5466" t="b">
        <v>1</v>
      </c>
    </row>
    <row r="5467" spans="1:11" x14ac:dyDescent="0.25">
      <c r="A5467" t="s">
        <v>3422</v>
      </c>
      <c r="B5467" t="s">
        <v>85</v>
      </c>
      <c r="C5467" t="s">
        <v>110</v>
      </c>
      <c r="D5467" t="s">
        <v>221</v>
      </c>
      <c r="E5467" s="2">
        <v>6.5</v>
      </c>
      <c r="F5467" s="4">
        <v>9</v>
      </c>
      <c r="G5467" s="2">
        <v>58.5</v>
      </c>
      <c r="H5467" t="s">
        <v>25</v>
      </c>
      <c r="I5467" t="s">
        <v>16</v>
      </c>
      <c r="J5467" s="1">
        <v>45053</v>
      </c>
      <c r="K5467" t="b">
        <v>1</v>
      </c>
    </row>
    <row r="5468" spans="1:11" x14ac:dyDescent="0.25">
      <c r="A5468" t="s">
        <v>498</v>
      </c>
      <c r="B5468" t="s">
        <v>37</v>
      </c>
      <c r="C5468" t="s">
        <v>38</v>
      </c>
      <c r="D5468" t="s">
        <v>235</v>
      </c>
      <c r="E5468" s="2">
        <v>6.5</v>
      </c>
      <c r="F5468" s="4">
        <v>9</v>
      </c>
      <c r="G5468" s="2">
        <v>58.5</v>
      </c>
      <c r="H5468" t="s">
        <v>15</v>
      </c>
      <c r="I5468" t="s">
        <v>16</v>
      </c>
      <c r="J5468" s="1">
        <v>45119</v>
      </c>
      <c r="K5468" t="b">
        <v>0</v>
      </c>
    </row>
    <row r="5469" spans="1:11" x14ac:dyDescent="0.25">
      <c r="A5469" t="s">
        <v>6891</v>
      </c>
      <c r="B5469" t="s">
        <v>142</v>
      </c>
      <c r="C5469" t="s">
        <v>110</v>
      </c>
      <c r="D5469" t="s">
        <v>221</v>
      </c>
      <c r="E5469" s="2">
        <v>6.5</v>
      </c>
      <c r="F5469" s="4">
        <v>9</v>
      </c>
      <c r="G5469" s="2">
        <v>58.5</v>
      </c>
      <c r="H5469" t="s">
        <v>45</v>
      </c>
      <c r="I5469" t="s">
        <v>36</v>
      </c>
      <c r="J5469" s="1">
        <v>45204</v>
      </c>
      <c r="K5469" t="b">
        <v>1</v>
      </c>
    </row>
    <row r="5470" spans="1:11" x14ac:dyDescent="0.25">
      <c r="A5470" t="s">
        <v>6318</v>
      </c>
      <c r="B5470" t="s">
        <v>56</v>
      </c>
      <c r="C5470" t="s">
        <v>59</v>
      </c>
      <c r="D5470" t="s">
        <v>541</v>
      </c>
      <c r="E5470" s="2">
        <v>6.5</v>
      </c>
      <c r="F5470" s="4">
        <v>9</v>
      </c>
      <c r="G5470" s="2">
        <v>58.5</v>
      </c>
      <c r="H5470" t="s">
        <v>15</v>
      </c>
      <c r="I5470" t="s">
        <v>16</v>
      </c>
      <c r="J5470" s="1">
        <v>45610</v>
      </c>
      <c r="K5470" t="b">
        <v>0</v>
      </c>
    </row>
    <row r="5471" spans="1:11" x14ac:dyDescent="0.25">
      <c r="A5471" t="s">
        <v>7758</v>
      </c>
      <c r="B5471" t="s">
        <v>66</v>
      </c>
      <c r="C5471" t="s">
        <v>19</v>
      </c>
      <c r="D5471" t="s">
        <v>308</v>
      </c>
      <c r="E5471" s="2">
        <v>6.5</v>
      </c>
      <c r="F5471" s="4">
        <v>9</v>
      </c>
      <c r="G5471" s="2">
        <v>58.5</v>
      </c>
      <c r="H5471" t="s">
        <v>45</v>
      </c>
      <c r="I5471" t="s">
        <v>16</v>
      </c>
      <c r="J5471" s="1">
        <v>45390</v>
      </c>
      <c r="K5471" t="b">
        <v>0</v>
      </c>
    </row>
    <row r="5472" spans="1:11" x14ac:dyDescent="0.25">
      <c r="A5472" t="s">
        <v>4504</v>
      </c>
      <c r="B5472" t="s">
        <v>69</v>
      </c>
      <c r="C5472" t="s">
        <v>27</v>
      </c>
      <c r="D5472" t="s">
        <v>246</v>
      </c>
      <c r="E5472" s="2">
        <v>6.5</v>
      </c>
      <c r="F5472" s="4">
        <v>9</v>
      </c>
      <c r="G5472" s="2">
        <v>58.5</v>
      </c>
      <c r="H5472" t="s">
        <v>45</v>
      </c>
      <c r="I5472" t="s">
        <v>36</v>
      </c>
      <c r="J5472" s="1">
        <v>45070</v>
      </c>
      <c r="K5472" t="b">
        <v>0</v>
      </c>
    </row>
    <row r="5473" spans="1:11" x14ac:dyDescent="0.25">
      <c r="A5473" t="s">
        <v>3345</v>
      </c>
      <c r="B5473" t="s">
        <v>18</v>
      </c>
      <c r="C5473" t="s">
        <v>27</v>
      </c>
      <c r="D5473" t="s">
        <v>421</v>
      </c>
      <c r="E5473" s="2">
        <v>29</v>
      </c>
      <c r="F5473" s="4">
        <v>2</v>
      </c>
      <c r="G5473" s="2">
        <v>58</v>
      </c>
      <c r="H5473" t="s">
        <v>45</v>
      </c>
      <c r="I5473" t="s">
        <v>16</v>
      </c>
      <c r="J5473" s="1">
        <v>44761</v>
      </c>
      <c r="K5473" t="b">
        <v>0</v>
      </c>
    </row>
    <row r="5474" spans="1:11" x14ac:dyDescent="0.25">
      <c r="A5474" t="s">
        <v>2370</v>
      </c>
      <c r="B5474" t="s">
        <v>43</v>
      </c>
      <c r="C5474" t="s">
        <v>13</v>
      </c>
      <c r="D5474" t="s">
        <v>55</v>
      </c>
      <c r="E5474" s="2">
        <v>29</v>
      </c>
      <c r="F5474" s="4">
        <v>2</v>
      </c>
      <c r="G5474" s="2">
        <v>58</v>
      </c>
      <c r="H5474" t="s">
        <v>15</v>
      </c>
      <c r="I5474" t="s">
        <v>36</v>
      </c>
      <c r="J5474" s="1">
        <v>44779</v>
      </c>
      <c r="K5474" t="b">
        <v>1</v>
      </c>
    </row>
    <row r="5475" spans="1:11" x14ac:dyDescent="0.25">
      <c r="A5475" t="s">
        <v>1099</v>
      </c>
      <c r="B5475" t="s">
        <v>40</v>
      </c>
      <c r="C5475" t="s">
        <v>23</v>
      </c>
      <c r="D5475" t="s">
        <v>352</v>
      </c>
      <c r="E5475" s="2">
        <v>29</v>
      </c>
      <c r="F5475" s="4">
        <v>2</v>
      </c>
      <c r="G5475" s="2">
        <v>58</v>
      </c>
      <c r="H5475" t="s">
        <v>25</v>
      </c>
      <c r="I5475" t="s">
        <v>36</v>
      </c>
      <c r="J5475" s="1">
        <v>44931</v>
      </c>
      <c r="K5475" t="b">
        <v>1</v>
      </c>
    </row>
    <row r="5476" spans="1:11" x14ac:dyDescent="0.25">
      <c r="A5476" t="s">
        <v>4773</v>
      </c>
      <c r="B5476" t="s">
        <v>61</v>
      </c>
      <c r="C5476" t="s">
        <v>27</v>
      </c>
      <c r="D5476" t="s">
        <v>421</v>
      </c>
      <c r="E5476" s="2">
        <v>29</v>
      </c>
      <c r="F5476" s="4">
        <v>2</v>
      </c>
      <c r="G5476" s="2">
        <v>58</v>
      </c>
      <c r="H5476" t="s">
        <v>15</v>
      </c>
      <c r="I5476" t="s">
        <v>16</v>
      </c>
      <c r="J5476" s="1">
        <v>45133</v>
      </c>
      <c r="K5476" t="b">
        <v>1</v>
      </c>
    </row>
    <row r="5477" spans="1:11" x14ac:dyDescent="0.25">
      <c r="A5477" t="s">
        <v>3292</v>
      </c>
      <c r="B5477" t="s">
        <v>93</v>
      </c>
      <c r="C5477" t="s">
        <v>31</v>
      </c>
      <c r="D5477" t="s">
        <v>372</v>
      </c>
      <c r="E5477" s="2">
        <v>29</v>
      </c>
      <c r="F5477" s="4">
        <v>2</v>
      </c>
      <c r="G5477" s="2">
        <v>58</v>
      </c>
      <c r="H5477" t="s">
        <v>45</v>
      </c>
      <c r="I5477" t="s">
        <v>36</v>
      </c>
      <c r="J5477" s="1">
        <v>44855</v>
      </c>
      <c r="K5477" t="b">
        <v>1</v>
      </c>
    </row>
    <row r="5478" spans="1:11" x14ac:dyDescent="0.25">
      <c r="A5478" t="s">
        <v>6592</v>
      </c>
      <c r="B5478" t="s">
        <v>18</v>
      </c>
      <c r="C5478" t="s">
        <v>110</v>
      </c>
      <c r="D5478" t="s">
        <v>386</v>
      </c>
      <c r="E5478" s="2">
        <v>29</v>
      </c>
      <c r="F5478" s="4">
        <v>2</v>
      </c>
      <c r="G5478" s="2">
        <v>58</v>
      </c>
      <c r="H5478" t="s">
        <v>15</v>
      </c>
      <c r="I5478" t="s">
        <v>16</v>
      </c>
      <c r="J5478" s="1">
        <v>45124</v>
      </c>
      <c r="K5478" t="b">
        <v>0</v>
      </c>
    </row>
    <row r="5479" spans="1:11" x14ac:dyDescent="0.25">
      <c r="A5479" t="s">
        <v>910</v>
      </c>
      <c r="B5479" t="s">
        <v>34</v>
      </c>
      <c r="C5479" t="s">
        <v>13</v>
      </c>
      <c r="D5479" t="s">
        <v>55</v>
      </c>
      <c r="E5479" s="2">
        <v>29</v>
      </c>
      <c r="F5479" s="4">
        <v>2</v>
      </c>
      <c r="G5479" s="2">
        <v>58</v>
      </c>
      <c r="H5479" t="s">
        <v>25</v>
      </c>
      <c r="I5479" t="s">
        <v>36</v>
      </c>
      <c r="J5479" s="1">
        <v>45089</v>
      </c>
      <c r="K5479" t="b">
        <v>1</v>
      </c>
    </row>
    <row r="5480" spans="1:11" x14ac:dyDescent="0.25">
      <c r="A5480" t="s">
        <v>3671</v>
      </c>
      <c r="B5480" t="s">
        <v>85</v>
      </c>
      <c r="C5480" t="s">
        <v>38</v>
      </c>
      <c r="D5480" t="s">
        <v>267</v>
      </c>
      <c r="E5480" s="2">
        <v>29</v>
      </c>
      <c r="F5480" s="4">
        <v>2</v>
      </c>
      <c r="G5480" s="2">
        <v>58</v>
      </c>
      <c r="H5480" t="s">
        <v>45</v>
      </c>
      <c r="I5480" t="s">
        <v>16</v>
      </c>
      <c r="J5480" s="1">
        <v>45426</v>
      </c>
      <c r="K5480" t="b">
        <v>1</v>
      </c>
    </row>
    <row r="5481" spans="1:11" x14ac:dyDescent="0.25">
      <c r="A5481" t="s">
        <v>6968</v>
      </c>
      <c r="B5481" t="s">
        <v>56</v>
      </c>
      <c r="C5481" t="s">
        <v>23</v>
      </c>
      <c r="D5481" t="s">
        <v>352</v>
      </c>
      <c r="E5481" s="2">
        <v>29</v>
      </c>
      <c r="F5481" s="4">
        <v>2</v>
      </c>
      <c r="G5481" s="2">
        <v>58</v>
      </c>
      <c r="H5481" t="s">
        <v>15</v>
      </c>
      <c r="I5481" t="s">
        <v>16</v>
      </c>
      <c r="J5481" s="1">
        <v>44797</v>
      </c>
      <c r="K5481" t="b">
        <v>0</v>
      </c>
    </row>
    <row r="5482" spans="1:11" x14ac:dyDescent="0.25">
      <c r="A5482" t="s">
        <v>2527</v>
      </c>
      <c r="B5482" t="s">
        <v>66</v>
      </c>
      <c r="C5482" t="s">
        <v>23</v>
      </c>
      <c r="D5482" t="s">
        <v>352</v>
      </c>
      <c r="E5482" s="2">
        <v>29</v>
      </c>
      <c r="F5482" s="4">
        <v>2</v>
      </c>
      <c r="G5482" s="2">
        <v>58</v>
      </c>
      <c r="H5482" t="s">
        <v>15</v>
      </c>
      <c r="I5482" t="s">
        <v>36</v>
      </c>
      <c r="J5482" s="1">
        <v>45089</v>
      </c>
      <c r="K5482" t="b">
        <v>0</v>
      </c>
    </row>
    <row r="5483" spans="1:11" x14ac:dyDescent="0.25">
      <c r="A5483" t="s">
        <v>1903</v>
      </c>
      <c r="B5483" t="s">
        <v>77</v>
      </c>
      <c r="C5483" t="s">
        <v>31</v>
      </c>
      <c r="D5483" t="s">
        <v>372</v>
      </c>
      <c r="E5483" s="2">
        <v>29</v>
      </c>
      <c r="F5483" s="4">
        <v>2</v>
      </c>
      <c r="G5483" s="2">
        <v>58</v>
      </c>
      <c r="H5483" t="s">
        <v>15</v>
      </c>
      <c r="I5483" t="s">
        <v>16</v>
      </c>
      <c r="J5483" s="1">
        <v>44922</v>
      </c>
      <c r="K5483" t="b">
        <v>1</v>
      </c>
    </row>
    <row r="5484" spans="1:11" x14ac:dyDescent="0.25">
      <c r="A5484" t="s">
        <v>571</v>
      </c>
      <c r="B5484" t="s">
        <v>18</v>
      </c>
      <c r="C5484" t="s">
        <v>19</v>
      </c>
      <c r="D5484" t="s">
        <v>20</v>
      </c>
      <c r="E5484" s="2">
        <v>29</v>
      </c>
      <c r="F5484" s="4">
        <v>2</v>
      </c>
      <c r="G5484" s="2">
        <v>58</v>
      </c>
      <c r="H5484" t="s">
        <v>15</v>
      </c>
      <c r="I5484" t="s">
        <v>36</v>
      </c>
      <c r="J5484" s="1">
        <v>44752</v>
      </c>
      <c r="K5484" t="b">
        <v>0</v>
      </c>
    </row>
    <row r="5485" spans="1:11" x14ac:dyDescent="0.25">
      <c r="A5485" t="s">
        <v>2437</v>
      </c>
      <c r="B5485" t="s">
        <v>22</v>
      </c>
      <c r="C5485" t="s">
        <v>59</v>
      </c>
      <c r="D5485" t="s">
        <v>297</v>
      </c>
      <c r="E5485" s="2">
        <v>29</v>
      </c>
      <c r="F5485" s="4">
        <v>2</v>
      </c>
      <c r="G5485" s="2">
        <v>58</v>
      </c>
      <c r="H5485" t="s">
        <v>45</v>
      </c>
      <c r="I5485" t="s">
        <v>16</v>
      </c>
      <c r="J5485" s="1">
        <v>44656</v>
      </c>
      <c r="K5485" t="b">
        <v>0</v>
      </c>
    </row>
    <row r="5486" spans="1:11" x14ac:dyDescent="0.25">
      <c r="A5486" t="s">
        <v>6883</v>
      </c>
      <c r="B5486" t="s">
        <v>40</v>
      </c>
      <c r="C5486" t="s">
        <v>13</v>
      </c>
      <c r="D5486" t="s">
        <v>55</v>
      </c>
      <c r="E5486" s="2">
        <v>29</v>
      </c>
      <c r="F5486" s="4">
        <v>2</v>
      </c>
      <c r="G5486" s="2">
        <v>58</v>
      </c>
      <c r="H5486" t="s">
        <v>45</v>
      </c>
      <c r="I5486" t="s">
        <v>36</v>
      </c>
      <c r="J5486" s="1">
        <v>44578</v>
      </c>
      <c r="K5486" t="b">
        <v>0</v>
      </c>
    </row>
    <row r="5487" spans="1:11" x14ac:dyDescent="0.25">
      <c r="A5487" t="s">
        <v>7821</v>
      </c>
      <c r="B5487" t="s">
        <v>77</v>
      </c>
      <c r="C5487" t="s">
        <v>13</v>
      </c>
      <c r="D5487" t="s">
        <v>55</v>
      </c>
      <c r="E5487" s="2">
        <v>29</v>
      </c>
      <c r="F5487" s="4">
        <v>2</v>
      </c>
      <c r="G5487" s="2">
        <v>58</v>
      </c>
      <c r="H5487" t="s">
        <v>15</v>
      </c>
      <c r="I5487" t="s">
        <v>16</v>
      </c>
      <c r="J5487" s="1">
        <v>45589</v>
      </c>
      <c r="K5487" t="b">
        <v>1</v>
      </c>
    </row>
    <row r="5488" spans="1:11" x14ac:dyDescent="0.25">
      <c r="A5488" t="s">
        <v>6049</v>
      </c>
      <c r="B5488" t="s">
        <v>72</v>
      </c>
      <c r="C5488" t="s">
        <v>59</v>
      </c>
      <c r="D5488" t="s">
        <v>297</v>
      </c>
      <c r="E5488" s="2">
        <v>29</v>
      </c>
      <c r="F5488" s="4">
        <v>2</v>
      </c>
      <c r="G5488" s="2">
        <v>58</v>
      </c>
      <c r="H5488" t="s">
        <v>15</v>
      </c>
      <c r="I5488" t="s">
        <v>36</v>
      </c>
      <c r="J5488" s="1">
        <v>45100</v>
      </c>
      <c r="K5488" t="b">
        <v>1</v>
      </c>
    </row>
    <row r="5489" spans="1:11" x14ac:dyDescent="0.25">
      <c r="A5489" t="s">
        <v>581</v>
      </c>
      <c r="B5489" t="s">
        <v>63</v>
      </c>
      <c r="C5489" t="s">
        <v>19</v>
      </c>
      <c r="D5489" t="s">
        <v>20</v>
      </c>
      <c r="E5489" s="2">
        <v>29</v>
      </c>
      <c r="F5489" s="4">
        <v>2</v>
      </c>
      <c r="G5489" s="2">
        <v>58</v>
      </c>
      <c r="H5489" t="s">
        <v>25</v>
      </c>
      <c r="I5489" t="s">
        <v>36</v>
      </c>
      <c r="J5489" s="1">
        <v>45629</v>
      </c>
      <c r="K5489" t="b">
        <v>0</v>
      </c>
    </row>
    <row r="5490" spans="1:11" x14ac:dyDescent="0.25">
      <c r="A5490" t="s">
        <v>2581</v>
      </c>
      <c r="B5490" t="s">
        <v>61</v>
      </c>
      <c r="C5490" t="s">
        <v>110</v>
      </c>
      <c r="D5490" t="s">
        <v>386</v>
      </c>
      <c r="E5490" s="2">
        <v>29</v>
      </c>
      <c r="F5490" s="4">
        <v>2</v>
      </c>
      <c r="G5490" s="2">
        <v>58</v>
      </c>
      <c r="H5490" t="s">
        <v>45</v>
      </c>
      <c r="I5490" t="s">
        <v>36</v>
      </c>
      <c r="J5490" s="1">
        <v>45513</v>
      </c>
      <c r="K5490" t="b">
        <v>0</v>
      </c>
    </row>
    <row r="5491" spans="1:11" x14ac:dyDescent="0.25">
      <c r="A5491" t="s">
        <v>7820</v>
      </c>
      <c r="B5491" t="s">
        <v>86</v>
      </c>
      <c r="C5491" t="s">
        <v>110</v>
      </c>
      <c r="D5491" t="s">
        <v>386</v>
      </c>
      <c r="E5491" s="2">
        <v>29</v>
      </c>
      <c r="F5491" s="4">
        <v>2</v>
      </c>
      <c r="G5491" s="2">
        <v>58</v>
      </c>
      <c r="H5491" t="s">
        <v>25</v>
      </c>
      <c r="I5491" t="s">
        <v>16</v>
      </c>
      <c r="J5491" s="1">
        <v>45638</v>
      </c>
      <c r="K5491" t="b">
        <v>1</v>
      </c>
    </row>
    <row r="5492" spans="1:11" x14ac:dyDescent="0.25">
      <c r="A5492" t="s">
        <v>7347</v>
      </c>
      <c r="B5492" t="s">
        <v>58</v>
      </c>
      <c r="C5492" t="s">
        <v>13</v>
      </c>
      <c r="D5492" t="s">
        <v>55</v>
      </c>
      <c r="E5492" s="2">
        <v>29</v>
      </c>
      <c r="F5492" s="4">
        <v>2</v>
      </c>
      <c r="G5492" s="2">
        <v>58</v>
      </c>
      <c r="H5492" t="s">
        <v>45</v>
      </c>
      <c r="I5492" t="s">
        <v>16</v>
      </c>
      <c r="J5492" s="1">
        <v>45101</v>
      </c>
      <c r="K5492" t="b">
        <v>1</v>
      </c>
    </row>
    <row r="5493" spans="1:11" x14ac:dyDescent="0.25">
      <c r="A5493" t="s">
        <v>5255</v>
      </c>
      <c r="B5493" t="s">
        <v>97</v>
      </c>
      <c r="C5493" t="s">
        <v>59</v>
      </c>
      <c r="D5493" t="s">
        <v>297</v>
      </c>
      <c r="E5493" s="2">
        <v>29</v>
      </c>
      <c r="F5493" s="4">
        <v>2</v>
      </c>
      <c r="G5493" s="2">
        <v>58</v>
      </c>
      <c r="H5493" t="s">
        <v>45</v>
      </c>
      <c r="I5493" t="s">
        <v>16</v>
      </c>
      <c r="J5493" s="1">
        <v>44640</v>
      </c>
      <c r="K5493" t="b">
        <v>0</v>
      </c>
    </row>
    <row r="5494" spans="1:11" x14ac:dyDescent="0.25">
      <c r="A5494" t="s">
        <v>4978</v>
      </c>
      <c r="B5494" t="s">
        <v>40</v>
      </c>
      <c r="C5494" t="s">
        <v>31</v>
      </c>
      <c r="D5494" t="s">
        <v>372</v>
      </c>
      <c r="E5494" s="2">
        <v>29</v>
      </c>
      <c r="F5494" s="4">
        <v>2</v>
      </c>
      <c r="G5494" s="2">
        <v>58</v>
      </c>
      <c r="H5494" t="s">
        <v>15</v>
      </c>
      <c r="I5494" t="s">
        <v>16</v>
      </c>
      <c r="J5494" s="1">
        <v>45488</v>
      </c>
      <c r="K5494" t="b">
        <v>0</v>
      </c>
    </row>
    <row r="5495" spans="1:11" x14ac:dyDescent="0.25">
      <c r="A5495" t="s">
        <v>5484</v>
      </c>
      <c r="B5495" t="s">
        <v>37</v>
      </c>
      <c r="C5495" t="s">
        <v>31</v>
      </c>
      <c r="D5495" t="s">
        <v>372</v>
      </c>
      <c r="E5495" s="2">
        <v>29</v>
      </c>
      <c r="F5495" s="4">
        <v>2</v>
      </c>
      <c r="G5495" s="2">
        <v>58</v>
      </c>
      <c r="H5495" t="s">
        <v>15</v>
      </c>
      <c r="I5495" t="s">
        <v>16</v>
      </c>
      <c r="J5495" s="1">
        <v>45085</v>
      </c>
      <c r="K5495" t="b">
        <v>0</v>
      </c>
    </row>
    <row r="5496" spans="1:11" x14ac:dyDescent="0.25">
      <c r="A5496" t="s">
        <v>5659</v>
      </c>
      <c r="B5496" t="s">
        <v>18</v>
      </c>
      <c r="C5496" t="s">
        <v>19</v>
      </c>
      <c r="D5496" t="s">
        <v>20</v>
      </c>
      <c r="E5496" s="2">
        <v>29</v>
      </c>
      <c r="F5496" s="4">
        <v>2</v>
      </c>
      <c r="G5496" s="2">
        <v>58</v>
      </c>
      <c r="H5496" t="s">
        <v>25</v>
      </c>
      <c r="I5496" t="s">
        <v>36</v>
      </c>
      <c r="J5496" s="1">
        <v>44764</v>
      </c>
      <c r="K5496" t="b">
        <v>0</v>
      </c>
    </row>
    <row r="5497" spans="1:11" x14ac:dyDescent="0.25">
      <c r="A5497" t="s">
        <v>6153</v>
      </c>
      <c r="B5497" t="s">
        <v>12</v>
      </c>
      <c r="C5497" t="s">
        <v>19</v>
      </c>
      <c r="D5497" t="s">
        <v>20</v>
      </c>
      <c r="E5497" s="2">
        <v>29</v>
      </c>
      <c r="F5497" s="4">
        <v>2</v>
      </c>
      <c r="G5497" s="2">
        <v>58</v>
      </c>
      <c r="H5497" t="s">
        <v>45</v>
      </c>
      <c r="I5497" t="s">
        <v>16</v>
      </c>
      <c r="J5497" s="1">
        <v>45471</v>
      </c>
      <c r="K5497" t="b">
        <v>1</v>
      </c>
    </row>
    <row r="5498" spans="1:11" x14ac:dyDescent="0.25">
      <c r="A5498" t="s">
        <v>2100</v>
      </c>
      <c r="B5498" t="s">
        <v>85</v>
      </c>
      <c r="C5498" t="s">
        <v>38</v>
      </c>
      <c r="D5498" t="s">
        <v>267</v>
      </c>
      <c r="E5498" s="2">
        <v>29</v>
      </c>
      <c r="F5498" s="4">
        <v>2</v>
      </c>
      <c r="G5498" s="2">
        <v>58</v>
      </c>
      <c r="H5498" t="s">
        <v>45</v>
      </c>
      <c r="I5498" t="s">
        <v>36</v>
      </c>
      <c r="J5498" s="1">
        <v>45495</v>
      </c>
      <c r="K5498" t="b">
        <v>1</v>
      </c>
    </row>
    <row r="5499" spans="1:11" x14ac:dyDescent="0.25">
      <c r="A5499" t="s">
        <v>4461</v>
      </c>
      <c r="B5499" t="s">
        <v>51</v>
      </c>
      <c r="C5499" t="s">
        <v>23</v>
      </c>
      <c r="D5499" t="s">
        <v>352</v>
      </c>
      <c r="E5499" s="2">
        <v>29</v>
      </c>
      <c r="F5499" s="4">
        <v>2</v>
      </c>
      <c r="G5499" s="2">
        <v>58</v>
      </c>
      <c r="H5499" t="s">
        <v>45</v>
      </c>
      <c r="I5499" t="s">
        <v>16</v>
      </c>
      <c r="J5499" s="1">
        <v>44885</v>
      </c>
      <c r="K5499" t="b">
        <v>1</v>
      </c>
    </row>
    <row r="5500" spans="1:11" x14ac:dyDescent="0.25">
      <c r="A5500" t="s">
        <v>2469</v>
      </c>
      <c r="B5500" t="s">
        <v>104</v>
      </c>
      <c r="C5500" t="s">
        <v>31</v>
      </c>
      <c r="D5500" t="s">
        <v>372</v>
      </c>
      <c r="E5500" s="2">
        <v>29</v>
      </c>
      <c r="F5500" s="4">
        <v>2</v>
      </c>
      <c r="G5500" s="2">
        <v>58</v>
      </c>
      <c r="H5500" t="s">
        <v>15</v>
      </c>
      <c r="I5500" t="s">
        <v>36</v>
      </c>
      <c r="J5500" s="1">
        <v>44919</v>
      </c>
      <c r="K5500" t="b">
        <v>1</v>
      </c>
    </row>
    <row r="5501" spans="1:11" x14ac:dyDescent="0.25">
      <c r="A5501" t="s">
        <v>7039</v>
      </c>
      <c r="B5501" t="s">
        <v>61</v>
      </c>
      <c r="C5501" t="s">
        <v>13</v>
      </c>
      <c r="D5501" t="s">
        <v>55</v>
      </c>
      <c r="E5501" s="2">
        <v>29</v>
      </c>
      <c r="F5501" s="4">
        <v>2</v>
      </c>
      <c r="G5501" s="2">
        <v>58</v>
      </c>
      <c r="H5501" t="s">
        <v>15</v>
      </c>
      <c r="I5501" t="s">
        <v>36</v>
      </c>
      <c r="J5501" s="1">
        <v>44881</v>
      </c>
      <c r="K5501" t="b">
        <v>1</v>
      </c>
    </row>
    <row r="5502" spans="1:11" x14ac:dyDescent="0.25">
      <c r="A5502" t="s">
        <v>1282</v>
      </c>
      <c r="B5502" t="s">
        <v>18</v>
      </c>
      <c r="C5502" t="s">
        <v>110</v>
      </c>
      <c r="D5502" t="s">
        <v>386</v>
      </c>
      <c r="E5502" s="2">
        <v>29</v>
      </c>
      <c r="F5502" s="4">
        <v>2</v>
      </c>
      <c r="G5502" s="2">
        <v>58</v>
      </c>
      <c r="H5502" t="s">
        <v>45</v>
      </c>
      <c r="I5502" t="s">
        <v>16</v>
      </c>
      <c r="J5502" s="1">
        <v>45251</v>
      </c>
      <c r="K5502" t="b">
        <v>1</v>
      </c>
    </row>
    <row r="5503" spans="1:11" x14ac:dyDescent="0.25">
      <c r="A5503" t="s">
        <v>3277</v>
      </c>
      <c r="B5503" t="s">
        <v>58</v>
      </c>
      <c r="C5503" t="s">
        <v>13</v>
      </c>
      <c r="D5503" t="s">
        <v>55</v>
      </c>
      <c r="E5503" s="2">
        <v>29</v>
      </c>
      <c r="F5503" s="4">
        <v>2</v>
      </c>
      <c r="G5503" s="2">
        <v>58</v>
      </c>
      <c r="H5503" t="s">
        <v>15</v>
      </c>
      <c r="I5503" t="s">
        <v>36</v>
      </c>
      <c r="J5503" s="1">
        <v>45646</v>
      </c>
      <c r="K5503" t="b">
        <v>0</v>
      </c>
    </row>
    <row r="5504" spans="1:11" x14ac:dyDescent="0.25">
      <c r="A5504" t="s">
        <v>3469</v>
      </c>
      <c r="B5504" t="s">
        <v>104</v>
      </c>
      <c r="C5504" t="s">
        <v>23</v>
      </c>
      <c r="D5504" t="s">
        <v>352</v>
      </c>
      <c r="E5504" s="2">
        <v>29</v>
      </c>
      <c r="F5504" s="4">
        <v>2</v>
      </c>
      <c r="G5504" s="2">
        <v>58</v>
      </c>
      <c r="H5504" t="s">
        <v>25</v>
      </c>
      <c r="I5504" t="s">
        <v>36</v>
      </c>
      <c r="J5504" s="1">
        <v>45575</v>
      </c>
      <c r="K5504" t="b">
        <v>0</v>
      </c>
    </row>
    <row r="5505" spans="1:11" x14ac:dyDescent="0.25">
      <c r="A5505" t="s">
        <v>6171</v>
      </c>
      <c r="B5505" t="s">
        <v>85</v>
      </c>
      <c r="C5505" t="s">
        <v>31</v>
      </c>
      <c r="D5505" t="s">
        <v>372</v>
      </c>
      <c r="E5505" s="2">
        <v>29</v>
      </c>
      <c r="F5505" s="4">
        <v>2</v>
      </c>
      <c r="G5505" s="2">
        <v>58</v>
      </c>
      <c r="H5505" t="s">
        <v>15</v>
      </c>
      <c r="I5505" t="s">
        <v>16</v>
      </c>
      <c r="J5505" s="1">
        <v>45167</v>
      </c>
      <c r="K5505" t="b">
        <v>0</v>
      </c>
    </row>
    <row r="5506" spans="1:11" x14ac:dyDescent="0.25">
      <c r="A5506" t="s">
        <v>7687</v>
      </c>
      <c r="B5506" t="s">
        <v>37</v>
      </c>
      <c r="C5506" t="s">
        <v>19</v>
      </c>
      <c r="D5506" t="s">
        <v>20</v>
      </c>
      <c r="E5506" s="2">
        <v>29</v>
      </c>
      <c r="F5506" s="4">
        <v>2</v>
      </c>
      <c r="G5506" s="2">
        <v>58</v>
      </c>
      <c r="H5506" t="s">
        <v>45</v>
      </c>
      <c r="I5506" t="s">
        <v>16</v>
      </c>
      <c r="J5506" s="1">
        <v>45233</v>
      </c>
      <c r="K5506" t="b">
        <v>0</v>
      </c>
    </row>
    <row r="5507" spans="1:11" x14ac:dyDescent="0.25">
      <c r="A5507" t="s">
        <v>559</v>
      </c>
      <c r="B5507" t="s">
        <v>30</v>
      </c>
      <c r="C5507" t="s">
        <v>38</v>
      </c>
      <c r="D5507" t="s">
        <v>267</v>
      </c>
      <c r="E5507" s="2">
        <v>29</v>
      </c>
      <c r="F5507" s="4">
        <v>2</v>
      </c>
      <c r="G5507" s="2">
        <v>58</v>
      </c>
      <c r="H5507" t="s">
        <v>45</v>
      </c>
      <c r="I5507" t="s">
        <v>16</v>
      </c>
      <c r="J5507" s="1">
        <v>44938</v>
      </c>
      <c r="K5507" t="b">
        <v>0</v>
      </c>
    </row>
    <row r="5508" spans="1:11" x14ac:dyDescent="0.25">
      <c r="A5508" t="s">
        <v>6700</v>
      </c>
      <c r="B5508" t="s">
        <v>26</v>
      </c>
      <c r="C5508" t="s">
        <v>59</v>
      </c>
      <c r="D5508" t="s">
        <v>64</v>
      </c>
      <c r="E5508" s="2">
        <v>9.5</v>
      </c>
      <c r="F5508" s="4">
        <v>6</v>
      </c>
      <c r="G5508" s="2">
        <v>57</v>
      </c>
      <c r="H5508" t="s">
        <v>45</v>
      </c>
      <c r="I5508" t="s">
        <v>16</v>
      </c>
      <c r="J5508" s="1">
        <v>44786</v>
      </c>
      <c r="K5508" t="b">
        <v>1</v>
      </c>
    </row>
    <row r="5509" spans="1:11" x14ac:dyDescent="0.25">
      <c r="A5509" t="s">
        <v>635</v>
      </c>
      <c r="B5509" t="s">
        <v>100</v>
      </c>
      <c r="C5509" t="s">
        <v>27</v>
      </c>
      <c r="D5509" t="s">
        <v>147</v>
      </c>
      <c r="E5509" s="2">
        <v>9.5</v>
      </c>
      <c r="F5509" s="4">
        <v>6</v>
      </c>
      <c r="G5509" s="2">
        <v>57</v>
      </c>
      <c r="H5509" t="s">
        <v>25</v>
      </c>
      <c r="I5509" t="s">
        <v>36</v>
      </c>
      <c r="J5509" s="1">
        <v>44901</v>
      </c>
      <c r="K5509" t="b">
        <v>1</v>
      </c>
    </row>
    <row r="5510" spans="1:11" x14ac:dyDescent="0.25">
      <c r="A5510" t="s">
        <v>6752</v>
      </c>
      <c r="B5510" t="s">
        <v>34</v>
      </c>
      <c r="C5510" t="s">
        <v>27</v>
      </c>
      <c r="D5510" t="s">
        <v>147</v>
      </c>
      <c r="E5510" s="2">
        <v>9.5</v>
      </c>
      <c r="F5510" s="4">
        <v>6</v>
      </c>
      <c r="G5510" s="2">
        <v>57</v>
      </c>
      <c r="H5510" t="s">
        <v>45</v>
      </c>
      <c r="I5510" t="s">
        <v>16</v>
      </c>
      <c r="J5510" s="1">
        <v>44992</v>
      </c>
      <c r="K5510" t="b">
        <v>1</v>
      </c>
    </row>
    <row r="5511" spans="1:11" x14ac:dyDescent="0.25">
      <c r="A5511" t="s">
        <v>6986</v>
      </c>
      <c r="B5511" t="s">
        <v>30</v>
      </c>
      <c r="C5511" t="s">
        <v>27</v>
      </c>
      <c r="D5511" t="s">
        <v>147</v>
      </c>
      <c r="E5511" s="2">
        <v>9.5</v>
      </c>
      <c r="F5511" s="4">
        <v>6</v>
      </c>
      <c r="G5511" s="2">
        <v>57</v>
      </c>
      <c r="H5511" t="s">
        <v>15</v>
      </c>
      <c r="I5511" t="s">
        <v>16</v>
      </c>
      <c r="J5511" s="1">
        <v>44671</v>
      </c>
      <c r="K5511" t="b">
        <v>0</v>
      </c>
    </row>
    <row r="5512" spans="1:11" x14ac:dyDescent="0.25">
      <c r="A5512" t="s">
        <v>980</v>
      </c>
      <c r="B5512" t="s">
        <v>86</v>
      </c>
      <c r="C5512" t="s">
        <v>31</v>
      </c>
      <c r="D5512" t="s">
        <v>168</v>
      </c>
      <c r="E5512" s="2">
        <v>9.5</v>
      </c>
      <c r="F5512" s="4">
        <v>6</v>
      </c>
      <c r="G5512" s="2">
        <v>57</v>
      </c>
      <c r="H5512" t="s">
        <v>45</v>
      </c>
      <c r="I5512" t="s">
        <v>36</v>
      </c>
      <c r="J5512" s="1">
        <v>44921</v>
      </c>
      <c r="K5512" t="b">
        <v>1</v>
      </c>
    </row>
    <row r="5513" spans="1:11" x14ac:dyDescent="0.25">
      <c r="A5513" t="s">
        <v>5235</v>
      </c>
      <c r="B5513" t="s">
        <v>86</v>
      </c>
      <c r="C5513" t="s">
        <v>23</v>
      </c>
      <c r="D5513" t="s">
        <v>810</v>
      </c>
      <c r="E5513" s="2">
        <v>9.5</v>
      </c>
      <c r="F5513" s="4">
        <v>6</v>
      </c>
      <c r="G5513" s="2">
        <v>57</v>
      </c>
      <c r="H5513" t="s">
        <v>25</v>
      </c>
      <c r="I5513" t="s">
        <v>16</v>
      </c>
      <c r="J5513" s="1">
        <v>44958</v>
      </c>
      <c r="K5513" t="b">
        <v>1</v>
      </c>
    </row>
    <row r="5514" spans="1:11" x14ac:dyDescent="0.25">
      <c r="A5514" t="s">
        <v>1417</v>
      </c>
      <c r="B5514" t="s">
        <v>86</v>
      </c>
      <c r="C5514" t="s">
        <v>19</v>
      </c>
      <c r="D5514" t="s">
        <v>174</v>
      </c>
      <c r="E5514" s="2">
        <v>9.5</v>
      </c>
      <c r="F5514" s="4">
        <v>6</v>
      </c>
      <c r="G5514" s="2">
        <v>57</v>
      </c>
      <c r="H5514" t="s">
        <v>15</v>
      </c>
      <c r="I5514" t="s">
        <v>36</v>
      </c>
      <c r="J5514" s="1">
        <v>45156</v>
      </c>
      <c r="K5514" t="b">
        <v>0</v>
      </c>
    </row>
    <row r="5515" spans="1:11" x14ac:dyDescent="0.25">
      <c r="A5515" t="s">
        <v>1927</v>
      </c>
      <c r="B5515" t="s">
        <v>63</v>
      </c>
      <c r="C5515" t="s">
        <v>110</v>
      </c>
      <c r="D5515" t="s">
        <v>304</v>
      </c>
      <c r="E5515" s="2">
        <v>9.5</v>
      </c>
      <c r="F5515" s="4">
        <v>6</v>
      </c>
      <c r="G5515" s="2">
        <v>57</v>
      </c>
      <c r="H5515" t="s">
        <v>25</v>
      </c>
      <c r="I5515" t="s">
        <v>36</v>
      </c>
      <c r="J5515" s="1">
        <v>45583</v>
      </c>
      <c r="K5515" t="b">
        <v>1</v>
      </c>
    </row>
    <row r="5516" spans="1:11" x14ac:dyDescent="0.25">
      <c r="A5516" t="s">
        <v>4916</v>
      </c>
      <c r="B5516" t="s">
        <v>77</v>
      </c>
      <c r="C5516" t="s">
        <v>59</v>
      </c>
      <c r="D5516" t="s">
        <v>64</v>
      </c>
      <c r="E5516" s="2">
        <v>9.5</v>
      </c>
      <c r="F5516" s="4">
        <v>6</v>
      </c>
      <c r="G5516" s="2">
        <v>57</v>
      </c>
      <c r="H5516" t="s">
        <v>15</v>
      </c>
      <c r="I5516" t="s">
        <v>36</v>
      </c>
      <c r="J5516" s="1">
        <v>45443</v>
      </c>
      <c r="K5516" t="b">
        <v>1</v>
      </c>
    </row>
    <row r="5517" spans="1:11" x14ac:dyDescent="0.25">
      <c r="A5517" t="s">
        <v>3207</v>
      </c>
      <c r="B5517" t="s">
        <v>26</v>
      </c>
      <c r="C5517" t="s">
        <v>31</v>
      </c>
      <c r="D5517" t="s">
        <v>168</v>
      </c>
      <c r="E5517" s="2">
        <v>9.5</v>
      </c>
      <c r="F5517" s="4">
        <v>6</v>
      </c>
      <c r="G5517" s="2">
        <v>57</v>
      </c>
      <c r="H5517" t="s">
        <v>45</v>
      </c>
      <c r="I5517" t="s">
        <v>36</v>
      </c>
      <c r="J5517" s="1">
        <v>45134</v>
      </c>
      <c r="K5517" t="b">
        <v>0</v>
      </c>
    </row>
    <row r="5518" spans="1:11" x14ac:dyDescent="0.25">
      <c r="A5518" t="s">
        <v>5941</v>
      </c>
      <c r="B5518" t="s">
        <v>34</v>
      </c>
      <c r="C5518" t="s">
        <v>31</v>
      </c>
      <c r="D5518" t="s">
        <v>168</v>
      </c>
      <c r="E5518" s="2">
        <v>9.5</v>
      </c>
      <c r="F5518" s="4">
        <v>6</v>
      </c>
      <c r="G5518" s="2">
        <v>57</v>
      </c>
      <c r="H5518" t="s">
        <v>15</v>
      </c>
      <c r="I5518" t="s">
        <v>16</v>
      </c>
      <c r="J5518" s="1">
        <v>44616</v>
      </c>
      <c r="K5518" t="b">
        <v>1</v>
      </c>
    </row>
    <row r="5519" spans="1:11" x14ac:dyDescent="0.25">
      <c r="A5519" t="s">
        <v>4009</v>
      </c>
      <c r="B5519" t="s">
        <v>69</v>
      </c>
      <c r="C5519" t="s">
        <v>38</v>
      </c>
      <c r="D5519" t="s">
        <v>414</v>
      </c>
      <c r="E5519" s="2">
        <v>9.5</v>
      </c>
      <c r="F5519" s="4">
        <v>6</v>
      </c>
      <c r="G5519" s="2">
        <v>57</v>
      </c>
      <c r="H5519" t="s">
        <v>15</v>
      </c>
      <c r="I5519" t="s">
        <v>36</v>
      </c>
      <c r="J5519" s="1">
        <v>44985</v>
      </c>
      <c r="K5519" t="b">
        <v>0</v>
      </c>
    </row>
    <row r="5520" spans="1:11" x14ac:dyDescent="0.25">
      <c r="A5520" t="s">
        <v>4295</v>
      </c>
      <c r="B5520" t="s">
        <v>72</v>
      </c>
      <c r="C5520" t="s">
        <v>27</v>
      </c>
      <c r="D5520" t="s">
        <v>147</v>
      </c>
      <c r="E5520" s="2">
        <v>9.5</v>
      </c>
      <c r="F5520" s="4">
        <v>6</v>
      </c>
      <c r="G5520" s="2">
        <v>57</v>
      </c>
      <c r="H5520" t="s">
        <v>25</v>
      </c>
      <c r="I5520" t="s">
        <v>16</v>
      </c>
      <c r="J5520" s="1">
        <v>45633</v>
      </c>
      <c r="K5520" t="b">
        <v>0</v>
      </c>
    </row>
    <row r="5521" spans="1:11" x14ac:dyDescent="0.25">
      <c r="A5521" t="s">
        <v>5675</v>
      </c>
      <c r="B5521" t="s">
        <v>34</v>
      </c>
      <c r="C5521" t="s">
        <v>23</v>
      </c>
      <c r="D5521" t="s">
        <v>810</v>
      </c>
      <c r="E5521" s="2">
        <v>9.5</v>
      </c>
      <c r="F5521" s="4">
        <v>6</v>
      </c>
      <c r="G5521" s="2">
        <v>57</v>
      </c>
      <c r="H5521" t="s">
        <v>25</v>
      </c>
      <c r="I5521" t="s">
        <v>36</v>
      </c>
      <c r="J5521" s="1">
        <v>45179</v>
      </c>
      <c r="K5521" t="b">
        <v>0</v>
      </c>
    </row>
    <row r="5522" spans="1:11" x14ac:dyDescent="0.25">
      <c r="A5522" t="s">
        <v>2323</v>
      </c>
      <c r="B5522" t="s">
        <v>22</v>
      </c>
      <c r="C5522" t="s">
        <v>31</v>
      </c>
      <c r="D5522" t="s">
        <v>168</v>
      </c>
      <c r="E5522" s="2">
        <v>9.5</v>
      </c>
      <c r="F5522" s="4">
        <v>6</v>
      </c>
      <c r="G5522" s="2">
        <v>57</v>
      </c>
      <c r="H5522" t="s">
        <v>45</v>
      </c>
      <c r="I5522" t="s">
        <v>16</v>
      </c>
      <c r="J5522" s="1">
        <v>44699</v>
      </c>
      <c r="K5522" t="b">
        <v>1</v>
      </c>
    </row>
    <row r="5523" spans="1:11" x14ac:dyDescent="0.25">
      <c r="A5523" t="s">
        <v>1203</v>
      </c>
      <c r="B5523" t="s">
        <v>22</v>
      </c>
      <c r="C5523" t="s">
        <v>59</v>
      </c>
      <c r="D5523" t="s">
        <v>64</v>
      </c>
      <c r="E5523" s="2">
        <v>9.5</v>
      </c>
      <c r="F5523" s="4">
        <v>6</v>
      </c>
      <c r="G5523" s="2">
        <v>57</v>
      </c>
      <c r="H5523" t="s">
        <v>45</v>
      </c>
      <c r="I5523" t="s">
        <v>36</v>
      </c>
      <c r="J5523" s="1">
        <v>45418</v>
      </c>
      <c r="K5523" t="b">
        <v>0</v>
      </c>
    </row>
    <row r="5524" spans="1:11" x14ac:dyDescent="0.25">
      <c r="A5524" t="s">
        <v>6080</v>
      </c>
      <c r="B5524" t="s">
        <v>37</v>
      </c>
      <c r="C5524" t="s">
        <v>13</v>
      </c>
      <c r="D5524" t="s">
        <v>171</v>
      </c>
      <c r="E5524" s="2">
        <v>9.5</v>
      </c>
      <c r="F5524" s="4">
        <v>6</v>
      </c>
      <c r="G5524" s="2">
        <v>57</v>
      </c>
      <c r="H5524" t="s">
        <v>15</v>
      </c>
      <c r="I5524" t="s">
        <v>36</v>
      </c>
      <c r="J5524" s="1">
        <v>44900</v>
      </c>
      <c r="K5524" t="b">
        <v>1</v>
      </c>
    </row>
    <row r="5525" spans="1:11" x14ac:dyDescent="0.25">
      <c r="A5525" t="s">
        <v>6109</v>
      </c>
      <c r="B5525" t="s">
        <v>12</v>
      </c>
      <c r="C5525" t="s">
        <v>38</v>
      </c>
      <c r="D5525" t="s">
        <v>414</v>
      </c>
      <c r="E5525" s="2">
        <v>9.5</v>
      </c>
      <c r="F5525" s="4">
        <v>6</v>
      </c>
      <c r="G5525" s="2">
        <v>57</v>
      </c>
      <c r="H5525" t="s">
        <v>25</v>
      </c>
      <c r="I5525" t="s">
        <v>36</v>
      </c>
      <c r="J5525" s="1">
        <v>45055</v>
      </c>
      <c r="K5525" t="b">
        <v>0</v>
      </c>
    </row>
    <row r="5526" spans="1:11" x14ac:dyDescent="0.25">
      <c r="A5526" t="s">
        <v>3457</v>
      </c>
      <c r="B5526" t="s">
        <v>30</v>
      </c>
      <c r="C5526" t="s">
        <v>31</v>
      </c>
      <c r="D5526" t="s">
        <v>168</v>
      </c>
      <c r="E5526" s="2">
        <v>9.5</v>
      </c>
      <c r="F5526" s="4">
        <v>6</v>
      </c>
      <c r="G5526" s="2">
        <v>57</v>
      </c>
      <c r="H5526" t="s">
        <v>15</v>
      </c>
      <c r="I5526" t="s">
        <v>36</v>
      </c>
      <c r="J5526" s="1">
        <v>44681</v>
      </c>
      <c r="K5526" t="b">
        <v>0</v>
      </c>
    </row>
    <row r="5527" spans="1:11" x14ac:dyDescent="0.25">
      <c r="A5527" t="s">
        <v>3163</v>
      </c>
      <c r="B5527" t="s">
        <v>34</v>
      </c>
      <c r="C5527" t="s">
        <v>27</v>
      </c>
      <c r="D5527" t="s">
        <v>147</v>
      </c>
      <c r="E5527" s="2">
        <v>9.5</v>
      </c>
      <c r="F5527" s="4">
        <v>6</v>
      </c>
      <c r="G5527" s="2">
        <v>57</v>
      </c>
      <c r="H5527" t="s">
        <v>45</v>
      </c>
      <c r="I5527" t="s">
        <v>36</v>
      </c>
      <c r="J5527" s="1">
        <v>45162</v>
      </c>
      <c r="K5527" t="b">
        <v>0</v>
      </c>
    </row>
    <row r="5528" spans="1:11" x14ac:dyDescent="0.25">
      <c r="A5528" t="s">
        <v>6993</v>
      </c>
      <c r="B5528" t="s">
        <v>22</v>
      </c>
      <c r="C5528" t="s">
        <v>23</v>
      </c>
      <c r="D5528" t="s">
        <v>810</v>
      </c>
      <c r="E5528" s="2">
        <v>9.5</v>
      </c>
      <c r="F5528" s="4">
        <v>6</v>
      </c>
      <c r="G5528" s="2">
        <v>57</v>
      </c>
      <c r="H5528" t="s">
        <v>15</v>
      </c>
      <c r="I5528" t="s">
        <v>36</v>
      </c>
      <c r="J5528" s="1">
        <v>44751</v>
      </c>
      <c r="K5528" t="b">
        <v>1</v>
      </c>
    </row>
    <row r="5529" spans="1:11" x14ac:dyDescent="0.25">
      <c r="A5529" t="s">
        <v>4240</v>
      </c>
      <c r="B5529" t="s">
        <v>37</v>
      </c>
      <c r="C5529" t="s">
        <v>13</v>
      </c>
      <c r="D5529" t="s">
        <v>171</v>
      </c>
      <c r="E5529" s="2">
        <v>9.5</v>
      </c>
      <c r="F5529" s="4">
        <v>6</v>
      </c>
      <c r="G5529" s="2">
        <v>57</v>
      </c>
      <c r="H5529" t="s">
        <v>45</v>
      </c>
      <c r="I5529" t="s">
        <v>16</v>
      </c>
      <c r="J5529" s="1">
        <v>45657</v>
      </c>
      <c r="K5529" t="b">
        <v>0</v>
      </c>
    </row>
    <row r="5530" spans="1:11" x14ac:dyDescent="0.25">
      <c r="A5530" t="s">
        <v>3901</v>
      </c>
      <c r="B5530" t="s">
        <v>72</v>
      </c>
      <c r="C5530" t="s">
        <v>13</v>
      </c>
      <c r="D5530" t="s">
        <v>171</v>
      </c>
      <c r="E5530" s="2">
        <v>9.5</v>
      </c>
      <c r="F5530" s="4">
        <v>6</v>
      </c>
      <c r="G5530" s="2">
        <v>57</v>
      </c>
      <c r="H5530" t="s">
        <v>25</v>
      </c>
      <c r="I5530" t="s">
        <v>36</v>
      </c>
      <c r="J5530" s="1">
        <v>44947</v>
      </c>
      <c r="K5530" t="b">
        <v>0</v>
      </c>
    </row>
    <row r="5531" spans="1:11" x14ac:dyDescent="0.25">
      <c r="A5531" t="s">
        <v>5851</v>
      </c>
      <c r="B5531" t="s">
        <v>56</v>
      </c>
      <c r="C5531" t="s">
        <v>13</v>
      </c>
      <c r="D5531" t="s">
        <v>171</v>
      </c>
      <c r="E5531" s="2">
        <v>9.5</v>
      </c>
      <c r="F5531" s="4">
        <v>6</v>
      </c>
      <c r="G5531" s="2">
        <v>57</v>
      </c>
      <c r="H5531" t="s">
        <v>15</v>
      </c>
      <c r="I5531" t="s">
        <v>16</v>
      </c>
      <c r="J5531" s="1">
        <v>45535</v>
      </c>
      <c r="K5531" t="b">
        <v>1</v>
      </c>
    </row>
    <row r="5532" spans="1:11" x14ac:dyDescent="0.25">
      <c r="A5532" t="s">
        <v>2112</v>
      </c>
      <c r="B5532" t="s">
        <v>93</v>
      </c>
      <c r="C5532" t="s">
        <v>19</v>
      </c>
      <c r="D5532" t="s">
        <v>174</v>
      </c>
      <c r="E5532" s="2">
        <v>9.5</v>
      </c>
      <c r="F5532" s="4">
        <v>6</v>
      </c>
      <c r="G5532" s="2">
        <v>57</v>
      </c>
      <c r="H5532" t="s">
        <v>15</v>
      </c>
      <c r="I5532" t="s">
        <v>16</v>
      </c>
      <c r="J5532" s="1">
        <v>44599</v>
      </c>
      <c r="K5532" t="b">
        <v>0</v>
      </c>
    </row>
    <row r="5533" spans="1:11" x14ac:dyDescent="0.25">
      <c r="A5533" t="s">
        <v>5471</v>
      </c>
      <c r="B5533" t="s">
        <v>72</v>
      </c>
      <c r="C5533" t="s">
        <v>31</v>
      </c>
      <c r="D5533" t="s">
        <v>168</v>
      </c>
      <c r="E5533" s="2">
        <v>9.5</v>
      </c>
      <c r="F5533" s="4">
        <v>6</v>
      </c>
      <c r="G5533" s="2">
        <v>57</v>
      </c>
      <c r="H5533" t="s">
        <v>15</v>
      </c>
      <c r="I5533" t="s">
        <v>36</v>
      </c>
      <c r="J5533" s="1">
        <v>44593</v>
      </c>
      <c r="K5533" t="b">
        <v>1</v>
      </c>
    </row>
    <row r="5534" spans="1:11" x14ac:dyDescent="0.25">
      <c r="A5534" t="s">
        <v>6089</v>
      </c>
      <c r="B5534" t="s">
        <v>58</v>
      </c>
      <c r="C5534" t="s">
        <v>23</v>
      </c>
      <c r="D5534" t="s">
        <v>810</v>
      </c>
      <c r="E5534" s="2">
        <v>9.5</v>
      </c>
      <c r="F5534" s="4">
        <v>6</v>
      </c>
      <c r="G5534" s="2">
        <v>57</v>
      </c>
      <c r="H5534" t="s">
        <v>45</v>
      </c>
      <c r="I5534" t="s">
        <v>16</v>
      </c>
      <c r="J5534" s="1">
        <v>44850</v>
      </c>
      <c r="K5534" t="b">
        <v>0</v>
      </c>
    </row>
    <row r="5535" spans="1:11" x14ac:dyDescent="0.25">
      <c r="A5535" t="s">
        <v>2550</v>
      </c>
      <c r="B5535" t="s">
        <v>56</v>
      </c>
      <c r="C5535" t="s">
        <v>31</v>
      </c>
      <c r="D5535" t="s">
        <v>168</v>
      </c>
      <c r="E5535" s="2">
        <v>9.5</v>
      </c>
      <c r="F5535" s="4">
        <v>6</v>
      </c>
      <c r="G5535" s="2">
        <v>57</v>
      </c>
      <c r="H5535" t="s">
        <v>45</v>
      </c>
      <c r="I5535" t="s">
        <v>16</v>
      </c>
      <c r="J5535" s="1">
        <v>45064</v>
      </c>
      <c r="K5535" t="b">
        <v>1</v>
      </c>
    </row>
    <row r="5536" spans="1:11" x14ac:dyDescent="0.25">
      <c r="A5536" t="s">
        <v>6505</v>
      </c>
      <c r="B5536" t="s">
        <v>12</v>
      </c>
      <c r="C5536" t="s">
        <v>19</v>
      </c>
      <c r="D5536" t="s">
        <v>174</v>
      </c>
      <c r="E5536" s="2">
        <v>9.5</v>
      </c>
      <c r="F5536" s="4">
        <v>6</v>
      </c>
      <c r="G5536" s="2">
        <v>57</v>
      </c>
      <c r="H5536" t="s">
        <v>25</v>
      </c>
      <c r="I5536" t="s">
        <v>16</v>
      </c>
      <c r="J5536" s="1">
        <v>45179</v>
      </c>
      <c r="K5536" t="b">
        <v>0</v>
      </c>
    </row>
    <row r="5537" spans="1:11" x14ac:dyDescent="0.25">
      <c r="A5537" t="s">
        <v>2639</v>
      </c>
      <c r="B5537" t="s">
        <v>34</v>
      </c>
      <c r="C5537" t="s">
        <v>23</v>
      </c>
      <c r="D5537" t="s">
        <v>810</v>
      </c>
      <c r="E5537" s="2">
        <v>9.5</v>
      </c>
      <c r="F5537" s="4">
        <v>6</v>
      </c>
      <c r="G5537" s="2">
        <v>57</v>
      </c>
      <c r="H5537" t="s">
        <v>25</v>
      </c>
      <c r="I5537" t="s">
        <v>16</v>
      </c>
      <c r="J5537" s="1">
        <v>44879</v>
      </c>
      <c r="K5537" t="b">
        <v>1</v>
      </c>
    </row>
    <row r="5538" spans="1:11" x14ac:dyDescent="0.25">
      <c r="A5538" t="s">
        <v>1385</v>
      </c>
      <c r="B5538" t="s">
        <v>63</v>
      </c>
      <c r="C5538" t="s">
        <v>31</v>
      </c>
      <c r="D5538" t="s">
        <v>168</v>
      </c>
      <c r="E5538" s="2">
        <v>9.5</v>
      </c>
      <c r="F5538" s="4">
        <v>6</v>
      </c>
      <c r="G5538" s="2">
        <v>57</v>
      </c>
      <c r="H5538" t="s">
        <v>25</v>
      </c>
      <c r="I5538" t="s">
        <v>36</v>
      </c>
      <c r="J5538" s="1">
        <v>45100</v>
      </c>
      <c r="K5538" t="b">
        <v>0</v>
      </c>
    </row>
    <row r="5539" spans="1:11" x14ac:dyDescent="0.25">
      <c r="A5539" t="s">
        <v>2538</v>
      </c>
      <c r="B5539" t="s">
        <v>30</v>
      </c>
      <c r="C5539" t="s">
        <v>38</v>
      </c>
      <c r="D5539" t="s">
        <v>414</v>
      </c>
      <c r="E5539" s="2">
        <v>9.5</v>
      </c>
      <c r="F5539" s="4">
        <v>6</v>
      </c>
      <c r="G5539" s="2">
        <v>57</v>
      </c>
      <c r="H5539" t="s">
        <v>15</v>
      </c>
      <c r="I5539" t="s">
        <v>36</v>
      </c>
      <c r="J5539" s="1">
        <v>44635</v>
      </c>
      <c r="K5539" t="b">
        <v>0</v>
      </c>
    </row>
    <row r="5540" spans="1:11" x14ac:dyDescent="0.25">
      <c r="A5540" t="s">
        <v>2167</v>
      </c>
      <c r="B5540" t="s">
        <v>56</v>
      </c>
      <c r="C5540" t="s">
        <v>110</v>
      </c>
      <c r="D5540" t="s">
        <v>741</v>
      </c>
      <c r="E5540" s="2">
        <v>8</v>
      </c>
      <c r="F5540" s="4">
        <v>7</v>
      </c>
      <c r="G5540" s="2">
        <v>56</v>
      </c>
      <c r="H5540" t="s">
        <v>25</v>
      </c>
      <c r="I5540" t="s">
        <v>36</v>
      </c>
      <c r="J5540" s="1">
        <v>45424</v>
      </c>
      <c r="K5540" t="b">
        <v>1</v>
      </c>
    </row>
    <row r="5541" spans="1:11" x14ac:dyDescent="0.25">
      <c r="A5541" t="s">
        <v>6302</v>
      </c>
      <c r="B5541" t="s">
        <v>40</v>
      </c>
      <c r="C5541" t="s">
        <v>38</v>
      </c>
      <c r="D5541" t="s">
        <v>123</v>
      </c>
      <c r="E5541" s="2">
        <v>14</v>
      </c>
      <c r="F5541" s="4">
        <v>4</v>
      </c>
      <c r="G5541" s="2">
        <v>56</v>
      </c>
      <c r="H5541" t="s">
        <v>45</v>
      </c>
      <c r="I5541" t="s">
        <v>16</v>
      </c>
      <c r="J5541" s="1">
        <v>45190</v>
      </c>
      <c r="K5541" t="b">
        <v>1</v>
      </c>
    </row>
    <row r="5542" spans="1:11" x14ac:dyDescent="0.25">
      <c r="A5542" t="s">
        <v>6488</v>
      </c>
      <c r="B5542" t="s">
        <v>63</v>
      </c>
      <c r="C5542" t="s">
        <v>110</v>
      </c>
      <c r="D5542" t="s">
        <v>176</v>
      </c>
      <c r="E5542" s="2">
        <v>14</v>
      </c>
      <c r="F5542" s="4">
        <v>4</v>
      </c>
      <c r="G5542" s="2">
        <v>56</v>
      </c>
      <c r="H5542" t="s">
        <v>25</v>
      </c>
      <c r="I5542" t="s">
        <v>36</v>
      </c>
      <c r="J5542" s="1">
        <v>45471</v>
      </c>
      <c r="K5542" t="b">
        <v>0</v>
      </c>
    </row>
    <row r="5543" spans="1:11" x14ac:dyDescent="0.25">
      <c r="A5543" t="s">
        <v>2512</v>
      </c>
      <c r="B5543" t="s">
        <v>18</v>
      </c>
      <c r="C5543" t="s">
        <v>27</v>
      </c>
      <c r="D5543" t="s">
        <v>357</v>
      </c>
      <c r="E5543" s="2">
        <v>8</v>
      </c>
      <c r="F5543" s="4">
        <v>7</v>
      </c>
      <c r="G5543" s="2">
        <v>56</v>
      </c>
      <c r="H5543" t="s">
        <v>15</v>
      </c>
      <c r="I5543" t="s">
        <v>36</v>
      </c>
      <c r="J5543" s="1">
        <v>44653</v>
      </c>
      <c r="K5543" t="b">
        <v>0</v>
      </c>
    </row>
    <row r="5544" spans="1:11" x14ac:dyDescent="0.25">
      <c r="A5544" t="s">
        <v>3810</v>
      </c>
      <c r="B5544" t="s">
        <v>77</v>
      </c>
      <c r="C5544" t="s">
        <v>27</v>
      </c>
      <c r="D5544" t="s">
        <v>62</v>
      </c>
      <c r="E5544" s="2">
        <v>14</v>
      </c>
      <c r="F5544" s="4">
        <v>4</v>
      </c>
      <c r="G5544" s="2">
        <v>56</v>
      </c>
      <c r="H5544" t="s">
        <v>25</v>
      </c>
      <c r="I5544" t="s">
        <v>36</v>
      </c>
      <c r="J5544" s="1">
        <v>44771</v>
      </c>
      <c r="K5544" t="b">
        <v>1</v>
      </c>
    </row>
    <row r="5545" spans="1:11" x14ac:dyDescent="0.25">
      <c r="A5545" t="s">
        <v>4334</v>
      </c>
      <c r="B5545" t="s">
        <v>100</v>
      </c>
      <c r="C5545" t="s">
        <v>38</v>
      </c>
      <c r="D5545" t="s">
        <v>123</v>
      </c>
      <c r="E5545" s="2">
        <v>14</v>
      </c>
      <c r="F5545" s="4">
        <v>4</v>
      </c>
      <c r="G5545" s="2">
        <v>56</v>
      </c>
      <c r="H5545" t="s">
        <v>25</v>
      </c>
      <c r="I5545" t="s">
        <v>36</v>
      </c>
      <c r="J5545" s="1">
        <v>45532</v>
      </c>
      <c r="K5545" t="b">
        <v>0</v>
      </c>
    </row>
    <row r="5546" spans="1:11" x14ac:dyDescent="0.25">
      <c r="A5546" t="s">
        <v>1344</v>
      </c>
      <c r="B5546" t="s">
        <v>97</v>
      </c>
      <c r="C5546" t="s">
        <v>31</v>
      </c>
      <c r="D5546" t="s">
        <v>106</v>
      </c>
      <c r="E5546" s="2">
        <v>8</v>
      </c>
      <c r="F5546" s="4">
        <v>7</v>
      </c>
      <c r="G5546" s="2">
        <v>56</v>
      </c>
      <c r="H5546" t="s">
        <v>15</v>
      </c>
      <c r="I5546" t="s">
        <v>16</v>
      </c>
      <c r="J5546" s="1">
        <v>44882</v>
      </c>
      <c r="K5546" t="b">
        <v>0</v>
      </c>
    </row>
    <row r="5547" spans="1:11" x14ac:dyDescent="0.25">
      <c r="A5547" t="s">
        <v>3663</v>
      </c>
      <c r="B5547" t="s">
        <v>37</v>
      </c>
      <c r="C5547" t="s">
        <v>110</v>
      </c>
      <c r="D5547" t="s">
        <v>741</v>
      </c>
      <c r="E5547" s="2">
        <v>8</v>
      </c>
      <c r="F5547" s="4">
        <v>7</v>
      </c>
      <c r="G5547" s="2">
        <v>56</v>
      </c>
      <c r="H5547" t="s">
        <v>25</v>
      </c>
      <c r="I5547" t="s">
        <v>16</v>
      </c>
      <c r="J5547" s="1">
        <v>45490</v>
      </c>
      <c r="K5547" t="b">
        <v>1</v>
      </c>
    </row>
    <row r="5548" spans="1:11" x14ac:dyDescent="0.25">
      <c r="A5548" t="s">
        <v>4718</v>
      </c>
      <c r="B5548" t="s">
        <v>12</v>
      </c>
      <c r="C5548" t="s">
        <v>19</v>
      </c>
      <c r="D5548" t="s">
        <v>756</v>
      </c>
      <c r="E5548" s="2">
        <v>14</v>
      </c>
      <c r="F5548" s="4">
        <v>4</v>
      </c>
      <c r="G5548" s="2">
        <v>56</v>
      </c>
      <c r="H5548" t="s">
        <v>25</v>
      </c>
      <c r="I5548" t="s">
        <v>36</v>
      </c>
      <c r="J5548" s="1">
        <v>45547</v>
      </c>
      <c r="K5548" t="b">
        <v>0</v>
      </c>
    </row>
    <row r="5549" spans="1:11" x14ac:dyDescent="0.25">
      <c r="A5549" t="s">
        <v>2876</v>
      </c>
      <c r="B5549" t="s">
        <v>63</v>
      </c>
      <c r="C5549" t="s">
        <v>27</v>
      </c>
      <c r="D5549" t="s">
        <v>357</v>
      </c>
      <c r="E5549" s="2">
        <v>8</v>
      </c>
      <c r="F5549" s="4">
        <v>7</v>
      </c>
      <c r="G5549" s="2">
        <v>56</v>
      </c>
      <c r="H5549" t="s">
        <v>45</v>
      </c>
      <c r="I5549" t="s">
        <v>16</v>
      </c>
      <c r="J5549" s="1">
        <v>45616</v>
      </c>
      <c r="K5549" t="b">
        <v>0</v>
      </c>
    </row>
    <row r="5550" spans="1:11" x14ac:dyDescent="0.25">
      <c r="A5550" t="s">
        <v>1405</v>
      </c>
      <c r="B5550" t="s">
        <v>77</v>
      </c>
      <c r="C5550" t="s">
        <v>27</v>
      </c>
      <c r="D5550" t="s">
        <v>62</v>
      </c>
      <c r="E5550" s="2">
        <v>14</v>
      </c>
      <c r="F5550" s="4">
        <v>4</v>
      </c>
      <c r="G5550" s="2">
        <v>56</v>
      </c>
      <c r="H5550" t="s">
        <v>25</v>
      </c>
      <c r="I5550" t="s">
        <v>16</v>
      </c>
      <c r="J5550" s="1">
        <v>45014</v>
      </c>
      <c r="K5550" t="b">
        <v>0</v>
      </c>
    </row>
    <row r="5551" spans="1:11" x14ac:dyDescent="0.25">
      <c r="A5551" t="s">
        <v>6871</v>
      </c>
      <c r="B5551" t="s">
        <v>12</v>
      </c>
      <c r="C5551" t="s">
        <v>13</v>
      </c>
      <c r="D5551" t="s">
        <v>969</v>
      </c>
      <c r="E5551" s="2">
        <v>8</v>
      </c>
      <c r="F5551" s="4">
        <v>7</v>
      </c>
      <c r="G5551" s="2">
        <v>56</v>
      </c>
      <c r="H5551" t="s">
        <v>45</v>
      </c>
      <c r="I5551" t="s">
        <v>36</v>
      </c>
      <c r="J5551" s="1">
        <v>44788</v>
      </c>
      <c r="K5551" t="b">
        <v>0</v>
      </c>
    </row>
    <row r="5552" spans="1:11" x14ac:dyDescent="0.25">
      <c r="A5552" t="s">
        <v>6847</v>
      </c>
      <c r="B5552" t="s">
        <v>40</v>
      </c>
      <c r="C5552" t="s">
        <v>19</v>
      </c>
      <c r="D5552" t="s">
        <v>226</v>
      </c>
      <c r="E5552" s="2">
        <v>8</v>
      </c>
      <c r="F5552" s="4">
        <v>7</v>
      </c>
      <c r="G5552" s="2">
        <v>56</v>
      </c>
      <c r="H5552" t="s">
        <v>45</v>
      </c>
      <c r="I5552" t="s">
        <v>16</v>
      </c>
      <c r="J5552" s="1">
        <v>45560</v>
      </c>
      <c r="K5552" t="b">
        <v>0</v>
      </c>
    </row>
    <row r="5553" spans="1:11" x14ac:dyDescent="0.25">
      <c r="A5553" t="s">
        <v>2020</v>
      </c>
      <c r="B5553" t="s">
        <v>40</v>
      </c>
      <c r="C5553" t="s">
        <v>19</v>
      </c>
      <c r="D5553" t="s">
        <v>756</v>
      </c>
      <c r="E5553" s="2">
        <v>14</v>
      </c>
      <c r="F5553" s="4">
        <v>4</v>
      </c>
      <c r="G5553" s="2">
        <v>56</v>
      </c>
      <c r="H5553" t="s">
        <v>45</v>
      </c>
      <c r="I5553" t="s">
        <v>36</v>
      </c>
      <c r="J5553" s="1">
        <v>45234</v>
      </c>
      <c r="K5553" t="b">
        <v>0</v>
      </c>
    </row>
    <row r="5554" spans="1:11" x14ac:dyDescent="0.25">
      <c r="A5554" t="s">
        <v>1052</v>
      </c>
      <c r="B5554" t="s">
        <v>40</v>
      </c>
      <c r="C5554" t="s">
        <v>19</v>
      </c>
      <c r="D5554" t="s">
        <v>226</v>
      </c>
      <c r="E5554" s="2">
        <v>8</v>
      </c>
      <c r="F5554" s="4">
        <v>7</v>
      </c>
      <c r="G5554" s="2">
        <v>56</v>
      </c>
      <c r="H5554" t="s">
        <v>25</v>
      </c>
      <c r="I5554" t="s">
        <v>36</v>
      </c>
      <c r="J5554" s="1">
        <v>45269</v>
      </c>
      <c r="K5554" t="b">
        <v>0</v>
      </c>
    </row>
    <row r="5555" spans="1:11" x14ac:dyDescent="0.25">
      <c r="A5555" t="s">
        <v>5266</v>
      </c>
      <c r="B5555" t="s">
        <v>100</v>
      </c>
      <c r="C5555" t="s">
        <v>23</v>
      </c>
      <c r="D5555" t="s">
        <v>47</v>
      </c>
      <c r="E5555" s="2">
        <v>8</v>
      </c>
      <c r="F5555" s="4">
        <v>7</v>
      </c>
      <c r="G5555" s="2">
        <v>56</v>
      </c>
      <c r="H5555" t="s">
        <v>45</v>
      </c>
      <c r="I5555" t="s">
        <v>36</v>
      </c>
      <c r="J5555" s="1">
        <v>44880</v>
      </c>
      <c r="K5555" t="b">
        <v>1</v>
      </c>
    </row>
    <row r="5556" spans="1:11" x14ac:dyDescent="0.25">
      <c r="A5556" t="s">
        <v>6714</v>
      </c>
      <c r="B5556" t="s">
        <v>72</v>
      </c>
      <c r="C5556" t="s">
        <v>31</v>
      </c>
      <c r="D5556" t="s">
        <v>106</v>
      </c>
      <c r="E5556" s="2">
        <v>8</v>
      </c>
      <c r="F5556" s="4">
        <v>7</v>
      </c>
      <c r="G5556" s="2">
        <v>56</v>
      </c>
      <c r="H5556" t="s">
        <v>15</v>
      </c>
      <c r="I5556" t="s">
        <v>36</v>
      </c>
      <c r="J5556" s="1">
        <v>45453</v>
      </c>
      <c r="K5556" t="b">
        <v>0</v>
      </c>
    </row>
    <row r="5557" spans="1:11" x14ac:dyDescent="0.25">
      <c r="A5557" t="s">
        <v>4869</v>
      </c>
      <c r="B5557" t="s">
        <v>22</v>
      </c>
      <c r="C5557" t="s">
        <v>19</v>
      </c>
      <c r="D5557" t="s">
        <v>756</v>
      </c>
      <c r="E5557" s="2">
        <v>14</v>
      </c>
      <c r="F5557" s="4">
        <v>4</v>
      </c>
      <c r="G5557" s="2">
        <v>56</v>
      </c>
      <c r="H5557" t="s">
        <v>45</v>
      </c>
      <c r="I5557" t="s">
        <v>36</v>
      </c>
      <c r="J5557" s="1">
        <v>45579</v>
      </c>
      <c r="K5557" t="b">
        <v>1</v>
      </c>
    </row>
    <row r="5558" spans="1:11" x14ac:dyDescent="0.25">
      <c r="A5558" t="s">
        <v>6410</v>
      </c>
      <c r="B5558" t="s">
        <v>72</v>
      </c>
      <c r="C5558" t="s">
        <v>27</v>
      </c>
      <c r="D5558" t="s">
        <v>62</v>
      </c>
      <c r="E5558" s="2">
        <v>14</v>
      </c>
      <c r="F5558" s="4">
        <v>4</v>
      </c>
      <c r="G5558" s="2">
        <v>56</v>
      </c>
      <c r="H5558" t="s">
        <v>15</v>
      </c>
      <c r="I5558" t="s">
        <v>36</v>
      </c>
      <c r="J5558" s="1">
        <v>45018</v>
      </c>
      <c r="K5558" t="b">
        <v>1</v>
      </c>
    </row>
    <row r="5559" spans="1:11" x14ac:dyDescent="0.25">
      <c r="A5559" t="s">
        <v>6029</v>
      </c>
      <c r="B5559" t="s">
        <v>142</v>
      </c>
      <c r="C5559" t="s">
        <v>31</v>
      </c>
      <c r="D5559" t="s">
        <v>106</v>
      </c>
      <c r="E5559" s="2">
        <v>8</v>
      </c>
      <c r="F5559" s="4">
        <v>7</v>
      </c>
      <c r="G5559" s="2">
        <v>56</v>
      </c>
      <c r="H5559" t="s">
        <v>25</v>
      </c>
      <c r="I5559" t="s">
        <v>36</v>
      </c>
      <c r="J5559" s="1">
        <v>45591</v>
      </c>
      <c r="K5559" t="b">
        <v>0</v>
      </c>
    </row>
    <row r="5560" spans="1:11" x14ac:dyDescent="0.25">
      <c r="A5560" t="s">
        <v>5638</v>
      </c>
      <c r="B5560" t="s">
        <v>37</v>
      </c>
      <c r="C5560" t="s">
        <v>31</v>
      </c>
      <c r="D5560" t="s">
        <v>106</v>
      </c>
      <c r="E5560" s="2">
        <v>8</v>
      </c>
      <c r="F5560" s="4">
        <v>7</v>
      </c>
      <c r="G5560" s="2">
        <v>56</v>
      </c>
      <c r="H5560" t="s">
        <v>25</v>
      </c>
      <c r="I5560" t="s">
        <v>16</v>
      </c>
      <c r="J5560" s="1">
        <v>45074</v>
      </c>
      <c r="K5560" t="b">
        <v>1</v>
      </c>
    </row>
    <row r="5561" spans="1:11" x14ac:dyDescent="0.25">
      <c r="A5561" t="s">
        <v>587</v>
      </c>
      <c r="B5561" t="s">
        <v>61</v>
      </c>
      <c r="C5561" t="s">
        <v>31</v>
      </c>
      <c r="D5561" t="s">
        <v>106</v>
      </c>
      <c r="E5561" s="2">
        <v>8</v>
      </c>
      <c r="F5561" s="4">
        <v>7</v>
      </c>
      <c r="G5561" s="2">
        <v>56</v>
      </c>
      <c r="H5561" t="s">
        <v>45</v>
      </c>
      <c r="I5561" t="s">
        <v>16</v>
      </c>
      <c r="J5561" s="1">
        <v>44834</v>
      </c>
      <c r="K5561" t="b">
        <v>0</v>
      </c>
    </row>
    <row r="5562" spans="1:11" x14ac:dyDescent="0.25">
      <c r="A5562" t="s">
        <v>5298</v>
      </c>
      <c r="B5562" t="s">
        <v>66</v>
      </c>
      <c r="C5562" t="s">
        <v>19</v>
      </c>
      <c r="D5562" t="s">
        <v>226</v>
      </c>
      <c r="E5562" s="2">
        <v>8</v>
      </c>
      <c r="F5562" s="4">
        <v>7</v>
      </c>
      <c r="G5562" s="2">
        <v>56</v>
      </c>
      <c r="H5562" t="s">
        <v>15</v>
      </c>
      <c r="I5562" t="s">
        <v>16</v>
      </c>
      <c r="J5562" s="1">
        <v>45580</v>
      </c>
      <c r="K5562" t="b">
        <v>1</v>
      </c>
    </row>
    <row r="5563" spans="1:11" x14ac:dyDescent="0.25">
      <c r="A5563" t="s">
        <v>1254</v>
      </c>
      <c r="B5563" t="s">
        <v>61</v>
      </c>
      <c r="C5563" t="s">
        <v>13</v>
      </c>
      <c r="D5563" t="s">
        <v>969</v>
      </c>
      <c r="E5563" s="2">
        <v>8</v>
      </c>
      <c r="F5563" s="4">
        <v>7</v>
      </c>
      <c r="G5563" s="2">
        <v>56</v>
      </c>
      <c r="H5563" t="s">
        <v>15</v>
      </c>
      <c r="I5563" t="s">
        <v>36</v>
      </c>
      <c r="J5563" s="1">
        <v>45536</v>
      </c>
      <c r="K5563" t="b">
        <v>1</v>
      </c>
    </row>
    <row r="5564" spans="1:11" x14ac:dyDescent="0.25">
      <c r="A5564" t="s">
        <v>4038</v>
      </c>
      <c r="B5564" t="s">
        <v>58</v>
      </c>
      <c r="C5564" t="s">
        <v>23</v>
      </c>
      <c r="D5564" t="s">
        <v>47</v>
      </c>
      <c r="E5564" s="2">
        <v>8</v>
      </c>
      <c r="F5564" s="4">
        <v>7</v>
      </c>
      <c r="G5564" s="2">
        <v>56</v>
      </c>
      <c r="H5564" t="s">
        <v>15</v>
      </c>
      <c r="I5564" t="s">
        <v>36</v>
      </c>
      <c r="J5564" s="1">
        <v>45361</v>
      </c>
      <c r="K5564" t="b">
        <v>0</v>
      </c>
    </row>
    <row r="5565" spans="1:11" x14ac:dyDescent="0.25">
      <c r="A5565" t="s">
        <v>991</v>
      </c>
      <c r="B5565" t="s">
        <v>66</v>
      </c>
      <c r="C5565" t="s">
        <v>38</v>
      </c>
      <c r="D5565" t="s">
        <v>123</v>
      </c>
      <c r="E5565" s="2">
        <v>14</v>
      </c>
      <c r="F5565" s="4">
        <v>4</v>
      </c>
      <c r="G5565" s="2">
        <v>56</v>
      </c>
      <c r="H5565" t="s">
        <v>25</v>
      </c>
      <c r="I5565" t="s">
        <v>16</v>
      </c>
      <c r="J5565" s="1">
        <v>44954</v>
      </c>
      <c r="K5565" t="b">
        <v>1</v>
      </c>
    </row>
    <row r="5566" spans="1:11" x14ac:dyDescent="0.25">
      <c r="A5566" t="s">
        <v>5912</v>
      </c>
      <c r="B5566" t="s">
        <v>26</v>
      </c>
      <c r="C5566" t="s">
        <v>38</v>
      </c>
      <c r="D5566" t="s">
        <v>123</v>
      </c>
      <c r="E5566" s="2">
        <v>14</v>
      </c>
      <c r="F5566" s="4">
        <v>4</v>
      </c>
      <c r="G5566" s="2">
        <v>56</v>
      </c>
      <c r="H5566" t="s">
        <v>25</v>
      </c>
      <c r="I5566" t="s">
        <v>36</v>
      </c>
      <c r="J5566" s="1">
        <v>45140</v>
      </c>
      <c r="K5566" t="b">
        <v>1</v>
      </c>
    </row>
    <row r="5567" spans="1:11" x14ac:dyDescent="0.25">
      <c r="A5567" t="s">
        <v>5415</v>
      </c>
      <c r="B5567" t="s">
        <v>22</v>
      </c>
      <c r="C5567" t="s">
        <v>19</v>
      </c>
      <c r="D5567" t="s">
        <v>756</v>
      </c>
      <c r="E5567" s="2">
        <v>14</v>
      </c>
      <c r="F5567" s="4">
        <v>4</v>
      </c>
      <c r="G5567" s="2">
        <v>56</v>
      </c>
      <c r="H5567" t="s">
        <v>45</v>
      </c>
      <c r="I5567" t="s">
        <v>16</v>
      </c>
      <c r="J5567" s="1">
        <v>45120</v>
      </c>
      <c r="K5567" t="b">
        <v>1</v>
      </c>
    </row>
    <row r="5568" spans="1:11" x14ac:dyDescent="0.25">
      <c r="A5568" t="s">
        <v>3359</v>
      </c>
      <c r="B5568" t="s">
        <v>104</v>
      </c>
      <c r="C5568" t="s">
        <v>13</v>
      </c>
      <c r="D5568" t="s">
        <v>151</v>
      </c>
      <c r="E5568" s="2">
        <v>14</v>
      </c>
      <c r="F5568" s="4">
        <v>4</v>
      </c>
      <c r="G5568" s="2">
        <v>56</v>
      </c>
      <c r="H5568" t="s">
        <v>45</v>
      </c>
      <c r="I5568" t="s">
        <v>36</v>
      </c>
      <c r="J5568" s="1">
        <v>44758</v>
      </c>
      <c r="K5568" t="b">
        <v>1</v>
      </c>
    </row>
    <row r="5569" spans="1:11" x14ac:dyDescent="0.25">
      <c r="A5569" t="s">
        <v>7283</v>
      </c>
      <c r="B5569" t="s">
        <v>93</v>
      </c>
      <c r="C5569" t="s">
        <v>13</v>
      </c>
      <c r="D5569" t="s">
        <v>151</v>
      </c>
      <c r="E5569" s="2">
        <v>14</v>
      </c>
      <c r="F5569" s="4">
        <v>4</v>
      </c>
      <c r="G5569" s="2">
        <v>56</v>
      </c>
      <c r="H5569" t="s">
        <v>45</v>
      </c>
      <c r="I5569" t="s">
        <v>36</v>
      </c>
      <c r="J5569" s="1">
        <v>45052</v>
      </c>
      <c r="K5569" t="b">
        <v>0</v>
      </c>
    </row>
    <row r="5570" spans="1:11" x14ac:dyDescent="0.25">
      <c r="A5570" t="s">
        <v>2092</v>
      </c>
      <c r="B5570" t="s">
        <v>72</v>
      </c>
      <c r="C5570" t="s">
        <v>19</v>
      </c>
      <c r="D5570" t="s">
        <v>756</v>
      </c>
      <c r="E5570" s="2">
        <v>14</v>
      </c>
      <c r="F5570" s="4">
        <v>4</v>
      </c>
      <c r="G5570" s="2">
        <v>56</v>
      </c>
      <c r="H5570" t="s">
        <v>15</v>
      </c>
      <c r="I5570" t="s">
        <v>16</v>
      </c>
      <c r="J5570" s="1">
        <v>45030</v>
      </c>
      <c r="K5570" t="b">
        <v>0</v>
      </c>
    </row>
    <row r="5571" spans="1:11" x14ac:dyDescent="0.25">
      <c r="A5571" t="s">
        <v>3631</v>
      </c>
      <c r="B5571" t="s">
        <v>12</v>
      </c>
      <c r="C5571" t="s">
        <v>23</v>
      </c>
      <c r="D5571" t="s">
        <v>277</v>
      </c>
      <c r="E5571" s="2">
        <v>14</v>
      </c>
      <c r="F5571" s="4">
        <v>4</v>
      </c>
      <c r="G5571" s="2">
        <v>56</v>
      </c>
      <c r="H5571" t="s">
        <v>15</v>
      </c>
      <c r="I5571" t="s">
        <v>36</v>
      </c>
      <c r="J5571" s="1">
        <v>45309</v>
      </c>
      <c r="K5571" t="b">
        <v>0</v>
      </c>
    </row>
    <row r="5572" spans="1:11" x14ac:dyDescent="0.25">
      <c r="A5572" t="s">
        <v>6489</v>
      </c>
      <c r="B5572" t="s">
        <v>63</v>
      </c>
      <c r="C5572" t="s">
        <v>23</v>
      </c>
      <c r="D5572" t="s">
        <v>277</v>
      </c>
      <c r="E5572" s="2">
        <v>14</v>
      </c>
      <c r="F5572" s="4">
        <v>4</v>
      </c>
      <c r="G5572" s="2">
        <v>56</v>
      </c>
      <c r="H5572" t="s">
        <v>15</v>
      </c>
      <c r="I5572" t="s">
        <v>36</v>
      </c>
      <c r="J5572" s="1">
        <v>44628</v>
      </c>
      <c r="K5572" t="b">
        <v>0</v>
      </c>
    </row>
    <row r="5573" spans="1:11" x14ac:dyDescent="0.25">
      <c r="A5573" t="s">
        <v>3088</v>
      </c>
      <c r="B5573" t="s">
        <v>40</v>
      </c>
      <c r="C5573" t="s">
        <v>110</v>
      </c>
      <c r="D5573" t="s">
        <v>176</v>
      </c>
      <c r="E5573" s="2">
        <v>14</v>
      </c>
      <c r="F5573" s="4">
        <v>4</v>
      </c>
      <c r="G5573" s="2">
        <v>56</v>
      </c>
      <c r="H5573" t="s">
        <v>15</v>
      </c>
      <c r="I5573" t="s">
        <v>16</v>
      </c>
      <c r="J5573" s="1">
        <v>45377</v>
      </c>
      <c r="K5573" t="b">
        <v>0</v>
      </c>
    </row>
    <row r="5574" spans="1:11" x14ac:dyDescent="0.25">
      <c r="A5574" t="s">
        <v>7341</v>
      </c>
      <c r="B5574" t="s">
        <v>97</v>
      </c>
      <c r="C5574" t="s">
        <v>19</v>
      </c>
      <c r="D5574" t="s">
        <v>756</v>
      </c>
      <c r="E5574" s="2">
        <v>14</v>
      </c>
      <c r="F5574" s="4">
        <v>4</v>
      </c>
      <c r="G5574" s="2">
        <v>56</v>
      </c>
      <c r="H5574" t="s">
        <v>15</v>
      </c>
      <c r="I5574" t="s">
        <v>16</v>
      </c>
      <c r="J5574" s="1">
        <v>44962</v>
      </c>
      <c r="K5574" t="b">
        <v>0</v>
      </c>
    </row>
    <row r="5575" spans="1:11" x14ac:dyDescent="0.25">
      <c r="A5575" t="s">
        <v>3792</v>
      </c>
      <c r="B5575" t="s">
        <v>72</v>
      </c>
      <c r="C5575" t="s">
        <v>19</v>
      </c>
      <c r="D5575" t="s">
        <v>226</v>
      </c>
      <c r="E5575" s="2">
        <v>8</v>
      </c>
      <c r="F5575" s="4">
        <v>7</v>
      </c>
      <c r="G5575" s="2">
        <v>56</v>
      </c>
      <c r="H5575" t="s">
        <v>25</v>
      </c>
      <c r="I5575" t="s">
        <v>36</v>
      </c>
      <c r="J5575" s="1">
        <v>44948</v>
      </c>
      <c r="K5575" t="b">
        <v>0</v>
      </c>
    </row>
    <row r="5576" spans="1:11" x14ac:dyDescent="0.25">
      <c r="A5576" t="s">
        <v>2481</v>
      </c>
      <c r="B5576" t="s">
        <v>37</v>
      </c>
      <c r="C5576" t="s">
        <v>23</v>
      </c>
      <c r="D5576" t="s">
        <v>277</v>
      </c>
      <c r="E5576" s="2">
        <v>14</v>
      </c>
      <c r="F5576" s="4">
        <v>4</v>
      </c>
      <c r="G5576" s="2">
        <v>56</v>
      </c>
      <c r="H5576" t="s">
        <v>15</v>
      </c>
      <c r="I5576" t="s">
        <v>16</v>
      </c>
      <c r="J5576" s="1">
        <v>45644</v>
      </c>
      <c r="K5576" t="b">
        <v>1</v>
      </c>
    </row>
    <row r="5577" spans="1:11" x14ac:dyDescent="0.25">
      <c r="A5577" t="s">
        <v>1042</v>
      </c>
      <c r="B5577" t="s">
        <v>100</v>
      </c>
      <c r="C5577" t="s">
        <v>13</v>
      </c>
      <c r="D5577" t="s">
        <v>151</v>
      </c>
      <c r="E5577" s="2">
        <v>14</v>
      </c>
      <c r="F5577" s="4">
        <v>4</v>
      </c>
      <c r="G5577" s="2">
        <v>56</v>
      </c>
      <c r="H5577" t="s">
        <v>15</v>
      </c>
      <c r="I5577" t="s">
        <v>16</v>
      </c>
      <c r="J5577" s="1">
        <v>45294</v>
      </c>
      <c r="K5577" t="b">
        <v>0</v>
      </c>
    </row>
    <row r="5578" spans="1:11" x14ac:dyDescent="0.25">
      <c r="A5578" t="s">
        <v>2809</v>
      </c>
      <c r="B5578" t="s">
        <v>63</v>
      </c>
      <c r="C5578" t="s">
        <v>110</v>
      </c>
      <c r="D5578" t="s">
        <v>189</v>
      </c>
      <c r="E5578" s="2">
        <v>18.5</v>
      </c>
      <c r="F5578" s="4">
        <v>3</v>
      </c>
      <c r="G5578" s="2">
        <v>55.5</v>
      </c>
      <c r="H5578" t="s">
        <v>45</v>
      </c>
      <c r="I5578" t="s">
        <v>16</v>
      </c>
      <c r="J5578" s="1">
        <v>44943</v>
      </c>
      <c r="K5578" t="b">
        <v>1</v>
      </c>
    </row>
    <row r="5579" spans="1:11" x14ac:dyDescent="0.25">
      <c r="A5579" t="s">
        <v>705</v>
      </c>
      <c r="B5579" t="s">
        <v>61</v>
      </c>
      <c r="C5579" t="s">
        <v>38</v>
      </c>
      <c r="D5579" t="s">
        <v>94</v>
      </c>
      <c r="E5579" s="2">
        <v>18.5</v>
      </c>
      <c r="F5579" s="4">
        <v>3</v>
      </c>
      <c r="G5579" s="2">
        <v>55.5</v>
      </c>
      <c r="H5579" t="s">
        <v>25</v>
      </c>
      <c r="I5579" t="s">
        <v>16</v>
      </c>
      <c r="J5579" s="1">
        <v>45546</v>
      </c>
      <c r="K5579" t="b">
        <v>0</v>
      </c>
    </row>
    <row r="5580" spans="1:11" x14ac:dyDescent="0.25">
      <c r="A5580" t="s">
        <v>1081</v>
      </c>
      <c r="B5580" t="s">
        <v>63</v>
      </c>
      <c r="C5580" t="s">
        <v>110</v>
      </c>
      <c r="D5580" t="s">
        <v>189</v>
      </c>
      <c r="E5580" s="2">
        <v>18.5</v>
      </c>
      <c r="F5580" s="4">
        <v>3</v>
      </c>
      <c r="G5580" s="2">
        <v>55.5</v>
      </c>
      <c r="H5580" t="s">
        <v>25</v>
      </c>
      <c r="I5580" t="s">
        <v>36</v>
      </c>
      <c r="J5580" s="1">
        <v>44847</v>
      </c>
      <c r="K5580" t="b">
        <v>1</v>
      </c>
    </row>
    <row r="5581" spans="1:11" x14ac:dyDescent="0.25">
      <c r="A5581" t="s">
        <v>3656</v>
      </c>
      <c r="B5581" t="s">
        <v>142</v>
      </c>
      <c r="C5581" t="s">
        <v>23</v>
      </c>
      <c r="D5581" t="s">
        <v>771</v>
      </c>
      <c r="E5581" s="2">
        <v>18.5</v>
      </c>
      <c r="F5581" s="4">
        <v>3</v>
      </c>
      <c r="G5581" s="2">
        <v>55.5</v>
      </c>
      <c r="H5581" t="s">
        <v>25</v>
      </c>
      <c r="I5581" t="s">
        <v>16</v>
      </c>
      <c r="J5581" s="1">
        <v>44944</v>
      </c>
      <c r="K5581" t="b">
        <v>1</v>
      </c>
    </row>
    <row r="5582" spans="1:11" x14ac:dyDescent="0.25">
      <c r="A5582" t="s">
        <v>1760</v>
      </c>
      <c r="B5582" t="s">
        <v>30</v>
      </c>
      <c r="C5582" t="s">
        <v>31</v>
      </c>
      <c r="D5582" t="s">
        <v>67</v>
      </c>
      <c r="E5582" s="2">
        <v>18.5</v>
      </c>
      <c r="F5582" s="4">
        <v>3</v>
      </c>
      <c r="G5582" s="2">
        <v>55.5</v>
      </c>
      <c r="H5582" t="s">
        <v>15</v>
      </c>
      <c r="I5582" t="s">
        <v>36</v>
      </c>
      <c r="J5582" s="1">
        <v>44620</v>
      </c>
      <c r="K5582" t="b">
        <v>1</v>
      </c>
    </row>
    <row r="5583" spans="1:11" x14ac:dyDescent="0.25">
      <c r="A5583" t="s">
        <v>5716</v>
      </c>
      <c r="B5583" t="s">
        <v>104</v>
      </c>
      <c r="C5583" t="s">
        <v>23</v>
      </c>
      <c r="D5583" t="s">
        <v>771</v>
      </c>
      <c r="E5583" s="2">
        <v>18.5</v>
      </c>
      <c r="F5583" s="4">
        <v>3</v>
      </c>
      <c r="G5583" s="2">
        <v>55.5</v>
      </c>
      <c r="H5583" t="s">
        <v>15</v>
      </c>
      <c r="I5583" t="s">
        <v>36</v>
      </c>
      <c r="J5583" s="1">
        <v>44994</v>
      </c>
      <c r="K5583" t="b">
        <v>0</v>
      </c>
    </row>
    <row r="5584" spans="1:11" x14ac:dyDescent="0.25">
      <c r="A5584" t="s">
        <v>5856</v>
      </c>
      <c r="B5584" t="s">
        <v>77</v>
      </c>
      <c r="C5584" t="s">
        <v>13</v>
      </c>
      <c r="D5584" t="s">
        <v>14</v>
      </c>
      <c r="E5584" s="2">
        <v>18.5</v>
      </c>
      <c r="F5584" s="4">
        <v>3</v>
      </c>
      <c r="G5584" s="2">
        <v>55.5</v>
      </c>
      <c r="H5584" t="s">
        <v>25</v>
      </c>
      <c r="I5584" t="s">
        <v>36</v>
      </c>
      <c r="J5584" s="1">
        <v>45042</v>
      </c>
      <c r="K5584" t="b">
        <v>1</v>
      </c>
    </row>
    <row r="5585" spans="1:11" x14ac:dyDescent="0.25">
      <c r="A5585" t="s">
        <v>602</v>
      </c>
      <c r="B5585" t="s">
        <v>85</v>
      </c>
      <c r="C5585" t="s">
        <v>59</v>
      </c>
      <c r="D5585" t="s">
        <v>102</v>
      </c>
      <c r="E5585" s="2">
        <v>18.5</v>
      </c>
      <c r="F5585" s="4">
        <v>3</v>
      </c>
      <c r="G5585" s="2">
        <v>55.5</v>
      </c>
      <c r="H5585" t="s">
        <v>25</v>
      </c>
      <c r="I5585" t="s">
        <v>16</v>
      </c>
      <c r="J5585" s="1">
        <v>45295</v>
      </c>
      <c r="K5585" t="b">
        <v>0</v>
      </c>
    </row>
    <row r="5586" spans="1:11" x14ac:dyDescent="0.25">
      <c r="A5586" t="s">
        <v>6603</v>
      </c>
      <c r="B5586" t="s">
        <v>37</v>
      </c>
      <c r="C5586" t="s">
        <v>27</v>
      </c>
      <c r="D5586" t="s">
        <v>384</v>
      </c>
      <c r="E5586" s="2">
        <v>18.5</v>
      </c>
      <c r="F5586" s="4">
        <v>3</v>
      </c>
      <c r="G5586" s="2">
        <v>55.5</v>
      </c>
      <c r="H5586" t="s">
        <v>15</v>
      </c>
      <c r="I5586" t="s">
        <v>36</v>
      </c>
      <c r="J5586" s="1">
        <v>44611</v>
      </c>
      <c r="K5586" t="b">
        <v>1</v>
      </c>
    </row>
    <row r="5587" spans="1:11" x14ac:dyDescent="0.25">
      <c r="A5587" t="s">
        <v>5695</v>
      </c>
      <c r="B5587" t="s">
        <v>142</v>
      </c>
      <c r="C5587" t="s">
        <v>38</v>
      </c>
      <c r="D5587" t="s">
        <v>94</v>
      </c>
      <c r="E5587" s="2">
        <v>18.5</v>
      </c>
      <c r="F5587" s="4">
        <v>3</v>
      </c>
      <c r="G5587" s="2">
        <v>55.5</v>
      </c>
      <c r="H5587" t="s">
        <v>15</v>
      </c>
      <c r="I5587" t="s">
        <v>36</v>
      </c>
      <c r="J5587" s="1">
        <v>44681</v>
      </c>
      <c r="K5587" t="b">
        <v>1</v>
      </c>
    </row>
    <row r="5588" spans="1:11" x14ac:dyDescent="0.25">
      <c r="A5588" t="s">
        <v>3817</v>
      </c>
      <c r="B5588" t="s">
        <v>63</v>
      </c>
      <c r="C5588" t="s">
        <v>38</v>
      </c>
      <c r="D5588" t="s">
        <v>94</v>
      </c>
      <c r="E5588" s="2">
        <v>18.5</v>
      </c>
      <c r="F5588" s="4">
        <v>3</v>
      </c>
      <c r="G5588" s="2">
        <v>55.5</v>
      </c>
      <c r="H5588" t="s">
        <v>45</v>
      </c>
      <c r="I5588" t="s">
        <v>16</v>
      </c>
      <c r="J5588" s="1">
        <v>45397</v>
      </c>
      <c r="K5588" t="b">
        <v>1</v>
      </c>
    </row>
    <row r="5589" spans="1:11" x14ac:dyDescent="0.25">
      <c r="A5589" t="s">
        <v>4918</v>
      </c>
      <c r="B5589" t="s">
        <v>66</v>
      </c>
      <c r="C5589" t="s">
        <v>23</v>
      </c>
      <c r="D5589" t="s">
        <v>771</v>
      </c>
      <c r="E5589" s="2">
        <v>18.5</v>
      </c>
      <c r="F5589" s="4">
        <v>3</v>
      </c>
      <c r="G5589" s="2">
        <v>55.5</v>
      </c>
      <c r="H5589" t="s">
        <v>15</v>
      </c>
      <c r="I5589" t="s">
        <v>16</v>
      </c>
      <c r="J5589" s="1">
        <v>44803</v>
      </c>
      <c r="K5589" t="b">
        <v>1</v>
      </c>
    </row>
    <row r="5590" spans="1:11" x14ac:dyDescent="0.25">
      <c r="A5590" t="s">
        <v>1924</v>
      </c>
      <c r="B5590" t="s">
        <v>77</v>
      </c>
      <c r="C5590" t="s">
        <v>110</v>
      </c>
      <c r="D5590" t="s">
        <v>189</v>
      </c>
      <c r="E5590" s="2">
        <v>18.5</v>
      </c>
      <c r="F5590" s="4">
        <v>3</v>
      </c>
      <c r="G5590" s="2">
        <v>55.5</v>
      </c>
      <c r="H5590" t="s">
        <v>45</v>
      </c>
      <c r="I5590" t="s">
        <v>36</v>
      </c>
      <c r="J5590" s="1">
        <v>45583</v>
      </c>
      <c r="K5590" t="b">
        <v>0</v>
      </c>
    </row>
    <row r="5591" spans="1:11" x14ac:dyDescent="0.25">
      <c r="A5591" t="s">
        <v>2098</v>
      </c>
      <c r="B5591" t="s">
        <v>93</v>
      </c>
      <c r="C5591" t="s">
        <v>13</v>
      </c>
      <c r="D5591" t="s">
        <v>14</v>
      </c>
      <c r="E5591" s="2">
        <v>18.5</v>
      </c>
      <c r="F5591" s="4">
        <v>3</v>
      </c>
      <c r="G5591" s="2">
        <v>55.5</v>
      </c>
      <c r="H5591" t="s">
        <v>15</v>
      </c>
      <c r="I5591" t="s">
        <v>16</v>
      </c>
      <c r="J5591" s="1">
        <v>45382</v>
      </c>
      <c r="K5591" t="b">
        <v>0</v>
      </c>
    </row>
    <row r="5592" spans="1:11" x14ac:dyDescent="0.25">
      <c r="A5592" t="s">
        <v>1433</v>
      </c>
      <c r="B5592" t="s">
        <v>56</v>
      </c>
      <c r="C5592" t="s">
        <v>110</v>
      </c>
      <c r="D5592" t="s">
        <v>189</v>
      </c>
      <c r="E5592" s="2">
        <v>18.5</v>
      </c>
      <c r="F5592" s="4">
        <v>3</v>
      </c>
      <c r="G5592" s="2">
        <v>55.5</v>
      </c>
      <c r="H5592" t="s">
        <v>25</v>
      </c>
      <c r="I5592" t="s">
        <v>16</v>
      </c>
      <c r="J5592" s="1">
        <v>45157</v>
      </c>
      <c r="K5592" t="b">
        <v>0</v>
      </c>
    </row>
    <row r="5593" spans="1:11" x14ac:dyDescent="0.25">
      <c r="A5593" t="s">
        <v>7369</v>
      </c>
      <c r="B5593" t="s">
        <v>100</v>
      </c>
      <c r="C5593" t="s">
        <v>31</v>
      </c>
      <c r="D5593" t="s">
        <v>67</v>
      </c>
      <c r="E5593" s="2">
        <v>18.5</v>
      </c>
      <c r="F5593" s="4">
        <v>3</v>
      </c>
      <c r="G5593" s="2">
        <v>55.5</v>
      </c>
      <c r="H5593" t="s">
        <v>25</v>
      </c>
      <c r="I5593" t="s">
        <v>36</v>
      </c>
      <c r="J5593" s="1">
        <v>44604</v>
      </c>
      <c r="K5593" t="b">
        <v>0</v>
      </c>
    </row>
    <row r="5594" spans="1:11" x14ac:dyDescent="0.25">
      <c r="A5594" t="s">
        <v>3544</v>
      </c>
      <c r="B5594" t="s">
        <v>86</v>
      </c>
      <c r="C5594" t="s">
        <v>31</v>
      </c>
      <c r="D5594" t="s">
        <v>67</v>
      </c>
      <c r="E5594" s="2">
        <v>18.5</v>
      </c>
      <c r="F5594" s="4">
        <v>3</v>
      </c>
      <c r="G5594" s="2">
        <v>55.5</v>
      </c>
      <c r="H5594" t="s">
        <v>15</v>
      </c>
      <c r="I5594" t="s">
        <v>36</v>
      </c>
      <c r="J5594" s="1">
        <v>44601</v>
      </c>
      <c r="K5594" t="b">
        <v>1</v>
      </c>
    </row>
    <row r="5595" spans="1:11" x14ac:dyDescent="0.25">
      <c r="A5595" t="s">
        <v>7470</v>
      </c>
      <c r="B5595" t="s">
        <v>85</v>
      </c>
      <c r="C5595" t="s">
        <v>31</v>
      </c>
      <c r="D5595" t="s">
        <v>67</v>
      </c>
      <c r="E5595" s="2">
        <v>18.5</v>
      </c>
      <c r="F5595" s="4">
        <v>3</v>
      </c>
      <c r="G5595" s="2">
        <v>55.5</v>
      </c>
      <c r="H5595" t="s">
        <v>25</v>
      </c>
      <c r="I5595" t="s">
        <v>36</v>
      </c>
      <c r="J5595" s="1">
        <v>44898</v>
      </c>
      <c r="K5595" t="b">
        <v>1</v>
      </c>
    </row>
    <row r="5596" spans="1:11" x14ac:dyDescent="0.25">
      <c r="A5596" t="s">
        <v>2927</v>
      </c>
      <c r="B5596" t="s">
        <v>142</v>
      </c>
      <c r="C5596" t="s">
        <v>31</v>
      </c>
      <c r="D5596" t="s">
        <v>67</v>
      </c>
      <c r="E5596" s="2">
        <v>18.5</v>
      </c>
      <c r="F5596" s="4">
        <v>3</v>
      </c>
      <c r="G5596" s="2">
        <v>55.5</v>
      </c>
      <c r="H5596" t="s">
        <v>15</v>
      </c>
      <c r="I5596" t="s">
        <v>16</v>
      </c>
      <c r="J5596" s="1">
        <v>45181</v>
      </c>
      <c r="K5596" t="b">
        <v>1</v>
      </c>
    </row>
    <row r="5597" spans="1:11" x14ac:dyDescent="0.25">
      <c r="A5597" t="s">
        <v>306</v>
      </c>
      <c r="B5597" t="s">
        <v>30</v>
      </c>
      <c r="C5597" t="s">
        <v>13</v>
      </c>
      <c r="D5597" t="s">
        <v>14</v>
      </c>
      <c r="E5597" s="2">
        <v>18.5</v>
      </c>
      <c r="F5597" s="4">
        <v>3</v>
      </c>
      <c r="G5597" s="2">
        <v>55.5</v>
      </c>
      <c r="H5597" t="s">
        <v>45</v>
      </c>
      <c r="I5597" t="s">
        <v>36</v>
      </c>
      <c r="J5597" s="1">
        <v>45319</v>
      </c>
      <c r="K5597" t="b">
        <v>0</v>
      </c>
    </row>
    <row r="5598" spans="1:11" x14ac:dyDescent="0.25">
      <c r="A5598" t="s">
        <v>2407</v>
      </c>
      <c r="B5598" t="s">
        <v>86</v>
      </c>
      <c r="C5598" t="s">
        <v>110</v>
      </c>
      <c r="D5598" t="s">
        <v>189</v>
      </c>
      <c r="E5598" s="2">
        <v>18.5</v>
      </c>
      <c r="F5598" s="4">
        <v>3</v>
      </c>
      <c r="G5598" s="2">
        <v>55.5</v>
      </c>
      <c r="H5598" t="s">
        <v>25</v>
      </c>
      <c r="I5598" t="s">
        <v>16</v>
      </c>
      <c r="J5598" s="1">
        <v>44773</v>
      </c>
      <c r="K5598" t="b">
        <v>1</v>
      </c>
    </row>
    <row r="5599" spans="1:11" x14ac:dyDescent="0.25">
      <c r="A5599" t="s">
        <v>1413</v>
      </c>
      <c r="B5599" t="s">
        <v>40</v>
      </c>
      <c r="C5599" t="s">
        <v>31</v>
      </c>
      <c r="D5599" t="s">
        <v>67</v>
      </c>
      <c r="E5599" s="2">
        <v>18.5</v>
      </c>
      <c r="F5599" s="4">
        <v>3</v>
      </c>
      <c r="G5599" s="2">
        <v>55.5</v>
      </c>
      <c r="H5599" t="s">
        <v>15</v>
      </c>
      <c r="I5599" t="s">
        <v>16</v>
      </c>
      <c r="J5599" s="1">
        <v>45218</v>
      </c>
      <c r="K5599" t="b">
        <v>0</v>
      </c>
    </row>
    <row r="5600" spans="1:11" x14ac:dyDescent="0.25">
      <c r="A5600" t="s">
        <v>1408</v>
      </c>
      <c r="B5600" t="s">
        <v>30</v>
      </c>
      <c r="C5600" t="s">
        <v>23</v>
      </c>
      <c r="D5600" t="s">
        <v>771</v>
      </c>
      <c r="E5600" s="2">
        <v>18.5</v>
      </c>
      <c r="F5600" s="4">
        <v>3</v>
      </c>
      <c r="G5600" s="2">
        <v>55.5</v>
      </c>
      <c r="H5600" t="s">
        <v>15</v>
      </c>
      <c r="I5600" t="s">
        <v>16</v>
      </c>
      <c r="J5600" s="1">
        <v>45361</v>
      </c>
      <c r="K5600" t="b">
        <v>0</v>
      </c>
    </row>
    <row r="5601" spans="1:11" x14ac:dyDescent="0.25">
      <c r="A5601" t="s">
        <v>1074</v>
      </c>
      <c r="B5601" t="s">
        <v>77</v>
      </c>
      <c r="C5601" t="s">
        <v>31</v>
      </c>
      <c r="D5601" t="s">
        <v>67</v>
      </c>
      <c r="E5601" s="2">
        <v>18.5</v>
      </c>
      <c r="F5601" s="4">
        <v>3</v>
      </c>
      <c r="G5601" s="2">
        <v>55.5</v>
      </c>
      <c r="H5601" t="s">
        <v>15</v>
      </c>
      <c r="I5601" t="s">
        <v>36</v>
      </c>
      <c r="J5601" s="1">
        <v>44600</v>
      </c>
      <c r="K5601" t="b">
        <v>0</v>
      </c>
    </row>
    <row r="5602" spans="1:11" x14ac:dyDescent="0.25">
      <c r="A5602" t="s">
        <v>3720</v>
      </c>
      <c r="B5602" t="s">
        <v>30</v>
      </c>
      <c r="C5602" t="s">
        <v>59</v>
      </c>
      <c r="D5602" t="s">
        <v>102</v>
      </c>
      <c r="E5602" s="2">
        <v>18.5</v>
      </c>
      <c r="F5602" s="4">
        <v>3</v>
      </c>
      <c r="G5602" s="2">
        <v>55.5</v>
      </c>
      <c r="H5602" t="s">
        <v>15</v>
      </c>
      <c r="I5602" t="s">
        <v>16</v>
      </c>
      <c r="J5602" s="1">
        <v>44927</v>
      </c>
      <c r="K5602" t="b">
        <v>1</v>
      </c>
    </row>
    <row r="5603" spans="1:11" x14ac:dyDescent="0.25">
      <c r="A5603" t="s">
        <v>5867</v>
      </c>
      <c r="B5603" t="s">
        <v>72</v>
      </c>
      <c r="C5603" t="s">
        <v>31</v>
      </c>
      <c r="D5603" t="s">
        <v>67</v>
      </c>
      <c r="E5603" s="2">
        <v>18.5</v>
      </c>
      <c r="F5603" s="4">
        <v>3</v>
      </c>
      <c r="G5603" s="2">
        <v>55.5</v>
      </c>
      <c r="H5603" t="s">
        <v>25</v>
      </c>
      <c r="I5603" t="s">
        <v>16</v>
      </c>
      <c r="J5603" s="1">
        <v>45554</v>
      </c>
      <c r="K5603" t="b">
        <v>1</v>
      </c>
    </row>
    <row r="5604" spans="1:11" x14ac:dyDescent="0.25">
      <c r="A5604" t="s">
        <v>3522</v>
      </c>
      <c r="B5604" t="s">
        <v>69</v>
      </c>
      <c r="C5604" t="s">
        <v>110</v>
      </c>
      <c r="D5604" t="s">
        <v>189</v>
      </c>
      <c r="E5604" s="2">
        <v>18.5</v>
      </c>
      <c r="F5604" s="4">
        <v>3</v>
      </c>
      <c r="G5604" s="2">
        <v>55.5</v>
      </c>
      <c r="H5604" t="s">
        <v>25</v>
      </c>
      <c r="I5604" t="s">
        <v>16</v>
      </c>
      <c r="J5604" s="1">
        <v>45157</v>
      </c>
      <c r="K5604" t="b">
        <v>1</v>
      </c>
    </row>
    <row r="5605" spans="1:11" x14ac:dyDescent="0.25">
      <c r="A5605" t="s">
        <v>4697</v>
      </c>
      <c r="B5605" t="s">
        <v>56</v>
      </c>
      <c r="C5605" t="s">
        <v>13</v>
      </c>
      <c r="D5605" t="s">
        <v>14</v>
      </c>
      <c r="E5605" s="2">
        <v>18.5</v>
      </c>
      <c r="F5605" s="4">
        <v>3</v>
      </c>
      <c r="G5605" s="2">
        <v>55.5</v>
      </c>
      <c r="H5605" t="s">
        <v>25</v>
      </c>
      <c r="I5605" t="s">
        <v>16</v>
      </c>
      <c r="J5605" s="1">
        <v>44791</v>
      </c>
      <c r="K5605" t="b">
        <v>0</v>
      </c>
    </row>
    <row r="5606" spans="1:11" x14ac:dyDescent="0.25">
      <c r="A5606" t="s">
        <v>5312</v>
      </c>
      <c r="B5606" t="s">
        <v>18</v>
      </c>
      <c r="C5606" t="s">
        <v>27</v>
      </c>
      <c r="D5606" t="s">
        <v>384</v>
      </c>
      <c r="E5606" s="2">
        <v>18.5</v>
      </c>
      <c r="F5606" s="4">
        <v>3</v>
      </c>
      <c r="G5606" s="2">
        <v>55.5</v>
      </c>
      <c r="H5606" t="s">
        <v>45</v>
      </c>
      <c r="I5606" t="s">
        <v>36</v>
      </c>
      <c r="J5606" s="1">
        <v>45374</v>
      </c>
      <c r="K5606" t="b">
        <v>0</v>
      </c>
    </row>
    <row r="5607" spans="1:11" x14ac:dyDescent="0.25">
      <c r="A5607" t="s">
        <v>7492</v>
      </c>
      <c r="B5607" t="s">
        <v>85</v>
      </c>
      <c r="C5607" t="s">
        <v>38</v>
      </c>
      <c r="D5607" t="s">
        <v>94</v>
      </c>
      <c r="E5607" s="2">
        <v>18.5</v>
      </c>
      <c r="F5607" s="4">
        <v>3</v>
      </c>
      <c r="G5607" s="2">
        <v>55.5</v>
      </c>
      <c r="H5607" t="s">
        <v>15</v>
      </c>
      <c r="I5607" t="s">
        <v>36</v>
      </c>
      <c r="J5607" s="1">
        <v>45602</v>
      </c>
      <c r="K5607" t="b">
        <v>0</v>
      </c>
    </row>
    <row r="5608" spans="1:11" x14ac:dyDescent="0.25">
      <c r="A5608" t="s">
        <v>2623</v>
      </c>
      <c r="B5608" t="s">
        <v>61</v>
      </c>
      <c r="C5608" t="s">
        <v>31</v>
      </c>
      <c r="D5608" t="s">
        <v>318</v>
      </c>
      <c r="E5608" s="2">
        <v>11</v>
      </c>
      <c r="F5608" s="4">
        <v>5</v>
      </c>
      <c r="G5608" s="2">
        <v>55</v>
      </c>
      <c r="H5608" t="s">
        <v>15</v>
      </c>
      <c r="I5608" t="s">
        <v>36</v>
      </c>
      <c r="J5608" s="1">
        <v>45573</v>
      </c>
      <c r="K5608" t="b">
        <v>1</v>
      </c>
    </row>
    <row r="5609" spans="1:11" x14ac:dyDescent="0.25">
      <c r="A5609" t="s">
        <v>6060</v>
      </c>
      <c r="B5609" t="s">
        <v>43</v>
      </c>
      <c r="C5609" t="s">
        <v>27</v>
      </c>
      <c r="D5609" t="s">
        <v>28</v>
      </c>
      <c r="E5609" s="2">
        <v>27.5</v>
      </c>
      <c r="F5609" s="4">
        <v>2</v>
      </c>
      <c r="G5609" s="2">
        <v>55</v>
      </c>
      <c r="H5609" t="s">
        <v>45</v>
      </c>
      <c r="I5609" t="s">
        <v>36</v>
      </c>
      <c r="J5609" s="1">
        <v>44600</v>
      </c>
      <c r="K5609" t="b">
        <v>1</v>
      </c>
    </row>
    <row r="5610" spans="1:11" x14ac:dyDescent="0.25">
      <c r="A5610" t="s">
        <v>6671</v>
      </c>
      <c r="B5610" t="s">
        <v>51</v>
      </c>
      <c r="C5610" t="s">
        <v>19</v>
      </c>
      <c r="D5610" t="s">
        <v>53</v>
      </c>
      <c r="E5610" s="2">
        <v>27.5</v>
      </c>
      <c r="F5610" s="4">
        <v>2</v>
      </c>
      <c r="G5610" s="2">
        <v>55</v>
      </c>
      <c r="H5610" t="s">
        <v>15</v>
      </c>
      <c r="I5610" t="s">
        <v>16</v>
      </c>
      <c r="J5610" s="1">
        <v>45358</v>
      </c>
      <c r="K5610" t="b">
        <v>1</v>
      </c>
    </row>
    <row r="5611" spans="1:11" x14ac:dyDescent="0.25">
      <c r="A5611" t="s">
        <v>7691</v>
      </c>
      <c r="B5611" t="s">
        <v>100</v>
      </c>
      <c r="C5611" t="s">
        <v>13</v>
      </c>
      <c r="D5611" t="s">
        <v>183</v>
      </c>
      <c r="E5611" s="2">
        <v>27.5</v>
      </c>
      <c r="F5611" s="4">
        <v>2</v>
      </c>
      <c r="G5611" s="2">
        <v>55</v>
      </c>
      <c r="H5611" t="s">
        <v>45</v>
      </c>
      <c r="I5611" t="s">
        <v>36</v>
      </c>
      <c r="J5611" s="1">
        <v>45537</v>
      </c>
      <c r="K5611" t="b">
        <v>1</v>
      </c>
    </row>
    <row r="5612" spans="1:11" x14ac:dyDescent="0.25">
      <c r="A5612" t="s">
        <v>1876</v>
      </c>
      <c r="B5612" t="s">
        <v>58</v>
      </c>
      <c r="C5612" t="s">
        <v>13</v>
      </c>
      <c r="D5612" t="s">
        <v>183</v>
      </c>
      <c r="E5612" s="2">
        <v>27.5</v>
      </c>
      <c r="F5612" s="4">
        <v>2</v>
      </c>
      <c r="G5612" s="2">
        <v>55</v>
      </c>
      <c r="H5612" t="s">
        <v>45</v>
      </c>
      <c r="I5612" t="s">
        <v>36</v>
      </c>
      <c r="J5612" s="1">
        <v>44815</v>
      </c>
      <c r="K5612" t="b">
        <v>1</v>
      </c>
    </row>
    <row r="5613" spans="1:11" x14ac:dyDescent="0.25">
      <c r="A5613" t="s">
        <v>4941</v>
      </c>
      <c r="B5613" t="s">
        <v>26</v>
      </c>
      <c r="C5613" t="s">
        <v>38</v>
      </c>
      <c r="D5613" t="s">
        <v>41</v>
      </c>
      <c r="E5613" s="2">
        <v>27.5</v>
      </c>
      <c r="F5613" s="4">
        <v>2</v>
      </c>
      <c r="G5613" s="2">
        <v>55</v>
      </c>
      <c r="H5613" t="s">
        <v>15</v>
      </c>
      <c r="I5613" t="s">
        <v>16</v>
      </c>
      <c r="J5613" s="1">
        <v>45379</v>
      </c>
      <c r="K5613" t="b">
        <v>1</v>
      </c>
    </row>
    <row r="5614" spans="1:11" x14ac:dyDescent="0.25">
      <c r="A5614" t="s">
        <v>3150</v>
      </c>
      <c r="B5614" t="s">
        <v>69</v>
      </c>
      <c r="C5614" t="s">
        <v>110</v>
      </c>
      <c r="D5614" t="s">
        <v>111</v>
      </c>
      <c r="E5614" s="2">
        <v>27.5</v>
      </c>
      <c r="F5614" s="4">
        <v>2</v>
      </c>
      <c r="G5614" s="2">
        <v>55</v>
      </c>
      <c r="H5614" t="s">
        <v>45</v>
      </c>
      <c r="I5614" t="s">
        <v>36</v>
      </c>
      <c r="J5614" s="1">
        <v>44840</v>
      </c>
      <c r="K5614" t="b">
        <v>1</v>
      </c>
    </row>
    <row r="5615" spans="1:11" x14ac:dyDescent="0.25">
      <c r="A5615" t="s">
        <v>2670</v>
      </c>
      <c r="B5615" t="s">
        <v>93</v>
      </c>
      <c r="C5615" t="s">
        <v>27</v>
      </c>
      <c r="D5615" t="s">
        <v>28</v>
      </c>
      <c r="E5615" s="2">
        <v>27.5</v>
      </c>
      <c r="F5615" s="4">
        <v>2</v>
      </c>
      <c r="G5615" s="2">
        <v>55</v>
      </c>
      <c r="H5615" t="s">
        <v>45</v>
      </c>
      <c r="I5615" t="s">
        <v>16</v>
      </c>
      <c r="J5615" s="1">
        <v>44734</v>
      </c>
      <c r="K5615" t="b">
        <v>0</v>
      </c>
    </row>
    <row r="5616" spans="1:11" x14ac:dyDescent="0.25">
      <c r="A5616" t="s">
        <v>2803</v>
      </c>
      <c r="B5616" t="s">
        <v>30</v>
      </c>
      <c r="C5616" t="s">
        <v>27</v>
      </c>
      <c r="D5616" t="s">
        <v>28</v>
      </c>
      <c r="E5616" s="2">
        <v>27.5</v>
      </c>
      <c r="F5616" s="4">
        <v>2</v>
      </c>
      <c r="G5616" s="2">
        <v>55</v>
      </c>
      <c r="H5616" t="s">
        <v>15</v>
      </c>
      <c r="I5616" t="s">
        <v>16</v>
      </c>
      <c r="J5616" s="1">
        <v>45290</v>
      </c>
      <c r="K5616" t="b">
        <v>0</v>
      </c>
    </row>
    <row r="5617" spans="1:11" x14ac:dyDescent="0.25">
      <c r="A5617" t="s">
        <v>848</v>
      </c>
      <c r="B5617" t="s">
        <v>72</v>
      </c>
      <c r="C5617" t="s">
        <v>19</v>
      </c>
      <c r="D5617" t="s">
        <v>53</v>
      </c>
      <c r="E5617" s="2">
        <v>27.5</v>
      </c>
      <c r="F5617" s="4">
        <v>2</v>
      </c>
      <c r="G5617" s="2">
        <v>55</v>
      </c>
      <c r="H5617" t="s">
        <v>15</v>
      </c>
      <c r="I5617" t="s">
        <v>16</v>
      </c>
      <c r="J5617" s="1">
        <v>45431</v>
      </c>
      <c r="K5617" t="b">
        <v>0</v>
      </c>
    </row>
    <row r="5618" spans="1:11" x14ac:dyDescent="0.25">
      <c r="A5618" t="s">
        <v>6495</v>
      </c>
      <c r="B5618" t="s">
        <v>18</v>
      </c>
      <c r="C5618" t="s">
        <v>31</v>
      </c>
      <c r="D5618" t="s">
        <v>318</v>
      </c>
      <c r="E5618" s="2">
        <v>11</v>
      </c>
      <c r="F5618" s="4">
        <v>5</v>
      </c>
      <c r="G5618" s="2">
        <v>55</v>
      </c>
      <c r="H5618" t="s">
        <v>45</v>
      </c>
      <c r="I5618" t="s">
        <v>36</v>
      </c>
      <c r="J5618" s="1">
        <v>44575</v>
      </c>
      <c r="K5618" t="b">
        <v>1</v>
      </c>
    </row>
    <row r="5619" spans="1:11" x14ac:dyDescent="0.25">
      <c r="A5619" t="s">
        <v>3138</v>
      </c>
      <c r="B5619" t="s">
        <v>61</v>
      </c>
      <c r="C5619" t="s">
        <v>13</v>
      </c>
      <c r="D5619" t="s">
        <v>183</v>
      </c>
      <c r="E5619" s="2">
        <v>27.5</v>
      </c>
      <c r="F5619" s="4">
        <v>2</v>
      </c>
      <c r="G5619" s="2">
        <v>55</v>
      </c>
      <c r="H5619" t="s">
        <v>15</v>
      </c>
      <c r="I5619" t="s">
        <v>16</v>
      </c>
      <c r="J5619" s="1">
        <v>45096</v>
      </c>
      <c r="K5619" t="b">
        <v>0</v>
      </c>
    </row>
    <row r="5620" spans="1:11" x14ac:dyDescent="0.25">
      <c r="A5620" t="s">
        <v>5294</v>
      </c>
      <c r="B5620" t="s">
        <v>12</v>
      </c>
      <c r="C5620" t="s">
        <v>31</v>
      </c>
      <c r="D5620" t="s">
        <v>318</v>
      </c>
      <c r="E5620" s="2">
        <v>11</v>
      </c>
      <c r="F5620" s="4">
        <v>5</v>
      </c>
      <c r="G5620" s="2">
        <v>55</v>
      </c>
      <c r="H5620" t="s">
        <v>45</v>
      </c>
      <c r="I5620" t="s">
        <v>16</v>
      </c>
      <c r="J5620" s="1">
        <v>45231</v>
      </c>
      <c r="K5620" t="b">
        <v>0</v>
      </c>
    </row>
    <row r="5621" spans="1:11" x14ac:dyDescent="0.25">
      <c r="A5621" t="s">
        <v>5877</v>
      </c>
      <c r="B5621" t="s">
        <v>72</v>
      </c>
      <c r="C5621" t="s">
        <v>13</v>
      </c>
      <c r="D5621" t="s">
        <v>183</v>
      </c>
      <c r="E5621" s="2">
        <v>27.5</v>
      </c>
      <c r="F5621" s="4">
        <v>2</v>
      </c>
      <c r="G5621" s="2">
        <v>55</v>
      </c>
      <c r="H5621" t="s">
        <v>15</v>
      </c>
      <c r="I5621" t="s">
        <v>36</v>
      </c>
      <c r="J5621" s="1">
        <v>45160</v>
      </c>
      <c r="K5621" t="b">
        <v>1</v>
      </c>
    </row>
    <row r="5622" spans="1:11" x14ac:dyDescent="0.25">
      <c r="A5622" t="s">
        <v>511</v>
      </c>
      <c r="B5622" t="s">
        <v>37</v>
      </c>
      <c r="C5622" t="s">
        <v>23</v>
      </c>
      <c r="D5622" t="s">
        <v>410</v>
      </c>
      <c r="E5622" s="2">
        <v>11</v>
      </c>
      <c r="F5622" s="4">
        <v>5</v>
      </c>
      <c r="G5622" s="2">
        <v>55</v>
      </c>
      <c r="H5622" t="s">
        <v>15</v>
      </c>
      <c r="I5622" t="s">
        <v>36</v>
      </c>
      <c r="J5622" s="1">
        <v>44851</v>
      </c>
      <c r="K5622" t="b">
        <v>1</v>
      </c>
    </row>
    <row r="5623" spans="1:11" x14ac:dyDescent="0.25">
      <c r="A5623" t="s">
        <v>259</v>
      </c>
      <c r="B5623" t="s">
        <v>85</v>
      </c>
      <c r="C5623" t="s">
        <v>13</v>
      </c>
      <c r="D5623" t="s">
        <v>183</v>
      </c>
      <c r="E5623" s="2">
        <v>27.5</v>
      </c>
      <c r="F5623" s="4">
        <v>2</v>
      </c>
      <c r="G5623" s="2">
        <v>55</v>
      </c>
      <c r="H5623" t="s">
        <v>15</v>
      </c>
      <c r="I5623" t="s">
        <v>16</v>
      </c>
      <c r="J5623" s="1">
        <v>44711</v>
      </c>
      <c r="K5623" t="b">
        <v>1</v>
      </c>
    </row>
    <row r="5624" spans="1:11" x14ac:dyDescent="0.25">
      <c r="A5624" t="s">
        <v>2717</v>
      </c>
      <c r="B5624" t="s">
        <v>77</v>
      </c>
      <c r="C5624" t="s">
        <v>31</v>
      </c>
      <c r="D5624" t="s">
        <v>318</v>
      </c>
      <c r="E5624" s="2">
        <v>11</v>
      </c>
      <c r="F5624" s="4">
        <v>5</v>
      </c>
      <c r="G5624" s="2">
        <v>55</v>
      </c>
      <c r="H5624" t="s">
        <v>25</v>
      </c>
      <c r="I5624" t="s">
        <v>36</v>
      </c>
      <c r="J5624" s="1">
        <v>45455</v>
      </c>
      <c r="K5624" t="b">
        <v>0</v>
      </c>
    </row>
    <row r="5625" spans="1:11" x14ac:dyDescent="0.25">
      <c r="A5625" t="s">
        <v>2050</v>
      </c>
      <c r="B5625" t="s">
        <v>56</v>
      </c>
      <c r="C5625" t="s">
        <v>23</v>
      </c>
      <c r="D5625" t="s">
        <v>115</v>
      </c>
      <c r="E5625" s="2">
        <v>27.5</v>
      </c>
      <c r="F5625" s="4">
        <v>2</v>
      </c>
      <c r="G5625" s="2">
        <v>55</v>
      </c>
      <c r="H5625" t="s">
        <v>45</v>
      </c>
      <c r="I5625" t="s">
        <v>16</v>
      </c>
      <c r="J5625" s="1">
        <v>44845</v>
      </c>
      <c r="K5625" t="b">
        <v>0</v>
      </c>
    </row>
    <row r="5626" spans="1:11" x14ac:dyDescent="0.25">
      <c r="A5626" t="s">
        <v>3319</v>
      </c>
      <c r="B5626" t="s">
        <v>51</v>
      </c>
      <c r="C5626" t="s">
        <v>19</v>
      </c>
      <c r="D5626" t="s">
        <v>53</v>
      </c>
      <c r="E5626" s="2">
        <v>27.5</v>
      </c>
      <c r="F5626" s="4">
        <v>2</v>
      </c>
      <c r="G5626" s="2">
        <v>55</v>
      </c>
      <c r="H5626" t="s">
        <v>15</v>
      </c>
      <c r="I5626" t="s">
        <v>36</v>
      </c>
      <c r="J5626" s="1">
        <v>45574</v>
      </c>
      <c r="K5626" t="b">
        <v>1</v>
      </c>
    </row>
    <row r="5627" spans="1:11" x14ac:dyDescent="0.25">
      <c r="A5627" t="s">
        <v>3420</v>
      </c>
      <c r="B5627" t="s">
        <v>69</v>
      </c>
      <c r="C5627" t="s">
        <v>110</v>
      </c>
      <c r="D5627" t="s">
        <v>111</v>
      </c>
      <c r="E5627" s="2">
        <v>27.5</v>
      </c>
      <c r="F5627" s="4">
        <v>2</v>
      </c>
      <c r="G5627" s="2">
        <v>55</v>
      </c>
      <c r="H5627" t="s">
        <v>45</v>
      </c>
      <c r="I5627" t="s">
        <v>36</v>
      </c>
      <c r="J5627" s="1">
        <v>45356</v>
      </c>
      <c r="K5627" t="b">
        <v>1</v>
      </c>
    </row>
    <row r="5628" spans="1:11" x14ac:dyDescent="0.25">
      <c r="A5628" t="s">
        <v>2920</v>
      </c>
      <c r="B5628" t="s">
        <v>56</v>
      </c>
      <c r="C5628" t="s">
        <v>110</v>
      </c>
      <c r="D5628" t="s">
        <v>118</v>
      </c>
      <c r="E5628" s="2">
        <v>11</v>
      </c>
      <c r="F5628" s="4">
        <v>5</v>
      </c>
      <c r="G5628" s="2">
        <v>55</v>
      </c>
      <c r="H5628" t="s">
        <v>15</v>
      </c>
      <c r="I5628" t="s">
        <v>36</v>
      </c>
      <c r="J5628" s="1">
        <v>44792</v>
      </c>
      <c r="K5628" t="b">
        <v>0</v>
      </c>
    </row>
    <row r="5629" spans="1:11" x14ac:dyDescent="0.25">
      <c r="A5629" t="s">
        <v>6190</v>
      </c>
      <c r="B5629" t="s">
        <v>22</v>
      </c>
      <c r="C5629" t="s">
        <v>110</v>
      </c>
      <c r="D5629" t="s">
        <v>111</v>
      </c>
      <c r="E5629" s="2">
        <v>27.5</v>
      </c>
      <c r="F5629" s="4">
        <v>2</v>
      </c>
      <c r="G5629" s="2">
        <v>55</v>
      </c>
      <c r="H5629" t="s">
        <v>45</v>
      </c>
      <c r="I5629" t="s">
        <v>16</v>
      </c>
      <c r="J5629" s="1">
        <v>45618</v>
      </c>
      <c r="K5629" t="b">
        <v>0</v>
      </c>
    </row>
    <row r="5630" spans="1:11" x14ac:dyDescent="0.25">
      <c r="A5630" t="s">
        <v>6324</v>
      </c>
      <c r="B5630" t="s">
        <v>12</v>
      </c>
      <c r="C5630" t="s">
        <v>38</v>
      </c>
      <c r="D5630" t="s">
        <v>193</v>
      </c>
      <c r="E5630" s="2">
        <v>11</v>
      </c>
      <c r="F5630" s="4">
        <v>5</v>
      </c>
      <c r="G5630" s="2">
        <v>55</v>
      </c>
      <c r="H5630" t="s">
        <v>15</v>
      </c>
      <c r="I5630" t="s">
        <v>36</v>
      </c>
      <c r="J5630" s="1">
        <v>44596</v>
      </c>
      <c r="K5630" t="b">
        <v>1</v>
      </c>
    </row>
    <row r="5631" spans="1:11" x14ac:dyDescent="0.25">
      <c r="A5631" t="s">
        <v>3465</v>
      </c>
      <c r="B5631" t="s">
        <v>86</v>
      </c>
      <c r="C5631" t="s">
        <v>19</v>
      </c>
      <c r="D5631" t="s">
        <v>689</v>
      </c>
      <c r="E5631" s="2">
        <v>11</v>
      </c>
      <c r="F5631" s="4">
        <v>5</v>
      </c>
      <c r="G5631" s="2">
        <v>55</v>
      </c>
      <c r="H5631" t="s">
        <v>45</v>
      </c>
      <c r="I5631" t="s">
        <v>16</v>
      </c>
      <c r="J5631" s="1">
        <v>44658</v>
      </c>
      <c r="K5631" t="b">
        <v>1</v>
      </c>
    </row>
    <row r="5632" spans="1:11" x14ac:dyDescent="0.25">
      <c r="A5632" t="s">
        <v>5101</v>
      </c>
      <c r="B5632" t="s">
        <v>100</v>
      </c>
      <c r="C5632" t="s">
        <v>27</v>
      </c>
      <c r="D5632" t="s">
        <v>28</v>
      </c>
      <c r="E5632" s="2">
        <v>27.5</v>
      </c>
      <c r="F5632" s="4">
        <v>2</v>
      </c>
      <c r="G5632" s="2">
        <v>55</v>
      </c>
      <c r="H5632" t="s">
        <v>15</v>
      </c>
      <c r="I5632" t="s">
        <v>16</v>
      </c>
      <c r="J5632" s="1">
        <v>45447</v>
      </c>
      <c r="K5632" t="b">
        <v>1</v>
      </c>
    </row>
    <row r="5633" spans="1:11" x14ac:dyDescent="0.25">
      <c r="A5633" t="s">
        <v>1105</v>
      </c>
      <c r="B5633" t="s">
        <v>34</v>
      </c>
      <c r="C5633" t="s">
        <v>38</v>
      </c>
      <c r="D5633" t="s">
        <v>41</v>
      </c>
      <c r="E5633" s="2">
        <v>27.5</v>
      </c>
      <c r="F5633" s="4">
        <v>2</v>
      </c>
      <c r="G5633" s="2">
        <v>55</v>
      </c>
      <c r="H5633" t="s">
        <v>15</v>
      </c>
      <c r="I5633" t="s">
        <v>16</v>
      </c>
      <c r="J5633" s="1">
        <v>45336</v>
      </c>
      <c r="K5633" t="b">
        <v>0</v>
      </c>
    </row>
    <row r="5634" spans="1:11" x14ac:dyDescent="0.25">
      <c r="A5634" t="s">
        <v>3302</v>
      </c>
      <c r="B5634" t="s">
        <v>104</v>
      </c>
      <c r="C5634" t="s">
        <v>13</v>
      </c>
      <c r="D5634" t="s">
        <v>471</v>
      </c>
      <c r="E5634" s="2">
        <v>11</v>
      </c>
      <c r="F5634" s="4">
        <v>5</v>
      </c>
      <c r="G5634" s="2">
        <v>55</v>
      </c>
      <c r="H5634" t="s">
        <v>25</v>
      </c>
      <c r="I5634" t="s">
        <v>16</v>
      </c>
      <c r="J5634" s="1">
        <v>45597</v>
      </c>
      <c r="K5634" t="b">
        <v>1</v>
      </c>
    </row>
    <row r="5635" spans="1:11" x14ac:dyDescent="0.25">
      <c r="A5635" t="s">
        <v>1030</v>
      </c>
      <c r="B5635" t="s">
        <v>77</v>
      </c>
      <c r="C5635" t="s">
        <v>38</v>
      </c>
      <c r="D5635" t="s">
        <v>41</v>
      </c>
      <c r="E5635" s="2">
        <v>27.5</v>
      </c>
      <c r="F5635" s="4">
        <v>2</v>
      </c>
      <c r="G5635" s="2">
        <v>55</v>
      </c>
      <c r="H5635" t="s">
        <v>25</v>
      </c>
      <c r="I5635" t="s">
        <v>36</v>
      </c>
      <c r="J5635" s="1">
        <v>44863</v>
      </c>
      <c r="K5635" t="b">
        <v>1</v>
      </c>
    </row>
    <row r="5636" spans="1:11" x14ac:dyDescent="0.25">
      <c r="A5636" t="s">
        <v>512</v>
      </c>
      <c r="B5636" t="s">
        <v>86</v>
      </c>
      <c r="C5636" t="s">
        <v>27</v>
      </c>
      <c r="D5636" t="s">
        <v>28</v>
      </c>
      <c r="E5636" s="2">
        <v>27.5</v>
      </c>
      <c r="F5636" s="4">
        <v>2</v>
      </c>
      <c r="G5636" s="2">
        <v>55</v>
      </c>
      <c r="H5636" t="s">
        <v>25</v>
      </c>
      <c r="I5636" t="s">
        <v>36</v>
      </c>
      <c r="J5636" s="1">
        <v>45170</v>
      </c>
      <c r="K5636" t="b">
        <v>1</v>
      </c>
    </row>
    <row r="5637" spans="1:11" x14ac:dyDescent="0.25">
      <c r="A5637" t="s">
        <v>1664</v>
      </c>
      <c r="B5637" t="s">
        <v>86</v>
      </c>
      <c r="C5637" t="s">
        <v>31</v>
      </c>
      <c r="D5637" t="s">
        <v>318</v>
      </c>
      <c r="E5637" s="2">
        <v>11</v>
      </c>
      <c r="F5637" s="4">
        <v>5</v>
      </c>
      <c r="G5637" s="2">
        <v>55</v>
      </c>
      <c r="H5637" t="s">
        <v>15</v>
      </c>
      <c r="I5637" t="s">
        <v>36</v>
      </c>
      <c r="J5637" s="1">
        <v>44821</v>
      </c>
      <c r="K5637" t="b">
        <v>0</v>
      </c>
    </row>
    <row r="5638" spans="1:11" x14ac:dyDescent="0.25">
      <c r="A5638" t="s">
        <v>7170</v>
      </c>
      <c r="B5638" t="s">
        <v>34</v>
      </c>
      <c r="C5638" t="s">
        <v>38</v>
      </c>
      <c r="D5638" t="s">
        <v>193</v>
      </c>
      <c r="E5638" s="2">
        <v>11</v>
      </c>
      <c r="F5638" s="4">
        <v>5</v>
      </c>
      <c r="G5638" s="2">
        <v>55</v>
      </c>
      <c r="H5638" t="s">
        <v>25</v>
      </c>
      <c r="I5638" t="s">
        <v>16</v>
      </c>
      <c r="J5638" s="1">
        <v>44717</v>
      </c>
      <c r="K5638" t="b">
        <v>1</v>
      </c>
    </row>
    <row r="5639" spans="1:11" x14ac:dyDescent="0.25">
      <c r="A5639" t="s">
        <v>5342</v>
      </c>
      <c r="B5639" t="s">
        <v>100</v>
      </c>
      <c r="C5639" t="s">
        <v>27</v>
      </c>
      <c r="D5639" t="s">
        <v>28</v>
      </c>
      <c r="E5639" s="2">
        <v>27.5</v>
      </c>
      <c r="F5639" s="4">
        <v>2</v>
      </c>
      <c r="G5639" s="2">
        <v>55</v>
      </c>
      <c r="H5639" t="s">
        <v>25</v>
      </c>
      <c r="I5639" t="s">
        <v>36</v>
      </c>
      <c r="J5639" s="1">
        <v>45126</v>
      </c>
      <c r="K5639" t="b">
        <v>1</v>
      </c>
    </row>
    <row r="5640" spans="1:11" x14ac:dyDescent="0.25">
      <c r="A5640" t="s">
        <v>1523</v>
      </c>
      <c r="B5640" t="s">
        <v>93</v>
      </c>
      <c r="C5640" t="s">
        <v>19</v>
      </c>
      <c r="D5640" t="s">
        <v>53</v>
      </c>
      <c r="E5640" s="2">
        <v>27.5</v>
      </c>
      <c r="F5640" s="4">
        <v>2</v>
      </c>
      <c r="G5640" s="2">
        <v>55</v>
      </c>
      <c r="H5640" t="s">
        <v>45</v>
      </c>
      <c r="I5640" t="s">
        <v>36</v>
      </c>
      <c r="J5640" s="1">
        <v>45496</v>
      </c>
      <c r="K5640" t="b">
        <v>1</v>
      </c>
    </row>
    <row r="5641" spans="1:11" x14ac:dyDescent="0.25">
      <c r="A5641" t="s">
        <v>5589</v>
      </c>
      <c r="B5641" t="s">
        <v>97</v>
      </c>
      <c r="C5641" t="s">
        <v>110</v>
      </c>
      <c r="D5641" t="s">
        <v>118</v>
      </c>
      <c r="E5641" s="2">
        <v>11</v>
      </c>
      <c r="F5641" s="4">
        <v>5</v>
      </c>
      <c r="G5641" s="2">
        <v>55</v>
      </c>
      <c r="H5641" t="s">
        <v>45</v>
      </c>
      <c r="I5641" t="s">
        <v>16</v>
      </c>
      <c r="J5641" s="1">
        <v>45144</v>
      </c>
      <c r="K5641" t="b">
        <v>1</v>
      </c>
    </row>
    <row r="5642" spans="1:11" x14ac:dyDescent="0.25">
      <c r="A5642" t="s">
        <v>345</v>
      </c>
      <c r="B5642" t="s">
        <v>85</v>
      </c>
      <c r="C5642" t="s">
        <v>110</v>
      </c>
      <c r="D5642" t="s">
        <v>118</v>
      </c>
      <c r="E5642" s="2">
        <v>11</v>
      </c>
      <c r="F5642" s="4">
        <v>5</v>
      </c>
      <c r="G5642" s="2">
        <v>55</v>
      </c>
      <c r="H5642" t="s">
        <v>45</v>
      </c>
      <c r="I5642" t="s">
        <v>36</v>
      </c>
      <c r="J5642" s="1">
        <v>44901</v>
      </c>
      <c r="K5642" t="b">
        <v>0</v>
      </c>
    </row>
    <row r="5643" spans="1:11" x14ac:dyDescent="0.25">
      <c r="A5643" t="s">
        <v>6878</v>
      </c>
      <c r="B5643" t="s">
        <v>97</v>
      </c>
      <c r="C5643" t="s">
        <v>38</v>
      </c>
      <c r="D5643" t="s">
        <v>193</v>
      </c>
      <c r="E5643" s="2">
        <v>11</v>
      </c>
      <c r="F5643" s="4">
        <v>5</v>
      </c>
      <c r="G5643" s="2">
        <v>55</v>
      </c>
      <c r="H5643" t="s">
        <v>15</v>
      </c>
      <c r="I5643" t="s">
        <v>36</v>
      </c>
      <c r="J5643" s="1">
        <v>45053</v>
      </c>
      <c r="K5643" t="b">
        <v>1</v>
      </c>
    </row>
    <row r="5644" spans="1:11" x14ac:dyDescent="0.25">
      <c r="A5644" t="s">
        <v>4832</v>
      </c>
      <c r="B5644" t="s">
        <v>30</v>
      </c>
      <c r="C5644" t="s">
        <v>23</v>
      </c>
      <c r="D5644" t="s">
        <v>410</v>
      </c>
      <c r="E5644" s="2">
        <v>11</v>
      </c>
      <c r="F5644" s="4">
        <v>5</v>
      </c>
      <c r="G5644" s="2">
        <v>55</v>
      </c>
      <c r="H5644" t="s">
        <v>45</v>
      </c>
      <c r="I5644" t="s">
        <v>16</v>
      </c>
      <c r="J5644" s="1">
        <v>44678</v>
      </c>
      <c r="K5644" t="b">
        <v>1</v>
      </c>
    </row>
    <row r="5645" spans="1:11" x14ac:dyDescent="0.25">
      <c r="A5645" t="s">
        <v>2442</v>
      </c>
      <c r="B5645" t="s">
        <v>72</v>
      </c>
      <c r="C5645" t="s">
        <v>31</v>
      </c>
      <c r="D5645" t="s">
        <v>1456</v>
      </c>
      <c r="E5645" s="2">
        <v>27.5</v>
      </c>
      <c r="F5645" s="4">
        <v>2</v>
      </c>
      <c r="G5645" s="2">
        <v>55</v>
      </c>
      <c r="H5645" t="s">
        <v>25</v>
      </c>
      <c r="I5645" t="s">
        <v>36</v>
      </c>
      <c r="J5645" s="1">
        <v>45484</v>
      </c>
      <c r="K5645" t="b">
        <v>0</v>
      </c>
    </row>
    <row r="5646" spans="1:11" x14ac:dyDescent="0.25">
      <c r="A5646" t="s">
        <v>6353</v>
      </c>
      <c r="B5646" t="s">
        <v>66</v>
      </c>
      <c r="C5646" t="s">
        <v>23</v>
      </c>
      <c r="D5646" t="s">
        <v>115</v>
      </c>
      <c r="E5646" s="2">
        <v>27.5</v>
      </c>
      <c r="F5646" s="4">
        <v>2</v>
      </c>
      <c r="G5646" s="2">
        <v>55</v>
      </c>
      <c r="H5646" t="s">
        <v>15</v>
      </c>
      <c r="I5646" t="s">
        <v>16</v>
      </c>
      <c r="J5646" s="1">
        <v>45259</v>
      </c>
      <c r="K5646" t="b">
        <v>0</v>
      </c>
    </row>
    <row r="5647" spans="1:11" x14ac:dyDescent="0.25">
      <c r="A5647" t="s">
        <v>7664</v>
      </c>
      <c r="B5647" t="s">
        <v>97</v>
      </c>
      <c r="C5647" t="s">
        <v>19</v>
      </c>
      <c r="D5647" t="s">
        <v>53</v>
      </c>
      <c r="E5647" s="2">
        <v>27.5</v>
      </c>
      <c r="F5647" s="4">
        <v>2</v>
      </c>
      <c r="G5647" s="2">
        <v>55</v>
      </c>
      <c r="H5647" t="s">
        <v>25</v>
      </c>
      <c r="I5647" t="s">
        <v>16</v>
      </c>
      <c r="J5647" s="1">
        <v>44818</v>
      </c>
      <c r="K5647" t="b">
        <v>1</v>
      </c>
    </row>
    <row r="5648" spans="1:11" x14ac:dyDescent="0.25">
      <c r="A5648" t="s">
        <v>7046</v>
      </c>
      <c r="B5648" t="s">
        <v>69</v>
      </c>
      <c r="C5648" t="s">
        <v>31</v>
      </c>
      <c r="D5648" t="s">
        <v>318</v>
      </c>
      <c r="E5648" s="2">
        <v>11</v>
      </c>
      <c r="F5648" s="4">
        <v>5</v>
      </c>
      <c r="G5648" s="2">
        <v>55</v>
      </c>
      <c r="H5648" t="s">
        <v>15</v>
      </c>
      <c r="I5648" t="s">
        <v>16</v>
      </c>
      <c r="J5648" s="1">
        <v>45273</v>
      </c>
      <c r="K5648" t="b">
        <v>0</v>
      </c>
    </row>
    <row r="5649" spans="1:11" x14ac:dyDescent="0.25">
      <c r="A5649" t="s">
        <v>1285</v>
      </c>
      <c r="B5649" t="s">
        <v>85</v>
      </c>
      <c r="C5649" t="s">
        <v>19</v>
      </c>
      <c r="D5649" t="s">
        <v>689</v>
      </c>
      <c r="E5649" s="2">
        <v>11</v>
      </c>
      <c r="F5649" s="4">
        <v>5</v>
      </c>
      <c r="G5649" s="2">
        <v>55</v>
      </c>
      <c r="H5649" t="s">
        <v>25</v>
      </c>
      <c r="I5649" t="s">
        <v>16</v>
      </c>
      <c r="J5649" s="1">
        <v>45375</v>
      </c>
      <c r="K5649" t="b">
        <v>1</v>
      </c>
    </row>
    <row r="5650" spans="1:11" x14ac:dyDescent="0.25">
      <c r="A5650" t="s">
        <v>2480</v>
      </c>
      <c r="B5650" t="s">
        <v>56</v>
      </c>
      <c r="C5650" t="s">
        <v>23</v>
      </c>
      <c r="D5650" t="s">
        <v>115</v>
      </c>
      <c r="E5650" s="2">
        <v>27.5</v>
      </c>
      <c r="F5650" s="4">
        <v>2</v>
      </c>
      <c r="G5650" s="2">
        <v>55</v>
      </c>
      <c r="H5650" t="s">
        <v>25</v>
      </c>
      <c r="I5650" t="s">
        <v>36</v>
      </c>
      <c r="J5650" s="1">
        <v>45548</v>
      </c>
      <c r="K5650" t="b">
        <v>0</v>
      </c>
    </row>
    <row r="5651" spans="1:11" x14ac:dyDescent="0.25">
      <c r="A5651" t="s">
        <v>967</v>
      </c>
      <c r="B5651" t="s">
        <v>37</v>
      </c>
      <c r="C5651" t="s">
        <v>27</v>
      </c>
      <c r="D5651" t="s">
        <v>968</v>
      </c>
      <c r="E5651" s="2">
        <v>11</v>
      </c>
      <c r="F5651" s="4">
        <v>5</v>
      </c>
      <c r="G5651" s="2">
        <v>55</v>
      </c>
      <c r="H5651" t="s">
        <v>25</v>
      </c>
      <c r="I5651" t="s">
        <v>16</v>
      </c>
      <c r="J5651" s="1">
        <v>45098</v>
      </c>
      <c r="K5651" t="b">
        <v>0</v>
      </c>
    </row>
    <row r="5652" spans="1:11" x14ac:dyDescent="0.25">
      <c r="A5652" t="s">
        <v>5139</v>
      </c>
      <c r="B5652" t="s">
        <v>26</v>
      </c>
      <c r="C5652" t="s">
        <v>59</v>
      </c>
      <c r="D5652" t="s">
        <v>347</v>
      </c>
      <c r="E5652" s="2">
        <v>11</v>
      </c>
      <c r="F5652" s="4">
        <v>5</v>
      </c>
      <c r="G5652" s="2">
        <v>55</v>
      </c>
      <c r="H5652" t="s">
        <v>15</v>
      </c>
      <c r="I5652" t="s">
        <v>36</v>
      </c>
      <c r="J5652" s="1">
        <v>45106</v>
      </c>
      <c r="K5652" t="b">
        <v>0</v>
      </c>
    </row>
    <row r="5653" spans="1:11" x14ac:dyDescent="0.25">
      <c r="A5653" t="s">
        <v>1146</v>
      </c>
      <c r="B5653" t="s">
        <v>51</v>
      </c>
      <c r="C5653" t="s">
        <v>110</v>
      </c>
      <c r="D5653" t="s">
        <v>111</v>
      </c>
      <c r="E5653" s="2">
        <v>27.5</v>
      </c>
      <c r="F5653" s="4">
        <v>2</v>
      </c>
      <c r="G5653" s="2">
        <v>55</v>
      </c>
      <c r="H5653" t="s">
        <v>15</v>
      </c>
      <c r="I5653" t="s">
        <v>16</v>
      </c>
      <c r="J5653" s="1">
        <v>45284</v>
      </c>
      <c r="K5653" t="b">
        <v>1</v>
      </c>
    </row>
    <row r="5654" spans="1:11" x14ac:dyDescent="0.25">
      <c r="A5654" t="s">
        <v>4684</v>
      </c>
      <c r="B5654" t="s">
        <v>43</v>
      </c>
      <c r="C5654" t="s">
        <v>59</v>
      </c>
      <c r="D5654" t="s">
        <v>272</v>
      </c>
      <c r="E5654" s="2">
        <v>27.5</v>
      </c>
      <c r="F5654" s="4">
        <v>2</v>
      </c>
      <c r="G5654" s="2">
        <v>55</v>
      </c>
      <c r="H5654" t="s">
        <v>45</v>
      </c>
      <c r="I5654" t="s">
        <v>16</v>
      </c>
      <c r="J5654" s="1">
        <v>44917</v>
      </c>
      <c r="K5654" t="b">
        <v>0</v>
      </c>
    </row>
    <row r="5655" spans="1:11" x14ac:dyDescent="0.25">
      <c r="A5655" t="s">
        <v>4751</v>
      </c>
      <c r="B5655" t="s">
        <v>86</v>
      </c>
      <c r="C5655" t="s">
        <v>110</v>
      </c>
      <c r="D5655" t="s">
        <v>111</v>
      </c>
      <c r="E5655" s="2">
        <v>27.5</v>
      </c>
      <c r="F5655" s="4">
        <v>2</v>
      </c>
      <c r="G5655" s="2">
        <v>55</v>
      </c>
      <c r="H5655" t="s">
        <v>15</v>
      </c>
      <c r="I5655" t="s">
        <v>16</v>
      </c>
      <c r="J5655" s="1">
        <v>45182</v>
      </c>
      <c r="K5655" t="b">
        <v>1</v>
      </c>
    </row>
    <row r="5656" spans="1:11" x14ac:dyDescent="0.25">
      <c r="A5656" t="s">
        <v>7495</v>
      </c>
      <c r="B5656" t="s">
        <v>22</v>
      </c>
      <c r="C5656" t="s">
        <v>31</v>
      </c>
      <c r="D5656" t="s">
        <v>318</v>
      </c>
      <c r="E5656" s="2">
        <v>11</v>
      </c>
      <c r="F5656" s="4">
        <v>5</v>
      </c>
      <c r="G5656" s="2">
        <v>55</v>
      </c>
      <c r="H5656" t="s">
        <v>15</v>
      </c>
      <c r="I5656" t="s">
        <v>36</v>
      </c>
      <c r="J5656" s="1">
        <v>44918</v>
      </c>
      <c r="K5656" t="b">
        <v>0</v>
      </c>
    </row>
    <row r="5657" spans="1:11" x14ac:dyDescent="0.25">
      <c r="A5657" t="s">
        <v>1044</v>
      </c>
      <c r="B5657" t="s">
        <v>26</v>
      </c>
      <c r="C5657" t="s">
        <v>13</v>
      </c>
      <c r="D5657" t="s">
        <v>183</v>
      </c>
      <c r="E5657" s="2">
        <v>27.5</v>
      </c>
      <c r="F5657" s="4">
        <v>2</v>
      </c>
      <c r="G5657" s="2">
        <v>55</v>
      </c>
      <c r="H5657" t="s">
        <v>15</v>
      </c>
      <c r="I5657" t="s">
        <v>16</v>
      </c>
      <c r="J5657" s="1">
        <v>44629</v>
      </c>
      <c r="K5657" t="b">
        <v>1</v>
      </c>
    </row>
    <row r="5658" spans="1:11" x14ac:dyDescent="0.25">
      <c r="A5658" t="s">
        <v>545</v>
      </c>
      <c r="B5658" t="s">
        <v>58</v>
      </c>
      <c r="C5658" t="s">
        <v>110</v>
      </c>
      <c r="D5658" t="s">
        <v>118</v>
      </c>
      <c r="E5658" s="2">
        <v>11</v>
      </c>
      <c r="F5658" s="4">
        <v>5</v>
      </c>
      <c r="G5658" s="2">
        <v>55</v>
      </c>
      <c r="H5658" t="s">
        <v>25</v>
      </c>
      <c r="I5658" t="s">
        <v>16</v>
      </c>
      <c r="J5658" s="1">
        <v>45091</v>
      </c>
      <c r="K5658" t="b">
        <v>0</v>
      </c>
    </row>
    <row r="5659" spans="1:11" x14ac:dyDescent="0.25">
      <c r="A5659" t="s">
        <v>6567</v>
      </c>
      <c r="B5659" t="s">
        <v>63</v>
      </c>
      <c r="C5659" t="s">
        <v>27</v>
      </c>
      <c r="D5659" t="s">
        <v>28</v>
      </c>
      <c r="E5659" s="2">
        <v>27.5</v>
      </c>
      <c r="F5659" s="4">
        <v>2</v>
      </c>
      <c r="G5659" s="2">
        <v>55</v>
      </c>
      <c r="H5659" t="s">
        <v>25</v>
      </c>
      <c r="I5659" t="s">
        <v>36</v>
      </c>
      <c r="J5659" s="1">
        <v>45510</v>
      </c>
      <c r="K5659" t="b">
        <v>0</v>
      </c>
    </row>
    <row r="5660" spans="1:11" x14ac:dyDescent="0.25">
      <c r="A5660" t="s">
        <v>6926</v>
      </c>
      <c r="B5660" t="s">
        <v>22</v>
      </c>
      <c r="C5660" t="s">
        <v>38</v>
      </c>
      <c r="D5660" t="s">
        <v>41</v>
      </c>
      <c r="E5660" s="2">
        <v>27.5</v>
      </c>
      <c r="F5660" s="4">
        <v>2</v>
      </c>
      <c r="G5660" s="2">
        <v>55</v>
      </c>
      <c r="H5660" t="s">
        <v>45</v>
      </c>
      <c r="I5660" t="s">
        <v>36</v>
      </c>
      <c r="J5660" s="1">
        <v>45286</v>
      </c>
      <c r="K5660" t="b">
        <v>1</v>
      </c>
    </row>
    <row r="5661" spans="1:11" x14ac:dyDescent="0.25">
      <c r="A5661" t="s">
        <v>1145</v>
      </c>
      <c r="B5661" t="s">
        <v>56</v>
      </c>
      <c r="C5661" t="s">
        <v>59</v>
      </c>
      <c r="D5661" t="s">
        <v>272</v>
      </c>
      <c r="E5661" s="2">
        <v>27.5</v>
      </c>
      <c r="F5661" s="4">
        <v>2</v>
      </c>
      <c r="G5661" s="2">
        <v>55</v>
      </c>
      <c r="H5661" t="s">
        <v>25</v>
      </c>
      <c r="I5661" t="s">
        <v>16</v>
      </c>
      <c r="J5661" s="1">
        <v>45291</v>
      </c>
      <c r="K5661" t="b">
        <v>1</v>
      </c>
    </row>
    <row r="5662" spans="1:11" x14ac:dyDescent="0.25">
      <c r="A5662" t="s">
        <v>1686</v>
      </c>
      <c r="B5662" t="s">
        <v>97</v>
      </c>
      <c r="C5662" t="s">
        <v>31</v>
      </c>
      <c r="D5662" t="s">
        <v>318</v>
      </c>
      <c r="E5662" s="2">
        <v>11</v>
      </c>
      <c r="F5662" s="4">
        <v>5</v>
      </c>
      <c r="G5662" s="2">
        <v>55</v>
      </c>
      <c r="H5662" t="s">
        <v>15</v>
      </c>
      <c r="I5662" t="s">
        <v>16</v>
      </c>
      <c r="J5662" s="1">
        <v>44647</v>
      </c>
      <c r="K5662" t="b">
        <v>1</v>
      </c>
    </row>
    <row r="5663" spans="1:11" x14ac:dyDescent="0.25">
      <c r="A5663" t="s">
        <v>4146</v>
      </c>
      <c r="B5663" t="s">
        <v>72</v>
      </c>
      <c r="C5663" t="s">
        <v>59</v>
      </c>
      <c r="D5663" t="s">
        <v>347</v>
      </c>
      <c r="E5663" s="2">
        <v>11</v>
      </c>
      <c r="F5663" s="4">
        <v>5</v>
      </c>
      <c r="G5663" s="2">
        <v>55</v>
      </c>
      <c r="H5663" t="s">
        <v>25</v>
      </c>
      <c r="I5663" t="s">
        <v>16</v>
      </c>
      <c r="J5663" s="1">
        <v>44765</v>
      </c>
      <c r="K5663" t="b">
        <v>1</v>
      </c>
    </row>
    <row r="5664" spans="1:11" x14ac:dyDescent="0.25">
      <c r="A5664" t="s">
        <v>2657</v>
      </c>
      <c r="B5664" t="s">
        <v>37</v>
      </c>
      <c r="C5664" t="s">
        <v>31</v>
      </c>
      <c r="D5664" t="s">
        <v>318</v>
      </c>
      <c r="E5664" s="2">
        <v>11</v>
      </c>
      <c r="F5664" s="4">
        <v>5</v>
      </c>
      <c r="G5664" s="2">
        <v>55</v>
      </c>
      <c r="H5664" t="s">
        <v>15</v>
      </c>
      <c r="I5664" t="s">
        <v>16</v>
      </c>
      <c r="J5664" s="1">
        <v>44571</v>
      </c>
      <c r="K5664" t="b">
        <v>1</v>
      </c>
    </row>
    <row r="5665" spans="1:11" x14ac:dyDescent="0.25">
      <c r="A5665" t="s">
        <v>7678</v>
      </c>
      <c r="B5665" t="s">
        <v>66</v>
      </c>
      <c r="C5665" t="s">
        <v>23</v>
      </c>
      <c r="D5665" t="s">
        <v>115</v>
      </c>
      <c r="E5665" s="2">
        <v>27.5</v>
      </c>
      <c r="F5665" s="4">
        <v>2</v>
      </c>
      <c r="G5665" s="2">
        <v>55</v>
      </c>
      <c r="H5665" t="s">
        <v>45</v>
      </c>
      <c r="I5665" t="s">
        <v>36</v>
      </c>
      <c r="J5665" s="1">
        <v>44779</v>
      </c>
      <c r="K5665" t="b">
        <v>1</v>
      </c>
    </row>
    <row r="5666" spans="1:11" x14ac:dyDescent="0.25">
      <c r="A5666" t="s">
        <v>3889</v>
      </c>
      <c r="B5666" t="s">
        <v>18</v>
      </c>
      <c r="C5666" t="s">
        <v>110</v>
      </c>
      <c r="D5666" t="s">
        <v>118</v>
      </c>
      <c r="E5666" s="2">
        <v>11</v>
      </c>
      <c r="F5666" s="4">
        <v>5</v>
      </c>
      <c r="G5666" s="2">
        <v>55</v>
      </c>
      <c r="H5666" t="s">
        <v>15</v>
      </c>
      <c r="I5666" t="s">
        <v>36</v>
      </c>
      <c r="J5666" s="1">
        <v>44800</v>
      </c>
      <c r="K5666" t="b">
        <v>0</v>
      </c>
    </row>
    <row r="5667" spans="1:11" x14ac:dyDescent="0.25">
      <c r="A5667" t="s">
        <v>2548</v>
      </c>
      <c r="B5667" t="s">
        <v>56</v>
      </c>
      <c r="C5667" t="s">
        <v>31</v>
      </c>
      <c r="D5667" t="s">
        <v>318</v>
      </c>
      <c r="E5667" s="2">
        <v>11</v>
      </c>
      <c r="F5667" s="4">
        <v>5</v>
      </c>
      <c r="G5667" s="2">
        <v>55</v>
      </c>
      <c r="H5667" t="s">
        <v>45</v>
      </c>
      <c r="I5667" t="s">
        <v>16</v>
      </c>
      <c r="J5667" s="1">
        <v>45068</v>
      </c>
      <c r="K5667" t="b">
        <v>0</v>
      </c>
    </row>
    <row r="5668" spans="1:11" x14ac:dyDescent="0.25">
      <c r="A5668" t="s">
        <v>7522</v>
      </c>
      <c r="B5668" t="s">
        <v>40</v>
      </c>
      <c r="C5668" t="s">
        <v>38</v>
      </c>
      <c r="D5668" t="s">
        <v>41</v>
      </c>
      <c r="E5668" s="2">
        <v>27.5</v>
      </c>
      <c r="F5668" s="4">
        <v>2</v>
      </c>
      <c r="G5668" s="2">
        <v>55</v>
      </c>
      <c r="H5668" t="s">
        <v>15</v>
      </c>
      <c r="I5668" t="s">
        <v>16</v>
      </c>
      <c r="J5668" s="1">
        <v>45220</v>
      </c>
      <c r="K5668" t="b">
        <v>0</v>
      </c>
    </row>
    <row r="5669" spans="1:11" x14ac:dyDescent="0.25">
      <c r="A5669" t="s">
        <v>591</v>
      </c>
      <c r="B5669" t="s">
        <v>85</v>
      </c>
      <c r="C5669" t="s">
        <v>38</v>
      </c>
      <c r="D5669" t="s">
        <v>193</v>
      </c>
      <c r="E5669" s="2">
        <v>11</v>
      </c>
      <c r="F5669" s="4">
        <v>5</v>
      </c>
      <c r="G5669" s="2">
        <v>55</v>
      </c>
      <c r="H5669" t="s">
        <v>25</v>
      </c>
      <c r="I5669" t="s">
        <v>36</v>
      </c>
      <c r="J5669" s="1">
        <v>45335</v>
      </c>
      <c r="K5669" t="b">
        <v>1</v>
      </c>
    </row>
    <row r="5670" spans="1:11" x14ac:dyDescent="0.25">
      <c r="A5670" t="s">
        <v>7738</v>
      </c>
      <c r="B5670" t="s">
        <v>104</v>
      </c>
      <c r="C5670" t="s">
        <v>19</v>
      </c>
      <c r="D5670" t="s">
        <v>53</v>
      </c>
      <c r="E5670" s="2">
        <v>27.5</v>
      </c>
      <c r="F5670" s="4">
        <v>2</v>
      </c>
      <c r="G5670" s="2">
        <v>55</v>
      </c>
      <c r="H5670" t="s">
        <v>45</v>
      </c>
      <c r="I5670" t="s">
        <v>36</v>
      </c>
      <c r="J5670" s="1">
        <v>45069</v>
      </c>
      <c r="K5670" t="b">
        <v>1</v>
      </c>
    </row>
    <row r="5671" spans="1:11" x14ac:dyDescent="0.25">
      <c r="A5671" t="s">
        <v>2986</v>
      </c>
      <c r="B5671" t="s">
        <v>97</v>
      </c>
      <c r="C5671" t="s">
        <v>38</v>
      </c>
      <c r="D5671" t="s">
        <v>41</v>
      </c>
      <c r="E5671" s="2">
        <v>27.5</v>
      </c>
      <c r="F5671" s="4">
        <v>2</v>
      </c>
      <c r="G5671" s="2">
        <v>55</v>
      </c>
      <c r="H5671" t="s">
        <v>25</v>
      </c>
      <c r="I5671" t="s">
        <v>36</v>
      </c>
      <c r="J5671" s="1">
        <v>45482</v>
      </c>
      <c r="K5671" t="b">
        <v>0</v>
      </c>
    </row>
    <row r="5672" spans="1:11" x14ac:dyDescent="0.25">
      <c r="A5672" t="s">
        <v>589</v>
      </c>
      <c r="B5672" t="s">
        <v>51</v>
      </c>
      <c r="C5672" t="s">
        <v>23</v>
      </c>
      <c r="D5672" t="s">
        <v>410</v>
      </c>
      <c r="E5672" s="2">
        <v>11</v>
      </c>
      <c r="F5672" s="4">
        <v>5</v>
      </c>
      <c r="G5672" s="2">
        <v>55</v>
      </c>
      <c r="H5672" t="s">
        <v>45</v>
      </c>
      <c r="I5672" t="s">
        <v>16</v>
      </c>
      <c r="J5672" s="1">
        <v>45651</v>
      </c>
      <c r="K5672" t="b">
        <v>1</v>
      </c>
    </row>
    <row r="5673" spans="1:11" x14ac:dyDescent="0.25">
      <c r="A5673" t="s">
        <v>3760</v>
      </c>
      <c r="B5673" t="s">
        <v>72</v>
      </c>
      <c r="C5673" t="s">
        <v>38</v>
      </c>
      <c r="D5673" t="s">
        <v>193</v>
      </c>
      <c r="E5673" s="2">
        <v>11</v>
      </c>
      <c r="F5673" s="4">
        <v>5</v>
      </c>
      <c r="G5673" s="2">
        <v>55</v>
      </c>
      <c r="H5673" t="s">
        <v>25</v>
      </c>
      <c r="I5673" t="s">
        <v>36</v>
      </c>
      <c r="J5673" s="1">
        <v>45367</v>
      </c>
      <c r="K5673" t="b">
        <v>0</v>
      </c>
    </row>
    <row r="5674" spans="1:11" x14ac:dyDescent="0.25">
      <c r="A5674" t="s">
        <v>2444</v>
      </c>
      <c r="B5674" t="s">
        <v>63</v>
      </c>
      <c r="C5674" t="s">
        <v>19</v>
      </c>
      <c r="D5674" t="s">
        <v>53</v>
      </c>
      <c r="E5674" s="2">
        <v>27.5</v>
      </c>
      <c r="F5674" s="4">
        <v>2</v>
      </c>
      <c r="G5674" s="2">
        <v>55</v>
      </c>
      <c r="H5674" t="s">
        <v>45</v>
      </c>
      <c r="I5674" t="s">
        <v>36</v>
      </c>
      <c r="J5674" s="1">
        <v>45259</v>
      </c>
      <c r="K5674" t="b">
        <v>1</v>
      </c>
    </row>
    <row r="5675" spans="1:11" x14ac:dyDescent="0.25">
      <c r="A5675" t="s">
        <v>1679</v>
      </c>
      <c r="B5675" t="s">
        <v>104</v>
      </c>
      <c r="C5675" t="s">
        <v>23</v>
      </c>
      <c r="D5675" t="s">
        <v>410</v>
      </c>
      <c r="E5675" s="2">
        <v>11</v>
      </c>
      <c r="F5675" s="4">
        <v>5</v>
      </c>
      <c r="G5675" s="2">
        <v>55</v>
      </c>
      <c r="H5675" t="s">
        <v>45</v>
      </c>
      <c r="I5675" t="s">
        <v>16</v>
      </c>
      <c r="J5675" s="1">
        <v>44776</v>
      </c>
      <c r="K5675" t="b">
        <v>0</v>
      </c>
    </row>
    <row r="5676" spans="1:11" x14ac:dyDescent="0.25">
      <c r="A5676" t="s">
        <v>4629</v>
      </c>
      <c r="B5676" t="s">
        <v>100</v>
      </c>
      <c r="C5676" t="s">
        <v>38</v>
      </c>
      <c r="D5676" t="s">
        <v>193</v>
      </c>
      <c r="E5676" s="2">
        <v>11</v>
      </c>
      <c r="F5676" s="4">
        <v>5</v>
      </c>
      <c r="G5676" s="2">
        <v>55</v>
      </c>
      <c r="H5676" t="s">
        <v>25</v>
      </c>
      <c r="I5676" t="s">
        <v>16</v>
      </c>
      <c r="J5676" s="1">
        <v>44587</v>
      </c>
      <c r="K5676" t="b">
        <v>1</v>
      </c>
    </row>
    <row r="5677" spans="1:11" x14ac:dyDescent="0.25">
      <c r="A5677" t="s">
        <v>2562</v>
      </c>
      <c r="B5677" t="s">
        <v>34</v>
      </c>
      <c r="C5677" t="s">
        <v>59</v>
      </c>
      <c r="D5677" t="s">
        <v>272</v>
      </c>
      <c r="E5677" s="2">
        <v>27.5</v>
      </c>
      <c r="F5677" s="4">
        <v>2</v>
      </c>
      <c r="G5677" s="2">
        <v>55</v>
      </c>
      <c r="H5677" t="s">
        <v>25</v>
      </c>
      <c r="I5677" t="s">
        <v>36</v>
      </c>
      <c r="J5677" s="1">
        <v>44800</v>
      </c>
      <c r="K5677" t="b">
        <v>0</v>
      </c>
    </row>
    <row r="5678" spans="1:11" x14ac:dyDescent="0.25">
      <c r="A5678" t="s">
        <v>5084</v>
      </c>
      <c r="B5678" t="s">
        <v>34</v>
      </c>
      <c r="C5678" t="s">
        <v>59</v>
      </c>
      <c r="D5678" t="s">
        <v>272</v>
      </c>
      <c r="E5678" s="2">
        <v>27.5</v>
      </c>
      <c r="F5678" s="4">
        <v>2</v>
      </c>
      <c r="G5678" s="2">
        <v>55</v>
      </c>
      <c r="H5678" t="s">
        <v>15</v>
      </c>
      <c r="I5678" t="s">
        <v>36</v>
      </c>
      <c r="J5678" s="1">
        <v>45217</v>
      </c>
      <c r="K5678" t="b">
        <v>0</v>
      </c>
    </row>
    <row r="5679" spans="1:11" x14ac:dyDescent="0.25">
      <c r="A5679" t="s">
        <v>845</v>
      </c>
      <c r="B5679" t="s">
        <v>30</v>
      </c>
      <c r="C5679" t="s">
        <v>13</v>
      </c>
      <c r="D5679" t="s">
        <v>471</v>
      </c>
      <c r="E5679" s="2">
        <v>11</v>
      </c>
      <c r="F5679" s="4">
        <v>5</v>
      </c>
      <c r="G5679" s="2">
        <v>55</v>
      </c>
      <c r="H5679" t="s">
        <v>25</v>
      </c>
      <c r="I5679" t="s">
        <v>36</v>
      </c>
      <c r="J5679" s="1">
        <v>45030</v>
      </c>
      <c r="K5679" t="b">
        <v>0</v>
      </c>
    </row>
    <row r="5680" spans="1:11" x14ac:dyDescent="0.25">
      <c r="A5680" t="s">
        <v>2805</v>
      </c>
      <c r="B5680" t="s">
        <v>22</v>
      </c>
      <c r="C5680" t="s">
        <v>19</v>
      </c>
      <c r="D5680" t="s">
        <v>53</v>
      </c>
      <c r="E5680" s="2">
        <v>27.5</v>
      </c>
      <c r="F5680" s="4">
        <v>2</v>
      </c>
      <c r="G5680" s="2">
        <v>55</v>
      </c>
      <c r="H5680" t="s">
        <v>15</v>
      </c>
      <c r="I5680" t="s">
        <v>16</v>
      </c>
      <c r="J5680" s="1">
        <v>45344</v>
      </c>
      <c r="K5680" t="b">
        <v>0</v>
      </c>
    </row>
    <row r="5681" spans="1:11" x14ac:dyDescent="0.25">
      <c r="A5681" t="s">
        <v>2094</v>
      </c>
      <c r="B5681" t="s">
        <v>22</v>
      </c>
      <c r="C5681" t="s">
        <v>38</v>
      </c>
      <c r="D5681" t="s">
        <v>341</v>
      </c>
      <c r="E5681" s="2">
        <v>26</v>
      </c>
      <c r="F5681" s="4">
        <v>2</v>
      </c>
      <c r="G5681" s="2">
        <v>52</v>
      </c>
      <c r="H5681" t="s">
        <v>25</v>
      </c>
      <c r="I5681" t="s">
        <v>36</v>
      </c>
      <c r="J5681" s="1">
        <v>44684</v>
      </c>
      <c r="K5681" t="b">
        <v>1</v>
      </c>
    </row>
    <row r="5682" spans="1:11" x14ac:dyDescent="0.25">
      <c r="A5682" t="s">
        <v>7202</v>
      </c>
      <c r="B5682" t="s">
        <v>37</v>
      </c>
      <c r="C5682" t="s">
        <v>27</v>
      </c>
      <c r="D5682" t="s">
        <v>246</v>
      </c>
      <c r="E5682" s="2">
        <v>6.5</v>
      </c>
      <c r="F5682" s="4">
        <v>8</v>
      </c>
      <c r="G5682" s="2">
        <v>52</v>
      </c>
      <c r="H5682" t="s">
        <v>15</v>
      </c>
      <c r="I5682" t="s">
        <v>36</v>
      </c>
      <c r="J5682" s="1">
        <v>44798</v>
      </c>
      <c r="K5682" t="b">
        <v>1</v>
      </c>
    </row>
    <row r="5683" spans="1:11" x14ac:dyDescent="0.25">
      <c r="A5683" t="s">
        <v>7778</v>
      </c>
      <c r="B5683" t="s">
        <v>30</v>
      </c>
      <c r="C5683" t="s">
        <v>31</v>
      </c>
      <c r="D5683" t="s">
        <v>579</v>
      </c>
      <c r="E5683" s="2">
        <v>26</v>
      </c>
      <c r="F5683" s="4">
        <v>2</v>
      </c>
      <c r="G5683" s="2">
        <v>52</v>
      </c>
      <c r="H5683" t="s">
        <v>45</v>
      </c>
      <c r="I5683" t="s">
        <v>36</v>
      </c>
      <c r="J5683" s="1">
        <v>45464</v>
      </c>
      <c r="K5683" t="b">
        <v>1</v>
      </c>
    </row>
    <row r="5684" spans="1:11" x14ac:dyDescent="0.25">
      <c r="A5684" t="s">
        <v>1928</v>
      </c>
      <c r="B5684" t="s">
        <v>37</v>
      </c>
      <c r="C5684" t="s">
        <v>59</v>
      </c>
      <c r="D5684" t="s">
        <v>541</v>
      </c>
      <c r="E5684" s="2">
        <v>6.5</v>
      </c>
      <c r="F5684" s="4">
        <v>8</v>
      </c>
      <c r="G5684" s="2">
        <v>52</v>
      </c>
      <c r="H5684" t="s">
        <v>15</v>
      </c>
      <c r="I5684" t="s">
        <v>16</v>
      </c>
      <c r="J5684" s="1">
        <v>45256</v>
      </c>
      <c r="K5684" t="b">
        <v>1</v>
      </c>
    </row>
    <row r="5685" spans="1:11" x14ac:dyDescent="0.25">
      <c r="A5685" t="s">
        <v>3887</v>
      </c>
      <c r="B5685" t="s">
        <v>30</v>
      </c>
      <c r="C5685" t="s">
        <v>13</v>
      </c>
      <c r="D5685" t="s">
        <v>343</v>
      </c>
      <c r="E5685" s="2">
        <v>26</v>
      </c>
      <c r="F5685" s="4">
        <v>2</v>
      </c>
      <c r="G5685" s="2">
        <v>52</v>
      </c>
      <c r="H5685" t="s">
        <v>25</v>
      </c>
      <c r="I5685" t="s">
        <v>36</v>
      </c>
      <c r="J5685" s="1">
        <v>45359</v>
      </c>
      <c r="K5685" t="b">
        <v>1</v>
      </c>
    </row>
    <row r="5686" spans="1:11" x14ac:dyDescent="0.25">
      <c r="A5686" t="s">
        <v>3322</v>
      </c>
      <c r="B5686" t="s">
        <v>12</v>
      </c>
      <c r="C5686" t="s">
        <v>23</v>
      </c>
      <c r="D5686" t="s">
        <v>853</v>
      </c>
      <c r="E5686" s="2">
        <v>26</v>
      </c>
      <c r="F5686" s="4">
        <v>2</v>
      </c>
      <c r="G5686" s="2">
        <v>52</v>
      </c>
      <c r="H5686" t="s">
        <v>25</v>
      </c>
      <c r="I5686" t="s">
        <v>36</v>
      </c>
      <c r="J5686" s="1">
        <v>45120</v>
      </c>
      <c r="K5686" t="b">
        <v>0</v>
      </c>
    </row>
    <row r="5687" spans="1:11" x14ac:dyDescent="0.25">
      <c r="A5687" t="s">
        <v>6400</v>
      </c>
      <c r="B5687" t="s">
        <v>34</v>
      </c>
      <c r="C5687" t="s">
        <v>59</v>
      </c>
      <c r="D5687" t="s">
        <v>463</v>
      </c>
      <c r="E5687" s="2">
        <v>26</v>
      </c>
      <c r="F5687" s="4">
        <v>2</v>
      </c>
      <c r="G5687" s="2">
        <v>52</v>
      </c>
      <c r="H5687" t="s">
        <v>45</v>
      </c>
      <c r="I5687" t="s">
        <v>36</v>
      </c>
      <c r="J5687" s="1">
        <v>44788</v>
      </c>
      <c r="K5687" t="b">
        <v>1</v>
      </c>
    </row>
    <row r="5688" spans="1:11" x14ac:dyDescent="0.25">
      <c r="A5688" t="s">
        <v>1581</v>
      </c>
      <c r="B5688" t="s">
        <v>93</v>
      </c>
      <c r="C5688" t="s">
        <v>23</v>
      </c>
      <c r="D5688" t="s">
        <v>137</v>
      </c>
      <c r="E5688" s="2">
        <v>6.5</v>
      </c>
      <c r="F5688" s="4">
        <v>8</v>
      </c>
      <c r="G5688" s="2">
        <v>52</v>
      </c>
      <c r="H5688" t="s">
        <v>15</v>
      </c>
      <c r="I5688" t="s">
        <v>16</v>
      </c>
      <c r="J5688" s="1">
        <v>45614</v>
      </c>
      <c r="K5688" t="b">
        <v>1</v>
      </c>
    </row>
    <row r="5689" spans="1:11" x14ac:dyDescent="0.25">
      <c r="A5689" t="s">
        <v>2831</v>
      </c>
      <c r="B5689" t="s">
        <v>12</v>
      </c>
      <c r="C5689" t="s">
        <v>38</v>
      </c>
      <c r="D5689" t="s">
        <v>235</v>
      </c>
      <c r="E5689" s="2">
        <v>6.5</v>
      </c>
      <c r="F5689" s="4">
        <v>8</v>
      </c>
      <c r="G5689" s="2">
        <v>52</v>
      </c>
      <c r="H5689" t="s">
        <v>15</v>
      </c>
      <c r="I5689" t="s">
        <v>36</v>
      </c>
      <c r="J5689" s="1">
        <v>45340</v>
      </c>
      <c r="K5689" t="b">
        <v>0</v>
      </c>
    </row>
    <row r="5690" spans="1:11" x14ac:dyDescent="0.25">
      <c r="A5690" t="s">
        <v>3099</v>
      </c>
      <c r="B5690" t="s">
        <v>56</v>
      </c>
      <c r="C5690" t="s">
        <v>13</v>
      </c>
      <c r="D5690" t="s">
        <v>343</v>
      </c>
      <c r="E5690" s="2">
        <v>26</v>
      </c>
      <c r="F5690" s="4">
        <v>2</v>
      </c>
      <c r="G5690" s="2">
        <v>52</v>
      </c>
      <c r="H5690" t="s">
        <v>15</v>
      </c>
      <c r="I5690" t="s">
        <v>16</v>
      </c>
      <c r="J5690" s="1">
        <v>45224</v>
      </c>
      <c r="K5690" t="b">
        <v>1</v>
      </c>
    </row>
    <row r="5691" spans="1:11" x14ac:dyDescent="0.25">
      <c r="A5691" t="s">
        <v>4801</v>
      </c>
      <c r="B5691" t="s">
        <v>66</v>
      </c>
      <c r="C5691" t="s">
        <v>59</v>
      </c>
      <c r="D5691" t="s">
        <v>463</v>
      </c>
      <c r="E5691" s="2">
        <v>26</v>
      </c>
      <c r="F5691" s="4">
        <v>2</v>
      </c>
      <c r="G5691" s="2">
        <v>52</v>
      </c>
      <c r="H5691" t="s">
        <v>45</v>
      </c>
      <c r="I5691" t="s">
        <v>16</v>
      </c>
      <c r="J5691" s="1">
        <v>44939</v>
      </c>
      <c r="K5691" t="b">
        <v>0</v>
      </c>
    </row>
    <row r="5692" spans="1:11" x14ac:dyDescent="0.25">
      <c r="A5692" t="s">
        <v>6059</v>
      </c>
      <c r="B5692" t="s">
        <v>104</v>
      </c>
      <c r="C5692" t="s">
        <v>110</v>
      </c>
      <c r="D5692" t="s">
        <v>221</v>
      </c>
      <c r="E5692" s="2">
        <v>6.5</v>
      </c>
      <c r="F5692" s="4">
        <v>8</v>
      </c>
      <c r="G5692" s="2">
        <v>52</v>
      </c>
      <c r="H5692" t="s">
        <v>25</v>
      </c>
      <c r="I5692" t="s">
        <v>16</v>
      </c>
      <c r="J5692" s="1">
        <v>44628</v>
      </c>
      <c r="K5692" t="b">
        <v>0</v>
      </c>
    </row>
    <row r="5693" spans="1:11" x14ac:dyDescent="0.25">
      <c r="A5693" t="s">
        <v>7244</v>
      </c>
      <c r="B5693" t="s">
        <v>142</v>
      </c>
      <c r="C5693" t="s">
        <v>27</v>
      </c>
      <c r="D5693" t="s">
        <v>246</v>
      </c>
      <c r="E5693" s="2">
        <v>6.5</v>
      </c>
      <c r="F5693" s="4">
        <v>8</v>
      </c>
      <c r="G5693" s="2">
        <v>52</v>
      </c>
      <c r="H5693" t="s">
        <v>25</v>
      </c>
      <c r="I5693" t="s">
        <v>16</v>
      </c>
      <c r="J5693" s="1">
        <v>44768</v>
      </c>
      <c r="K5693" t="b">
        <v>0</v>
      </c>
    </row>
    <row r="5694" spans="1:11" x14ac:dyDescent="0.25">
      <c r="A5694" t="s">
        <v>3745</v>
      </c>
      <c r="B5694" t="s">
        <v>77</v>
      </c>
      <c r="C5694" t="s">
        <v>19</v>
      </c>
      <c r="D5694" t="s">
        <v>308</v>
      </c>
      <c r="E5694" s="2">
        <v>6.5</v>
      </c>
      <c r="F5694" s="4">
        <v>8</v>
      </c>
      <c r="G5694" s="2">
        <v>52</v>
      </c>
      <c r="H5694" t="s">
        <v>45</v>
      </c>
      <c r="I5694" t="s">
        <v>16</v>
      </c>
      <c r="J5694" s="1">
        <v>44989</v>
      </c>
      <c r="K5694" t="b">
        <v>1</v>
      </c>
    </row>
    <row r="5695" spans="1:11" x14ac:dyDescent="0.25">
      <c r="A5695" t="s">
        <v>3082</v>
      </c>
      <c r="B5695" t="s">
        <v>86</v>
      </c>
      <c r="C5695" t="s">
        <v>19</v>
      </c>
      <c r="D5695" t="s">
        <v>308</v>
      </c>
      <c r="E5695" s="2">
        <v>6.5</v>
      </c>
      <c r="F5695" s="4">
        <v>8</v>
      </c>
      <c r="G5695" s="2">
        <v>52</v>
      </c>
      <c r="H5695" t="s">
        <v>15</v>
      </c>
      <c r="I5695" t="s">
        <v>16</v>
      </c>
      <c r="J5695" s="1">
        <v>45431</v>
      </c>
      <c r="K5695" t="b">
        <v>1</v>
      </c>
    </row>
    <row r="5696" spans="1:11" x14ac:dyDescent="0.25">
      <c r="A5696" t="s">
        <v>6352</v>
      </c>
      <c r="B5696" t="s">
        <v>18</v>
      </c>
      <c r="C5696" t="s">
        <v>19</v>
      </c>
      <c r="D5696" t="s">
        <v>308</v>
      </c>
      <c r="E5696" s="2">
        <v>6.5</v>
      </c>
      <c r="F5696" s="4">
        <v>8</v>
      </c>
      <c r="G5696" s="2">
        <v>52</v>
      </c>
      <c r="H5696" t="s">
        <v>25</v>
      </c>
      <c r="I5696" t="s">
        <v>36</v>
      </c>
      <c r="J5696" s="1">
        <v>44836</v>
      </c>
      <c r="K5696" t="b">
        <v>0</v>
      </c>
    </row>
    <row r="5697" spans="1:11" x14ac:dyDescent="0.25">
      <c r="A5697" t="s">
        <v>5907</v>
      </c>
      <c r="B5697" t="s">
        <v>85</v>
      </c>
      <c r="C5697" t="s">
        <v>38</v>
      </c>
      <c r="D5697" t="s">
        <v>235</v>
      </c>
      <c r="E5697" s="2">
        <v>6.5</v>
      </c>
      <c r="F5697" s="4">
        <v>8</v>
      </c>
      <c r="G5697" s="2">
        <v>52</v>
      </c>
      <c r="H5697" t="s">
        <v>15</v>
      </c>
      <c r="I5697" t="s">
        <v>36</v>
      </c>
      <c r="J5697" s="1">
        <v>44836</v>
      </c>
      <c r="K5697" t="b">
        <v>1</v>
      </c>
    </row>
    <row r="5698" spans="1:11" x14ac:dyDescent="0.25">
      <c r="A5698" t="s">
        <v>1398</v>
      </c>
      <c r="B5698" t="s">
        <v>37</v>
      </c>
      <c r="C5698" t="s">
        <v>59</v>
      </c>
      <c r="D5698" t="s">
        <v>463</v>
      </c>
      <c r="E5698" s="2">
        <v>26</v>
      </c>
      <c r="F5698" s="4">
        <v>2</v>
      </c>
      <c r="G5698" s="2">
        <v>52</v>
      </c>
      <c r="H5698" t="s">
        <v>45</v>
      </c>
      <c r="I5698" t="s">
        <v>16</v>
      </c>
      <c r="J5698" s="1">
        <v>44808</v>
      </c>
      <c r="K5698" t="b">
        <v>0</v>
      </c>
    </row>
    <row r="5699" spans="1:11" x14ac:dyDescent="0.25">
      <c r="A5699" t="s">
        <v>5514</v>
      </c>
      <c r="B5699" t="s">
        <v>63</v>
      </c>
      <c r="C5699" t="s">
        <v>27</v>
      </c>
      <c r="D5699" t="s">
        <v>246</v>
      </c>
      <c r="E5699" s="2">
        <v>6.5</v>
      </c>
      <c r="F5699" s="4">
        <v>8</v>
      </c>
      <c r="G5699" s="2">
        <v>52</v>
      </c>
      <c r="H5699" t="s">
        <v>45</v>
      </c>
      <c r="I5699" t="s">
        <v>16</v>
      </c>
      <c r="J5699" s="1">
        <v>45449</v>
      </c>
      <c r="K5699" t="b">
        <v>1</v>
      </c>
    </row>
    <row r="5700" spans="1:11" x14ac:dyDescent="0.25">
      <c r="A5700" t="s">
        <v>4566</v>
      </c>
      <c r="B5700" t="s">
        <v>69</v>
      </c>
      <c r="C5700" t="s">
        <v>13</v>
      </c>
      <c r="D5700" t="s">
        <v>343</v>
      </c>
      <c r="E5700" s="2">
        <v>26</v>
      </c>
      <c r="F5700" s="4">
        <v>2</v>
      </c>
      <c r="G5700" s="2">
        <v>52</v>
      </c>
      <c r="H5700" t="s">
        <v>25</v>
      </c>
      <c r="I5700" t="s">
        <v>16</v>
      </c>
      <c r="J5700" s="1">
        <v>45122</v>
      </c>
      <c r="K5700" t="b">
        <v>0</v>
      </c>
    </row>
    <row r="5701" spans="1:11" x14ac:dyDescent="0.25">
      <c r="A5701" t="s">
        <v>4436</v>
      </c>
      <c r="B5701" t="s">
        <v>43</v>
      </c>
      <c r="C5701" t="s">
        <v>38</v>
      </c>
      <c r="D5701" t="s">
        <v>235</v>
      </c>
      <c r="E5701" s="2">
        <v>6.5</v>
      </c>
      <c r="F5701" s="4">
        <v>8</v>
      </c>
      <c r="G5701" s="2">
        <v>52</v>
      </c>
      <c r="H5701" t="s">
        <v>25</v>
      </c>
      <c r="I5701" t="s">
        <v>16</v>
      </c>
      <c r="J5701" s="1">
        <v>44988</v>
      </c>
      <c r="K5701" t="b">
        <v>0</v>
      </c>
    </row>
    <row r="5702" spans="1:11" x14ac:dyDescent="0.25">
      <c r="A5702" t="s">
        <v>4734</v>
      </c>
      <c r="B5702" t="s">
        <v>26</v>
      </c>
      <c r="C5702" t="s">
        <v>23</v>
      </c>
      <c r="D5702" t="s">
        <v>853</v>
      </c>
      <c r="E5702" s="2">
        <v>26</v>
      </c>
      <c r="F5702" s="4">
        <v>2</v>
      </c>
      <c r="G5702" s="2">
        <v>52</v>
      </c>
      <c r="H5702" t="s">
        <v>15</v>
      </c>
      <c r="I5702" t="s">
        <v>36</v>
      </c>
      <c r="J5702" s="1">
        <v>44767</v>
      </c>
      <c r="K5702" t="b">
        <v>1</v>
      </c>
    </row>
    <row r="5703" spans="1:11" x14ac:dyDescent="0.25">
      <c r="A5703" t="s">
        <v>6498</v>
      </c>
      <c r="B5703" t="s">
        <v>12</v>
      </c>
      <c r="C5703" t="s">
        <v>59</v>
      </c>
      <c r="D5703" t="s">
        <v>541</v>
      </c>
      <c r="E5703" s="2">
        <v>6.5</v>
      </c>
      <c r="F5703" s="4">
        <v>8</v>
      </c>
      <c r="G5703" s="2">
        <v>52</v>
      </c>
      <c r="H5703" t="s">
        <v>15</v>
      </c>
      <c r="I5703" t="s">
        <v>36</v>
      </c>
      <c r="J5703" s="1">
        <v>45450</v>
      </c>
      <c r="K5703" t="b">
        <v>0</v>
      </c>
    </row>
    <row r="5704" spans="1:11" x14ac:dyDescent="0.25">
      <c r="A5704" t="s">
        <v>1596</v>
      </c>
      <c r="B5704" t="s">
        <v>72</v>
      </c>
      <c r="C5704" t="s">
        <v>38</v>
      </c>
      <c r="D5704" t="s">
        <v>235</v>
      </c>
      <c r="E5704" s="2">
        <v>6.5</v>
      </c>
      <c r="F5704" s="4">
        <v>8</v>
      </c>
      <c r="G5704" s="2">
        <v>52</v>
      </c>
      <c r="H5704" t="s">
        <v>15</v>
      </c>
      <c r="I5704" t="s">
        <v>16</v>
      </c>
      <c r="J5704" s="1">
        <v>44954</v>
      </c>
      <c r="K5704" t="b">
        <v>1</v>
      </c>
    </row>
    <row r="5705" spans="1:11" x14ac:dyDescent="0.25">
      <c r="A5705" t="s">
        <v>1744</v>
      </c>
      <c r="B5705" t="s">
        <v>43</v>
      </c>
      <c r="C5705" t="s">
        <v>13</v>
      </c>
      <c r="D5705" t="s">
        <v>428</v>
      </c>
      <c r="E5705" s="2">
        <v>6.5</v>
      </c>
      <c r="F5705" s="4">
        <v>8</v>
      </c>
      <c r="G5705" s="2">
        <v>52</v>
      </c>
      <c r="H5705" t="s">
        <v>15</v>
      </c>
      <c r="I5705" t="s">
        <v>16</v>
      </c>
      <c r="J5705" s="1">
        <v>45615</v>
      </c>
      <c r="K5705" t="b">
        <v>1</v>
      </c>
    </row>
    <row r="5706" spans="1:11" x14ac:dyDescent="0.25">
      <c r="A5706" t="s">
        <v>6812</v>
      </c>
      <c r="B5706" t="s">
        <v>26</v>
      </c>
      <c r="C5706" t="s">
        <v>23</v>
      </c>
      <c r="D5706" t="s">
        <v>137</v>
      </c>
      <c r="E5706" s="2">
        <v>6.5</v>
      </c>
      <c r="F5706" s="4">
        <v>8</v>
      </c>
      <c r="G5706" s="2">
        <v>52</v>
      </c>
      <c r="H5706" t="s">
        <v>25</v>
      </c>
      <c r="I5706" t="s">
        <v>36</v>
      </c>
      <c r="J5706" s="1">
        <v>45175</v>
      </c>
      <c r="K5706" t="b">
        <v>1</v>
      </c>
    </row>
    <row r="5707" spans="1:11" x14ac:dyDescent="0.25">
      <c r="A5707" t="s">
        <v>5293</v>
      </c>
      <c r="B5707" t="s">
        <v>93</v>
      </c>
      <c r="C5707" t="s">
        <v>31</v>
      </c>
      <c r="D5707" t="s">
        <v>579</v>
      </c>
      <c r="E5707" s="2">
        <v>26</v>
      </c>
      <c r="F5707" s="4">
        <v>2</v>
      </c>
      <c r="G5707" s="2">
        <v>52</v>
      </c>
      <c r="H5707" t="s">
        <v>15</v>
      </c>
      <c r="I5707" t="s">
        <v>16</v>
      </c>
      <c r="J5707" s="1">
        <v>45005</v>
      </c>
      <c r="K5707" t="b">
        <v>1</v>
      </c>
    </row>
    <row r="5708" spans="1:11" x14ac:dyDescent="0.25">
      <c r="A5708" t="s">
        <v>7628</v>
      </c>
      <c r="B5708" t="s">
        <v>66</v>
      </c>
      <c r="C5708" t="s">
        <v>38</v>
      </c>
      <c r="D5708" t="s">
        <v>235</v>
      </c>
      <c r="E5708" s="2">
        <v>6.5</v>
      </c>
      <c r="F5708" s="4">
        <v>8</v>
      </c>
      <c r="G5708" s="2">
        <v>52</v>
      </c>
      <c r="H5708" t="s">
        <v>15</v>
      </c>
      <c r="I5708" t="s">
        <v>16</v>
      </c>
      <c r="J5708" s="1">
        <v>44870</v>
      </c>
      <c r="K5708" t="b">
        <v>1</v>
      </c>
    </row>
    <row r="5709" spans="1:11" x14ac:dyDescent="0.25">
      <c r="A5709" t="s">
        <v>3874</v>
      </c>
      <c r="B5709" t="s">
        <v>100</v>
      </c>
      <c r="C5709" t="s">
        <v>23</v>
      </c>
      <c r="D5709" t="s">
        <v>853</v>
      </c>
      <c r="E5709" s="2">
        <v>26</v>
      </c>
      <c r="F5709" s="4">
        <v>2</v>
      </c>
      <c r="G5709" s="2">
        <v>52</v>
      </c>
      <c r="H5709" t="s">
        <v>25</v>
      </c>
      <c r="I5709" t="s">
        <v>36</v>
      </c>
      <c r="J5709" s="1">
        <v>44943</v>
      </c>
      <c r="K5709" t="b">
        <v>1</v>
      </c>
    </row>
    <row r="5710" spans="1:11" x14ac:dyDescent="0.25">
      <c r="A5710" t="s">
        <v>6821</v>
      </c>
      <c r="B5710" t="s">
        <v>93</v>
      </c>
      <c r="C5710" t="s">
        <v>13</v>
      </c>
      <c r="D5710" t="s">
        <v>343</v>
      </c>
      <c r="E5710" s="2">
        <v>26</v>
      </c>
      <c r="F5710" s="4">
        <v>2</v>
      </c>
      <c r="G5710" s="2">
        <v>52</v>
      </c>
      <c r="H5710" t="s">
        <v>15</v>
      </c>
      <c r="I5710" t="s">
        <v>16</v>
      </c>
      <c r="J5710" s="1">
        <v>44616</v>
      </c>
      <c r="K5710" t="b">
        <v>0</v>
      </c>
    </row>
    <row r="5711" spans="1:11" x14ac:dyDescent="0.25">
      <c r="A5711" t="s">
        <v>5885</v>
      </c>
      <c r="B5711" t="s">
        <v>77</v>
      </c>
      <c r="C5711" t="s">
        <v>59</v>
      </c>
      <c r="D5711" t="s">
        <v>463</v>
      </c>
      <c r="E5711" s="2">
        <v>26</v>
      </c>
      <c r="F5711" s="4">
        <v>2</v>
      </c>
      <c r="G5711" s="2">
        <v>52</v>
      </c>
      <c r="H5711" t="s">
        <v>25</v>
      </c>
      <c r="I5711" t="s">
        <v>16</v>
      </c>
      <c r="J5711" s="1">
        <v>44935</v>
      </c>
      <c r="K5711" t="b">
        <v>1</v>
      </c>
    </row>
    <row r="5712" spans="1:11" x14ac:dyDescent="0.25">
      <c r="A5712" t="s">
        <v>7541</v>
      </c>
      <c r="B5712" t="s">
        <v>97</v>
      </c>
      <c r="C5712" t="s">
        <v>13</v>
      </c>
      <c r="D5712" t="s">
        <v>428</v>
      </c>
      <c r="E5712" s="2">
        <v>6.5</v>
      </c>
      <c r="F5712" s="4">
        <v>8</v>
      </c>
      <c r="G5712" s="2">
        <v>52</v>
      </c>
      <c r="H5712" t="s">
        <v>45</v>
      </c>
      <c r="I5712" t="s">
        <v>16</v>
      </c>
      <c r="J5712" s="1">
        <v>45460</v>
      </c>
      <c r="K5712" t="b">
        <v>0</v>
      </c>
    </row>
    <row r="5713" spans="1:11" x14ac:dyDescent="0.25">
      <c r="A5713" t="s">
        <v>4230</v>
      </c>
      <c r="B5713" t="s">
        <v>18</v>
      </c>
      <c r="C5713" t="s">
        <v>110</v>
      </c>
      <c r="D5713" t="s">
        <v>126</v>
      </c>
      <c r="E5713" s="2">
        <v>26</v>
      </c>
      <c r="F5713" s="4">
        <v>2</v>
      </c>
      <c r="G5713" s="2">
        <v>52</v>
      </c>
      <c r="H5713" t="s">
        <v>25</v>
      </c>
      <c r="I5713" t="s">
        <v>36</v>
      </c>
      <c r="J5713" s="1">
        <v>44962</v>
      </c>
      <c r="K5713" t="b">
        <v>1</v>
      </c>
    </row>
    <row r="5714" spans="1:11" x14ac:dyDescent="0.25">
      <c r="A5714" t="s">
        <v>6079</v>
      </c>
      <c r="B5714" t="s">
        <v>61</v>
      </c>
      <c r="C5714" t="s">
        <v>23</v>
      </c>
      <c r="D5714" t="s">
        <v>137</v>
      </c>
      <c r="E5714" s="2">
        <v>6.5</v>
      </c>
      <c r="F5714" s="4">
        <v>8</v>
      </c>
      <c r="G5714" s="2">
        <v>52</v>
      </c>
      <c r="H5714" t="s">
        <v>25</v>
      </c>
      <c r="I5714" t="s">
        <v>16</v>
      </c>
      <c r="J5714" s="1">
        <v>44904</v>
      </c>
      <c r="K5714" t="b">
        <v>1</v>
      </c>
    </row>
    <row r="5715" spans="1:11" x14ac:dyDescent="0.25">
      <c r="A5715" t="s">
        <v>1088</v>
      </c>
      <c r="B5715" t="s">
        <v>142</v>
      </c>
      <c r="C5715" t="s">
        <v>19</v>
      </c>
      <c r="D5715" t="s">
        <v>308</v>
      </c>
      <c r="E5715" s="2">
        <v>6.5</v>
      </c>
      <c r="F5715" s="4">
        <v>8</v>
      </c>
      <c r="G5715" s="2">
        <v>52</v>
      </c>
      <c r="H5715" t="s">
        <v>45</v>
      </c>
      <c r="I5715" t="s">
        <v>36</v>
      </c>
      <c r="J5715" s="1">
        <v>44907</v>
      </c>
      <c r="K5715" t="b">
        <v>1</v>
      </c>
    </row>
    <row r="5716" spans="1:11" x14ac:dyDescent="0.25">
      <c r="A5716" t="s">
        <v>6742</v>
      </c>
      <c r="B5716" t="s">
        <v>61</v>
      </c>
      <c r="C5716" t="s">
        <v>27</v>
      </c>
      <c r="D5716" t="s">
        <v>246</v>
      </c>
      <c r="E5716" s="2">
        <v>6.5</v>
      </c>
      <c r="F5716" s="4">
        <v>8</v>
      </c>
      <c r="G5716" s="2">
        <v>52</v>
      </c>
      <c r="H5716" t="s">
        <v>45</v>
      </c>
      <c r="I5716" t="s">
        <v>16</v>
      </c>
      <c r="J5716" s="1">
        <v>45119</v>
      </c>
      <c r="K5716" t="b">
        <v>1</v>
      </c>
    </row>
    <row r="5717" spans="1:11" x14ac:dyDescent="0.25">
      <c r="A5717" t="s">
        <v>658</v>
      </c>
      <c r="B5717" t="s">
        <v>77</v>
      </c>
      <c r="C5717" t="s">
        <v>19</v>
      </c>
      <c r="D5717" t="s">
        <v>308</v>
      </c>
      <c r="E5717" s="2">
        <v>6.5</v>
      </c>
      <c r="F5717" s="4">
        <v>8</v>
      </c>
      <c r="G5717" s="2">
        <v>52</v>
      </c>
      <c r="H5717" t="s">
        <v>25</v>
      </c>
      <c r="I5717" t="s">
        <v>36</v>
      </c>
      <c r="J5717" s="1">
        <v>45481</v>
      </c>
      <c r="K5717" t="b">
        <v>0</v>
      </c>
    </row>
    <row r="5718" spans="1:11" x14ac:dyDescent="0.25">
      <c r="A5718" t="s">
        <v>1656</v>
      </c>
      <c r="B5718" t="s">
        <v>100</v>
      </c>
      <c r="C5718" t="s">
        <v>59</v>
      </c>
      <c r="D5718" t="s">
        <v>463</v>
      </c>
      <c r="E5718" s="2">
        <v>26</v>
      </c>
      <c r="F5718" s="4">
        <v>2</v>
      </c>
      <c r="G5718" s="2">
        <v>52</v>
      </c>
      <c r="H5718" t="s">
        <v>15</v>
      </c>
      <c r="I5718" t="s">
        <v>36</v>
      </c>
      <c r="J5718" s="1">
        <v>44904</v>
      </c>
      <c r="K5718" t="b">
        <v>0</v>
      </c>
    </row>
    <row r="5719" spans="1:11" x14ac:dyDescent="0.25">
      <c r="A5719" t="s">
        <v>1528</v>
      </c>
      <c r="B5719" t="s">
        <v>69</v>
      </c>
      <c r="C5719" t="s">
        <v>38</v>
      </c>
      <c r="D5719" t="s">
        <v>235</v>
      </c>
      <c r="E5719" s="2">
        <v>6.5</v>
      </c>
      <c r="F5719" s="4">
        <v>8</v>
      </c>
      <c r="G5719" s="2">
        <v>52</v>
      </c>
      <c r="H5719" t="s">
        <v>15</v>
      </c>
      <c r="I5719" t="s">
        <v>36</v>
      </c>
      <c r="J5719" s="1">
        <v>44795</v>
      </c>
      <c r="K5719" t="b">
        <v>1</v>
      </c>
    </row>
    <row r="5720" spans="1:11" x14ac:dyDescent="0.25">
      <c r="A5720" t="s">
        <v>7497</v>
      </c>
      <c r="B5720" t="s">
        <v>26</v>
      </c>
      <c r="C5720" t="s">
        <v>13</v>
      </c>
      <c r="D5720" t="s">
        <v>428</v>
      </c>
      <c r="E5720" s="2">
        <v>6.5</v>
      </c>
      <c r="F5720" s="4">
        <v>8</v>
      </c>
      <c r="G5720" s="2">
        <v>52</v>
      </c>
      <c r="H5720" t="s">
        <v>45</v>
      </c>
      <c r="I5720" t="s">
        <v>36</v>
      </c>
      <c r="J5720" s="1">
        <v>45120</v>
      </c>
      <c r="K5720" t="b">
        <v>0</v>
      </c>
    </row>
    <row r="5721" spans="1:11" x14ac:dyDescent="0.25">
      <c r="A5721" t="s">
        <v>5358</v>
      </c>
      <c r="B5721" t="s">
        <v>104</v>
      </c>
      <c r="C5721" t="s">
        <v>31</v>
      </c>
      <c r="D5721" t="s">
        <v>579</v>
      </c>
      <c r="E5721" s="2">
        <v>26</v>
      </c>
      <c r="F5721" s="4">
        <v>2</v>
      </c>
      <c r="G5721" s="2">
        <v>52</v>
      </c>
      <c r="H5721" t="s">
        <v>15</v>
      </c>
      <c r="I5721" t="s">
        <v>36</v>
      </c>
      <c r="J5721" s="1">
        <v>45307</v>
      </c>
      <c r="K5721" t="b">
        <v>1</v>
      </c>
    </row>
    <row r="5722" spans="1:11" x14ac:dyDescent="0.25">
      <c r="A5722" t="s">
        <v>5623</v>
      </c>
      <c r="B5722" t="s">
        <v>86</v>
      </c>
      <c r="C5722" t="s">
        <v>23</v>
      </c>
      <c r="D5722" t="s">
        <v>853</v>
      </c>
      <c r="E5722" s="2">
        <v>26</v>
      </c>
      <c r="F5722" s="4">
        <v>2</v>
      </c>
      <c r="G5722" s="2">
        <v>52</v>
      </c>
      <c r="H5722" t="s">
        <v>45</v>
      </c>
      <c r="I5722" t="s">
        <v>16</v>
      </c>
      <c r="J5722" s="1">
        <v>44820</v>
      </c>
      <c r="K5722" t="b">
        <v>1</v>
      </c>
    </row>
    <row r="5723" spans="1:11" x14ac:dyDescent="0.25">
      <c r="A5723" t="s">
        <v>5432</v>
      </c>
      <c r="B5723" t="s">
        <v>93</v>
      </c>
      <c r="C5723" t="s">
        <v>23</v>
      </c>
      <c r="D5723" t="s">
        <v>853</v>
      </c>
      <c r="E5723" s="2">
        <v>26</v>
      </c>
      <c r="F5723" s="4">
        <v>2</v>
      </c>
      <c r="G5723" s="2">
        <v>52</v>
      </c>
      <c r="H5723" t="s">
        <v>15</v>
      </c>
      <c r="I5723" t="s">
        <v>16</v>
      </c>
      <c r="J5723" s="1">
        <v>45196</v>
      </c>
      <c r="K5723" t="b">
        <v>1</v>
      </c>
    </row>
    <row r="5724" spans="1:11" x14ac:dyDescent="0.25">
      <c r="A5724" t="s">
        <v>1046</v>
      </c>
      <c r="B5724" t="s">
        <v>72</v>
      </c>
      <c r="C5724" t="s">
        <v>38</v>
      </c>
      <c r="D5724" t="s">
        <v>341</v>
      </c>
      <c r="E5724" s="2">
        <v>26</v>
      </c>
      <c r="F5724" s="4">
        <v>2</v>
      </c>
      <c r="G5724" s="2">
        <v>52</v>
      </c>
      <c r="H5724" t="s">
        <v>15</v>
      </c>
      <c r="I5724" t="s">
        <v>36</v>
      </c>
      <c r="J5724" s="1">
        <v>45518</v>
      </c>
      <c r="K5724" t="b">
        <v>1</v>
      </c>
    </row>
    <row r="5725" spans="1:11" x14ac:dyDescent="0.25">
      <c r="A5725" t="s">
        <v>2541</v>
      </c>
      <c r="B5725" t="s">
        <v>56</v>
      </c>
      <c r="C5725" t="s">
        <v>110</v>
      </c>
      <c r="D5725" t="s">
        <v>221</v>
      </c>
      <c r="E5725" s="2">
        <v>6.5</v>
      </c>
      <c r="F5725" s="4">
        <v>8</v>
      </c>
      <c r="G5725" s="2">
        <v>52</v>
      </c>
      <c r="H5725" t="s">
        <v>25</v>
      </c>
      <c r="I5725" t="s">
        <v>36</v>
      </c>
      <c r="J5725" s="1">
        <v>44665</v>
      </c>
      <c r="K5725" t="b">
        <v>0</v>
      </c>
    </row>
    <row r="5726" spans="1:11" x14ac:dyDescent="0.25">
      <c r="A5726" t="s">
        <v>6292</v>
      </c>
      <c r="B5726" t="s">
        <v>12</v>
      </c>
      <c r="C5726" t="s">
        <v>13</v>
      </c>
      <c r="D5726" t="s">
        <v>343</v>
      </c>
      <c r="E5726" s="2">
        <v>26</v>
      </c>
      <c r="F5726" s="4">
        <v>2</v>
      </c>
      <c r="G5726" s="2">
        <v>52</v>
      </c>
      <c r="H5726" t="s">
        <v>15</v>
      </c>
      <c r="I5726" t="s">
        <v>16</v>
      </c>
      <c r="J5726" s="1">
        <v>45531</v>
      </c>
      <c r="K5726" t="b">
        <v>1</v>
      </c>
    </row>
    <row r="5727" spans="1:11" x14ac:dyDescent="0.25">
      <c r="A5727" t="s">
        <v>1370</v>
      </c>
      <c r="B5727" t="s">
        <v>142</v>
      </c>
      <c r="C5727" t="s">
        <v>19</v>
      </c>
      <c r="D5727" t="s">
        <v>308</v>
      </c>
      <c r="E5727" s="2">
        <v>6.5</v>
      </c>
      <c r="F5727" s="4">
        <v>8</v>
      </c>
      <c r="G5727" s="2">
        <v>52</v>
      </c>
      <c r="H5727" t="s">
        <v>45</v>
      </c>
      <c r="I5727" t="s">
        <v>36</v>
      </c>
      <c r="J5727" s="1">
        <v>44736</v>
      </c>
      <c r="K5727" t="b">
        <v>0</v>
      </c>
    </row>
    <row r="5728" spans="1:11" x14ac:dyDescent="0.25">
      <c r="A5728" t="s">
        <v>3501</v>
      </c>
      <c r="B5728" t="s">
        <v>85</v>
      </c>
      <c r="C5728" t="s">
        <v>59</v>
      </c>
      <c r="D5728" t="s">
        <v>463</v>
      </c>
      <c r="E5728" s="2">
        <v>26</v>
      </c>
      <c r="F5728" s="4">
        <v>2</v>
      </c>
      <c r="G5728" s="2">
        <v>52</v>
      </c>
      <c r="H5728" t="s">
        <v>25</v>
      </c>
      <c r="I5728" t="s">
        <v>36</v>
      </c>
      <c r="J5728" s="1">
        <v>45306</v>
      </c>
      <c r="K5728" t="b">
        <v>1</v>
      </c>
    </row>
    <row r="5729" spans="1:11" x14ac:dyDescent="0.25">
      <c r="A5729" t="s">
        <v>3064</v>
      </c>
      <c r="B5729" t="s">
        <v>51</v>
      </c>
      <c r="C5729" t="s">
        <v>27</v>
      </c>
      <c r="D5729" t="s">
        <v>246</v>
      </c>
      <c r="E5729" s="2">
        <v>6.5</v>
      </c>
      <c r="F5729" s="4">
        <v>8</v>
      </c>
      <c r="G5729" s="2">
        <v>52</v>
      </c>
      <c r="H5729" t="s">
        <v>15</v>
      </c>
      <c r="I5729" t="s">
        <v>16</v>
      </c>
      <c r="J5729" s="1">
        <v>44716</v>
      </c>
      <c r="K5729" t="b">
        <v>1</v>
      </c>
    </row>
    <row r="5730" spans="1:11" x14ac:dyDescent="0.25">
      <c r="A5730" t="s">
        <v>7672</v>
      </c>
      <c r="B5730" t="s">
        <v>100</v>
      </c>
      <c r="C5730" t="s">
        <v>27</v>
      </c>
      <c r="D5730" t="s">
        <v>246</v>
      </c>
      <c r="E5730" s="2">
        <v>6.5</v>
      </c>
      <c r="F5730" s="4">
        <v>8</v>
      </c>
      <c r="G5730" s="2">
        <v>52</v>
      </c>
      <c r="H5730" t="s">
        <v>45</v>
      </c>
      <c r="I5730" t="s">
        <v>16</v>
      </c>
      <c r="J5730" s="1">
        <v>44572</v>
      </c>
      <c r="K5730" t="b">
        <v>1</v>
      </c>
    </row>
    <row r="5731" spans="1:11" x14ac:dyDescent="0.25">
      <c r="A5731" t="s">
        <v>2664</v>
      </c>
      <c r="B5731" t="s">
        <v>69</v>
      </c>
      <c r="C5731" t="s">
        <v>38</v>
      </c>
      <c r="D5731" t="s">
        <v>235</v>
      </c>
      <c r="E5731" s="2">
        <v>6.5</v>
      </c>
      <c r="F5731" s="4">
        <v>8</v>
      </c>
      <c r="G5731" s="2">
        <v>52</v>
      </c>
      <c r="H5731" t="s">
        <v>15</v>
      </c>
      <c r="I5731" t="s">
        <v>16</v>
      </c>
      <c r="J5731" s="1">
        <v>45609</v>
      </c>
      <c r="K5731" t="b">
        <v>1</v>
      </c>
    </row>
    <row r="5732" spans="1:11" x14ac:dyDescent="0.25">
      <c r="A5732" t="s">
        <v>5429</v>
      </c>
      <c r="B5732" t="s">
        <v>142</v>
      </c>
      <c r="C5732" t="s">
        <v>23</v>
      </c>
      <c r="D5732" t="s">
        <v>137</v>
      </c>
      <c r="E5732" s="2">
        <v>6.5</v>
      </c>
      <c r="F5732" s="4">
        <v>8</v>
      </c>
      <c r="G5732" s="2">
        <v>52</v>
      </c>
      <c r="H5732" t="s">
        <v>25</v>
      </c>
      <c r="I5732" t="s">
        <v>16</v>
      </c>
      <c r="J5732" s="1">
        <v>45454</v>
      </c>
      <c r="K5732" t="b">
        <v>1</v>
      </c>
    </row>
    <row r="5733" spans="1:11" x14ac:dyDescent="0.25">
      <c r="A5733" t="s">
        <v>376</v>
      </c>
      <c r="B5733" t="s">
        <v>100</v>
      </c>
      <c r="C5733" t="s">
        <v>27</v>
      </c>
      <c r="D5733" t="s">
        <v>246</v>
      </c>
      <c r="E5733" s="2">
        <v>6.5</v>
      </c>
      <c r="F5733" s="4">
        <v>8</v>
      </c>
      <c r="G5733" s="2">
        <v>52</v>
      </c>
      <c r="H5733" t="s">
        <v>25</v>
      </c>
      <c r="I5733" t="s">
        <v>16</v>
      </c>
      <c r="J5733" s="1">
        <v>45396</v>
      </c>
      <c r="K5733" t="b">
        <v>1</v>
      </c>
    </row>
    <row r="5734" spans="1:11" x14ac:dyDescent="0.25">
      <c r="A5734" t="s">
        <v>2063</v>
      </c>
      <c r="B5734" t="s">
        <v>30</v>
      </c>
      <c r="C5734" t="s">
        <v>27</v>
      </c>
      <c r="D5734" t="s">
        <v>246</v>
      </c>
      <c r="E5734" s="2">
        <v>6.5</v>
      </c>
      <c r="F5734" s="4">
        <v>8</v>
      </c>
      <c r="G5734" s="2">
        <v>52</v>
      </c>
      <c r="H5734" t="s">
        <v>25</v>
      </c>
      <c r="I5734" t="s">
        <v>16</v>
      </c>
      <c r="J5734" s="1">
        <v>44865</v>
      </c>
      <c r="K5734" t="b">
        <v>0</v>
      </c>
    </row>
    <row r="5735" spans="1:11" x14ac:dyDescent="0.25">
      <c r="A5735" t="s">
        <v>1364</v>
      </c>
      <c r="B5735" t="s">
        <v>85</v>
      </c>
      <c r="C5735" t="s">
        <v>23</v>
      </c>
      <c r="D5735" t="s">
        <v>853</v>
      </c>
      <c r="E5735" s="2">
        <v>26</v>
      </c>
      <c r="F5735" s="4">
        <v>2</v>
      </c>
      <c r="G5735" s="2">
        <v>52</v>
      </c>
      <c r="H5735" t="s">
        <v>45</v>
      </c>
      <c r="I5735" t="s">
        <v>16</v>
      </c>
      <c r="J5735" s="1">
        <v>45178</v>
      </c>
      <c r="K5735" t="b">
        <v>1</v>
      </c>
    </row>
    <row r="5736" spans="1:11" x14ac:dyDescent="0.25">
      <c r="A5736" t="s">
        <v>295</v>
      </c>
      <c r="B5736" t="s">
        <v>69</v>
      </c>
      <c r="C5736" t="s">
        <v>110</v>
      </c>
      <c r="D5736" t="s">
        <v>221</v>
      </c>
      <c r="E5736" s="2">
        <v>6.5</v>
      </c>
      <c r="F5736" s="4">
        <v>8</v>
      </c>
      <c r="G5736" s="2">
        <v>52</v>
      </c>
      <c r="H5736" t="s">
        <v>25</v>
      </c>
      <c r="I5736" t="s">
        <v>16</v>
      </c>
      <c r="J5736" s="1">
        <v>45269</v>
      </c>
      <c r="K5736" t="b">
        <v>0</v>
      </c>
    </row>
    <row r="5737" spans="1:11" x14ac:dyDescent="0.25">
      <c r="A5737" t="s">
        <v>6533</v>
      </c>
      <c r="B5737" t="s">
        <v>69</v>
      </c>
      <c r="C5737" t="s">
        <v>27</v>
      </c>
      <c r="D5737" t="s">
        <v>620</v>
      </c>
      <c r="E5737" s="2">
        <v>26</v>
      </c>
      <c r="F5737" s="4">
        <v>2</v>
      </c>
      <c r="G5737" s="2">
        <v>52</v>
      </c>
      <c r="H5737" t="s">
        <v>45</v>
      </c>
      <c r="I5737" t="s">
        <v>16</v>
      </c>
      <c r="J5737" s="1">
        <v>45378</v>
      </c>
      <c r="K5737" t="b">
        <v>0</v>
      </c>
    </row>
    <row r="5738" spans="1:11" x14ac:dyDescent="0.25">
      <c r="A5738" t="s">
        <v>560</v>
      </c>
      <c r="B5738" t="s">
        <v>86</v>
      </c>
      <c r="C5738" t="s">
        <v>19</v>
      </c>
      <c r="D5738" t="s">
        <v>268</v>
      </c>
      <c r="E5738" s="2">
        <v>26</v>
      </c>
      <c r="F5738" s="4">
        <v>2</v>
      </c>
      <c r="G5738" s="2">
        <v>52</v>
      </c>
      <c r="H5738" t="s">
        <v>45</v>
      </c>
      <c r="I5738" t="s">
        <v>36</v>
      </c>
      <c r="J5738" s="1">
        <v>45378</v>
      </c>
      <c r="K5738" t="b">
        <v>1</v>
      </c>
    </row>
    <row r="5739" spans="1:11" x14ac:dyDescent="0.25">
      <c r="A5739" t="s">
        <v>7725</v>
      </c>
      <c r="B5739" t="s">
        <v>43</v>
      </c>
      <c r="C5739" t="s">
        <v>59</v>
      </c>
      <c r="D5739" t="s">
        <v>541</v>
      </c>
      <c r="E5739" s="2">
        <v>6.5</v>
      </c>
      <c r="F5739" s="4">
        <v>8</v>
      </c>
      <c r="G5739" s="2">
        <v>52</v>
      </c>
      <c r="H5739" t="s">
        <v>15</v>
      </c>
      <c r="I5739" t="s">
        <v>36</v>
      </c>
      <c r="J5739" s="1">
        <v>45329</v>
      </c>
      <c r="K5739" t="b">
        <v>1</v>
      </c>
    </row>
    <row r="5740" spans="1:11" x14ac:dyDescent="0.25">
      <c r="A5740" t="s">
        <v>7526</v>
      </c>
      <c r="B5740" t="s">
        <v>77</v>
      </c>
      <c r="C5740" t="s">
        <v>38</v>
      </c>
      <c r="D5740" t="s">
        <v>341</v>
      </c>
      <c r="E5740" s="2">
        <v>26</v>
      </c>
      <c r="F5740" s="4">
        <v>2</v>
      </c>
      <c r="G5740" s="2">
        <v>52</v>
      </c>
      <c r="H5740" t="s">
        <v>25</v>
      </c>
      <c r="I5740" t="s">
        <v>16</v>
      </c>
      <c r="J5740" s="1">
        <v>45608</v>
      </c>
      <c r="K5740" t="b">
        <v>0</v>
      </c>
    </row>
    <row r="5741" spans="1:11" x14ac:dyDescent="0.25">
      <c r="A5741" t="s">
        <v>6668</v>
      </c>
      <c r="B5741" t="s">
        <v>34</v>
      </c>
      <c r="C5741" t="s">
        <v>59</v>
      </c>
      <c r="D5741" t="s">
        <v>655</v>
      </c>
      <c r="E5741" s="2">
        <v>17</v>
      </c>
      <c r="F5741" s="4">
        <v>3</v>
      </c>
      <c r="G5741" s="2">
        <v>51</v>
      </c>
      <c r="H5741" t="s">
        <v>45</v>
      </c>
      <c r="I5741" t="s">
        <v>16</v>
      </c>
      <c r="J5741" s="1">
        <v>45445</v>
      </c>
      <c r="K5741" t="b">
        <v>1</v>
      </c>
    </row>
    <row r="5742" spans="1:11" x14ac:dyDescent="0.25">
      <c r="A5742" t="s">
        <v>4767</v>
      </c>
      <c r="B5742" t="s">
        <v>26</v>
      </c>
      <c r="C5742" t="s">
        <v>31</v>
      </c>
      <c r="D5742" t="s">
        <v>195</v>
      </c>
      <c r="E5742" s="2">
        <v>17</v>
      </c>
      <c r="F5742" s="4">
        <v>3</v>
      </c>
      <c r="G5742" s="2">
        <v>51</v>
      </c>
      <c r="H5742" t="s">
        <v>45</v>
      </c>
      <c r="I5742" t="s">
        <v>16</v>
      </c>
      <c r="J5742" s="1">
        <v>45014</v>
      </c>
      <c r="K5742" t="b">
        <v>0</v>
      </c>
    </row>
    <row r="5743" spans="1:11" x14ac:dyDescent="0.25">
      <c r="A5743" t="s">
        <v>6085</v>
      </c>
      <c r="B5743" t="s">
        <v>61</v>
      </c>
      <c r="C5743" t="s">
        <v>23</v>
      </c>
      <c r="D5743" t="s">
        <v>2357</v>
      </c>
      <c r="E5743" s="2">
        <v>17</v>
      </c>
      <c r="F5743" s="4">
        <v>3</v>
      </c>
      <c r="G5743" s="2">
        <v>51</v>
      </c>
      <c r="H5743" t="s">
        <v>45</v>
      </c>
      <c r="I5743" t="s">
        <v>36</v>
      </c>
      <c r="J5743" s="1">
        <v>44656</v>
      </c>
      <c r="K5743" t="b">
        <v>1</v>
      </c>
    </row>
    <row r="5744" spans="1:11" x14ac:dyDescent="0.25">
      <c r="A5744" t="s">
        <v>2618</v>
      </c>
      <c r="B5744" t="s">
        <v>85</v>
      </c>
      <c r="C5744" t="s">
        <v>13</v>
      </c>
      <c r="D5744" t="s">
        <v>380</v>
      </c>
      <c r="E5744" s="2">
        <v>17</v>
      </c>
      <c r="F5744" s="4">
        <v>3</v>
      </c>
      <c r="G5744" s="2">
        <v>51</v>
      </c>
      <c r="H5744" t="s">
        <v>45</v>
      </c>
      <c r="I5744" t="s">
        <v>36</v>
      </c>
      <c r="J5744" s="1">
        <v>45534</v>
      </c>
      <c r="K5744" t="b">
        <v>1</v>
      </c>
    </row>
    <row r="5745" spans="1:11" x14ac:dyDescent="0.25">
      <c r="A5745" t="s">
        <v>5576</v>
      </c>
      <c r="B5745" t="s">
        <v>97</v>
      </c>
      <c r="C5745" t="s">
        <v>13</v>
      </c>
      <c r="D5745" t="s">
        <v>380</v>
      </c>
      <c r="E5745" s="2">
        <v>17</v>
      </c>
      <c r="F5745" s="4">
        <v>3</v>
      </c>
      <c r="G5745" s="2">
        <v>51</v>
      </c>
      <c r="H5745" t="s">
        <v>15</v>
      </c>
      <c r="I5745" t="s">
        <v>36</v>
      </c>
      <c r="J5745" s="1">
        <v>45454</v>
      </c>
      <c r="K5745" t="b">
        <v>1</v>
      </c>
    </row>
    <row r="5746" spans="1:11" x14ac:dyDescent="0.25">
      <c r="A5746" t="s">
        <v>5750</v>
      </c>
      <c r="B5746" t="s">
        <v>30</v>
      </c>
      <c r="C5746" t="s">
        <v>13</v>
      </c>
      <c r="D5746" t="s">
        <v>380</v>
      </c>
      <c r="E5746" s="2">
        <v>17</v>
      </c>
      <c r="F5746" s="4">
        <v>3</v>
      </c>
      <c r="G5746" s="2">
        <v>51</v>
      </c>
      <c r="H5746" t="s">
        <v>25</v>
      </c>
      <c r="I5746" t="s">
        <v>16</v>
      </c>
      <c r="J5746" s="1">
        <v>44684</v>
      </c>
      <c r="K5746" t="b">
        <v>0</v>
      </c>
    </row>
    <row r="5747" spans="1:11" x14ac:dyDescent="0.25">
      <c r="A5747" t="s">
        <v>1638</v>
      </c>
      <c r="B5747" t="s">
        <v>56</v>
      </c>
      <c r="C5747" t="s">
        <v>110</v>
      </c>
      <c r="D5747" t="s">
        <v>327</v>
      </c>
      <c r="E5747" s="2">
        <v>17</v>
      </c>
      <c r="F5747" s="4">
        <v>3</v>
      </c>
      <c r="G5747" s="2">
        <v>51</v>
      </c>
      <c r="H5747" t="s">
        <v>45</v>
      </c>
      <c r="I5747" t="s">
        <v>36</v>
      </c>
      <c r="J5747" s="1">
        <v>44898</v>
      </c>
      <c r="K5747" t="b">
        <v>0</v>
      </c>
    </row>
    <row r="5748" spans="1:11" x14ac:dyDescent="0.25">
      <c r="A5748" t="s">
        <v>4035</v>
      </c>
      <c r="B5748" t="s">
        <v>66</v>
      </c>
      <c r="C5748" t="s">
        <v>31</v>
      </c>
      <c r="D5748" t="s">
        <v>195</v>
      </c>
      <c r="E5748" s="2">
        <v>17</v>
      </c>
      <c r="F5748" s="4">
        <v>3</v>
      </c>
      <c r="G5748" s="2">
        <v>51</v>
      </c>
      <c r="H5748" t="s">
        <v>25</v>
      </c>
      <c r="I5748" t="s">
        <v>36</v>
      </c>
      <c r="J5748" s="1">
        <v>45264</v>
      </c>
      <c r="K5748" t="b">
        <v>1</v>
      </c>
    </row>
    <row r="5749" spans="1:11" x14ac:dyDescent="0.25">
      <c r="A5749" t="s">
        <v>5079</v>
      </c>
      <c r="B5749" t="s">
        <v>100</v>
      </c>
      <c r="C5749" t="s">
        <v>13</v>
      </c>
      <c r="D5749" t="s">
        <v>380</v>
      </c>
      <c r="E5749" s="2">
        <v>17</v>
      </c>
      <c r="F5749" s="4">
        <v>3</v>
      </c>
      <c r="G5749" s="2">
        <v>51</v>
      </c>
      <c r="H5749" t="s">
        <v>15</v>
      </c>
      <c r="I5749" t="s">
        <v>36</v>
      </c>
      <c r="J5749" s="1">
        <v>45673</v>
      </c>
      <c r="K5749" t="b">
        <v>0</v>
      </c>
    </row>
    <row r="5750" spans="1:11" x14ac:dyDescent="0.25">
      <c r="A5750" t="s">
        <v>654</v>
      </c>
      <c r="B5750" t="s">
        <v>93</v>
      </c>
      <c r="C5750" t="s">
        <v>59</v>
      </c>
      <c r="D5750" t="s">
        <v>655</v>
      </c>
      <c r="E5750" s="2">
        <v>17</v>
      </c>
      <c r="F5750" s="4">
        <v>3</v>
      </c>
      <c r="G5750" s="2">
        <v>51</v>
      </c>
      <c r="H5750" t="s">
        <v>45</v>
      </c>
      <c r="I5750" t="s">
        <v>16</v>
      </c>
      <c r="J5750" s="1">
        <v>44973</v>
      </c>
      <c r="K5750" t="b">
        <v>1</v>
      </c>
    </row>
    <row r="5751" spans="1:11" x14ac:dyDescent="0.25">
      <c r="A5751" t="s">
        <v>7740</v>
      </c>
      <c r="B5751" t="s">
        <v>58</v>
      </c>
      <c r="C5751" t="s">
        <v>31</v>
      </c>
      <c r="D5751" t="s">
        <v>195</v>
      </c>
      <c r="E5751" s="2">
        <v>17</v>
      </c>
      <c r="F5751" s="4">
        <v>3</v>
      </c>
      <c r="G5751" s="2">
        <v>51</v>
      </c>
      <c r="H5751" t="s">
        <v>15</v>
      </c>
      <c r="I5751" t="s">
        <v>16</v>
      </c>
      <c r="J5751" s="1">
        <v>44782</v>
      </c>
      <c r="K5751" t="b">
        <v>0</v>
      </c>
    </row>
    <row r="5752" spans="1:11" x14ac:dyDescent="0.25">
      <c r="A5752" t="s">
        <v>3640</v>
      </c>
      <c r="B5752" t="s">
        <v>43</v>
      </c>
      <c r="C5752" t="s">
        <v>59</v>
      </c>
      <c r="D5752" t="s">
        <v>655</v>
      </c>
      <c r="E5752" s="2">
        <v>17</v>
      </c>
      <c r="F5752" s="4">
        <v>3</v>
      </c>
      <c r="G5752" s="2">
        <v>51</v>
      </c>
      <c r="H5752" t="s">
        <v>15</v>
      </c>
      <c r="I5752" t="s">
        <v>16</v>
      </c>
      <c r="J5752" s="1">
        <v>44594</v>
      </c>
      <c r="K5752" t="b">
        <v>0</v>
      </c>
    </row>
    <row r="5753" spans="1:11" x14ac:dyDescent="0.25">
      <c r="A5753" t="s">
        <v>788</v>
      </c>
      <c r="B5753" t="s">
        <v>104</v>
      </c>
      <c r="C5753" t="s">
        <v>110</v>
      </c>
      <c r="D5753" t="s">
        <v>327</v>
      </c>
      <c r="E5753" s="2">
        <v>17</v>
      </c>
      <c r="F5753" s="4">
        <v>3</v>
      </c>
      <c r="G5753" s="2">
        <v>51</v>
      </c>
      <c r="H5753" t="s">
        <v>15</v>
      </c>
      <c r="I5753" t="s">
        <v>16</v>
      </c>
      <c r="J5753" s="1">
        <v>45519</v>
      </c>
      <c r="K5753" t="b">
        <v>0</v>
      </c>
    </row>
    <row r="5754" spans="1:11" x14ac:dyDescent="0.25">
      <c r="A5754" t="s">
        <v>2690</v>
      </c>
      <c r="B5754" t="s">
        <v>69</v>
      </c>
      <c r="C5754" t="s">
        <v>110</v>
      </c>
      <c r="D5754" t="s">
        <v>327</v>
      </c>
      <c r="E5754" s="2">
        <v>17</v>
      </c>
      <c r="F5754" s="4">
        <v>3</v>
      </c>
      <c r="G5754" s="2">
        <v>51</v>
      </c>
      <c r="H5754" t="s">
        <v>25</v>
      </c>
      <c r="I5754" t="s">
        <v>16</v>
      </c>
      <c r="J5754" s="1">
        <v>45519</v>
      </c>
      <c r="K5754" t="b">
        <v>1</v>
      </c>
    </row>
    <row r="5755" spans="1:11" x14ac:dyDescent="0.25">
      <c r="A5755" t="s">
        <v>5771</v>
      </c>
      <c r="B5755" t="s">
        <v>85</v>
      </c>
      <c r="C5755" t="s">
        <v>31</v>
      </c>
      <c r="D5755" t="s">
        <v>195</v>
      </c>
      <c r="E5755" s="2">
        <v>17</v>
      </c>
      <c r="F5755" s="4">
        <v>3</v>
      </c>
      <c r="G5755" s="2">
        <v>51</v>
      </c>
      <c r="H5755" t="s">
        <v>45</v>
      </c>
      <c r="I5755" t="s">
        <v>36</v>
      </c>
      <c r="J5755" s="1">
        <v>45473</v>
      </c>
      <c r="K5755" t="b">
        <v>0</v>
      </c>
    </row>
    <row r="5756" spans="1:11" x14ac:dyDescent="0.25">
      <c r="A5756" t="s">
        <v>3534</v>
      </c>
      <c r="B5756" t="s">
        <v>56</v>
      </c>
      <c r="C5756" t="s">
        <v>110</v>
      </c>
      <c r="D5756" t="s">
        <v>327</v>
      </c>
      <c r="E5756" s="2">
        <v>17</v>
      </c>
      <c r="F5756" s="4">
        <v>3</v>
      </c>
      <c r="G5756" s="2">
        <v>51</v>
      </c>
      <c r="H5756" t="s">
        <v>25</v>
      </c>
      <c r="I5756" t="s">
        <v>36</v>
      </c>
      <c r="J5756" s="1">
        <v>45111</v>
      </c>
      <c r="K5756" t="b">
        <v>1</v>
      </c>
    </row>
    <row r="5757" spans="1:11" x14ac:dyDescent="0.25">
      <c r="A5757" t="s">
        <v>7667</v>
      </c>
      <c r="B5757" t="s">
        <v>77</v>
      </c>
      <c r="C5757" t="s">
        <v>13</v>
      </c>
      <c r="D5757" t="s">
        <v>146</v>
      </c>
      <c r="E5757" s="2">
        <v>5</v>
      </c>
      <c r="F5757" s="4">
        <v>10</v>
      </c>
      <c r="G5757" s="2">
        <v>50</v>
      </c>
      <c r="H5757" t="s">
        <v>15</v>
      </c>
      <c r="I5757" t="s">
        <v>16</v>
      </c>
      <c r="J5757" s="1">
        <v>44957</v>
      </c>
      <c r="K5757" t="b">
        <v>1</v>
      </c>
    </row>
    <row r="5758" spans="1:11" x14ac:dyDescent="0.25">
      <c r="A5758" t="s">
        <v>3523</v>
      </c>
      <c r="B5758" t="s">
        <v>100</v>
      </c>
      <c r="C5758" t="s">
        <v>27</v>
      </c>
      <c r="D5758" t="s">
        <v>348</v>
      </c>
      <c r="E5758" s="2">
        <v>5</v>
      </c>
      <c r="F5758" s="4">
        <v>10</v>
      </c>
      <c r="G5758" s="2">
        <v>50</v>
      </c>
      <c r="H5758" t="s">
        <v>25</v>
      </c>
      <c r="I5758" t="s">
        <v>16</v>
      </c>
      <c r="J5758" s="1">
        <v>44779</v>
      </c>
      <c r="K5758" t="b">
        <v>0</v>
      </c>
    </row>
    <row r="5759" spans="1:11" x14ac:dyDescent="0.25">
      <c r="A5759" t="s">
        <v>1808</v>
      </c>
      <c r="B5759" t="s">
        <v>72</v>
      </c>
      <c r="C5759" t="s">
        <v>59</v>
      </c>
      <c r="D5759" t="s">
        <v>177</v>
      </c>
      <c r="E5759" s="2">
        <v>12.5</v>
      </c>
      <c r="F5759" s="4">
        <v>4</v>
      </c>
      <c r="G5759" s="2">
        <v>50</v>
      </c>
      <c r="H5759" t="s">
        <v>45</v>
      </c>
      <c r="I5759" t="s">
        <v>36</v>
      </c>
      <c r="J5759" s="1">
        <v>45635</v>
      </c>
      <c r="K5759" t="b">
        <v>1</v>
      </c>
    </row>
    <row r="5760" spans="1:11" x14ac:dyDescent="0.25">
      <c r="A5760" t="s">
        <v>7149</v>
      </c>
      <c r="B5760" t="s">
        <v>93</v>
      </c>
      <c r="C5760" t="s">
        <v>23</v>
      </c>
      <c r="D5760" t="s">
        <v>437</v>
      </c>
      <c r="E5760" s="2">
        <v>12.5</v>
      </c>
      <c r="F5760" s="4">
        <v>4</v>
      </c>
      <c r="G5760" s="2">
        <v>50</v>
      </c>
      <c r="H5760" t="s">
        <v>25</v>
      </c>
      <c r="I5760" t="s">
        <v>36</v>
      </c>
      <c r="J5760" s="1">
        <v>45307</v>
      </c>
      <c r="K5760" t="b">
        <v>1</v>
      </c>
    </row>
    <row r="5761" spans="1:11" x14ac:dyDescent="0.25">
      <c r="A5761" t="s">
        <v>6690</v>
      </c>
      <c r="B5761" t="s">
        <v>30</v>
      </c>
      <c r="C5761" t="s">
        <v>13</v>
      </c>
      <c r="D5761" t="s">
        <v>146</v>
      </c>
      <c r="E5761" s="2">
        <v>5</v>
      </c>
      <c r="F5761" s="4">
        <v>10</v>
      </c>
      <c r="G5761" s="2">
        <v>50</v>
      </c>
      <c r="H5761" t="s">
        <v>25</v>
      </c>
      <c r="I5761" t="s">
        <v>16</v>
      </c>
      <c r="J5761" s="1">
        <v>45142</v>
      </c>
      <c r="K5761" t="b">
        <v>1</v>
      </c>
    </row>
    <row r="5762" spans="1:11" x14ac:dyDescent="0.25">
      <c r="A5762" t="s">
        <v>5385</v>
      </c>
      <c r="B5762" t="s">
        <v>58</v>
      </c>
      <c r="C5762" t="s">
        <v>59</v>
      </c>
      <c r="D5762" t="s">
        <v>279</v>
      </c>
      <c r="E5762" s="2">
        <v>5</v>
      </c>
      <c r="F5762" s="4">
        <v>10</v>
      </c>
      <c r="G5762" s="2">
        <v>50</v>
      </c>
      <c r="H5762" t="s">
        <v>25</v>
      </c>
      <c r="I5762" t="s">
        <v>16</v>
      </c>
      <c r="J5762" s="1">
        <v>45528</v>
      </c>
      <c r="K5762" t="b">
        <v>1</v>
      </c>
    </row>
    <row r="5763" spans="1:11" x14ac:dyDescent="0.25">
      <c r="A5763" t="s">
        <v>300</v>
      </c>
      <c r="B5763" t="s">
        <v>85</v>
      </c>
      <c r="C5763" t="s">
        <v>31</v>
      </c>
      <c r="D5763" t="s">
        <v>32</v>
      </c>
      <c r="E5763" s="2">
        <v>12.5</v>
      </c>
      <c r="F5763" s="4">
        <v>4</v>
      </c>
      <c r="G5763" s="2">
        <v>50</v>
      </c>
      <c r="H5763" t="s">
        <v>45</v>
      </c>
      <c r="I5763" t="s">
        <v>16</v>
      </c>
      <c r="J5763" s="1">
        <v>45488</v>
      </c>
      <c r="K5763" t="b">
        <v>0</v>
      </c>
    </row>
    <row r="5764" spans="1:11" x14ac:dyDescent="0.25">
      <c r="A5764" t="s">
        <v>2230</v>
      </c>
      <c r="B5764" t="s">
        <v>77</v>
      </c>
      <c r="C5764" t="s">
        <v>19</v>
      </c>
      <c r="D5764" t="s">
        <v>219</v>
      </c>
      <c r="E5764" s="2">
        <v>5</v>
      </c>
      <c r="F5764" s="4">
        <v>10</v>
      </c>
      <c r="G5764" s="2">
        <v>50</v>
      </c>
      <c r="H5764" t="s">
        <v>45</v>
      </c>
      <c r="I5764" t="s">
        <v>36</v>
      </c>
      <c r="J5764" s="1">
        <v>44904</v>
      </c>
      <c r="K5764" t="b">
        <v>0</v>
      </c>
    </row>
    <row r="5765" spans="1:11" x14ac:dyDescent="0.25">
      <c r="A5765" t="s">
        <v>5470</v>
      </c>
      <c r="B5765" t="s">
        <v>26</v>
      </c>
      <c r="C5765" t="s">
        <v>13</v>
      </c>
      <c r="D5765" t="s">
        <v>146</v>
      </c>
      <c r="E5765" s="2">
        <v>5</v>
      </c>
      <c r="F5765" s="4">
        <v>10</v>
      </c>
      <c r="G5765" s="2">
        <v>50</v>
      </c>
      <c r="H5765" t="s">
        <v>15</v>
      </c>
      <c r="I5765" t="s">
        <v>16</v>
      </c>
      <c r="J5765" s="1">
        <v>45063</v>
      </c>
      <c r="K5765" t="b">
        <v>0</v>
      </c>
    </row>
    <row r="5766" spans="1:11" x14ac:dyDescent="0.25">
      <c r="A5766" t="s">
        <v>7508</v>
      </c>
      <c r="B5766" t="s">
        <v>30</v>
      </c>
      <c r="C5766" t="s">
        <v>19</v>
      </c>
      <c r="D5766" t="s">
        <v>219</v>
      </c>
      <c r="E5766" s="2">
        <v>5</v>
      </c>
      <c r="F5766" s="4">
        <v>10</v>
      </c>
      <c r="G5766" s="2">
        <v>50</v>
      </c>
      <c r="H5766" t="s">
        <v>45</v>
      </c>
      <c r="I5766" t="s">
        <v>16</v>
      </c>
      <c r="J5766" s="1">
        <v>45001</v>
      </c>
      <c r="K5766" t="b">
        <v>1</v>
      </c>
    </row>
    <row r="5767" spans="1:11" x14ac:dyDescent="0.25">
      <c r="A5767" t="s">
        <v>7627</v>
      </c>
      <c r="B5767" t="s">
        <v>104</v>
      </c>
      <c r="C5767" t="s">
        <v>27</v>
      </c>
      <c r="D5767" t="s">
        <v>348</v>
      </c>
      <c r="E5767" s="2">
        <v>5</v>
      </c>
      <c r="F5767" s="4">
        <v>10</v>
      </c>
      <c r="G5767" s="2">
        <v>50</v>
      </c>
      <c r="H5767" t="s">
        <v>25</v>
      </c>
      <c r="I5767" t="s">
        <v>16</v>
      </c>
      <c r="J5767" s="1">
        <v>45189</v>
      </c>
      <c r="K5767" t="b">
        <v>1</v>
      </c>
    </row>
    <row r="5768" spans="1:11" x14ac:dyDescent="0.25">
      <c r="A5768" t="s">
        <v>6884</v>
      </c>
      <c r="B5768" t="s">
        <v>66</v>
      </c>
      <c r="C5768" t="s">
        <v>19</v>
      </c>
      <c r="D5768" t="s">
        <v>128</v>
      </c>
      <c r="E5768" s="2">
        <v>12.5</v>
      </c>
      <c r="F5768" s="4">
        <v>4</v>
      </c>
      <c r="G5768" s="2">
        <v>50</v>
      </c>
      <c r="H5768" t="s">
        <v>45</v>
      </c>
      <c r="I5768" t="s">
        <v>36</v>
      </c>
      <c r="J5768" s="1">
        <v>45264</v>
      </c>
      <c r="K5768" t="b">
        <v>1</v>
      </c>
    </row>
    <row r="5769" spans="1:11" x14ac:dyDescent="0.25">
      <c r="A5769" t="s">
        <v>6538</v>
      </c>
      <c r="B5769" t="s">
        <v>63</v>
      </c>
      <c r="C5769" t="s">
        <v>23</v>
      </c>
      <c r="D5769" t="s">
        <v>437</v>
      </c>
      <c r="E5769" s="2">
        <v>12.5</v>
      </c>
      <c r="F5769" s="4">
        <v>4</v>
      </c>
      <c r="G5769" s="2">
        <v>50</v>
      </c>
      <c r="H5769" t="s">
        <v>15</v>
      </c>
      <c r="I5769" t="s">
        <v>36</v>
      </c>
      <c r="J5769" s="1">
        <v>45368</v>
      </c>
      <c r="K5769" t="b">
        <v>0</v>
      </c>
    </row>
    <row r="5770" spans="1:11" x14ac:dyDescent="0.25">
      <c r="A5770" t="s">
        <v>218</v>
      </c>
      <c r="B5770" t="s">
        <v>72</v>
      </c>
      <c r="C5770" t="s">
        <v>19</v>
      </c>
      <c r="D5770" t="s">
        <v>219</v>
      </c>
      <c r="E5770" s="2">
        <v>5</v>
      </c>
      <c r="F5770" s="4">
        <v>10</v>
      </c>
      <c r="G5770" s="2">
        <v>50</v>
      </c>
      <c r="H5770" t="s">
        <v>15</v>
      </c>
      <c r="I5770" t="s">
        <v>16</v>
      </c>
      <c r="J5770" s="1">
        <v>44603</v>
      </c>
      <c r="K5770" t="b">
        <v>1</v>
      </c>
    </row>
    <row r="5771" spans="1:11" x14ac:dyDescent="0.25">
      <c r="A5771" t="s">
        <v>4621</v>
      </c>
      <c r="B5771" t="s">
        <v>93</v>
      </c>
      <c r="C5771" t="s">
        <v>110</v>
      </c>
      <c r="D5771" t="s">
        <v>337</v>
      </c>
      <c r="E5771" s="2">
        <v>5</v>
      </c>
      <c r="F5771" s="4">
        <v>10</v>
      </c>
      <c r="G5771" s="2">
        <v>50</v>
      </c>
      <c r="H5771" t="s">
        <v>45</v>
      </c>
      <c r="I5771" t="s">
        <v>36</v>
      </c>
      <c r="J5771" s="1">
        <v>44596</v>
      </c>
      <c r="K5771" t="b">
        <v>1</v>
      </c>
    </row>
    <row r="5772" spans="1:11" x14ac:dyDescent="0.25">
      <c r="A5772" t="s">
        <v>5087</v>
      </c>
      <c r="B5772" t="s">
        <v>34</v>
      </c>
      <c r="C5772" t="s">
        <v>31</v>
      </c>
      <c r="D5772" t="s">
        <v>32</v>
      </c>
      <c r="E5772" s="2">
        <v>12.5</v>
      </c>
      <c r="F5772" s="4">
        <v>4</v>
      </c>
      <c r="G5772" s="2">
        <v>50</v>
      </c>
      <c r="H5772" t="s">
        <v>25</v>
      </c>
      <c r="I5772" t="s">
        <v>16</v>
      </c>
      <c r="J5772" s="1">
        <v>45077</v>
      </c>
      <c r="K5772" t="b">
        <v>0</v>
      </c>
    </row>
    <row r="5773" spans="1:11" x14ac:dyDescent="0.25">
      <c r="A5773" t="s">
        <v>3795</v>
      </c>
      <c r="B5773" t="s">
        <v>97</v>
      </c>
      <c r="C5773" t="s">
        <v>23</v>
      </c>
      <c r="D5773" t="s">
        <v>311</v>
      </c>
      <c r="E5773" s="2">
        <v>5</v>
      </c>
      <c r="F5773" s="4">
        <v>10</v>
      </c>
      <c r="G5773" s="2">
        <v>50</v>
      </c>
      <c r="H5773" t="s">
        <v>45</v>
      </c>
      <c r="I5773" t="s">
        <v>36</v>
      </c>
      <c r="J5773" s="1">
        <v>45312</v>
      </c>
      <c r="K5773" t="b">
        <v>0</v>
      </c>
    </row>
    <row r="5774" spans="1:11" x14ac:dyDescent="0.25">
      <c r="A5774" t="s">
        <v>765</v>
      </c>
      <c r="B5774" t="s">
        <v>58</v>
      </c>
      <c r="C5774" t="s">
        <v>59</v>
      </c>
      <c r="D5774" t="s">
        <v>279</v>
      </c>
      <c r="E5774" s="2">
        <v>5</v>
      </c>
      <c r="F5774" s="4">
        <v>10</v>
      </c>
      <c r="G5774" s="2">
        <v>50</v>
      </c>
      <c r="H5774" t="s">
        <v>45</v>
      </c>
      <c r="I5774" t="s">
        <v>36</v>
      </c>
      <c r="J5774" s="1">
        <v>44803</v>
      </c>
      <c r="K5774" t="b">
        <v>1</v>
      </c>
    </row>
    <row r="5775" spans="1:11" x14ac:dyDescent="0.25">
      <c r="A5775" t="s">
        <v>3479</v>
      </c>
      <c r="B5775" t="s">
        <v>61</v>
      </c>
      <c r="C5775" t="s">
        <v>110</v>
      </c>
      <c r="D5775" t="s">
        <v>234</v>
      </c>
      <c r="E5775" s="2">
        <v>12.5</v>
      </c>
      <c r="F5775" s="4">
        <v>4</v>
      </c>
      <c r="G5775" s="2">
        <v>50</v>
      </c>
      <c r="H5775" t="s">
        <v>15</v>
      </c>
      <c r="I5775" t="s">
        <v>16</v>
      </c>
      <c r="J5775" s="1">
        <v>45020</v>
      </c>
      <c r="K5775" t="b">
        <v>0</v>
      </c>
    </row>
    <row r="5776" spans="1:11" x14ac:dyDescent="0.25">
      <c r="A5776" t="s">
        <v>4540</v>
      </c>
      <c r="B5776" t="s">
        <v>51</v>
      </c>
      <c r="C5776" t="s">
        <v>27</v>
      </c>
      <c r="D5776" t="s">
        <v>217</v>
      </c>
      <c r="E5776" s="2">
        <v>12.5</v>
      </c>
      <c r="F5776" s="4">
        <v>4</v>
      </c>
      <c r="G5776" s="2">
        <v>50</v>
      </c>
      <c r="H5776" t="s">
        <v>15</v>
      </c>
      <c r="I5776" t="s">
        <v>16</v>
      </c>
      <c r="J5776" s="1">
        <v>44630</v>
      </c>
      <c r="K5776" t="b">
        <v>0</v>
      </c>
    </row>
    <row r="5777" spans="1:11" x14ac:dyDescent="0.25">
      <c r="A5777" t="s">
        <v>6327</v>
      </c>
      <c r="B5777" t="s">
        <v>43</v>
      </c>
      <c r="C5777" t="s">
        <v>23</v>
      </c>
      <c r="D5777" t="s">
        <v>311</v>
      </c>
      <c r="E5777" s="2">
        <v>5</v>
      </c>
      <c r="F5777" s="4">
        <v>10</v>
      </c>
      <c r="G5777" s="2">
        <v>50</v>
      </c>
      <c r="H5777" t="s">
        <v>25</v>
      </c>
      <c r="I5777" t="s">
        <v>36</v>
      </c>
      <c r="J5777" s="1">
        <v>45661</v>
      </c>
      <c r="K5777" t="b">
        <v>0</v>
      </c>
    </row>
    <row r="5778" spans="1:11" x14ac:dyDescent="0.25">
      <c r="A5778" t="s">
        <v>3962</v>
      </c>
      <c r="B5778" t="s">
        <v>51</v>
      </c>
      <c r="C5778" t="s">
        <v>13</v>
      </c>
      <c r="D5778" t="s">
        <v>146</v>
      </c>
      <c r="E5778" s="2">
        <v>5</v>
      </c>
      <c r="F5778" s="4">
        <v>10</v>
      </c>
      <c r="G5778" s="2">
        <v>50</v>
      </c>
      <c r="H5778" t="s">
        <v>15</v>
      </c>
      <c r="I5778" t="s">
        <v>16</v>
      </c>
      <c r="J5778" s="1">
        <v>45345</v>
      </c>
      <c r="K5778" t="b">
        <v>1</v>
      </c>
    </row>
    <row r="5779" spans="1:11" x14ac:dyDescent="0.25">
      <c r="A5779" t="s">
        <v>6596</v>
      </c>
      <c r="B5779" t="s">
        <v>100</v>
      </c>
      <c r="C5779" t="s">
        <v>59</v>
      </c>
      <c r="D5779" t="s">
        <v>177</v>
      </c>
      <c r="E5779" s="2">
        <v>12.5</v>
      </c>
      <c r="F5779" s="4">
        <v>4</v>
      </c>
      <c r="G5779" s="2">
        <v>50</v>
      </c>
      <c r="H5779" t="s">
        <v>45</v>
      </c>
      <c r="I5779" t="s">
        <v>36</v>
      </c>
      <c r="J5779" s="1">
        <v>44673</v>
      </c>
      <c r="K5779" t="b">
        <v>1</v>
      </c>
    </row>
    <row r="5780" spans="1:11" x14ac:dyDescent="0.25">
      <c r="A5780" t="s">
        <v>1062</v>
      </c>
      <c r="B5780" t="s">
        <v>56</v>
      </c>
      <c r="C5780" t="s">
        <v>110</v>
      </c>
      <c r="D5780" t="s">
        <v>234</v>
      </c>
      <c r="E5780" s="2">
        <v>12.5</v>
      </c>
      <c r="F5780" s="4">
        <v>4</v>
      </c>
      <c r="G5780" s="2">
        <v>50</v>
      </c>
      <c r="H5780" t="s">
        <v>25</v>
      </c>
      <c r="I5780" t="s">
        <v>16</v>
      </c>
      <c r="J5780" s="1">
        <v>44919</v>
      </c>
      <c r="K5780" t="b">
        <v>0</v>
      </c>
    </row>
    <row r="5781" spans="1:11" x14ac:dyDescent="0.25">
      <c r="A5781" t="s">
        <v>4066</v>
      </c>
      <c r="B5781" t="s">
        <v>63</v>
      </c>
      <c r="C5781" t="s">
        <v>19</v>
      </c>
      <c r="D5781" t="s">
        <v>128</v>
      </c>
      <c r="E5781" s="2">
        <v>12.5</v>
      </c>
      <c r="F5781" s="4">
        <v>4</v>
      </c>
      <c r="G5781" s="2">
        <v>50</v>
      </c>
      <c r="H5781" t="s">
        <v>45</v>
      </c>
      <c r="I5781" t="s">
        <v>36</v>
      </c>
      <c r="J5781" s="1">
        <v>44884</v>
      </c>
      <c r="K5781" t="b">
        <v>1</v>
      </c>
    </row>
    <row r="5782" spans="1:11" x14ac:dyDescent="0.25">
      <c r="A5782" t="s">
        <v>5553</v>
      </c>
      <c r="B5782" t="s">
        <v>56</v>
      </c>
      <c r="C5782" t="s">
        <v>13</v>
      </c>
      <c r="D5782" t="s">
        <v>146</v>
      </c>
      <c r="E5782" s="2">
        <v>5</v>
      </c>
      <c r="F5782" s="4">
        <v>10</v>
      </c>
      <c r="G5782" s="2">
        <v>50</v>
      </c>
      <c r="H5782" t="s">
        <v>25</v>
      </c>
      <c r="I5782" t="s">
        <v>36</v>
      </c>
      <c r="J5782" s="1">
        <v>45023</v>
      </c>
      <c r="K5782" t="b">
        <v>0</v>
      </c>
    </row>
    <row r="5783" spans="1:11" x14ac:dyDescent="0.25">
      <c r="A5783" t="s">
        <v>5391</v>
      </c>
      <c r="B5783" t="s">
        <v>100</v>
      </c>
      <c r="C5783" t="s">
        <v>38</v>
      </c>
      <c r="D5783" t="s">
        <v>480</v>
      </c>
      <c r="E5783" s="2">
        <v>12.5</v>
      </c>
      <c r="F5783" s="4">
        <v>4</v>
      </c>
      <c r="G5783" s="2">
        <v>50</v>
      </c>
      <c r="H5783" t="s">
        <v>45</v>
      </c>
      <c r="I5783" t="s">
        <v>16</v>
      </c>
      <c r="J5783" s="1">
        <v>44733</v>
      </c>
      <c r="K5783" t="b">
        <v>0</v>
      </c>
    </row>
    <row r="5784" spans="1:11" x14ac:dyDescent="0.25">
      <c r="A5784" t="s">
        <v>749</v>
      </c>
      <c r="B5784" t="s">
        <v>26</v>
      </c>
      <c r="C5784" t="s">
        <v>31</v>
      </c>
      <c r="D5784" t="s">
        <v>32</v>
      </c>
      <c r="E5784" s="2">
        <v>12.5</v>
      </c>
      <c r="F5784" s="4">
        <v>4</v>
      </c>
      <c r="G5784" s="2">
        <v>50</v>
      </c>
      <c r="H5784" t="s">
        <v>15</v>
      </c>
      <c r="I5784" t="s">
        <v>16</v>
      </c>
      <c r="J5784" s="1">
        <v>45417</v>
      </c>
      <c r="K5784" t="b">
        <v>1</v>
      </c>
    </row>
    <row r="5785" spans="1:11" x14ac:dyDescent="0.25">
      <c r="A5785" t="s">
        <v>4168</v>
      </c>
      <c r="B5785" t="s">
        <v>63</v>
      </c>
      <c r="C5785" t="s">
        <v>38</v>
      </c>
      <c r="D5785" t="s">
        <v>480</v>
      </c>
      <c r="E5785" s="2">
        <v>12.5</v>
      </c>
      <c r="F5785" s="4">
        <v>4</v>
      </c>
      <c r="G5785" s="2">
        <v>50</v>
      </c>
      <c r="H5785" t="s">
        <v>25</v>
      </c>
      <c r="I5785" t="s">
        <v>36</v>
      </c>
      <c r="J5785" s="1">
        <v>45662</v>
      </c>
      <c r="K5785" t="b">
        <v>0</v>
      </c>
    </row>
    <row r="5786" spans="1:11" x14ac:dyDescent="0.25">
      <c r="A5786" t="s">
        <v>3692</v>
      </c>
      <c r="B5786" t="s">
        <v>86</v>
      </c>
      <c r="C5786" t="s">
        <v>38</v>
      </c>
      <c r="D5786" t="s">
        <v>480</v>
      </c>
      <c r="E5786" s="2">
        <v>12.5</v>
      </c>
      <c r="F5786" s="4">
        <v>4</v>
      </c>
      <c r="G5786" s="2">
        <v>50</v>
      </c>
      <c r="H5786" t="s">
        <v>25</v>
      </c>
      <c r="I5786" t="s">
        <v>36</v>
      </c>
      <c r="J5786" s="1">
        <v>44780</v>
      </c>
      <c r="K5786" t="b">
        <v>1</v>
      </c>
    </row>
    <row r="5787" spans="1:11" x14ac:dyDescent="0.25">
      <c r="A5787" t="s">
        <v>7195</v>
      </c>
      <c r="B5787" t="s">
        <v>104</v>
      </c>
      <c r="C5787" t="s">
        <v>19</v>
      </c>
      <c r="D5787" t="s">
        <v>128</v>
      </c>
      <c r="E5787" s="2">
        <v>12.5</v>
      </c>
      <c r="F5787" s="4">
        <v>4</v>
      </c>
      <c r="G5787" s="2">
        <v>50</v>
      </c>
      <c r="H5787" t="s">
        <v>15</v>
      </c>
      <c r="I5787" t="s">
        <v>16</v>
      </c>
      <c r="J5787" s="1">
        <v>45598</v>
      </c>
      <c r="K5787" t="b">
        <v>0</v>
      </c>
    </row>
    <row r="5788" spans="1:11" x14ac:dyDescent="0.25">
      <c r="A5788" t="s">
        <v>725</v>
      </c>
      <c r="B5788" t="s">
        <v>34</v>
      </c>
      <c r="C5788" t="s">
        <v>19</v>
      </c>
      <c r="D5788" t="s">
        <v>128</v>
      </c>
      <c r="E5788" s="2">
        <v>12.5</v>
      </c>
      <c r="F5788" s="4">
        <v>4</v>
      </c>
      <c r="G5788" s="2">
        <v>50</v>
      </c>
      <c r="H5788" t="s">
        <v>45</v>
      </c>
      <c r="I5788" t="s">
        <v>36</v>
      </c>
      <c r="J5788" s="1">
        <v>44980</v>
      </c>
      <c r="K5788" t="b">
        <v>1</v>
      </c>
    </row>
    <row r="5789" spans="1:11" x14ac:dyDescent="0.25">
      <c r="A5789" t="s">
        <v>3603</v>
      </c>
      <c r="B5789" t="s">
        <v>51</v>
      </c>
      <c r="C5789" t="s">
        <v>38</v>
      </c>
      <c r="D5789" t="s">
        <v>480</v>
      </c>
      <c r="E5789" s="2">
        <v>12.5</v>
      </c>
      <c r="F5789" s="4">
        <v>4</v>
      </c>
      <c r="G5789" s="2">
        <v>50</v>
      </c>
      <c r="H5789" t="s">
        <v>25</v>
      </c>
      <c r="I5789" t="s">
        <v>36</v>
      </c>
      <c r="J5789" s="1">
        <v>45399</v>
      </c>
      <c r="K5789" t="b">
        <v>0</v>
      </c>
    </row>
    <row r="5790" spans="1:11" x14ac:dyDescent="0.25">
      <c r="A5790" t="s">
        <v>1065</v>
      </c>
      <c r="B5790" t="s">
        <v>18</v>
      </c>
      <c r="C5790" t="s">
        <v>19</v>
      </c>
      <c r="D5790" t="s">
        <v>219</v>
      </c>
      <c r="E5790" s="2">
        <v>5</v>
      </c>
      <c r="F5790" s="4">
        <v>10</v>
      </c>
      <c r="G5790" s="2">
        <v>50</v>
      </c>
      <c r="H5790" t="s">
        <v>15</v>
      </c>
      <c r="I5790" t="s">
        <v>16</v>
      </c>
      <c r="J5790" s="1">
        <v>45187</v>
      </c>
      <c r="K5790" t="b">
        <v>0</v>
      </c>
    </row>
    <row r="5791" spans="1:11" x14ac:dyDescent="0.25">
      <c r="A5791" t="s">
        <v>4552</v>
      </c>
      <c r="B5791" t="s">
        <v>77</v>
      </c>
      <c r="C5791" t="s">
        <v>23</v>
      </c>
      <c r="D5791" t="s">
        <v>437</v>
      </c>
      <c r="E5791" s="2">
        <v>12.5</v>
      </c>
      <c r="F5791" s="4">
        <v>4</v>
      </c>
      <c r="G5791" s="2">
        <v>50</v>
      </c>
      <c r="H5791" t="s">
        <v>25</v>
      </c>
      <c r="I5791" t="s">
        <v>16</v>
      </c>
      <c r="J5791" s="1">
        <v>45539</v>
      </c>
      <c r="K5791" t="b">
        <v>1</v>
      </c>
    </row>
    <row r="5792" spans="1:11" x14ac:dyDescent="0.25">
      <c r="A5792" t="s">
        <v>1734</v>
      </c>
      <c r="B5792" t="s">
        <v>34</v>
      </c>
      <c r="C5792" t="s">
        <v>23</v>
      </c>
      <c r="D5792" t="s">
        <v>437</v>
      </c>
      <c r="E5792" s="2">
        <v>12.5</v>
      </c>
      <c r="F5792" s="4">
        <v>4</v>
      </c>
      <c r="G5792" s="2">
        <v>50</v>
      </c>
      <c r="H5792" t="s">
        <v>25</v>
      </c>
      <c r="I5792" t="s">
        <v>36</v>
      </c>
      <c r="J5792" s="1">
        <v>45287</v>
      </c>
      <c r="K5792" t="b">
        <v>0</v>
      </c>
    </row>
    <row r="5793" spans="1:11" x14ac:dyDescent="0.25">
      <c r="A5793" t="s">
        <v>2464</v>
      </c>
      <c r="B5793" t="s">
        <v>34</v>
      </c>
      <c r="C5793" t="s">
        <v>19</v>
      </c>
      <c r="D5793" t="s">
        <v>219</v>
      </c>
      <c r="E5793" s="2">
        <v>5</v>
      </c>
      <c r="F5793" s="4">
        <v>10</v>
      </c>
      <c r="G5793" s="2">
        <v>50</v>
      </c>
      <c r="H5793" t="s">
        <v>25</v>
      </c>
      <c r="I5793" t="s">
        <v>36</v>
      </c>
      <c r="J5793" s="1">
        <v>45665</v>
      </c>
      <c r="K5793" t="b">
        <v>0</v>
      </c>
    </row>
    <row r="5794" spans="1:11" x14ac:dyDescent="0.25">
      <c r="A5794" t="s">
        <v>3973</v>
      </c>
      <c r="B5794" t="s">
        <v>30</v>
      </c>
      <c r="C5794" t="s">
        <v>23</v>
      </c>
      <c r="D5794" t="s">
        <v>437</v>
      </c>
      <c r="E5794" s="2">
        <v>12.5</v>
      </c>
      <c r="F5794" s="4">
        <v>4</v>
      </c>
      <c r="G5794" s="2">
        <v>50</v>
      </c>
      <c r="H5794" t="s">
        <v>25</v>
      </c>
      <c r="I5794" t="s">
        <v>36</v>
      </c>
      <c r="J5794" s="1">
        <v>45098</v>
      </c>
      <c r="K5794" t="b">
        <v>1</v>
      </c>
    </row>
    <row r="5795" spans="1:11" x14ac:dyDescent="0.25">
      <c r="A5795" t="s">
        <v>7658</v>
      </c>
      <c r="B5795" t="s">
        <v>43</v>
      </c>
      <c r="C5795" t="s">
        <v>19</v>
      </c>
      <c r="D5795" t="s">
        <v>128</v>
      </c>
      <c r="E5795" s="2">
        <v>12.5</v>
      </c>
      <c r="F5795" s="4">
        <v>4</v>
      </c>
      <c r="G5795" s="2">
        <v>50</v>
      </c>
      <c r="H5795" t="s">
        <v>15</v>
      </c>
      <c r="I5795" t="s">
        <v>16</v>
      </c>
      <c r="J5795" s="1">
        <v>44829</v>
      </c>
      <c r="K5795" t="b">
        <v>0</v>
      </c>
    </row>
    <row r="5796" spans="1:11" x14ac:dyDescent="0.25">
      <c r="A5796" t="s">
        <v>6757</v>
      </c>
      <c r="B5796" t="s">
        <v>30</v>
      </c>
      <c r="C5796" t="s">
        <v>110</v>
      </c>
      <c r="D5796" t="s">
        <v>337</v>
      </c>
      <c r="E5796" s="2">
        <v>5</v>
      </c>
      <c r="F5796" s="4">
        <v>10</v>
      </c>
      <c r="G5796" s="2">
        <v>50</v>
      </c>
      <c r="H5796" t="s">
        <v>45</v>
      </c>
      <c r="I5796" t="s">
        <v>16</v>
      </c>
      <c r="J5796" s="1">
        <v>45575</v>
      </c>
      <c r="K5796" t="b">
        <v>0</v>
      </c>
    </row>
    <row r="5797" spans="1:11" x14ac:dyDescent="0.25">
      <c r="A5797" t="s">
        <v>355</v>
      </c>
      <c r="B5797" t="s">
        <v>12</v>
      </c>
      <c r="C5797" t="s">
        <v>59</v>
      </c>
      <c r="D5797" t="s">
        <v>177</v>
      </c>
      <c r="E5797" s="2">
        <v>12.5</v>
      </c>
      <c r="F5797" s="4">
        <v>4</v>
      </c>
      <c r="G5797" s="2">
        <v>50</v>
      </c>
      <c r="H5797" t="s">
        <v>15</v>
      </c>
      <c r="I5797" t="s">
        <v>36</v>
      </c>
      <c r="J5797" s="1">
        <v>44933</v>
      </c>
      <c r="K5797" t="b">
        <v>1</v>
      </c>
    </row>
    <row r="5798" spans="1:11" x14ac:dyDescent="0.25">
      <c r="A5798" t="s">
        <v>3157</v>
      </c>
      <c r="B5798" t="s">
        <v>77</v>
      </c>
      <c r="C5798" t="s">
        <v>13</v>
      </c>
      <c r="D5798" t="s">
        <v>84</v>
      </c>
      <c r="E5798" s="2">
        <v>12.5</v>
      </c>
      <c r="F5798" s="4">
        <v>4</v>
      </c>
      <c r="G5798" s="2">
        <v>50</v>
      </c>
      <c r="H5798" t="s">
        <v>45</v>
      </c>
      <c r="I5798" t="s">
        <v>36</v>
      </c>
      <c r="J5798" s="1">
        <v>45148</v>
      </c>
      <c r="K5798" t="b">
        <v>1</v>
      </c>
    </row>
    <row r="5799" spans="1:11" x14ac:dyDescent="0.25">
      <c r="A5799" t="s">
        <v>4165</v>
      </c>
      <c r="B5799" t="s">
        <v>63</v>
      </c>
      <c r="C5799" t="s">
        <v>59</v>
      </c>
      <c r="D5799" t="s">
        <v>177</v>
      </c>
      <c r="E5799" s="2">
        <v>12.5</v>
      </c>
      <c r="F5799" s="4">
        <v>4</v>
      </c>
      <c r="G5799" s="2">
        <v>50</v>
      </c>
      <c r="H5799" t="s">
        <v>25</v>
      </c>
      <c r="I5799" t="s">
        <v>16</v>
      </c>
      <c r="J5799" s="1">
        <v>44686</v>
      </c>
      <c r="K5799" t="b">
        <v>0</v>
      </c>
    </row>
    <row r="5800" spans="1:11" x14ac:dyDescent="0.25">
      <c r="A5800" t="s">
        <v>5064</v>
      </c>
      <c r="B5800" t="s">
        <v>58</v>
      </c>
      <c r="C5800" t="s">
        <v>31</v>
      </c>
      <c r="D5800" t="s">
        <v>35</v>
      </c>
      <c r="E5800" s="2">
        <v>5</v>
      </c>
      <c r="F5800" s="4">
        <v>10</v>
      </c>
      <c r="G5800" s="2">
        <v>50</v>
      </c>
      <c r="H5800" t="s">
        <v>45</v>
      </c>
      <c r="I5800" t="s">
        <v>16</v>
      </c>
      <c r="J5800" s="1">
        <v>44723</v>
      </c>
      <c r="K5800" t="b">
        <v>1</v>
      </c>
    </row>
    <row r="5801" spans="1:11" x14ac:dyDescent="0.25">
      <c r="A5801" t="s">
        <v>5896</v>
      </c>
      <c r="B5801" t="s">
        <v>72</v>
      </c>
      <c r="C5801" t="s">
        <v>13</v>
      </c>
      <c r="D5801" t="s">
        <v>146</v>
      </c>
      <c r="E5801" s="2">
        <v>5</v>
      </c>
      <c r="F5801" s="4">
        <v>10</v>
      </c>
      <c r="G5801" s="2">
        <v>50</v>
      </c>
      <c r="H5801" t="s">
        <v>25</v>
      </c>
      <c r="I5801" t="s">
        <v>36</v>
      </c>
      <c r="J5801" s="1">
        <v>45448</v>
      </c>
      <c r="K5801" t="b">
        <v>0</v>
      </c>
    </row>
    <row r="5802" spans="1:11" x14ac:dyDescent="0.25">
      <c r="A5802" t="s">
        <v>5134</v>
      </c>
      <c r="B5802" t="s">
        <v>43</v>
      </c>
      <c r="C5802" t="s">
        <v>38</v>
      </c>
      <c r="D5802" t="s">
        <v>480</v>
      </c>
      <c r="E5802" s="2">
        <v>12.5</v>
      </c>
      <c r="F5802" s="4">
        <v>4</v>
      </c>
      <c r="G5802" s="2">
        <v>50</v>
      </c>
      <c r="H5802" t="s">
        <v>25</v>
      </c>
      <c r="I5802" t="s">
        <v>36</v>
      </c>
      <c r="J5802" s="1">
        <v>45343</v>
      </c>
      <c r="K5802" t="b">
        <v>0</v>
      </c>
    </row>
    <row r="5803" spans="1:11" x14ac:dyDescent="0.25">
      <c r="A5803" t="s">
        <v>6604</v>
      </c>
      <c r="B5803" t="s">
        <v>58</v>
      </c>
      <c r="C5803" t="s">
        <v>59</v>
      </c>
      <c r="D5803" t="s">
        <v>177</v>
      </c>
      <c r="E5803" s="2">
        <v>12.5</v>
      </c>
      <c r="F5803" s="4">
        <v>4</v>
      </c>
      <c r="G5803" s="2">
        <v>50</v>
      </c>
      <c r="H5803" t="s">
        <v>25</v>
      </c>
      <c r="I5803" t="s">
        <v>16</v>
      </c>
      <c r="J5803" s="1">
        <v>44577</v>
      </c>
      <c r="K5803" t="b">
        <v>0</v>
      </c>
    </row>
    <row r="5804" spans="1:11" x14ac:dyDescent="0.25">
      <c r="A5804" t="s">
        <v>6998</v>
      </c>
      <c r="B5804" t="s">
        <v>86</v>
      </c>
      <c r="C5804" t="s">
        <v>110</v>
      </c>
      <c r="D5804" t="s">
        <v>253</v>
      </c>
      <c r="E5804" s="2">
        <v>24.5</v>
      </c>
      <c r="F5804" s="4">
        <v>2</v>
      </c>
      <c r="G5804" s="2">
        <v>49</v>
      </c>
      <c r="H5804" t="s">
        <v>45</v>
      </c>
      <c r="I5804" t="s">
        <v>36</v>
      </c>
      <c r="J5804" s="1">
        <v>44729</v>
      </c>
      <c r="K5804" t="b">
        <v>1</v>
      </c>
    </row>
    <row r="5805" spans="1:11" x14ac:dyDescent="0.25">
      <c r="A5805" t="s">
        <v>670</v>
      </c>
      <c r="B5805" t="s">
        <v>34</v>
      </c>
      <c r="C5805" t="s">
        <v>27</v>
      </c>
      <c r="D5805" t="s">
        <v>170</v>
      </c>
      <c r="E5805" s="2">
        <v>24.5</v>
      </c>
      <c r="F5805" s="4">
        <v>2</v>
      </c>
      <c r="G5805" s="2">
        <v>49</v>
      </c>
      <c r="H5805" t="s">
        <v>25</v>
      </c>
      <c r="I5805" t="s">
        <v>36</v>
      </c>
      <c r="J5805" s="1">
        <v>44696</v>
      </c>
      <c r="K5805" t="b">
        <v>1</v>
      </c>
    </row>
    <row r="5806" spans="1:11" x14ac:dyDescent="0.25">
      <c r="A5806" t="s">
        <v>169</v>
      </c>
      <c r="B5806" t="s">
        <v>97</v>
      </c>
      <c r="C5806" t="s">
        <v>27</v>
      </c>
      <c r="D5806" t="s">
        <v>170</v>
      </c>
      <c r="E5806" s="2">
        <v>24.5</v>
      </c>
      <c r="F5806" s="4">
        <v>2</v>
      </c>
      <c r="G5806" s="2">
        <v>49</v>
      </c>
      <c r="H5806" t="s">
        <v>25</v>
      </c>
      <c r="I5806" t="s">
        <v>36</v>
      </c>
      <c r="J5806" s="1">
        <v>45119</v>
      </c>
      <c r="K5806" t="b">
        <v>1</v>
      </c>
    </row>
    <row r="5807" spans="1:11" x14ac:dyDescent="0.25">
      <c r="A5807" t="s">
        <v>2875</v>
      </c>
      <c r="B5807" t="s">
        <v>22</v>
      </c>
      <c r="C5807" t="s">
        <v>31</v>
      </c>
      <c r="D5807" t="s">
        <v>78</v>
      </c>
      <c r="E5807" s="2">
        <v>24.5</v>
      </c>
      <c r="F5807" s="4">
        <v>2</v>
      </c>
      <c r="G5807" s="2">
        <v>49</v>
      </c>
      <c r="H5807" t="s">
        <v>15</v>
      </c>
      <c r="I5807" t="s">
        <v>36</v>
      </c>
      <c r="J5807" s="1">
        <v>45088</v>
      </c>
      <c r="K5807" t="b">
        <v>0</v>
      </c>
    </row>
    <row r="5808" spans="1:11" x14ac:dyDescent="0.25">
      <c r="A5808" t="s">
        <v>5460</v>
      </c>
      <c r="B5808" t="s">
        <v>40</v>
      </c>
      <c r="C5808" t="s">
        <v>31</v>
      </c>
      <c r="D5808" t="s">
        <v>78</v>
      </c>
      <c r="E5808" s="2">
        <v>24.5</v>
      </c>
      <c r="F5808" s="4">
        <v>2</v>
      </c>
      <c r="G5808" s="2">
        <v>49</v>
      </c>
      <c r="H5808" t="s">
        <v>15</v>
      </c>
      <c r="I5808" t="s">
        <v>16</v>
      </c>
      <c r="J5808" s="1">
        <v>45498</v>
      </c>
      <c r="K5808" t="b">
        <v>1</v>
      </c>
    </row>
    <row r="5809" spans="1:11" x14ac:dyDescent="0.25">
      <c r="A5809" t="s">
        <v>6787</v>
      </c>
      <c r="B5809" t="s">
        <v>26</v>
      </c>
      <c r="C5809" t="s">
        <v>19</v>
      </c>
      <c r="D5809" t="s">
        <v>487</v>
      </c>
      <c r="E5809" s="2">
        <v>24.5</v>
      </c>
      <c r="F5809" s="4">
        <v>2</v>
      </c>
      <c r="G5809" s="2">
        <v>49</v>
      </c>
      <c r="H5809" t="s">
        <v>45</v>
      </c>
      <c r="I5809" t="s">
        <v>16</v>
      </c>
      <c r="J5809" s="1">
        <v>44927</v>
      </c>
      <c r="K5809" t="b">
        <v>0</v>
      </c>
    </row>
    <row r="5810" spans="1:11" x14ac:dyDescent="0.25">
      <c r="A5810" t="s">
        <v>662</v>
      </c>
      <c r="B5810" t="s">
        <v>18</v>
      </c>
      <c r="C5810" t="s">
        <v>27</v>
      </c>
      <c r="D5810" t="s">
        <v>170</v>
      </c>
      <c r="E5810" s="2">
        <v>24.5</v>
      </c>
      <c r="F5810" s="4">
        <v>2</v>
      </c>
      <c r="G5810" s="2">
        <v>49</v>
      </c>
      <c r="H5810" t="s">
        <v>15</v>
      </c>
      <c r="I5810" t="s">
        <v>36</v>
      </c>
      <c r="J5810" s="1">
        <v>44918</v>
      </c>
      <c r="K5810" t="b">
        <v>1</v>
      </c>
    </row>
    <row r="5811" spans="1:11" x14ac:dyDescent="0.25">
      <c r="A5811" t="s">
        <v>5187</v>
      </c>
      <c r="B5811" t="s">
        <v>72</v>
      </c>
      <c r="C5811" t="s">
        <v>38</v>
      </c>
      <c r="D5811" t="s">
        <v>70</v>
      </c>
      <c r="E5811" s="2">
        <v>24.5</v>
      </c>
      <c r="F5811" s="4">
        <v>2</v>
      </c>
      <c r="G5811" s="2">
        <v>49</v>
      </c>
      <c r="H5811" t="s">
        <v>15</v>
      </c>
      <c r="I5811" t="s">
        <v>36</v>
      </c>
      <c r="J5811" s="1">
        <v>45272</v>
      </c>
      <c r="K5811" t="b">
        <v>0</v>
      </c>
    </row>
    <row r="5812" spans="1:11" x14ac:dyDescent="0.25">
      <c r="A5812" t="s">
        <v>6144</v>
      </c>
      <c r="B5812" t="s">
        <v>61</v>
      </c>
      <c r="C5812" t="s">
        <v>13</v>
      </c>
      <c r="D5812" t="s">
        <v>139</v>
      </c>
      <c r="E5812" s="2">
        <v>24.5</v>
      </c>
      <c r="F5812" s="4">
        <v>2</v>
      </c>
      <c r="G5812" s="2">
        <v>49</v>
      </c>
      <c r="H5812" t="s">
        <v>25</v>
      </c>
      <c r="I5812" t="s">
        <v>36</v>
      </c>
      <c r="J5812" s="1">
        <v>45537</v>
      </c>
      <c r="K5812" t="b">
        <v>1</v>
      </c>
    </row>
    <row r="5813" spans="1:11" x14ac:dyDescent="0.25">
      <c r="A5813" t="s">
        <v>7807</v>
      </c>
      <c r="B5813" t="s">
        <v>43</v>
      </c>
      <c r="C5813" t="s">
        <v>38</v>
      </c>
      <c r="D5813" t="s">
        <v>70</v>
      </c>
      <c r="E5813" s="2">
        <v>24.5</v>
      </c>
      <c r="F5813" s="4">
        <v>2</v>
      </c>
      <c r="G5813" s="2">
        <v>49</v>
      </c>
      <c r="H5813" t="s">
        <v>45</v>
      </c>
      <c r="I5813" t="s">
        <v>16</v>
      </c>
      <c r="J5813" s="1">
        <v>45513</v>
      </c>
      <c r="K5813" t="b">
        <v>1</v>
      </c>
    </row>
    <row r="5814" spans="1:11" x14ac:dyDescent="0.25">
      <c r="A5814" t="s">
        <v>3315</v>
      </c>
      <c r="B5814" t="s">
        <v>97</v>
      </c>
      <c r="C5814" t="s">
        <v>31</v>
      </c>
      <c r="D5814" t="s">
        <v>78</v>
      </c>
      <c r="E5814" s="2">
        <v>24.5</v>
      </c>
      <c r="F5814" s="4">
        <v>2</v>
      </c>
      <c r="G5814" s="2">
        <v>49</v>
      </c>
      <c r="H5814" t="s">
        <v>25</v>
      </c>
      <c r="I5814" t="s">
        <v>36</v>
      </c>
      <c r="J5814" s="1">
        <v>45101</v>
      </c>
      <c r="K5814" t="b">
        <v>1</v>
      </c>
    </row>
    <row r="5815" spans="1:11" x14ac:dyDescent="0.25">
      <c r="A5815" t="s">
        <v>5464</v>
      </c>
      <c r="B5815" t="s">
        <v>22</v>
      </c>
      <c r="C5815" t="s">
        <v>13</v>
      </c>
      <c r="D5815" t="s">
        <v>139</v>
      </c>
      <c r="E5815" s="2">
        <v>24.5</v>
      </c>
      <c r="F5815" s="4">
        <v>2</v>
      </c>
      <c r="G5815" s="2">
        <v>49</v>
      </c>
      <c r="H5815" t="s">
        <v>45</v>
      </c>
      <c r="I5815" t="s">
        <v>36</v>
      </c>
      <c r="J5815" s="1">
        <v>45275</v>
      </c>
      <c r="K5815" t="b">
        <v>1</v>
      </c>
    </row>
    <row r="5816" spans="1:11" x14ac:dyDescent="0.25">
      <c r="A5816" t="s">
        <v>1407</v>
      </c>
      <c r="B5816" t="s">
        <v>104</v>
      </c>
      <c r="C5816" t="s">
        <v>31</v>
      </c>
      <c r="D5816" t="s">
        <v>78</v>
      </c>
      <c r="E5816" s="2">
        <v>24.5</v>
      </c>
      <c r="F5816" s="4">
        <v>2</v>
      </c>
      <c r="G5816" s="2">
        <v>49</v>
      </c>
      <c r="H5816" t="s">
        <v>15</v>
      </c>
      <c r="I5816" t="s">
        <v>16</v>
      </c>
      <c r="J5816" s="1">
        <v>45566</v>
      </c>
      <c r="K5816" t="b">
        <v>0</v>
      </c>
    </row>
    <row r="5817" spans="1:11" x14ac:dyDescent="0.25">
      <c r="A5817" t="s">
        <v>6715</v>
      </c>
      <c r="B5817" t="s">
        <v>86</v>
      </c>
      <c r="C5817" t="s">
        <v>27</v>
      </c>
      <c r="D5817" t="s">
        <v>170</v>
      </c>
      <c r="E5817" s="2">
        <v>24.5</v>
      </c>
      <c r="F5817" s="4">
        <v>2</v>
      </c>
      <c r="G5817" s="2">
        <v>49</v>
      </c>
      <c r="H5817" t="s">
        <v>45</v>
      </c>
      <c r="I5817" t="s">
        <v>36</v>
      </c>
      <c r="J5817" s="1">
        <v>44842</v>
      </c>
      <c r="K5817" t="b">
        <v>1</v>
      </c>
    </row>
    <row r="5818" spans="1:11" x14ac:dyDescent="0.25">
      <c r="A5818" t="s">
        <v>2888</v>
      </c>
      <c r="B5818" t="s">
        <v>37</v>
      </c>
      <c r="C5818" t="s">
        <v>31</v>
      </c>
      <c r="D5818" t="s">
        <v>78</v>
      </c>
      <c r="E5818" s="2">
        <v>24.5</v>
      </c>
      <c r="F5818" s="4">
        <v>2</v>
      </c>
      <c r="G5818" s="2">
        <v>49</v>
      </c>
      <c r="H5818" t="s">
        <v>45</v>
      </c>
      <c r="I5818" t="s">
        <v>16</v>
      </c>
      <c r="J5818" s="1">
        <v>45569</v>
      </c>
      <c r="K5818" t="b">
        <v>0</v>
      </c>
    </row>
    <row r="5819" spans="1:11" x14ac:dyDescent="0.25">
      <c r="A5819" t="s">
        <v>7812</v>
      </c>
      <c r="B5819" t="s">
        <v>58</v>
      </c>
      <c r="C5819" t="s">
        <v>31</v>
      </c>
      <c r="D5819" t="s">
        <v>78</v>
      </c>
      <c r="E5819" s="2">
        <v>24.5</v>
      </c>
      <c r="F5819" s="4">
        <v>2</v>
      </c>
      <c r="G5819" s="2">
        <v>49</v>
      </c>
      <c r="H5819" t="s">
        <v>25</v>
      </c>
      <c r="I5819" t="s">
        <v>36</v>
      </c>
      <c r="J5819" s="1">
        <v>45141</v>
      </c>
      <c r="K5819" t="b">
        <v>1</v>
      </c>
    </row>
    <row r="5820" spans="1:11" x14ac:dyDescent="0.25">
      <c r="A5820" t="s">
        <v>6681</v>
      </c>
      <c r="B5820" t="s">
        <v>40</v>
      </c>
      <c r="C5820" t="s">
        <v>31</v>
      </c>
      <c r="D5820" t="s">
        <v>78</v>
      </c>
      <c r="E5820" s="2">
        <v>24.5</v>
      </c>
      <c r="F5820" s="4">
        <v>2</v>
      </c>
      <c r="G5820" s="2">
        <v>49</v>
      </c>
      <c r="H5820" t="s">
        <v>15</v>
      </c>
      <c r="I5820" t="s">
        <v>36</v>
      </c>
      <c r="J5820" s="1">
        <v>45339</v>
      </c>
      <c r="K5820" t="b">
        <v>1</v>
      </c>
    </row>
    <row r="5821" spans="1:11" x14ac:dyDescent="0.25">
      <c r="A5821" t="s">
        <v>874</v>
      </c>
      <c r="B5821" t="s">
        <v>61</v>
      </c>
      <c r="C5821" t="s">
        <v>31</v>
      </c>
      <c r="D5821" t="s">
        <v>78</v>
      </c>
      <c r="E5821" s="2">
        <v>24.5</v>
      </c>
      <c r="F5821" s="4">
        <v>2</v>
      </c>
      <c r="G5821" s="2">
        <v>49</v>
      </c>
      <c r="H5821" t="s">
        <v>15</v>
      </c>
      <c r="I5821" t="s">
        <v>16</v>
      </c>
      <c r="J5821" s="1">
        <v>45035</v>
      </c>
      <c r="K5821" t="b">
        <v>0</v>
      </c>
    </row>
    <row r="5822" spans="1:11" x14ac:dyDescent="0.25">
      <c r="A5822" t="s">
        <v>6161</v>
      </c>
      <c r="B5822" t="s">
        <v>100</v>
      </c>
      <c r="C5822" t="s">
        <v>31</v>
      </c>
      <c r="D5822" t="s">
        <v>78</v>
      </c>
      <c r="E5822" s="2">
        <v>24.5</v>
      </c>
      <c r="F5822" s="4">
        <v>2</v>
      </c>
      <c r="G5822" s="2">
        <v>49</v>
      </c>
      <c r="H5822" t="s">
        <v>25</v>
      </c>
      <c r="I5822" t="s">
        <v>16</v>
      </c>
      <c r="J5822" s="1">
        <v>44624</v>
      </c>
      <c r="K5822" t="b">
        <v>0</v>
      </c>
    </row>
    <row r="5823" spans="1:11" x14ac:dyDescent="0.25">
      <c r="A5823" t="s">
        <v>5111</v>
      </c>
      <c r="B5823" t="s">
        <v>61</v>
      </c>
      <c r="C5823" t="s">
        <v>13</v>
      </c>
      <c r="D5823" t="s">
        <v>139</v>
      </c>
      <c r="E5823" s="2">
        <v>24.5</v>
      </c>
      <c r="F5823" s="4">
        <v>2</v>
      </c>
      <c r="G5823" s="2">
        <v>49</v>
      </c>
      <c r="H5823" t="s">
        <v>15</v>
      </c>
      <c r="I5823" t="s">
        <v>36</v>
      </c>
      <c r="J5823" s="1">
        <v>44582</v>
      </c>
      <c r="K5823" t="b">
        <v>0</v>
      </c>
    </row>
    <row r="5824" spans="1:11" x14ac:dyDescent="0.25">
      <c r="A5824" t="s">
        <v>5599</v>
      </c>
      <c r="B5824" t="s">
        <v>142</v>
      </c>
      <c r="C5824" t="s">
        <v>27</v>
      </c>
      <c r="D5824" t="s">
        <v>170</v>
      </c>
      <c r="E5824" s="2">
        <v>24.5</v>
      </c>
      <c r="F5824" s="4">
        <v>2</v>
      </c>
      <c r="G5824" s="2">
        <v>49</v>
      </c>
      <c r="H5824" t="s">
        <v>15</v>
      </c>
      <c r="I5824" t="s">
        <v>36</v>
      </c>
      <c r="J5824" s="1">
        <v>44937</v>
      </c>
      <c r="K5824" t="b">
        <v>0</v>
      </c>
    </row>
    <row r="5825" spans="1:11" x14ac:dyDescent="0.25">
      <c r="A5825" t="s">
        <v>2462</v>
      </c>
      <c r="B5825" t="s">
        <v>30</v>
      </c>
      <c r="C5825" t="s">
        <v>31</v>
      </c>
      <c r="D5825" t="s">
        <v>78</v>
      </c>
      <c r="E5825" s="2">
        <v>24.5</v>
      </c>
      <c r="F5825" s="4">
        <v>2</v>
      </c>
      <c r="G5825" s="2">
        <v>49</v>
      </c>
      <c r="H5825" t="s">
        <v>45</v>
      </c>
      <c r="I5825" t="s">
        <v>16</v>
      </c>
      <c r="J5825" s="1">
        <v>45368</v>
      </c>
      <c r="K5825" t="b">
        <v>1</v>
      </c>
    </row>
    <row r="5826" spans="1:11" x14ac:dyDescent="0.25">
      <c r="A5826" t="s">
        <v>1489</v>
      </c>
      <c r="B5826" t="s">
        <v>72</v>
      </c>
      <c r="C5826" t="s">
        <v>27</v>
      </c>
      <c r="D5826" t="s">
        <v>170</v>
      </c>
      <c r="E5826" s="2">
        <v>24.5</v>
      </c>
      <c r="F5826" s="4">
        <v>2</v>
      </c>
      <c r="G5826" s="2">
        <v>49</v>
      </c>
      <c r="H5826" t="s">
        <v>15</v>
      </c>
      <c r="I5826" t="s">
        <v>16</v>
      </c>
      <c r="J5826" s="1">
        <v>45095</v>
      </c>
      <c r="K5826" t="b">
        <v>0</v>
      </c>
    </row>
    <row r="5827" spans="1:11" x14ac:dyDescent="0.25">
      <c r="A5827" t="s">
        <v>1197</v>
      </c>
      <c r="B5827" t="s">
        <v>22</v>
      </c>
      <c r="C5827" t="s">
        <v>110</v>
      </c>
      <c r="D5827" t="s">
        <v>253</v>
      </c>
      <c r="E5827" s="2">
        <v>24.5</v>
      </c>
      <c r="F5827" s="4">
        <v>2</v>
      </c>
      <c r="G5827" s="2">
        <v>49</v>
      </c>
      <c r="H5827" t="s">
        <v>45</v>
      </c>
      <c r="I5827" t="s">
        <v>16</v>
      </c>
      <c r="J5827" s="1">
        <v>44690</v>
      </c>
      <c r="K5827" t="b">
        <v>1</v>
      </c>
    </row>
    <row r="5828" spans="1:11" x14ac:dyDescent="0.25">
      <c r="A5828" t="s">
        <v>3719</v>
      </c>
      <c r="B5828" t="s">
        <v>12</v>
      </c>
      <c r="C5828" t="s">
        <v>27</v>
      </c>
      <c r="D5828" t="s">
        <v>170</v>
      </c>
      <c r="E5828" s="2">
        <v>24.5</v>
      </c>
      <c r="F5828" s="4">
        <v>2</v>
      </c>
      <c r="G5828" s="2">
        <v>49</v>
      </c>
      <c r="H5828" t="s">
        <v>45</v>
      </c>
      <c r="I5828" t="s">
        <v>16</v>
      </c>
      <c r="J5828" s="1">
        <v>45333</v>
      </c>
      <c r="K5828" t="b">
        <v>0</v>
      </c>
    </row>
    <row r="5829" spans="1:11" x14ac:dyDescent="0.25">
      <c r="A5829" t="s">
        <v>1573</v>
      </c>
      <c r="B5829" t="s">
        <v>37</v>
      </c>
      <c r="C5829" t="s">
        <v>27</v>
      </c>
      <c r="D5829" t="s">
        <v>170</v>
      </c>
      <c r="E5829" s="2">
        <v>24.5</v>
      </c>
      <c r="F5829" s="4">
        <v>2</v>
      </c>
      <c r="G5829" s="2">
        <v>49</v>
      </c>
      <c r="H5829" t="s">
        <v>45</v>
      </c>
      <c r="I5829" t="s">
        <v>16</v>
      </c>
      <c r="J5829" s="1">
        <v>45199</v>
      </c>
      <c r="K5829" t="b">
        <v>1</v>
      </c>
    </row>
    <row r="5830" spans="1:11" x14ac:dyDescent="0.25">
      <c r="A5830" t="s">
        <v>7435</v>
      </c>
      <c r="B5830" t="s">
        <v>61</v>
      </c>
      <c r="C5830" t="s">
        <v>110</v>
      </c>
      <c r="D5830" t="s">
        <v>253</v>
      </c>
      <c r="E5830" s="2">
        <v>24.5</v>
      </c>
      <c r="F5830" s="4">
        <v>2</v>
      </c>
      <c r="G5830" s="2">
        <v>49</v>
      </c>
      <c r="H5830" t="s">
        <v>45</v>
      </c>
      <c r="I5830" t="s">
        <v>16</v>
      </c>
      <c r="J5830" s="1">
        <v>45610</v>
      </c>
      <c r="K5830" t="b">
        <v>0</v>
      </c>
    </row>
    <row r="5831" spans="1:11" x14ac:dyDescent="0.25">
      <c r="A5831" t="s">
        <v>7571</v>
      </c>
      <c r="B5831" t="s">
        <v>77</v>
      </c>
      <c r="C5831" t="s">
        <v>27</v>
      </c>
      <c r="D5831" t="s">
        <v>170</v>
      </c>
      <c r="E5831" s="2">
        <v>24.5</v>
      </c>
      <c r="F5831" s="4">
        <v>2</v>
      </c>
      <c r="G5831" s="2">
        <v>49</v>
      </c>
      <c r="H5831" t="s">
        <v>45</v>
      </c>
      <c r="I5831" t="s">
        <v>16</v>
      </c>
      <c r="J5831" s="1">
        <v>45260</v>
      </c>
      <c r="K5831" t="b">
        <v>0</v>
      </c>
    </row>
    <row r="5832" spans="1:11" x14ac:dyDescent="0.25">
      <c r="A5832" t="s">
        <v>2790</v>
      </c>
      <c r="B5832" t="s">
        <v>22</v>
      </c>
      <c r="C5832" t="s">
        <v>31</v>
      </c>
      <c r="D5832" t="s">
        <v>78</v>
      </c>
      <c r="E5832" s="2">
        <v>24.5</v>
      </c>
      <c r="F5832" s="4">
        <v>2</v>
      </c>
      <c r="G5832" s="2">
        <v>49</v>
      </c>
      <c r="H5832" t="s">
        <v>45</v>
      </c>
      <c r="I5832" t="s">
        <v>36</v>
      </c>
      <c r="J5832" s="1">
        <v>45176</v>
      </c>
      <c r="K5832" t="b">
        <v>1</v>
      </c>
    </row>
    <row r="5833" spans="1:11" x14ac:dyDescent="0.25">
      <c r="A5833" t="s">
        <v>7017</v>
      </c>
      <c r="B5833" t="s">
        <v>30</v>
      </c>
      <c r="C5833" t="s">
        <v>110</v>
      </c>
      <c r="D5833" t="s">
        <v>253</v>
      </c>
      <c r="E5833" s="2">
        <v>24.5</v>
      </c>
      <c r="F5833" s="4">
        <v>2</v>
      </c>
      <c r="G5833" s="2">
        <v>49</v>
      </c>
      <c r="H5833" t="s">
        <v>45</v>
      </c>
      <c r="I5833" t="s">
        <v>16</v>
      </c>
      <c r="J5833" s="1">
        <v>45416</v>
      </c>
      <c r="K5833" t="b">
        <v>0</v>
      </c>
    </row>
    <row r="5834" spans="1:11" x14ac:dyDescent="0.25">
      <c r="A5834" t="s">
        <v>68</v>
      </c>
      <c r="B5834" t="s">
        <v>69</v>
      </c>
      <c r="C5834" t="s">
        <v>38</v>
      </c>
      <c r="D5834" t="s">
        <v>70</v>
      </c>
      <c r="E5834" s="2">
        <v>24.5</v>
      </c>
      <c r="F5834" s="4">
        <v>2</v>
      </c>
      <c r="G5834" s="2">
        <v>49</v>
      </c>
      <c r="H5834" t="s">
        <v>45</v>
      </c>
      <c r="I5834" t="s">
        <v>16</v>
      </c>
      <c r="J5834" s="1">
        <v>45167</v>
      </c>
      <c r="K5834" t="b">
        <v>0</v>
      </c>
    </row>
    <row r="5835" spans="1:11" x14ac:dyDescent="0.25">
      <c r="A5835" t="s">
        <v>1848</v>
      </c>
      <c r="B5835" t="s">
        <v>56</v>
      </c>
      <c r="C5835" t="s">
        <v>19</v>
      </c>
      <c r="D5835" t="s">
        <v>226</v>
      </c>
      <c r="E5835" s="2">
        <v>8</v>
      </c>
      <c r="F5835" s="4">
        <v>6</v>
      </c>
      <c r="G5835" s="2">
        <v>48</v>
      </c>
      <c r="H5835" t="s">
        <v>45</v>
      </c>
      <c r="I5835" t="s">
        <v>36</v>
      </c>
      <c r="J5835" s="1">
        <v>44644</v>
      </c>
      <c r="K5835" t="b">
        <v>1</v>
      </c>
    </row>
    <row r="5836" spans="1:11" x14ac:dyDescent="0.25">
      <c r="A5836" t="s">
        <v>3450</v>
      </c>
      <c r="B5836" t="s">
        <v>61</v>
      </c>
      <c r="C5836" t="s">
        <v>31</v>
      </c>
      <c r="D5836" t="s">
        <v>106</v>
      </c>
      <c r="E5836" s="2">
        <v>8</v>
      </c>
      <c r="F5836" s="4">
        <v>6</v>
      </c>
      <c r="G5836" s="2">
        <v>48</v>
      </c>
      <c r="H5836" t="s">
        <v>15</v>
      </c>
      <c r="I5836" t="s">
        <v>16</v>
      </c>
      <c r="J5836" s="1">
        <v>45399</v>
      </c>
      <c r="K5836" t="b">
        <v>0</v>
      </c>
    </row>
    <row r="5837" spans="1:11" x14ac:dyDescent="0.25">
      <c r="A5837" t="s">
        <v>6911</v>
      </c>
      <c r="B5837" t="s">
        <v>100</v>
      </c>
      <c r="C5837" t="s">
        <v>23</v>
      </c>
      <c r="D5837" t="s">
        <v>47</v>
      </c>
      <c r="E5837" s="2">
        <v>8</v>
      </c>
      <c r="F5837" s="4">
        <v>6</v>
      </c>
      <c r="G5837" s="2">
        <v>48</v>
      </c>
      <c r="H5837" t="s">
        <v>15</v>
      </c>
      <c r="I5837" t="s">
        <v>36</v>
      </c>
      <c r="J5837" s="1">
        <v>45335</v>
      </c>
      <c r="K5837" t="b">
        <v>0</v>
      </c>
    </row>
    <row r="5838" spans="1:11" x14ac:dyDescent="0.25">
      <c r="A5838" t="s">
        <v>323</v>
      </c>
      <c r="B5838" t="s">
        <v>77</v>
      </c>
      <c r="C5838" t="s">
        <v>31</v>
      </c>
      <c r="D5838" t="s">
        <v>106</v>
      </c>
      <c r="E5838" s="2">
        <v>8</v>
      </c>
      <c r="F5838" s="4">
        <v>6</v>
      </c>
      <c r="G5838" s="2">
        <v>48</v>
      </c>
      <c r="H5838" t="s">
        <v>25</v>
      </c>
      <c r="I5838" t="s">
        <v>36</v>
      </c>
      <c r="J5838" s="1">
        <v>45301</v>
      </c>
      <c r="K5838" t="b">
        <v>0</v>
      </c>
    </row>
    <row r="5839" spans="1:11" x14ac:dyDescent="0.25">
      <c r="A5839" t="s">
        <v>2220</v>
      </c>
      <c r="B5839" t="s">
        <v>61</v>
      </c>
      <c r="C5839" t="s">
        <v>23</v>
      </c>
      <c r="D5839" t="s">
        <v>47</v>
      </c>
      <c r="E5839" s="2">
        <v>8</v>
      </c>
      <c r="F5839" s="4">
        <v>6</v>
      </c>
      <c r="G5839" s="2">
        <v>48</v>
      </c>
      <c r="H5839" t="s">
        <v>25</v>
      </c>
      <c r="I5839" t="s">
        <v>16</v>
      </c>
      <c r="J5839" s="1">
        <v>44890</v>
      </c>
      <c r="K5839" t="b">
        <v>0</v>
      </c>
    </row>
    <row r="5840" spans="1:11" x14ac:dyDescent="0.25">
      <c r="A5840" t="s">
        <v>1243</v>
      </c>
      <c r="B5840" t="s">
        <v>63</v>
      </c>
      <c r="C5840" t="s">
        <v>19</v>
      </c>
      <c r="D5840" t="s">
        <v>226</v>
      </c>
      <c r="E5840" s="2">
        <v>8</v>
      </c>
      <c r="F5840" s="4">
        <v>6</v>
      </c>
      <c r="G5840" s="2">
        <v>48</v>
      </c>
      <c r="H5840" t="s">
        <v>45</v>
      </c>
      <c r="I5840" t="s">
        <v>16</v>
      </c>
      <c r="J5840" s="1">
        <v>45592</v>
      </c>
      <c r="K5840" t="b">
        <v>0</v>
      </c>
    </row>
    <row r="5841" spans="1:11" x14ac:dyDescent="0.25">
      <c r="A5841" t="s">
        <v>1517</v>
      </c>
      <c r="B5841" t="s">
        <v>66</v>
      </c>
      <c r="C5841" t="s">
        <v>110</v>
      </c>
      <c r="D5841" t="s">
        <v>741</v>
      </c>
      <c r="E5841" s="2">
        <v>8</v>
      </c>
      <c r="F5841" s="4">
        <v>6</v>
      </c>
      <c r="G5841" s="2">
        <v>48</v>
      </c>
      <c r="H5841" t="s">
        <v>45</v>
      </c>
      <c r="I5841" t="s">
        <v>36</v>
      </c>
      <c r="J5841" s="1">
        <v>45281</v>
      </c>
      <c r="K5841" t="b">
        <v>1</v>
      </c>
    </row>
    <row r="5842" spans="1:11" x14ac:dyDescent="0.25">
      <c r="A5842" t="s">
        <v>1792</v>
      </c>
      <c r="B5842" t="s">
        <v>72</v>
      </c>
      <c r="C5842" t="s">
        <v>31</v>
      </c>
      <c r="D5842" t="s">
        <v>106</v>
      </c>
      <c r="E5842" s="2">
        <v>8</v>
      </c>
      <c r="F5842" s="4">
        <v>6</v>
      </c>
      <c r="G5842" s="2">
        <v>48</v>
      </c>
      <c r="H5842" t="s">
        <v>25</v>
      </c>
      <c r="I5842" t="s">
        <v>36</v>
      </c>
      <c r="J5842" s="1">
        <v>45180</v>
      </c>
      <c r="K5842" t="b">
        <v>1</v>
      </c>
    </row>
    <row r="5843" spans="1:11" x14ac:dyDescent="0.25">
      <c r="A5843" t="s">
        <v>6477</v>
      </c>
      <c r="B5843" t="s">
        <v>77</v>
      </c>
      <c r="C5843" t="s">
        <v>31</v>
      </c>
      <c r="D5843" t="s">
        <v>106</v>
      </c>
      <c r="E5843" s="2">
        <v>8</v>
      </c>
      <c r="F5843" s="4">
        <v>6</v>
      </c>
      <c r="G5843" s="2">
        <v>48</v>
      </c>
      <c r="H5843" t="s">
        <v>45</v>
      </c>
      <c r="I5843" t="s">
        <v>16</v>
      </c>
      <c r="J5843" s="1">
        <v>45487</v>
      </c>
      <c r="K5843" t="b">
        <v>1</v>
      </c>
    </row>
    <row r="5844" spans="1:11" x14ac:dyDescent="0.25">
      <c r="A5844" t="s">
        <v>2719</v>
      </c>
      <c r="B5844" t="s">
        <v>69</v>
      </c>
      <c r="C5844" t="s">
        <v>31</v>
      </c>
      <c r="D5844" t="s">
        <v>106</v>
      </c>
      <c r="E5844" s="2">
        <v>8</v>
      </c>
      <c r="F5844" s="4">
        <v>6</v>
      </c>
      <c r="G5844" s="2">
        <v>48</v>
      </c>
      <c r="H5844" t="s">
        <v>15</v>
      </c>
      <c r="I5844" t="s">
        <v>16</v>
      </c>
      <c r="J5844" s="1">
        <v>45005</v>
      </c>
      <c r="K5844" t="b">
        <v>0</v>
      </c>
    </row>
    <row r="5845" spans="1:11" x14ac:dyDescent="0.25">
      <c r="A5845" t="s">
        <v>722</v>
      </c>
      <c r="B5845" t="s">
        <v>34</v>
      </c>
      <c r="C5845" t="s">
        <v>19</v>
      </c>
      <c r="D5845" t="s">
        <v>226</v>
      </c>
      <c r="E5845" s="2">
        <v>8</v>
      </c>
      <c r="F5845" s="4">
        <v>6</v>
      </c>
      <c r="G5845" s="2">
        <v>48</v>
      </c>
      <c r="H5845" t="s">
        <v>45</v>
      </c>
      <c r="I5845" t="s">
        <v>36</v>
      </c>
      <c r="J5845" s="1">
        <v>45453</v>
      </c>
      <c r="K5845" t="b">
        <v>0</v>
      </c>
    </row>
    <row r="5846" spans="1:11" x14ac:dyDescent="0.25">
      <c r="A5846" t="s">
        <v>7319</v>
      </c>
      <c r="B5846" t="s">
        <v>66</v>
      </c>
      <c r="C5846" t="s">
        <v>110</v>
      </c>
      <c r="D5846" t="s">
        <v>741</v>
      </c>
      <c r="E5846" s="2">
        <v>8</v>
      </c>
      <c r="F5846" s="4">
        <v>6</v>
      </c>
      <c r="G5846" s="2">
        <v>48</v>
      </c>
      <c r="H5846" t="s">
        <v>25</v>
      </c>
      <c r="I5846" t="s">
        <v>16</v>
      </c>
      <c r="J5846" s="1">
        <v>45654</v>
      </c>
      <c r="K5846" t="b">
        <v>1</v>
      </c>
    </row>
    <row r="5847" spans="1:11" x14ac:dyDescent="0.25">
      <c r="A5847" t="s">
        <v>6241</v>
      </c>
      <c r="B5847" t="s">
        <v>104</v>
      </c>
      <c r="C5847" t="s">
        <v>23</v>
      </c>
      <c r="D5847" t="s">
        <v>47</v>
      </c>
      <c r="E5847" s="2">
        <v>8</v>
      </c>
      <c r="F5847" s="4">
        <v>6</v>
      </c>
      <c r="G5847" s="2">
        <v>48</v>
      </c>
      <c r="H5847" t="s">
        <v>45</v>
      </c>
      <c r="I5847" t="s">
        <v>36</v>
      </c>
      <c r="J5847" s="1">
        <v>44572</v>
      </c>
      <c r="K5847" t="b">
        <v>1</v>
      </c>
    </row>
    <row r="5848" spans="1:11" x14ac:dyDescent="0.25">
      <c r="A5848" t="s">
        <v>5876</v>
      </c>
      <c r="B5848" t="s">
        <v>30</v>
      </c>
      <c r="C5848" t="s">
        <v>19</v>
      </c>
      <c r="D5848" t="s">
        <v>226</v>
      </c>
      <c r="E5848" s="2">
        <v>8</v>
      </c>
      <c r="F5848" s="4">
        <v>6</v>
      </c>
      <c r="G5848" s="2">
        <v>48</v>
      </c>
      <c r="H5848" t="s">
        <v>25</v>
      </c>
      <c r="I5848" t="s">
        <v>16</v>
      </c>
      <c r="J5848" s="1">
        <v>44930</v>
      </c>
      <c r="K5848" t="b">
        <v>1</v>
      </c>
    </row>
    <row r="5849" spans="1:11" x14ac:dyDescent="0.25">
      <c r="A5849" t="s">
        <v>5980</v>
      </c>
      <c r="B5849" t="s">
        <v>77</v>
      </c>
      <c r="C5849" t="s">
        <v>19</v>
      </c>
      <c r="D5849" t="s">
        <v>226</v>
      </c>
      <c r="E5849" s="2">
        <v>8</v>
      </c>
      <c r="F5849" s="4">
        <v>6</v>
      </c>
      <c r="G5849" s="2">
        <v>48</v>
      </c>
      <c r="H5849" t="s">
        <v>45</v>
      </c>
      <c r="I5849" t="s">
        <v>36</v>
      </c>
      <c r="J5849" s="1">
        <v>44771</v>
      </c>
      <c r="K5849" t="b">
        <v>1</v>
      </c>
    </row>
    <row r="5850" spans="1:11" x14ac:dyDescent="0.25">
      <c r="A5850" t="s">
        <v>7613</v>
      </c>
      <c r="B5850" t="s">
        <v>34</v>
      </c>
      <c r="C5850" t="s">
        <v>19</v>
      </c>
      <c r="D5850" t="s">
        <v>226</v>
      </c>
      <c r="E5850" s="2">
        <v>8</v>
      </c>
      <c r="F5850" s="4">
        <v>6</v>
      </c>
      <c r="G5850" s="2">
        <v>48</v>
      </c>
      <c r="H5850" t="s">
        <v>45</v>
      </c>
      <c r="I5850" t="s">
        <v>36</v>
      </c>
      <c r="J5850" s="1">
        <v>44848</v>
      </c>
      <c r="K5850" t="b">
        <v>1</v>
      </c>
    </row>
    <row r="5851" spans="1:11" x14ac:dyDescent="0.25">
      <c r="A5851" t="s">
        <v>1226</v>
      </c>
      <c r="B5851" t="s">
        <v>86</v>
      </c>
      <c r="C5851" t="s">
        <v>38</v>
      </c>
      <c r="D5851" t="s">
        <v>414</v>
      </c>
      <c r="E5851" s="2">
        <v>9.5</v>
      </c>
      <c r="F5851" s="4">
        <v>5</v>
      </c>
      <c r="G5851" s="2">
        <v>47.5</v>
      </c>
      <c r="H5851" t="s">
        <v>45</v>
      </c>
      <c r="I5851" t="s">
        <v>36</v>
      </c>
      <c r="J5851" s="1">
        <v>44927</v>
      </c>
      <c r="K5851" t="b">
        <v>1</v>
      </c>
    </row>
    <row r="5852" spans="1:11" x14ac:dyDescent="0.25">
      <c r="A5852" t="s">
        <v>1024</v>
      </c>
      <c r="B5852" t="s">
        <v>66</v>
      </c>
      <c r="C5852" t="s">
        <v>19</v>
      </c>
      <c r="D5852" t="s">
        <v>174</v>
      </c>
      <c r="E5852" s="2">
        <v>9.5</v>
      </c>
      <c r="F5852" s="4">
        <v>5</v>
      </c>
      <c r="G5852" s="2">
        <v>47.5</v>
      </c>
      <c r="H5852" t="s">
        <v>45</v>
      </c>
      <c r="I5852" t="s">
        <v>16</v>
      </c>
      <c r="J5852" s="1">
        <v>45603</v>
      </c>
      <c r="K5852" t="b">
        <v>1</v>
      </c>
    </row>
    <row r="5853" spans="1:11" x14ac:dyDescent="0.25">
      <c r="A5853" t="s">
        <v>7055</v>
      </c>
      <c r="B5853" t="s">
        <v>77</v>
      </c>
      <c r="C5853" t="s">
        <v>13</v>
      </c>
      <c r="D5853" t="s">
        <v>171</v>
      </c>
      <c r="E5853" s="2">
        <v>9.5</v>
      </c>
      <c r="F5853" s="4">
        <v>5</v>
      </c>
      <c r="G5853" s="2">
        <v>47.5</v>
      </c>
      <c r="H5853" t="s">
        <v>15</v>
      </c>
      <c r="I5853" t="s">
        <v>36</v>
      </c>
      <c r="J5853" s="1">
        <v>44836</v>
      </c>
      <c r="K5853" t="b">
        <v>0</v>
      </c>
    </row>
    <row r="5854" spans="1:11" x14ac:dyDescent="0.25">
      <c r="A5854" t="s">
        <v>7475</v>
      </c>
      <c r="B5854" t="s">
        <v>97</v>
      </c>
      <c r="C5854" t="s">
        <v>13</v>
      </c>
      <c r="D5854" t="s">
        <v>171</v>
      </c>
      <c r="E5854" s="2">
        <v>9.5</v>
      </c>
      <c r="F5854" s="4">
        <v>5</v>
      </c>
      <c r="G5854" s="2">
        <v>47.5</v>
      </c>
      <c r="H5854" t="s">
        <v>25</v>
      </c>
      <c r="I5854" t="s">
        <v>36</v>
      </c>
      <c r="J5854" s="1">
        <v>45418</v>
      </c>
      <c r="K5854" t="b">
        <v>1</v>
      </c>
    </row>
    <row r="5855" spans="1:11" x14ac:dyDescent="0.25">
      <c r="A5855" t="s">
        <v>1267</v>
      </c>
      <c r="B5855" t="s">
        <v>69</v>
      </c>
      <c r="C5855" t="s">
        <v>59</v>
      </c>
      <c r="D5855" t="s">
        <v>64</v>
      </c>
      <c r="E5855" s="2">
        <v>9.5</v>
      </c>
      <c r="F5855" s="4">
        <v>5</v>
      </c>
      <c r="G5855" s="2">
        <v>47.5</v>
      </c>
      <c r="H5855" t="s">
        <v>15</v>
      </c>
      <c r="I5855" t="s">
        <v>16</v>
      </c>
      <c r="J5855" s="1">
        <v>45510</v>
      </c>
      <c r="K5855" t="b">
        <v>0</v>
      </c>
    </row>
    <row r="5856" spans="1:11" x14ac:dyDescent="0.25">
      <c r="A5856" t="s">
        <v>6943</v>
      </c>
      <c r="B5856" t="s">
        <v>12</v>
      </c>
      <c r="C5856" t="s">
        <v>27</v>
      </c>
      <c r="D5856" t="s">
        <v>147</v>
      </c>
      <c r="E5856" s="2">
        <v>9.5</v>
      </c>
      <c r="F5856" s="4">
        <v>5</v>
      </c>
      <c r="G5856" s="2">
        <v>47.5</v>
      </c>
      <c r="H5856" t="s">
        <v>25</v>
      </c>
      <c r="I5856" t="s">
        <v>16</v>
      </c>
      <c r="J5856" s="1">
        <v>44613</v>
      </c>
      <c r="K5856" t="b">
        <v>1</v>
      </c>
    </row>
    <row r="5857" spans="1:11" x14ac:dyDescent="0.25">
      <c r="A5857" t="s">
        <v>809</v>
      </c>
      <c r="B5857" t="s">
        <v>22</v>
      </c>
      <c r="C5857" t="s">
        <v>23</v>
      </c>
      <c r="D5857" t="s">
        <v>810</v>
      </c>
      <c r="E5857" s="2">
        <v>9.5</v>
      </c>
      <c r="F5857" s="4">
        <v>5</v>
      </c>
      <c r="G5857" s="2">
        <v>47.5</v>
      </c>
      <c r="H5857" t="s">
        <v>25</v>
      </c>
      <c r="I5857" t="s">
        <v>36</v>
      </c>
      <c r="J5857" s="1">
        <v>45005</v>
      </c>
      <c r="K5857" t="b">
        <v>0</v>
      </c>
    </row>
    <row r="5858" spans="1:11" x14ac:dyDescent="0.25">
      <c r="A5858" t="s">
        <v>5284</v>
      </c>
      <c r="B5858" t="s">
        <v>61</v>
      </c>
      <c r="C5858" t="s">
        <v>59</v>
      </c>
      <c r="D5858" t="s">
        <v>64</v>
      </c>
      <c r="E5858" s="2">
        <v>9.5</v>
      </c>
      <c r="F5858" s="4">
        <v>5</v>
      </c>
      <c r="G5858" s="2">
        <v>47.5</v>
      </c>
      <c r="H5858" t="s">
        <v>15</v>
      </c>
      <c r="I5858" t="s">
        <v>36</v>
      </c>
      <c r="J5858" s="1">
        <v>44981</v>
      </c>
      <c r="K5858" t="b">
        <v>0</v>
      </c>
    </row>
    <row r="5859" spans="1:11" x14ac:dyDescent="0.25">
      <c r="A5859" t="s">
        <v>6315</v>
      </c>
      <c r="B5859" t="s">
        <v>100</v>
      </c>
      <c r="C5859" t="s">
        <v>19</v>
      </c>
      <c r="D5859" t="s">
        <v>174</v>
      </c>
      <c r="E5859" s="2">
        <v>9.5</v>
      </c>
      <c r="F5859" s="4">
        <v>5</v>
      </c>
      <c r="G5859" s="2">
        <v>47.5</v>
      </c>
      <c r="H5859" t="s">
        <v>45</v>
      </c>
      <c r="I5859" t="s">
        <v>16</v>
      </c>
      <c r="J5859" s="1">
        <v>44998</v>
      </c>
      <c r="K5859" t="b">
        <v>0</v>
      </c>
    </row>
    <row r="5860" spans="1:11" x14ac:dyDescent="0.25">
      <c r="A5860" t="s">
        <v>944</v>
      </c>
      <c r="B5860" t="s">
        <v>104</v>
      </c>
      <c r="C5860" t="s">
        <v>19</v>
      </c>
      <c r="D5860" t="s">
        <v>174</v>
      </c>
      <c r="E5860" s="2">
        <v>9.5</v>
      </c>
      <c r="F5860" s="4">
        <v>5</v>
      </c>
      <c r="G5860" s="2">
        <v>47.5</v>
      </c>
      <c r="H5860" t="s">
        <v>25</v>
      </c>
      <c r="I5860" t="s">
        <v>16</v>
      </c>
      <c r="J5860" s="1">
        <v>44616</v>
      </c>
      <c r="K5860" t="b">
        <v>0</v>
      </c>
    </row>
    <row r="5861" spans="1:11" x14ac:dyDescent="0.25">
      <c r="A5861" t="s">
        <v>7270</v>
      </c>
      <c r="B5861" t="s">
        <v>18</v>
      </c>
      <c r="C5861" t="s">
        <v>19</v>
      </c>
      <c r="D5861" t="s">
        <v>174</v>
      </c>
      <c r="E5861" s="2">
        <v>9.5</v>
      </c>
      <c r="F5861" s="4">
        <v>5</v>
      </c>
      <c r="G5861" s="2">
        <v>47.5</v>
      </c>
      <c r="H5861" t="s">
        <v>15</v>
      </c>
      <c r="I5861" t="s">
        <v>36</v>
      </c>
      <c r="J5861" s="1">
        <v>45117</v>
      </c>
      <c r="K5861" t="b">
        <v>0</v>
      </c>
    </row>
    <row r="5862" spans="1:11" x14ac:dyDescent="0.25">
      <c r="A5862" t="s">
        <v>7420</v>
      </c>
      <c r="B5862" t="s">
        <v>100</v>
      </c>
      <c r="C5862" t="s">
        <v>31</v>
      </c>
      <c r="D5862" t="s">
        <v>168</v>
      </c>
      <c r="E5862" s="2">
        <v>9.5</v>
      </c>
      <c r="F5862" s="4">
        <v>5</v>
      </c>
      <c r="G5862" s="2">
        <v>47.5</v>
      </c>
      <c r="H5862" t="s">
        <v>45</v>
      </c>
      <c r="I5862" t="s">
        <v>36</v>
      </c>
      <c r="J5862" s="1">
        <v>44799</v>
      </c>
      <c r="K5862" t="b">
        <v>0</v>
      </c>
    </row>
    <row r="5863" spans="1:11" x14ac:dyDescent="0.25">
      <c r="A5863" t="s">
        <v>2574</v>
      </c>
      <c r="B5863" t="s">
        <v>51</v>
      </c>
      <c r="C5863" t="s">
        <v>59</v>
      </c>
      <c r="D5863" t="s">
        <v>64</v>
      </c>
      <c r="E5863" s="2">
        <v>9.5</v>
      </c>
      <c r="F5863" s="4">
        <v>5</v>
      </c>
      <c r="G5863" s="2">
        <v>47.5</v>
      </c>
      <c r="H5863" t="s">
        <v>45</v>
      </c>
      <c r="I5863" t="s">
        <v>16</v>
      </c>
      <c r="J5863" s="1">
        <v>45029</v>
      </c>
      <c r="K5863" t="b">
        <v>0</v>
      </c>
    </row>
    <row r="5864" spans="1:11" x14ac:dyDescent="0.25">
      <c r="A5864" t="s">
        <v>1211</v>
      </c>
      <c r="B5864" t="s">
        <v>69</v>
      </c>
      <c r="C5864" t="s">
        <v>38</v>
      </c>
      <c r="D5864" t="s">
        <v>414</v>
      </c>
      <c r="E5864" s="2">
        <v>9.5</v>
      </c>
      <c r="F5864" s="4">
        <v>5</v>
      </c>
      <c r="G5864" s="2">
        <v>47.5</v>
      </c>
      <c r="H5864" t="s">
        <v>45</v>
      </c>
      <c r="I5864" t="s">
        <v>36</v>
      </c>
      <c r="J5864" s="1">
        <v>44799</v>
      </c>
      <c r="K5864" t="b">
        <v>1</v>
      </c>
    </row>
    <row r="5865" spans="1:11" x14ac:dyDescent="0.25">
      <c r="A5865" t="s">
        <v>1640</v>
      </c>
      <c r="B5865" t="s">
        <v>34</v>
      </c>
      <c r="C5865" t="s">
        <v>59</v>
      </c>
      <c r="D5865" t="s">
        <v>64</v>
      </c>
      <c r="E5865" s="2">
        <v>9.5</v>
      </c>
      <c r="F5865" s="4">
        <v>5</v>
      </c>
      <c r="G5865" s="2">
        <v>47.5</v>
      </c>
      <c r="H5865" t="s">
        <v>25</v>
      </c>
      <c r="I5865" t="s">
        <v>16</v>
      </c>
      <c r="J5865" s="1">
        <v>45366</v>
      </c>
      <c r="K5865" t="b">
        <v>1</v>
      </c>
    </row>
    <row r="5866" spans="1:11" x14ac:dyDescent="0.25">
      <c r="A5866" t="s">
        <v>2409</v>
      </c>
      <c r="B5866" t="s">
        <v>85</v>
      </c>
      <c r="C5866" t="s">
        <v>31</v>
      </c>
      <c r="D5866" t="s">
        <v>168</v>
      </c>
      <c r="E5866" s="2">
        <v>9.5</v>
      </c>
      <c r="F5866" s="4">
        <v>5</v>
      </c>
      <c r="G5866" s="2">
        <v>47.5</v>
      </c>
      <c r="H5866" t="s">
        <v>45</v>
      </c>
      <c r="I5866" t="s">
        <v>16</v>
      </c>
      <c r="J5866" s="1">
        <v>45050</v>
      </c>
      <c r="K5866" t="b">
        <v>1</v>
      </c>
    </row>
    <row r="5867" spans="1:11" x14ac:dyDescent="0.25">
      <c r="A5867" t="s">
        <v>2308</v>
      </c>
      <c r="B5867" t="s">
        <v>66</v>
      </c>
      <c r="C5867" t="s">
        <v>110</v>
      </c>
      <c r="D5867" t="s">
        <v>304</v>
      </c>
      <c r="E5867" s="2">
        <v>9.5</v>
      </c>
      <c r="F5867" s="4">
        <v>5</v>
      </c>
      <c r="G5867" s="2">
        <v>47.5</v>
      </c>
      <c r="H5867" t="s">
        <v>45</v>
      </c>
      <c r="I5867" t="s">
        <v>36</v>
      </c>
      <c r="J5867" s="1">
        <v>45606</v>
      </c>
      <c r="K5867" t="b">
        <v>1</v>
      </c>
    </row>
    <row r="5868" spans="1:11" x14ac:dyDescent="0.25">
      <c r="A5868" t="s">
        <v>3116</v>
      </c>
      <c r="B5868" t="s">
        <v>86</v>
      </c>
      <c r="C5868" t="s">
        <v>27</v>
      </c>
      <c r="D5868" t="s">
        <v>147</v>
      </c>
      <c r="E5868" s="2">
        <v>9.5</v>
      </c>
      <c r="F5868" s="4">
        <v>5</v>
      </c>
      <c r="G5868" s="2">
        <v>47.5</v>
      </c>
      <c r="H5868" t="s">
        <v>45</v>
      </c>
      <c r="I5868" t="s">
        <v>36</v>
      </c>
      <c r="J5868" s="1">
        <v>44944</v>
      </c>
      <c r="K5868" t="b">
        <v>1</v>
      </c>
    </row>
    <row r="5869" spans="1:11" x14ac:dyDescent="0.25">
      <c r="A5869" t="s">
        <v>5936</v>
      </c>
      <c r="B5869" t="s">
        <v>77</v>
      </c>
      <c r="C5869" t="s">
        <v>31</v>
      </c>
      <c r="D5869" t="s">
        <v>168</v>
      </c>
      <c r="E5869" s="2">
        <v>9.5</v>
      </c>
      <c r="F5869" s="4">
        <v>5</v>
      </c>
      <c r="G5869" s="2">
        <v>47.5</v>
      </c>
      <c r="H5869" t="s">
        <v>15</v>
      </c>
      <c r="I5869" t="s">
        <v>36</v>
      </c>
      <c r="J5869" s="1">
        <v>44603</v>
      </c>
      <c r="K5869" t="b">
        <v>1</v>
      </c>
    </row>
    <row r="5870" spans="1:11" x14ac:dyDescent="0.25">
      <c r="A5870" t="s">
        <v>7242</v>
      </c>
      <c r="B5870" t="s">
        <v>43</v>
      </c>
      <c r="C5870" t="s">
        <v>19</v>
      </c>
      <c r="D5870" t="s">
        <v>174</v>
      </c>
      <c r="E5870" s="2">
        <v>9.5</v>
      </c>
      <c r="F5870" s="4">
        <v>5</v>
      </c>
      <c r="G5870" s="2">
        <v>47.5</v>
      </c>
      <c r="H5870" t="s">
        <v>25</v>
      </c>
      <c r="I5870" t="s">
        <v>16</v>
      </c>
      <c r="J5870" s="1">
        <v>45364</v>
      </c>
      <c r="K5870" t="b">
        <v>1</v>
      </c>
    </row>
    <row r="5871" spans="1:11" x14ac:dyDescent="0.25">
      <c r="A5871" t="s">
        <v>7465</v>
      </c>
      <c r="B5871" t="s">
        <v>72</v>
      </c>
      <c r="C5871" t="s">
        <v>59</v>
      </c>
      <c r="D5871" t="s">
        <v>64</v>
      </c>
      <c r="E5871" s="2">
        <v>9.5</v>
      </c>
      <c r="F5871" s="4">
        <v>5</v>
      </c>
      <c r="G5871" s="2">
        <v>47.5</v>
      </c>
      <c r="H5871" t="s">
        <v>25</v>
      </c>
      <c r="I5871" t="s">
        <v>36</v>
      </c>
      <c r="J5871" s="1">
        <v>45575</v>
      </c>
      <c r="K5871" t="b">
        <v>0</v>
      </c>
    </row>
    <row r="5872" spans="1:11" x14ac:dyDescent="0.25">
      <c r="A5872" t="s">
        <v>6333</v>
      </c>
      <c r="B5872" t="s">
        <v>43</v>
      </c>
      <c r="C5872" t="s">
        <v>31</v>
      </c>
      <c r="D5872" t="s">
        <v>168</v>
      </c>
      <c r="E5872" s="2">
        <v>9.5</v>
      </c>
      <c r="F5872" s="4">
        <v>5</v>
      </c>
      <c r="G5872" s="2">
        <v>47.5</v>
      </c>
      <c r="H5872" t="s">
        <v>25</v>
      </c>
      <c r="I5872" t="s">
        <v>36</v>
      </c>
      <c r="J5872" s="1">
        <v>45078</v>
      </c>
      <c r="K5872" t="b">
        <v>1</v>
      </c>
    </row>
    <row r="5873" spans="1:11" x14ac:dyDescent="0.25">
      <c r="A5873" t="s">
        <v>4906</v>
      </c>
      <c r="B5873" t="s">
        <v>37</v>
      </c>
      <c r="C5873" t="s">
        <v>31</v>
      </c>
      <c r="D5873" t="s">
        <v>168</v>
      </c>
      <c r="E5873" s="2">
        <v>9.5</v>
      </c>
      <c r="F5873" s="4">
        <v>5</v>
      </c>
      <c r="G5873" s="2">
        <v>47.5</v>
      </c>
      <c r="H5873" t="s">
        <v>15</v>
      </c>
      <c r="I5873" t="s">
        <v>16</v>
      </c>
      <c r="J5873" s="1">
        <v>44841</v>
      </c>
      <c r="K5873" t="b">
        <v>0</v>
      </c>
    </row>
    <row r="5874" spans="1:11" x14ac:dyDescent="0.25">
      <c r="A5874" t="s">
        <v>1900</v>
      </c>
      <c r="B5874" t="s">
        <v>43</v>
      </c>
      <c r="C5874" t="s">
        <v>19</v>
      </c>
      <c r="D5874" t="s">
        <v>174</v>
      </c>
      <c r="E5874" s="2">
        <v>9.5</v>
      </c>
      <c r="F5874" s="4">
        <v>5</v>
      </c>
      <c r="G5874" s="2">
        <v>47.5</v>
      </c>
      <c r="H5874" t="s">
        <v>45</v>
      </c>
      <c r="I5874" t="s">
        <v>16</v>
      </c>
      <c r="J5874" s="1">
        <v>45597</v>
      </c>
      <c r="K5874" t="b">
        <v>0</v>
      </c>
    </row>
    <row r="5875" spans="1:11" x14ac:dyDescent="0.25">
      <c r="A5875" t="s">
        <v>7023</v>
      </c>
      <c r="B5875" t="s">
        <v>18</v>
      </c>
      <c r="C5875" t="s">
        <v>13</v>
      </c>
      <c r="D5875" t="s">
        <v>171</v>
      </c>
      <c r="E5875" s="2">
        <v>9.5</v>
      </c>
      <c r="F5875" s="4">
        <v>5</v>
      </c>
      <c r="G5875" s="2">
        <v>47.5</v>
      </c>
      <c r="H5875" t="s">
        <v>45</v>
      </c>
      <c r="I5875" t="s">
        <v>36</v>
      </c>
      <c r="J5875" s="1">
        <v>44813</v>
      </c>
      <c r="K5875" t="b">
        <v>0</v>
      </c>
    </row>
    <row r="5876" spans="1:11" x14ac:dyDescent="0.25">
      <c r="A5876" t="s">
        <v>7329</v>
      </c>
      <c r="B5876" t="s">
        <v>93</v>
      </c>
      <c r="C5876" t="s">
        <v>19</v>
      </c>
      <c r="D5876" t="s">
        <v>174</v>
      </c>
      <c r="E5876" s="2">
        <v>9.5</v>
      </c>
      <c r="F5876" s="4">
        <v>5</v>
      </c>
      <c r="G5876" s="2">
        <v>47.5</v>
      </c>
      <c r="H5876" t="s">
        <v>25</v>
      </c>
      <c r="I5876" t="s">
        <v>16</v>
      </c>
      <c r="J5876" s="1">
        <v>45645</v>
      </c>
      <c r="K5876" t="b">
        <v>0</v>
      </c>
    </row>
    <row r="5877" spans="1:11" x14ac:dyDescent="0.25">
      <c r="A5877" t="s">
        <v>3301</v>
      </c>
      <c r="B5877" t="s">
        <v>61</v>
      </c>
      <c r="C5877" t="s">
        <v>59</v>
      </c>
      <c r="D5877" t="s">
        <v>64</v>
      </c>
      <c r="E5877" s="2">
        <v>9.5</v>
      </c>
      <c r="F5877" s="4">
        <v>5</v>
      </c>
      <c r="G5877" s="2">
        <v>47.5</v>
      </c>
      <c r="H5877" t="s">
        <v>45</v>
      </c>
      <c r="I5877" t="s">
        <v>36</v>
      </c>
      <c r="J5877" s="1">
        <v>44977</v>
      </c>
      <c r="K5877" t="b">
        <v>0</v>
      </c>
    </row>
    <row r="5878" spans="1:11" x14ac:dyDescent="0.25">
      <c r="A5878" t="s">
        <v>7651</v>
      </c>
      <c r="B5878" t="s">
        <v>12</v>
      </c>
      <c r="C5878" t="s">
        <v>31</v>
      </c>
      <c r="D5878" t="s">
        <v>168</v>
      </c>
      <c r="E5878" s="2">
        <v>9.5</v>
      </c>
      <c r="F5878" s="4">
        <v>5</v>
      </c>
      <c r="G5878" s="2">
        <v>47.5</v>
      </c>
      <c r="H5878" t="s">
        <v>25</v>
      </c>
      <c r="I5878" t="s">
        <v>16</v>
      </c>
      <c r="J5878" s="1">
        <v>45619</v>
      </c>
      <c r="K5878" t="b">
        <v>1</v>
      </c>
    </row>
    <row r="5879" spans="1:11" x14ac:dyDescent="0.25">
      <c r="A5879" t="s">
        <v>4599</v>
      </c>
      <c r="B5879" t="s">
        <v>22</v>
      </c>
      <c r="C5879" t="s">
        <v>27</v>
      </c>
      <c r="D5879" t="s">
        <v>147</v>
      </c>
      <c r="E5879" s="2">
        <v>9.5</v>
      </c>
      <c r="F5879" s="4">
        <v>5</v>
      </c>
      <c r="G5879" s="2">
        <v>47.5</v>
      </c>
      <c r="H5879" t="s">
        <v>15</v>
      </c>
      <c r="I5879" t="s">
        <v>36</v>
      </c>
      <c r="J5879" s="1">
        <v>45005</v>
      </c>
      <c r="K5879" t="b">
        <v>1</v>
      </c>
    </row>
    <row r="5880" spans="1:11" x14ac:dyDescent="0.25">
      <c r="A5880" t="s">
        <v>881</v>
      </c>
      <c r="B5880" t="s">
        <v>69</v>
      </c>
      <c r="C5880" t="s">
        <v>27</v>
      </c>
      <c r="D5880" t="s">
        <v>147</v>
      </c>
      <c r="E5880" s="2">
        <v>9.5</v>
      </c>
      <c r="F5880" s="4">
        <v>5</v>
      </c>
      <c r="G5880" s="2">
        <v>47.5</v>
      </c>
      <c r="H5880" t="s">
        <v>25</v>
      </c>
      <c r="I5880" t="s">
        <v>16</v>
      </c>
      <c r="J5880" s="1">
        <v>45014</v>
      </c>
      <c r="K5880" t="b">
        <v>0</v>
      </c>
    </row>
    <row r="5881" spans="1:11" x14ac:dyDescent="0.25">
      <c r="A5881" t="s">
        <v>1318</v>
      </c>
      <c r="B5881" t="s">
        <v>69</v>
      </c>
      <c r="C5881" t="s">
        <v>13</v>
      </c>
      <c r="D5881" t="s">
        <v>171</v>
      </c>
      <c r="E5881" s="2">
        <v>9.5</v>
      </c>
      <c r="F5881" s="4">
        <v>5</v>
      </c>
      <c r="G5881" s="2">
        <v>47.5</v>
      </c>
      <c r="H5881" t="s">
        <v>15</v>
      </c>
      <c r="I5881" t="s">
        <v>16</v>
      </c>
      <c r="J5881" s="1">
        <v>45425</v>
      </c>
      <c r="K5881" t="b">
        <v>1</v>
      </c>
    </row>
    <row r="5882" spans="1:11" x14ac:dyDescent="0.25">
      <c r="A5882" t="s">
        <v>6289</v>
      </c>
      <c r="B5882" t="s">
        <v>100</v>
      </c>
      <c r="C5882" t="s">
        <v>59</v>
      </c>
      <c r="D5882" t="s">
        <v>201</v>
      </c>
      <c r="E5882" s="2">
        <v>15.5</v>
      </c>
      <c r="F5882" s="4">
        <v>3</v>
      </c>
      <c r="G5882" s="2">
        <v>46.5</v>
      </c>
      <c r="H5882" t="s">
        <v>25</v>
      </c>
      <c r="I5882" t="s">
        <v>16</v>
      </c>
      <c r="J5882" s="1">
        <v>44799</v>
      </c>
      <c r="K5882" t="b">
        <v>0</v>
      </c>
    </row>
    <row r="5883" spans="1:11" x14ac:dyDescent="0.25">
      <c r="A5883" t="s">
        <v>7689</v>
      </c>
      <c r="B5883" t="s">
        <v>12</v>
      </c>
      <c r="C5883" t="s">
        <v>110</v>
      </c>
      <c r="D5883" t="s">
        <v>199</v>
      </c>
      <c r="E5883" s="2">
        <v>15.5</v>
      </c>
      <c r="F5883" s="4">
        <v>3</v>
      </c>
      <c r="G5883" s="2">
        <v>46.5</v>
      </c>
      <c r="H5883" t="s">
        <v>25</v>
      </c>
      <c r="I5883" t="s">
        <v>16</v>
      </c>
      <c r="J5883" s="1">
        <v>45391</v>
      </c>
      <c r="K5883" t="b">
        <v>1</v>
      </c>
    </row>
    <row r="5884" spans="1:11" x14ac:dyDescent="0.25">
      <c r="A5884" t="s">
        <v>3743</v>
      </c>
      <c r="B5884" t="s">
        <v>43</v>
      </c>
      <c r="C5884" t="s">
        <v>19</v>
      </c>
      <c r="D5884" t="s">
        <v>166</v>
      </c>
      <c r="E5884" s="2">
        <v>15.5</v>
      </c>
      <c r="F5884" s="4">
        <v>3</v>
      </c>
      <c r="G5884" s="2">
        <v>46.5</v>
      </c>
      <c r="H5884" t="s">
        <v>25</v>
      </c>
      <c r="I5884" t="s">
        <v>36</v>
      </c>
      <c r="J5884" s="1">
        <v>45536</v>
      </c>
      <c r="K5884" t="b">
        <v>0</v>
      </c>
    </row>
    <row r="5885" spans="1:11" x14ac:dyDescent="0.25">
      <c r="A5885" t="s">
        <v>6226</v>
      </c>
      <c r="B5885" t="s">
        <v>12</v>
      </c>
      <c r="C5885" t="s">
        <v>19</v>
      </c>
      <c r="D5885" t="s">
        <v>166</v>
      </c>
      <c r="E5885" s="2">
        <v>15.5</v>
      </c>
      <c r="F5885" s="4">
        <v>3</v>
      </c>
      <c r="G5885" s="2">
        <v>46.5</v>
      </c>
      <c r="H5885" t="s">
        <v>15</v>
      </c>
      <c r="I5885" t="s">
        <v>36</v>
      </c>
      <c r="J5885" s="1">
        <v>44868</v>
      </c>
      <c r="K5885" t="b">
        <v>0</v>
      </c>
    </row>
    <row r="5886" spans="1:11" x14ac:dyDescent="0.25">
      <c r="A5886" t="s">
        <v>2913</v>
      </c>
      <c r="B5886" t="s">
        <v>97</v>
      </c>
      <c r="C5886" t="s">
        <v>19</v>
      </c>
      <c r="D5886" t="s">
        <v>166</v>
      </c>
      <c r="E5886" s="2">
        <v>15.5</v>
      </c>
      <c r="F5886" s="4">
        <v>3</v>
      </c>
      <c r="G5886" s="2">
        <v>46.5</v>
      </c>
      <c r="H5886" t="s">
        <v>15</v>
      </c>
      <c r="I5886" t="s">
        <v>16</v>
      </c>
      <c r="J5886" s="1">
        <v>44781</v>
      </c>
      <c r="K5886" t="b">
        <v>1</v>
      </c>
    </row>
    <row r="5887" spans="1:11" x14ac:dyDescent="0.25">
      <c r="A5887" t="s">
        <v>5367</v>
      </c>
      <c r="B5887" t="s">
        <v>51</v>
      </c>
      <c r="C5887" t="s">
        <v>59</v>
      </c>
      <c r="D5887" t="s">
        <v>201</v>
      </c>
      <c r="E5887" s="2">
        <v>15.5</v>
      </c>
      <c r="F5887" s="4">
        <v>3</v>
      </c>
      <c r="G5887" s="2">
        <v>46.5</v>
      </c>
      <c r="H5887" t="s">
        <v>25</v>
      </c>
      <c r="I5887" t="s">
        <v>36</v>
      </c>
      <c r="J5887" s="1">
        <v>45438</v>
      </c>
      <c r="K5887" t="b">
        <v>1</v>
      </c>
    </row>
    <row r="5888" spans="1:11" x14ac:dyDescent="0.25">
      <c r="A5888" t="s">
        <v>5075</v>
      </c>
      <c r="B5888" t="s">
        <v>40</v>
      </c>
      <c r="C5888" t="s">
        <v>27</v>
      </c>
      <c r="D5888" t="s">
        <v>105</v>
      </c>
      <c r="E5888" s="2">
        <v>15.5</v>
      </c>
      <c r="F5888" s="4">
        <v>3</v>
      </c>
      <c r="G5888" s="2">
        <v>46.5</v>
      </c>
      <c r="H5888" t="s">
        <v>25</v>
      </c>
      <c r="I5888" t="s">
        <v>36</v>
      </c>
      <c r="J5888" s="1">
        <v>44803</v>
      </c>
      <c r="K5888" t="b">
        <v>1</v>
      </c>
    </row>
    <row r="5889" spans="1:11" x14ac:dyDescent="0.25">
      <c r="A5889" t="s">
        <v>733</v>
      </c>
      <c r="B5889" t="s">
        <v>26</v>
      </c>
      <c r="C5889" t="s">
        <v>23</v>
      </c>
      <c r="D5889" t="s">
        <v>187</v>
      </c>
      <c r="E5889" s="2">
        <v>15.5</v>
      </c>
      <c r="F5889" s="4">
        <v>3</v>
      </c>
      <c r="G5889" s="2">
        <v>46.5</v>
      </c>
      <c r="H5889" t="s">
        <v>45</v>
      </c>
      <c r="I5889" t="s">
        <v>36</v>
      </c>
      <c r="J5889" s="1">
        <v>45259</v>
      </c>
      <c r="K5889" t="b">
        <v>0</v>
      </c>
    </row>
    <row r="5890" spans="1:11" x14ac:dyDescent="0.25">
      <c r="A5890" t="s">
        <v>5905</v>
      </c>
      <c r="B5890" t="s">
        <v>100</v>
      </c>
      <c r="C5890" t="s">
        <v>27</v>
      </c>
      <c r="D5890" t="s">
        <v>105</v>
      </c>
      <c r="E5890" s="2">
        <v>15.5</v>
      </c>
      <c r="F5890" s="4">
        <v>3</v>
      </c>
      <c r="G5890" s="2">
        <v>46.5</v>
      </c>
      <c r="H5890" t="s">
        <v>45</v>
      </c>
      <c r="I5890" t="s">
        <v>16</v>
      </c>
      <c r="J5890" s="1">
        <v>44786</v>
      </c>
      <c r="K5890" t="b">
        <v>0</v>
      </c>
    </row>
    <row r="5891" spans="1:11" x14ac:dyDescent="0.25">
      <c r="A5891" t="s">
        <v>6509</v>
      </c>
      <c r="B5891" t="s">
        <v>34</v>
      </c>
      <c r="C5891" t="s">
        <v>38</v>
      </c>
      <c r="D5891" t="s">
        <v>241</v>
      </c>
      <c r="E5891" s="2">
        <v>15.5</v>
      </c>
      <c r="F5891" s="4">
        <v>3</v>
      </c>
      <c r="G5891" s="2">
        <v>46.5</v>
      </c>
      <c r="H5891" t="s">
        <v>15</v>
      </c>
      <c r="I5891" t="s">
        <v>16</v>
      </c>
      <c r="J5891" s="1">
        <v>45482</v>
      </c>
      <c r="K5891" t="b">
        <v>1</v>
      </c>
    </row>
    <row r="5892" spans="1:11" x14ac:dyDescent="0.25">
      <c r="A5892" t="s">
        <v>6572</v>
      </c>
      <c r="B5892" t="s">
        <v>66</v>
      </c>
      <c r="C5892" t="s">
        <v>13</v>
      </c>
      <c r="D5892" t="s">
        <v>389</v>
      </c>
      <c r="E5892" s="2">
        <v>15.5</v>
      </c>
      <c r="F5892" s="4">
        <v>3</v>
      </c>
      <c r="G5892" s="2">
        <v>46.5</v>
      </c>
      <c r="H5892" t="s">
        <v>45</v>
      </c>
      <c r="I5892" t="s">
        <v>36</v>
      </c>
      <c r="J5892" s="1">
        <v>45359</v>
      </c>
      <c r="K5892" t="b">
        <v>0</v>
      </c>
    </row>
    <row r="5893" spans="1:11" x14ac:dyDescent="0.25">
      <c r="A5893" t="s">
        <v>4505</v>
      </c>
      <c r="B5893" t="s">
        <v>56</v>
      </c>
      <c r="C5893" t="s">
        <v>19</v>
      </c>
      <c r="D5893" t="s">
        <v>166</v>
      </c>
      <c r="E5893" s="2">
        <v>15.5</v>
      </c>
      <c r="F5893" s="4">
        <v>3</v>
      </c>
      <c r="G5893" s="2">
        <v>46.5</v>
      </c>
      <c r="H5893" t="s">
        <v>25</v>
      </c>
      <c r="I5893" t="s">
        <v>36</v>
      </c>
      <c r="J5893" s="1">
        <v>45391</v>
      </c>
      <c r="K5893" t="b">
        <v>0</v>
      </c>
    </row>
    <row r="5894" spans="1:11" x14ac:dyDescent="0.25">
      <c r="A5894" t="s">
        <v>1766</v>
      </c>
      <c r="B5894" t="s">
        <v>56</v>
      </c>
      <c r="C5894" t="s">
        <v>38</v>
      </c>
      <c r="D5894" t="s">
        <v>241</v>
      </c>
      <c r="E5894" s="2">
        <v>15.5</v>
      </c>
      <c r="F5894" s="4">
        <v>3</v>
      </c>
      <c r="G5894" s="2">
        <v>46.5</v>
      </c>
      <c r="H5894" t="s">
        <v>45</v>
      </c>
      <c r="I5894" t="s">
        <v>16</v>
      </c>
      <c r="J5894" s="1">
        <v>45231</v>
      </c>
      <c r="K5894" t="b">
        <v>1</v>
      </c>
    </row>
    <row r="5895" spans="1:11" x14ac:dyDescent="0.25">
      <c r="A5895" t="s">
        <v>2936</v>
      </c>
      <c r="B5895" t="s">
        <v>43</v>
      </c>
      <c r="C5895" t="s">
        <v>59</v>
      </c>
      <c r="D5895" t="s">
        <v>201</v>
      </c>
      <c r="E5895" s="2">
        <v>15.5</v>
      </c>
      <c r="F5895" s="4">
        <v>3</v>
      </c>
      <c r="G5895" s="2">
        <v>46.5</v>
      </c>
      <c r="H5895" t="s">
        <v>25</v>
      </c>
      <c r="I5895" t="s">
        <v>16</v>
      </c>
      <c r="J5895" s="1">
        <v>45602</v>
      </c>
      <c r="K5895" t="b">
        <v>1</v>
      </c>
    </row>
    <row r="5896" spans="1:11" x14ac:dyDescent="0.25">
      <c r="A5896" t="s">
        <v>2593</v>
      </c>
      <c r="B5896" t="s">
        <v>34</v>
      </c>
      <c r="C5896" t="s">
        <v>59</v>
      </c>
      <c r="D5896" t="s">
        <v>201</v>
      </c>
      <c r="E5896" s="2">
        <v>15.5</v>
      </c>
      <c r="F5896" s="4">
        <v>3</v>
      </c>
      <c r="G5896" s="2">
        <v>46.5</v>
      </c>
      <c r="H5896" t="s">
        <v>25</v>
      </c>
      <c r="I5896" t="s">
        <v>36</v>
      </c>
      <c r="J5896" s="1">
        <v>44610</v>
      </c>
      <c r="K5896" t="b">
        <v>1</v>
      </c>
    </row>
    <row r="5897" spans="1:11" x14ac:dyDescent="0.25">
      <c r="A5897" t="s">
        <v>4381</v>
      </c>
      <c r="B5897" t="s">
        <v>61</v>
      </c>
      <c r="C5897" t="s">
        <v>59</v>
      </c>
      <c r="D5897" t="s">
        <v>201</v>
      </c>
      <c r="E5897" s="2">
        <v>15.5</v>
      </c>
      <c r="F5897" s="4">
        <v>3</v>
      </c>
      <c r="G5897" s="2">
        <v>46.5</v>
      </c>
      <c r="H5897" t="s">
        <v>45</v>
      </c>
      <c r="I5897" t="s">
        <v>16</v>
      </c>
      <c r="J5897" s="1">
        <v>45284</v>
      </c>
      <c r="K5897" t="b">
        <v>1</v>
      </c>
    </row>
    <row r="5898" spans="1:11" x14ac:dyDescent="0.25">
      <c r="A5898" t="s">
        <v>529</v>
      </c>
      <c r="B5898" t="s">
        <v>97</v>
      </c>
      <c r="C5898" t="s">
        <v>110</v>
      </c>
      <c r="D5898" t="s">
        <v>199</v>
      </c>
      <c r="E5898" s="2">
        <v>15.5</v>
      </c>
      <c r="F5898" s="4">
        <v>3</v>
      </c>
      <c r="G5898" s="2">
        <v>46.5</v>
      </c>
      <c r="H5898" t="s">
        <v>15</v>
      </c>
      <c r="I5898" t="s">
        <v>36</v>
      </c>
      <c r="J5898" s="1">
        <v>45220</v>
      </c>
      <c r="K5898" t="b">
        <v>0</v>
      </c>
    </row>
    <row r="5899" spans="1:11" x14ac:dyDescent="0.25">
      <c r="A5899" t="s">
        <v>333</v>
      </c>
      <c r="B5899" t="s">
        <v>142</v>
      </c>
      <c r="C5899" t="s">
        <v>23</v>
      </c>
      <c r="D5899" t="s">
        <v>187</v>
      </c>
      <c r="E5899" s="2">
        <v>15.5</v>
      </c>
      <c r="F5899" s="4">
        <v>3</v>
      </c>
      <c r="G5899" s="2">
        <v>46.5</v>
      </c>
      <c r="H5899" t="s">
        <v>25</v>
      </c>
      <c r="I5899" t="s">
        <v>36</v>
      </c>
      <c r="J5899" s="1">
        <v>45524</v>
      </c>
      <c r="K5899" t="b">
        <v>1</v>
      </c>
    </row>
    <row r="5900" spans="1:11" x14ac:dyDescent="0.25">
      <c r="A5900" t="s">
        <v>3387</v>
      </c>
      <c r="B5900" t="s">
        <v>142</v>
      </c>
      <c r="C5900" t="s">
        <v>19</v>
      </c>
      <c r="D5900" t="s">
        <v>166</v>
      </c>
      <c r="E5900" s="2">
        <v>15.5</v>
      </c>
      <c r="F5900" s="4">
        <v>3</v>
      </c>
      <c r="G5900" s="2">
        <v>46.5</v>
      </c>
      <c r="H5900" t="s">
        <v>45</v>
      </c>
      <c r="I5900" t="s">
        <v>16</v>
      </c>
      <c r="J5900" s="1">
        <v>45097</v>
      </c>
      <c r="K5900" t="b">
        <v>1</v>
      </c>
    </row>
    <row r="5901" spans="1:11" x14ac:dyDescent="0.25">
      <c r="A5901" t="s">
        <v>6018</v>
      </c>
      <c r="B5901" t="s">
        <v>43</v>
      </c>
      <c r="C5901" t="s">
        <v>23</v>
      </c>
      <c r="D5901" t="s">
        <v>187</v>
      </c>
      <c r="E5901" s="2">
        <v>15.5</v>
      </c>
      <c r="F5901" s="4">
        <v>3</v>
      </c>
      <c r="G5901" s="2">
        <v>46.5</v>
      </c>
      <c r="H5901" t="s">
        <v>25</v>
      </c>
      <c r="I5901" t="s">
        <v>16</v>
      </c>
      <c r="J5901" s="1">
        <v>44983</v>
      </c>
      <c r="K5901" t="b">
        <v>1</v>
      </c>
    </row>
    <row r="5902" spans="1:11" x14ac:dyDescent="0.25">
      <c r="A5902" t="s">
        <v>1404</v>
      </c>
      <c r="B5902" t="s">
        <v>30</v>
      </c>
      <c r="C5902" t="s">
        <v>27</v>
      </c>
      <c r="D5902" t="s">
        <v>105</v>
      </c>
      <c r="E5902" s="2">
        <v>15.5</v>
      </c>
      <c r="F5902" s="4">
        <v>3</v>
      </c>
      <c r="G5902" s="2">
        <v>46.5</v>
      </c>
      <c r="H5902" t="s">
        <v>15</v>
      </c>
      <c r="I5902" t="s">
        <v>36</v>
      </c>
      <c r="J5902" s="1">
        <v>44837</v>
      </c>
      <c r="K5902" t="b">
        <v>0</v>
      </c>
    </row>
    <row r="5903" spans="1:11" x14ac:dyDescent="0.25">
      <c r="A5903" t="s">
        <v>710</v>
      </c>
      <c r="B5903" t="s">
        <v>26</v>
      </c>
      <c r="C5903" t="s">
        <v>27</v>
      </c>
      <c r="D5903" t="s">
        <v>105</v>
      </c>
      <c r="E5903" s="2">
        <v>15.5</v>
      </c>
      <c r="F5903" s="4">
        <v>3</v>
      </c>
      <c r="G5903" s="2">
        <v>46.5</v>
      </c>
      <c r="H5903" t="s">
        <v>25</v>
      </c>
      <c r="I5903" t="s">
        <v>16</v>
      </c>
      <c r="J5903" s="1">
        <v>45138</v>
      </c>
      <c r="K5903" t="b">
        <v>1</v>
      </c>
    </row>
    <row r="5904" spans="1:11" x14ac:dyDescent="0.25">
      <c r="A5904" t="s">
        <v>3891</v>
      </c>
      <c r="B5904" t="s">
        <v>18</v>
      </c>
      <c r="C5904" t="s">
        <v>27</v>
      </c>
      <c r="D5904" t="s">
        <v>105</v>
      </c>
      <c r="E5904" s="2">
        <v>15.5</v>
      </c>
      <c r="F5904" s="4">
        <v>3</v>
      </c>
      <c r="G5904" s="2">
        <v>46.5</v>
      </c>
      <c r="H5904" t="s">
        <v>45</v>
      </c>
      <c r="I5904" t="s">
        <v>16</v>
      </c>
      <c r="J5904" s="1">
        <v>44876</v>
      </c>
      <c r="K5904" t="b">
        <v>0</v>
      </c>
    </row>
    <row r="5905" spans="1:11" x14ac:dyDescent="0.25">
      <c r="A5905" t="s">
        <v>1742</v>
      </c>
      <c r="B5905" t="s">
        <v>12</v>
      </c>
      <c r="C5905" t="s">
        <v>27</v>
      </c>
      <c r="D5905" t="s">
        <v>105</v>
      </c>
      <c r="E5905" s="2">
        <v>15.5</v>
      </c>
      <c r="F5905" s="4">
        <v>3</v>
      </c>
      <c r="G5905" s="2">
        <v>46.5</v>
      </c>
      <c r="H5905" t="s">
        <v>25</v>
      </c>
      <c r="I5905" t="s">
        <v>16</v>
      </c>
      <c r="J5905" s="1">
        <v>45353</v>
      </c>
      <c r="K5905" t="b">
        <v>1</v>
      </c>
    </row>
    <row r="5906" spans="1:11" x14ac:dyDescent="0.25">
      <c r="A5906" t="s">
        <v>4339</v>
      </c>
      <c r="B5906" t="s">
        <v>69</v>
      </c>
      <c r="C5906" t="s">
        <v>38</v>
      </c>
      <c r="D5906" t="s">
        <v>241</v>
      </c>
      <c r="E5906" s="2">
        <v>15.5</v>
      </c>
      <c r="F5906" s="4">
        <v>3</v>
      </c>
      <c r="G5906" s="2">
        <v>46.5</v>
      </c>
      <c r="H5906" t="s">
        <v>25</v>
      </c>
      <c r="I5906" t="s">
        <v>36</v>
      </c>
      <c r="J5906" s="1">
        <v>44811</v>
      </c>
      <c r="K5906" t="b">
        <v>1</v>
      </c>
    </row>
    <row r="5907" spans="1:11" x14ac:dyDescent="0.25">
      <c r="A5907" t="s">
        <v>6398</v>
      </c>
      <c r="B5907" t="s">
        <v>69</v>
      </c>
      <c r="C5907" t="s">
        <v>27</v>
      </c>
      <c r="D5907" t="s">
        <v>105</v>
      </c>
      <c r="E5907" s="2">
        <v>15.5</v>
      </c>
      <c r="F5907" s="4">
        <v>3</v>
      </c>
      <c r="G5907" s="2">
        <v>46.5</v>
      </c>
      <c r="H5907" t="s">
        <v>15</v>
      </c>
      <c r="I5907" t="s">
        <v>36</v>
      </c>
      <c r="J5907" s="1">
        <v>44656</v>
      </c>
      <c r="K5907" t="b">
        <v>0</v>
      </c>
    </row>
    <row r="5908" spans="1:11" x14ac:dyDescent="0.25">
      <c r="A5908" t="s">
        <v>5946</v>
      </c>
      <c r="B5908" t="s">
        <v>77</v>
      </c>
      <c r="C5908" t="s">
        <v>59</v>
      </c>
      <c r="D5908" t="s">
        <v>201</v>
      </c>
      <c r="E5908" s="2">
        <v>15.5</v>
      </c>
      <c r="F5908" s="4">
        <v>3</v>
      </c>
      <c r="G5908" s="2">
        <v>46.5</v>
      </c>
      <c r="H5908" t="s">
        <v>45</v>
      </c>
      <c r="I5908" t="s">
        <v>16</v>
      </c>
      <c r="J5908" s="1">
        <v>44812</v>
      </c>
      <c r="K5908" t="b">
        <v>0</v>
      </c>
    </row>
    <row r="5909" spans="1:11" x14ac:dyDescent="0.25">
      <c r="A5909" t="s">
        <v>4289</v>
      </c>
      <c r="B5909" t="s">
        <v>61</v>
      </c>
      <c r="C5909" t="s">
        <v>23</v>
      </c>
      <c r="D5909" t="s">
        <v>187</v>
      </c>
      <c r="E5909" s="2">
        <v>15.5</v>
      </c>
      <c r="F5909" s="4">
        <v>3</v>
      </c>
      <c r="G5909" s="2">
        <v>46.5</v>
      </c>
      <c r="H5909" t="s">
        <v>15</v>
      </c>
      <c r="I5909" t="s">
        <v>36</v>
      </c>
      <c r="J5909" s="1">
        <v>45521</v>
      </c>
      <c r="K5909" t="b">
        <v>1</v>
      </c>
    </row>
    <row r="5910" spans="1:11" x14ac:dyDescent="0.25">
      <c r="A5910" t="s">
        <v>608</v>
      </c>
      <c r="B5910" t="s">
        <v>63</v>
      </c>
      <c r="C5910" t="s">
        <v>59</v>
      </c>
      <c r="D5910" t="s">
        <v>201</v>
      </c>
      <c r="E5910" s="2">
        <v>15.5</v>
      </c>
      <c r="F5910" s="4">
        <v>3</v>
      </c>
      <c r="G5910" s="2">
        <v>46.5</v>
      </c>
      <c r="H5910" t="s">
        <v>45</v>
      </c>
      <c r="I5910" t="s">
        <v>16</v>
      </c>
      <c r="J5910" s="1">
        <v>45097</v>
      </c>
      <c r="K5910" t="b">
        <v>0</v>
      </c>
    </row>
    <row r="5911" spans="1:11" x14ac:dyDescent="0.25">
      <c r="A5911" t="s">
        <v>2373</v>
      </c>
      <c r="B5911" t="s">
        <v>104</v>
      </c>
      <c r="C5911" t="s">
        <v>13</v>
      </c>
      <c r="D5911" t="s">
        <v>389</v>
      </c>
      <c r="E5911" s="2">
        <v>15.5</v>
      </c>
      <c r="F5911" s="4">
        <v>3</v>
      </c>
      <c r="G5911" s="2">
        <v>46.5</v>
      </c>
      <c r="H5911" t="s">
        <v>25</v>
      </c>
      <c r="I5911" t="s">
        <v>16</v>
      </c>
      <c r="J5911" s="1">
        <v>45568</v>
      </c>
      <c r="K5911" t="b">
        <v>1</v>
      </c>
    </row>
    <row r="5912" spans="1:11" x14ac:dyDescent="0.25">
      <c r="A5912" t="s">
        <v>628</v>
      </c>
      <c r="B5912" t="s">
        <v>85</v>
      </c>
      <c r="C5912" t="s">
        <v>13</v>
      </c>
      <c r="D5912" t="s">
        <v>389</v>
      </c>
      <c r="E5912" s="2">
        <v>15.5</v>
      </c>
      <c r="F5912" s="4">
        <v>3</v>
      </c>
      <c r="G5912" s="2">
        <v>46.5</v>
      </c>
      <c r="H5912" t="s">
        <v>25</v>
      </c>
      <c r="I5912" t="s">
        <v>16</v>
      </c>
      <c r="J5912" s="1">
        <v>44775</v>
      </c>
      <c r="K5912" t="b">
        <v>1</v>
      </c>
    </row>
    <row r="5913" spans="1:11" x14ac:dyDescent="0.25">
      <c r="A5913" t="s">
        <v>5817</v>
      </c>
      <c r="B5913" t="s">
        <v>93</v>
      </c>
      <c r="C5913" t="s">
        <v>13</v>
      </c>
      <c r="D5913" t="s">
        <v>389</v>
      </c>
      <c r="E5913" s="2">
        <v>15.5</v>
      </c>
      <c r="F5913" s="4">
        <v>3</v>
      </c>
      <c r="G5913" s="2">
        <v>46.5</v>
      </c>
      <c r="H5913" t="s">
        <v>25</v>
      </c>
      <c r="I5913" t="s">
        <v>16</v>
      </c>
      <c r="J5913" s="1">
        <v>45521</v>
      </c>
      <c r="K5913" t="b">
        <v>1</v>
      </c>
    </row>
    <row r="5914" spans="1:11" x14ac:dyDescent="0.25">
      <c r="A5914" t="s">
        <v>1861</v>
      </c>
      <c r="B5914" t="s">
        <v>18</v>
      </c>
      <c r="C5914" t="s">
        <v>27</v>
      </c>
      <c r="D5914" t="s">
        <v>105</v>
      </c>
      <c r="E5914" s="2">
        <v>15.5</v>
      </c>
      <c r="F5914" s="4">
        <v>3</v>
      </c>
      <c r="G5914" s="2">
        <v>46.5</v>
      </c>
      <c r="H5914" t="s">
        <v>15</v>
      </c>
      <c r="I5914" t="s">
        <v>16</v>
      </c>
      <c r="J5914" s="1">
        <v>44567</v>
      </c>
      <c r="K5914" t="b">
        <v>0</v>
      </c>
    </row>
    <row r="5915" spans="1:11" x14ac:dyDescent="0.25">
      <c r="A5915" t="s">
        <v>5261</v>
      </c>
      <c r="B5915" t="s">
        <v>72</v>
      </c>
      <c r="C5915" t="s">
        <v>110</v>
      </c>
      <c r="D5915" t="s">
        <v>199</v>
      </c>
      <c r="E5915" s="2">
        <v>15.5</v>
      </c>
      <c r="F5915" s="4">
        <v>3</v>
      </c>
      <c r="G5915" s="2">
        <v>46.5</v>
      </c>
      <c r="H5915" t="s">
        <v>25</v>
      </c>
      <c r="I5915" t="s">
        <v>36</v>
      </c>
      <c r="J5915" s="1">
        <v>45025</v>
      </c>
      <c r="K5915" t="b">
        <v>1</v>
      </c>
    </row>
    <row r="5916" spans="1:11" x14ac:dyDescent="0.25">
      <c r="A5916" t="s">
        <v>5241</v>
      </c>
      <c r="B5916" t="s">
        <v>26</v>
      </c>
      <c r="C5916" t="s">
        <v>27</v>
      </c>
      <c r="D5916" t="s">
        <v>105</v>
      </c>
      <c r="E5916" s="2">
        <v>15.5</v>
      </c>
      <c r="F5916" s="4">
        <v>3</v>
      </c>
      <c r="G5916" s="2">
        <v>46.5</v>
      </c>
      <c r="H5916" t="s">
        <v>25</v>
      </c>
      <c r="I5916" t="s">
        <v>16</v>
      </c>
      <c r="J5916" s="1">
        <v>44669</v>
      </c>
      <c r="K5916" t="b">
        <v>1</v>
      </c>
    </row>
    <row r="5917" spans="1:11" x14ac:dyDescent="0.25">
      <c r="A5917" t="s">
        <v>3955</v>
      </c>
      <c r="B5917" t="s">
        <v>63</v>
      </c>
      <c r="C5917" t="s">
        <v>27</v>
      </c>
      <c r="D5917" t="s">
        <v>105</v>
      </c>
      <c r="E5917" s="2">
        <v>15.5</v>
      </c>
      <c r="F5917" s="4">
        <v>3</v>
      </c>
      <c r="G5917" s="2">
        <v>46.5</v>
      </c>
      <c r="H5917" t="s">
        <v>45</v>
      </c>
      <c r="I5917" t="s">
        <v>16</v>
      </c>
      <c r="J5917" s="1">
        <v>45419</v>
      </c>
      <c r="K5917" t="b">
        <v>1</v>
      </c>
    </row>
    <row r="5918" spans="1:11" x14ac:dyDescent="0.25">
      <c r="A5918" t="s">
        <v>5893</v>
      </c>
      <c r="B5918" t="s">
        <v>86</v>
      </c>
      <c r="C5918" t="s">
        <v>13</v>
      </c>
      <c r="D5918" t="s">
        <v>389</v>
      </c>
      <c r="E5918" s="2">
        <v>15.5</v>
      </c>
      <c r="F5918" s="4">
        <v>3</v>
      </c>
      <c r="G5918" s="2">
        <v>46.5</v>
      </c>
      <c r="H5918" t="s">
        <v>15</v>
      </c>
      <c r="I5918" t="s">
        <v>36</v>
      </c>
      <c r="J5918" s="1">
        <v>45180</v>
      </c>
      <c r="K5918" t="b">
        <v>1</v>
      </c>
    </row>
    <row r="5919" spans="1:11" x14ac:dyDescent="0.25">
      <c r="A5919" t="s">
        <v>4526</v>
      </c>
      <c r="B5919" t="s">
        <v>66</v>
      </c>
      <c r="C5919" t="s">
        <v>13</v>
      </c>
      <c r="D5919" t="s">
        <v>389</v>
      </c>
      <c r="E5919" s="2">
        <v>15.5</v>
      </c>
      <c r="F5919" s="4">
        <v>3</v>
      </c>
      <c r="G5919" s="2">
        <v>46.5</v>
      </c>
      <c r="H5919" t="s">
        <v>45</v>
      </c>
      <c r="I5919" t="s">
        <v>16</v>
      </c>
      <c r="J5919" s="1">
        <v>44979</v>
      </c>
      <c r="K5919" t="b">
        <v>1</v>
      </c>
    </row>
    <row r="5920" spans="1:11" x14ac:dyDescent="0.25">
      <c r="A5920" t="s">
        <v>3865</v>
      </c>
      <c r="B5920" t="s">
        <v>72</v>
      </c>
      <c r="C5920" t="s">
        <v>13</v>
      </c>
      <c r="D5920" t="s">
        <v>292</v>
      </c>
      <c r="E5920" s="2">
        <v>23</v>
      </c>
      <c r="F5920" s="4">
        <v>2</v>
      </c>
      <c r="G5920" s="2">
        <v>46</v>
      </c>
      <c r="H5920" t="s">
        <v>15</v>
      </c>
      <c r="I5920" t="s">
        <v>16</v>
      </c>
      <c r="J5920" s="1">
        <v>44815</v>
      </c>
      <c r="K5920" t="b">
        <v>0</v>
      </c>
    </row>
    <row r="5921" spans="1:11" x14ac:dyDescent="0.25">
      <c r="A5921" t="s">
        <v>510</v>
      </c>
      <c r="B5921" t="s">
        <v>43</v>
      </c>
      <c r="C5921" t="s">
        <v>31</v>
      </c>
      <c r="D5921" t="s">
        <v>361</v>
      </c>
      <c r="E5921" s="2">
        <v>23</v>
      </c>
      <c r="F5921" s="4">
        <v>2</v>
      </c>
      <c r="G5921" s="2">
        <v>46</v>
      </c>
      <c r="H5921" t="s">
        <v>15</v>
      </c>
      <c r="I5921" t="s">
        <v>36</v>
      </c>
      <c r="J5921" s="1">
        <v>44848</v>
      </c>
      <c r="K5921" t="b">
        <v>0</v>
      </c>
    </row>
    <row r="5922" spans="1:11" x14ac:dyDescent="0.25">
      <c r="A5922" t="s">
        <v>5679</v>
      </c>
      <c r="B5922" t="s">
        <v>37</v>
      </c>
      <c r="C5922" t="s">
        <v>23</v>
      </c>
      <c r="D5922" t="s">
        <v>244</v>
      </c>
      <c r="E5922" s="2">
        <v>23</v>
      </c>
      <c r="F5922" s="4">
        <v>2</v>
      </c>
      <c r="G5922" s="2">
        <v>46</v>
      </c>
      <c r="H5922" t="s">
        <v>25</v>
      </c>
      <c r="I5922" t="s">
        <v>36</v>
      </c>
      <c r="J5922" s="1">
        <v>45175</v>
      </c>
      <c r="K5922" t="b">
        <v>1</v>
      </c>
    </row>
    <row r="5923" spans="1:11" x14ac:dyDescent="0.25">
      <c r="A5923" t="s">
        <v>3707</v>
      </c>
      <c r="B5923" t="s">
        <v>63</v>
      </c>
      <c r="C5923" t="s">
        <v>59</v>
      </c>
      <c r="D5923" t="s">
        <v>60</v>
      </c>
      <c r="E5923" s="2">
        <v>23</v>
      </c>
      <c r="F5923" s="4">
        <v>2</v>
      </c>
      <c r="G5923" s="2">
        <v>46</v>
      </c>
      <c r="H5923" t="s">
        <v>45</v>
      </c>
      <c r="I5923" t="s">
        <v>36</v>
      </c>
      <c r="J5923" s="1">
        <v>45272</v>
      </c>
      <c r="K5923" t="b">
        <v>1</v>
      </c>
    </row>
    <row r="5924" spans="1:11" x14ac:dyDescent="0.25">
      <c r="A5924" t="s">
        <v>3118</v>
      </c>
      <c r="B5924" t="s">
        <v>58</v>
      </c>
      <c r="C5924" t="s">
        <v>23</v>
      </c>
      <c r="D5924" t="s">
        <v>244</v>
      </c>
      <c r="E5924" s="2">
        <v>23</v>
      </c>
      <c r="F5924" s="4">
        <v>2</v>
      </c>
      <c r="G5924" s="2">
        <v>46</v>
      </c>
      <c r="H5924" t="s">
        <v>45</v>
      </c>
      <c r="I5924" t="s">
        <v>36</v>
      </c>
      <c r="J5924" s="1">
        <v>44768</v>
      </c>
      <c r="K5924" t="b">
        <v>0</v>
      </c>
    </row>
    <row r="5925" spans="1:11" x14ac:dyDescent="0.25">
      <c r="A5925" t="s">
        <v>7144</v>
      </c>
      <c r="B5925" t="s">
        <v>66</v>
      </c>
      <c r="C5925" t="s">
        <v>19</v>
      </c>
      <c r="D5925" t="s">
        <v>400</v>
      </c>
      <c r="E5925" s="2">
        <v>23</v>
      </c>
      <c r="F5925" s="4">
        <v>2</v>
      </c>
      <c r="G5925" s="2">
        <v>46</v>
      </c>
      <c r="H5925" t="s">
        <v>25</v>
      </c>
      <c r="I5925" t="s">
        <v>36</v>
      </c>
      <c r="J5925" s="1">
        <v>45237</v>
      </c>
      <c r="K5925" t="b">
        <v>1</v>
      </c>
    </row>
    <row r="5926" spans="1:11" x14ac:dyDescent="0.25">
      <c r="A5926" t="s">
        <v>4183</v>
      </c>
      <c r="B5926" t="s">
        <v>22</v>
      </c>
      <c r="C5926" t="s">
        <v>19</v>
      </c>
      <c r="D5926" t="s">
        <v>400</v>
      </c>
      <c r="E5926" s="2">
        <v>23</v>
      </c>
      <c r="F5926" s="4">
        <v>2</v>
      </c>
      <c r="G5926" s="2">
        <v>46</v>
      </c>
      <c r="H5926" t="s">
        <v>25</v>
      </c>
      <c r="I5926" t="s">
        <v>16</v>
      </c>
      <c r="J5926" s="1">
        <v>45061</v>
      </c>
      <c r="K5926" t="b">
        <v>1</v>
      </c>
    </row>
    <row r="5927" spans="1:11" x14ac:dyDescent="0.25">
      <c r="A5927" t="s">
        <v>1166</v>
      </c>
      <c r="B5927" t="s">
        <v>85</v>
      </c>
      <c r="C5927" t="s">
        <v>23</v>
      </c>
      <c r="D5927" t="s">
        <v>244</v>
      </c>
      <c r="E5927" s="2">
        <v>23</v>
      </c>
      <c r="F5927" s="4">
        <v>2</v>
      </c>
      <c r="G5927" s="2">
        <v>46</v>
      </c>
      <c r="H5927" t="s">
        <v>15</v>
      </c>
      <c r="I5927" t="s">
        <v>36</v>
      </c>
      <c r="J5927" s="1">
        <v>44852</v>
      </c>
      <c r="K5927" t="b">
        <v>1</v>
      </c>
    </row>
    <row r="5928" spans="1:11" x14ac:dyDescent="0.25">
      <c r="A5928" t="s">
        <v>2002</v>
      </c>
      <c r="B5928" t="s">
        <v>22</v>
      </c>
      <c r="C5928" t="s">
        <v>19</v>
      </c>
      <c r="D5928" t="s">
        <v>400</v>
      </c>
      <c r="E5928" s="2">
        <v>23</v>
      </c>
      <c r="F5928" s="4">
        <v>2</v>
      </c>
      <c r="G5928" s="2">
        <v>46</v>
      </c>
      <c r="H5928" t="s">
        <v>45</v>
      </c>
      <c r="I5928" t="s">
        <v>36</v>
      </c>
      <c r="J5928" s="1">
        <v>45570</v>
      </c>
      <c r="K5928" t="b">
        <v>1</v>
      </c>
    </row>
    <row r="5929" spans="1:11" x14ac:dyDescent="0.25">
      <c r="A5929" t="s">
        <v>1150</v>
      </c>
      <c r="B5929" t="s">
        <v>40</v>
      </c>
      <c r="C5929" t="s">
        <v>19</v>
      </c>
      <c r="D5929" t="s">
        <v>400</v>
      </c>
      <c r="E5929" s="2">
        <v>23</v>
      </c>
      <c r="F5929" s="4">
        <v>2</v>
      </c>
      <c r="G5929" s="2">
        <v>46</v>
      </c>
      <c r="H5929" t="s">
        <v>15</v>
      </c>
      <c r="I5929" t="s">
        <v>16</v>
      </c>
      <c r="J5929" s="1">
        <v>45218</v>
      </c>
      <c r="K5929" t="b">
        <v>1</v>
      </c>
    </row>
    <row r="5930" spans="1:11" x14ac:dyDescent="0.25">
      <c r="A5930" t="s">
        <v>806</v>
      </c>
      <c r="B5930" t="s">
        <v>72</v>
      </c>
      <c r="C5930" t="s">
        <v>31</v>
      </c>
      <c r="D5930" t="s">
        <v>361</v>
      </c>
      <c r="E5930" s="2">
        <v>23</v>
      </c>
      <c r="F5930" s="4">
        <v>2</v>
      </c>
      <c r="G5930" s="2">
        <v>46</v>
      </c>
      <c r="H5930" t="s">
        <v>25</v>
      </c>
      <c r="I5930" t="s">
        <v>16</v>
      </c>
      <c r="J5930" s="1">
        <v>44613</v>
      </c>
      <c r="K5930" t="b">
        <v>1</v>
      </c>
    </row>
    <row r="5931" spans="1:11" x14ac:dyDescent="0.25">
      <c r="A5931" t="s">
        <v>7776</v>
      </c>
      <c r="B5931" t="s">
        <v>86</v>
      </c>
      <c r="C5931" t="s">
        <v>19</v>
      </c>
      <c r="D5931" t="s">
        <v>400</v>
      </c>
      <c r="E5931" s="2">
        <v>23</v>
      </c>
      <c r="F5931" s="4">
        <v>2</v>
      </c>
      <c r="G5931" s="2">
        <v>46</v>
      </c>
      <c r="H5931" t="s">
        <v>15</v>
      </c>
      <c r="I5931" t="s">
        <v>16</v>
      </c>
      <c r="J5931" s="1">
        <v>45441</v>
      </c>
      <c r="K5931" t="b">
        <v>0</v>
      </c>
    </row>
    <row r="5932" spans="1:11" x14ac:dyDescent="0.25">
      <c r="A5932" t="s">
        <v>1457</v>
      </c>
      <c r="B5932" t="s">
        <v>93</v>
      </c>
      <c r="C5932" t="s">
        <v>59</v>
      </c>
      <c r="D5932" t="s">
        <v>60</v>
      </c>
      <c r="E5932" s="2">
        <v>23</v>
      </c>
      <c r="F5932" s="4">
        <v>2</v>
      </c>
      <c r="G5932" s="2">
        <v>46</v>
      </c>
      <c r="H5932" t="s">
        <v>25</v>
      </c>
      <c r="I5932" t="s">
        <v>16</v>
      </c>
      <c r="J5932" s="1">
        <v>44994</v>
      </c>
      <c r="K5932" t="b">
        <v>0</v>
      </c>
    </row>
    <row r="5933" spans="1:11" x14ac:dyDescent="0.25">
      <c r="A5933" t="s">
        <v>231</v>
      </c>
      <c r="B5933" t="s">
        <v>51</v>
      </c>
      <c r="C5933" t="s">
        <v>110</v>
      </c>
      <c r="D5933" t="s">
        <v>232</v>
      </c>
      <c r="E5933" s="2">
        <v>23</v>
      </c>
      <c r="F5933" s="4">
        <v>2</v>
      </c>
      <c r="G5933" s="2">
        <v>46</v>
      </c>
      <c r="H5933" t="s">
        <v>15</v>
      </c>
      <c r="I5933" t="s">
        <v>36</v>
      </c>
      <c r="J5933" s="1">
        <v>45331</v>
      </c>
      <c r="K5933" t="b">
        <v>0</v>
      </c>
    </row>
    <row r="5934" spans="1:11" x14ac:dyDescent="0.25">
      <c r="A5934" t="s">
        <v>2260</v>
      </c>
      <c r="B5934" t="s">
        <v>86</v>
      </c>
      <c r="C5934" t="s">
        <v>23</v>
      </c>
      <c r="D5934" t="s">
        <v>244</v>
      </c>
      <c r="E5934" s="2">
        <v>23</v>
      </c>
      <c r="F5934" s="4">
        <v>2</v>
      </c>
      <c r="G5934" s="2">
        <v>46</v>
      </c>
      <c r="H5934" t="s">
        <v>45</v>
      </c>
      <c r="I5934" t="s">
        <v>16</v>
      </c>
      <c r="J5934" s="1">
        <v>45544</v>
      </c>
      <c r="K5934" t="b">
        <v>0</v>
      </c>
    </row>
    <row r="5935" spans="1:11" x14ac:dyDescent="0.25">
      <c r="A5935" t="s">
        <v>2912</v>
      </c>
      <c r="B5935" t="s">
        <v>58</v>
      </c>
      <c r="C5935" t="s">
        <v>31</v>
      </c>
      <c r="D5935" t="s">
        <v>361</v>
      </c>
      <c r="E5935" s="2">
        <v>23</v>
      </c>
      <c r="F5935" s="4">
        <v>2</v>
      </c>
      <c r="G5935" s="2">
        <v>46</v>
      </c>
      <c r="H5935" t="s">
        <v>15</v>
      </c>
      <c r="I5935" t="s">
        <v>16</v>
      </c>
      <c r="J5935" s="1">
        <v>44755</v>
      </c>
      <c r="K5935" t="b">
        <v>1</v>
      </c>
    </row>
    <row r="5936" spans="1:11" x14ac:dyDescent="0.25">
      <c r="A5936" t="s">
        <v>4745</v>
      </c>
      <c r="B5936" t="s">
        <v>77</v>
      </c>
      <c r="C5936" t="s">
        <v>23</v>
      </c>
      <c r="D5936" t="s">
        <v>244</v>
      </c>
      <c r="E5936" s="2">
        <v>23</v>
      </c>
      <c r="F5936" s="4">
        <v>2</v>
      </c>
      <c r="G5936" s="2">
        <v>46</v>
      </c>
      <c r="H5936" t="s">
        <v>15</v>
      </c>
      <c r="I5936" t="s">
        <v>16</v>
      </c>
      <c r="J5936" s="1">
        <v>45103</v>
      </c>
      <c r="K5936" t="b">
        <v>1</v>
      </c>
    </row>
    <row r="5937" spans="1:11" x14ac:dyDescent="0.25">
      <c r="A5937" t="s">
        <v>2206</v>
      </c>
      <c r="B5937" t="s">
        <v>34</v>
      </c>
      <c r="C5937" t="s">
        <v>59</v>
      </c>
      <c r="D5937" t="s">
        <v>60</v>
      </c>
      <c r="E5937" s="2">
        <v>23</v>
      </c>
      <c r="F5937" s="4">
        <v>2</v>
      </c>
      <c r="G5937" s="2">
        <v>46</v>
      </c>
      <c r="H5937" t="s">
        <v>45</v>
      </c>
      <c r="I5937" t="s">
        <v>16</v>
      </c>
      <c r="J5937" s="1">
        <v>45119</v>
      </c>
      <c r="K5937" t="b">
        <v>1</v>
      </c>
    </row>
    <row r="5938" spans="1:11" x14ac:dyDescent="0.25">
      <c r="A5938" t="s">
        <v>4424</v>
      </c>
      <c r="B5938" t="s">
        <v>40</v>
      </c>
      <c r="C5938" t="s">
        <v>59</v>
      </c>
      <c r="D5938" t="s">
        <v>60</v>
      </c>
      <c r="E5938" s="2">
        <v>23</v>
      </c>
      <c r="F5938" s="4">
        <v>2</v>
      </c>
      <c r="G5938" s="2">
        <v>46</v>
      </c>
      <c r="H5938" t="s">
        <v>45</v>
      </c>
      <c r="I5938" t="s">
        <v>16</v>
      </c>
      <c r="J5938" s="1">
        <v>45612</v>
      </c>
      <c r="K5938" t="b">
        <v>0</v>
      </c>
    </row>
    <row r="5939" spans="1:11" x14ac:dyDescent="0.25">
      <c r="A5939" t="s">
        <v>3280</v>
      </c>
      <c r="B5939" t="s">
        <v>22</v>
      </c>
      <c r="C5939" t="s">
        <v>19</v>
      </c>
      <c r="D5939" t="s">
        <v>400</v>
      </c>
      <c r="E5939" s="2">
        <v>23</v>
      </c>
      <c r="F5939" s="4">
        <v>2</v>
      </c>
      <c r="G5939" s="2">
        <v>46</v>
      </c>
      <c r="H5939" t="s">
        <v>45</v>
      </c>
      <c r="I5939" t="s">
        <v>36</v>
      </c>
      <c r="J5939" s="1">
        <v>45537</v>
      </c>
      <c r="K5939" t="b">
        <v>0</v>
      </c>
    </row>
    <row r="5940" spans="1:11" x14ac:dyDescent="0.25">
      <c r="A5940" t="s">
        <v>3772</v>
      </c>
      <c r="B5940" t="s">
        <v>104</v>
      </c>
      <c r="C5940" t="s">
        <v>23</v>
      </c>
      <c r="D5940" t="s">
        <v>244</v>
      </c>
      <c r="E5940" s="2">
        <v>23</v>
      </c>
      <c r="F5940" s="4">
        <v>2</v>
      </c>
      <c r="G5940" s="2">
        <v>46</v>
      </c>
      <c r="H5940" t="s">
        <v>15</v>
      </c>
      <c r="I5940" t="s">
        <v>36</v>
      </c>
      <c r="J5940" s="1">
        <v>44617</v>
      </c>
      <c r="K5940" t="b">
        <v>0</v>
      </c>
    </row>
    <row r="5941" spans="1:11" x14ac:dyDescent="0.25">
      <c r="A5941" t="s">
        <v>1866</v>
      </c>
      <c r="B5941" t="s">
        <v>69</v>
      </c>
      <c r="C5941" t="s">
        <v>31</v>
      </c>
      <c r="D5941" t="s">
        <v>361</v>
      </c>
      <c r="E5941" s="2">
        <v>23</v>
      </c>
      <c r="F5941" s="4">
        <v>2</v>
      </c>
      <c r="G5941" s="2">
        <v>46</v>
      </c>
      <c r="H5941" t="s">
        <v>45</v>
      </c>
      <c r="I5941" t="s">
        <v>36</v>
      </c>
      <c r="J5941" s="1">
        <v>45296</v>
      </c>
      <c r="K5941" t="b">
        <v>1</v>
      </c>
    </row>
    <row r="5942" spans="1:11" x14ac:dyDescent="0.25">
      <c r="A5942" t="s">
        <v>2392</v>
      </c>
      <c r="B5942" t="s">
        <v>18</v>
      </c>
      <c r="C5942" t="s">
        <v>19</v>
      </c>
      <c r="D5942" t="s">
        <v>400</v>
      </c>
      <c r="E5942" s="2">
        <v>23</v>
      </c>
      <c r="F5942" s="4">
        <v>2</v>
      </c>
      <c r="G5942" s="2">
        <v>46</v>
      </c>
      <c r="H5942" t="s">
        <v>45</v>
      </c>
      <c r="I5942" t="s">
        <v>36</v>
      </c>
      <c r="J5942" s="1">
        <v>45429</v>
      </c>
      <c r="K5942" t="b">
        <v>0</v>
      </c>
    </row>
    <row r="5943" spans="1:11" x14ac:dyDescent="0.25">
      <c r="A5943" t="s">
        <v>7815</v>
      </c>
      <c r="B5943" t="s">
        <v>104</v>
      </c>
      <c r="C5943" t="s">
        <v>31</v>
      </c>
      <c r="D5943" t="s">
        <v>361</v>
      </c>
      <c r="E5943" s="2">
        <v>23</v>
      </c>
      <c r="F5943" s="4">
        <v>2</v>
      </c>
      <c r="G5943" s="2">
        <v>46</v>
      </c>
      <c r="H5943" t="s">
        <v>45</v>
      </c>
      <c r="I5943" t="s">
        <v>16</v>
      </c>
      <c r="J5943" s="1">
        <v>45414</v>
      </c>
      <c r="K5943" t="b">
        <v>0</v>
      </c>
    </row>
    <row r="5944" spans="1:11" x14ac:dyDescent="0.25">
      <c r="A5944" t="s">
        <v>6104</v>
      </c>
      <c r="B5944" t="s">
        <v>18</v>
      </c>
      <c r="C5944" t="s">
        <v>13</v>
      </c>
      <c r="D5944" t="s">
        <v>292</v>
      </c>
      <c r="E5944" s="2">
        <v>23</v>
      </c>
      <c r="F5944" s="4">
        <v>2</v>
      </c>
      <c r="G5944" s="2">
        <v>46</v>
      </c>
      <c r="H5944" t="s">
        <v>25</v>
      </c>
      <c r="I5944" t="s">
        <v>36</v>
      </c>
      <c r="J5944" s="1">
        <v>44568</v>
      </c>
      <c r="K5944" t="b">
        <v>1</v>
      </c>
    </row>
    <row r="5945" spans="1:11" x14ac:dyDescent="0.25">
      <c r="A5945" t="s">
        <v>5435</v>
      </c>
      <c r="B5945" t="s">
        <v>58</v>
      </c>
      <c r="C5945" t="s">
        <v>23</v>
      </c>
      <c r="D5945" t="s">
        <v>244</v>
      </c>
      <c r="E5945" s="2">
        <v>23</v>
      </c>
      <c r="F5945" s="4">
        <v>2</v>
      </c>
      <c r="G5945" s="2">
        <v>46</v>
      </c>
      <c r="H5945" t="s">
        <v>45</v>
      </c>
      <c r="I5945" t="s">
        <v>36</v>
      </c>
      <c r="J5945" s="1">
        <v>44752</v>
      </c>
      <c r="K5945" t="b">
        <v>1</v>
      </c>
    </row>
    <row r="5946" spans="1:11" x14ac:dyDescent="0.25">
      <c r="A5946" t="s">
        <v>2575</v>
      </c>
      <c r="B5946" t="s">
        <v>58</v>
      </c>
      <c r="C5946" t="s">
        <v>13</v>
      </c>
      <c r="D5946" t="s">
        <v>428</v>
      </c>
      <c r="E5946" s="2">
        <v>6.5</v>
      </c>
      <c r="F5946" s="4">
        <v>7</v>
      </c>
      <c r="G5946" s="2">
        <v>45.5</v>
      </c>
      <c r="H5946" t="s">
        <v>25</v>
      </c>
      <c r="I5946" t="s">
        <v>36</v>
      </c>
      <c r="J5946" s="1">
        <v>45367</v>
      </c>
      <c r="K5946" t="b">
        <v>1</v>
      </c>
    </row>
    <row r="5947" spans="1:11" x14ac:dyDescent="0.25">
      <c r="A5947" t="s">
        <v>6819</v>
      </c>
      <c r="B5947" t="s">
        <v>61</v>
      </c>
      <c r="C5947" t="s">
        <v>31</v>
      </c>
      <c r="D5947" t="s">
        <v>49</v>
      </c>
      <c r="E5947" s="2">
        <v>6.5</v>
      </c>
      <c r="F5947" s="4">
        <v>7</v>
      </c>
      <c r="G5947" s="2">
        <v>45.5</v>
      </c>
      <c r="H5947" t="s">
        <v>15</v>
      </c>
      <c r="I5947" t="s">
        <v>36</v>
      </c>
      <c r="J5947" s="1">
        <v>45016</v>
      </c>
      <c r="K5947" t="b">
        <v>0</v>
      </c>
    </row>
    <row r="5948" spans="1:11" x14ac:dyDescent="0.25">
      <c r="A5948" t="s">
        <v>955</v>
      </c>
      <c r="B5948" t="s">
        <v>97</v>
      </c>
      <c r="C5948" t="s">
        <v>23</v>
      </c>
      <c r="D5948" t="s">
        <v>137</v>
      </c>
      <c r="E5948" s="2">
        <v>6.5</v>
      </c>
      <c r="F5948" s="4">
        <v>7</v>
      </c>
      <c r="G5948" s="2">
        <v>45.5</v>
      </c>
      <c r="H5948" t="s">
        <v>45</v>
      </c>
      <c r="I5948" t="s">
        <v>16</v>
      </c>
      <c r="J5948" s="1">
        <v>45062</v>
      </c>
      <c r="K5948" t="b">
        <v>0</v>
      </c>
    </row>
    <row r="5949" spans="1:11" x14ac:dyDescent="0.25">
      <c r="A5949" t="s">
        <v>6008</v>
      </c>
      <c r="B5949" t="s">
        <v>86</v>
      </c>
      <c r="C5949" t="s">
        <v>27</v>
      </c>
      <c r="D5949" t="s">
        <v>246</v>
      </c>
      <c r="E5949" s="2">
        <v>6.5</v>
      </c>
      <c r="F5949" s="4">
        <v>7</v>
      </c>
      <c r="G5949" s="2">
        <v>45.5</v>
      </c>
      <c r="H5949" t="s">
        <v>45</v>
      </c>
      <c r="I5949" t="s">
        <v>36</v>
      </c>
      <c r="J5949" s="1">
        <v>44991</v>
      </c>
      <c r="K5949" t="b">
        <v>1</v>
      </c>
    </row>
    <row r="5950" spans="1:11" x14ac:dyDescent="0.25">
      <c r="A5950" t="s">
        <v>1905</v>
      </c>
      <c r="B5950" t="s">
        <v>63</v>
      </c>
      <c r="C5950" t="s">
        <v>27</v>
      </c>
      <c r="D5950" t="s">
        <v>246</v>
      </c>
      <c r="E5950" s="2">
        <v>6.5</v>
      </c>
      <c r="F5950" s="4">
        <v>7</v>
      </c>
      <c r="G5950" s="2">
        <v>45.5</v>
      </c>
      <c r="H5950" t="s">
        <v>45</v>
      </c>
      <c r="I5950" t="s">
        <v>36</v>
      </c>
      <c r="J5950" s="1">
        <v>44802</v>
      </c>
      <c r="K5950" t="b">
        <v>1</v>
      </c>
    </row>
    <row r="5951" spans="1:11" x14ac:dyDescent="0.25">
      <c r="A5951" t="s">
        <v>7518</v>
      </c>
      <c r="B5951" t="s">
        <v>72</v>
      </c>
      <c r="C5951" t="s">
        <v>27</v>
      </c>
      <c r="D5951" t="s">
        <v>246</v>
      </c>
      <c r="E5951" s="2">
        <v>6.5</v>
      </c>
      <c r="F5951" s="4">
        <v>7</v>
      </c>
      <c r="G5951" s="2">
        <v>45.5</v>
      </c>
      <c r="H5951" t="s">
        <v>25</v>
      </c>
      <c r="I5951" t="s">
        <v>36</v>
      </c>
      <c r="J5951" s="1">
        <v>44793</v>
      </c>
      <c r="K5951" t="b">
        <v>1</v>
      </c>
    </row>
    <row r="5952" spans="1:11" x14ac:dyDescent="0.25">
      <c r="A5952" t="s">
        <v>7412</v>
      </c>
      <c r="B5952" t="s">
        <v>66</v>
      </c>
      <c r="C5952" t="s">
        <v>27</v>
      </c>
      <c r="D5952" t="s">
        <v>246</v>
      </c>
      <c r="E5952" s="2">
        <v>6.5</v>
      </c>
      <c r="F5952" s="4">
        <v>7</v>
      </c>
      <c r="G5952" s="2">
        <v>45.5</v>
      </c>
      <c r="H5952" t="s">
        <v>25</v>
      </c>
      <c r="I5952" t="s">
        <v>36</v>
      </c>
      <c r="J5952" s="1">
        <v>45311</v>
      </c>
      <c r="K5952" t="b">
        <v>1</v>
      </c>
    </row>
    <row r="5953" spans="1:11" x14ac:dyDescent="0.25">
      <c r="A5953" t="s">
        <v>4766</v>
      </c>
      <c r="B5953" t="s">
        <v>58</v>
      </c>
      <c r="C5953" t="s">
        <v>23</v>
      </c>
      <c r="D5953" t="s">
        <v>137</v>
      </c>
      <c r="E5953" s="2">
        <v>6.5</v>
      </c>
      <c r="F5953" s="4">
        <v>7</v>
      </c>
      <c r="G5953" s="2">
        <v>45.5</v>
      </c>
      <c r="H5953" t="s">
        <v>25</v>
      </c>
      <c r="I5953" t="s">
        <v>36</v>
      </c>
      <c r="J5953" s="1">
        <v>45666</v>
      </c>
      <c r="K5953" t="b">
        <v>1</v>
      </c>
    </row>
    <row r="5954" spans="1:11" x14ac:dyDescent="0.25">
      <c r="A5954" t="s">
        <v>4466</v>
      </c>
      <c r="B5954" t="s">
        <v>100</v>
      </c>
      <c r="C5954" t="s">
        <v>19</v>
      </c>
      <c r="D5954" t="s">
        <v>308</v>
      </c>
      <c r="E5954" s="2">
        <v>6.5</v>
      </c>
      <c r="F5954" s="4">
        <v>7</v>
      </c>
      <c r="G5954" s="2">
        <v>45.5</v>
      </c>
      <c r="H5954" t="s">
        <v>15</v>
      </c>
      <c r="I5954" t="s">
        <v>16</v>
      </c>
      <c r="J5954" s="1">
        <v>45395</v>
      </c>
      <c r="K5954" t="b">
        <v>1</v>
      </c>
    </row>
    <row r="5955" spans="1:11" x14ac:dyDescent="0.25">
      <c r="A5955" t="s">
        <v>48</v>
      </c>
      <c r="B5955" t="s">
        <v>40</v>
      </c>
      <c r="C5955" t="s">
        <v>31</v>
      </c>
      <c r="D5955" t="s">
        <v>49</v>
      </c>
      <c r="E5955" s="2">
        <v>6.5</v>
      </c>
      <c r="F5955" s="4">
        <v>7</v>
      </c>
      <c r="G5955" s="2">
        <v>45.5</v>
      </c>
      <c r="H5955" t="s">
        <v>45</v>
      </c>
      <c r="I5955" t="s">
        <v>16</v>
      </c>
      <c r="J5955" s="1">
        <v>45178</v>
      </c>
      <c r="K5955" t="b">
        <v>1</v>
      </c>
    </row>
    <row r="5956" spans="1:11" x14ac:dyDescent="0.25">
      <c r="A5956" t="s">
        <v>4082</v>
      </c>
      <c r="B5956" t="s">
        <v>43</v>
      </c>
      <c r="C5956" t="s">
        <v>23</v>
      </c>
      <c r="D5956" t="s">
        <v>137</v>
      </c>
      <c r="E5956" s="2">
        <v>6.5</v>
      </c>
      <c r="F5956" s="4">
        <v>7</v>
      </c>
      <c r="G5956" s="2">
        <v>45.5</v>
      </c>
      <c r="H5956" t="s">
        <v>45</v>
      </c>
      <c r="I5956" t="s">
        <v>16</v>
      </c>
      <c r="J5956" s="1">
        <v>44671</v>
      </c>
      <c r="K5956" t="b">
        <v>1</v>
      </c>
    </row>
    <row r="5957" spans="1:11" x14ac:dyDescent="0.25">
      <c r="A5957" t="s">
        <v>3251</v>
      </c>
      <c r="B5957" t="s">
        <v>142</v>
      </c>
      <c r="C5957" t="s">
        <v>59</v>
      </c>
      <c r="D5957" t="s">
        <v>541</v>
      </c>
      <c r="E5957" s="2">
        <v>6.5</v>
      </c>
      <c r="F5957" s="4">
        <v>7</v>
      </c>
      <c r="G5957" s="2">
        <v>45.5</v>
      </c>
      <c r="H5957" t="s">
        <v>25</v>
      </c>
      <c r="I5957" t="s">
        <v>36</v>
      </c>
      <c r="J5957" s="1">
        <v>44914</v>
      </c>
      <c r="K5957" t="b">
        <v>1</v>
      </c>
    </row>
    <row r="5958" spans="1:11" x14ac:dyDescent="0.25">
      <c r="A5958" t="s">
        <v>1810</v>
      </c>
      <c r="B5958" t="s">
        <v>66</v>
      </c>
      <c r="C5958" t="s">
        <v>110</v>
      </c>
      <c r="D5958" t="s">
        <v>221</v>
      </c>
      <c r="E5958" s="2">
        <v>6.5</v>
      </c>
      <c r="F5958" s="4">
        <v>7</v>
      </c>
      <c r="G5958" s="2">
        <v>45.5</v>
      </c>
      <c r="H5958" t="s">
        <v>45</v>
      </c>
      <c r="I5958" t="s">
        <v>16</v>
      </c>
      <c r="J5958" s="1">
        <v>45154</v>
      </c>
      <c r="K5958" t="b">
        <v>0</v>
      </c>
    </row>
    <row r="5959" spans="1:11" x14ac:dyDescent="0.25">
      <c r="A5959" t="s">
        <v>6652</v>
      </c>
      <c r="B5959" t="s">
        <v>40</v>
      </c>
      <c r="C5959" t="s">
        <v>110</v>
      </c>
      <c r="D5959" t="s">
        <v>221</v>
      </c>
      <c r="E5959" s="2">
        <v>6.5</v>
      </c>
      <c r="F5959" s="4">
        <v>7</v>
      </c>
      <c r="G5959" s="2">
        <v>45.5</v>
      </c>
      <c r="H5959" t="s">
        <v>25</v>
      </c>
      <c r="I5959" t="s">
        <v>36</v>
      </c>
      <c r="J5959" s="1">
        <v>44780</v>
      </c>
      <c r="K5959" t="b">
        <v>0</v>
      </c>
    </row>
    <row r="5960" spans="1:11" x14ac:dyDescent="0.25">
      <c r="A5960" t="s">
        <v>2171</v>
      </c>
      <c r="B5960" t="s">
        <v>26</v>
      </c>
      <c r="C5960" t="s">
        <v>38</v>
      </c>
      <c r="D5960" t="s">
        <v>235</v>
      </c>
      <c r="E5960" s="2">
        <v>6.5</v>
      </c>
      <c r="F5960" s="4">
        <v>7</v>
      </c>
      <c r="G5960" s="2">
        <v>45.5</v>
      </c>
      <c r="H5960" t="s">
        <v>15</v>
      </c>
      <c r="I5960" t="s">
        <v>16</v>
      </c>
      <c r="J5960" s="1">
        <v>45649</v>
      </c>
      <c r="K5960" t="b">
        <v>0</v>
      </c>
    </row>
    <row r="5961" spans="1:11" x14ac:dyDescent="0.25">
      <c r="A5961" t="s">
        <v>5666</v>
      </c>
      <c r="B5961" t="s">
        <v>66</v>
      </c>
      <c r="C5961" t="s">
        <v>38</v>
      </c>
      <c r="D5961" t="s">
        <v>235</v>
      </c>
      <c r="E5961" s="2">
        <v>6.5</v>
      </c>
      <c r="F5961" s="4">
        <v>7</v>
      </c>
      <c r="G5961" s="2">
        <v>45.5</v>
      </c>
      <c r="H5961" t="s">
        <v>15</v>
      </c>
      <c r="I5961" t="s">
        <v>16</v>
      </c>
      <c r="J5961" s="1">
        <v>44619</v>
      </c>
      <c r="K5961" t="b">
        <v>1</v>
      </c>
    </row>
    <row r="5962" spans="1:11" x14ac:dyDescent="0.25">
      <c r="A5962" t="s">
        <v>3906</v>
      </c>
      <c r="B5962" t="s">
        <v>85</v>
      </c>
      <c r="C5962" t="s">
        <v>110</v>
      </c>
      <c r="D5962" t="s">
        <v>221</v>
      </c>
      <c r="E5962" s="2">
        <v>6.5</v>
      </c>
      <c r="F5962" s="4">
        <v>7</v>
      </c>
      <c r="G5962" s="2">
        <v>45.5</v>
      </c>
      <c r="H5962" t="s">
        <v>25</v>
      </c>
      <c r="I5962" t="s">
        <v>16</v>
      </c>
      <c r="J5962" s="1">
        <v>44752</v>
      </c>
      <c r="K5962" t="b">
        <v>0</v>
      </c>
    </row>
    <row r="5963" spans="1:11" x14ac:dyDescent="0.25">
      <c r="A5963" t="s">
        <v>5830</v>
      </c>
      <c r="B5963" t="s">
        <v>40</v>
      </c>
      <c r="C5963" t="s">
        <v>110</v>
      </c>
      <c r="D5963" t="s">
        <v>221</v>
      </c>
      <c r="E5963" s="2">
        <v>6.5</v>
      </c>
      <c r="F5963" s="4">
        <v>7</v>
      </c>
      <c r="G5963" s="2">
        <v>45.5</v>
      </c>
      <c r="H5963" t="s">
        <v>45</v>
      </c>
      <c r="I5963" t="s">
        <v>36</v>
      </c>
      <c r="J5963" s="1">
        <v>45299</v>
      </c>
      <c r="K5963" t="b">
        <v>0</v>
      </c>
    </row>
    <row r="5964" spans="1:11" x14ac:dyDescent="0.25">
      <c r="A5964" t="s">
        <v>5672</v>
      </c>
      <c r="B5964" t="s">
        <v>40</v>
      </c>
      <c r="C5964" t="s">
        <v>27</v>
      </c>
      <c r="D5964" t="s">
        <v>246</v>
      </c>
      <c r="E5964" s="2">
        <v>6.5</v>
      </c>
      <c r="F5964" s="4">
        <v>7</v>
      </c>
      <c r="G5964" s="2">
        <v>45.5</v>
      </c>
      <c r="H5964" t="s">
        <v>45</v>
      </c>
      <c r="I5964" t="s">
        <v>16</v>
      </c>
      <c r="J5964" s="1">
        <v>45005</v>
      </c>
      <c r="K5964" t="b">
        <v>0</v>
      </c>
    </row>
    <row r="5965" spans="1:11" x14ac:dyDescent="0.25">
      <c r="A5965" t="s">
        <v>1847</v>
      </c>
      <c r="B5965" t="s">
        <v>56</v>
      </c>
      <c r="C5965" t="s">
        <v>110</v>
      </c>
      <c r="D5965" t="s">
        <v>221</v>
      </c>
      <c r="E5965" s="2">
        <v>6.5</v>
      </c>
      <c r="F5965" s="4">
        <v>7</v>
      </c>
      <c r="G5965" s="2">
        <v>45.5</v>
      </c>
      <c r="H5965" t="s">
        <v>15</v>
      </c>
      <c r="I5965" t="s">
        <v>16</v>
      </c>
      <c r="J5965" s="1">
        <v>45346</v>
      </c>
      <c r="K5965" t="b">
        <v>1</v>
      </c>
    </row>
    <row r="5966" spans="1:11" x14ac:dyDescent="0.25">
      <c r="A5966" t="s">
        <v>1462</v>
      </c>
      <c r="B5966" t="s">
        <v>56</v>
      </c>
      <c r="C5966" t="s">
        <v>38</v>
      </c>
      <c r="D5966" t="s">
        <v>235</v>
      </c>
      <c r="E5966" s="2">
        <v>6.5</v>
      </c>
      <c r="F5966" s="4">
        <v>7</v>
      </c>
      <c r="G5966" s="2">
        <v>45.5</v>
      </c>
      <c r="H5966" t="s">
        <v>15</v>
      </c>
      <c r="I5966" t="s">
        <v>16</v>
      </c>
      <c r="J5966" s="1">
        <v>45219</v>
      </c>
      <c r="K5966" t="b">
        <v>1</v>
      </c>
    </row>
    <row r="5967" spans="1:11" x14ac:dyDescent="0.25">
      <c r="A5967" t="s">
        <v>3649</v>
      </c>
      <c r="B5967" t="s">
        <v>63</v>
      </c>
      <c r="C5967" t="s">
        <v>59</v>
      </c>
      <c r="D5967" t="s">
        <v>541</v>
      </c>
      <c r="E5967" s="2">
        <v>6.5</v>
      </c>
      <c r="F5967" s="4">
        <v>7</v>
      </c>
      <c r="G5967" s="2">
        <v>45.5</v>
      </c>
      <c r="H5967" t="s">
        <v>45</v>
      </c>
      <c r="I5967" t="s">
        <v>36</v>
      </c>
      <c r="J5967" s="1">
        <v>45446</v>
      </c>
      <c r="K5967" t="b">
        <v>1</v>
      </c>
    </row>
    <row r="5968" spans="1:11" x14ac:dyDescent="0.25">
      <c r="A5968" t="s">
        <v>1920</v>
      </c>
      <c r="B5968" t="s">
        <v>30</v>
      </c>
      <c r="C5968" t="s">
        <v>110</v>
      </c>
      <c r="D5968" t="s">
        <v>221</v>
      </c>
      <c r="E5968" s="2">
        <v>6.5</v>
      </c>
      <c r="F5968" s="4">
        <v>7</v>
      </c>
      <c r="G5968" s="2">
        <v>45.5</v>
      </c>
      <c r="H5968" t="s">
        <v>15</v>
      </c>
      <c r="I5968" t="s">
        <v>36</v>
      </c>
      <c r="J5968" s="1">
        <v>45006</v>
      </c>
      <c r="K5968" t="b">
        <v>1</v>
      </c>
    </row>
    <row r="5969" spans="1:11" x14ac:dyDescent="0.25">
      <c r="A5969" t="s">
        <v>2017</v>
      </c>
      <c r="B5969" t="s">
        <v>85</v>
      </c>
      <c r="C5969" t="s">
        <v>59</v>
      </c>
      <c r="D5969" t="s">
        <v>541</v>
      </c>
      <c r="E5969" s="2">
        <v>6.5</v>
      </c>
      <c r="F5969" s="4">
        <v>7</v>
      </c>
      <c r="G5969" s="2">
        <v>45.5</v>
      </c>
      <c r="H5969" t="s">
        <v>45</v>
      </c>
      <c r="I5969" t="s">
        <v>16</v>
      </c>
      <c r="J5969" s="1">
        <v>44761</v>
      </c>
      <c r="K5969" t="b">
        <v>0</v>
      </c>
    </row>
    <row r="5970" spans="1:11" x14ac:dyDescent="0.25">
      <c r="A5970" t="s">
        <v>5992</v>
      </c>
      <c r="B5970" t="s">
        <v>18</v>
      </c>
      <c r="C5970" t="s">
        <v>13</v>
      </c>
      <c r="D5970" t="s">
        <v>428</v>
      </c>
      <c r="E5970" s="2">
        <v>6.5</v>
      </c>
      <c r="F5970" s="4">
        <v>7</v>
      </c>
      <c r="G5970" s="2">
        <v>45.5</v>
      </c>
      <c r="H5970" t="s">
        <v>25</v>
      </c>
      <c r="I5970" t="s">
        <v>36</v>
      </c>
      <c r="J5970" s="1">
        <v>45473</v>
      </c>
      <c r="K5970" t="b">
        <v>0</v>
      </c>
    </row>
    <row r="5971" spans="1:11" x14ac:dyDescent="0.25">
      <c r="A5971" t="s">
        <v>1366</v>
      </c>
      <c r="B5971" t="s">
        <v>61</v>
      </c>
      <c r="C5971" t="s">
        <v>27</v>
      </c>
      <c r="D5971" t="s">
        <v>348</v>
      </c>
      <c r="E5971" s="2">
        <v>5</v>
      </c>
      <c r="F5971" s="4">
        <v>9</v>
      </c>
      <c r="G5971" s="2">
        <v>45</v>
      </c>
      <c r="H5971" t="s">
        <v>15</v>
      </c>
      <c r="I5971" t="s">
        <v>16</v>
      </c>
      <c r="J5971" s="1">
        <v>44925</v>
      </c>
      <c r="K5971" t="b">
        <v>1</v>
      </c>
    </row>
    <row r="5972" spans="1:11" x14ac:dyDescent="0.25">
      <c r="A5972" t="s">
        <v>5128</v>
      </c>
      <c r="B5972" t="s">
        <v>86</v>
      </c>
      <c r="C5972" t="s">
        <v>38</v>
      </c>
      <c r="D5972" t="s">
        <v>225</v>
      </c>
      <c r="E5972" s="2">
        <v>5</v>
      </c>
      <c r="F5972" s="4">
        <v>9</v>
      </c>
      <c r="G5972" s="2">
        <v>45</v>
      </c>
      <c r="H5972" t="s">
        <v>25</v>
      </c>
      <c r="I5972" t="s">
        <v>36</v>
      </c>
      <c r="J5972" s="1">
        <v>45567</v>
      </c>
      <c r="K5972" t="b">
        <v>1</v>
      </c>
    </row>
    <row r="5973" spans="1:11" x14ac:dyDescent="0.25">
      <c r="A5973" t="s">
        <v>7825</v>
      </c>
      <c r="B5973" t="s">
        <v>72</v>
      </c>
      <c r="C5973" t="s">
        <v>13</v>
      </c>
      <c r="D5973" t="s">
        <v>146</v>
      </c>
      <c r="E5973" s="2">
        <v>5</v>
      </c>
      <c r="F5973" s="4">
        <v>9</v>
      </c>
      <c r="G5973" s="2">
        <v>45</v>
      </c>
      <c r="H5973" t="s">
        <v>15</v>
      </c>
      <c r="I5973" t="s">
        <v>36</v>
      </c>
      <c r="J5973" s="1">
        <v>45425</v>
      </c>
      <c r="K5973" t="b">
        <v>0</v>
      </c>
    </row>
    <row r="5974" spans="1:11" x14ac:dyDescent="0.25">
      <c r="A5974" t="s">
        <v>4939</v>
      </c>
      <c r="B5974" t="s">
        <v>104</v>
      </c>
      <c r="C5974" t="s">
        <v>38</v>
      </c>
      <c r="D5974" t="s">
        <v>225</v>
      </c>
      <c r="E5974" s="2">
        <v>5</v>
      </c>
      <c r="F5974" s="4">
        <v>9</v>
      </c>
      <c r="G5974" s="2">
        <v>45</v>
      </c>
      <c r="H5974" t="s">
        <v>25</v>
      </c>
      <c r="I5974" t="s">
        <v>36</v>
      </c>
      <c r="J5974" s="1">
        <v>45128</v>
      </c>
      <c r="K5974" t="b">
        <v>1</v>
      </c>
    </row>
    <row r="5975" spans="1:11" x14ac:dyDescent="0.25">
      <c r="A5975" t="s">
        <v>2789</v>
      </c>
      <c r="B5975" t="s">
        <v>56</v>
      </c>
      <c r="C5975" t="s">
        <v>110</v>
      </c>
      <c r="D5975" t="s">
        <v>337</v>
      </c>
      <c r="E5975" s="2">
        <v>5</v>
      </c>
      <c r="F5975" s="4">
        <v>9</v>
      </c>
      <c r="G5975" s="2">
        <v>45</v>
      </c>
      <c r="H5975" t="s">
        <v>15</v>
      </c>
      <c r="I5975" t="s">
        <v>16</v>
      </c>
      <c r="J5975" s="1">
        <v>44735</v>
      </c>
      <c r="K5975" t="b">
        <v>0</v>
      </c>
    </row>
    <row r="5976" spans="1:11" x14ac:dyDescent="0.25">
      <c r="A5976" t="s">
        <v>1746</v>
      </c>
      <c r="B5976" t="s">
        <v>26</v>
      </c>
      <c r="C5976" t="s">
        <v>19</v>
      </c>
      <c r="D5976" t="s">
        <v>219</v>
      </c>
      <c r="E5976" s="2">
        <v>5</v>
      </c>
      <c r="F5976" s="4">
        <v>9</v>
      </c>
      <c r="G5976" s="2">
        <v>45</v>
      </c>
      <c r="H5976" t="s">
        <v>15</v>
      </c>
      <c r="I5976" t="s">
        <v>16</v>
      </c>
      <c r="J5976" s="1">
        <v>44627</v>
      </c>
      <c r="K5976" t="b">
        <v>0</v>
      </c>
    </row>
    <row r="5977" spans="1:11" x14ac:dyDescent="0.25">
      <c r="A5977" t="s">
        <v>2237</v>
      </c>
      <c r="B5977" t="s">
        <v>69</v>
      </c>
      <c r="C5977" t="s">
        <v>13</v>
      </c>
      <c r="D5977" t="s">
        <v>146</v>
      </c>
      <c r="E5977" s="2">
        <v>5</v>
      </c>
      <c r="F5977" s="4">
        <v>9</v>
      </c>
      <c r="G5977" s="2">
        <v>45</v>
      </c>
      <c r="H5977" t="s">
        <v>15</v>
      </c>
      <c r="I5977" t="s">
        <v>36</v>
      </c>
      <c r="J5977" s="1">
        <v>44851</v>
      </c>
      <c r="K5977" t="b">
        <v>0</v>
      </c>
    </row>
    <row r="5978" spans="1:11" x14ac:dyDescent="0.25">
      <c r="A5978" t="s">
        <v>2057</v>
      </c>
      <c r="B5978" t="s">
        <v>69</v>
      </c>
      <c r="C5978" t="s">
        <v>19</v>
      </c>
      <c r="D5978" t="s">
        <v>219</v>
      </c>
      <c r="E5978" s="2">
        <v>5</v>
      </c>
      <c r="F5978" s="4">
        <v>9</v>
      </c>
      <c r="G5978" s="2">
        <v>45</v>
      </c>
      <c r="H5978" t="s">
        <v>15</v>
      </c>
      <c r="I5978" t="s">
        <v>36</v>
      </c>
      <c r="J5978" s="1">
        <v>45297</v>
      </c>
      <c r="K5978" t="b">
        <v>0</v>
      </c>
    </row>
    <row r="5979" spans="1:11" x14ac:dyDescent="0.25">
      <c r="A5979" t="s">
        <v>1268</v>
      </c>
      <c r="B5979" t="s">
        <v>100</v>
      </c>
      <c r="C5979" t="s">
        <v>19</v>
      </c>
      <c r="D5979" t="s">
        <v>219</v>
      </c>
      <c r="E5979" s="2">
        <v>5</v>
      </c>
      <c r="F5979" s="4">
        <v>9</v>
      </c>
      <c r="G5979" s="2">
        <v>45</v>
      </c>
      <c r="H5979" t="s">
        <v>15</v>
      </c>
      <c r="I5979" t="s">
        <v>16</v>
      </c>
      <c r="J5979" s="1">
        <v>45257</v>
      </c>
      <c r="K5979" t="b">
        <v>0</v>
      </c>
    </row>
    <row r="5980" spans="1:11" x14ac:dyDescent="0.25">
      <c r="A5980" t="s">
        <v>4383</v>
      </c>
      <c r="B5980" t="s">
        <v>12</v>
      </c>
      <c r="C5980" t="s">
        <v>19</v>
      </c>
      <c r="D5980" t="s">
        <v>219</v>
      </c>
      <c r="E5980" s="2">
        <v>5</v>
      </c>
      <c r="F5980" s="4">
        <v>9</v>
      </c>
      <c r="G5980" s="2">
        <v>45</v>
      </c>
      <c r="H5980" t="s">
        <v>45</v>
      </c>
      <c r="I5980" t="s">
        <v>36</v>
      </c>
      <c r="J5980" s="1">
        <v>45186</v>
      </c>
      <c r="K5980" t="b">
        <v>1</v>
      </c>
    </row>
    <row r="5981" spans="1:11" x14ac:dyDescent="0.25">
      <c r="A5981" t="s">
        <v>5692</v>
      </c>
      <c r="B5981" t="s">
        <v>66</v>
      </c>
      <c r="C5981" t="s">
        <v>19</v>
      </c>
      <c r="D5981" t="s">
        <v>219</v>
      </c>
      <c r="E5981" s="2">
        <v>5</v>
      </c>
      <c r="F5981" s="4">
        <v>9</v>
      </c>
      <c r="G5981" s="2">
        <v>45</v>
      </c>
      <c r="H5981" t="s">
        <v>25</v>
      </c>
      <c r="I5981" t="s">
        <v>36</v>
      </c>
      <c r="J5981" s="1">
        <v>45392</v>
      </c>
      <c r="K5981" t="b">
        <v>1</v>
      </c>
    </row>
    <row r="5982" spans="1:11" x14ac:dyDescent="0.25">
      <c r="A5982" t="s">
        <v>3091</v>
      </c>
      <c r="B5982" t="s">
        <v>40</v>
      </c>
      <c r="C5982" t="s">
        <v>59</v>
      </c>
      <c r="D5982" t="s">
        <v>279</v>
      </c>
      <c r="E5982" s="2">
        <v>5</v>
      </c>
      <c r="F5982" s="4">
        <v>9</v>
      </c>
      <c r="G5982" s="2">
        <v>45</v>
      </c>
      <c r="H5982" t="s">
        <v>45</v>
      </c>
      <c r="I5982" t="s">
        <v>36</v>
      </c>
      <c r="J5982" s="1">
        <v>45538</v>
      </c>
      <c r="K5982" t="b">
        <v>0</v>
      </c>
    </row>
    <row r="5983" spans="1:11" x14ac:dyDescent="0.25">
      <c r="A5983" t="s">
        <v>4306</v>
      </c>
      <c r="B5983" t="s">
        <v>40</v>
      </c>
      <c r="C5983" t="s">
        <v>27</v>
      </c>
      <c r="D5983" t="s">
        <v>348</v>
      </c>
      <c r="E5983" s="2">
        <v>5</v>
      </c>
      <c r="F5983" s="4">
        <v>9</v>
      </c>
      <c r="G5983" s="2">
        <v>45</v>
      </c>
      <c r="H5983" t="s">
        <v>45</v>
      </c>
      <c r="I5983" t="s">
        <v>16</v>
      </c>
      <c r="J5983" s="1">
        <v>44931</v>
      </c>
      <c r="K5983" t="b">
        <v>1</v>
      </c>
    </row>
    <row r="5984" spans="1:11" x14ac:dyDescent="0.25">
      <c r="A5984" t="s">
        <v>7090</v>
      </c>
      <c r="B5984" t="s">
        <v>34</v>
      </c>
      <c r="C5984" t="s">
        <v>19</v>
      </c>
      <c r="D5984" t="s">
        <v>219</v>
      </c>
      <c r="E5984" s="2">
        <v>5</v>
      </c>
      <c r="F5984" s="4">
        <v>9</v>
      </c>
      <c r="G5984" s="2">
        <v>45</v>
      </c>
      <c r="H5984" t="s">
        <v>15</v>
      </c>
      <c r="I5984" t="s">
        <v>16</v>
      </c>
      <c r="J5984" s="1">
        <v>45354</v>
      </c>
      <c r="K5984" t="b">
        <v>1</v>
      </c>
    </row>
    <row r="5985" spans="1:11" x14ac:dyDescent="0.25">
      <c r="A5985" t="s">
        <v>2257</v>
      </c>
      <c r="B5985" t="s">
        <v>34</v>
      </c>
      <c r="C5985" t="s">
        <v>13</v>
      </c>
      <c r="D5985" t="s">
        <v>146</v>
      </c>
      <c r="E5985" s="2">
        <v>5</v>
      </c>
      <c r="F5985" s="4">
        <v>9</v>
      </c>
      <c r="G5985" s="2">
        <v>45</v>
      </c>
      <c r="H5985" t="s">
        <v>25</v>
      </c>
      <c r="I5985" t="s">
        <v>16</v>
      </c>
      <c r="J5985" s="1">
        <v>45385</v>
      </c>
      <c r="K5985" t="b">
        <v>0</v>
      </c>
    </row>
    <row r="5986" spans="1:11" x14ac:dyDescent="0.25">
      <c r="A5986" t="s">
        <v>6242</v>
      </c>
      <c r="B5986" t="s">
        <v>66</v>
      </c>
      <c r="C5986" t="s">
        <v>19</v>
      </c>
      <c r="D5986" t="s">
        <v>219</v>
      </c>
      <c r="E5986" s="2">
        <v>5</v>
      </c>
      <c r="F5986" s="4">
        <v>9</v>
      </c>
      <c r="G5986" s="2">
        <v>45</v>
      </c>
      <c r="H5986" t="s">
        <v>25</v>
      </c>
      <c r="I5986" t="s">
        <v>16</v>
      </c>
      <c r="J5986" s="1">
        <v>44614</v>
      </c>
      <c r="K5986" t="b">
        <v>0</v>
      </c>
    </row>
    <row r="5987" spans="1:11" x14ac:dyDescent="0.25">
      <c r="A5987" t="s">
        <v>2388</v>
      </c>
      <c r="B5987" t="s">
        <v>18</v>
      </c>
      <c r="C5987" t="s">
        <v>19</v>
      </c>
      <c r="D5987" t="s">
        <v>219</v>
      </c>
      <c r="E5987" s="2">
        <v>5</v>
      </c>
      <c r="F5987" s="4">
        <v>9</v>
      </c>
      <c r="G5987" s="2">
        <v>45</v>
      </c>
      <c r="H5987" t="s">
        <v>45</v>
      </c>
      <c r="I5987" t="s">
        <v>36</v>
      </c>
      <c r="J5987" s="1">
        <v>44676</v>
      </c>
      <c r="K5987" t="b">
        <v>1</v>
      </c>
    </row>
    <row r="5988" spans="1:11" x14ac:dyDescent="0.25">
      <c r="A5988" t="s">
        <v>4582</v>
      </c>
      <c r="B5988" t="s">
        <v>86</v>
      </c>
      <c r="C5988" t="s">
        <v>38</v>
      </c>
      <c r="D5988" t="s">
        <v>225</v>
      </c>
      <c r="E5988" s="2">
        <v>5</v>
      </c>
      <c r="F5988" s="4">
        <v>9</v>
      </c>
      <c r="G5988" s="2">
        <v>45</v>
      </c>
      <c r="H5988" t="s">
        <v>15</v>
      </c>
      <c r="I5988" t="s">
        <v>36</v>
      </c>
      <c r="J5988" s="1">
        <v>44593</v>
      </c>
      <c r="K5988" t="b">
        <v>1</v>
      </c>
    </row>
    <row r="5989" spans="1:11" x14ac:dyDescent="0.25">
      <c r="A5989" t="s">
        <v>4418</v>
      </c>
      <c r="B5989" t="s">
        <v>97</v>
      </c>
      <c r="C5989" t="s">
        <v>23</v>
      </c>
      <c r="D5989" t="s">
        <v>311</v>
      </c>
      <c r="E5989" s="2">
        <v>5</v>
      </c>
      <c r="F5989" s="4">
        <v>9</v>
      </c>
      <c r="G5989" s="2">
        <v>45</v>
      </c>
      <c r="H5989" t="s">
        <v>15</v>
      </c>
      <c r="I5989" t="s">
        <v>16</v>
      </c>
      <c r="J5989" s="1">
        <v>45643</v>
      </c>
      <c r="K5989" t="b">
        <v>1</v>
      </c>
    </row>
    <row r="5990" spans="1:11" x14ac:dyDescent="0.25">
      <c r="A5990" t="s">
        <v>739</v>
      </c>
      <c r="B5990" t="s">
        <v>34</v>
      </c>
      <c r="C5990" t="s">
        <v>13</v>
      </c>
      <c r="D5990" t="s">
        <v>146</v>
      </c>
      <c r="E5990" s="2">
        <v>5</v>
      </c>
      <c r="F5990" s="4">
        <v>9</v>
      </c>
      <c r="G5990" s="2">
        <v>45</v>
      </c>
      <c r="H5990" t="s">
        <v>25</v>
      </c>
      <c r="I5990" t="s">
        <v>16</v>
      </c>
      <c r="J5990" s="1">
        <v>44969</v>
      </c>
      <c r="K5990" t="b">
        <v>1</v>
      </c>
    </row>
    <row r="5991" spans="1:11" x14ac:dyDescent="0.25">
      <c r="A5991" t="s">
        <v>5632</v>
      </c>
      <c r="B5991" t="s">
        <v>86</v>
      </c>
      <c r="C5991" t="s">
        <v>38</v>
      </c>
      <c r="D5991" t="s">
        <v>225</v>
      </c>
      <c r="E5991" s="2">
        <v>5</v>
      </c>
      <c r="F5991" s="4">
        <v>9</v>
      </c>
      <c r="G5991" s="2">
        <v>45</v>
      </c>
      <c r="H5991" t="s">
        <v>45</v>
      </c>
      <c r="I5991" t="s">
        <v>36</v>
      </c>
      <c r="J5991" s="1">
        <v>44656</v>
      </c>
      <c r="K5991" t="b">
        <v>0</v>
      </c>
    </row>
    <row r="5992" spans="1:11" x14ac:dyDescent="0.25">
      <c r="A5992" t="s">
        <v>494</v>
      </c>
      <c r="B5992" t="s">
        <v>12</v>
      </c>
      <c r="C5992" t="s">
        <v>38</v>
      </c>
      <c r="D5992" t="s">
        <v>193</v>
      </c>
      <c r="E5992" s="2">
        <v>11</v>
      </c>
      <c r="F5992" s="4">
        <v>4</v>
      </c>
      <c r="G5992" s="2">
        <v>44</v>
      </c>
      <c r="H5992" t="s">
        <v>25</v>
      </c>
      <c r="I5992" t="s">
        <v>36</v>
      </c>
      <c r="J5992" s="1">
        <v>45365</v>
      </c>
      <c r="K5992" t="b">
        <v>1</v>
      </c>
    </row>
    <row r="5993" spans="1:11" x14ac:dyDescent="0.25">
      <c r="A5993" t="s">
        <v>5461</v>
      </c>
      <c r="B5993" t="s">
        <v>61</v>
      </c>
      <c r="C5993" t="s">
        <v>110</v>
      </c>
      <c r="D5993" t="s">
        <v>118</v>
      </c>
      <c r="E5993" s="2">
        <v>11</v>
      </c>
      <c r="F5993" s="4">
        <v>4</v>
      </c>
      <c r="G5993" s="2">
        <v>44</v>
      </c>
      <c r="H5993" t="s">
        <v>25</v>
      </c>
      <c r="I5993" t="s">
        <v>36</v>
      </c>
      <c r="J5993" s="1">
        <v>44977</v>
      </c>
      <c r="K5993" t="b">
        <v>0</v>
      </c>
    </row>
    <row r="5994" spans="1:11" x14ac:dyDescent="0.25">
      <c r="A5994" t="s">
        <v>3607</v>
      </c>
      <c r="B5994" t="s">
        <v>43</v>
      </c>
      <c r="C5994" t="s">
        <v>31</v>
      </c>
      <c r="D5994" t="s">
        <v>318</v>
      </c>
      <c r="E5994" s="2">
        <v>11</v>
      </c>
      <c r="F5994" s="4">
        <v>4</v>
      </c>
      <c r="G5994" s="2">
        <v>44</v>
      </c>
      <c r="H5994" t="s">
        <v>15</v>
      </c>
      <c r="I5994" t="s">
        <v>16</v>
      </c>
      <c r="J5994" s="1">
        <v>45146</v>
      </c>
      <c r="K5994" t="b">
        <v>1</v>
      </c>
    </row>
    <row r="5995" spans="1:11" x14ac:dyDescent="0.25">
      <c r="A5995" t="s">
        <v>409</v>
      </c>
      <c r="B5995" t="s">
        <v>22</v>
      </c>
      <c r="C5995" t="s">
        <v>23</v>
      </c>
      <c r="D5995" t="s">
        <v>410</v>
      </c>
      <c r="E5995" s="2">
        <v>11</v>
      </c>
      <c r="F5995" s="4">
        <v>4</v>
      </c>
      <c r="G5995" s="2">
        <v>44</v>
      </c>
      <c r="H5995" t="s">
        <v>45</v>
      </c>
      <c r="I5995" t="s">
        <v>36</v>
      </c>
      <c r="J5995" s="1">
        <v>45254</v>
      </c>
      <c r="K5995" t="b">
        <v>0</v>
      </c>
    </row>
    <row r="5996" spans="1:11" x14ac:dyDescent="0.25">
      <c r="A5996" t="s">
        <v>4196</v>
      </c>
      <c r="B5996" t="s">
        <v>66</v>
      </c>
      <c r="C5996" t="s">
        <v>110</v>
      </c>
      <c r="D5996" t="s">
        <v>118</v>
      </c>
      <c r="E5996" s="2">
        <v>11</v>
      </c>
      <c r="F5996" s="4">
        <v>4</v>
      </c>
      <c r="G5996" s="2">
        <v>44</v>
      </c>
      <c r="H5996" t="s">
        <v>15</v>
      </c>
      <c r="I5996" t="s">
        <v>36</v>
      </c>
      <c r="J5996" s="1">
        <v>45438</v>
      </c>
      <c r="K5996" t="b">
        <v>1</v>
      </c>
    </row>
    <row r="5997" spans="1:11" x14ac:dyDescent="0.25">
      <c r="A5997" t="s">
        <v>6193</v>
      </c>
      <c r="B5997" t="s">
        <v>104</v>
      </c>
      <c r="C5997" t="s">
        <v>31</v>
      </c>
      <c r="D5997" t="s">
        <v>318</v>
      </c>
      <c r="E5997" s="2">
        <v>11</v>
      </c>
      <c r="F5997" s="4">
        <v>4</v>
      </c>
      <c r="G5997" s="2">
        <v>44</v>
      </c>
      <c r="H5997" t="s">
        <v>15</v>
      </c>
      <c r="I5997" t="s">
        <v>36</v>
      </c>
      <c r="J5997" s="1">
        <v>45320</v>
      </c>
      <c r="K5997" t="b">
        <v>0</v>
      </c>
    </row>
    <row r="5998" spans="1:11" x14ac:dyDescent="0.25">
      <c r="A5998" t="s">
        <v>4288</v>
      </c>
      <c r="B5998" t="s">
        <v>66</v>
      </c>
      <c r="C5998" t="s">
        <v>31</v>
      </c>
      <c r="D5998" t="s">
        <v>318</v>
      </c>
      <c r="E5998" s="2">
        <v>11</v>
      </c>
      <c r="F5998" s="4">
        <v>4</v>
      </c>
      <c r="G5998" s="2">
        <v>44</v>
      </c>
      <c r="H5998" t="s">
        <v>25</v>
      </c>
      <c r="I5998" t="s">
        <v>36</v>
      </c>
      <c r="J5998" s="1">
        <v>44732</v>
      </c>
      <c r="K5998" t="b">
        <v>1</v>
      </c>
    </row>
    <row r="5999" spans="1:11" x14ac:dyDescent="0.25">
      <c r="A5999" t="s">
        <v>5809</v>
      </c>
      <c r="B5999" t="s">
        <v>34</v>
      </c>
      <c r="C5999" t="s">
        <v>31</v>
      </c>
      <c r="D5999" t="s">
        <v>318</v>
      </c>
      <c r="E5999" s="2">
        <v>11</v>
      </c>
      <c r="F5999" s="4">
        <v>4</v>
      </c>
      <c r="G5999" s="2">
        <v>44</v>
      </c>
      <c r="H5999" t="s">
        <v>15</v>
      </c>
      <c r="I5999" t="s">
        <v>16</v>
      </c>
      <c r="J5999" s="1">
        <v>44813</v>
      </c>
      <c r="K5999" t="b">
        <v>1</v>
      </c>
    </row>
    <row r="6000" spans="1:11" x14ac:dyDescent="0.25">
      <c r="A6000" t="s">
        <v>6198</v>
      </c>
      <c r="B6000" t="s">
        <v>97</v>
      </c>
      <c r="C6000" t="s">
        <v>31</v>
      </c>
      <c r="D6000" t="s">
        <v>318</v>
      </c>
      <c r="E6000" s="2">
        <v>11</v>
      </c>
      <c r="F6000" s="4">
        <v>4</v>
      </c>
      <c r="G6000" s="2">
        <v>44</v>
      </c>
      <c r="H6000" t="s">
        <v>45</v>
      </c>
      <c r="I6000" t="s">
        <v>16</v>
      </c>
      <c r="J6000" s="1">
        <v>44960</v>
      </c>
      <c r="K6000" t="b">
        <v>1</v>
      </c>
    </row>
    <row r="6001" spans="1:11" x14ac:dyDescent="0.25">
      <c r="A6001" t="s">
        <v>7771</v>
      </c>
      <c r="B6001" t="s">
        <v>37</v>
      </c>
      <c r="C6001" t="s">
        <v>31</v>
      </c>
      <c r="D6001" t="s">
        <v>318</v>
      </c>
      <c r="E6001" s="2">
        <v>11</v>
      </c>
      <c r="F6001" s="4">
        <v>4</v>
      </c>
      <c r="G6001" s="2">
        <v>44</v>
      </c>
      <c r="H6001" t="s">
        <v>25</v>
      </c>
      <c r="I6001" t="s">
        <v>16</v>
      </c>
      <c r="J6001" s="1">
        <v>44785</v>
      </c>
      <c r="K6001" t="b">
        <v>1</v>
      </c>
    </row>
    <row r="6002" spans="1:11" x14ac:dyDescent="0.25">
      <c r="A6002" t="s">
        <v>2742</v>
      </c>
      <c r="B6002" t="s">
        <v>37</v>
      </c>
      <c r="C6002" t="s">
        <v>19</v>
      </c>
      <c r="D6002" t="s">
        <v>689</v>
      </c>
      <c r="E6002" s="2">
        <v>11</v>
      </c>
      <c r="F6002" s="4">
        <v>4</v>
      </c>
      <c r="G6002" s="2">
        <v>44</v>
      </c>
      <c r="H6002" t="s">
        <v>45</v>
      </c>
      <c r="I6002" t="s">
        <v>36</v>
      </c>
      <c r="J6002" s="1">
        <v>45567</v>
      </c>
      <c r="K6002" t="b">
        <v>1</v>
      </c>
    </row>
    <row r="6003" spans="1:11" x14ac:dyDescent="0.25">
      <c r="A6003" t="s">
        <v>1764</v>
      </c>
      <c r="B6003" t="s">
        <v>72</v>
      </c>
      <c r="C6003" t="s">
        <v>110</v>
      </c>
      <c r="D6003" t="s">
        <v>118</v>
      </c>
      <c r="E6003" s="2">
        <v>11</v>
      </c>
      <c r="F6003" s="4">
        <v>4</v>
      </c>
      <c r="G6003" s="2">
        <v>44</v>
      </c>
      <c r="H6003" t="s">
        <v>25</v>
      </c>
      <c r="I6003" t="s">
        <v>16</v>
      </c>
      <c r="J6003" s="1">
        <v>44632</v>
      </c>
      <c r="K6003" t="b">
        <v>0</v>
      </c>
    </row>
    <row r="6004" spans="1:11" x14ac:dyDescent="0.25">
      <c r="A6004" t="s">
        <v>5184</v>
      </c>
      <c r="B6004" t="s">
        <v>58</v>
      </c>
      <c r="C6004" t="s">
        <v>31</v>
      </c>
      <c r="D6004" t="s">
        <v>318</v>
      </c>
      <c r="E6004" s="2">
        <v>11</v>
      </c>
      <c r="F6004" s="4">
        <v>4</v>
      </c>
      <c r="G6004" s="2">
        <v>44</v>
      </c>
      <c r="H6004" t="s">
        <v>25</v>
      </c>
      <c r="I6004" t="s">
        <v>36</v>
      </c>
      <c r="J6004" s="1">
        <v>44923</v>
      </c>
      <c r="K6004" t="b">
        <v>0</v>
      </c>
    </row>
    <row r="6005" spans="1:11" x14ac:dyDescent="0.25">
      <c r="A6005" t="s">
        <v>2334</v>
      </c>
      <c r="B6005" t="s">
        <v>56</v>
      </c>
      <c r="C6005" t="s">
        <v>23</v>
      </c>
      <c r="D6005" t="s">
        <v>410</v>
      </c>
      <c r="E6005" s="2">
        <v>11</v>
      </c>
      <c r="F6005" s="4">
        <v>4</v>
      </c>
      <c r="G6005" s="2">
        <v>44</v>
      </c>
      <c r="H6005" t="s">
        <v>15</v>
      </c>
      <c r="I6005" t="s">
        <v>16</v>
      </c>
      <c r="J6005" s="1">
        <v>44567</v>
      </c>
      <c r="K6005" t="b">
        <v>0</v>
      </c>
    </row>
    <row r="6006" spans="1:11" x14ac:dyDescent="0.25">
      <c r="A6006" t="s">
        <v>4584</v>
      </c>
      <c r="B6006" t="s">
        <v>12</v>
      </c>
      <c r="C6006" t="s">
        <v>13</v>
      </c>
      <c r="D6006" t="s">
        <v>471</v>
      </c>
      <c r="E6006" s="2">
        <v>11</v>
      </c>
      <c r="F6006" s="4">
        <v>4</v>
      </c>
      <c r="G6006" s="2">
        <v>44</v>
      </c>
      <c r="H6006" t="s">
        <v>25</v>
      </c>
      <c r="I6006" t="s">
        <v>16</v>
      </c>
      <c r="J6006" s="1">
        <v>45612</v>
      </c>
      <c r="K6006" t="b">
        <v>1</v>
      </c>
    </row>
    <row r="6007" spans="1:11" x14ac:dyDescent="0.25">
      <c r="A6007" t="s">
        <v>2850</v>
      </c>
      <c r="B6007" t="s">
        <v>34</v>
      </c>
      <c r="C6007" t="s">
        <v>31</v>
      </c>
      <c r="D6007" t="s">
        <v>318</v>
      </c>
      <c r="E6007" s="2">
        <v>11</v>
      </c>
      <c r="F6007" s="4">
        <v>4</v>
      </c>
      <c r="G6007" s="2">
        <v>44</v>
      </c>
      <c r="H6007" t="s">
        <v>15</v>
      </c>
      <c r="I6007" t="s">
        <v>36</v>
      </c>
      <c r="J6007" s="1">
        <v>45519</v>
      </c>
      <c r="K6007" t="b">
        <v>0</v>
      </c>
    </row>
    <row r="6008" spans="1:11" x14ac:dyDescent="0.25">
      <c r="A6008" t="s">
        <v>7026</v>
      </c>
      <c r="B6008" t="s">
        <v>22</v>
      </c>
      <c r="C6008" t="s">
        <v>13</v>
      </c>
      <c r="D6008" t="s">
        <v>471</v>
      </c>
      <c r="E6008" s="2">
        <v>11</v>
      </c>
      <c r="F6008" s="4">
        <v>4</v>
      </c>
      <c r="G6008" s="2">
        <v>44</v>
      </c>
      <c r="H6008" t="s">
        <v>15</v>
      </c>
      <c r="I6008" t="s">
        <v>36</v>
      </c>
      <c r="J6008" s="1">
        <v>45652</v>
      </c>
      <c r="K6008" t="b">
        <v>0</v>
      </c>
    </row>
    <row r="6009" spans="1:11" x14ac:dyDescent="0.25">
      <c r="A6009" t="s">
        <v>911</v>
      </c>
      <c r="B6009" t="s">
        <v>93</v>
      </c>
      <c r="C6009" t="s">
        <v>38</v>
      </c>
      <c r="D6009" t="s">
        <v>193</v>
      </c>
      <c r="E6009" s="2">
        <v>11</v>
      </c>
      <c r="F6009" s="4">
        <v>4</v>
      </c>
      <c r="G6009" s="2">
        <v>44</v>
      </c>
      <c r="H6009" t="s">
        <v>15</v>
      </c>
      <c r="I6009" t="s">
        <v>16</v>
      </c>
      <c r="J6009" s="1">
        <v>45490</v>
      </c>
      <c r="K6009" t="b">
        <v>1</v>
      </c>
    </row>
    <row r="6010" spans="1:11" x14ac:dyDescent="0.25">
      <c r="A6010" t="s">
        <v>1800</v>
      </c>
      <c r="B6010" t="s">
        <v>93</v>
      </c>
      <c r="C6010" t="s">
        <v>110</v>
      </c>
      <c r="D6010" t="s">
        <v>118</v>
      </c>
      <c r="E6010" s="2">
        <v>11</v>
      </c>
      <c r="F6010" s="4">
        <v>4</v>
      </c>
      <c r="G6010" s="2">
        <v>44</v>
      </c>
      <c r="H6010" t="s">
        <v>45</v>
      </c>
      <c r="I6010" t="s">
        <v>36</v>
      </c>
      <c r="J6010" s="1">
        <v>45282</v>
      </c>
      <c r="K6010" t="b">
        <v>0</v>
      </c>
    </row>
    <row r="6011" spans="1:11" x14ac:dyDescent="0.25">
      <c r="A6011" t="s">
        <v>3952</v>
      </c>
      <c r="B6011" t="s">
        <v>43</v>
      </c>
      <c r="C6011" t="s">
        <v>59</v>
      </c>
      <c r="D6011" t="s">
        <v>347</v>
      </c>
      <c r="E6011" s="2">
        <v>11</v>
      </c>
      <c r="F6011" s="4">
        <v>4</v>
      </c>
      <c r="G6011" s="2">
        <v>44</v>
      </c>
      <c r="H6011" t="s">
        <v>15</v>
      </c>
      <c r="I6011" t="s">
        <v>36</v>
      </c>
      <c r="J6011" s="1">
        <v>44789</v>
      </c>
      <c r="K6011" t="b">
        <v>1</v>
      </c>
    </row>
    <row r="6012" spans="1:11" x14ac:dyDescent="0.25">
      <c r="A6012" t="s">
        <v>5993</v>
      </c>
      <c r="B6012" t="s">
        <v>86</v>
      </c>
      <c r="C6012" t="s">
        <v>13</v>
      </c>
      <c r="D6012" t="s">
        <v>471</v>
      </c>
      <c r="E6012" s="2">
        <v>11</v>
      </c>
      <c r="F6012" s="4">
        <v>4</v>
      </c>
      <c r="G6012" s="2">
        <v>44</v>
      </c>
      <c r="H6012" t="s">
        <v>15</v>
      </c>
      <c r="I6012" t="s">
        <v>16</v>
      </c>
      <c r="J6012" s="1">
        <v>44809</v>
      </c>
      <c r="K6012" t="b">
        <v>0</v>
      </c>
    </row>
    <row r="6013" spans="1:11" x14ac:dyDescent="0.25">
      <c r="A6013" t="s">
        <v>1391</v>
      </c>
      <c r="B6013" t="s">
        <v>69</v>
      </c>
      <c r="C6013" t="s">
        <v>59</v>
      </c>
      <c r="D6013" t="s">
        <v>347</v>
      </c>
      <c r="E6013" s="2">
        <v>11</v>
      </c>
      <c r="F6013" s="4">
        <v>4</v>
      </c>
      <c r="G6013" s="2">
        <v>44</v>
      </c>
      <c r="H6013" t="s">
        <v>45</v>
      </c>
      <c r="I6013" t="s">
        <v>36</v>
      </c>
      <c r="J6013" s="1">
        <v>44689</v>
      </c>
      <c r="K6013" t="b">
        <v>1</v>
      </c>
    </row>
    <row r="6014" spans="1:11" x14ac:dyDescent="0.25">
      <c r="A6014" t="s">
        <v>5901</v>
      </c>
      <c r="B6014" t="s">
        <v>86</v>
      </c>
      <c r="C6014" t="s">
        <v>38</v>
      </c>
      <c r="D6014" t="s">
        <v>193</v>
      </c>
      <c r="E6014" s="2">
        <v>11</v>
      </c>
      <c r="F6014" s="4">
        <v>4</v>
      </c>
      <c r="G6014" s="2">
        <v>44</v>
      </c>
      <c r="H6014" t="s">
        <v>25</v>
      </c>
      <c r="I6014" t="s">
        <v>16</v>
      </c>
      <c r="J6014" s="1">
        <v>45031</v>
      </c>
      <c r="K6014" t="b">
        <v>0</v>
      </c>
    </row>
    <row r="6015" spans="1:11" x14ac:dyDescent="0.25">
      <c r="A6015" t="s">
        <v>4568</v>
      </c>
      <c r="B6015" t="s">
        <v>104</v>
      </c>
      <c r="C6015" t="s">
        <v>59</v>
      </c>
      <c r="D6015" t="s">
        <v>347</v>
      </c>
      <c r="E6015" s="2">
        <v>11</v>
      </c>
      <c r="F6015" s="4">
        <v>4</v>
      </c>
      <c r="G6015" s="2">
        <v>44</v>
      </c>
      <c r="H6015" t="s">
        <v>45</v>
      </c>
      <c r="I6015" t="s">
        <v>36</v>
      </c>
      <c r="J6015" s="1">
        <v>45294</v>
      </c>
      <c r="K6015" t="b">
        <v>1</v>
      </c>
    </row>
    <row r="6016" spans="1:11" x14ac:dyDescent="0.25">
      <c r="A6016" t="s">
        <v>5283</v>
      </c>
      <c r="B6016" t="s">
        <v>63</v>
      </c>
      <c r="C6016" t="s">
        <v>59</v>
      </c>
      <c r="D6016" t="s">
        <v>347</v>
      </c>
      <c r="E6016" s="2">
        <v>11</v>
      </c>
      <c r="F6016" s="4">
        <v>4</v>
      </c>
      <c r="G6016" s="2">
        <v>44</v>
      </c>
      <c r="H6016" t="s">
        <v>25</v>
      </c>
      <c r="I6016" t="s">
        <v>16</v>
      </c>
      <c r="J6016" s="1">
        <v>45432</v>
      </c>
      <c r="K6016" t="b">
        <v>1</v>
      </c>
    </row>
    <row r="6017" spans="1:11" x14ac:dyDescent="0.25">
      <c r="A6017" t="s">
        <v>1284</v>
      </c>
      <c r="B6017" t="s">
        <v>77</v>
      </c>
      <c r="C6017" t="s">
        <v>110</v>
      </c>
      <c r="D6017" t="s">
        <v>118</v>
      </c>
      <c r="E6017" s="2">
        <v>11</v>
      </c>
      <c r="F6017" s="4">
        <v>4</v>
      </c>
      <c r="G6017" s="2">
        <v>44</v>
      </c>
      <c r="H6017" t="s">
        <v>45</v>
      </c>
      <c r="I6017" t="s">
        <v>16</v>
      </c>
      <c r="J6017" s="1">
        <v>45521</v>
      </c>
      <c r="K6017" t="b">
        <v>1</v>
      </c>
    </row>
    <row r="6018" spans="1:11" x14ac:dyDescent="0.25">
      <c r="A6018" t="s">
        <v>6447</v>
      </c>
      <c r="B6018" t="s">
        <v>61</v>
      </c>
      <c r="C6018" t="s">
        <v>110</v>
      </c>
      <c r="D6018" t="s">
        <v>118</v>
      </c>
      <c r="E6018" s="2">
        <v>11</v>
      </c>
      <c r="F6018" s="4">
        <v>4</v>
      </c>
      <c r="G6018" s="2">
        <v>44</v>
      </c>
      <c r="H6018" t="s">
        <v>45</v>
      </c>
      <c r="I6018" t="s">
        <v>36</v>
      </c>
      <c r="J6018" s="1">
        <v>45568</v>
      </c>
      <c r="K6018" t="b">
        <v>0</v>
      </c>
    </row>
    <row r="6019" spans="1:11" x14ac:dyDescent="0.25">
      <c r="A6019" t="s">
        <v>5823</v>
      </c>
      <c r="B6019" t="s">
        <v>58</v>
      </c>
      <c r="C6019" t="s">
        <v>23</v>
      </c>
      <c r="D6019" t="s">
        <v>410</v>
      </c>
      <c r="E6019" s="2">
        <v>11</v>
      </c>
      <c r="F6019" s="4">
        <v>4</v>
      </c>
      <c r="G6019" s="2">
        <v>44</v>
      </c>
      <c r="H6019" t="s">
        <v>15</v>
      </c>
      <c r="I6019" t="s">
        <v>16</v>
      </c>
      <c r="J6019" s="1">
        <v>45518</v>
      </c>
      <c r="K6019" t="b">
        <v>1</v>
      </c>
    </row>
    <row r="6020" spans="1:11" x14ac:dyDescent="0.25">
      <c r="A6020" t="s">
        <v>4764</v>
      </c>
      <c r="B6020" t="s">
        <v>97</v>
      </c>
      <c r="C6020" t="s">
        <v>31</v>
      </c>
      <c r="D6020" t="s">
        <v>108</v>
      </c>
      <c r="E6020" s="2">
        <v>21.5</v>
      </c>
      <c r="F6020" s="4">
        <v>2</v>
      </c>
      <c r="G6020" s="2">
        <v>43</v>
      </c>
      <c r="H6020" t="s">
        <v>25</v>
      </c>
      <c r="I6020" t="s">
        <v>36</v>
      </c>
      <c r="J6020" s="1">
        <v>44638</v>
      </c>
      <c r="K6020" t="b">
        <v>0</v>
      </c>
    </row>
    <row r="6021" spans="1:11" x14ac:dyDescent="0.25">
      <c r="A6021" t="s">
        <v>6444</v>
      </c>
      <c r="B6021" t="s">
        <v>97</v>
      </c>
      <c r="C6021" t="s">
        <v>13</v>
      </c>
      <c r="D6021" t="s">
        <v>141</v>
      </c>
      <c r="E6021" s="2">
        <v>21.5</v>
      </c>
      <c r="F6021" s="4">
        <v>2</v>
      </c>
      <c r="G6021" s="2">
        <v>43</v>
      </c>
      <c r="H6021" t="s">
        <v>45</v>
      </c>
      <c r="I6021" t="s">
        <v>16</v>
      </c>
      <c r="J6021" s="1">
        <v>44702</v>
      </c>
      <c r="K6021" t="b">
        <v>0</v>
      </c>
    </row>
    <row r="6022" spans="1:11" x14ac:dyDescent="0.25">
      <c r="A6022" t="s">
        <v>5190</v>
      </c>
      <c r="B6022" t="s">
        <v>30</v>
      </c>
      <c r="C6022" t="s">
        <v>59</v>
      </c>
      <c r="D6022" t="s">
        <v>288</v>
      </c>
      <c r="E6022" s="2">
        <v>21.5</v>
      </c>
      <c r="F6022" s="4">
        <v>2</v>
      </c>
      <c r="G6022" s="2">
        <v>43</v>
      </c>
      <c r="H6022" t="s">
        <v>15</v>
      </c>
      <c r="I6022" t="s">
        <v>36</v>
      </c>
      <c r="J6022" s="1">
        <v>45239</v>
      </c>
      <c r="K6022" t="b">
        <v>0</v>
      </c>
    </row>
    <row r="6023" spans="1:11" x14ac:dyDescent="0.25">
      <c r="A6023" t="s">
        <v>4787</v>
      </c>
      <c r="B6023" t="s">
        <v>100</v>
      </c>
      <c r="C6023" t="s">
        <v>110</v>
      </c>
      <c r="D6023" t="s">
        <v>451</v>
      </c>
      <c r="E6023" s="2">
        <v>21.5</v>
      </c>
      <c r="F6023" s="4">
        <v>2</v>
      </c>
      <c r="G6023" s="2">
        <v>43</v>
      </c>
      <c r="H6023" t="s">
        <v>25</v>
      </c>
      <c r="I6023" t="s">
        <v>36</v>
      </c>
      <c r="J6023" s="1">
        <v>44577</v>
      </c>
      <c r="K6023" t="b">
        <v>1</v>
      </c>
    </row>
    <row r="6024" spans="1:11" x14ac:dyDescent="0.25">
      <c r="A6024" t="s">
        <v>2807</v>
      </c>
      <c r="B6024" t="s">
        <v>66</v>
      </c>
      <c r="C6024" t="s">
        <v>27</v>
      </c>
      <c r="D6024" t="s">
        <v>315</v>
      </c>
      <c r="E6024" s="2">
        <v>21.5</v>
      </c>
      <c r="F6024" s="4">
        <v>2</v>
      </c>
      <c r="G6024" s="2">
        <v>43</v>
      </c>
      <c r="H6024" t="s">
        <v>45</v>
      </c>
      <c r="I6024" t="s">
        <v>36</v>
      </c>
      <c r="J6024" s="1">
        <v>44773</v>
      </c>
      <c r="K6024" t="b">
        <v>1</v>
      </c>
    </row>
    <row r="6025" spans="1:11" x14ac:dyDescent="0.25">
      <c r="A6025" t="s">
        <v>4075</v>
      </c>
      <c r="B6025" t="s">
        <v>26</v>
      </c>
      <c r="C6025" t="s">
        <v>110</v>
      </c>
      <c r="D6025" t="s">
        <v>451</v>
      </c>
      <c r="E6025" s="2">
        <v>21.5</v>
      </c>
      <c r="F6025" s="4">
        <v>2</v>
      </c>
      <c r="G6025" s="2">
        <v>43</v>
      </c>
      <c r="H6025" t="s">
        <v>25</v>
      </c>
      <c r="I6025" t="s">
        <v>36</v>
      </c>
      <c r="J6025" s="1">
        <v>44875</v>
      </c>
      <c r="K6025" t="b">
        <v>0</v>
      </c>
    </row>
    <row r="6026" spans="1:11" x14ac:dyDescent="0.25">
      <c r="A6026" t="s">
        <v>6260</v>
      </c>
      <c r="B6026" t="s">
        <v>85</v>
      </c>
      <c r="C6026" t="s">
        <v>110</v>
      </c>
      <c r="D6026" t="s">
        <v>451</v>
      </c>
      <c r="E6026" s="2">
        <v>21.5</v>
      </c>
      <c r="F6026" s="4">
        <v>2</v>
      </c>
      <c r="G6026" s="2">
        <v>43</v>
      </c>
      <c r="H6026" t="s">
        <v>45</v>
      </c>
      <c r="I6026" t="s">
        <v>16</v>
      </c>
      <c r="J6026" s="1">
        <v>45626</v>
      </c>
      <c r="K6026" t="b">
        <v>0</v>
      </c>
    </row>
    <row r="6027" spans="1:11" x14ac:dyDescent="0.25">
      <c r="A6027" t="s">
        <v>287</v>
      </c>
      <c r="B6027" t="s">
        <v>86</v>
      </c>
      <c r="C6027" t="s">
        <v>59</v>
      </c>
      <c r="D6027" t="s">
        <v>288</v>
      </c>
      <c r="E6027" s="2">
        <v>21.5</v>
      </c>
      <c r="F6027" s="4">
        <v>2</v>
      </c>
      <c r="G6027" s="2">
        <v>43</v>
      </c>
      <c r="H6027" t="s">
        <v>15</v>
      </c>
      <c r="I6027" t="s">
        <v>36</v>
      </c>
      <c r="J6027" s="1">
        <v>45178</v>
      </c>
      <c r="K6027" t="b">
        <v>1</v>
      </c>
    </row>
    <row r="6028" spans="1:11" x14ac:dyDescent="0.25">
      <c r="A6028" t="s">
        <v>1542</v>
      </c>
      <c r="B6028" t="s">
        <v>104</v>
      </c>
      <c r="C6028" t="s">
        <v>13</v>
      </c>
      <c r="D6028" t="s">
        <v>141</v>
      </c>
      <c r="E6028" s="2">
        <v>21.5</v>
      </c>
      <c r="F6028" s="4">
        <v>2</v>
      </c>
      <c r="G6028" s="2">
        <v>43</v>
      </c>
      <c r="H6028" t="s">
        <v>25</v>
      </c>
      <c r="I6028" t="s">
        <v>16</v>
      </c>
      <c r="J6028" s="1">
        <v>45328</v>
      </c>
      <c r="K6028" t="b">
        <v>0</v>
      </c>
    </row>
    <row r="6029" spans="1:11" x14ac:dyDescent="0.25">
      <c r="A6029" t="s">
        <v>2969</v>
      </c>
      <c r="B6029" t="s">
        <v>93</v>
      </c>
      <c r="C6029" t="s">
        <v>23</v>
      </c>
      <c r="D6029" t="s">
        <v>24</v>
      </c>
      <c r="E6029" s="2">
        <v>21.5</v>
      </c>
      <c r="F6029" s="4">
        <v>2</v>
      </c>
      <c r="G6029" s="2">
        <v>43</v>
      </c>
      <c r="H6029" t="s">
        <v>25</v>
      </c>
      <c r="I6029" t="s">
        <v>16</v>
      </c>
      <c r="J6029" s="1">
        <v>44579</v>
      </c>
      <c r="K6029" t="b">
        <v>0</v>
      </c>
    </row>
    <row r="6030" spans="1:11" x14ac:dyDescent="0.25">
      <c r="A6030" t="s">
        <v>6865</v>
      </c>
      <c r="B6030" t="s">
        <v>37</v>
      </c>
      <c r="C6030" t="s">
        <v>31</v>
      </c>
      <c r="D6030" t="s">
        <v>108</v>
      </c>
      <c r="E6030" s="2">
        <v>21.5</v>
      </c>
      <c r="F6030" s="4">
        <v>2</v>
      </c>
      <c r="G6030" s="2">
        <v>43</v>
      </c>
      <c r="H6030" t="s">
        <v>15</v>
      </c>
      <c r="I6030" t="s">
        <v>36</v>
      </c>
      <c r="J6030" s="1">
        <v>44998</v>
      </c>
      <c r="K6030" t="b">
        <v>0</v>
      </c>
    </row>
    <row r="6031" spans="1:11" x14ac:dyDescent="0.25">
      <c r="A6031" t="s">
        <v>4998</v>
      </c>
      <c r="B6031" t="s">
        <v>43</v>
      </c>
      <c r="C6031" t="s">
        <v>59</v>
      </c>
      <c r="D6031" t="s">
        <v>288</v>
      </c>
      <c r="E6031" s="2">
        <v>21.5</v>
      </c>
      <c r="F6031" s="4">
        <v>2</v>
      </c>
      <c r="G6031" s="2">
        <v>43</v>
      </c>
      <c r="H6031" t="s">
        <v>15</v>
      </c>
      <c r="I6031" t="s">
        <v>16</v>
      </c>
      <c r="J6031" s="1">
        <v>45610</v>
      </c>
      <c r="K6031" t="b">
        <v>1</v>
      </c>
    </row>
    <row r="6032" spans="1:11" x14ac:dyDescent="0.25">
      <c r="A6032" t="s">
        <v>2040</v>
      </c>
      <c r="B6032" t="s">
        <v>37</v>
      </c>
      <c r="C6032" t="s">
        <v>13</v>
      </c>
      <c r="D6032" t="s">
        <v>141</v>
      </c>
      <c r="E6032" s="2">
        <v>21.5</v>
      </c>
      <c r="F6032" s="4">
        <v>2</v>
      </c>
      <c r="G6032" s="2">
        <v>43</v>
      </c>
      <c r="H6032" t="s">
        <v>25</v>
      </c>
      <c r="I6032" t="s">
        <v>36</v>
      </c>
      <c r="J6032" s="1">
        <v>45544</v>
      </c>
      <c r="K6032" t="b">
        <v>0</v>
      </c>
    </row>
    <row r="6033" spans="1:11" x14ac:dyDescent="0.25">
      <c r="A6033" t="s">
        <v>6182</v>
      </c>
      <c r="B6033" t="s">
        <v>97</v>
      </c>
      <c r="C6033" t="s">
        <v>23</v>
      </c>
      <c r="D6033" t="s">
        <v>24</v>
      </c>
      <c r="E6033" s="2">
        <v>21.5</v>
      </c>
      <c r="F6033" s="4">
        <v>2</v>
      </c>
      <c r="G6033" s="2">
        <v>43</v>
      </c>
      <c r="H6033" t="s">
        <v>45</v>
      </c>
      <c r="I6033" t="s">
        <v>16</v>
      </c>
      <c r="J6033" s="1">
        <v>45094</v>
      </c>
      <c r="K6033" t="b">
        <v>0</v>
      </c>
    </row>
    <row r="6034" spans="1:11" x14ac:dyDescent="0.25">
      <c r="A6034" t="s">
        <v>3492</v>
      </c>
      <c r="B6034" t="s">
        <v>40</v>
      </c>
      <c r="C6034" t="s">
        <v>59</v>
      </c>
      <c r="D6034" t="s">
        <v>288</v>
      </c>
      <c r="E6034" s="2">
        <v>21.5</v>
      </c>
      <c r="F6034" s="4">
        <v>2</v>
      </c>
      <c r="G6034" s="2">
        <v>43</v>
      </c>
      <c r="H6034" t="s">
        <v>45</v>
      </c>
      <c r="I6034" t="s">
        <v>16</v>
      </c>
      <c r="J6034" s="1">
        <v>45465</v>
      </c>
      <c r="K6034" t="b">
        <v>0</v>
      </c>
    </row>
    <row r="6035" spans="1:11" x14ac:dyDescent="0.25">
      <c r="A6035" t="s">
        <v>5193</v>
      </c>
      <c r="B6035" t="s">
        <v>63</v>
      </c>
      <c r="C6035" t="s">
        <v>27</v>
      </c>
      <c r="D6035" t="s">
        <v>315</v>
      </c>
      <c r="E6035" s="2">
        <v>21.5</v>
      </c>
      <c r="F6035" s="4">
        <v>2</v>
      </c>
      <c r="G6035" s="2">
        <v>43</v>
      </c>
      <c r="H6035" t="s">
        <v>25</v>
      </c>
      <c r="I6035" t="s">
        <v>36</v>
      </c>
      <c r="J6035" s="1">
        <v>44897</v>
      </c>
      <c r="K6035" t="b">
        <v>1</v>
      </c>
    </row>
    <row r="6036" spans="1:11" x14ac:dyDescent="0.25">
      <c r="A6036" t="s">
        <v>4840</v>
      </c>
      <c r="B6036" t="s">
        <v>30</v>
      </c>
      <c r="C6036" t="s">
        <v>38</v>
      </c>
      <c r="D6036" t="s">
        <v>509</v>
      </c>
      <c r="E6036" s="2">
        <v>21.5</v>
      </c>
      <c r="F6036" s="4">
        <v>2</v>
      </c>
      <c r="G6036" s="2">
        <v>43</v>
      </c>
      <c r="H6036" t="s">
        <v>45</v>
      </c>
      <c r="I6036" t="s">
        <v>36</v>
      </c>
      <c r="J6036" s="1">
        <v>44622</v>
      </c>
      <c r="K6036" t="b">
        <v>1</v>
      </c>
    </row>
    <row r="6037" spans="1:11" x14ac:dyDescent="0.25">
      <c r="A6037" t="s">
        <v>6915</v>
      </c>
      <c r="B6037" t="s">
        <v>56</v>
      </c>
      <c r="C6037" t="s">
        <v>110</v>
      </c>
      <c r="D6037" t="s">
        <v>451</v>
      </c>
      <c r="E6037" s="2">
        <v>21.5</v>
      </c>
      <c r="F6037" s="4">
        <v>2</v>
      </c>
      <c r="G6037" s="2">
        <v>43</v>
      </c>
      <c r="H6037" t="s">
        <v>15</v>
      </c>
      <c r="I6037" t="s">
        <v>36</v>
      </c>
      <c r="J6037" s="1">
        <v>45062</v>
      </c>
      <c r="K6037" t="b">
        <v>1</v>
      </c>
    </row>
    <row r="6038" spans="1:11" x14ac:dyDescent="0.25">
      <c r="A6038" t="s">
        <v>4761</v>
      </c>
      <c r="B6038" t="s">
        <v>63</v>
      </c>
      <c r="C6038" t="s">
        <v>27</v>
      </c>
      <c r="D6038" t="s">
        <v>315</v>
      </c>
      <c r="E6038" s="2">
        <v>21.5</v>
      </c>
      <c r="F6038" s="4">
        <v>2</v>
      </c>
      <c r="G6038" s="2">
        <v>43</v>
      </c>
      <c r="H6038" t="s">
        <v>25</v>
      </c>
      <c r="I6038" t="s">
        <v>36</v>
      </c>
      <c r="J6038" s="1">
        <v>45239</v>
      </c>
      <c r="K6038" t="b">
        <v>0</v>
      </c>
    </row>
    <row r="6039" spans="1:11" x14ac:dyDescent="0.25">
      <c r="A6039" t="s">
        <v>4965</v>
      </c>
      <c r="B6039" t="s">
        <v>43</v>
      </c>
      <c r="C6039" t="s">
        <v>13</v>
      </c>
      <c r="D6039" t="s">
        <v>141</v>
      </c>
      <c r="E6039" s="2">
        <v>21.5</v>
      </c>
      <c r="F6039" s="4">
        <v>2</v>
      </c>
      <c r="G6039" s="2">
        <v>43</v>
      </c>
      <c r="H6039" t="s">
        <v>15</v>
      </c>
      <c r="I6039" t="s">
        <v>36</v>
      </c>
      <c r="J6039" s="1">
        <v>45107</v>
      </c>
      <c r="K6039" t="b">
        <v>0</v>
      </c>
    </row>
    <row r="6040" spans="1:11" x14ac:dyDescent="0.25">
      <c r="A6040" t="s">
        <v>2628</v>
      </c>
      <c r="B6040" t="s">
        <v>43</v>
      </c>
      <c r="C6040" t="s">
        <v>59</v>
      </c>
      <c r="D6040" t="s">
        <v>288</v>
      </c>
      <c r="E6040" s="2">
        <v>21.5</v>
      </c>
      <c r="F6040" s="4">
        <v>2</v>
      </c>
      <c r="G6040" s="2">
        <v>43</v>
      </c>
      <c r="H6040" t="s">
        <v>45</v>
      </c>
      <c r="I6040" t="s">
        <v>36</v>
      </c>
      <c r="J6040" s="1">
        <v>45557</v>
      </c>
      <c r="K6040" t="b">
        <v>0</v>
      </c>
    </row>
    <row r="6041" spans="1:11" x14ac:dyDescent="0.25">
      <c r="A6041" t="s">
        <v>3803</v>
      </c>
      <c r="B6041" t="s">
        <v>104</v>
      </c>
      <c r="C6041" t="s">
        <v>110</v>
      </c>
      <c r="D6041" t="s">
        <v>451</v>
      </c>
      <c r="E6041" s="2">
        <v>21.5</v>
      </c>
      <c r="F6041" s="4">
        <v>2</v>
      </c>
      <c r="G6041" s="2">
        <v>43</v>
      </c>
      <c r="H6041" t="s">
        <v>45</v>
      </c>
      <c r="I6041" t="s">
        <v>16</v>
      </c>
      <c r="J6041" s="1">
        <v>45448</v>
      </c>
      <c r="K6041" t="b">
        <v>0</v>
      </c>
    </row>
    <row r="6042" spans="1:11" x14ac:dyDescent="0.25">
      <c r="A6042" t="s">
        <v>419</v>
      </c>
      <c r="B6042" t="s">
        <v>72</v>
      </c>
      <c r="C6042" t="s">
        <v>59</v>
      </c>
      <c r="D6042" t="s">
        <v>288</v>
      </c>
      <c r="E6042" s="2">
        <v>21.5</v>
      </c>
      <c r="F6042" s="4">
        <v>2</v>
      </c>
      <c r="G6042" s="2">
        <v>43</v>
      </c>
      <c r="H6042" t="s">
        <v>45</v>
      </c>
      <c r="I6042" t="s">
        <v>16</v>
      </c>
      <c r="J6042" s="1">
        <v>44814</v>
      </c>
      <c r="K6042" t="b">
        <v>0</v>
      </c>
    </row>
    <row r="6043" spans="1:11" x14ac:dyDescent="0.25">
      <c r="A6043" t="s">
        <v>3029</v>
      </c>
      <c r="B6043" t="s">
        <v>18</v>
      </c>
      <c r="C6043" t="s">
        <v>110</v>
      </c>
      <c r="D6043" t="s">
        <v>451</v>
      </c>
      <c r="E6043" s="2">
        <v>21.5</v>
      </c>
      <c r="F6043" s="4">
        <v>2</v>
      </c>
      <c r="G6043" s="2">
        <v>43</v>
      </c>
      <c r="H6043" t="s">
        <v>45</v>
      </c>
      <c r="I6043" t="s">
        <v>16</v>
      </c>
      <c r="J6043" s="1">
        <v>45444</v>
      </c>
      <c r="K6043" t="b">
        <v>1</v>
      </c>
    </row>
    <row r="6044" spans="1:11" x14ac:dyDescent="0.25">
      <c r="A6044" t="s">
        <v>6401</v>
      </c>
      <c r="B6044" t="s">
        <v>97</v>
      </c>
      <c r="C6044" t="s">
        <v>27</v>
      </c>
      <c r="D6044" t="s">
        <v>315</v>
      </c>
      <c r="E6044" s="2">
        <v>21.5</v>
      </c>
      <c r="F6044" s="4">
        <v>2</v>
      </c>
      <c r="G6044" s="2">
        <v>43</v>
      </c>
      <c r="H6044" t="s">
        <v>45</v>
      </c>
      <c r="I6044" t="s">
        <v>36</v>
      </c>
      <c r="J6044" s="1">
        <v>45121</v>
      </c>
      <c r="K6044" t="b">
        <v>0</v>
      </c>
    </row>
    <row r="6045" spans="1:11" x14ac:dyDescent="0.25">
      <c r="A6045" t="s">
        <v>6303</v>
      </c>
      <c r="B6045" t="s">
        <v>63</v>
      </c>
      <c r="C6045" t="s">
        <v>31</v>
      </c>
      <c r="D6045" t="s">
        <v>108</v>
      </c>
      <c r="E6045" s="2">
        <v>21.5</v>
      </c>
      <c r="F6045" s="4">
        <v>2</v>
      </c>
      <c r="G6045" s="2">
        <v>43</v>
      </c>
      <c r="H6045" t="s">
        <v>45</v>
      </c>
      <c r="I6045" t="s">
        <v>36</v>
      </c>
      <c r="J6045" s="1">
        <v>44670</v>
      </c>
      <c r="K6045" t="b">
        <v>0</v>
      </c>
    </row>
    <row r="6046" spans="1:11" x14ac:dyDescent="0.25">
      <c r="A6046" t="s">
        <v>6157</v>
      </c>
      <c r="B6046" t="s">
        <v>22</v>
      </c>
      <c r="C6046" t="s">
        <v>19</v>
      </c>
      <c r="D6046" t="s">
        <v>1410</v>
      </c>
      <c r="E6046" s="2">
        <v>21.5</v>
      </c>
      <c r="F6046" s="4">
        <v>2</v>
      </c>
      <c r="G6046" s="2">
        <v>43</v>
      </c>
      <c r="H6046" t="s">
        <v>15</v>
      </c>
      <c r="I6046" t="s">
        <v>16</v>
      </c>
      <c r="J6046" s="1">
        <v>44778</v>
      </c>
      <c r="K6046" t="b">
        <v>1</v>
      </c>
    </row>
    <row r="6047" spans="1:11" x14ac:dyDescent="0.25">
      <c r="A6047" t="s">
        <v>4605</v>
      </c>
      <c r="B6047" t="s">
        <v>66</v>
      </c>
      <c r="C6047" t="s">
        <v>27</v>
      </c>
      <c r="D6047" t="s">
        <v>315</v>
      </c>
      <c r="E6047" s="2">
        <v>21.5</v>
      </c>
      <c r="F6047" s="4">
        <v>2</v>
      </c>
      <c r="G6047" s="2">
        <v>43</v>
      </c>
      <c r="H6047" t="s">
        <v>25</v>
      </c>
      <c r="I6047" t="s">
        <v>36</v>
      </c>
      <c r="J6047" s="1">
        <v>45147</v>
      </c>
      <c r="K6047" t="b">
        <v>0</v>
      </c>
    </row>
    <row r="6048" spans="1:11" x14ac:dyDescent="0.25">
      <c r="A6048" t="s">
        <v>5491</v>
      </c>
      <c r="B6048" t="s">
        <v>56</v>
      </c>
      <c r="C6048" t="s">
        <v>110</v>
      </c>
      <c r="D6048" t="s">
        <v>451</v>
      </c>
      <c r="E6048" s="2">
        <v>21.5</v>
      </c>
      <c r="F6048" s="4">
        <v>2</v>
      </c>
      <c r="G6048" s="2">
        <v>43</v>
      </c>
      <c r="H6048" t="s">
        <v>25</v>
      </c>
      <c r="I6048" t="s">
        <v>16</v>
      </c>
      <c r="J6048" s="1">
        <v>45064</v>
      </c>
      <c r="K6048" t="b">
        <v>0</v>
      </c>
    </row>
    <row r="6049" spans="1:11" x14ac:dyDescent="0.25">
      <c r="A6049" t="s">
        <v>21</v>
      </c>
      <c r="B6049" t="s">
        <v>22</v>
      </c>
      <c r="C6049" t="s">
        <v>23</v>
      </c>
      <c r="D6049" t="s">
        <v>24</v>
      </c>
      <c r="E6049" s="2">
        <v>21.5</v>
      </c>
      <c r="F6049" s="4">
        <v>2</v>
      </c>
      <c r="G6049" s="2">
        <v>43</v>
      </c>
      <c r="H6049" t="s">
        <v>25</v>
      </c>
      <c r="I6049" t="s">
        <v>16</v>
      </c>
      <c r="J6049" s="1">
        <v>44839</v>
      </c>
      <c r="K6049" t="b">
        <v>0</v>
      </c>
    </row>
    <row r="6050" spans="1:11" x14ac:dyDescent="0.25">
      <c r="A6050" t="s">
        <v>6894</v>
      </c>
      <c r="B6050" t="s">
        <v>66</v>
      </c>
      <c r="C6050" t="s">
        <v>38</v>
      </c>
      <c r="D6050" t="s">
        <v>509</v>
      </c>
      <c r="E6050" s="2">
        <v>21.5</v>
      </c>
      <c r="F6050" s="4">
        <v>2</v>
      </c>
      <c r="G6050" s="2">
        <v>43</v>
      </c>
      <c r="H6050" t="s">
        <v>15</v>
      </c>
      <c r="I6050" t="s">
        <v>36</v>
      </c>
      <c r="J6050" s="1">
        <v>44696</v>
      </c>
      <c r="K6050" t="b">
        <v>0</v>
      </c>
    </row>
    <row r="6051" spans="1:11" x14ac:dyDescent="0.25">
      <c r="A6051" t="s">
        <v>2934</v>
      </c>
      <c r="B6051" t="s">
        <v>37</v>
      </c>
      <c r="C6051" t="s">
        <v>27</v>
      </c>
      <c r="D6051" t="s">
        <v>315</v>
      </c>
      <c r="E6051" s="2">
        <v>21.5</v>
      </c>
      <c r="F6051" s="4">
        <v>2</v>
      </c>
      <c r="G6051" s="2">
        <v>43</v>
      </c>
      <c r="H6051" t="s">
        <v>45</v>
      </c>
      <c r="I6051" t="s">
        <v>36</v>
      </c>
      <c r="J6051" s="1">
        <v>45457</v>
      </c>
      <c r="K6051" t="b">
        <v>1</v>
      </c>
    </row>
    <row r="6052" spans="1:11" x14ac:dyDescent="0.25">
      <c r="A6052" t="s">
        <v>7567</v>
      </c>
      <c r="B6052" t="s">
        <v>142</v>
      </c>
      <c r="C6052" t="s">
        <v>27</v>
      </c>
      <c r="D6052" t="s">
        <v>62</v>
      </c>
      <c r="E6052" s="2">
        <v>14</v>
      </c>
      <c r="F6052" s="4">
        <v>3</v>
      </c>
      <c r="G6052" s="2">
        <v>42</v>
      </c>
      <c r="H6052" t="s">
        <v>25</v>
      </c>
      <c r="I6052" t="s">
        <v>36</v>
      </c>
      <c r="J6052" s="1">
        <v>45177</v>
      </c>
      <c r="K6052" t="b">
        <v>0</v>
      </c>
    </row>
    <row r="6053" spans="1:11" x14ac:dyDescent="0.25">
      <c r="A6053" t="s">
        <v>4667</v>
      </c>
      <c r="B6053" t="s">
        <v>61</v>
      </c>
      <c r="C6053" t="s">
        <v>27</v>
      </c>
      <c r="D6053" t="s">
        <v>62</v>
      </c>
      <c r="E6053" s="2">
        <v>14</v>
      </c>
      <c r="F6053" s="4">
        <v>3</v>
      </c>
      <c r="G6053" s="2">
        <v>42</v>
      </c>
      <c r="H6053" t="s">
        <v>45</v>
      </c>
      <c r="I6053" t="s">
        <v>36</v>
      </c>
      <c r="J6053" s="1">
        <v>45463</v>
      </c>
      <c r="K6053" t="b">
        <v>0</v>
      </c>
    </row>
    <row r="6054" spans="1:11" x14ac:dyDescent="0.25">
      <c r="A6054" t="s">
        <v>5135</v>
      </c>
      <c r="B6054" t="s">
        <v>26</v>
      </c>
      <c r="C6054" t="s">
        <v>59</v>
      </c>
      <c r="D6054" t="s">
        <v>248</v>
      </c>
      <c r="E6054" s="2">
        <v>14</v>
      </c>
      <c r="F6054" s="4">
        <v>3</v>
      </c>
      <c r="G6054" s="2">
        <v>42</v>
      </c>
      <c r="H6054" t="s">
        <v>15</v>
      </c>
      <c r="I6054" t="s">
        <v>36</v>
      </c>
      <c r="J6054" s="1">
        <v>45139</v>
      </c>
      <c r="K6054" t="b">
        <v>0</v>
      </c>
    </row>
    <row r="6055" spans="1:11" x14ac:dyDescent="0.25">
      <c r="A6055" t="s">
        <v>1815</v>
      </c>
      <c r="B6055" t="s">
        <v>142</v>
      </c>
      <c r="C6055" t="s">
        <v>110</v>
      </c>
      <c r="D6055" t="s">
        <v>176</v>
      </c>
      <c r="E6055" s="2">
        <v>14</v>
      </c>
      <c r="F6055" s="4">
        <v>3</v>
      </c>
      <c r="G6055" s="2">
        <v>42</v>
      </c>
      <c r="H6055" t="s">
        <v>25</v>
      </c>
      <c r="I6055" t="s">
        <v>36</v>
      </c>
      <c r="J6055" s="1">
        <v>44906</v>
      </c>
      <c r="K6055" t="b">
        <v>0</v>
      </c>
    </row>
    <row r="6056" spans="1:11" x14ac:dyDescent="0.25">
      <c r="A6056" t="s">
        <v>6912</v>
      </c>
      <c r="B6056" t="s">
        <v>34</v>
      </c>
      <c r="C6056" t="s">
        <v>19</v>
      </c>
      <c r="D6056" t="s">
        <v>756</v>
      </c>
      <c r="E6056" s="2">
        <v>14</v>
      </c>
      <c r="F6056" s="4">
        <v>3</v>
      </c>
      <c r="G6056" s="2">
        <v>42</v>
      </c>
      <c r="H6056" t="s">
        <v>15</v>
      </c>
      <c r="I6056" t="s">
        <v>16</v>
      </c>
      <c r="J6056" s="1">
        <v>44929</v>
      </c>
      <c r="K6056" t="b">
        <v>1</v>
      </c>
    </row>
    <row r="6057" spans="1:11" x14ac:dyDescent="0.25">
      <c r="A6057" t="s">
        <v>1148</v>
      </c>
      <c r="B6057" t="s">
        <v>12</v>
      </c>
      <c r="C6057" t="s">
        <v>27</v>
      </c>
      <c r="D6057" t="s">
        <v>62</v>
      </c>
      <c r="E6057" s="2">
        <v>14</v>
      </c>
      <c r="F6057" s="4">
        <v>3</v>
      </c>
      <c r="G6057" s="2">
        <v>42</v>
      </c>
      <c r="H6057" t="s">
        <v>15</v>
      </c>
      <c r="I6057" t="s">
        <v>16</v>
      </c>
      <c r="J6057" s="1">
        <v>45017</v>
      </c>
      <c r="K6057" t="b">
        <v>0</v>
      </c>
    </row>
    <row r="6058" spans="1:11" x14ac:dyDescent="0.25">
      <c r="A6058" t="s">
        <v>3446</v>
      </c>
      <c r="B6058" t="s">
        <v>85</v>
      </c>
      <c r="C6058" t="s">
        <v>31</v>
      </c>
      <c r="D6058" t="s">
        <v>162</v>
      </c>
      <c r="E6058" s="2">
        <v>14</v>
      </c>
      <c r="F6058" s="4">
        <v>3</v>
      </c>
      <c r="G6058" s="2">
        <v>42</v>
      </c>
      <c r="H6058" t="s">
        <v>45</v>
      </c>
      <c r="I6058" t="s">
        <v>16</v>
      </c>
      <c r="J6058" s="1">
        <v>44948</v>
      </c>
      <c r="K6058" t="b">
        <v>0</v>
      </c>
    </row>
    <row r="6059" spans="1:11" x14ac:dyDescent="0.25">
      <c r="A6059" t="s">
        <v>7069</v>
      </c>
      <c r="B6059" t="s">
        <v>30</v>
      </c>
      <c r="C6059" t="s">
        <v>13</v>
      </c>
      <c r="D6059" t="s">
        <v>151</v>
      </c>
      <c r="E6059" s="2">
        <v>14</v>
      </c>
      <c r="F6059" s="4">
        <v>3</v>
      </c>
      <c r="G6059" s="2">
        <v>42</v>
      </c>
      <c r="H6059" t="s">
        <v>15</v>
      </c>
      <c r="I6059" t="s">
        <v>16</v>
      </c>
      <c r="J6059" s="1">
        <v>44800</v>
      </c>
      <c r="K6059" t="b">
        <v>0</v>
      </c>
    </row>
    <row r="6060" spans="1:11" x14ac:dyDescent="0.25">
      <c r="A6060" t="s">
        <v>2816</v>
      </c>
      <c r="B6060" t="s">
        <v>26</v>
      </c>
      <c r="C6060" t="s">
        <v>110</v>
      </c>
      <c r="D6060" t="s">
        <v>176</v>
      </c>
      <c r="E6060" s="2">
        <v>14</v>
      </c>
      <c r="F6060" s="4">
        <v>3</v>
      </c>
      <c r="G6060" s="2">
        <v>42</v>
      </c>
      <c r="H6060" t="s">
        <v>15</v>
      </c>
      <c r="I6060" t="s">
        <v>36</v>
      </c>
      <c r="J6060" s="1">
        <v>45358</v>
      </c>
      <c r="K6060" t="b">
        <v>1</v>
      </c>
    </row>
    <row r="6061" spans="1:11" x14ac:dyDescent="0.25">
      <c r="A6061" t="s">
        <v>4887</v>
      </c>
      <c r="B6061" t="s">
        <v>58</v>
      </c>
      <c r="C6061" t="s">
        <v>23</v>
      </c>
      <c r="D6061" t="s">
        <v>277</v>
      </c>
      <c r="E6061" s="2">
        <v>14</v>
      </c>
      <c r="F6061" s="4">
        <v>3</v>
      </c>
      <c r="G6061" s="2">
        <v>42</v>
      </c>
      <c r="H6061" t="s">
        <v>25</v>
      </c>
      <c r="I6061" t="s">
        <v>36</v>
      </c>
      <c r="J6061" s="1">
        <v>44684</v>
      </c>
      <c r="K6061" t="b">
        <v>0</v>
      </c>
    </row>
    <row r="6062" spans="1:11" x14ac:dyDescent="0.25">
      <c r="A6062" t="s">
        <v>3133</v>
      </c>
      <c r="B6062" t="s">
        <v>51</v>
      </c>
      <c r="C6062" t="s">
        <v>38</v>
      </c>
      <c r="D6062" t="s">
        <v>123</v>
      </c>
      <c r="E6062" s="2">
        <v>14</v>
      </c>
      <c r="F6062" s="4">
        <v>3</v>
      </c>
      <c r="G6062" s="2">
        <v>42</v>
      </c>
      <c r="H6062" t="s">
        <v>25</v>
      </c>
      <c r="I6062" t="s">
        <v>36</v>
      </c>
      <c r="J6062" s="1">
        <v>44831</v>
      </c>
      <c r="K6062" t="b">
        <v>1</v>
      </c>
    </row>
    <row r="6063" spans="1:11" x14ac:dyDescent="0.25">
      <c r="A6063" t="s">
        <v>914</v>
      </c>
      <c r="B6063" t="s">
        <v>61</v>
      </c>
      <c r="C6063" t="s">
        <v>38</v>
      </c>
      <c r="D6063" t="s">
        <v>123</v>
      </c>
      <c r="E6063" s="2">
        <v>14</v>
      </c>
      <c r="F6063" s="4">
        <v>3</v>
      </c>
      <c r="G6063" s="2">
        <v>42</v>
      </c>
      <c r="H6063" t="s">
        <v>25</v>
      </c>
      <c r="I6063" t="s">
        <v>36</v>
      </c>
      <c r="J6063" s="1">
        <v>45428</v>
      </c>
      <c r="K6063" t="b">
        <v>1</v>
      </c>
    </row>
    <row r="6064" spans="1:11" x14ac:dyDescent="0.25">
      <c r="A6064" t="s">
        <v>6038</v>
      </c>
      <c r="B6064" t="s">
        <v>85</v>
      </c>
      <c r="C6064" t="s">
        <v>19</v>
      </c>
      <c r="D6064" t="s">
        <v>756</v>
      </c>
      <c r="E6064" s="2">
        <v>14</v>
      </c>
      <c r="F6064" s="4">
        <v>3</v>
      </c>
      <c r="G6064" s="2">
        <v>42</v>
      </c>
      <c r="H6064" t="s">
        <v>25</v>
      </c>
      <c r="I6064" t="s">
        <v>16</v>
      </c>
      <c r="J6064" s="1">
        <v>45670</v>
      </c>
      <c r="K6064" t="b">
        <v>0</v>
      </c>
    </row>
    <row r="6065" spans="1:11" x14ac:dyDescent="0.25">
      <c r="A6065" t="s">
        <v>6648</v>
      </c>
      <c r="B6065" t="s">
        <v>97</v>
      </c>
      <c r="C6065" t="s">
        <v>38</v>
      </c>
      <c r="D6065" t="s">
        <v>123</v>
      </c>
      <c r="E6065" s="2">
        <v>14</v>
      </c>
      <c r="F6065" s="4">
        <v>3</v>
      </c>
      <c r="G6065" s="2">
        <v>42</v>
      </c>
      <c r="H6065" t="s">
        <v>45</v>
      </c>
      <c r="I6065" t="s">
        <v>16</v>
      </c>
      <c r="J6065" s="1">
        <v>44821</v>
      </c>
      <c r="K6065" t="b">
        <v>1</v>
      </c>
    </row>
    <row r="6066" spans="1:11" x14ac:dyDescent="0.25">
      <c r="A6066" t="s">
        <v>6375</v>
      </c>
      <c r="B6066" t="s">
        <v>43</v>
      </c>
      <c r="C6066" t="s">
        <v>13</v>
      </c>
      <c r="D6066" t="s">
        <v>151</v>
      </c>
      <c r="E6066" s="2">
        <v>14</v>
      </c>
      <c r="F6066" s="4">
        <v>3</v>
      </c>
      <c r="G6066" s="2">
        <v>42</v>
      </c>
      <c r="H6066" t="s">
        <v>15</v>
      </c>
      <c r="I6066" t="s">
        <v>36</v>
      </c>
      <c r="J6066" s="1">
        <v>44733</v>
      </c>
      <c r="K6066" t="b">
        <v>1</v>
      </c>
    </row>
    <row r="6067" spans="1:11" x14ac:dyDescent="0.25">
      <c r="A6067" t="s">
        <v>3312</v>
      </c>
      <c r="B6067" t="s">
        <v>104</v>
      </c>
      <c r="C6067" t="s">
        <v>27</v>
      </c>
      <c r="D6067" t="s">
        <v>62</v>
      </c>
      <c r="E6067" s="2">
        <v>14</v>
      </c>
      <c r="F6067" s="4">
        <v>3</v>
      </c>
      <c r="G6067" s="2">
        <v>42</v>
      </c>
      <c r="H6067" t="s">
        <v>45</v>
      </c>
      <c r="I6067" t="s">
        <v>36</v>
      </c>
      <c r="J6067" s="1">
        <v>45040</v>
      </c>
      <c r="K6067" t="b">
        <v>1</v>
      </c>
    </row>
    <row r="6068" spans="1:11" x14ac:dyDescent="0.25">
      <c r="A6068" t="s">
        <v>3647</v>
      </c>
      <c r="B6068" t="s">
        <v>63</v>
      </c>
      <c r="C6068" t="s">
        <v>110</v>
      </c>
      <c r="D6068" t="s">
        <v>176</v>
      </c>
      <c r="E6068" s="2">
        <v>14</v>
      </c>
      <c r="F6068" s="4">
        <v>3</v>
      </c>
      <c r="G6068" s="2">
        <v>42</v>
      </c>
      <c r="H6068" t="s">
        <v>15</v>
      </c>
      <c r="I6068" t="s">
        <v>16</v>
      </c>
      <c r="J6068" s="1">
        <v>45522</v>
      </c>
      <c r="K6068" t="b">
        <v>0</v>
      </c>
    </row>
    <row r="6069" spans="1:11" x14ac:dyDescent="0.25">
      <c r="A6069" t="s">
        <v>5689</v>
      </c>
      <c r="B6069" t="s">
        <v>85</v>
      </c>
      <c r="C6069" t="s">
        <v>27</v>
      </c>
      <c r="D6069" t="s">
        <v>62</v>
      </c>
      <c r="E6069" s="2">
        <v>14</v>
      </c>
      <c r="F6069" s="4">
        <v>3</v>
      </c>
      <c r="G6069" s="2">
        <v>42</v>
      </c>
      <c r="H6069" t="s">
        <v>45</v>
      </c>
      <c r="I6069" t="s">
        <v>36</v>
      </c>
      <c r="J6069" s="1">
        <v>45278</v>
      </c>
      <c r="K6069" t="b">
        <v>0</v>
      </c>
    </row>
    <row r="6070" spans="1:11" x14ac:dyDescent="0.25">
      <c r="A6070" t="s">
        <v>7165</v>
      </c>
      <c r="B6070" t="s">
        <v>40</v>
      </c>
      <c r="C6070" t="s">
        <v>23</v>
      </c>
      <c r="D6070" t="s">
        <v>277</v>
      </c>
      <c r="E6070" s="2">
        <v>14</v>
      </c>
      <c r="F6070" s="4">
        <v>3</v>
      </c>
      <c r="G6070" s="2">
        <v>42</v>
      </c>
      <c r="H6070" t="s">
        <v>15</v>
      </c>
      <c r="I6070" t="s">
        <v>36</v>
      </c>
      <c r="J6070" s="1">
        <v>44876</v>
      </c>
      <c r="K6070" t="b">
        <v>0</v>
      </c>
    </row>
    <row r="6071" spans="1:11" x14ac:dyDescent="0.25">
      <c r="A6071" t="s">
        <v>4565</v>
      </c>
      <c r="B6071" t="s">
        <v>66</v>
      </c>
      <c r="C6071" t="s">
        <v>23</v>
      </c>
      <c r="D6071" t="s">
        <v>277</v>
      </c>
      <c r="E6071" s="2">
        <v>14</v>
      </c>
      <c r="F6071" s="4">
        <v>3</v>
      </c>
      <c r="G6071" s="2">
        <v>42</v>
      </c>
      <c r="H6071" t="s">
        <v>45</v>
      </c>
      <c r="I6071" t="s">
        <v>36</v>
      </c>
      <c r="J6071" s="1">
        <v>44809</v>
      </c>
      <c r="K6071" t="b">
        <v>1</v>
      </c>
    </row>
    <row r="6072" spans="1:11" x14ac:dyDescent="0.25">
      <c r="A6072" t="s">
        <v>4243</v>
      </c>
      <c r="B6072" t="s">
        <v>104</v>
      </c>
      <c r="C6072" t="s">
        <v>110</v>
      </c>
      <c r="D6072" t="s">
        <v>176</v>
      </c>
      <c r="E6072" s="2">
        <v>14</v>
      </c>
      <c r="F6072" s="4">
        <v>3</v>
      </c>
      <c r="G6072" s="2">
        <v>42</v>
      </c>
      <c r="H6072" t="s">
        <v>15</v>
      </c>
      <c r="I6072" t="s">
        <v>36</v>
      </c>
      <c r="J6072" s="1">
        <v>44758</v>
      </c>
      <c r="K6072" t="b">
        <v>1</v>
      </c>
    </row>
    <row r="6073" spans="1:11" x14ac:dyDescent="0.25">
      <c r="A6073" t="s">
        <v>1693</v>
      </c>
      <c r="B6073" t="s">
        <v>72</v>
      </c>
      <c r="C6073" t="s">
        <v>110</v>
      </c>
      <c r="D6073" t="s">
        <v>176</v>
      </c>
      <c r="E6073" s="2">
        <v>14</v>
      </c>
      <c r="F6073" s="4">
        <v>3</v>
      </c>
      <c r="G6073" s="2">
        <v>42</v>
      </c>
      <c r="H6073" t="s">
        <v>25</v>
      </c>
      <c r="I6073" t="s">
        <v>16</v>
      </c>
      <c r="J6073" s="1">
        <v>44684</v>
      </c>
      <c r="K6073" t="b">
        <v>1</v>
      </c>
    </row>
    <row r="6074" spans="1:11" x14ac:dyDescent="0.25">
      <c r="A6074" t="s">
        <v>7043</v>
      </c>
      <c r="B6074" t="s">
        <v>34</v>
      </c>
      <c r="C6074" t="s">
        <v>13</v>
      </c>
      <c r="D6074" t="s">
        <v>151</v>
      </c>
      <c r="E6074" s="2">
        <v>14</v>
      </c>
      <c r="F6074" s="4">
        <v>3</v>
      </c>
      <c r="G6074" s="2">
        <v>42</v>
      </c>
      <c r="H6074" t="s">
        <v>15</v>
      </c>
      <c r="I6074" t="s">
        <v>16</v>
      </c>
      <c r="J6074" s="1">
        <v>44682</v>
      </c>
      <c r="K6074" t="b">
        <v>1</v>
      </c>
    </row>
    <row r="6075" spans="1:11" x14ac:dyDescent="0.25">
      <c r="A6075" t="s">
        <v>2391</v>
      </c>
      <c r="B6075" t="s">
        <v>77</v>
      </c>
      <c r="C6075" t="s">
        <v>38</v>
      </c>
      <c r="D6075" t="s">
        <v>123</v>
      </c>
      <c r="E6075" s="2">
        <v>14</v>
      </c>
      <c r="F6075" s="4">
        <v>3</v>
      </c>
      <c r="G6075" s="2">
        <v>42</v>
      </c>
      <c r="H6075" t="s">
        <v>15</v>
      </c>
      <c r="I6075" t="s">
        <v>16</v>
      </c>
      <c r="J6075" s="1">
        <v>44888</v>
      </c>
      <c r="K6075" t="b">
        <v>0</v>
      </c>
    </row>
    <row r="6076" spans="1:11" x14ac:dyDescent="0.25">
      <c r="A6076" t="s">
        <v>824</v>
      </c>
      <c r="B6076" t="s">
        <v>56</v>
      </c>
      <c r="C6076" t="s">
        <v>13</v>
      </c>
      <c r="D6076" t="s">
        <v>151</v>
      </c>
      <c r="E6076" s="2">
        <v>14</v>
      </c>
      <c r="F6076" s="4">
        <v>3</v>
      </c>
      <c r="G6076" s="2">
        <v>42</v>
      </c>
      <c r="H6076" t="s">
        <v>45</v>
      </c>
      <c r="I6076" t="s">
        <v>16</v>
      </c>
      <c r="J6076" s="1">
        <v>45564</v>
      </c>
      <c r="K6076" t="b">
        <v>1</v>
      </c>
    </row>
    <row r="6077" spans="1:11" x14ac:dyDescent="0.25">
      <c r="A6077" t="s">
        <v>2916</v>
      </c>
      <c r="B6077" t="s">
        <v>93</v>
      </c>
      <c r="C6077" t="s">
        <v>19</v>
      </c>
      <c r="D6077" t="s">
        <v>756</v>
      </c>
      <c r="E6077" s="2">
        <v>14</v>
      </c>
      <c r="F6077" s="4">
        <v>3</v>
      </c>
      <c r="G6077" s="2">
        <v>42</v>
      </c>
      <c r="H6077" t="s">
        <v>45</v>
      </c>
      <c r="I6077" t="s">
        <v>16</v>
      </c>
      <c r="J6077" s="1">
        <v>45471</v>
      </c>
      <c r="K6077" t="b">
        <v>1</v>
      </c>
    </row>
    <row r="6078" spans="1:11" x14ac:dyDescent="0.25">
      <c r="A6078" t="s">
        <v>4922</v>
      </c>
      <c r="B6078" t="s">
        <v>58</v>
      </c>
      <c r="C6078" t="s">
        <v>19</v>
      </c>
      <c r="D6078" t="s">
        <v>756</v>
      </c>
      <c r="E6078" s="2">
        <v>14</v>
      </c>
      <c r="F6078" s="4">
        <v>3</v>
      </c>
      <c r="G6078" s="2">
        <v>42</v>
      </c>
      <c r="H6078" t="s">
        <v>45</v>
      </c>
      <c r="I6078" t="s">
        <v>16</v>
      </c>
      <c r="J6078" s="1">
        <v>44761</v>
      </c>
      <c r="K6078" t="b">
        <v>0</v>
      </c>
    </row>
    <row r="6079" spans="1:11" x14ac:dyDescent="0.25">
      <c r="A6079" t="s">
        <v>6848</v>
      </c>
      <c r="B6079" t="s">
        <v>30</v>
      </c>
      <c r="C6079" t="s">
        <v>13</v>
      </c>
      <c r="D6079" t="s">
        <v>151</v>
      </c>
      <c r="E6079" s="2">
        <v>14</v>
      </c>
      <c r="F6079" s="4">
        <v>3</v>
      </c>
      <c r="G6079" s="2">
        <v>42</v>
      </c>
      <c r="H6079" t="s">
        <v>45</v>
      </c>
      <c r="I6079" t="s">
        <v>36</v>
      </c>
      <c r="J6079" s="1">
        <v>44950</v>
      </c>
      <c r="K6079" t="b">
        <v>0</v>
      </c>
    </row>
    <row r="6080" spans="1:11" x14ac:dyDescent="0.25">
      <c r="A6080" t="s">
        <v>6342</v>
      </c>
      <c r="B6080" t="s">
        <v>104</v>
      </c>
      <c r="C6080" t="s">
        <v>19</v>
      </c>
      <c r="D6080" t="s">
        <v>756</v>
      </c>
      <c r="E6080" s="2">
        <v>14</v>
      </c>
      <c r="F6080" s="4">
        <v>3</v>
      </c>
      <c r="G6080" s="2">
        <v>42</v>
      </c>
      <c r="H6080" t="s">
        <v>15</v>
      </c>
      <c r="I6080" t="s">
        <v>36</v>
      </c>
      <c r="J6080" s="1">
        <v>45663</v>
      </c>
      <c r="K6080" t="b">
        <v>0</v>
      </c>
    </row>
    <row r="6081" spans="1:11" x14ac:dyDescent="0.25">
      <c r="A6081" t="s">
        <v>2361</v>
      </c>
      <c r="B6081" t="s">
        <v>85</v>
      </c>
      <c r="C6081" t="s">
        <v>19</v>
      </c>
      <c r="D6081" t="s">
        <v>756</v>
      </c>
      <c r="E6081" s="2">
        <v>14</v>
      </c>
      <c r="F6081" s="4">
        <v>3</v>
      </c>
      <c r="G6081" s="2">
        <v>42</v>
      </c>
      <c r="H6081" t="s">
        <v>15</v>
      </c>
      <c r="I6081" t="s">
        <v>16</v>
      </c>
      <c r="J6081" s="1">
        <v>45134</v>
      </c>
      <c r="K6081" t="b">
        <v>1</v>
      </c>
    </row>
    <row r="6082" spans="1:11" x14ac:dyDescent="0.25">
      <c r="A6082" t="s">
        <v>613</v>
      </c>
      <c r="B6082" t="s">
        <v>93</v>
      </c>
      <c r="C6082" t="s">
        <v>110</v>
      </c>
      <c r="D6082" t="s">
        <v>176</v>
      </c>
      <c r="E6082" s="2">
        <v>14</v>
      </c>
      <c r="F6082" s="4">
        <v>3</v>
      </c>
      <c r="G6082" s="2">
        <v>42</v>
      </c>
      <c r="H6082" t="s">
        <v>15</v>
      </c>
      <c r="I6082" t="s">
        <v>16</v>
      </c>
      <c r="J6082" s="1">
        <v>45096</v>
      </c>
      <c r="K6082" t="b">
        <v>1</v>
      </c>
    </row>
    <row r="6083" spans="1:11" x14ac:dyDescent="0.25">
      <c r="A6083" t="s">
        <v>6150</v>
      </c>
      <c r="B6083" t="s">
        <v>142</v>
      </c>
      <c r="C6083" t="s">
        <v>110</v>
      </c>
      <c r="D6083" t="s">
        <v>176</v>
      </c>
      <c r="E6083" s="2">
        <v>14</v>
      </c>
      <c r="F6083" s="4">
        <v>3</v>
      </c>
      <c r="G6083" s="2">
        <v>42</v>
      </c>
      <c r="H6083" t="s">
        <v>45</v>
      </c>
      <c r="I6083" t="s">
        <v>36</v>
      </c>
      <c r="J6083" s="1">
        <v>45182</v>
      </c>
      <c r="K6083" t="b">
        <v>1</v>
      </c>
    </row>
    <row r="6084" spans="1:11" x14ac:dyDescent="0.25">
      <c r="A6084" t="s">
        <v>7731</v>
      </c>
      <c r="B6084" t="s">
        <v>40</v>
      </c>
      <c r="C6084" t="s">
        <v>19</v>
      </c>
      <c r="D6084" t="s">
        <v>756</v>
      </c>
      <c r="E6084" s="2">
        <v>14</v>
      </c>
      <c r="F6084" s="4">
        <v>3</v>
      </c>
      <c r="G6084" s="2">
        <v>42</v>
      </c>
      <c r="H6084" t="s">
        <v>45</v>
      </c>
      <c r="I6084" t="s">
        <v>16</v>
      </c>
      <c r="J6084" s="1">
        <v>44871</v>
      </c>
      <c r="K6084" t="b">
        <v>0</v>
      </c>
    </row>
    <row r="6085" spans="1:11" x14ac:dyDescent="0.25">
      <c r="A6085" t="s">
        <v>3342</v>
      </c>
      <c r="B6085" t="s">
        <v>97</v>
      </c>
      <c r="C6085" t="s">
        <v>23</v>
      </c>
      <c r="D6085" t="s">
        <v>302</v>
      </c>
      <c r="E6085" s="2">
        <v>41</v>
      </c>
      <c r="F6085" s="4">
        <v>1</v>
      </c>
      <c r="G6085" s="2">
        <v>41</v>
      </c>
      <c r="H6085" t="s">
        <v>15</v>
      </c>
      <c r="I6085" t="s">
        <v>36</v>
      </c>
      <c r="J6085" s="1">
        <v>45425</v>
      </c>
      <c r="K6085" t="b">
        <v>0</v>
      </c>
    </row>
    <row r="6086" spans="1:11" x14ac:dyDescent="0.25">
      <c r="A6086" t="s">
        <v>4616</v>
      </c>
      <c r="B6086" t="s">
        <v>37</v>
      </c>
      <c r="C6086" t="s">
        <v>38</v>
      </c>
      <c r="D6086" t="s">
        <v>75</v>
      </c>
      <c r="E6086" s="2">
        <v>41</v>
      </c>
      <c r="F6086" s="4">
        <v>1</v>
      </c>
      <c r="G6086" s="2">
        <v>41</v>
      </c>
      <c r="H6086" t="s">
        <v>25</v>
      </c>
      <c r="I6086" t="s">
        <v>16</v>
      </c>
      <c r="J6086" s="1">
        <v>44806</v>
      </c>
      <c r="K6086" t="b">
        <v>0</v>
      </c>
    </row>
    <row r="6087" spans="1:11" x14ac:dyDescent="0.25">
      <c r="A6087" t="s">
        <v>1322</v>
      </c>
      <c r="B6087" t="s">
        <v>61</v>
      </c>
      <c r="C6087" t="s">
        <v>13</v>
      </c>
      <c r="D6087" t="s">
        <v>161</v>
      </c>
      <c r="E6087" s="2">
        <v>41</v>
      </c>
      <c r="F6087" s="4">
        <v>1</v>
      </c>
      <c r="G6087" s="2">
        <v>41</v>
      </c>
      <c r="H6087" t="s">
        <v>25</v>
      </c>
      <c r="I6087" t="s">
        <v>16</v>
      </c>
      <c r="J6087" s="1">
        <v>44846</v>
      </c>
      <c r="K6087" t="b">
        <v>0</v>
      </c>
    </row>
    <row r="6088" spans="1:11" x14ac:dyDescent="0.25">
      <c r="A6088" t="s">
        <v>5078</v>
      </c>
      <c r="B6088" t="s">
        <v>37</v>
      </c>
      <c r="C6088" t="s">
        <v>27</v>
      </c>
      <c r="D6088" t="s">
        <v>89</v>
      </c>
      <c r="E6088" s="2">
        <v>41</v>
      </c>
      <c r="F6088" s="4">
        <v>1</v>
      </c>
      <c r="G6088" s="2">
        <v>41</v>
      </c>
      <c r="H6088" t="s">
        <v>45</v>
      </c>
      <c r="I6088" t="s">
        <v>36</v>
      </c>
      <c r="J6088" s="1">
        <v>45280</v>
      </c>
      <c r="K6088" t="b">
        <v>0</v>
      </c>
    </row>
    <row r="6089" spans="1:11" x14ac:dyDescent="0.25">
      <c r="A6089" t="s">
        <v>184</v>
      </c>
      <c r="B6089" t="s">
        <v>26</v>
      </c>
      <c r="C6089" t="s">
        <v>110</v>
      </c>
      <c r="D6089" t="s">
        <v>185</v>
      </c>
      <c r="E6089" s="2">
        <v>41</v>
      </c>
      <c r="F6089" s="4">
        <v>1</v>
      </c>
      <c r="G6089" s="2">
        <v>41</v>
      </c>
      <c r="H6089" t="s">
        <v>45</v>
      </c>
      <c r="I6089" t="s">
        <v>36</v>
      </c>
      <c r="J6089" s="1">
        <v>45601</v>
      </c>
      <c r="K6089" t="b">
        <v>0</v>
      </c>
    </row>
    <row r="6090" spans="1:11" x14ac:dyDescent="0.25">
      <c r="A6090" t="s">
        <v>841</v>
      </c>
      <c r="B6090" t="s">
        <v>72</v>
      </c>
      <c r="C6090" t="s">
        <v>59</v>
      </c>
      <c r="D6090" t="s">
        <v>325</v>
      </c>
      <c r="E6090" s="2">
        <v>41</v>
      </c>
      <c r="F6090" s="4">
        <v>1</v>
      </c>
      <c r="G6090" s="2">
        <v>41</v>
      </c>
      <c r="H6090" t="s">
        <v>25</v>
      </c>
      <c r="I6090" t="s">
        <v>36</v>
      </c>
      <c r="J6090" s="1">
        <v>45387</v>
      </c>
      <c r="K6090" t="b">
        <v>0</v>
      </c>
    </row>
    <row r="6091" spans="1:11" x14ac:dyDescent="0.25">
      <c r="A6091" t="s">
        <v>6709</v>
      </c>
      <c r="B6091" t="s">
        <v>30</v>
      </c>
      <c r="C6091" t="s">
        <v>110</v>
      </c>
      <c r="D6091" t="s">
        <v>185</v>
      </c>
      <c r="E6091" s="2">
        <v>41</v>
      </c>
      <c r="F6091" s="4">
        <v>1</v>
      </c>
      <c r="G6091" s="2">
        <v>41</v>
      </c>
      <c r="H6091" t="s">
        <v>15</v>
      </c>
      <c r="I6091" t="s">
        <v>16</v>
      </c>
      <c r="J6091" s="1">
        <v>45269</v>
      </c>
      <c r="K6091" t="b">
        <v>1</v>
      </c>
    </row>
    <row r="6092" spans="1:11" x14ac:dyDescent="0.25">
      <c r="A6092" t="s">
        <v>1518</v>
      </c>
      <c r="B6092" t="s">
        <v>34</v>
      </c>
      <c r="C6092" t="s">
        <v>31</v>
      </c>
      <c r="D6092" t="s">
        <v>286</v>
      </c>
      <c r="E6092" s="2">
        <v>41</v>
      </c>
      <c r="F6092" s="4">
        <v>1</v>
      </c>
      <c r="G6092" s="2">
        <v>41</v>
      </c>
      <c r="H6092" t="s">
        <v>15</v>
      </c>
      <c r="I6092" t="s">
        <v>36</v>
      </c>
      <c r="J6092" s="1">
        <v>45554</v>
      </c>
      <c r="K6092" t="b">
        <v>0</v>
      </c>
    </row>
    <row r="6093" spans="1:11" x14ac:dyDescent="0.25">
      <c r="A6093" t="s">
        <v>6138</v>
      </c>
      <c r="B6093" t="s">
        <v>61</v>
      </c>
      <c r="C6093" t="s">
        <v>27</v>
      </c>
      <c r="D6093" t="s">
        <v>89</v>
      </c>
      <c r="E6093" s="2">
        <v>41</v>
      </c>
      <c r="F6093" s="4">
        <v>1</v>
      </c>
      <c r="G6093" s="2">
        <v>41</v>
      </c>
      <c r="H6093" t="s">
        <v>15</v>
      </c>
      <c r="I6093" t="s">
        <v>16</v>
      </c>
      <c r="J6093" s="1">
        <v>44678</v>
      </c>
      <c r="K6093" t="b">
        <v>0</v>
      </c>
    </row>
    <row r="6094" spans="1:11" x14ac:dyDescent="0.25">
      <c r="A6094" t="s">
        <v>7180</v>
      </c>
      <c r="B6094" t="s">
        <v>93</v>
      </c>
      <c r="C6094" t="s">
        <v>38</v>
      </c>
      <c r="D6094" t="s">
        <v>75</v>
      </c>
      <c r="E6094" s="2">
        <v>41</v>
      </c>
      <c r="F6094" s="4">
        <v>1</v>
      </c>
      <c r="G6094" s="2">
        <v>41</v>
      </c>
      <c r="H6094" t="s">
        <v>15</v>
      </c>
      <c r="I6094" t="s">
        <v>36</v>
      </c>
      <c r="J6094" s="1">
        <v>45623</v>
      </c>
      <c r="K6094" t="b">
        <v>1</v>
      </c>
    </row>
    <row r="6095" spans="1:11" x14ac:dyDescent="0.25">
      <c r="A6095" t="s">
        <v>4359</v>
      </c>
      <c r="B6095" t="s">
        <v>61</v>
      </c>
      <c r="C6095" t="s">
        <v>27</v>
      </c>
      <c r="D6095" t="s">
        <v>89</v>
      </c>
      <c r="E6095" s="2">
        <v>41</v>
      </c>
      <c r="F6095" s="4">
        <v>1</v>
      </c>
      <c r="G6095" s="2">
        <v>41</v>
      </c>
      <c r="H6095" t="s">
        <v>15</v>
      </c>
      <c r="I6095" t="s">
        <v>16</v>
      </c>
      <c r="J6095" s="1">
        <v>45118</v>
      </c>
      <c r="K6095" t="b">
        <v>0</v>
      </c>
    </row>
    <row r="6096" spans="1:11" x14ac:dyDescent="0.25">
      <c r="A6096" t="s">
        <v>4160</v>
      </c>
      <c r="B6096" t="s">
        <v>77</v>
      </c>
      <c r="C6096" t="s">
        <v>38</v>
      </c>
      <c r="D6096" t="s">
        <v>75</v>
      </c>
      <c r="E6096" s="2">
        <v>41</v>
      </c>
      <c r="F6096" s="4">
        <v>1</v>
      </c>
      <c r="G6096" s="2">
        <v>41</v>
      </c>
      <c r="H6096" t="s">
        <v>45</v>
      </c>
      <c r="I6096" t="s">
        <v>36</v>
      </c>
      <c r="J6096" s="1">
        <v>44830</v>
      </c>
      <c r="K6096" t="b">
        <v>0</v>
      </c>
    </row>
    <row r="6097" spans="1:11" x14ac:dyDescent="0.25">
      <c r="A6097" t="s">
        <v>4315</v>
      </c>
      <c r="B6097" t="s">
        <v>18</v>
      </c>
      <c r="C6097" t="s">
        <v>19</v>
      </c>
      <c r="D6097" t="s">
        <v>787</v>
      </c>
      <c r="E6097" s="2">
        <v>41</v>
      </c>
      <c r="F6097" s="4">
        <v>1</v>
      </c>
      <c r="G6097" s="2">
        <v>41</v>
      </c>
      <c r="H6097" t="s">
        <v>45</v>
      </c>
      <c r="I6097" t="s">
        <v>36</v>
      </c>
      <c r="J6097" s="1">
        <v>45269</v>
      </c>
      <c r="K6097" t="b">
        <v>1</v>
      </c>
    </row>
    <row r="6098" spans="1:11" x14ac:dyDescent="0.25">
      <c r="A6098" t="s">
        <v>6107</v>
      </c>
      <c r="B6098" t="s">
        <v>26</v>
      </c>
      <c r="C6098" t="s">
        <v>59</v>
      </c>
      <c r="D6098" t="s">
        <v>325</v>
      </c>
      <c r="E6098" s="2">
        <v>41</v>
      </c>
      <c r="F6098" s="4">
        <v>1</v>
      </c>
      <c r="G6098" s="2">
        <v>41</v>
      </c>
      <c r="H6098" t="s">
        <v>45</v>
      </c>
      <c r="I6098" t="s">
        <v>36</v>
      </c>
      <c r="J6098" s="1">
        <v>44570</v>
      </c>
      <c r="K6098" t="b">
        <v>0</v>
      </c>
    </row>
    <row r="6099" spans="1:11" x14ac:dyDescent="0.25">
      <c r="A6099" t="s">
        <v>5162</v>
      </c>
      <c r="B6099" t="s">
        <v>86</v>
      </c>
      <c r="C6099" t="s">
        <v>110</v>
      </c>
      <c r="D6099" t="s">
        <v>185</v>
      </c>
      <c r="E6099" s="2">
        <v>41</v>
      </c>
      <c r="F6099" s="4">
        <v>1</v>
      </c>
      <c r="G6099" s="2">
        <v>41</v>
      </c>
      <c r="H6099" t="s">
        <v>45</v>
      </c>
      <c r="I6099" t="s">
        <v>36</v>
      </c>
      <c r="J6099" s="1">
        <v>44891</v>
      </c>
      <c r="K6099" t="b">
        <v>1</v>
      </c>
    </row>
    <row r="6100" spans="1:11" x14ac:dyDescent="0.25">
      <c r="A6100" t="s">
        <v>7662</v>
      </c>
      <c r="B6100" t="s">
        <v>100</v>
      </c>
      <c r="C6100" t="s">
        <v>38</v>
      </c>
      <c r="D6100" t="s">
        <v>75</v>
      </c>
      <c r="E6100" s="2">
        <v>41</v>
      </c>
      <c r="F6100" s="4">
        <v>1</v>
      </c>
      <c r="G6100" s="2">
        <v>41</v>
      </c>
      <c r="H6100" t="s">
        <v>25</v>
      </c>
      <c r="I6100" t="s">
        <v>36</v>
      </c>
      <c r="J6100" s="1">
        <v>44806</v>
      </c>
      <c r="K6100" t="b">
        <v>1</v>
      </c>
    </row>
    <row r="6101" spans="1:11" x14ac:dyDescent="0.25">
      <c r="A6101" t="s">
        <v>4737</v>
      </c>
      <c r="B6101" t="s">
        <v>26</v>
      </c>
      <c r="C6101" t="s">
        <v>31</v>
      </c>
      <c r="D6101" t="s">
        <v>286</v>
      </c>
      <c r="E6101" s="2">
        <v>41</v>
      </c>
      <c r="F6101" s="4">
        <v>1</v>
      </c>
      <c r="G6101" s="2">
        <v>41</v>
      </c>
      <c r="H6101" t="s">
        <v>15</v>
      </c>
      <c r="I6101" t="s">
        <v>16</v>
      </c>
      <c r="J6101" s="1">
        <v>45321</v>
      </c>
      <c r="K6101" t="b">
        <v>1</v>
      </c>
    </row>
    <row r="6102" spans="1:11" x14ac:dyDescent="0.25">
      <c r="A6102" t="s">
        <v>3268</v>
      </c>
      <c r="B6102" t="s">
        <v>86</v>
      </c>
      <c r="C6102" t="s">
        <v>38</v>
      </c>
      <c r="D6102" t="s">
        <v>75</v>
      </c>
      <c r="E6102" s="2">
        <v>41</v>
      </c>
      <c r="F6102" s="4">
        <v>1</v>
      </c>
      <c r="G6102" s="2">
        <v>41</v>
      </c>
      <c r="H6102" t="s">
        <v>25</v>
      </c>
      <c r="I6102" t="s">
        <v>16</v>
      </c>
      <c r="J6102" s="1">
        <v>45660</v>
      </c>
      <c r="K6102" t="b">
        <v>0</v>
      </c>
    </row>
    <row r="6103" spans="1:11" x14ac:dyDescent="0.25">
      <c r="A6103" t="s">
        <v>1710</v>
      </c>
      <c r="B6103" t="s">
        <v>56</v>
      </c>
      <c r="C6103" t="s">
        <v>23</v>
      </c>
      <c r="D6103" t="s">
        <v>302</v>
      </c>
      <c r="E6103" s="2">
        <v>41</v>
      </c>
      <c r="F6103" s="4">
        <v>1</v>
      </c>
      <c r="G6103" s="2">
        <v>41</v>
      </c>
      <c r="H6103" t="s">
        <v>15</v>
      </c>
      <c r="I6103" t="s">
        <v>36</v>
      </c>
      <c r="J6103" s="1">
        <v>45202</v>
      </c>
      <c r="K6103" t="b">
        <v>0</v>
      </c>
    </row>
    <row r="6104" spans="1:11" x14ac:dyDescent="0.25">
      <c r="A6104" t="s">
        <v>6576</v>
      </c>
      <c r="B6104" t="s">
        <v>69</v>
      </c>
      <c r="C6104" t="s">
        <v>110</v>
      </c>
      <c r="D6104" t="s">
        <v>185</v>
      </c>
      <c r="E6104" s="2">
        <v>41</v>
      </c>
      <c r="F6104" s="4">
        <v>1</v>
      </c>
      <c r="G6104" s="2">
        <v>41</v>
      </c>
      <c r="H6104" t="s">
        <v>25</v>
      </c>
      <c r="I6104" t="s">
        <v>36</v>
      </c>
      <c r="J6104" s="1">
        <v>44998</v>
      </c>
      <c r="K6104" t="b">
        <v>1</v>
      </c>
    </row>
    <row r="6105" spans="1:11" x14ac:dyDescent="0.25">
      <c r="A6105" t="s">
        <v>7373</v>
      </c>
      <c r="B6105" t="s">
        <v>12</v>
      </c>
      <c r="C6105" t="s">
        <v>110</v>
      </c>
      <c r="D6105" t="s">
        <v>185</v>
      </c>
      <c r="E6105" s="2">
        <v>41</v>
      </c>
      <c r="F6105" s="4">
        <v>1</v>
      </c>
      <c r="G6105" s="2">
        <v>41</v>
      </c>
      <c r="H6105" t="s">
        <v>45</v>
      </c>
      <c r="I6105" t="s">
        <v>16</v>
      </c>
      <c r="J6105" s="1">
        <v>45366</v>
      </c>
      <c r="K6105" t="b">
        <v>0</v>
      </c>
    </row>
    <row r="6106" spans="1:11" x14ac:dyDescent="0.25">
      <c r="A6106" t="s">
        <v>1476</v>
      </c>
      <c r="B6106" t="s">
        <v>97</v>
      </c>
      <c r="C6106" t="s">
        <v>38</v>
      </c>
      <c r="D6106" t="s">
        <v>75</v>
      </c>
      <c r="E6106" s="2">
        <v>41</v>
      </c>
      <c r="F6106" s="4">
        <v>1</v>
      </c>
      <c r="G6106" s="2">
        <v>41</v>
      </c>
      <c r="H6106" t="s">
        <v>15</v>
      </c>
      <c r="I6106" t="s">
        <v>36</v>
      </c>
      <c r="J6106" s="1">
        <v>45281</v>
      </c>
      <c r="K6106" t="b">
        <v>0</v>
      </c>
    </row>
    <row r="6107" spans="1:11" x14ac:dyDescent="0.25">
      <c r="A6107" t="s">
        <v>5046</v>
      </c>
      <c r="B6107" t="s">
        <v>104</v>
      </c>
      <c r="C6107" t="s">
        <v>13</v>
      </c>
      <c r="D6107" t="s">
        <v>161</v>
      </c>
      <c r="E6107" s="2">
        <v>41</v>
      </c>
      <c r="F6107" s="4">
        <v>1</v>
      </c>
      <c r="G6107" s="2">
        <v>41</v>
      </c>
      <c r="H6107" t="s">
        <v>25</v>
      </c>
      <c r="I6107" t="s">
        <v>16</v>
      </c>
      <c r="J6107" s="1">
        <v>44646</v>
      </c>
      <c r="K6107" t="b">
        <v>0</v>
      </c>
    </row>
    <row r="6108" spans="1:11" x14ac:dyDescent="0.25">
      <c r="A6108" t="s">
        <v>4330</v>
      </c>
      <c r="B6108" t="s">
        <v>100</v>
      </c>
      <c r="C6108" t="s">
        <v>38</v>
      </c>
      <c r="D6108" t="s">
        <v>75</v>
      </c>
      <c r="E6108" s="2">
        <v>41</v>
      </c>
      <c r="F6108" s="4">
        <v>1</v>
      </c>
      <c r="G6108" s="2">
        <v>41</v>
      </c>
      <c r="H6108" t="s">
        <v>45</v>
      </c>
      <c r="I6108" t="s">
        <v>16</v>
      </c>
      <c r="J6108" s="1">
        <v>45086</v>
      </c>
      <c r="K6108" t="b">
        <v>0</v>
      </c>
    </row>
    <row r="6109" spans="1:11" x14ac:dyDescent="0.25">
      <c r="A6109" t="s">
        <v>4776</v>
      </c>
      <c r="B6109" t="s">
        <v>77</v>
      </c>
      <c r="C6109" t="s">
        <v>23</v>
      </c>
      <c r="D6109" t="s">
        <v>302</v>
      </c>
      <c r="E6109" s="2">
        <v>41</v>
      </c>
      <c r="F6109" s="4">
        <v>1</v>
      </c>
      <c r="G6109" s="2">
        <v>41</v>
      </c>
      <c r="H6109" t="s">
        <v>15</v>
      </c>
      <c r="I6109" t="s">
        <v>16</v>
      </c>
      <c r="J6109" s="1">
        <v>44875</v>
      </c>
      <c r="K6109" t="b">
        <v>0</v>
      </c>
    </row>
    <row r="6110" spans="1:11" x14ac:dyDescent="0.25">
      <c r="A6110" t="s">
        <v>251</v>
      </c>
      <c r="B6110" t="s">
        <v>18</v>
      </c>
      <c r="C6110" t="s">
        <v>38</v>
      </c>
      <c r="D6110" t="s">
        <v>75</v>
      </c>
      <c r="E6110" s="2">
        <v>41</v>
      </c>
      <c r="F6110" s="4">
        <v>1</v>
      </c>
      <c r="G6110" s="2">
        <v>41</v>
      </c>
      <c r="H6110" t="s">
        <v>25</v>
      </c>
      <c r="I6110" t="s">
        <v>36</v>
      </c>
      <c r="J6110" s="1">
        <v>45367</v>
      </c>
      <c r="K6110" t="b">
        <v>0</v>
      </c>
    </row>
    <row r="6111" spans="1:11" x14ac:dyDescent="0.25">
      <c r="A6111" t="s">
        <v>5453</v>
      </c>
      <c r="B6111" t="s">
        <v>66</v>
      </c>
      <c r="C6111" t="s">
        <v>13</v>
      </c>
      <c r="D6111" t="s">
        <v>161</v>
      </c>
      <c r="E6111" s="2">
        <v>41</v>
      </c>
      <c r="F6111" s="4">
        <v>1</v>
      </c>
      <c r="G6111" s="2">
        <v>41</v>
      </c>
      <c r="H6111" t="s">
        <v>15</v>
      </c>
      <c r="I6111" t="s">
        <v>36</v>
      </c>
      <c r="J6111" s="1">
        <v>45007</v>
      </c>
      <c r="K6111" t="b">
        <v>1</v>
      </c>
    </row>
    <row r="6112" spans="1:11" x14ac:dyDescent="0.25">
      <c r="A6112" t="s">
        <v>5447</v>
      </c>
      <c r="B6112" t="s">
        <v>51</v>
      </c>
      <c r="C6112" t="s">
        <v>38</v>
      </c>
      <c r="D6112" t="s">
        <v>75</v>
      </c>
      <c r="E6112" s="2">
        <v>41</v>
      </c>
      <c r="F6112" s="4">
        <v>1</v>
      </c>
      <c r="G6112" s="2">
        <v>41</v>
      </c>
      <c r="H6112" t="s">
        <v>45</v>
      </c>
      <c r="I6112" t="s">
        <v>36</v>
      </c>
      <c r="J6112" s="1">
        <v>45243</v>
      </c>
      <c r="K6112" t="b">
        <v>1</v>
      </c>
    </row>
    <row r="6113" spans="1:11" x14ac:dyDescent="0.25">
      <c r="A6113" t="s">
        <v>1754</v>
      </c>
      <c r="B6113" t="s">
        <v>104</v>
      </c>
      <c r="C6113" t="s">
        <v>38</v>
      </c>
      <c r="D6113" t="s">
        <v>75</v>
      </c>
      <c r="E6113" s="2">
        <v>41</v>
      </c>
      <c r="F6113" s="4">
        <v>1</v>
      </c>
      <c r="G6113" s="2">
        <v>41</v>
      </c>
      <c r="H6113" t="s">
        <v>45</v>
      </c>
      <c r="I6113" t="s">
        <v>36</v>
      </c>
      <c r="J6113" s="1">
        <v>45486</v>
      </c>
      <c r="K6113" t="b">
        <v>0</v>
      </c>
    </row>
    <row r="6114" spans="1:11" x14ac:dyDescent="0.25">
      <c r="A6114" t="s">
        <v>5637</v>
      </c>
      <c r="B6114" t="s">
        <v>72</v>
      </c>
      <c r="C6114" t="s">
        <v>23</v>
      </c>
      <c r="D6114" t="s">
        <v>302</v>
      </c>
      <c r="E6114" s="2">
        <v>41</v>
      </c>
      <c r="F6114" s="4">
        <v>1</v>
      </c>
      <c r="G6114" s="2">
        <v>41</v>
      </c>
      <c r="H6114" t="s">
        <v>25</v>
      </c>
      <c r="I6114" t="s">
        <v>16</v>
      </c>
      <c r="J6114" s="1">
        <v>45205</v>
      </c>
      <c r="K6114" t="b">
        <v>0</v>
      </c>
    </row>
    <row r="6115" spans="1:11" x14ac:dyDescent="0.25">
      <c r="A6115" t="s">
        <v>1383</v>
      </c>
      <c r="B6115" t="s">
        <v>97</v>
      </c>
      <c r="C6115" t="s">
        <v>38</v>
      </c>
      <c r="D6115" t="s">
        <v>75</v>
      </c>
      <c r="E6115" s="2">
        <v>41</v>
      </c>
      <c r="F6115" s="4">
        <v>1</v>
      </c>
      <c r="G6115" s="2">
        <v>41</v>
      </c>
      <c r="H6115" t="s">
        <v>25</v>
      </c>
      <c r="I6115" t="s">
        <v>16</v>
      </c>
      <c r="J6115" s="1">
        <v>44640</v>
      </c>
      <c r="K6115" t="b">
        <v>1</v>
      </c>
    </row>
    <row r="6116" spans="1:11" x14ac:dyDescent="0.25">
      <c r="A6116" t="s">
        <v>4919</v>
      </c>
      <c r="B6116" t="s">
        <v>40</v>
      </c>
      <c r="C6116" t="s">
        <v>38</v>
      </c>
      <c r="D6116" t="s">
        <v>75</v>
      </c>
      <c r="E6116" s="2">
        <v>41</v>
      </c>
      <c r="F6116" s="4">
        <v>1</v>
      </c>
      <c r="G6116" s="2">
        <v>41</v>
      </c>
      <c r="H6116" t="s">
        <v>25</v>
      </c>
      <c r="I6116" t="s">
        <v>36</v>
      </c>
      <c r="J6116" s="1">
        <v>44585</v>
      </c>
      <c r="K6116" t="b">
        <v>0</v>
      </c>
    </row>
    <row r="6117" spans="1:11" x14ac:dyDescent="0.25">
      <c r="A6117" t="s">
        <v>927</v>
      </c>
      <c r="B6117" t="s">
        <v>43</v>
      </c>
      <c r="C6117" t="s">
        <v>38</v>
      </c>
      <c r="D6117" t="s">
        <v>75</v>
      </c>
      <c r="E6117" s="2">
        <v>41</v>
      </c>
      <c r="F6117" s="4">
        <v>1</v>
      </c>
      <c r="G6117" s="2">
        <v>41</v>
      </c>
      <c r="H6117" t="s">
        <v>15</v>
      </c>
      <c r="I6117" t="s">
        <v>36</v>
      </c>
      <c r="J6117" s="1">
        <v>45487</v>
      </c>
      <c r="K6117" t="b">
        <v>0</v>
      </c>
    </row>
    <row r="6118" spans="1:11" x14ac:dyDescent="0.25">
      <c r="A6118" t="s">
        <v>5466</v>
      </c>
      <c r="B6118" t="s">
        <v>100</v>
      </c>
      <c r="C6118" t="s">
        <v>38</v>
      </c>
      <c r="D6118" t="s">
        <v>75</v>
      </c>
      <c r="E6118" s="2">
        <v>41</v>
      </c>
      <c r="F6118" s="4">
        <v>1</v>
      </c>
      <c r="G6118" s="2">
        <v>41</v>
      </c>
      <c r="H6118" t="s">
        <v>25</v>
      </c>
      <c r="I6118" t="s">
        <v>16</v>
      </c>
      <c r="J6118" s="1">
        <v>45582</v>
      </c>
      <c r="K6118" t="b">
        <v>1</v>
      </c>
    </row>
    <row r="6119" spans="1:11" x14ac:dyDescent="0.25">
      <c r="A6119" t="s">
        <v>4786</v>
      </c>
      <c r="B6119" t="s">
        <v>104</v>
      </c>
      <c r="C6119" t="s">
        <v>38</v>
      </c>
      <c r="D6119" t="s">
        <v>75</v>
      </c>
      <c r="E6119" s="2">
        <v>41</v>
      </c>
      <c r="F6119" s="4">
        <v>1</v>
      </c>
      <c r="G6119" s="2">
        <v>41</v>
      </c>
      <c r="H6119" t="s">
        <v>15</v>
      </c>
      <c r="I6119" t="s">
        <v>36</v>
      </c>
      <c r="J6119" s="1">
        <v>45064</v>
      </c>
      <c r="K6119" t="b">
        <v>1</v>
      </c>
    </row>
    <row r="6120" spans="1:11" x14ac:dyDescent="0.25">
      <c r="A6120" t="s">
        <v>684</v>
      </c>
      <c r="B6120" t="s">
        <v>30</v>
      </c>
      <c r="C6120" t="s">
        <v>38</v>
      </c>
      <c r="D6120" t="s">
        <v>159</v>
      </c>
      <c r="E6120" s="2">
        <v>20</v>
      </c>
      <c r="F6120" s="4">
        <v>2</v>
      </c>
      <c r="G6120" s="2">
        <v>40</v>
      </c>
      <c r="H6120" t="s">
        <v>25</v>
      </c>
      <c r="I6120" t="s">
        <v>16</v>
      </c>
      <c r="J6120" s="1">
        <v>45296</v>
      </c>
      <c r="K6120" t="b">
        <v>1</v>
      </c>
    </row>
    <row r="6121" spans="1:11" x14ac:dyDescent="0.25">
      <c r="A6121" t="s">
        <v>6424</v>
      </c>
      <c r="B6121" t="s">
        <v>61</v>
      </c>
      <c r="C6121" t="s">
        <v>19</v>
      </c>
      <c r="D6121" t="s">
        <v>228</v>
      </c>
      <c r="E6121" s="2">
        <v>20</v>
      </c>
      <c r="F6121" s="4">
        <v>2</v>
      </c>
      <c r="G6121" s="2">
        <v>40</v>
      </c>
      <c r="H6121" t="s">
        <v>15</v>
      </c>
      <c r="I6121" t="s">
        <v>16</v>
      </c>
      <c r="J6121" s="1">
        <v>45481</v>
      </c>
      <c r="K6121" t="b">
        <v>0</v>
      </c>
    </row>
    <row r="6122" spans="1:11" x14ac:dyDescent="0.25">
      <c r="A6122" t="s">
        <v>6989</v>
      </c>
      <c r="B6122" t="s">
        <v>104</v>
      </c>
      <c r="C6122" t="s">
        <v>59</v>
      </c>
      <c r="D6122" t="s">
        <v>279</v>
      </c>
      <c r="E6122" s="2">
        <v>5</v>
      </c>
      <c r="F6122" s="4">
        <v>8</v>
      </c>
      <c r="G6122" s="2">
        <v>40</v>
      </c>
      <c r="H6122" t="s">
        <v>15</v>
      </c>
      <c r="I6122" t="s">
        <v>36</v>
      </c>
      <c r="J6122" s="1">
        <v>44893</v>
      </c>
      <c r="K6122" t="b">
        <v>0</v>
      </c>
    </row>
    <row r="6123" spans="1:11" x14ac:dyDescent="0.25">
      <c r="A6123" t="s">
        <v>5791</v>
      </c>
      <c r="B6123" t="s">
        <v>12</v>
      </c>
      <c r="C6123" t="s">
        <v>31</v>
      </c>
      <c r="D6123" t="s">
        <v>106</v>
      </c>
      <c r="E6123" s="2">
        <v>8</v>
      </c>
      <c r="F6123" s="4">
        <v>5</v>
      </c>
      <c r="G6123" s="2">
        <v>40</v>
      </c>
      <c r="H6123" t="s">
        <v>45</v>
      </c>
      <c r="I6123" t="s">
        <v>36</v>
      </c>
      <c r="J6123" s="1">
        <v>45439</v>
      </c>
      <c r="K6123" t="b">
        <v>1</v>
      </c>
    </row>
    <row r="6124" spans="1:11" x14ac:dyDescent="0.25">
      <c r="A6124" t="s">
        <v>6386</v>
      </c>
      <c r="B6124" t="s">
        <v>58</v>
      </c>
      <c r="C6124" t="s">
        <v>23</v>
      </c>
      <c r="D6124" t="s">
        <v>47</v>
      </c>
      <c r="E6124" s="2">
        <v>8</v>
      </c>
      <c r="F6124" s="4">
        <v>5</v>
      </c>
      <c r="G6124" s="2">
        <v>40</v>
      </c>
      <c r="H6124" t="s">
        <v>45</v>
      </c>
      <c r="I6124" t="s">
        <v>16</v>
      </c>
      <c r="J6124" s="1">
        <v>44971</v>
      </c>
      <c r="K6124" t="b">
        <v>0</v>
      </c>
    </row>
    <row r="6125" spans="1:11" x14ac:dyDescent="0.25">
      <c r="A6125" t="s">
        <v>1415</v>
      </c>
      <c r="B6125" t="s">
        <v>58</v>
      </c>
      <c r="C6125" t="s">
        <v>19</v>
      </c>
      <c r="D6125" t="s">
        <v>219</v>
      </c>
      <c r="E6125" s="2">
        <v>5</v>
      </c>
      <c r="F6125" s="4">
        <v>8</v>
      </c>
      <c r="G6125" s="2">
        <v>40</v>
      </c>
      <c r="H6125" t="s">
        <v>45</v>
      </c>
      <c r="I6125" t="s">
        <v>36</v>
      </c>
      <c r="J6125" s="1">
        <v>45450</v>
      </c>
      <c r="K6125" t="b">
        <v>1</v>
      </c>
    </row>
    <row r="6126" spans="1:11" x14ac:dyDescent="0.25">
      <c r="A6126" t="s">
        <v>229</v>
      </c>
      <c r="B6126" t="s">
        <v>34</v>
      </c>
      <c r="C6126" t="s">
        <v>23</v>
      </c>
      <c r="D6126" t="s">
        <v>47</v>
      </c>
      <c r="E6126" s="2">
        <v>8</v>
      </c>
      <c r="F6126" s="4">
        <v>5</v>
      </c>
      <c r="G6126" s="2">
        <v>40</v>
      </c>
      <c r="H6126" t="s">
        <v>25</v>
      </c>
      <c r="I6126" t="s">
        <v>36</v>
      </c>
      <c r="J6126" s="1">
        <v>44910</v>
      </c>
      <c r="K6126" t="b">
        <v>1</v>
      </c>
    </row>
    <row r="6127" spans="1:11" x14ac:dyDescent="0.25">
      <c r="A6127" t="s">
        <v>1492</v>
      </c>
      <c r="B6127" t="s">
        <v>12</v>
      </c>
      <c r="C6127" t="s">
        <v>23</v>
      </c>
      <c r="D6127" t="s">
        <v>47</v>
      </c>
      <c r="E6127" s="2">
        <v>8</v>
      </c>
      <c r="F6127" s="4">
        <v>5</v>
      </c>
      <c r="G6127" s="2">
        <v>40</v>
      </c>
      <c r="H6127" t="s">
        <v>25</v>
      </c>
      <c r="I6127" t="s">
        <v>36</v>
      </c>
      <c r="J6127" s="1">
        <v>44905</v>
      </c>
      <c r="K6127" t="b">
        <v>1</v>
      </c>
    </row>
    <row r="6128" spans="1:11" x14ac:dyDescent="0.25">
      <c r="A6128" t="s">
        <v>4427</v>
      </c>
      <c r="B6128" t="s">
        <v>72</v>
      </c>
      <c r="C6128" t="s">
        <v>110</v>
      </c>
      <c r="D6128" t="s">
        <v>263</v>
      </c>
      <c r="E6128" s="2">
        <v>20</v>
      </c>
      <c r="F6128" s="4">
        <v>2</v>
      </c>
      <c r="G6128" s="2">
        <v>40</v>
      </c>
      <c r="H6128" t="s">
        <v>45</v>
      </c>
      <c r="I6128" t="s">
        <v>16</v>
      </c>
      <c r="J6128" s="1">
        <v>45047</v>
      </c>
      <c r="K6128" t="b">
        <v>1</v>
      </c>
    </row>
    <row r="6129" spans="1:11" x14ac:dyDescent="0.25">
      <c r="A6129" t="s">
        <v>7609</v>
      </c>
      <c r="B6129" t="s">
        <v>61</v>
      </c>
      <c r="C6129" t="s">
        <v>19</v>
      </c>
      <c r="D6129" t="s">
        <v>219</v>
      </c>
      <c r="E6129" s="2">
        <v>5</v>
      </c>
      <c r="F6129" s="4">
        <v>8</v>
      </c>
      <c r="G6129" s="2">
        <v>40</v>
      </c>
      <c r="H6129" t="s">
        <v>15</v>
      </c>
      <c r="I6129" t="s">
        <v>16</v>
      </c>
      <c r="J6129" s="1">
        <v>44629</v>
      </c>
      <c r="K6129" t="b">
        <v>0</v>
      </c>
    </row>
    <row r="6130" spans="1:11" x14ac:dyDescent="0.25">
      <c r="A6130" t="s">
        <v>4108</v>
      </c>
      <c r="B6130" t="s">
        <v>37</v>
      </c>
      <c r="C6130" t="s">
        <v>23</v>
      </c>
      <c r="D6130" t="s">
        <v>47</v>
      </c>
      <c r="E6130" s="2">
        <v>8</v>
      </c>
      <c r="F6130" s="4">
        <v>5</v>
      </c>
      <c r="G6130" s="2">
        <v>40</v>
      </c>
      <c r="H6130" t="s">
        <v>45</v>
      </c>
      <c r="I6130" t="s">
        <v>16</v>
      </c>
      <c r="J6130" s="1">
        <v>45582</v>
      </c>
      <c r="K6130" t="b">
        <v>1</v>
      </c>
    </row>
    <row r="6131" spans="1:11" x14ac:dyDescent="0.25">
      <c r="A6131" t="s">
        <v>1730</v>
      </c>
      <c r="B6131" t="s">
        <v>51</v>
      </c>
      <c r="C6131" t="s">
        <v>27</v>
      </c>
      <c r="D6131" t="s">
        <v>348</v>
      </c>
      <c r="E6131" s="2">
        <v>5</v>
      </c>
      <c r="F6131" s="4">
        <v>8</v>
      </c>
      <c r="G6131" s="2">
        <v>40</v>
      </c>
      <c r="H6131" t="s">
        <v>45</v>
      </c>
      <c r="I6131" t="s">
        <v>16</v>
      </c>
      <c r="J6131" s="1">
        <v>45593</v>
      </c>
      <c r="K6131" t="b">
        <v>0</v>
      </c>
    </row>
    <row r="6132" spans="1:11" x14ac:dyDescent="0.25">
      <c r="A6132" t="s">
        <v>5958</v>
      </c>
      <c r="B6132" t="s">
        <v>66</v>
      </c>
      <c r="C6132" t="s">
        <v>19</v>
      </c>
      <c r="D6132" t="s">
        <v>226</v>
      </c>
      <c r="E6132" s="2">
        <v>8</v>
      </c>
      <c r="F6132" s="4">
        <v>5</v>
      </c>
      <c r="G6132" s="2">
        <v>40</v>
      </c>
      <c r="H6132" t="s">
        <v>25</v>
      </c>
      <c r="I6132" t="s">
        <v>16</v>
      </c>
      <c r="J6132" s="1">
        <v>45646</v>
      </c>
      <c r="K6132" t="b">
        <v>1</v>
      </c>
    </row>
    <row r="6133" spans="1:11" x14ac:dyDescent="0.25">
      <c r="A6133" t="s">
        <v>1655</v>
      </c>
      <c r="B6133" t="s">
        <v>22</v>
      </c>
      <c r="C6133" t="s">
        <v>31</v>
      </c>
      <c r="D6133" t="s">
        <v>82</v>
      </c>
      <c r="E6133" s="2">
        <v>20</v>
      </c>
      <c r="F6133" s="4">
        <v>2</v>
      </c>
      <c r="G6133" s="2">
        <v>40</v>
      </c>
      <c r="H6133" t="s">
        <v>45</v>
      </c>
      <c r="I6133" t="s">
        <v>16</v>
      </c>
      <c r="J6133" s="1">
        <v>44654</v>
      </c>
      <c r="K6133" t="b">
        <v>0</v>
      </c>
    </row>
    <row r="6134" spans="1:11" x14ac:dyDescent="0.25">
      <c r="A6134" t="s">
        <v>5522</v>
      </c>
      <c r="B6134" t="s">
        <v>43</v>
      </c>
      <c r="C6134" t="s">
        <v>19</v>
      </c>
      <c r="D6134" t="s">
        <v>228</v>
      </c>
      <c r="E6134" s="2">
        <v>20</v>
      </c>
      <c r="F6134" s="4">
        <v>2</v>
      </c>
      <c r="G6134" s="2">
        <v>40</v>
      </c>
      <c r="H6134" t="s">
        <v>15</v>
      </c>
      <c r="I6134" t="s">
        <v>36</v>
      </c>
      <c r="J6134" s="1">
        <v>44727</v>
      </c>
      <c r="K6134" t="b">
        <v>0</v>
      </c>
    </row>
    <row r="6135" spans="1:11" x14ac:dyDescent="0.25">
      <c r="A6135" t="s">
        <v>4252</v>
      </c>
      <c r="B6135" t="s">
        <v>37</v>
      </c>
      <c r="C6135" t="s">
        <v>31</v>
      </c>
      <c r="D6135" t="s">
        <v>82</v>
      </c>
      <c r="E6135" s="2">
        <v>20</v>
      </c>
      <c r="F6135" s="4">
        <v>2</v>
      </c>
      <c r="G6135" s="2">
        <v>40</v>
      </c>
      <c r="H6135" t="s">
        <v>45</v>
      </c>
      <c r="I6135" t="s">
        <v>16</v>
      </c>
      <c r="J6135" s="1">
        <v>45423</v>
      </c>
      <c r="K6135" t="b">
        <v>0</v>
      </c>
    </row>
    <row r="6136" spans="1:11" x14ac:dyDescent="0.25">
      <c r="A6136" t="s">
        <v>552</v>
      </c>
      <c r="B6136" t="s">
        <v>30</v>
      </c>
      <c r="C6136" t="s">
        <v>13</v>
      </c>
      <c r="D6136" t="s">
        <v>146</v>
      </c>
      <c r="E6136" s="2">
        <v>5</v>
      </c>
      <c r="F6136" s="4">
        <v>8</v>
      </c>
      <c r="G6136" s="2">
        <v>40</v>
      </c>
      <c r="H6136" t="s">
        <v>25</v>
      </c>
      <c r="I6136" t="s">
        <v>16</v>
      </c>
      <c r="J6136" s="1">
        <v>44862</v>
      </c>
      <c r="K6136" t="b">
        <v>0</v>
      </c>
    </row>
    <row r="6137" spans="1:11" x14ac:dyDescent="0.25">
      <c r="A6137" t="s">
        <v>4671</v>
      </c>
      <c r="B6137" t="s">
        <v>22</v>
      </c>
      <c r="C6137" t="s">
        <v>38</v>
      </c>
      <c r="D6137" t="s">
        <v>159</v>
      </c>
      <c r="E6137" s="2">
        <v>20</v>
      </c>
      <c r="F6137" s="4">
        <v>2</v>
      </c>
      <c r="G6137" s="2">
        <v>40</v>
      </c>
      <c r="H6137" t="s">
        <v>25</v>
      </c>
      <c r="I6137" t="s">
        <v>16</v>
      </c>
      <c r="J6137" s="1">
        <v>44894</v>
      </c>
      <c r="K6137" t="b">
        <v>0</v>
      </c>
    </row>
    <row r="6138" spans="1:11" x14ac:dyDescent="0.25">
      <c r="A6138" t="s">
        <v>7358</v>
      </c>
      <c r="B6138" t="s">
        <v>97</v>
      </c>
      <c r="C6138" t="s">
        <v>19</v>
      </c>
      <c r="D6138" t="s">
        <v>228</v>
      </c>
      <c r="E6138" s="2">
        <v>20</v>
      </c>
      <c r="F6138" s="4">
        <v>2</v>
      </c>
      <c r="G6138" s="2">
        <v>40</v>
      </c>
      <c r="H6138" t="s">
        <v>25</v>
      </c>
      <c r="I6138" t="s">
        <v>36</v>
      </c>
      <c r="J6138" s="1">
        <v>44570</v>
      </c>
      <c r="K6138" t="b">
        <v>0</v>
      </c>
    </row>
    <row r="6139" spans="1:11" x14ac:dyDescent="0.25">
      <c r="A6139" t="s">
        <v>1475</v>
      </c>
      <c r="B6139" t="s">
        <v>69</v>
      </c>
      <c r="C6139" t="s">
        <v>59</v>
      </c>
      <c r="D6139" t="s">
        <v>365</v>
      </c>
      <c r="E6139" s="2">
        <v>20</v>
      </c>
      <c r="F6139" s="4">
        <v>2</v>
      </c>
      <c r="G6139" s="2">
        <v>40</v>
      </c>
      <c r="H6139" t="s">
        <v>15</v>
      </c>
      <c r="I6139" t="s">
        <v>36</v>
      </c>
      <c r="J6139" s="1">
        <v>45285</v>
      </c>
      <c r="K6139" t="b">
        <v>0</v>
      </c>
    </row>
    <row r="6140" spans="1:11" x14ac:dyDescent="0.25">
      <c r="A6140" t="s">
        <v>2457</v>
      </c>
      <c r="B6140" t="s">
        <v>56</v>
      </c>
      <c r="C6140" t="s">
        <v>13</v>
      </c>
      <c r="D6140" t="s">
        <v>146</v>
      </c>
      <c r="E6140" s="2">
        <v>5</v>
      </c>
      <c r="F6140" s="4">
        <v>8</v>
      </c>
      <c r="G6140" s="2">
        <v>40</v>
      </c>
      <c r="H6140" t="s">
        <v>45</v>
      </c>
      <c r="I6140" t="s">
        <v>16</v>
      </c>
      <c r="J6140" s="1">
        <v>45148</v>
      </c>
      <c r="K6140" t="b">
        <v>1</v>
      </c>
    </row>
    <row r="6141" spans="1:11" x14ac:dyDescent="0.25">
      <c r="A6141" t="s">
        <v>721</v>
      </c>
      <c r="B6141" t="s">
        <v>26</v>
      </c>
      <c r="C6141" t="s">
        <v>59</v>
      </c>
      <c r="D6141" t="s">
        <v>365</v>
      </c>
      <c r="E6141" s="2">
        <v>20</v>
      </c>
      <c r="F6141" s="4">
        <v>2</v>
      </c>
      <c r="G6141" s="2">
        <v>40</v>
      </c>
      <c r="H6141" t="s">
        <v>25</v>
      </c>
      <c r="I6141" t="s">
        <v>36</v>
      </c>
      <c r="J6141" s="1">
        <v>44600</v>
      </c>
      <c r="K6141" t="b">
        <v>1</v>
      </c>
    </row>
    <row r="6142" spans="1:11" x14ac:dyDescent="0.25">
      <c r="A6142" t="s">
        <v>2051</v>
      </c>
      <c r="B6142" t="s">
        <v>34</v>
      </c>
      <c r="C6142" t="s">
        <v>19</v>
      </c>
      <c r="D6142" t="s">
        <v>228</v>
      </c>
      <c r="E6142" s="2">
        <v>20</v>
      </c>
      <c r="F6142" s="4">
        <v>2</v>
      </c>
      <c r="G6142" s="2">
        <v>40</v>
      </c>
      <c r="H6142" t="s">
        <v>45</v>
      </c>
      <c r="I6142" t="s">
        <v>36</v>
      </c>
      <c r="J6142" s="1">
        <v>44646</v>
      </c>
      <c r="K6142" t="b">
        <v>0</v>
      </c>
    </row>
    <row r="6143" spans="1:11" x14ac:dyDescent="0.25">
      <c r="A6143" t="s">
        <v>3784</v>
      </c>
      <c r="B6143" t="s">
        <v>18</v>
      </c>
      <c r="C6143" t="s">
        <v>38</v>
      </c>
      <c r="D6143" t="s">
        <v>159</v>
      </c>
      <c r="E6143" s="2">
        <v>20</v>
      </c>
      <c r="F6143" s="4">
        <v>2</v>
      </c>
      <c r="G6143" s="2">
        <v>40</v>
      </c>
      <c r="H6143" t="s">
        <v>45</v>
      </c>
      <c r="I6143" t="s">
        <v>36</v>
      </c>
      <c r="J6143" s="1">
        <v>45418</v>
      </c>
      <c r="K6143" t="b">
        <v>0</v>
      </c>
    </row>
    <row r="6144" spans="1:11" x14ac:dyDescent="0.25">
      <c r="A6144" t="s">
        <v>6622</v>
      </c>
      <c r="B6144" t="s">
        <v>63</v>
      </c>
      <c r="C6144" t="s">
        <v>19</v>
      </c>
      <c r="D6144" t="s">
        <v>226</v>
      </c>
      <c r="E6144" s="2">
        <v>8</v>
      </c>
      <c r="F6144" s="4">
        <v>5</v>
      </c>
      <c r="G6144" s="2">
        <v>40</v>
      </c>
      <c r="H6144" t="s">
        <v>25</v>
      </c>
      <c r="I6144" t="s">
        <v>16</v>
      </c>
      <c r="J6144" s="1">
        <v>45498</v>
      </c>
      <c r="K6144" t="b">
        <v>1</v>
      </c>
    </row>
    <row r="6145" spans="1:11" x14ac:dyDescent="0.25">
      <c r="A6145" t="s">
        <v>6316</v>
      </c>
      <c r="B6145" t="s">
        <v>72</v>
      </c>
      <c r="C6145" t="s">
        <v>19</v>
      </c>
      <c r="D6145" t="s">
        <v>219</v>
      </c>
      <c r="E6145" s="2">
        <v>5</v>
      </c>
      <c r="F6145" s="4">
        <v>8</v>
      </c>
      <c r="G6145" s="2">
        <v>40</v>
      </c>
      <c r="H6145" t="s">
        <v>45</v>
      </c>
      <c r="I6145" t="s">
        <v>36</v>
      </c>
      <c r="J6145" s="1">
        <v>45571</v>
      </c>
      <c r="K6145" t="b">
        <v>0</v>
      </c>
    </row>
    <row r="6146" spans="1:11" x14ac:dyDescent="0.25">
      <c r="A6146" t="s">
        <v>33</v>
      </c>
      <c r="B6146" t="s">
        <v>34</v>
      </c>
      <c r="C6146" t="s">
        <v>31</v>
      </c>
      <c r="D6146" t="s">
        <v>35</v>
      </c>
      <c r="E6146" s="2">
        <v>5</v>
      </c>
      <c r="F6146" s="4">
        <v>8</v>
      </c>
      <c r="G6146" s="2">
        <v>40</v>
      </c>
      <c r="H6146" t="s">
        <v>25</v>
      </c>
      <c r="I6146" t="s">
        <v>36</v>
      </c>
      <c r="J6146" s="1">
        <v>45087</v>
      </c>
      <c r="K6146" t="b">
        <v>1</v>
      </c>
    </row>
    <row r="6147" spans="1:11" x14ac:dyDescent="0.25">
      <c r="A6147" t="s">
        <v>3063</v>
      </c>
      <c r="B6147" t="s">
        <v>100</v>
      </c>
      <c r="C6147" t="s">
        <v>38</v>
      </c>
      <c r="D6147" t="s">
        <v>159</v>
      </c>
      <c r="E6147" s="2">
        <v>20</v>
      </c>
      <c r="F6147" s="4">
        <v>2</v>
      </c>
      <c r="G6147" s="2">
        <v>40</v>
      </c>
      <c r="H6147" t="s">
        <v>45</v>
      </c>
      <c r="I6147" t="s">
        <v>36</v>
      </c>
      <c r="J6147" s="1">
        <v>44754</v>
      </c>
      <c r="K6147" t="b">
        <v>1</v>
      </c>
    </row>
    <row r="6148" spans="1:11" x14ac:dyDescent="0.25">
      <c r="A6148" t="s">
        <v>6117</v>
      </c>
      <c r="B6148" t="s">
        <v>12</v>
      </c>
      <c r="C6148" t="s">
        <v>27</v>
      </c>
      <c r="D6148" t="s">
        <v>95</v>
      </c>
      <c r="E6148" s="2">
        <v>20</v>
      </c>
      <c r="F6148" s="4">
        <v>2</v>
      </c>
      <c r="G6148" s="2">
        <v>40</v>
      </c>
      <c r="H6148" t="s">
        <v>25</v>
      </c>
      <c r="I6148" t="s">
        <v>36</v>
      </c>
      <c r="J6148" s="1">
        <v>45196</v>
      </c>
      <c r="K6148" t="b">
        <v>0</v>
      </c>
    </row>
    <row r="6149" spans="1:11" x14ac:dyDescent="0.25">
      <c r="A6149" t="s">
        <v>5110</v>
      </c>
      <c r="B6149" t="s">
        <v>30</v>
      </c>
      <c r="C6149" t="s">
        <v>59</v>
      </c>
      <c r="D6149" t="s">
        <v>365</v>
      </c>
      <c r="E6149" s="2">
        <v>20</v>
      </c>
      <c r="F6149" s="4">
        <v>2</v>
      </c>
      <c r="G6149" s="2">
        <v>40</v>
      </c>
      <c r="H6149" t="s">
        <v>25</v>
      </c>
      <c r="I6149" t="s">
        <v>36</v>
      </c>
      <c r="J6149" s="1">
        <v>45609</v>
      </c>
      <c r="K6149" t="b">
        <v>0</v>
      </c>
    </row>
    <row r="6150" spans="1:11" x14ac:dyDescent="0.25">
      <c r="A6150" t="s">
        <v>5669</v>
      </c>
      <c r="B6150" t="s">
        <v>100</v>
      </c>
      <c r="C6150" t="s">
        <v>38</v>
      </c>
      <c r="D6150" t="s">
        <v>697</v>
      </c>
      <c r="E6150" s="2">
        <v>8</v>
      </c>
      <c r="F6150" s="4">
        <v>5</v>
      </c>
      <c r="G6150" s="2">
        <v>40</v>
      </c>
      <c r="H6150" t="s">
        <v>15</v>
      </c>
      <c r="I6150" t="s">
        <v>16</v>
      </c>
      <c r="J6150" s="1">
        <v>45035</v>
      </c>
      <c r="K6150" t="b">
        <v>0</v>
      </c>
    </row>
    <row r="6151" spans="1:11" x14ac:dyDescent="0.25">
      <c r="A6151" t="s">
        <v>1245</v>
      </c>
      <c r="B6151" t="s">
        <v>61</v>
      </c>
      <c r="C6151" t="s">
        <v>19</v>
      </c>
      <c r="D6151" t="s">
        <v>228</v>
      </c>
      <c r="E6151" s="2">
        <v>20</v>
      </c>
      <c r="F6151" s="4">
        <v>2</v>
      </c>
      <c r="G6151" s="2">
        <v>40</v>
      </c>
      <c r="H6151" t="s">
        <v>45</v>
      </c>
      <c r="I6151" t="s">
        <v>36</v>
      </c>
      <c r="J6151" s="1">
        <v>45636</v>
      </c>
      <c r="K6151" t="b">
        <v>0</v>
      </c>
    </row>
    <row r="6152" spans="1:11" x14ac:dyDescent="0.25">
      <c r="A6152" t="s">
        <v>7302</v>
      </c>
      <c r="B6152" t="s">
        <v>61</v>
      </c>
      <c r="C6152" t="s">
        <v>23</v>
      </c>
      <c r="D6152" t="s">
        <v>666</v>
      </c>
      <c r="E6152" s="2">
        <v>20</v>
      </c>
      <c r="F6152" s="4">
        <v>2</v>
      </c>
      <c r="G6152" s="2">
        <v>40</v>
      </c>
      <c r="H6152" t="s">
        <v>15</v>
      </c>
      <c r="I6152" t="s">
        <v>36</v>
      </c>
      <c r="J6152" s="1">
        <v>45338</v>
      </c>
      <c r="K6152" t="b">
        <v>0</v>
      </c>
    </row>
    <row r="6153" spans="1:11" x14ac:dyDescent="0.25">
      <c r="A6153" t="s">
        <v>7790</v>
      </c>
      <c r="B6153" t="s">
        <v>37</v>
      </c>
      <c r="C6153" t="s">
        <v>38</v>
      </c>
      <c r="D6153" t="s">
        <v>225</v>
      </c>
      <c r="E6153" s="2">
        <v>5</v>
      </c>
      <c r="F6153" s="4">
        <v>8</v>
      </c>
      <c r="G6153" s="2">
        <v>40</v>
      </c>
      <c r="H6153" t="s">
        <v>25</v>
      </c>
      <c r="I6153" t="s">
        <v>16</v>
      </c>
      <c r="J6153" s="1">
        <v>44972</v>
      </c>
      <c r="K6153" t="b">
        <v>1</v>
      </c>
    </row>
    <row r="6154" spans="1:11" x14ac:dyDescent="0.25">
      <c r="A6154" t="s">
        <v>7824</v>
      </c>
      <c r="B6154" t="s">
        <v>43</v>
      </c>
      <c r="C6154" t="s">
        <v>23</v>
      </c>
      <c r="D6154" t="s">
        <v>47</v>
      </c>
      <c r="E6154" s="2">
        <v>8</v>
      </c>
      <c r="F6154" s="4">
        <v>5</v>
      </c>
      <c r="G6154" s="2">
        <v>40</v>
      </c>
      <c r="H6154" t="s">
        <v>25</v>
      </c>
      <c r="I6154" t="s">
        <v>36</v>
      </c>
      <c r="J6154" s="1">
        <v>45013</v>
      </c>
      <c r="K6154" t="b">
        <v>0</v>
      </c>
    </row>
    <row r="6155" spans="1:11" x14ac:dyDescent="0.25">
      <c r="A6155" t="s">
        <v>2815</v>
      </c>
      <c r="B6155" t="s">
        <v>77</v>
      </c>
      <c r="C6155" t="s">
        <v>27</v>
      </c>
      <c r="D6155" t="s">
        <v>357</v>
      </c>
      <c r="E6155" s="2">
        <v>8</v>
      </c>
      <c r="F6155" s="4">
        <v>5</v>
      </c>
      <c r="G6155" s="2">
        <v>40</v>
      </c>
      <c r="H6155" t="s">
        <v>45</v>
      </c>
      <c r="I6155" t="s">
        <v>36</v>
      </c>
      <c r="J6155" s="1">
        <v>45577</v>
      </c>
      <c r="K6155" t="b">
        <v>1</v>
      </c>
    </row>
    <row r="6156" spans="1:11" x14ac:dyDescent="0.25">
      <c r="A6156" t="s">
        <v>850</v>
      </c>
      <c r="B6156" t="s">
        <v>58</v>
      </c>
      <c r="C6156" t="s">
        <v>13</v>
      </c>
      <c r="D6156" t="s">
        <v>146</v>
      </c>
      <c r="E6156" s="2">
        <v>5</v>
      </c>
      <c r="F6156" s="4">
        <v>8</v>
      </c>
      <c r="G6156" s="2">
        <v>40</v>
      </c>
      <c r="H6156" t="s">
        <v>25</v>
      </c>
      <c r="I6156" t="s">
        <v>36</v>
      </c>
      <c r="J6156" s="1">
        <v>45084</v>
      </c>
      <c r="K6156" t="b">
        <v>1</v>
      </c>
    </row>
    <row r="6157" spans="1:11" x14ac:dyDescent="0.25">
      <c r="A6157" t="s">
        <v>1526</v>
      </c>
      <c r="B6157" t="s">
        <v>72</v>
      </c>
      <c r="C6157" t="s">
        <v>59</v>
      </c>
      <c r="D6157" t="s">
        <v>365</v>
      </c>
      <c r="E6157" s="2">
        <v>20</v>
      </c>
      <c r="F6157" s="4">
        <v>2</v>
      </c>
      <c r="G6157" s="2">
        <v>40</v>
      </c>
      <c r="H6157" t="s">
        <v>45</v>
      </c>
      <c r="I6157" t="s">
        <v>36</v>
      </c>
      <c r="J6157" s="1">
        <v>45319</v>
      </c>
      <c r="K6157" t="b">
        <v>0</v>
      </c>
    </row>
    <row r="6158" spans="1:11" x14ac:dyDescent="0.25">
      <c r="A6158" t="s">
        <v>7509</v>
      </c>
      <c r="B6158" t="s">
        <v>63</v>
      </c>
      <c r="C6158" t="s">
        <v>23</v>
      </c>
      <c r="D6158" t="s">
        <v>47</v>
      </c>
      <c r="E6158" s="2">
        <v>8</v>
      </c>
      <c r="F6158" s="4">
        <v>5</v>
      </c>
      <c r="G6158" s="2">
        <v>40</v>
      </c>
      <c r="H6158" t="s">
        <v>25</v>
      </c>
      <c r="I6158" t="s">
        <v>36</v>
      </c>
      <c r="J6158" s="1">
        <v>44648</v>
      </c>
      <c r="K6158" t="b">
        <v>1</v>
      </c>
    </row>
    <row r="6159" spans="1:11" x14ac:dyDescent="0.25">
      <c r="A6159" t="s">
        <v>2644</v>
      </c>
      <c r="B6159" t="s">
        <v>69</v>
      </c>
      <c r="C6159" t="s">
        <v>38</v>
      </c>
      <c r="D6159" t="s">
        <v>225</v>
      </c>
      <c r="E6159" s="2">
        <v>5</v>
      </c>
      <c r="F6159" s="4">
        <v>8</v>
      </c>
      <c r="G6159" s="2">
        <v>40</v>
      </c>
      <c r="H6159" t="s">
        <v>45</v>
      </c>
      <c r="I6159" t="s">
        <v>16</v>
      </c>
      <c r="J6159" s="1">
        <v>45359</v>
      </c>
      <c r="K6159" t="b">
        <v>0</v>
      </c>
    </row>
    <row r="6160" spans="1:11" x14ac:dyDescent="0.25">
      <c r="A6160" t="s">
        <v>4627</v>
      </c>
      <c r="B6160" t="s">
        <v>12</v>
      </c>
      <c r="C6160" t="s">
        <v>19</v>
      </c>
      <c r="D6160" t="s">
        <v>219</v>
      </c>
      <c r="E6160" s="2">
        <v>5</v>
      </c>
      <c r="F6160" s="4">
        <v>8</v>
      </c>
      <c r="G6160" s="2">
        <v>40</v>
      </c>
      <c r="H6160" t="s">
        <v>25</v>
      </c>
      <c r="I6160" t="s">
        <v>36</v>
      </c>
      <c r="J6160" s="1">
        <v>45218</v>
      </c>
      <c r="K6160" t="b">
        <v>1</v>
      </c>
    </row>
    <row r="6161" spans="1:11" x14ac:dyDescent="0.25">
      <c r="A6161" t="s">
        <v>6682</v>
      </c>
      <c r="B6161" t="s">
        <v>86</v>
      </c>
      <c r="C6161" t="s">
        <v>27</v>
      </c>
      <c r="D6161" t="s">
        <v>357</v>
      </c>
      <c r="E6161" s="2">
        <v>8</v>
      </c>
      <c r="F6161" s="4">
        <v>5</v>
      </c>
      <c r="G6161" s="2">
        <v>40</v>
      </c>
      <c r="H6161" t="s">
        <v>45</v>
      </c>
      <c r="I6161" t="s">
        <v>16</v>
      </c>
      <c r="J6161" s="1">
        <v>45199</v>
      </c>
      <c r="K6161" t="b">
        <v>0</v>
      </c>
    </row>
    <row r="6162" spans="1:11" x14ac:dyDescent="0.25">
      <c r="A6162" t="s">
        <v>4572</v>
      </c>
      <c r="B6162" t="s">
        <v>77</v>
      </c>
      <c r="C6162" t="s">
        <v>23</v>
      </c>
      <c r="D6162" t="s">
        <v>47</v>
      </c>
      <c r="E6162" s="2">
        <v>8</v>
      </c>
      <c r="F6162" s="4">
        <v>5</v>
      </c>
      <c r="G6162" s="2">
        <v>40</v>
      </c>
      <c r="H6162" t="s">
        <v>45</v>
      </c>
      <c r="I6162" t="s">
        <v>16</v>
      </c>
      <c r="J6162" s="1">
        <v>45521</v>
      </c>
      <c r="K6162" t="b">
        <v>0</v>
      </c>
    </row>
    <row r="6163" spans="1:11" x14ac:dyDescent="0.25">
      <c r="A6163" t="s">
        <v>3431</v>
      </c>
      <c r="B6163" t="s">
        <v>61</v>
      </c>
      <c r="C6163" t="s">
        <v>110</v>
      </c>
      <c r="D6163" t="s">
        <v>263</v>
      </c>
      <c r="E6163" s="2">
        <v>20</v>
      </c>
      <c r="F6163" s="4">
        <v>2</v>
      </c>
      <c r="G6163" s="2">
        <v>40</v>
      </c>
      <c r="H6163" t="s">
        <v>25</v>
      </c>
      <c r="I6163" t="s">
        <v>16</v>
      </c>
      <c r="J6163" s="1">
        <v>44698</v>
      </c>
      <c r="K6163" t="b">
        <v>0</v>
      </c>
    </row>
    <row r="6164" spans="1:11" x14ac:dyDescent="0.25">
      <c r="A6164" t="s">
        <v>4750</v>
      </c>
      <c r="B6164" t="s">
        <v>30</v>
      </c>
      <c r="C6164" t="s">
        <v>59</v>
      </c>
      <c r="D6164" t="s">
        <v>279</v>
      </c>
      <c r="E6164" s="2">
        <v>5</v>
      </c>
      <c r="F6164" s="4">
        <v>8</v>
      </c>
      <c r="G6164" s="2">
        <v>40</v>
      </c>
      <c r="H6164" t="s">
        <v>15</v>
      </c>
      <c r="I6164" t="s">
        <v>16</v>
      </c>
      <c r="J6164" s="1">
        <v>44891</v>
      </c>
      <c r="K6164" t="b">
        <v>1</v>
      </c>
    </row>
    <row r="6165" spans="1:11" x14ac:dyDescent="0.25">
      <c r="A6165" t="s">
        <v>2619</v>
      </c>
      <c r="B6165" t="s">
        <v>56</v>
      </c>
      <c r="C6165" t="s">
        <v>59</v>
      </c>
      <c r="D6165" t="s">
        <v>1845</v>
      </c>
      <c r="E6165" s="2">
        <v>8</v>
      </c>
      <c r="F6165" s="4">
        <v>5</v>
      </c>
      <c r="G6165" s="2">
        <v>40</v>
      </c>
      <c r="H6165" t="s">
        <v>45</v>
      </c>
      <c r="I6165" t="s">
        <v>16</v>
      </c>
      <c r="J6165" s="1">
        <v>44948</v>
      </c>
      <c r="K6165" t="b">
        <v>1</v>
      </c>
    </row>
    <row r="6166" spans="1:11" x14ac:dyDescent="0.25">
      <c r="A6166" t="s">
        <v>2966</v>
      </c>
      <c r="B6166" t="s">
        <v>93</v>
      </c>
      <c r="C6166" t="s">
        <v>13</v>
      </c>
      <c r="D6166" t="s">
        <v>146</v>
      </c>
      <c r="E6166" s="2">
        <v>5</v>
      </c>
      <c r="F6166" s="4">
        <v>8</v>
      </c>
      <c r="G6166" s="2">
        <v>40</v>
      </c>
      <c r="H6166" t="s">
        <v>25</v>
      </c>
      <c r="I6166" t="s">
        <v>36</v>
      </c>
      <c r="J6166" s="1">
        <v>44737</v>
      </c>
      <c r="K6166" t="b">
        <v>1</v>
      </c>
    </row>
    <row r="6167" spans="1:11" x14ac:dyDescent="0.25">
      <c r="A6167" t="s">
        <v>1255</v>
      </c>
      <c r="B6167" t="s">
        <v>58</v>
      </c>
      <c r="C6167" t="s">
        <v>27</v>
      </c>
      <c r="D6167" t="s">
        <v>357</v>
      </c>
      <c r="E6167" s="2">
        <v>8</v>
      </c>
      <c r="F6167" s="4">
        <v>5</v>
      </c>
      <c r="G6167" s="2">
        <v>40</v>
      </c>
      <c r="H6167" t="s">
        <v>25</v>
      </c>
      <c r="I6167" t="s">
        <v>16</v>
      </c>
      <c r="J6167" s="1">
        <v>44785</v>
      </c>
      <c r="K6167" t="b">
        <v>0</v>
      </c>
    </row>
    <row r="6168" spans="1:11" x14ac:dyDescent="0.25">
      <c r="A6168" t="s">
        <v>1520</v>
      </c>
      <c r="B6168" t="s">
        <v>18</v>
      </c>
      <c r="C6168" t="s">
        <v>19</v>
      </c>
      <c r="D6168" t="s">
        <v>219</v>
      </c>
      <c r="E6168" s="2">
        <v>5</v>
      </c>
      <c r="F6168" s="4">
        <v>8</v>
      </c>
      <c r="G6168" s="2">
        <v>40</v>
      </c>
      <c r="H6168" t="s">
        <v>15</v>
      </c>
      <c r="I6168" t="s">
        <v>16</v>
      </c>
      <c r="J6168" s="1">
        <v>44905</v>
      </c>
      <c r="K6168" t="b">
        <v>1</v>
      </c>
    </row>
    <row r="6169" spans="1:11" x14ac:dyDescent="0.25">
      <c r="A6169" t="s">
        <v>5802</v>
      </c>
      <c r="B6169" t="s">
        <v>85</v>
      </c>
      <c r="C6169" t="s">
        <v>13</v>
      </c>
      <c r="D6169" t="s">
        <v>969</v>
      </c>
      <c r="E6169" s="2">
        <v>8</v>
      </c>
      <c r="F6169" s="4">
        <v>5</v>
      </c>
      <c r="G6169" s="2">
        <v>40</v>
      </c>
      <c r="H6169" t="s">
        <v>15</v>
      </c>
      <c r="I6169" t="s">
        <v>16</v>
      </c>
      <c r="J6169" s="1">
        <v>45348</v>
      </c>
      <c r="K6169" t="b">
        <v>0</v>
      </c>
    </row>
    <row r="6170" spans="1:11" x14ac:dyDescent="0.25">
      <c r="A6170" t="s">
        <v>1503</v>
      </c>
      <c r="B6170" t="s">
        <v>77</v>
      </c>
      <c r="C6170" t="s">
        <v>110</v>
      </c>
      <c r="D6170" t="s">
        <v>263</v>
      </c>
      <c r="E6170" s="2">
        <v>20</v>
      </c>
      <c r="F6170" s="4">
        <v>2</v>
      </c>
      <c r="G6170" s="2">
        <v>40</v>
      </c>
      <c r="H6170" t="s">
        <v>25</v>
      </c>
      <c r="I6170" t="s">
        <v>36</v>
      </c>
      <c r="J6170" s="1">
        <v>45252</v>
      </c>
      <c r="K6170" t="b">
        <v>0</v>
      </c>
    </row>
    <row r="6171" spans="1:11" x14ac:dyDescent="0.25">
      <c r="A6171" t="s">
        <v>3635</v>
      </c>
      <c r="B6171" t="s">
        <v>37</v>
      </c>
      <c r="C6171" t="s">
        <v>19</v>
      </c>
      <c r="D6171" t="s">
        <v>219</v>
      </c>
      <c r="E6171" s="2">
        <v>5</v>
      </c>
      <c r="F6171" s="4">
        <v>8</v>
      </c>
      <c r="G6171" s="2">
        <v>40</v>
      </c>
      <c r="H6171" t="s">
        <v>25</v>
      </c>
      <c r="I6171" t="s">
        <v>16</v>
      </c>
      <c r="J6171" s="1">
        <v>45582</v>
      </c>
      <c r="K6171" t="b">
        <v>1</v>
      </c>
    </row>
    <row r="6172" spans="1:11" x14ac:dyDescent="0.25">
      <c r="A6172" t="s">
        <v>1576</v>
      </c>
      <c r="B6172" t="s">
        <v>72</v>
      </c>
      <c r="C6172" t="s">
        <v>19</v>
      </c>
      <c r="D6172" t="s">
        <v>226</v>
      </c>
      <c r="E6172" s="2">
        <v>8</v>
      </c>
      <c r="F6172" s="4">
        <v>5</v>
      </c>
      <c r="G6172" s="2">
        <v>40</v>
      </c>
      <c r="H6172" t="s">
        <v>45</v>
      </c>
      <c r="I6172" t="s">
        <v>36</v>
      </c>
      <c r="J6172" s="1">
        <v>45497</v>
      </c>
      <c r="K6172" t="b">
        <v>0</v>
      </c>
    </row>
    <row r="6173" spans="1:11" x14ac:dyDescent="0.25">
      <c r="A6173" t="s">
        <v>7535</v>
      </c>
      <c r="B6173" t="s">
        <v>77</v>
      </c>
      <c r="C6173" t="s">
        <v>59</v>
      </c>
      <c r="D6173" t="s">
        <v>279</v>
      </c>
      <c r="E6173" s="2">
        <v>5</v>
      </c>
      <c r="F6173" s="4">
        <v>8</v>
      </c>
      <c r="G6173" s="2">
        <v>40</v>
      </c>
      <c r="H6173" t="s">
        <v>25</v>
      </c>
      <c r="I6173" t="s">
        <v>36</v>
      </c>
      <c r="J6173" s="1">
        <v>45070</v>
      </c>
      <c r="K6173" t="b">
        <v>0</v>
      </c>
    </row>
    <row r="6174" spans="1:11" x14ac:dyDescent="0.25">
      <c r="A6174" t="s">
        <v>6814</v>
      </c>
      <c r="B6174" t="s">
        <v>58</v>
      </c>
      <c r="C6174" t="s">
        <v>38</v>
      </c>
      <c r="D6174" t="s">
        <v>159</v>
      </c>
      <c r="E6174" s="2">
        <v>20</v>
      </c>
      <c r="F6174" s="4">
        <v>2</v>
      </c>
      <c r="G6174" s="2">
        <v>40</v>
      </c>
      <c r="H6174" t="s">
        <v>45</v>
      </c>
      <c r="I6174" t="s">
        <v>36</v>
      </c>
      <c r="J6174" s="1">
        <v>45085</v>
      </c>
      <c r="K6174" t="b">
        <v>0</v>
      </c>
    </row>
    <row r="6175" spans="1:11" x14ac:dyDescent="0.25">
      <c r="A6175" t="s">
        <v>6254</v>
      </c>
      <c r="B6175" t="s">
        <v>56</v>
      </c>
      <c r="C6175" t="s">
        <v>13</v>
      </c>
      <c r="D6175" t="s">
        <v>146</v>
      </c>
      <c r="E6175" s="2">
        <v>5</v>
      </c>
      <c r="F6175" s="4">
        <v>8</v>
      </c>
      <c r="G6175" s="2">
        <v>40</v>
      </c>
      <c r="H6175" t="s">
        <v>45</v>
      </c>
      <c r="I6175" t="s">
        <v>36</v>
      </c>
      <c r="J6175" s="1">
        <v>45553</v>
      </c>
      <c r="K6175" t="b">
        <v>1</v>
      </c>
    </row>
    <row r="6176" spans="1:11" x14ac:dyDescent="0.25">
      <c r="A6176" t="s">
        <v>6234</v>
      </c>
      <c r="B6176" t="s">
        <v>104</v>
      </c>
      <c r="C6176" t="s">
        <v>23</v>
      </c>
      <c r="D6176" t="s">
        <v>666</v>
      </c>
      <c r="E6176" s="2">
        <v>20</v>
      </c>
      <c r="F6176" s="4">
        <v>2</v>
      </c>
      <c r="G6176" s="2">
        <v>40</v>
      </c>
      <c r="H6176" t="s">
        <v>25</v>
      </c>
      <c r="I6176" t="s">
        <v>36</v>
      </c>
      <c r="J6176" s="1">
        <v>44641</v>
      </c>
      <c r="K6176" t="b">
        <v>1</v>
      </c>
    </row>
    <row r="6177" spans="1:11" x14ac:dyDescent="0.25">
      <c r="A6177" t="s">
        <v>1019</v>
      </c>
      <c r="B6177" t="s">
        <v>18</v>
      </c>
      <c r="C6177" t="s">
        <v>19</v>
      </c>
      <c r="D6177" t="s">
        <v>219</v>
      </c>
      <c r="E6177" s="2">
        <v>5</v>
      </c>
      <c r="F6177" s="4">
        <v>8</v>
      </c>
      <c r="G6177" s="2">
        <v>40</v>
      </c>
      <c r="H6177" t="s">
        <v>45</v>
      </c>
      <c r="I6177" t="s">
        <v>36</v>
      </c>
      <c r="J6177" s="1">
        <v>45000</v>
      </c>
      <c r="K6177" t="b">
        <v>1</v>
      </c>
    </row>
    <row r="6178" spans="1:11" x14ac:dyDescent="0.25">
      <c r="A6178" t="s">
        <v>575</v>
      </c>
      <c r="B6178" t="s">
        <v>22</v>
      </c>
      <c r="C6178" t="s">
        <v>38</v>
      </c>
      <c r="D6178" t="s">
        <v>159</v>
      </c>
      <c r="E6178" s="2">
        <v>20</v>
      </c>
      <c r="F6178" s="4">
        <v>2</v>
      </c>
      <c r="G6178" s="2">
        <v>40</v>
      </c>
      <c r="H6178" t="s">
        <v>45</v>
      </c>
      <c r="I6178" t="s">
        <v>16</v>
      </c>
      <c r="J6178" s="1">
        <v>45429</v>
      </c>
      <c r="K6178" t="b">
        <v>0</v>
      </c>
    </row>
    <row r="6179" spans="1:11" x14ac:dyDescent="0.25">
      <c r="A6179" t="s">
        <v>6304</v>
      </c>
      <c r="B6179" t="s">
        <v>30</v>
      </c>
      <c r="C6179" t="s">
        <v>13</v>
      </c>
      <c r="D6179" t="s">
        <v>113</v>
      </c>
      <c r="E6179" s="2">
        <v>20</v>
      </c>
      <c r="F6179" s="4">
        <v>2</v>
      </c>
      <c r="G6179" s="2">
        <v>40</v>
      </c>
      <c r="H6179" t="s">
        <v>45</v>
      </c>
      <c r="I6179" t="s">
        <v>16</v>
      </c>
      <c r="J6179" s="1">
        <v>45231</v>
      </c>
      <c r="K6179" t="b">
        <v>1</v>
      </c>
    </row>
    <row r="6180" spans="1:11" x14ac:dyDescent="0.25">
      <c r="A6180" t="s">
        <v>6910</v>
      </c>
      <c r="B6180" t="s">
        <v>77</v>
      </c>
      <c r="C6180" t="s">
        <v>27</v>
      </c>
      <c r="D6180" t="s">
        <v>95</v>
      </c>
      <c r="E6180" s="2">
        <v>20</v>
      </c>
      <c r="F6180" s="4">
        <v>2</v>
      </c>
      <c r="G6180" s="2">
        <v>40</v>
      </c>
      <c r="H6180" t="s">
        <v>25</v>
      </c>
      <c r="I6180" t="s">
        <v>16</v>
      </c>
      <c r="J6180" s="1">
        <v>44684</v>
      </c>
      <c r="K6180" t="b">
        <v>0</v>
      </c>
    </row>
    <row r="6181" spans="1:11" x14ac:dyDescent="0.25">
      <c r="A6181" t="s">
        <v>2656</v>
      </c>
      <c r="B6181" t="s">
        <v>61</v>
      </c>
      <c r="C6181" t="s">
        <v>38</v>
      </c>
      <c r="D6181" t="s">
        <v>225</v>
      </c>
      <c r="E6181" s="2">
        <v>5</v>
      </c>
      <c r="F6181" s="4">
        <v>8</v>
      </c>
      <c r="G6181" s="2">
        <v>40</v>
      </c>
      <c r="H6181" t="s">
        <v>25</v>
      </c>
      <c r="I6181" t="s">
        <v>36</v>
      </c>
      <c r="J6181" s="1">
        <v>44705</v>
      </c>
      <c r="K6181" t="b">
        <v>1</v>
      </c>
    </row>
    <row r="6182" spans="1:11" x14ac:dyDescent="0.25">
      <c r="A6182" t="s">
        <v>5259</v>
      </c>
      <c r="B6182" t="s">
        <v>66</v>
      </c>
      <c r="C6182" t="s">
        <v>59</v>
      </c>
      <c r="D6182" t="s">
        <v>279</v>
      </c>
      <c r="E6182" s="2">
        <v>5</v>
      </c>
      <c r="F6182" s="4">
        <v>8</v>
      </c>
      <c r="G6182" s="2">
        <v>40</v>
      </c>
      <c r="H6182" t="s">
        <v>15</v>
      </c>
      <c r="I6182" t="s">
        <v>36</v>
      </c>
      <c r="J6182" s="1">
        <v>45625</v>
      </c>
      <c r="K6182" t="b">
        <v>1</v>
      </c>
    </row>
    <row r="6183" spans="1:11" x14ac:dyDescent="0.25">
      <c r="A6183" t="s">
        <v>4149</v>
      </c>
      <c r="B6183" t="s">
        <v>40</v>
      </c>
      <c r="C6183" t="s">
        <v>13</v>
      </c>
      <c r="D6183" t="s">
        <v>113</v>
      </c>
      <c r="E6183" s="2">
        <v>20</v>
      </c>
      <c r="F6183" s="4">
        <v>2</v>
      </c>
      <c r="G6183" s="2">
        <v>40</v>
      </c>
      <c r="H6183" t="s">
        <v>45</v>
      </c>
      <c r="I6183" t="s">
        <v>36</v>
      </c>
      <c r="J6183" s="1">
        <v>45665</v>
      </c>
      <c r="K6183" t="b">
        <v>0</v>
      </c>
    </row>
    <row r="6184" spans="1:11" x14ac:dyDescent="0.25">
      <c r="A6184" t="s">
        <v>7644</v>
      </c>
      <c r="B6184" t="s">
        <v>56</v>
      </c>
      <c r="C6184" t="s">
        <v>31</v>
      </c>
      <c r="D6184" t="s">
        <v>35</v>
      </c>
      <c r="E6184" s="2">
        <v>5</v>
      </c>
      <c r="F6184" s="4">
        <v>8</v>
      </c>
      <c r="G6184" s="2">
        <v>40</v>
      </c>
      <c r="H6184" t="s">
        <v>15</v>
      </c>
      <c r="I6184" t="s">
        <v>36</v>
      </c>
      <c r="J6184" s="1">
        <v>44888</v>
      </c>
      <c r="K6184" t="b">
        <v>1</v>
      </c>
    </row>
    <row r="6185" spans="1:11" x14ac:dyDescent="0.25">
      <c r="A6185" t="s">
        <v>740</v>
      </c>
      <c r="B6185" t="s">
        <v>85</v>
      </c>
      <c r="C6185" t="s">
        <v>110</v>
      </c>
      <c r="D6185" t="s">
        <v>741</v>
      </c>
      <c r="E6185" s="2">
        <v>8</v>
      </c>
      <c r="F6185" s="4">
        <v>5</v>
      </c>
      <c r="G6185" s="2">
        <v>40</v>
      </c>
      <c r="H6185" t="s">
        <v>15</v>
      </c>
      <c r="I6185" t="s">
        <v>36</v>
      </c>
      <c r="J6185" s="1">
        <v>44913</v>
      </c>
      <c r="K6185" t="b">
        <v>1</v>
      </c>
    </row>
    <row r="6186" spans="1:11" x14ac:dyDescent="0.25">
      <c r="A6186" t="s">
        <v>4570</v>
      </c>
      <c r="B6186" t="s">
        <v>142</v>
      </c>
      <c r="C6186" t="s">
        <v>23</v>
      </c>
      <c r="D6186" t="s">
        <v>47</v>
      </c>
      <c r="E6186" s="2">
        <v>8</v>
      </c>
      <c r="F6186" s="4">
        <v>5</v>
      </c>
      <c r="G6186" s="2">
        <v>40</v>
      </c>
      <c r="H6186" t="s">
        <v>25</v>
      </c>
      <c r="I6186" t="s">
        <v>36</v>
      </c>
      <c r="J6186" s="1">
        <v>44827</v>
      </c>
      <c r="K6186" t="b">
        <v>1</v>
      </c>
    </row>
    <row r="6187" spans="1:11" x14ac:dyDescent="0.25">
      <c r="A6187" t="s">
        <v>2578</v>
      </c>
      <c r="B6187" t="s">
        <v>43</v>
      </c>
      <c r="C6187" t="s">
        <v>19</v>
      </c>
      <c r="D6187" t="s">
        <v>226</v>
      </c>
      <c r="E6187" s="2">
        <v>8</v>
      </c>
      <c r="F6187" s="4">
        <v>5</v>
      </c>
      <c r="G6187" s="2">
        <v>40</v>
      </c>
      <c r="H6187" t="s">
        <v>25</v>
      </c>
      <c r="I6187" t="s">
        <v>36</v>
      </c>
      <c r="J6187" s="1">
        <v>45136</v>
      </c>
      <c r="K6187" t="b">
        <v>0</v>
      </c>
    </row>
    <row r="6188" spans="1:11" x14ac:dyDescent="0.25">
      <c r="A6188" t="s">
        <v>7550</v>
      </c>
      <c r="B6188" t="s">
        <v>72</v>
      </c>
      <c r="C6188" t="s">
        <v>59</v>
      </c>
      <c r="D6188" t="s">
        <v>279</v>
      </c>
      <c r="E6188" s="2">
        <v>5</v>
      </c>
      <c r="F6188" s="4">
        <v>8</v>
      </c>
      <c r="G6188" s="2">
        <v>40</v>
      </c>
      <c r="H6188" t="s">
        <v>15</v>
      </c>
      <c r="I6188" t="s">
        <v>36</v>
      </c>
      <c r="J6188" s="1">
        <v>45128</v>
      </c>
      <c r="K6188" t="b">
        <v>1</v>
      </c>
    </row>
    <row r="6189" spans="1:11" x14ac:dyDescent="0.25">
      <c r="A6189" t="s">
        <v>6002</v>
      </c>
      <c r="B6189" t="s">
        <v>58</v>
      </c>
      <c r="C6189" t="s">
        <v>19</v>
      </c>
      <c r="D6189" t="s">
        <v>228</v>
      </c>
      <c r="E6189" s="2">
        <v>20</v>
      </c>
      <c r="F6189" s="4">
        <v>2</v>
      </c>
      <c r="G6189" s="2">
        <v>40</v>
      </c>
      <c r="H6189" t="s">
        <v>25</v>
      </c>
      <c r="I6189" t="s">
        <v>36</v>
      </c>
      <c r="J6189" s="1">
        <v>45252</v>
      </c>
      <c r="K6189" t="b">
        <v>0</v>
      </c>
    </row>
    <row r="6190" spans="1:11" x14ac:dyDescent="0.25">
      <c r="A6190" t="s">
        <v>3224</v>
      </c>
      <c r="B6190" t="s">
        <v>26</v>
      </c>
      <c r="C6190" t="s">
        <v>23</v>
      </c>
      <c r="D6190" t="s">
        <v>311</v>
      </c>
      <c r="E6190" s="2">
        <v>5</v>
      </c>
      <c r="F6190" s="4">
        <v>8</v>
      </c>
      <c r="G6190" s="2">
        <v>40</v>
      </c>
      <c r="H6190" t="s">
        <v>45</v>
      </c>
      <c r="I6190" t="s">
        <v>36</v>
      </c>
      <c r="J6190" s="1">
        <v>45339</v>
      </c>
      <c r="K6190" t="b">
        <v>1</v>
      </c>
    </row>
    <row r="6191" spans="1:11" x14ac:dyDescent="0.25">
      <c r="A6191" t="s">
        <v>4908</v>
      </c>
      <c r="B6191" t="s">
        <v>40</v>
      </c>
      <c r="C6191" t="s">
        <v>31</v>
      </c>
      <c r="D6191" t="s">
        <v>35</v>
      </c>
      <c r="E6191" s="2">
        <v>5</v>
      </c>
      <c r="F6191" s="4">
        <v>8</v>
      </c>
      <c r="G6191" s="2">
        <v>40</v>
      </c>
      <c r="H6191" t="s">
        <v>45</v>
      </c>
      <c r="I6191" t="s">
        <v>16</v>
      </c>
      <c r="J6191" s="1">
        <v>45014</v>
      </c>
      <c r="K6191" t="b">
        <v>0</v>
      </c>
    </row>
    <row r="6192" spans="1:11" x14ac:dyDescent="0.25">
      <c r="A6192" t="s">
        <v>4269</v>
      </c>
      <c r="B6192" t="s">
        <v>26</v>
      </c>
      <c r="C6192" t="s">
        <v>38</v>
      </c>
      <c r="D6192" t="s">
        <v>225</v>
      </c>
      <c r="E6192" s="2">
        <v>5</v>
      </c>
      <c r="F6192" s="4">
        <v>8</v>
      </c>
      <c r="G6192" s="2">
        <v>40</v>
      </c>
      <c r="H6192" t="s">
        <v>45</v>
      </c>
      <c r="I6192" t="s">
        <v>16</v>
      </c>
      <c r="J6192" s="1">
        <v>45231</v>
      </c>
      <c r="K6192" t="b">
        <v>1</v>
      </c>
    </row>
    <row r="6193" spans="1:11" x14ac:dyDescent="0.25">
      <c r="A6193" t="s">
        <v>7794</v>
      </c>
      <c r="B6193" t="s">
        <v>18</v>
      </c>
      <c r="C6193" t="s">
        <v>38</v>
      </c>
      <c r="D6193" t="s">
        <v>159</v>
      </c>
      <c r="E6193" s="2">
        <v>20</v>
      </c>
      <c r="F6193" s="4">
        <v>2</v>
      </c>
      <c r="G6193" s="2">
        <v>40</v>
      </c>
      <c r="H6193" t="s">
        <v>15</v>
      </c>
      <c r="I6193" t="s">
        <v>16</v>
      </c>
      <c r="J6193" s="1">
        <v>45509</v>
      </c>
      <c r="K6193" t="b">
        <v>0</v>
      </c>
    </row>
    <row r="6194" spans="1:11" x14ac:dyDescent="0.25">
      <c r="A6194" t="s">
        <v>6619</v>
      </c>
      <c r="B6194" t="s">
        <v>63</v>
      </c>
      <c r="C6194" t="s">
        <v>110</v>
      </c>
      <c r="D6194" t="s">
        <v>263</v>
      </c>
      <c r="E6194" s="2">
        <v>20</v>
      </c>
      <c r="F6194" s="4">
        <v>2</v>
      </c>
      <c r="G6194" s="2">
        <v>40</v>
      </c>
      <c r="H6194" t="s">
        <v>45</v>
      </c>
      <c r="I6194" t="s">
        <v>16</v>
      </c>
      <c r="J6194" s="1">
        <v>45229</v>
      </c>
      <c r="K6194" t="b">
        <v>1</v>
      </c>
    </row>
    <row r="6195" spans="1:11" x14ac:dyDescent="0.25">
      <c r="A6195" t="s">
        <v>5507</v>
      </c>
      <c r="B6195" t="s">
        <v>56</v>
      </c>
      <c r="C6195" t="s">
        <v>19</v>
      </c>
      <c r="D6195" t="s">
        <v>226</v>
      </c>
      <c r="E6195" s="2">
        <v>8</v>
      </c>
      <c r="F6195" s="4">
        <v>5</v>
      </c>
      <c r="G6195" s="2">
        <v>40</v>
      </c>
      <c r="H6195" t="s">
        <v>25</v>
      </c>
      <c r="I6195" t="s">
        <v>36</v>
      </c>
      <c r="J6195" s="1">
        <v>45555</v>
      </c>
      <c r="K6195" t="b">
        <v>1</v>
      </c>
    </row>
    <row r="6196" spans="1:11" x14ac:dyDescent="0.25">
      <c r="A6196" t="s">
        <v>4685</v>
      </c>
      <c r="B6196" t="s">
        <v>30</v>
      </c>
      <c r="C6196" t="s">
        <v>59</v>
      </c>
      <c r="D6196" t="s">
        <v>1845</v>
      </c>
      <c r="E6196" s="2">
        <v>8</v>
      </c>
      <c r="F6196" s="4">
        <v>5</v>
      </c>
      <c r="G6196" s="2">
        <v>40</v>
      </c>
      <c r="H6196" t="s">
        <v>45</v>
      </c>
      <c r="I6196" t="s">
        <v>36</v>
      </c>
      <c r="J6196" s="1">
        <v>45395</v>
      </c>
      <c r="K6196" t="b">
        <v>1</v>
      </c>
    </row>
    <row r="6197" spans="1:11" x14ac:dyDescent="0.25">
      <c r="A6197" t="s">
        <v>4888</v>
      </c>
      <c r="B6197" t="s">
        <v>77</v>
      </c>
      <c r="C6197" t="s">
        <v>13</v>
      </c>
      <c r="D6197" t="s">
        <v>113</v>
      </c>
      <c r="E6197" s="2">
        <v>20</v>
      </c>
      <c r="F6197" s="4">
        <v>2</v>
      </c>
      <c r="G6197" s="2">
        <v>40</v>
      </c>
      <c r="H6197" t="s">
        <v>25</v>
      </c>
      <c r="I6197" t="s">
        <v>16</v>
      </c>
      <c r="J6197" s="1">
        <v>44919</v>
      </c>
      <c r="K6197" t="b">
        <v>0</v>
      </c>
    </row>
    <row r="6198" spans="1:11" x14ac:dyDescent="0.25">
      <c r="A6198" t="s">
        <v>4249</v>
      </c>
      <c r="B6198" t="s">
        <v>18</v>
      </c>
      <c r="C6198" t="s">
        <v>38</v>
      </c>
      <c r="D6198" t="s">
        <v>159</v>
      </c>
      <c r="E6198" s="2">
        <v>20</v>
      </c>
      <c r="F6198" s="4">
        <v>2</v>
      </c>
      <c r="G6198" s="2">
        <v>40</v>
      </c>
      <c r="H6198" t="s">
        <v>25</v>
      </c>
      <c r="I6198" t="s">
        <v>16</v>
      </c>
      <c r="J6198" s="1">
        <v>45148</v>
      </c>
      <c r="K6198" t="b">
        <v>1</v>
      </c>
    </row>
    <row r="6199" spans="1:11" x14ac:dyDescent="0.25">
      <c r="A6199" t="s">
        <v>1380</v>
      </c>
      <c r="B6199" t="s">
        <v>43</v>
      </c>
      <c r="C6199" t="s">
        <v>110</v>
      </c>
      <c r="D6199" t="s">
        <v>263</v>
      </c>
      <c r="E6199" s="2">
        <v>20</v>
      </c>
      <c r="F6199" s="4">
        <v>2</v>
      </c>
      <c r="G6199" s="2">
        <v>40</v>
      </c>
      <c r="H6199" t="s">
        <v>15</v>
      </c>
      <c r="I6199" t="s">
        <v>16</v>
      </c>
      <c r="J6199" s="1">
        <v>45607</v>
      </c>
      <c r="K6199" t="b">
        <v>1</v>
      </c>
    </row>
    <row r="6200" spans="1:11" x14ac:dyDescent="0.25">
      <c r="A6200" t="s">
        <v>6705</v>
      </c>
      <c r="B6200" t="s">
        <v>142</v>
      </c>
      <c r="C6200" t="s">
        <v>31</v>
      </c>
      <c r="D6200" t="s">
        <v>212</v>
      </c>
      <c r="E6200" s="2">
        <v>39.5</v>
      </c>
      <c r="F6200" s="4">
        <v>1</v>
      </c>
      <c r="G6200" s="2">
        <v>39.5</v>
      </c>
      <c r="H6200" t="s">
        <v>25</v>
      </c>
      <c r="I6200" t="s">
        <v>16</v>
      </c>
      <c r="J6200" s="1">
        <v>44777</v>
      </c>
      <c r="K6200" t="b">
        <v>0</v>
      </c>
    </row>
    <row r="6201" spans="1:11" x14ac:dyDescent="0.25">
      <c r="A6201" t="s">
        <v>3646</v>
      </c>
      <c r="B6201" t="s">
        <v>56</v>
      </c>
      <c r="C6201" t="s">
        <v>13</v>
      </c>
      <c r="D6201" t="s">
        <v>52</v>
      </c>
      <c r="E6201" s="2">
        <v>39.5</v>
      </c>
      <c r="F6201" s="4">
        <v>1</v>
      </c>
      <c r="G6201" s="2">
        <v>39.5</v>
      </c>
      <c r="H6201" t="s">
        <v>15</v>
      </c>
      <c r="I6201" t="s">
        <v>36</v>
      </c>
      <c r="J6201" s="1">
        <v>44705</v>
      </c>
      <c r="K6201" t="b">
        <v>0</v>
      </c>
    </row>
    <row r="6202" spans="1:11" x14ac:dyDescent="0.25">
      <c r="A6202" t="s">
        <v>7426</v>
      </c>
      <c r="B6202" t="s">
        <v>61</v>
      </c>
      <c r="C6202" t="s">
        <v>13</v>
      </c>
      <c r="D6202" t="s">
        <v>52</v>
      </c>
      <c r="E6202" s="2">
        <v>39.5</v>
      </c>
      <c r="F6202" s="4">
        <v>1</v>
      </c>
      <c r="G6202" s="2">
        <v>39.5</v>
      </c>
      <c r="H6202" t="s">
        <v>45</v>
      </c>
      <c r="I6202" t="s">
        <v>16</v>
      </c>
      <c r="J6202" s="1">
        <v>45538</v>
      </c>
      <c r="K6202" t="b">
        <v>1</v>
      </c>
    </row>
    <row r="6203" spans="1:11" x14ac:dyDescent="0.25">
      <c r="A6203" t="s">
        <v>6170</v>
      </c>
      <c r="B6203" t="s">
        <v>43</v>
      </c>
      <c r="C6203" t="s">
        <v>59</v>
      </c>
      <c r="D6203" t="s">
        <v>536</v>
      </c>
      <c r="E6203" s="2">
        <v>39.5</v>
      </c>
      <c r="F6203" s="4">
        <v>1</v>
      </c>
      <c r="G6203" s="2">
        <v>39.5</v>
      </c>
      <c r="H6203" t="s">
        <v>15</v>
      </c>
      <c r="I6203" t="s">
        <v>36</v>
      </c>
      <c r="J6203" s="1">
        <v>44927</v>
      </c>
      <c r="K6203" t="b">
        <v>0</v>
      </c>
    </row>
    <row r="6204" spans="1:11" x14ac:dyDescent="0.25">
      <c r="A6204" t="s">
        <v>5246</v>
      </c>
      <c r="B6204" t="s">
        <v>72</v>
      </c>
      <c r="C6204" t="s">
        <v>13</v>
      </c>
      <c r="D6204" t="s">
        <v>52</v>
      </c>
      <c r="E6204" s="2">
        <v>39.5</v>
      </c>
      <c r="F6204" s="4">
        <v>1</v>
      </c>
      <c r="G6204" s="2">
        <v>39.5</v>
      </c>
      <c r="H6204" t="s">
        <v>45</v>
      </c>
      <c r="I6204" t="s">
        <v>16</v>
      </c>
      <c r="J6204" s="1">
        <v>44605</v>
      </c>
      <c r="K6204" t="b">
        <v>0</v>
      </c>
    </row>
    <row r="6205" spans="1:11" x14ac:dyDescent="0.25">
      <c r="A6205" t="s">
        <v>1122</v>
      </c>
      <c r="B6205" t="s">
        <v>43</v>
      </c>
      <c r="C6205" t="s">
        <v>38</v>
      </c>
      <c r="D6205" t="s">
        <v>165</v>
      </c>
      <c r="E6205" s="2">
        <v>39.5</v>
      </c>
      <c r="F6205" s="4">
        <v>1</v>
      </c>
      <c r="G6205" s="2">
        <v>39.5</v>
      </c>
      <c r="H6205" t="s">
        <v>15</v>
      </c>
      <c r="I6205" t="s">
        <v>36</v>
      </c>
      <c r="J6205" s="1">
        <v>45395</v>
      </c>
      <c r="K6205" t="b">
        <v>1</v>
      </c>
    </row>
    <row r="6206" spans="1:11" x14ac:dyDescent="0.25">
      <c r="A6206" t="s">
        <v>7534</v>
      </c>
      <c r="B6206" t="s">
        <v>56</v>
      </c>
      <c r="C6206" t="s">
        <v>23</v>
      </c>
      <c r="D6206" t="s">
        <v>103</v>
      </c>
      <c r="E6206" s="2">
        <v>39.5</v>
      </c>
      <c r="F6206" s="4">
        <v>1</v>
      </c>
      <c r="G6206" s="2">
        <v>39.5</v>
      </c>
      <c r="H6206" t="s">
        <v>45</v>
      </c>
      <c r="I6206" t="s">
        <v>16</v>
      </c>
      <c r="J6206" s="1">
        <v>45069</v>
      </c>
      <c r="K6206" t="b">
        <v>0</v>
      </c>
    </row>
    <row r="6207" spans="1:11" x14ac:dyDescent="0.25">
      <c r="A6207" t="s">
        <v>5516</v>
      </c>
      <c r="B6207" t="s">
        <v>12</v>
      </c>
      <c r="C6207" t="s">
        <v>38</v>
      </c>
      <c r="D6207" t="s">
        <v>165</v>
      </c>
      <c r="E6207" s="2">
        <v>39.5</v>
      </c>
      <c r="F6207" s="4">
        <v>1</v>
      </c>
      <c r="G6207" s="2">
        <v>39.5</v>
      </c>
      <c r="H6207" t="s">
        <v>25</v>
      </c>
      <c r="I6207" t="s">
        <v>16</v>
      </c>
      <c r="J6207" s="1">
        <v>45167</v>
      </c>
      <c r="K6207" t="b">
        <v>1</v>
      </c>
    </row>
    <row r="6208" spans="1:11" x14ac:dyDescent="0.25">
      <c r="A6208" t="s">
        <v>6072</v>
      </c>
      <c r="B6208" t="s">
        <v>97</v>
      </c>
      <c r="C6208" t="s">
        <v>31</v>
      </c>
      <c r="D6208" t="s">
        <v>212</v>
      </c>
      <c r="E6208" s="2">
        <v>39.5</v>
      </c>
      <c r="F6208" s="4">
        <v>1</v>
      </c>
      <c r="G6208" s="2">
        <v>39.5</v>
      </c>
      <c r="H6208" t="s">
        <v>25</v>
      </c>
      <c r="I6208" t="s">
        <v>36</v>
      </c>
      <c r="J6208" s="1">
        <v>45291</v>
      </c>
      <c r="K6208" t="b">
        <v>1</v>
      </c>
    </row>
    <row r="6209" spans="1:11" x14ac:dyDescent="0.25">
      <c r="A6209" t="s">
        <v>3725</v>
      </c>
      <c r="B6209" t="s">
        <v>69</v>
      </c>
      <c r="C6209" t="s">
        <v>59</v>
      </c>
      <c r="D6209" t="s">
        <v>536</v>
      </c>
      <c r="E6209" s="2">
        <v>39.5</v>
      </c>
      <c r="F6209" s="4">
        <v>1</v>
      </c>
      <c r="G6209" s="2">
        <v>39.5</v>
      </c>
      <c r="H6209" t="s">
        <v>45</v>
      </c>
      <c r="I6209" t="s">
        <v>16</v>
      </c>
      <c r="J6209" s="1">
        <v>45001</v>
      </c>
      <c r="K6209" t="b">
        <v>0</v>
      </c>
    </row>
    <row r="6210" spans="1:11" x14ac:dyDescent="0.25">
      <c r="A6210" t="s">
        <v>606</v>
      </c>
      <c r="B6210" t="s">
        <v>61</v>
      </c>
      <c r="C6210" t="s">
        <v>38</v>
      </c>
      <c r="D6210" t="s">
        <v>165</v>
      </c>
      <c r="E6210" s="2">
        <v>39.5</v>
      </c>
      <c r="F6210" s="4">
        <v>1</v>
      </c>
      <c r="G6210" s="2">
        <v>39.5</v>
      </c>
      <c r="H6210" t="s">
        <v>15</v>
      </c>
      <c r="I6210" t="s">
        <v>36</v>
      </c>
      <c r="J6210" s="1">
        <v>45648</v>
      </c>
      <c r="K6210" t="b">
        <v>0</v>
      </c>
    </row>
    <row r="6211" spans="1:11" x14ac:dyDescent="0.25">
      <c r="A6211" t="s">
        <v>393</v>
      </c>
      <c r="B6211" t="s">
        <v>51</v>
      </c>
      <c r="C6211" t="s">
        <v>38</v>
      </c>
      <c r="D6211" t="s">
        <v>165</v>
      </c>
      <c r="E6211" s="2">
        <v>39.5</v>
      </c>
      <c r="F6211" s="4">
        <v>1</v>
      </c>
      <c r="G6211" s="2">
        <v>39.5</v>
      </c>
      <c r="H6211" t="s">
        <v>15</v>
      </c>
      <c r="I6211" t="s">
        <v>36</v>
      </c>
      <c r="J6211" s="1">
        <v>45308</v>
      </c>
      <c r="K6211" t="b">
        <v>0</v>
      </c>
    </row>
    <row r="6212" spans="1:11" x14ac:dyDescent="0.25">
      <c r="A6212" t="s">
        <v>5866</v>
      </c>
      <c r="B6212" t="s">
        <v>97</v>
      </c>
      <c r="C6212" t="s">
        <v>27</v>
      </c>
      <c r="D6212" t="s">
        <v>482</v>
      </c>
      <c r="E6212" s="2">
        <v>39.5</v>
      </c>
      <c r="F6212" s="4">
        <v>1</v>
      </c>
      <c r="G6212" s="2">
        <v>39.5</v>
      </c>
      <c r="H6212" t="s">
        <v>15</v>
      </c>
      <c r="I6212" t="s">
        <v>36</v>
      </c>
      <c r="J6212" s="1">
        <v>44631</v>
      </c>
      <c r="K6212" t="b">
        <v>0</v>
      </c>
    </row>
    <row r="6213" spans="1:11" x14ac:dyDescent="0.25">
      <c r="A6213" t="s">
        <v>3911</v>
      </c>
      <c r="B6213" t="s">
        <v>51</v>
      </c>
      <c r="C6213" t="s">
        <v>38</v>
      </c>
      <c r="D6213" t="s">
        <v>165</v>
      </c>
      <c r="E6213" s="2">
        <v>39.5</v>
      </c>
      <c r="F6213" s="4">
        <v>1</v>
      </c>
      <c r="G6213" s="2">
        <v>39.5</v>
      </c>
      <c r="H6213" t="s">
        <v>15</v>
      </c>
      <c r="I6213" t="s">
        <v>36</v>
      </c>
      <c r="J6213" s="1">
        <v>45280</v>
      </c>
      <c r="K6213" t="b">
        <v>0</v>
      </c>
    </row>
    <row r="6214" spans="1:11" x14ac:dyDescent="0.25">
      <c r="A6214" t="s">
        <v>7674</v>
      </c>
      <c r="B6214" t="s">
        <v>86</v>
      </c>
      <c r="C6214" t="s">
        <v>38</v>
      </c>
      <c r="D6214" t="s">
        <v>165</v>
      </c>
      <c r="E6214" s="2">
        <v>39.5</v>
      </c>
      <c r="F6214" s="4">
        <v>1</v>
      </c>
      <c r="G6214" s="2">
        <v>39.5</v>
      </c>
      <c r="H6214" t="s">
        <v>15</v>
      </c>
      <c r="I6214" t="s">
        <v>16</v>
      </c>
      <c r="J6214" s="1">
        <v>45448</v>
      </c>
      <c r="K6214" t="b">
        <v>0</v>
      </c>
    </row>
    <row r="6215" spans="1:11" x14ac:dyDescent="0.25">
      <c r="A6215" t="s">
        <v>1179</v>
      </c>
      <c r="B6215" t="s">
        <v>104</v>
      </c>
      <c r="C6215" t="s">
        <v>27</v>
      </c>
      <c r="D6215" t="s">
        <v>482</v>
      </c>
      <c r="E6215" s="2">
        <v>39.5</v>
      </c>
      <c r="F6215" s="4">
        <v>1</v>
      </c>
      <c r="G6215" s="2">
        <v>39.5</v>
      </c>
      <c r="H6215" t="s">
        <v>25</v>
      </c>
      <c r="I6215" t="s">
        <v>16</v>
      </c>
      <c r="J6215" s="1">
        <v>44575</v>
      </c>
      <c r="K6215" t="b">
        <v>0</v>
      </c>
    </row>
    <row r="6216" spans="1:11" x14ac:dyDescent="0.25">
      <c r="A6216" t="s">
        <v>4679</v>
      </c>
      <c r="B6216" t="s">
        <v>40</v>
      </c>
      <c r="C6216" t="s">
        <v>38</v>
      </c>
      <c r="D6216" t="s">
        <v>165</v>
      </c>
      <c r="E6216" s="2">
        <v>39.5</v>
      </c>
      <c r="F6216" s="4">
        <v>1</v>
      </c>
      <c r="G6216" s="2">
        <v>39.5</v>
      </c>
      <c r="H6216" t="s">
        <v>15</v>
      </c>
      <c r="I6216" t="s">
        <v>36</v>
      </c>
      <c r="J6216" s="1">
        <v>44754</v>
      </c>
      <c r="K6216" t="b">
        <v>0</v>
      </c>
    </row>
    <row r="6217" spans="1:11" x14ac:dyDescent="0.25">
      <c r="A6217" t="s">
        <v>7707</v>
      </c>
      <c r="B6217" t="s">
        <v>34</v>
      </c>
      <c r="C6217" t="s">
        <v>38</v>
      </c>
      <c r="D6217" t="s">
        <v>165</v>
      </c>
      <c r="E6217" s="2">
        <v>39.5</v>
      </c>
      <c r="F6217" s="4">
        <v>1</v>
      </c>
      <c r="G6217" s="2">
        <v>39.5</v>
      </c>
      <c r="H6217" t="s">
        <v>15</v>
      </c>
      <c r="I6217" t="s">
        <v>36</v>
      </c>
      <c r="J6217" s="1">
        <v>45393</v>
      </c>
      <c r="K6217" t="b">
        <v>0</v>
      </c>
    </row>
    <row r="6218" spans="1:11" x14ac:dyDescent="0.25">
      <c r="A6218" t="s">
        <v>4425</v>
      </c>
      <c r="B6218" t="s">
        <v>97</v>
      </c>
      <c r="C6218" t="s">
        <v>38</v>
      </c>
      <c r="D6218" t="s">
        <v>165</v>
      </c>
      <c r="E6218" s="2">
        <v>39.5</v>
      </c>
      <c r="F6218" s="4">
        <v>1</v>
      </c>
      <c r="G6218" s="2">
        <v>39.5</v>
      </c>
      <c r="H6218" t="s">
        <v>15</v>
      </c>
      <c r="I6218" t="s">
        <v>36</v>
      </c>
      <c r="J6218" s="1">
        <v>44760</v>
      </c>
      <c r="K6218" t="b">
        <v>1</v>
      </c>
    </row>
    <row r="6219" spans="1:11" x14ac:dyDescent="0.25">
      <c r="A6219" t="s">
        <v>2243</v>
      </c>
      <c r="B6219" t="s">
        <v>18</v>
      </c>
      <c r="C6219" t="s">
        <v>23</v>
      </c>
      <c r="D6219" t="s">
        <v>103</v>
      </c>
      <c r="E6219" s="2">
        <v>39.5</v>
      </c>
      <c r="F6219" s="4">
        <v>1</v>
      </c>
      <c r="G6219" s="2">
        <v>39.5</v>
      </c>
      <c r="H6219" t="s">
        <v>25</v>
      </c>
      <c r="I6219" t="s">
        <v>36</v>
      </c>
      <c r="J6219" s="1">
        <v>45567</v>
      </c>
      <c r="K6219" t="b">
        <v>1</v>
      </c>
    </row>
    <row r="6220" spans="1:11" x14ac:dyDescent="0.25">
      <c r="A6220" t="s">
        <v>1246</v>
      </c>
      <c r="B6220" t="s">
        <v>30</v>
      </c>
      <c r="C6220" t="s">
        <v>27</v>
      </c>
      <c r="D6220" t="s">
        <v>482</v>
      </c>
      <c r="E6220" s="2">
        <v>39.5</v>
      </c>
      <c r="F6220" s="4">
        <v>1</v>
      </c>
      <c r="G6220" s="2">
        <v>39.5</v>
      </c>
      <c r="H6220" t="s">
        <v>25</v>
      </c>
      <c r="I6220" t="s">
        <v>16</v>
      </c>
      <c r="J6220" s="1">
        <v>44878</v>
      </c>
      <c r="K6220" t="b">
        <v>0</v>
      </c>
    </row>
    <row r="6221" spans="1:11" x14ac:dyDescent="0.25">
      <c r="A6221" t="s">
        <v>2824</v>
      </c>
      <c r="B6221" t="s">
        <v>69</v>
      </c>
      <c r="C6221" t="s">
        <v>23</v>
      </c>
      <c r="D6221" t="s">
        <v>103</v>
      </c>
      <c r="E6221" s="2">
        <v>39.5</v>
      </c>
      <c r="F6221" s="4">
        <v>1</v>
      </c>
      <c r="G6221" s="2">
        <v>39.5</v>
      </c>
      <c r="H6221" t="s">
        <v>15</v>
      </c>
      <c r="I6221" t="s">
        <v>16</v>
      </c>
      <c r="J6221" s="1">
        <v>45291</v>
      </c>
      <c r="K6221" t="b">
        <v>0</v>
      </c>
    </row>
    <row r="6222" spans="1:11" x14ac:dyDescent="0.25">
      <c r="A6222" t="s">
        <v>3968</v>
      </c>
      <c r="B6222" t="s">
        <v>63</v>
      </c>
      <c r="C6222" t="s">
        <v>23</v>
      </c>
      <c r="D6222" t="s">
        <v>103</v>
      </c>
      <c r="E6222" s="2">
        <v>39.5</v>
      </c>
      <c r="F6222" s="4">
        <v>1</v>
      </c>
      <c r="G6222" s="2">
        <v>39.5</v>
      </c>
      <c r="H6222" t="s">
        <v>45</v>
      </c>
      <c r="I6222" t="s">
        <v>36</v>
      </c>
      <c r="J6222" s="1">
        <v>45115</v>
      </c>
      <c r="K6222" t="b">
        <v>0</v>
      </c>
    </row>
    <row r="6223" spans="1:11" x14ac:dyDescent="0.25">
      <c r="A6223" t="s">
        <v>5054</v>
      </c>
      <c r="B6223" t="s">
        <v>93</v>
      </c>
      <c r="C6223" t="s">
        <v>23</v>
      </c>
      <c r="D6223" t="s">
        <v>103</v>
      </c>
      <c r="E6223" s="2">
        <v>39.5</v>
      </c>
      <c r="F6223" s="4">
        <v>1</v>
      </c>
      <c r="G6223" s="2">
        <v>39.5</v>
      </c>
      <c r="H6223" t="s">
        <v>15</v>
      </c>
      <c r="I6223" t="s">
        <v>36</v>
      </c>
      <c r="J6223" s="1">
        <v>44601</v>
      </c>
      <c r="K6223" t="b">
        <v>1</v>
      </c>
    </row>
    <row r="6224" spans="1:11" x14ac:dyDescent="0.25">
      <c r="A6224" t="s">
        <v>7705</v>
      </c>
      <c r="B6224" t="s">
        <v>18</v>
      </c>
      <c r="C6224" t="s">
        <v>13</v>
      </c>
      <c r="D6224" t="s">
        <v>52</v>
      </c>
      <c r="E6224" s="2">
        <v>39.5</v>
      </c>
      <c r="F6224" s="4">
        <v>1</v>
      </c>
      <c r="G6224" s="2">
        <v>39.5</v>
      </c>
      <c r="H6224" t="s">
        <v>45</v>
      </c>
      <c r="I6224" t="s">
        <v>16</v>
      </c>
      <c r="J6224" s="1">
        <v>44791</v>
      </c>
      <c r="K6224" t="b">
        <v>1</v>
      </c>
    </row>
    <row r="6225" spans="1:11" x14ac:dyDescent="0.25">
      <c r="A6225" t="s">
        <v>2278</v>
      </c>
      <c r="B6225" t="s">
        <v>34</v>
      </c>
      <c r="C6225" t="s">
        <v>13</v>
      </c>
      <c r="D6225" t="s">
        <v>52</v>
      </c>
      <c r="E6225" s="2">
        <v>39.5</v>
      </c>
      <c r="F6225" s="4">
        <v>1</v>
      </c>
      <c r="G6225" s="2">
        <v>39.5</v>
      </c>
      <c r="H6225" t="s">
        <v>15</v>
      </c>
      <c r="I6225" t="s">
        <v>16</v>
      </c>
      <c r="J6225" s="1">
        <v>45342</v>
      </c>
      <c r="K6225" t="b">
        <v>1</v>
      </c>
    </row>
    <row r="6226" spans="1:11" x14ac:dyDescent="0.25">
      <c r="A6226" t="s">
        <v>7197</v>
      </c>
      <c r="B6226" t="s">
        <v>100</v>
      </c>
      <c r="C6226" t="s">
        <v>27</v>
      </c>
      <c r="D6226" t="s">
        <v>482</v>
      </c>
      <c r="E6226" s="2">
        <v>39.5</v>
      </c>
      <c r="F6226" s="4">
        <v>1</v>
      </c>
      <c r="G6226" s="2">
        <v>39.5</v>
      </c>
      <c r="H6226" t="s">
        <v>45</v>
      </c>
      <c r="I6226" t="s">
        <v>36</v>
      </c>
      <c r="J6226" s="1">
        <v>45043</v>
      </c>
      <c r="K6226" t="b">
        <v>0</v>
      </c>
    </row>
    <row r="6227" spans="1:11" x14ac:dyDescent="0.25">
      <c r="A6227" t="s">
        <v>5030</v>
      </c>
      <c r="B6227" t="s">
        <v>86</v>
      </c>
      <c r="C6227" t="s">
        <v>27</v>
      </c>
      <c r="D6227" t="s">
        <v>246</v>
      </c>
      <c r="E6227" s="2">
        <v>6.5</v>
      </c>
      <c r="F6227" s="4">
        <v>6</v>
      </c>
      <c r="G6227" s="2">
        <v>39</v>
      </c>
      <c r="H6227" t="s">
        <v>15</v>
      </c>
      <c r="I6227" t="s">
        <v>16</v>
      </c>
      <c r="J6227" s="1">
        <v>45049</v>
      </c>
      <c r="K6227" t="b">
        <v>1</v>
      </c>
    </row>
    <row r="6228" spans="1:11" x14ac:dyDescent="0.25">
      <c r="A6228" t="s">
        <v>6295</v>
      </c>
      <c r="B6228" t="s">
        <v>104</v>
      </c>
      <c r="C6228" t="s">
        <v>38</v>
      </c>
      <c r="D6228" t="s">
        <v>235</v>
      </c>
      <c r="E6228" s="2">
        <v>6.5</v>
      </c>
      <c r="F6228" s="4">
        <v>6</v>
      </c>
      <c r="G6228" s="2">
        <v>39</v>
      </c>
      <c r="H6228" t="s">
        <v>15</v>
      </c>
      <c r="I6228" t="s">
        <v>36</v>
      </c>
      <c r="J6228" s="1">
        <v>45293</v>
      </c>
      <c r="K6228" t="b">
        <v>1</v>
      </c>
    </row>
    <row r="6229" spans="1:11" x14ac:dyDescent="0.25">
      <c r="A6229" t="s">
        <v>4169</v>
      </c>
      <c r="B6229" t="s">
        <v>61</v>
      </c>
      <c r="C6229" t="s">
        <v>27</v>
      </c>
      <c r="D6229" t="s">
        <v>246</v>
      </c>
      <c r="E6229" s="2">
        <v>6.5</v>
      </c>
      <c r="F6229" s="4">
        <v>6</v>
      </c>
      <c r="G6229" s="2">
        <v>39</v>
      </c>
      <c r="H6229" t="s">
        <v>15</v>
      </c>
      <c r="I6229" t="s">
        <v>16</v>
      </c>
      <c r="J6229" s="1">
        <v>45643</v>
      </c>
      <c r="K6229" t="b">
        <v>1</v>
      </c>
    </row>
    <row r="6230" spans="1:11" x14ac:dyDescent="0.25">
      <c r="A6230" t="s">
        <v>7062</v>
      </c>
      <c r="B6230" t="s">
        <v>104</v>
      </c>
      <c r="C6230" t="s">
        <v>19</v>
      </c>
      <c r="D6230" t="s">
        <v>308</v>
      </c>
      <c r="E6230" s="2">
        <v>6.5</v>
      </c>
      <c r="F6230" s="4">
        <v>6</v>
      </c>
      <c r="G6230" s="2">
        <v>39</v>
      </c>
      <c r="H6230" t="s">
        <v>45</v>
      </c>
      <c r="I6230" t="s">
        <v>16</v>
      </c>
      <c r="J6230" s="1">
        <v>45138</v>
      </c>
      <c r="K6230" t="b">
        <v>1</v>
      </c>
    </row>
    <row r="6231" spans="1:11" x14ac:dyDescent="0.25">
      <c r="A6231" t="s">
        <v>2621</v>
      </c>
      <c r="B6231" t="s">
        <v>30</v>
      </c>
      <c r="C6231" t="s">
        <v>23</v>
      </c>
      <c r="D6231" t="s">
        <v>137</v>
      </c>
      <c r="E6231" s="2">
        <v>6.5</v>
      </c>
      <c r="F6231" s="4">
        <v>6</v>
      </c>
      <c r="G6231" s="2">
        <v>39</v>
      </c>
      <c r="H6231" t="s">
        <v>15</v>
      </c>
      <c r="I6231" t="s">
        <v>16</v>
      </c>
      <c r="J6231" s="1">
        <v>45560</v>
      </c>
      <c r="K6231" t="b">
        <v>1</v>
      </c>
    </row>
    <row r="6232" spans="1:11" x14ac:dyDescent="0.25">
      <c r="A6232" t="s">
        <v>2798</v>
      </c>
      <c r="B6232" t="s">
        <v>58</v>
      </c>
      <c r="C6232" t="s">
        <v>23</v>
      </c>
      <c r="D6232" t="s">
        <v>137</v>
      </c>
      <c r="E6232" s="2">
        <v>6.5</v>
      </c>
      <c r="F6232" s="4">
        <v>6</v>
      </c>
      <c r="G6232" s="2">
        <v>39</v>
      </c>
      <c r="H6232" t="s">
        <v>25</v>
      </c>
      <c r="I6232" t="s">
        <v>16</v>
      </c>
      <c r="J6232" s="1">
        <v>44792</v>
      </c>
      <c r="K6232" t="b">
        <v>1</v>
      </c>
    </row>
    <row r="6233" spans="1:11" x14ac:dyDescent="0.25">
      <c r="A6233" t="s">
        <v>363</v>
      </c>
      <c r="B6233" t="s">
        <v>86</v>
      </c>
      <c r="C6233" t="s">
        <v>38</v>
      </c>
      <c r="D6233" t="s">
        <v>235</v>
      </c>
      <c r="E6233" s="2">
        <v>6.5</v>
      </c>
      <c r="F6233" s="4">
        <v>6</v>
      </c>
      <c r="G6233" s="2">
        <v>39</v>
      </c>
      <c r="H6233" t="s">
        <v>15</v>
      </c>
      <c r="I6233" t="s">
        <v>16</v>
      </c>
      <c r="J6233" s="1">
        <v>45461</v>
      </c>
      <c r="K6233" t="b">
        <v>1</v>
      </c>
    </row>
    <row r="6234" spans="1:11" x14ac:dyDescent="0.25">
      <c r="A6234" t="s">
        <v>6615</v>
      </c>
      <c r="B6234" t="s">
        <v>61</v>
      </c>
      <c r="C6234" t="s">
        <v>59</v>
      </c>
      <c r="D6234" t="s">
        <v>541</v>
      </c>
      <c r="E6234" s="2">
        <v>6.5</v>
      </c>
      <c r="F6234" s="4">
        <v>6</v>
      </c>
      <c r="G6234" s="2">
        <v>39</v>
      </c>
      <c r="H6234" t="s">
        <v>45</v>
      </c>
      <c r="I6234" t="s">
        <v>36</v>
      </c>
      <c r="J6234" s="1">
        <v>44933</v>
      </c>
      <c r="K6234" t="b">
        <v>1</v>
      </c>
    </row>
    <row r="6235" spans="1:11" x14ac:dyDescent="0.25">
      <c r="A6235" t="s">
        <v>1975</v>
      </c>
      <c r="B6235" t="s">
        <v>63</v>
      </c>
      <c r="C6235" t="s">
        <v>13</v>
      </c>
      <c r="D6235" t="s">
        <v>428</v>
      </c>
      <c r="E6235" s="2">
        <v>6.5</v>
      </c>
      <c r="F6235" s="4">
        <v>6</v>
      </c>
      <c r="G6235" s="2">
        <v>39</v>
      </c>
      <c r="H6235" t="s">
        <v>15</v>
      </c>
      <c r="I6235" t="s">
        <v>36</v>
      </c>
      <c r="J6235" s="1">
        <v>45609</v>
      </c>
      <c r="K6235" t="b">
        <v>1</v>
      </c>
    </row>
    <row r="6236" spans="1:11" x14ac:dyDescent="0.25">
      <c r="A6236" t="s">
        <v>5247</v>
      </c>
      <c r="B6236" t="s">
        <v>69</v>
      </c>
      <c r="C6236" t="s">
        <v>23</v>
      </c>
      <c r="D6236" t="s">
        <v>137</v>
      </c>
      <c r="E6236" s="2">
        <v>6.5</v>
      </c>
      <c r="F6236" s="4">
        <v>6</v>
      </c>
      <c r="G6236" s="2">
        <v>39</v>
      </c>
      <c r="H6236" t="s">
        <v>15</v>
      </c>
      <c r="I6236" t="s">
        <v>36</v>
      </c>
      <c r="J6236" s="1">
        <v>44962</v>
      </c>
      <c r="K6236" t="b">
        <v>1</v>
      </c>
    </row>
    <row r="6237" spans="1:11" x14ac:dyDescent="0.25">
      <c r="A6237" t="s">
        <v>3922</v>
      </c>
      <c r="B6237" t="s">
        <v>142</v>
      </c>
      <c r="C6237" t="s">
        <v>19</v>
      </c>
      <c r="D6237" t="s">
        <v>308</v>
      </c>
      <c r="E6237" s="2">
        <v>6.5</v>
      </c>
      <c r="F6237" s="4">
        <v>6</v>
      </c>
      <c r="G6237" s="2">
        <v>39</v>
      </c>
      <c r="H6237" t="s">
        <v>45</v>
      </c>
      <c r="I6237" t="s">
        <v>36</v>
      </c>
      <c r="J6237" s="1">
        <v>45421</v>
      </c>
      <c r="K6237" t="b">
        <v>1</v>
      </c>
    </row>
    <row r="6238" spans="1:11" x14ac:dyDescent="0.25">
      <c r="A6238" t="s">
        <v>852</v>
      </c>
      <c r="B6238" t="s">
        <v>34</v>
      </c>
      <c r="C6238" t="s">
        <v>27</v>
      </c>
      <c r="D6238" t="s">
        <v>246</v>
      </c>
      <c r="E6238" s="2">
        <v>6.5</v>
      </c>
      <c r="F6238" s="4">
        <v>6</v>
      </c>
      <c r="G6238" s="2">
        <v>39</v>
      </c>
      <c r="H6238" t="s">
        <v>15</v>
      </c>
      <c r="I6238" t="s">
        <v>16</v>
      </c>
      <c r="J6238" s="1">
        <v>44606</v>
      </c>
      <c r="K6238" t="b">
        <v>0</v>
      </c>
    </row>
    <row r="6239" spans="1:11" x14ac:dyDescent="0.25">
      <c r="A6239" t="s">
        <v>6448</v>
      </c>
      <c r="B6239" t="s">
        <v>69</v>
      </c>
      <c r="C6239" t="s">
        <v>23</v>
      </c>
      <c r="D6239" t="s">
        <v>137</v>
      </c>
      <c r="E6239" s="2">
        <v>6.5</v>
      </c>
      <c r="F6239" s="4">
        <v>6</v>
      </c>
      <c r="G6239" s="2">
        <v>39</v>
      </c>
      <c r="H6239" t="s">
        <v>15</v>
      </c>
      <c r="I6239" t="s">
        <v>36</v>
      </c>
      <c r="J6239" s="1">
        <v>45117</v>
      </c>
      <c r="K6239" t="b">
        <v>1</v>
      </c>
    </row>
    <row r="6240" spans="1:11" x14ac:dyDescent="0.25">
      <c r="A6240" t="s">
        <v>2489</v>
      </c>
      <c r="B6240" t="s">
        <v>34</v>
      </c>
      <c r="C6240" t="s">
        <v>13</v>
      </c>
      <c r="D6240" t="s">
        <v>428</v>
      </c>
      <c r="E6240" s="2">
        <v>6.5</v>
      </c>
      <c r="F6240" s="4">
        <v>6</v>
      </c>
      <c r="G6240" s="2">
        <v>39</v>
      </c>
      <c r="H6240" t="s">
        <v>45</v>
      </c>
      <c r="I6240" t="s">
        <v>16</v>
      </c>
      <c r="J6240" s="1">
        <v>45655</v>
      </c>
      <c r="K6240" t="b">
        <v>1</v>
      </c>
    </row>
    <row r="6241" spans="1:11" x14ac:dyDescent="0.25">
      <c r="A6241" t="s">
        <v>1496</v>
      </c>
      <c r="B6241" t="s">
        <v>58</v>
      </c>
      <c r="C6241" t="s">
        <v>31</v>
      </c>
      <c r="D6241" t="s">
        <v>49</v>
      </c>
      <c r="E6241" s="2">
        <v>6.5</v>
      </c>
      <c r="F6241" s="4">
        <v>6</v>
      </c>
      <c r="G6241" s="2">
        <v>39</v>
      </c>
      <c r="H6241" t="s">
        <v>15</v>
      </c>
      <c r="I6241" t="s">
        <v>16</v>
      </c>
      <c r="J6241" s="1">
        <v>44978</v>
      </c>
      <c r="K6241" t="b">
        <v>0</v>
      </c>
    </row>
    <row r="6242" spans="1:11" x14ac:dyDescent="0.25">
      <c r="A6242" t="s">
        <v>7269</v>
      </c>
      <c r="B6242" t="s">
        <v>69</v>
      </c>
      <c r="C6242" t="s">
        <v>59</v>
      </c>
      <c r="D6242" t="s">
        <v>541</v>
      </c>
      <c r="E6242" s="2">
        <v>6.5</v>
      </c>
      <c r="F6242" s="4">
        <v>6</v>
      </c>
      <c r="G6242" s="2">
        <v>39</v>
      </c>
      <c r="H6242" t="s">
        <v>15</v>
      </c>
      <c r="I6242" t="s">
        <v>16</v>
      </c>
      <c r="J6242" s="1">
        <v>45404</v>
      </c>
      <c r="K6242" t="b">
        <v>0</v>
      </c>
    </row>
    <row r="6243" spans="1:11" x14ac:dyDescent="0.25">
      <c r="A6243" t="s">
        <v>2907</v>
      </c>
      <c r="B6243" t="s">
        <v>58</v>
      </c>
      <c r="C6243" t="s">
        <v>27</v>
      </c>
      <c r="D6243" t="s">
        <v>246</v>
      </c>
      <c r="E6243" s="2">
        <v>6.5</v>
      </c>
      <c r="F6243" s="4">
        <v>6</v>
      </c>
      <c r="G6243" s="2">
        <v>39</v>
      </c>
      <c r="H6243" t="s">
        <v>45</v>
      </c>
      <c r="I6243" t="s">
        <v>36</v>
      </c>
      <c r="J6243" s="1">
        <v>45005</v>
      </c>
      <c r="K6243" t="b">
        <v>0</v>
      </c>
    </row>
    <row r="6244" spans="1:11" x14ac:dyDescent="0.25">
      <c r="A6244" t="s">
        <v>4265</v>
      </c>
      <c r="B6244" t="s">
        <v>77</v>
      </c>
      <c r="C6244" t="s">
        <v>13</v>
      </c>
      <c r="D6244" t="s">
        <v>428</v>
      </c>
      <c r="E6244" s="2">
        <v>6.5</v>
      </c>
      <c r="F6244" s="4">
        <v>6</v>
      </c>
      <c r="G6244" s="2">
        <v>39</v>
      </c>
      <c r="H6244" t="s">
        <v>25</v>
      </c>
      <c r="I6244" t="s">
        <v>16</v>
      </c>
      <c r="J6244" s="1">
        <v>45159</v>
      </c>
      <c r="K6244" t="b">
        <v>0</v>
      </c>
    </row>
    <row r="6245" spans="1:11" x14ac:dyDescent="0.25">
      <c r="A6245" t="s">
        <v>5423</v>
      </c>
      <c r="B6245" t="s">
        <v>58</v>
      </c>
      <c r="C6245" t="s">
        <v>59</v>
      </c>
      <c r="D6245" t="s">
        <v>541</v>
      </c>
      <c r="E6245" s="2">
        <v>6.5</v>
      </c>
      <c r="F6245" s="4">
        <v>6</v>
      </c>
      <c r="G6245" s="2">
        <v>39</v>
      </c>
      <c r="H6245" t="s">
        <v>15</v>
      </c>
      <c r="I6245" t="s">
        <v>36</v>
      </c>
      <c r="J6245" s="1">
        <v>45313</v>
      </c>
      <c r="K6245" t="b">
        <v>0</v>
      </c>
    </row>
    <row r="6246" spans="1:11" x14ac:dyDescent="0.25">
      <c r="A6246" t="s">
        <v>915</v>
      </c>
      <c r="B6246" t="s">
        <v>72</v>
      </c>
      <c r="C6246" t="s">
        <v>31</v>
      </c>
      <c r="D6246" t="s">
        <v>49</v>
      </c>
      <c r="E6246" s="2">
        <v>6.5</v>
      </c>
      <c r="F6246" s="4">
        <v>6</v>
      </c>
      <c r="G6246" s="2">
        <v>39</v>
      </c>
      <c r="H6246" t="s">
        <v>15</v>
      </c>
      <c r="I6246" t="s">
        <v>16</v>
      </c>
      <c r="J6246" s="1">
        <v>44942</v>
      </c>
      <c r="K6246" t="b">
        <v>0</v>
      </c>
    </row>
    <row r="6247" spans="1:11" x14ac:dyDescent="0.25">
      <c r="A6247" t="s">
        <v>3546</v>
      </c>
      <c r="B6247" t="s">
        <v>72</v>
      </c>
      <c r="C6247" t="s">
        <v>110</v>
      </c>
      <c r="D6247" t="s">
        <v>221</v>
      </c>
      <c r="E6247" s="2">
        <v>6.5</v>
      </c>
      <c r="F6247" s="4">
        <v>6</v>
      </c>
      <c r="G6247" s="2">
        <v>39</v>
      </c>
      <c r="H6247" t="s">
        <v>25</v>
      </c>
      <c r="I6247" t="s">
        <v>36</v>
      </c>
      <c r="J6247" s="1">
        <v>44902</v>
      </c>
      <c r="K6247" t="b">
        <v>0</v>
      </c>
    </row>
    <row r="6248" spans="1:11" x14ac:dyDescent="0.25">
      <c r="A6248" t="s">
        <v>5095</v>
      </c>
      <c r="B6248" t="s">
        <v>100</v>
      </c>
      <c r="C6248" t="s">
        <v>59</v>
      </c>
      <c r="D6248" t="s">
        <v>541</v>
      </c>
      <c r="E6248" s="2">
        <v>6.5</v>
      </c>
      <c r="F6248" s="4">
        <v>6</v>
      </c>
      <c r="G6248" s="2">
        <v>39</v>
      </c>
      <c r="H6248" t="s">
        <v>15</v>
      </c>
      <c r="I6248" t="s">
        <v>36</v>
      </c>
      <c r="J6248" s="1">
        <v>45062</v>
      </c>
      <c r="K6248" t="b">
        <v>0</v>
      </c>
    </row>
    <row r="6249" spans="1:11" x14ac:dyDescent="0.25">
      <c r="A6249" t="s">
        <v>2691</v>
      </c>
      <c r="B6249" t="s">
        <v>66</v>
      </c>
      <c r="C6249" t="s">
        <v>38</v>
      </c>
      <c r="D6249" t="s">
        <v>235</v>
      </c>
      <c r="E6249" s="2">
        <v>6.5</v>
      </c>
      <c r="F6249" s="4">
        <v>6</v>
      </c>
      <c r="G6249" s="2">
        <v>39</v>
      </c>
      <c r="H6249" t="s">
        <v>45</v>
      </c>
      <c r="I6249" t="s">
        <v>36</v>
      </c>
      <c r="J6249" s="1">
        <v>45458</v>
      </c>
      <c r="K6249" t="b">
        <v>0</v>
      </c>
    </row>
    <row r="6250" spans="1:11" x14ac:dyDescent="0.25">
      <c r="A6250" t="s">
        <v>5904</v>
      </c>
      <c r="B6250" t="s">
        <v>12</v>
      </c>
      <c r="C6250" t="s">
        <v>27</v>
      </c>
      <c r="D6250" t="s">
        <v>246</v>
      </c>
      <c r="E6250" s="2">
        <v>6.5</v>
      </c>
      <c r="F6250" s="4">
        <v>6</v>
      </c>
      <c r="G6250" s="2">
        <v>39</v>
      </c>
      <c r="H6250" t="s">
        <v>15</v>
      </c>
      <c r="I6250" t="s">
        <v>36</v>
      </c>
      <c r="J6250" s="1">
        <v>44752</v>
      </c>
      <c r="K6250" t="b">
        <v>0</v>
      </c>
    </row>
    <row r="6251" spans="1:11" x14ac:dyDescent="0.25">
      <c r="A6251" t="s">
        <v>1390</v>
      </c>
      <c r="B6251" t="s">
        <v>58</v>
      </c>
      <c r="C6251" t="s">
        <v>38</v>
      </c>
      <c r="D6251" t="s">
        <v>235</v>
      </c>
      <c r="E6251" s="2">
        <v>6.5</v>
      </c>
      <c r="F6251" s="4">
        <v>6</v>
      </c>
      <c r="G6251" s="2">
        <v>39</v>
      </c>
      <c r="H6251" t="s">
        <v>15</v>
      </c>
      <c r="I6251" t="s">
        <v>36</v>
      </c>
      <c r="J6251" s="1">
        <v>44895</v>
      </c>
      <c r="K6251" t="b">
        <v>1</v>
      </c>
    </row>
    <row r="6252" spans="1:11" x14ac:dyDescent="0.25">
      <c r="A6252" t="s">
        <v>6201</v>
      </c>
      <c r="B6252" t="s">
        <v>72</v>
      </c>
      <c r="C6252" t="s">
        <v>27</v>
      </c>
      <c r="D6252" t="s">
        <v>246</v>
      </c>
      <c r="E6252" s="2">
        <v>6.5</v>
      </c>
      <c r="F6252" s="4">
        <v>6</v>
      </c>
      <c r="G6252" s="2">
        <v>39</v>
      </c>
      <c r="H6252" t="s">
        <v>15</v>
      </c>
      <c r="I6252" t="s">
        <v>36</v>
      </c>
      <c r="J6252" s="1">
        <v>45488</v>
      </c>
      <c r="K6252" t="b">
        <v>0</v>
      </c>
    </row>
    <row r="6253" spans="1:11" x14ac:dyDescent="0.25">
      <c r="A6253" t="s">
        <v>4000</v>
      </c>
      <c r="B6253" t="s">
        <v>69</v>
      </c>
      <c r="C6253" t="s">
        <v>27</v>
      </c>
      <c r="D6253" t="s">
        <v>246</v>
      </c>
      <c r="E6253" s="2">
        <v>6.5</v>
      </c>
      <c r="F6253" s="4">
        <v>6</v>
      </c>
      <c r="G6253" s="2">
        <v>39</v>
      </c>
      <c r="H6253" t="s">
        <v>25</v>
      </c>
      <c r="I6253" t="s">
        <v>36</v>
      </c>
      <c r="J6253" s="1">
        <v>45551</v>
      </c>
      <c r="K6253" t="b">
        <v>0</v>
      </c>
    </row>
    <row r="6254" spans="1:11" x14ac:dyDescent="0.25">
      <c r="A6254" t="s">
        <v>4018</v>
      </c>
      <c r="B6254" t="s">
        <v>18</v>
      </c>
      <c r="C6254" t="s">
        <v>19</v>
      </c>
      <c r="D6254" t="s">
        <v>308</v>
      </c>
      <c r="E6254" s="2">
        <v>6.5</v>
      </c>
      <c r="F6254" s="4">
        <v>6</v>
      </c>
      <c r="G6254" s="2">
        <v>39</v>
      </c>
      <c r="H6254" t="s">
        <v>25</v>
      </c>
      <c r="I6254" t="s">
        <v>36</v>
      </c>
      <c r="J6254" s="1">
        <v>45291</v>
      </c>
      <c r="K6254" t="b">
        <v>0</v>
      </c>
    </row>
    <row r="6255" spans="1:11" x14ac:dyDescent="0.25">
      <c r="A6255" t="s">
        <v>2984</v>
      </c>
      <c r="B6255" t="s">
        <v>97</v>
      </c>
      <c r="C6255" t="s">
        <v>110</v>
      </c>
      <c r="D6255" t="s">
        <v>221</v>
      </c>
      <c r="E6255" s="2">
        <v>6.5</v>
      </c>
      <c r="F6255" s="4">
        <v>6</v>
      </c>
      <c r="G6255" s="2">
        <v>39</v>
      </c>
      <c r="H6255" t="s">
        <v>15</v>
      </c>
      <c r="I6255" t="s">
        <v>36</v>
      </c>
      <c r="J6255" s="1">
        <v>45307</v>
      </c>
      <c r="K6255" t="b">
        <v>0</v>
      </c>
    </row>
    <row r="6256" spans="1:11" x14ac:dyDescent="0.25">
      <c r="A6256" t="s">
        <v>4245</v>
      </c>
      <c r="B6256" t="s">
        <v>69</v>
      </c>
      <c r="C6256" t="s">
        <v>23</v>
      </c>
      <c r="D6256" t="s">
        <v>137</v>
      </c>
      <c r="E6256" s="2">
        <v>6.5</v>
      </c>
      <c r="F6256" s="4">
        <v>6</v>
      </c>
      <c r="G6256" s="2">
        <v>39</v>
      </c>
      <c r="H6256" t="s">
        <v>15</v>
      </c>
      <c r="I6256" t="s">
        <v>16</v>
      </c>
      <c r="J6256" s="1">
        <v>45491</v>
      </c>
      <c r="K6256" t="b">
        <v>1</v>
      </c>
    </row>
    <row r="6257" spans="1:11" x14ac:dyDescent="0.25">
      <c r="A6257" t="s">
        <v>4062</v>
      </c>
      <c r="B6257" t="s">
        <v>22</v>
      </c>
      <c r="C6257" t="s">
        <v>59</v>
      </c>
      <c r="D6257" t="s">
        <v>541</v>
      </c>
      <c r="E6257" s="2">
        <v>6.5</v>
      </c>
      <c r="F6257" s="4">
        <v>6</v>
      </c>
      <c r="G6257" s="2">
        <v>39</v>
      </c>
      <c r="H6257" t="s">
        <v>15</v>
      </c>
      <c r="I6257" t="s">
        <v>16</v>
      </c>
      <c r="J6257" s="1">
        <v>45214</v>
      </c>
      <c r="K6257" t="b">
        <v>1</v>
      </c>
    </row>
    <row r="6258" spans="1:11" x14ac:dyDescent="0.25">
      <c r="A6258" t="s">
        <v>4001</v>
      </c>
      <c r="B6258" t="s">
        <v>58</v>
      </c>
      <c r="C6258" t="s">
        <v>110</v>
      </c>
      <c r="D6258" t="s">
        <v>221</v>
      </c>
      <c r="E6258" s="2">
        <v>6.5</v>
      </c>
      <c r="F6258" s="4">
        <v>6</v>
      </c>
      <c r="G6258" s="2">
        <v>39</v>
      </c>
      <c r="H6258" t="s">
        <v>15</v>
      </c>
      <c r="I6258" t="s">
        <v>16</v>
      </c>
      <c r="J6258" s="1">
        <v>45068</v>
      </c>
      <c r="K6258" t="b">
        <v>0</v>
      </c>
    </row>
    <row r="6259" spans="1:11" x14ac:dyDescent="0.25">
      <c r="A6259" t="s">
        <v>3966</v>
      </c>
      <c r="B6259" t="s">
        <v>26</v>
      </c>
      <c r="C6259" t="s">
        <v>19</v>
      </c>
      <c r="D6259" t="s">
        <v>308</v>
      </c>
      <c r="E6259" s="2">
        <v>6.5</v>
      </c>
      <c r="F6259" s="4">
        <v>6</v>
      </c>
      <c r="G6259" s="2">
        <v>39</v>
      </c>
      <c r="H6259" t="s">
        <v>25</v>
      </c>
      <c r="I6259" t="s">
        <v>36</v>
      </c>
      <c r="J6259" s="1">
        <v>44693</v>
      </c>
      <c r="K6259" t="b">
        <v>0</v>
      </c>
    </row>
    <row r="6260" spans="1:11" x14ac:dyDescent="0.25">
      <c r="A6260" t="s">
        <v>5489</v>
      </c>
      <c r="B6260" t="s">
        <v>18</v>
      </c>
      <c r="C6260" t="s">
        <v>38</v>
      </c>
      <c r="D6260" t="s">
        <v>235</v>
      </c>
      <c r="E6260" s="2">
        <v>6.5</v>
      </c>
      <c r="F6260" s="4">
        <v>6</v>
      </c>
      <c r="G6260" s="2">
        <v>39</v>
      </c>
      <c r="H6260" t="s">
        <v>25</v>
      </c>
      <c r="I6260" t="s">
        <v>36</v>
      </c>
      <c r="J6260" s="1">
        <v>44758</v>
      </c>
      <c r="K6260" t="b">
        <v>0</v>
      </c>
    </row>
    <row r="6261" spans="1:11" x14ac:dyDescent="0.25">
      <c r="A6261" t="s">
        <v>6863</v>
      </c>
      <c r="B6261" t="s">
        <v>61</v>
      </c>
      <c r="C6261" t="s">
        <v>27</v>
      </c>
      <c r="D6261" t="s">
        <v>246</v>
      </c>
      <c r="E6261" s="2">
        <v>6.5</v>
      </c>
      <c r="F6261" s="4">
        <v>6</v>
      </c>
      <c r="G6261" s="2">
        <v>39</v>
      </c>
      <c r="H6261" t="s">
        <v>15</v>
      </c>
      <c r="I6261" t="s">
        <v>16</v>
      </c>
      <c r="J6261" s="1">
        <v>45557</v>
      </c>
      <c r="K6261" t="b">
        <v>1</v>
      </c>
    </row>
    <row r="6262" spans="1:11" x14ac:dyDescent="0.25">
      <c r="A6262" t="s">
        <v>1747</v>
      </c>
      <c r="B6262" t="s">
        <v>37</v>
      </c>
      <c r="C6262" t="s">
        <v>59</v>
      </c>
      <c r="D6262" t="s">
        <v>541</v>
      </c>
      <c r="E6262" s="2">
        <v>6.5</v>
      </c>
      <c r="F6262" s="4">
        <v>6</v>
      </c>
      <c r="G6262" s="2">
        <v>39</v>
      </c>
      <c r="H6262" t="s">
        <v>45</v>
      </c>
      <c r="I6262" t="s">
        <v>36</v>
      </c>
      <c r="J6262" s="1">
        <v>45637</v>
      </c>
      <c r="K6262" t="b">
        <v>0</v>
      </c>
    </row>
    <row r="6263" spans="1:11" x14ac:dyDescent="0.25">
      <c r="A6263" t="s">
        <v>7085</v>
      </c>
      <c r="B6263" t="s">
        <v>66</v>
      </c>
      <c r="C6263" t="s">
        <v>59</v>
      </c>
      <c r="D6263" t="s">
        <v>541</v>
      </c>
      <c r="E6263" s="2">
        <v>6.5</v>
      </c>
      <c r="F6263" s="4">
        <v>6</v>
      </c>
      <c r="G6263" s="2">
        <v>39</v>
      </c>
      <c r="H6263" t="s">
        <v>15</v>
      </c>
      <c r="I6263" t="s">
        <v>36</v>
      </c>
      <c r="J6263" s="1">
        <v>44743</v>
      </c>
      <c r="K6263" t="b">
        <v>0</v>
      </c>
    </row>
    <row r="6264" spans="1:11" x14ac:dyDescent="0.25">
      <c r="A6264" t="s">
        <v>6484</v>
      </c>
      <c r="B6264" t="s">
        <v>58</v>
      </c>
      <c r="C6264" t="s">
        <v>38</v>
      </c>
      <c r="D6264" t="s">
        <v>235</v>
      </c>
      <c r="E6264" s="2">
        <v>6.5</v>
      </c>
      <c r="F6264" s="4">
        <v>6</v>
      </c>
      <c r="G6264" s="2">
        <v>39</v>
      </c>
      <c r="H6264" t="s">
        <v>25</v>
      </c>
      <c r="I6264" t="s">
        <v>16</v>
      </c>
      <c r="J6264" s="1">
        <v>45176</v>
      </c>
      <c r="K6264" t="b">
        <v>1</v>
      </c>
    </row>
    <row r="6265" spans="1:11" x14ac:dyDescent="0.25">
      <c r="A6265" t="s">
        <v>1878</v>
      </c>
      <c r="B6265" t="s">
        <v>51</v>
      </c>
      <c r="C6265" t="s">
        <v>19</v>
      </c>
      <c r="D6265" t="s">
        <v>308</v>
      </c>
      <c r="E6265" s="2">
        <v>6.5</v>
      </c>
      <c r="F6265" s="4">
        <v>6</v>
      </c>
      <c r="G6265" s="2">
        <v>39</v>
      </c>
      <c r="H6265" t="s">
        <v>45</v>
      </c>
      <c r="I6265" t="s">
        <v>16</v>
      </c>
      <c r="J6265" s="1">
        <v>45079</v>
      </c>
      <c r="K6265" t="b">
        <v>1</v>
      </c>
    </row>
    <row r="6266" spans="1:11" x14ac:dyDescent="0.25">
      <c r="A6266" t="s">
        <v>2946</v>
      </c>
      <c r="B6266" t="s">
        <v>93</v>
      </c>
      <c r="C6266" t="s">
        <v>38</v>
      </c>
      <c r="D6266" t="s">
        <v>235</v>
      </c>
      <c r="E6266" s="2">
        <v>6.5</v>
      </c>
      <c r="F6266" s="4">
        <v>6</v>
      </c>
      <c r="G6266" s="2">
        <v>39</v>
      </c>
      <c r="H6266" t="s">
        <v>25</v>
      </c>
      <c r="I6266" t="s">
        <v>16</v>
      </c>
      <c r="J6266" s="1">
        <v>45463</v>
      </c>
      <c r="K6266" t="b">
        <v>0</v>
      </c>
    </row>
    <row r="6267" spans="1:11" x14ac:dyDescent="0.25">
      <c r="A6267" t="s">
        <v>6440</v>
      </c>
      <c r="B6267" t="s">
        <v>104</v>
      </c>
      <c r="C6267" t="s">
        <v>59</v>
      </c>
      <c r="D6267" t="s">
        <v>64</v>
      </c>
      <c r="E6267" s="2">
        <v>9.5</v>
      </c>
      <c r="F6267" s="4">
        <v>4</v>
      </c>
      <c r="G6267" s="2">
        <v>38</v>
      </c>
      <c r="H6267" t="s">
        <v>25</v>
      </c>
      <c r="I6267" t="s">
        <v>16</v>
      </c>
      <c r="J6267" s="1">
        <v>45278</v>
      </c>
      <c r="K6267" t="b">
        <v>0</v>
      </c>
    </row>
    <row r="6268" spans="1:11" x14ac:dyDescent="0.25">
      <c r="A6268" t="s">
        <v>6388</v>
      </c>
      <c r="B6268" t="s">
        <v>61</v>
      </c>
      <c r="C6268" t="s">
        <v>38</v>
      </c>
      <c r="D6268" t="s">
        <v>122</v>
      </c>
      <c r="E6268" s="2">
        <v>38</v>
      </c>
      <c r="F6268" s="4">
        <v>1</v>
      </c>
      <c r="G6268" s="2">
        <v>38</v>
      </c>
      <c r="H6268" t="s">
        <v>15</v>
      </c>
      <c r="I6268" t="s">
        <v>16</v>
      </c>
      <c r="J6268" s="1">
        <v>44966</v>
      </c>
      <c r="K6268" t="b">
        <v>1</v>
      </c>
    </row>
    <row r="6269" spans="1:11" x14ac:dyDescent="0.25">
      <c r="A6269" t="s">
        <v>6521</v>
      </c>
      <c r="B6269" t="s">
        <v>85</v>
      </c>
      <c r="C6269" t="s">
        <v>13</v>
      </c>
      <c r="D6269" t="s">
        <v>567</v>
      </c>
      <c r="E6269" s="2">
        <v>38</v>
      </c>
      <c r="F6269" s="4">
        <v>1</v>
      </c>
      <c r="G6269" s="2">
        <v>38</v>
      </c>
      <c r="H6269" t="s">
        <v>25</v>
      </c>
      <c r="I6269" t="s">
        <v>36</v>
      </c>
      <c r="J6269" s="1">
        <v>44851</v>
      </c>
      <c r="K6269" t="b">
        <v>1</v>
      </c>
    </row>
    <row r="6270" spans="1:11" x14ac:dyDescent="0.25">
      <c r="A6270" t="s">
        <v>1242</v>
      </c>
      <c r="B6270" t="s">
        <v>22</v>
      </c>
      <c r="C6270" t="s">
        <v>38</v>
      </c>
      <c r="D6270" t="s">
        <v>122</v>
      </c>
      <c r="E6270" s="2">
        <v>38</v>
      </c>
      <c r="F6270" s="4">
        <v>1</v>
      </c>
      <c r="G6270" s="2">
        <v>38</v>
      </c>
      <c r="H6270" t="s">
        <v>15</v>
      </c>
      <c r="I6270" t="s">
        <v>36</v>
      </c>
      <c r="J6270" s="1">
        <v>44691</v>
      </c>
      <c r="K6270" t="b">
        <v>1</v>
      </c>
    </row>
    <row r="6271" spans="1:11" x14ac:dyDescent="0.25">
      <c r="A6271" t="s">
        <v>6452</v>
      </c>
      <c r="B6271" t="s">
        <v>37</v>
      </c>
      <c r="C6271" t="s">
        <v>59</v>
      </c>
      <c r="D6271" t="s">
        <v>275</v>
      </c>
      <c r="E6271" s="2">
        <v>38</v>
      </c>
      <c r="F6271" s="4">
        <v>1</v>
      </c>
      <c r="G6271" s="2">
        <v>38</v>
      </c>
      <c r="H6271" t="s">
        <v>45</v>
      </c>
      <c r="I6271" t="s">
        <v>16</v>
      </c>
      <c r="J6271" s="1">
        <v>45295</v>
      </c>
      <c r="K6271" t="b">
        <v>1</v>
      </c>
    </row>
    <row r="6272" spans="1:11" x14ac:dyDescent="0.25">
      <c r="A6272" t="s">
        <v>4837</v>
      </c>
      <c r="B6272" t="s">
        <v>142</v>
      </c>
      <c r="C6272" t="s">
        <v>23</v>
      </c>
      <c r="D6272" t="s">
        <v>98</v>
      </c>
      <c r="E6272" s="2">
        <v>38</v>
      </c>
      <c r="F6272" s="4">
        <v>1</v>
      </c>
      <c r="G6272" s="2">
        <v>38</v>
      </c>
      <c r="H6272" t="s">
        <v>15</v>
      </c>
      <c r="I6272" t="s">
        <v>16</v>
      </c>
      <c r="J6272" s="1">
        <v>45078</v>
      </c>
      <c r="K6272" t="b">
        <v>1</v>
      </c>
    </row>
    <row r="6273" spans="1:11" x14ac:dyDescent="0.25">
      <c r="A6273" t="s">
        <v>6614</v>
      </c>
      <c r="B6273" t="s">
        <v>69</v>
      </c>
      <c r="C6273" t="s">
        <v>13</v>
      </c>
      <c r="D6273" t="s">
        <v>171</v>
      </c>
      <c r="E6273" s="2">
        <v>9.5</v>
      </c>
      <c r="F6273" s="4">
        <v>4</v>
      </c>
      <c r="G6273" s="2">
        <v>38</v>
      </c>
      <c r="H6273" t="s">
        <v>45</v>
      </c>
      <c r="I6273" t="s">
        <v>36</v>
      </c>
      <c r="J6273" s="1">
        <v>45293</v>
      </c>
      <c r="K6273" t="b">
        <v>0</v>
      </c>
    </row>
    <row r="6274" spans="1:11" x14ac:dyDescent="0.25">
      <c r="A6274" t="s">
        <v>2808</v>
      </c>
      <c r="B6274" t="s">
        <v>69</v>
      </c>
      <c r="C6274" t="s">
        <v>31</v>
      </c>
      <c r="D6274" t="s">
        <v>168</v>
      </c>
      <c r="E6274" s="2">
        <v>9.5</v>
      </c>
      <c r="F6274" s="4">
        <v>4</v>
      </c>
      <c r="G6274" s="2">
        <v>38</v>
      </c>
      <c r="H6274" t="s">
        <v>45</v>
      </c>
      <c r="I6274" t="s">
        <v>16</v>
      </c>
      <c r="J6274" s="1">
        <v>45249</v>
      </c>
      <c r="K6274" t="b">
        <v>0</v>
      </c>
    </row>
    <row r="6275" spans="1:11" x14ac:dyDescent="0.25">
      <c r="A6275" t="s">
        <v>1821</v>
      </c>
      <c r="B6275" t="s">
        <v>142</v>
      </c>
      <c r="C6275" t="s">
        <v>13</v>
      </c>
      <c r="D6275" t="s">
        <v>171</v>
      </c>
      <c r="E6275" s="2">
        <v>9.5</v>
      </c>
      <c r="F6275" s="4">
        <v>4</v>
      </c>
      <c r="G6275" s="2">
        <v>38</v>
      </c>
      <c r="H6275" t="s">
        <v>25</v>
      </c>
      <c r="I6275" t="s">
        <v>16</v>
      </c>
      <c r="J6275" s="1">
        <v>45234</v>
      </c>
      <c r="K6275" t="b">
        <v>1</v>
      </c>
    </row>
    <row r="6276" spans="1:11" x14ac:dyDescent="0.25">
      <c r="A6276" t="s">
        <v>4051</v>
      </c>
      <c r="B6276" t="s">
        <v>85</v>
      </c>
      <c r="C6276" t="s">
        <v>110</v>
      </c>
      <c r="D6276" t="s">
        <v>534</v>
      </c>
      <c r="E6276" s="2">
        <v>38</v>
      </c>
      <c r="F6276" s="4">
        <v>1</v>
      </c>
      <c r="G6276" s="2">
        <v>38</v>
      </c>
      <c r="H6276" t="s">
        <v>15</v>
      </c>
      <c r="I6276" t="s">
        <v>36</v>
      </c>
      <c r="J6276" s="1">
        <v>44635</v>
      </c>
      <c r="K6276" t="b">
        <v>0</v>
      </c>
    </row>
    <row r="6277" spans="1:11" x14ac:dyDescent="0.25">
      <c r="A6277" t="s">
        <v>2701</v>
      </c>
      <c r="B6277" t="s">
        <v>66</v>
      </c>
      <c r="C6277" t="s">
        <v>38</v>
      </c>
      <c r="D6277" t="s">
        <v>122</v>
      </c>
      <c r="E6277" s="2">
        <v>38</v>
      </c>
      <c r="F6277" s="4">
        <v>1</v>
      </c>
      <c r="G6277" s="2">
        <v>38</v>
      </c>
      <c r="H6277" t="s">
        <v>45</v>
      </c>
      <c r="I6277" t="s">
        <v>36</v>
      </c>
      <c r="J6277" s="1">
        <v>45574</v>
      </c>
      <c r="K6277" t="b">
        <v>1</v>
      </c>
    </row>
    <row r="6278" spans="1:11" x14ac:dyDescent="0.25">
      <c r="A6278" t="s">
        <v>1365</v>
      </c>
      <c r="B6278" t="s">
        <v>69</v>
      </c>
      <c r="C6278" t="s">
        <v>13</v>
      </c>
      <c r="D6278" t="s">
        <v>171</v>
      </c>
      <c r="E6278" s="2">
        <v>9.5</v>
      </c>
      <c r="F6278" s="4">
        <v>4</v>
      </c>
      <c r="G6278" s="2">
        <v>38</v>
      </c>
      <c r="H6278" t="s">
        <v>45</v>
      </c>
      <c r="I6278" t="s">
        <v>36</v>
      </c>
      <c r="J6278" s="1">
        <v>45078</v>
      </c>
      <c r="K6278" t="b">
        <v>1</v>
      </c>
    </row>
    <row r="6279" spans="1:11" x14ac:dyDescent="0.25">
      <c r="A6279" t="s">
        <v>3673</v>
      </c>
      <c r="B6279" t="s">
        <v>12</v>
      </c>
      <c r="C6279" t="s">
        <v>19</v>
      </c>
      <c r="D6279" t="s">
        <v>203</v>
      </c>
      <c r="E6279" s="2">
        <v>38</v>
      </c>
      <c r="F6279" s="4">
        <v>1</v>
      </c>
      <c r="G6279" s="2">
        <v>38</v>
      </c>
      <c r="H6279" t="s">
        <v>45</v>
      </c>
      <c r="I6279" t="s">
        <v>36</v>
      </c>
      <c r="J6279" s="1">
        <v>44602</v>
      </c>
      <c r="K6279" t="b">
        <v>0</v>
      </c>
    </row>
    <row r="6280" spans="1:11" x14ac:dyDescent="0.25">
      <c r="A6280" t="s">
        <v>4594</v>
      </c>
      <c r="B6280" t="s">
        <v>56</v>
      </c>
      <c r="C6280" t="s">
        <v>59</v>
      </c>
      <c r="D6280" t="s">
        <v>275</v>
      </c>
      <c r="E6280" s="2">
        <v>38</v>
      </c>
      <c r="F6280" s="4">
        <v>1</v>
      </c>
      <c r="G6280" s="2">
        <v>38</v>
      </c>
      <c r="H6280" t="s">
        <v>45</v>
      </c>
      <c r="I6280" t="s">
        <v>16</v>
      </c>
      <c r="J6280" s="1">
        <v>45250</v>
      </c>
      <c r="K6280" t="b">
        <v>0</v>
      </c>
    </row>
    <row r="6281" spans="1:11" x14ac:dyDescent="0.25">
      <c r="A6281" t="s">
        <v>954</v>
      </c>
      <c r="B6281" t="s">
        <v>56</v>
      </c>
      <c r="C6281" t="s">
        <v>38</v>
      </c>
      <c r="D6281" t="s">
        <v>122</v>
      </c>
      <c r="E6281" s="2">
        <v>38</v>
      </c>
      <c r="F6281" s="4">
        <v>1</v>
      </c>
      <c r="G6281" s="2">
        <v>38</v>
      </c>
      <c r="H6281" t="s">
        <v>15</v>
      </c>
      <c r="I6281" t="s">
        <v>36</v>
      </c>
      <c r="J6281" s="1">
        <v>45637</v>
      </c>
      <c r="K6281" t="b">
        <v>0</v>
      </c>
    </row>
    <row r="6282" spans="1:11" x14ac:dyDescent="0.25">
      <c r="A6282" t="s">
        <v>2933</v>
      </c>
      <c r="B6282" t="s">
        <v>40</v>
      </c>
      <c r="C6282" t="s">
        <v>59</v>
      </c>
      <c r="D6282" t="s">
        <v>275</v>
      </c>
      <c r="E6282" s="2">
        <v>38</v>
      </c>
      <c r="F6282" s="4">
        <v>1</v>
      </c>
      <c r="G6282" s="2">
        <v>38</v>
      </c>
      <c r="H6282" t="s">
        <v>15</v>
      </c>
      <c r="I6282" t="s">
        <v>36</v>
      </c>
      <c r="J6282" s="1">
        <v>45207</v>
      </c>
      <c r="K6282" t="b">
        <v>1</v>
      </c>
    </row>
    <row r="6283" spans="1:11" x14ac:dyDescent="0.25">
      <c r="A6283" t="s">
        <v>522</v>
      </c>
      <c r="B6283" t="s">
        <v>66</v>
      </c>
      <c r="C6283" t="s">
        <v>38</v>
      </c>
      <c r="D6283" t="s">
        <v>414</v>
      </c>
      <c r="E6283" s="2">
        <v>9.5</v>
      </c>
      <c r="F6283" s="4">
        <v>4</v>
      </c>
      <c r="G6283" s="2">
        <v>38</v>
      </c>
      <c r="H6283" t="s">
        <v>45</v>
      </c>
      <c r="I6283" t="s">
        <v>16</v>
      </c>
      <c r="J6283" s="1">
        <v>45316</v>
      </c>
      <c r="K6283" t="b">
        <v>1</v>
      </c>
    </row>
    <row r="6284" spans="1:11" x14ac:dyDescent="0.25">
      <c r="A6284" t="s">
        <v>6783</v>
      </c>
      <c r="B6284" t="s">
        <v>93</v>
      </c>
      <c r="C6284" t="s">
        <v>31</v>
      </c>
      <c r="D6284" t="s">
        <v>168</v>
      </c>
      <c r="E6284" s="2">
        <v>9.5</v>
      </c>
      <c r="F6284" s="4">
        <v>4</v>
      </c>
      <c r="G6284" s="2">
        <v>38</v>
      </c>
      <c r="H6284" t="s">
        <v>45</v>
      </c>
      <c r="I6284" t="s">
        <v>16</v>
      </c>
      <c r="J6284" s="1">
        <v>45564</v>
      </c>
      <c r="K6284" t="b">
        <v>0</v>
      </c>
    </row>
    <row r="6285" spans="1:11" x14ac:dyDescent="0.25">
      <c r="A6285" t="s">
        <v>1940</v>
      </c>
      <c r="B6285" t="s">
        <v>100</v>
      </c>
      <c r="C6285" t="s">
        <v>13</v>
      </c>
      <c r="D6285" t="s">
        <v>171</v>
      </c>
      <c r="E6285" s="2">
        <v>9.5</v>
      </c>
      <c r="F6285" s="4">
        <v>4</v>
      </c>
      <c r="G6285" s="2">
        <v>38</v>
      </c>
      <c r="H6285" t="s">
        <v>45</v>
      </c>
      <c r="I6285" t="s">
        <v>36</v>
      </c>
      <c r="J6285" s="1">
        <v>45063</v>
      </c>
      <c r="K6285" t="b">
        <v>1</v>
      </c>
    </row>
    <row r="6286" spans="1:11" x14ac:dyDescent="0.25">
      <c r="A6286" t="s">
        <v>3214</v>
      </c>
      <c r="B6286" t="s">
        <v>72</v>
      </c>
      <c r="C6286" t="s">
        <v>38</v>
      </c>
      <c r="D6286" t="s">
        <v>122</v>
      </c>
      <c r="E6286" s="2">
        <v>38</v>
      </c>
      <c r="F6286" s="4">
        <v>1</v>
      </c>
      <c r="G6286" s="2">
        <v>38</v>
      </c>
      <c r="H6286" t="s">
        <v>45</v>
      </c>
      <c r="I6286" t="s">
        <v>16</v>
      </c>
      <c r="J6286" s="1">
        <v>45033</v>
      </c>
      <c r="K6286" t="b">
        <v>0</v>
      </c>
    </row>
    <row r="6287" spans="1:11" x14ac:dyDescent="0.25">
      <c r="A6287" t="s">
        <v>731</v>
      </c>
      <c r="B6287" t="s">
        <v>69</v>
      </c>
      <c r="C6287" t="s">
        <v>31</v>
      </c>
      <c r="D6287" t="s">
        <v>168</v>
      </c>
      <c r="E6287" s="2">
        <v>9.5</v>
      </c>
      <c r="F6287" s="4">
        <v>4</v>
      </c>
      <c r="G6287" s="2">
        <v>38</v>
      </c>
      <c r="H6287" t="s">
        <v>25</v>
      </c>
      <c r="I6287" t="s">
        <v>16</v>
      </c>
      <c r="J6287" s="1">
        <v>45592</v>
      </c>
      <c r="K6287" t="b">
        <v>1</v>
      </c>
    </row>
    <row r="6288" spans="1:11" x14ac:dyDescent="0.25">
      <c r="A6288" t="s">
        <v>6699</v>
      </c>
      <c r="B6288" t="s">
        <v>34</v>
      </c>
      <c r="C6288" t="s">
        <v>23</v>
      </c>
      <c r="D6288" t="s">
        <v>98</v>
      </c>
      <c r="E6288" s="2">
        <v>38</v>
      </c>
      <c r="F6288" s="4">
        <v>1</v>
      </c>
      <c r="G6288" s="2">
        <v>38</v>
      </c>
      <c r="H6288" t="s">
        <v>25</v>
      </c>
      <c r="I6288" t="s">
        <v>36</v>
      </c>
      <c r="J6288" s="1">
        <v>45331</v>
      </c>
      <c r="K6288" t="b">
        <v>0</v>
      </c>
    </row>
    <row r="6289" spans="1:11" x14ac:dyDescent="0.25">
      <c r="A6289" t="s">
        <v>7094</v>
      </c>
      <c r="B6289" t="s">
        <v>56</v>
      </c>
      <c r="C6289" t="s">
        <v>110</v>
      </c>
      <c r="D6289" t="s">
        <v>304</v>
      </c>
      <c r="E6289" s="2">
        <v>9.5</v>
      </c>
      <c r="F6289" s="4">
        <v>4</v>
      </c>
      <c r="G6289" s="2">
        <v>38</v>
      </c>
      <c r="H6289" t="s">
        <v>15</v>
      </c>
      <c r="I6289" t="s">
        <v>36</v>
      </c>
      <c r="J6289" s="1">
        <v>45222</v>
      </c>
      <c r="K6289" t="b">
        <v>0</v>
      </c>
    </row>
    <row r="6290" spans="1:11" x14ac:dyDescent="0.25">
      <c r="A6290" t="s">
        <v>4079</v>
      </c>
      <c r="B6290" t="s">
        <v>69</v>
      </c>
      <c r="C6290" t="s">
        <v>19</v>
      </c>
      <c r="D6290" t="s">
        <v>203</v>
      </c>
      <c r="E6290" s="2">
        <v>38</v>
      </c>
      <c r="F6290" s="4">
        <v>1</v>
      </c>
      <c r="G6290" s="2">
        <v>38</v>
      </c>
      <c r="H6290" t="s">
        <v>45</v>
      </c>
      <c r="I6290" t="s">
        <v>16</v>
      </c>
      <c r="J6290" s="1">
        <v>45196</v>
      </c>
      <c r="K6290" t="b">
        <v>1</v>
      </c>
    </row>
    <row r="6291" spans="1:11" x14ac:dyDescent="0.25">
      <c r="A6291" t="s">
        <v>4373</v>
      </c>
      <c r="B6291" t="s">
        <v>58</v>
      </c>
      <c r="C6291" t="s">
        <v>13</v>
      </c>
      <c r="D6291" t="s">
        <v>171</v>
      </c>
      <c r="E6291" s="2">
        <v>9.5</v>
      </c>
      <c r="F6291" s="4">
        <v>4</v>
      </c>
      <c r="G6291" s="2">
        <v>38</v>
      </c>
      <c r="H6291" t="s">
        <v>15</v>
      </c>
      <c r="I6291" t="s">
        <v>16</v>
      </c>
      <c r="J6291" s="1">
        <v>44934</v>
      </c>
      <c r="K6291" t="b">
        <v>1</v>
      </c>
    </row>
    <row r="6292" spans="1:11" x14ac:dyDescent="0.25">
      <c r="A6292" t="s">
        <v>427</v>
      </c>
      <c r="B6292" t="s">
        <v>43</v>
      </c>
      <c r="C6292" t="s">
        <v>23</v>
      </c>
      <c r="D6292" t="s">
        <v>98</v>
      </c>
      <c r="E6292" s="2">
        <v>38</v>
      </c>
      <c r="F6292" s="4">
        <v>1</v>
      </c>
      <c r="G6292" s="2">
        <v>38</v>
      </c>
      <c r="H6292" t="s">
        <v>45</v>
      </c>
      <c r="I6292" t="s">
        <v>36</v>
      </c>
      <c r="J6292" s="1">
        <v>45006</v>
      </c>
      <c r="K6292" t="b">
        <v>0</v>
      </c>
    </row>
    <row r="6293" spans="1:11" x14ac:dyDescent="0.25">
      <c r="A6293" t="s">
        <v>1731</v>
      </c>
      <c r="B6293" t="s">
        <v>86</v>
      </c>
      <c r="C6293" t="s">
        <v>13</v>
      </c>
      <c r="D6293" t="s">
        <v>567</v>
      </c>
      <c r="E6293" s="2">
        <v>38</v>
      </c>
      <c r="F6293" s="4">
        <v>1</v>
      </c>
      <c r="G6293" s="2">
        <v>38</v>
      </c>
      <c r="H6293" t="s">
        <v>25</v>
      </c>
      <c r="I6293" t="s">
        <v>36</v>
      </c>
      <c r="J6293" s="1">
        <v>45657</v>
      </c>
      <c r="K6293" t="b">
        <v>0</v>
      </c>
    </row>
    <row r="6294" spans="1:11" x14ac:dyDescent="0.25">
      <c r="A6294" t="s">
        <v>173</v>
      </c>
      <c r="B6294" t="s">
        <v>97</v>
      </c>
      <c r="C6294" t="s">
        <v>19</v>
      </c>
      <c r="D6294" t="s">
        <v>174</v>
      </c>
      <c r="E6294" s="2">
        <v>9.5</v>
      </c>
      <c r="F6294" s="4">
        <v>4</v>
      </c>
      <c r="G6294" s="2">
        <v>38</v>
      </c>
      <c r="H6294" t="s">
        <v>15</v>
      </c>
      <c r="I6294" t="s">
        <v>16</v>
      </c>
      <c r="J6294" s="1">
        <v>45378</v>
      </c>
      <c r="K6294" t="b">
        <v>1</v>
      </c>
    </row>
    <row r="6295" spans="1:11" x14ac:dyDescent="0.25">
      <c r="A6295" t="s">
        <v>3731</v>
      </c>
      <c r="B6295" t="s">
        <v>61</v>
      </c>
      <c r="C6295" t="s">
        <v>13</v>
      </c>
      <c r="D6295" t="s">
        <v>567</v>
      </c>
      <c r="E6295" s="2">
        <v>38</v>
      </c>
      <c r="F6295" s="4">
        <v>1</v>
      </c>
      <c r="G6295" s="2">
        <v>38</v>
      </c>
      <c r="H6295" t="s">
        <v>45</v>
      </c>
      <c r="I6295" t="s">
        <v>16</v>
      </c>
      <c r="J6295" s="1">
        <v>44739</v>
      </c>
      <c r="K6295" t="b">
        <v>0</v>
      </c>
    </row>
    <row r="6296" spans="1:11" x14ac:dyDescent="0.25">
      <c r="A6296" t="s">
        <v>274</v>
      </c>
      <c r="B6296" t="s">
        <v>100</v>
      </c>
      <c r="C6296" t="s">
        <v>59</v>
      </c>
      <c r="D6296" t="s">
        <v>275</v>
      </c>
      <c r="E6296" s="2">
        <v>38</v>
      </c>
      <c r="F6296" s="4">
        <v>1</v>
      </c>
      <c r="G6296" s="2">
        <v>38</v>
      </c>
      <c r="H6296" t="s">
        <v>45</v>
      </c>
      <c r="I6296" t="s">
        <v>36</v>
      </c>
      <c r="J6296" s="1">
        <v>44641</v>
      </c>
      <c r="K6296" t="b">
        <v>1</v>
      </c>
    </row>
    <row r="6297" spans="1:11" x14ac:dyDescent="0.25">
      <c r="A6297" t="s">
        <v>3075</v>
      </c>
      <c r="B6297" t="s">
        <v>72</v>
      </c>
      <c r="C6297" t="s">
        <v>13</v>
      </c>
      <c r="D6297" t="s">
        <v>171</v>
      </c>
      <c r="E6297" s="2">
        <v>9.5</v>
      </c>
      <c r="F6297" s="4">
        <v>4</v>
      </c>
      <c r="G6297" s="2">
        <v>38</v>
      </c>
      <c r="H6297" t="s">
        <v>25</v>
      </c>
      <c r="I6297" t="s">
        <v>36</v>
      </c>
      <c r="J6297" s="1">
        <v>44976</v>
      </c>
      <c r="K6297" t="b">
        <v>1</v>
      </c>
    </row>
    <row r="6298" spans="1:11" x14ac:dyDescent="0.25">
      <c r="A6298" t="s">
        <v>6958</v>
      </c>
      <c r="B6298" t="s">
        <v>142</v>
      </c>
      <c r="C6298" t="s">
        <v>13</v>
      </c>
      <c r="D6298" t="s">
        <v>171</v>
      </c>
      <c r="E6298" s="2">
        <v>9.5</v>
      </c>
      <c r="F6298" s="4">
        <v>4</v>
      </c>
      <c r="G6298" s="2">
        <v>38</v>
      </c>
      <c r="H6298" t="s">
        <v>15</v>
      </c>
      <c r="I6298" t="s">
        <v>36</v>
      </c>
      <c r="J6298" s="1">
        <v>45070</v>
      </c>
      <c r="K6298" t="b">
        <v>0</v>
      </c>
    </row>
    <row r="6299" spans="1:11" x14ac:dyDescent="0.25">
      <c r="A6299" t="s">
        <v>525</v>
      </c>
      <c r="B6299" t="s">
        <v>18</v>
      </c>
      <c r="C6299" t="s">
        <v>27</v>
      </c>
      <c r="D6299" t="s">
        <v>205</v>
      </c>
      <c r="E6299" s="2">
        <v>38</v>
      </c>
      <c r="F6299" s="4">
        <v>1</v>
      </c>
      <c r="G6299" s="2">
        <v>38</v>
      </c>
      <c r="H6299" t="s">
        <v>15</v>
      </c>
      <c r="I6299" t="s">
        <v>16</v>
      </c>
      <c r="J6299" s="1">
        <v>45090</v>
      </c>
      <c r="K6299" t="b">
        <v>0</v>
      </c>
    </row>
    <row r="6300" spans="1:11" x14ac:dyDescent="0.25">
      <c r="A6300" t="s">
        <v>5834</v>
      </c>
      <c r="B6300" t="s">
        <v>104</v>
      </c>
      <c r="C6300" t="s">
        <v>110</v>
      </c>
      <c r="D6300" t="s">
        <v>534</v>
      </c>
      <c r="E6300" s="2">
        <v>38</v>
      </c>
      <c r="F6300" s="4">
        <v>1</v>
      </c>
      <c r="G6300" s="2">
        <v>38</v>
      </c>
      <c r="H6300" t="s">
        <v>25</v>
      </c>
      <c r="I6300" t="s">
        <v>36</v>
      </c>
      <c r="J6300" s="1">
        <v>45267</v>
      </c>
      <c r="K6300" t="b">
        <v>1</v>
      </c>
    </row>
    <row r="6301" spans="1:11" x14ac:dyDescent="0.25">
      <c r="A6301" t="s">
        <v>6906</v>
      </c>
      <c r="B6301" t="s">
        <v>12</v>
      </c>
      <c r="C6301" t="s">
        <v>23</v>
      </c>
      <c r="D6301" t="s">
        <v>98</v>
      </c>
      <c r="E6301" s="2">
        <v>38</v>
      </c>
      <c r="F6301" s="4">
        <v>1</v>
      </c>
      <c r="G6301" s="2">
        <v>38</v>
      </c>
      <c r="H6301" t="s">
        <v>15</v>
      </c>
      <c r="I6301" t="s">
        <v>36</v>
      </c>
      <c r="J6301" s="1">
        <v>45430</v>
      </c>
      <c r="K6301" t="b">
        <v>1</v>
      </c>
    </row>
    <row r="6302" spans="1:11" x14ac:dyDescent="0.25">
      <c r="A6302" t="s">
        <v>2754</v>
      </c>
      <c r="B6302" t="s">
        <v>51</v>
      </c>
      <c r="C6302" t="s">
        <v>38</v>
      </c>
      <c r="D6302" t="s">
        <v>414</v>
      </c>
      <c r="E6302" s="2">
        <v>9.5</v>
      </c>
      <c r="F6302" s="4">
        <v>4</v>
      </c>
      <c r="G6302" s="2">
        <v>38</v>
      </c>
      <c r="H6302" t="s">
        <v>15</v>
      </c>
      <c r="I6302" t="s">
        <v>16</v>
      </c>
      <c r="J6302" s="1">
        <v>45395</v>
      </c>
      <c r="K6302" t="b">
        <v>0</v>
      </c>
    </row>
    <row r="6303" spans="1:11" x14ac:dyDescent="0.25">
      <c r="A6303" t="s">
        <v>6335</v>
      </c>
      <c r="B6303" t="s">
        <v>77</v>
      </c>
      <c r="C6303" t="s">
        <v>59</v>
      </c>
      <c r="D6303" t="s">
        <v>275</v>
      </c>
      <c r="E6303" s="2">
        <v>38</v>
      </c>
      <c r="F6303" s="4">
        <v>1</v>
      </c>
      <c r="G6303" s="2">
        <v>38</v>
      </c>
      <c r="H6303" t="s">
        <v>25</v>
      </c>
      <c r="I6303" t="s">
        <v>36</v>
      </c>
      <c r="J6303" s="1">
        <v>45607</v>
      </c>
      <c r="K6303" t="b">
        <v>1</v>
      </c>
    </row>
    <row r="6304" spans="1:11" x14ac:dyDescent="0.25">
      <c r="A6304" t="s">
        <v>7387</v>
      </c>
      <c r="B6304" t="s">
        <v>26</v>
      </c>
      <c r="C6304" t="s">
        <v>110</v>
      </c>
      <c r="D6304" t="s">
        <v>534</v>
      </c>
      <c r="E6304" s="2">
        <v>38</v>
      </c>
      <c r="F6304" s="4">
        <v>1</v>
      </c>
      <c r="G6304" s="2">
        <v>38</v>
      </c>
      <c r="H6304" t="s">
        <v>25</v>
      </c>
      <c r="I6304" t="s">
        <v>16</v>
      </c>
      <c r="J6304" s="1">
        <v>44979</v>
      </c>
      <c r="K6304" t="b">
        <v>1</v>
      </c>
    </row>
    <row r="6305" spans="1:11" x14ac:dyDescent="0.25">
      <c r="A6305" t="s">
        <v>5930</v>
      </c>
      <c r="B6305" t="s">
        <v>77</v>
      </c>
      <c r="C6305" t="s">
        <v>23</v>
      </c>
      <c r="D6305" t="s">
        <v>98</v>
      </c>
      <c r="E6305" s="2">
        <v>38</v>
      </c>
      <c r="F6305" s="4">
        <v>1</v>
      </c>
      <c r="G6305" s="2">
        <v>38</v>
      </c>
      <c r="H6305" t="s">
        <v>15</v>
      </c>
      <c r="I6305" t="s">
        <v>16</v>
      </c>
      <c r="J6305" s="1">
        <v>44647</v>
      </c>
      <c r="K6305" t="b">
        <v>0</v>
      </c>
    </row>
    <row r="6306" spans="1:11" x14ac:dyDescent="0.25">
      <c r="A6306" t="s">
        <v>3376</v>
      </c>
      <c r="B6306" t="s">
        <v>72</v>
      </c>
      <c r="C6306" t="s">
        <v>23</v>
      </c>
      <c r="D6306" t="s">
        <v>810</v>
      </c>
      <c r="E6306" s="2">
        <v>9.5</v>
      </c>
      <c r="F6306" s="4">
        <v>4</v>
      </c>
      <c r="G6306" s="2">
        <v>38</v>
      </c>
      <c r="H6306" t="s">
        <v>15</v>
      </c>
      <c r="I6306" t="s">
        <v>16</v>
      </c>
      <c r="J6306" s="1">
        <v>45513</v>
      </c>
      <c r="K6306" t="b">
        <v>1</v>
      </c>
    </row>
    <row r="6307" spans="1:11" x14ac:dyDescent="0.25">
      <c r="A6307" t="s">
        <v>1995</v>
      </c>
      <c r="B6307" t="s">
        <v>18</v>
      </c>
      <c r="C6307" t="s">
        <v>19</v>
      </c>
      <c r="D6307" t="s">
        <v>203</v>
      </c>
      <c r="E6307" s="2">
        <v>38</v>
      </c>
      <c r="F6307" s="4">
        <v>1</v>
      </c>
      <c r="G6307" s="2">
        <v>38</v>
      </c>
      <c r="H6307" t="s">
        <v>45</v>
      </c>
      <c r="I6307" t="s">
        <v>16</v>
      </c>
      <c r="J6307" s="1">
        <v>44868</v>
      </c>
      <c r="K6307" t="b">
        <v>1</v>
      </c>
    </row>
    <row r="6308" spans="1:11" x14ac:dyDescent="0.25">
      <c r="A6308" t="s">
        <v>1388</v>
      </c>
      <c r="B6308" t="s">
        <v>63</v>
      </c>
      <c r="C6308" t="s">
        <v>13</v>
      </c>
      <c r="D6308" t="s">
        <v>567</v>
      </c>
      <c r="E6308" s="2">
        <v>38</v>
      </c>
      <c r="F6308" s="4">
        <v>1</v>
      </c>
      <c r="G6308" s="2">
        <v>38</v>
      </c>
      <c r="H6308" t="s">
        <v>25</v>
      </c>
      <c r="I6308" t="s">
        <v>36</v>
      </c>
      <c r="J6308" s="1">
        <v>44739</v>
      </c>
      <c r="K6308" t="b">
        <v>1</v>
      </c>
    </row>
    <row r="6309" spans="1:11" x14ac:dyDescent="0.25">
      <c r="A6309" t="s">
        <v>1960</v>
      </c>
      <c r="B6309" t="s">
        <v>69</v>
      </c>
      <c r="C6309" t="s">
        <v>110</v>
      </c>
      <c r="D6309" t="s">
        <v>534</v>
      </c>
      <c r="E6309" s="2">
        <v>38</v>
      </c>
      <c r="F6309" s="4">
        <v>1</v>
      </c>
      <c r="G6309" s="2">
        <v>38</v>
      </c>
      <c r="H6309" t="s">
        <v>25</v>
      </c>
      <c r="I6309" t="s">
        <v>36</v>
      </c>
      <c r="J6309" s="1">
        <v>45561</v>
      </c>
      <c r="K6309" t="b">
        <v>0</v>
      </c>
    </row>
    <row r="6310" spans="1:11" x14ac:dyDescent="0.25">
      <c r="A6310" t="s">
        <v>5105</v>
      </c>
      <c r="B6310" t="s">
        <v>34</v>
      </c>
      <c r="C6310" t="s">
        <v>27</v>
      </c>
      <c r="D6310" t="s">
        <v>205</v>
      </c>
      <c r="E6310" s="2">
        <v>38</v>
      </c>
      <c r="F6310" s="4">
        <v>1</v>
      </c>
      <c r="G6310" s="2">
        <v>38</v>
      </c>
      <c r="H6310" t="s">
        <v>45</v>
      </c>
      <c r="I6310" t="s">
        <v>16</v>
      </c>
      <c r="J6310" s="1">
        <v>45110</v>
      </c>
      <c r="K6310" t="b">
        <v>0</v>
      </c>
    </row>
    <row r="6311" spans="1:11" x14ac:dyDescent="0.25">
      <c r="A6311" t="s">
        <v>6403</v>
      </c>
      <c r="B6311" t="s">
        <v>142</v>
      </c>
      <c r="C6311" t="s">
        <v>23</v>
      </c>
      <c r="D6311" t="s">
        <v>98</v>
      </c>
      <c r="E6311" s="2">
        <v>38</v>
      </c>
      <c r="F6311" s="4">
        <v>1</v>
      </c>
      <c r="G6311" s="2">
        <v>38</v>
      </c>
      <c r="H6311" t="s">
        <v>45</v>
      </c>
      <c r="I6311" t="s">
        <v>16</v>
      </c>
      <c r="J6311" s="1">
        <v>45417</v>
      </c>
      <c r="K6311" t="b">
        <v>1</v>
      </c>
    </row>
    <row r="6312" spans="1:11" x14ac:dyDescent="0.25">
      <c r="A6312" t="s">
        <v>1772</v>
      </c>
      <c r="B6312" t="s">
        <v>104</v>
      </c>
      <c r="C6312" t="s">
        <v>19</v>
      </c>
      <c r="D6312" t="s">
        <v>203</v>
      </c>
      <c r="E6312" s="2">
        <v>38</v>
      </c>
      <c r="F6312" s="4">
        <v>1</v>
      </c>
      <c r="G6312" s="2">
        <v>38</v>
      </c>
      <c r="H6312" t="s">
        <v>25</v>
      </c>
      <c r="I6312" t="s">
        <v>36</v>
      </c>
      <c r="J6312" s="1">
        <v>44777</v>
      </c>
      <c r="K6312" t="b">
        <v>0</v>
      </c>
    </row>
    <row r="6313" spans="1:11" x14ac:dyDescent="0.25">
      <c r="A6313" t="s">
        <v>3938</v>
      </c>
      <c r="B6313" t="s">
        <v>40</v>
      </c>
      <c r="C6313" t="s">
        <v>13</v>
      </c>
      <c r="D6313" t="s">
        <v>567</v>
      </c>
      <c r="E6313" s="2">
        <v>38</v>
      </c>
      <c r="F6313" s="4">
        <v>1</v>
      </c>
      <c r="G6313" s="2">
        <v>38</v>
      </c>
      <c r="H6313" t="s">
        <v>15</v>
      </c>
      <c r="I6313" t="s">
        <v>36</v>
      </c>
      <c r="J6313" s="1">
        <v>44951</v>
      </c>
      <c r="K6313" t="b">
        <v>1</v>
      </c>
    </row>
    <row r="6314" spans="1:11" x14ac:dyDescent="0.25">
      <c r="A6314" t="s">
        <v>7445</v>
      </c>
      <c r="B6314" t="s">
        <v>69</v>
      </c>
      <c r="C6314" t="s">
        <v>19</v>
      </c>
      <c r="D6314" t="s">
        <v>174</v>
      </c>
      <c r="E6314" s="2">
        <v>9.5</v>
      </c>
      <c r="F6314" s="4">
        <v>4</v>
      </c>
      <c r="G6314" s="2">
        <v>38</v>
      </c>
      <c r="H6314" t="s">
        <v>15</v>
      </c>
      <c r="I6314" t="s">
        <v>16</v>
      </c>
      <c r="J6314" s="1">
        <v>44637</v>
      </c>
      <c r="K6314" t="b">
        <v>1</v>
      </c>
    </row>
    <row r="6315" spans="1:11" x14ac:dyDescent="0.25">
      <c r="A6315" t="s">
        <v>2862</v>
      </c>
      <c r="B6315" t="s">
        <v>93</v>
      </c>
      <c r="C6315" t="s">
        <v>31</v>
      </c>
      <c r="D6315" t="s">
        <v>168</v>
      </c>
      <c r="E6315" s="2">
        <v>9.5</v>
      </c>
      <c r="F6315" s="4">
        <v>4</v>
      </c>
      <c r="G6315" s="2">
        <v>38</v>
      </c>
      <c r="H6315" t="s">
        <v>15</v>
      </c>
      <c r="I6315" t="s">
        <v>36</v>
      </c>
      <c r="J6315" s="1">
        <v>45654</v>
      </c>
      <c r="K6315" t="b">
        <v>1</v>
      </c>
    </row>
    <row r="6316" spans="1:11" x14ac:dyDescent="0.25">
      <c r="A6316" t="s">
        <v>2781</v>
      </c>
      <c r="B6316" t="s">
        <v>51</v>
      </c>
      <c r="C6316" t="s">
        <v>59</v>
      </c>
      <c r="D6316" t="s">
        <v>275</v>
      </c>
      <c r="E6316" s="2">
        <v>38</v>
      </c>
      <c r="F6316" s="4">
        <v>1</v>
      </c>
      <c r="G6316" s="2">
        <v>38</v>
      </c>
      <c r="H6316" t="s">
        <v>45</v>
      </c>
      <c r="I6316" t="s">
        <v>16</v>
      </c>
      <c r="J6316" s="1">
        <v>45400</v>
      </c>
      <c r="K6316" t="b">
        <v>0</v>
      </c>
    </row>
    <row r="6317" spans="1:11" x14ac:dyDescent="0.25">
      <c r="A6317" t="s">
        <v>7290</v>
      </c>
      <c r="B6317" t="s">
        <v>69</v>
      </c>
      <c r="C6317" t="s">
        <v>59</v>
      </c>
      <c r="D6317" t="s">
        <v>275</v>
      </c>
      <c r="E6317" s="2">
        <v>38</v>
      </c>
      <c r="F6317" s="4">
        <v>1</v>
      </c>
      <c r="G6317" s="2">
        <v>38</v>
      </c>
      <c r="H6317" t="s">
        <v>45</v>
      </c>
      <c r="I6317" t="s">
        <v>36</v>
      </c>
      <c r="J6317" s="1">
        <v>44812</v>
      </c>
      <c r="K6317" t="b">
        <v>1</v>
      </c>
    </row>
    <row r="6318" spans="1:11" x14ac:dyDescent="0.25">
      <c r="A6318" t="s">
        <v>4562</v>
      </c>
      <c r="B6318" t="s">
        <v>30</v>
      </c>
      <c r="C6318" t="s">
        <v>13</v>
      </c>
      <c r="D6318" t="s">
        <v>567</v>
      </c>
      <c r="E6318" s="2">
        <v>38</v>
      </c>
      <c r="F6318" s="4">
        <v>1</v>
      </c>
      <c r="G6318" s="2">
        <v>38</v>
      </c>
      <c r="H6318" t="s">
        <v>45</v>
      </c>
      <c r="I6318" t="s">
        <v>36</v>
      </c>
      <c r="J6318" s="1">
        <v>45329</v>
      </c>
      <c r="K6318" t="b">
        <v>0</v>
      </c>
    </row>
    <row r="6319" spans="1:11" x14ac:dyDescent="0.25">
      <c r="A6319" t="s">
        <v>1494</v>
      </c>
      <c r="B6319" t="s">
        <v>56</v>
      </c>
      <c r="C6319" t="s">
        <v>19</v>
      </c>
      <c r="D6319" t="s">
        <v>174</v>
      </c>
      <c r="E6319" s="2">
        <v>9.5</v>
      </c>
      <c r="F6319" s="4">
        <v>4</v>
      </c>
      <c r="G6319" s="2">
        <v>38</v>
      </c>
      <c r="H6319" t="s">
        <v>25</v>
      </c>
      <c r="I6319" t="s">
        <v>36</v>
      </c>
      <c r="J6319" s="1">
        <v>45377</v>
      </c>
      <c r="K6319" t="b">
        <v>0</v>
      </c>
    </row>
    <row r="6320" spans="1:11" x14ac:dyDescent="0.25">
      <c r="A6320" t="s">
        <v>5977</v>
      </c>
      <c r="B6320" t="s">
        <v>30</v>
      </c>
      <c r="C6320" t="s">
        <v>23</v>
      </c>
      <c r="D6320" t="s">
        <v>810</v>
      </c>
      <c r="E6320" s="2">
        <v>9.5</v>
      </c>
      <c r="F6320" s="4">
        <v>4</v>
      </c>
      <c r="G6320" s="2">
        <v>38</v>
      </c>
      <c r="H6320" t="s">
        <v>25</v>
      </c>
      <c r="I6320" t="s">
        <v>36</v>
      </c>
      <c r="J6320" s="1">
        <v>44604</v>
      </c>
      <c r="K6320" t="b">
        <v>0</v>
      </c>
    </row>
    <row r="6321" spans="1:11" x14ac:dyDescent="0.25">
      <c r="A6321" t="s">
        <v>2455</v>
      </c>
      <c r="B6321" t="s">
        <v>40</v>
      </c>
      <c r="C6321" t="s">
        <v>110</v>
      </c>
      <c r="D6321" t="s">
        <v>534</v>
      </c>
      <c r="E6321" s="2">
        <v>38</v>
      </c>
      <c r="F6321" s="4">
        <v>1</v>
      </c>
      <c r="G6321" s="2">
        <v>38</v>
      </c>
      <c r="H6321" t="s">
        <v>45</v>
      </c>
      <c r="I6321" t="s">
        <v>36</v>
      </c>
      <c r="J6321" s="1">
        <v>45369</v>
      </c>
      <c r="K6321" t="b">
        <v>0</v>
      </c>
    </row>
    <row r="6322" spans="1:11" x14ac:dyDescent="0.25">
      <c r="A6322" t="s">
        <v>1498</v>
      </c>
      <c r="B6322" t="s">
        <v>142</v>
      </c>
      <c r="C6322" t="s">
        <v>27</v>
      </c>
      <c r="D6322" t="s">
        <v>205</v>
      </c>
      <c r="E6322" s="2">
        <v>38</v>
      </c>
      <c r="F6322" s="4">
        <v>1</v>
      </c>
      <c r="G6322" s="2">
        <v>38</v>
      </c>
      <c r="H6322" t="s">
        <v>15</v>
      </c>
      <c r="I6322" t="s">
        <v>36</v>
      </c>
      <c r="J6322" s="1">
        <v>44739</v>
      </c>
      <c r="K6322" t="b">
        <v>1</v>
      </c>
    </row>
    <row r="6323" spans="1:11" x14ac:dyDescent="0.25">
      <c r="A6323" t="s">
        <v>5844</v>
      </c>
      <c r="B6323" t="s">
        <v>34</v>
      </c>
      <c r="C6323" t="s">
        <v>27</v>
      </c>
      <c r="D6323" t="s">
        <v>205</v>
      </c>
      <c r="E6323" s="2">
        <v>38</v>
      </c>
      <c r="F6323" s="4">
        <v>1</v>
      </c>
      <c r="G6323" s="2">
        <v>38</v>
      </c>
      <c r="H6323" t="s">
        <v>45</v>
      </c>
      <c r="I6323" t="s">
        <v>16</v>
      </c>
      <c r="J6323" s="1">
        <v>44744</v>
      </c>
      <c r="K6323" t="b">
        <v>0</v>
      </c>
    </row>
    <row r="6324" spans="1:11" x14ac:dyDescent="0.25">
      <c r="A6324" t="s">
        <v>3655</v>
      </c>
      <c r="B6324" t="s">
        <v>93</v>
      </c>
      <c r="C6324" t="s">
        <v>13</v>
      </c>
      <c r="D6324" t="s">
        <v>567</v>
      </c>
      <c r="E6324" s="2">
        <v>38</v>
      </c>
      <c r="F6324" s="4">
        <v>1</v>
      </c>
      <c r="G6324" s="2">
        <v>38</v>
      </c>
      <c r="H6324" t="s">
        <v>25</v>
      </c>
      <c r="I6324" t="s">
        <v>16</v>
      </c>
      <c r="J6324" s="1">
        <v>45432</v>
      </c>
      <c r="K6324" t="b">
        <v>0</v>
      </c>
    </row>
    <row r="6325" spans="1:11" x14ac:dyDescent="0.25">
      <c r="A6325" t="s">
        <v>766</v>
      </c>
      <c r="B6325" t="s">
        <v>22</v>
      </c>
      <c r="C6325" t="s">
        <v>59</v>
      </c>
      <c r="D6325" t="s">
        <v>275</v>
      </c>
      <c r="E6325" s="2">
        <v>38</v>
      </c>
      <c r="F6325" s="4">
        <v>1</v>
      </c>
      <c r="G6325" s="2">
        <v>38</v>
      </c>
      <c r="H6325" t="s">
        <v>25</v>
      </c>
      <c r="I6325" t="s">
        <v>36</v>
      </c>
      <c r="J6325" s="1">
        <v>45413</v>
      </c>
      <c r="K6325" t="b">
        <v>0</v>
      </c>
    </row>
    <row r="6326" spans="1:11" x14ac:dyDescent="0.25">
      <c r="A6326" t="s">
        <v>7001</v>
      </c>
      <c r="B6326" t="s">
        <v>51</v>
      </c>
      <c r="C6326" t="s">
        <v>110</v>
      </c>
      <c r="D6326" t="s">
        <v>234</v>
      </c>
      <c r="E6326" s="2">
        <v>12.5</v>
      </c>
      <c r="F6326" s="4">
        <v>3</v>
      </c>
      <c r="G6326" s="2">
        <v>37.5</v>
      </c>
      <c r="H6326" t="s">
        <v>25</v>
      </c>
      <c r="I6326" t="s">
        <v>36</v>
      </c>
      <c r="J6326" s="1">
        <v>45388</v>
      </c>
      <c r="K6326" t="b">
        <v>1</v>
      </c>
    </row>
    <row r="6327" spans="1:11" x14ac:dyDescent="0.25">
      <c r="A6327" t="s">
        <v>709</v>
      </c>
      <c r="B6327" t="s">
        <v>63</v>
      </c>
      <c r="C6327" t="s">
        <v>31</v>
      </c>
      <c r="D6327" t="s">
        <v>32</v>
      </c>
      <c r="E6327" s="2">
        <v>12.5</v>
      </c>
      <c r="F6327" s="4">
        <v>3</v>
      </c>
      <c r="G6327" s="2">
        <v>37.5</v>
      </c>
      <c r="H6327" t="s">
        <v>45</v>
      </c>
      <c r="I6327" t="s">
        <v>36</v>
      </c>
      <c r="J6327" s="1">
        <v>45427</v>
      </c>
      <c r="K6327" t="b">
        <v>0</v>
      </c>
    </row>
    <row r="6328" spans="1:11" x14ac:dyDescent="0.25">
      <c r="A6328" t="s">
        <v>2381</v>
      </c>
      <c r="B6328" t="s">
        <v>104</v>
      </c>
      <c r="C6328" t="s">
        <v>23</v>
      </c>
      <c r="D6328" t="s">
        <v>437</v>
      </c>
      <c r="E6328" s="2">
        <v>12.5</v>
      </c>
      <c r="F6328" s="4">
        <v>3</v>
      </c>
      <c r="G6328" s="2">
        <v>37.5</v>
      </c>
      <c r="H6328" t="s">
        <v>15</v>
      </c>
      <c r="I6328" t="s">
        <v>36</v>
      </c>
      <c r="J6328" s="1">
        <v>45618</v>
      </c>
      <c r="K6328" t="b">
        <v>1</v>
      </c>
    </row>
    <row r="6329" spans="1:11" x14ac:dyDescent="0.25">
      <c r="A6329" t="s">
        <v>5061</v>
      </c>
      <c r="B6329" t="s">
        <v>51</v>
      </c>
      <c r="C6329" t="s">
        <v>110</v>
      </c>
      <c r="D6329" t="s">
        <v>234</v>
      </c>
      <c r="E6329" s="2">
        <v>12.5</v>
      </c>
      <c r="F6329" s="4">
        <v>3</v>
      </c>
      <c r="G6329" s="2">
        <v>37.5</v>
      </c>
      <c r="H6329" t="s">
        <v>15</v>
      </c>
      <c r="I6329" t="s">
        <v>16</v>
      </c>
      <c r="J6329" s="1">
        <v>45618</v>
      </c>
      <c r="K6329" t="b">
        <v>1</v>
      </c>
    </row>
    <row r="6330" spans="1:11" x14ac:dyDescent="0.25">
      <c r="A6330" t="s">
        <v>6261</v>
      </c>
      <c r="B6330" t="s">
        <v>56</v>
      </c>
      <c r="C6330" t="s">
        <v>38</v>
      </c>
      <c r="D6330" t="s">
        <v>480</v>
      </c>
      <c r="E6330" s="2">
        <v>12.5</v>
      </c>
      <c r="F6330" s="4">
        <v>3</v>
      </c>
      <c r="G6330" s="2">
        <v>37.5</v>
      </c>
      <c r="H6330" t="s">
        <v>45</v>
      </c>
      <c r="I6330" t="s">
        <v>36</v>
      </c>
      <c r="J6330" s="1">
        <v>45600</v>
      </c>
      <c r="K6330" t="b">
        <v>1</v>
      </c>
    </row>
    <row r="6331" spans="1:11" x14ac:dyDescent="0.25">
      <c r="A6331" t="s">
        <v>1217</v>
      </c>
      <c r="B6331" t="s">
        <v>40</v>
      </c>
      <c r="C6331" t="s">
        <v>31</v>
      </c>
      <c r="D6331" t="s">
        <v>32</v>
      </c>
      <c r="E6331" s="2">
        <v>12.5</v>
      </c>
      <c r="F6331" s="4">
        <v>3</v>
      </c>
      <c r="G6331" s="2">
        <v>37.5</v>
      </c>
      <c r="H6331" t="s">
        <v>15</v>
      </c>
      <c r="I6331" t="s">
        <v>16</v>
      </c>
      <c r="J6331" s="1">
        <v>45308</v>
      </c>
      <c r="K6331" t="b">
        <v>1</v>
      </c>
    </row>
    <row r="6332" spans="1:11" x14ac:dyDescent="0.25">
      <c r="A6332" t="s">
        <v>2214</v>
      </c>
      <c r="B6332" t="s">
        <v>18</v>
      </c>
      <c r="C6332" t="s">
        <v>19</v>
      </c>
      <c r="D6332" t="s">
        <v>128</v>
      </c>
      <c r="E6332" s="2">
        <v>12.5</v>
      </c>
      <c r="F6332" s="4">
        <v>3</v>
      </c>
      <c r="G6332" s="2">
        <v>37.5</v>
      </c>
      <c r="H6332" t="s">
        <v>15</v>
      </c>
      <c r="I6332" t="s">
        <v>36</v>
      </c>
      <c r="J6332" s="1">
        <v>45637</v>
      </c>
      <c r="K6332" t="b">
        <v>0</v>
      </c>
    </row>
    <row r="6333" spans="1:11" x14ac:dyDescent="0.25">
      <c r="A6333" t="s">
        <v>1266</v>
      </c>
      <c r="B6333" t="s">
        <v>93</v>
      </c>
      <c r="C6333" t="s">
        <v>19</v>
      </c>
      <c r="D6333" t="s">
        <v>128</v>
      </c>
      <c r="E6333" s="2">
        <v>12.5</v>
      </c>
      <c r="F6333" s="4">
        <v>3</v>
      </c>
      <c r="G6333" s="2">
        <v>37.5</v>
      </c>
      <c r="H6333" t="s">
        <v>15</v>
      </c>
      <c r="I6333" t="s">
        <v>36</v>
      </c>
      <c r="J6333" s="1">
        <v>45092</v>
      </c>
      <c r="K6333" t="b">
        <v>0</v>
      </c>
    </row>
    <row r="6334" spans="1:11" x14ac:dyDescent="0.25">
      <c r="A6334" t="s">
        <v>5663</v>
      </c>
      <c r="B6334" t="s">
        <v>93</v>
      </c>
      <c r="C6334" t="s">
        <v>19</v>
      </c>
      <c r="D6334" t="s">
        <v>128</v>
      </c>
      <c r="E6334" s="2">
        <v>12.5</v>
      </c>
      <c r="F6334" s="4">
        <v>3</v>
      </c>
      <c r="G6334" s="2">
        <v>37.5</v>
      </c>
      <c r="H6334" t="s">
        <v>25</v>
      </c>
      <c r="I6334" t="s">
        <v>16</v>
      </c>
      <c r="J6334" s="1">
        <v>45496</v>
      </c>
      <c r="K6334" t="b">
        <v>1</v>
      </c>
    </row>
    <row r="6335" spans="1:11" x14ac:dyDescent="0.25">
      <c r="A6335" t="s">
        <v>331</v>
      </c>
      <c r="B6335" t="s">
        <v>72</v>
      </c>
      <c r="C6335" t="s">
        <v>13</v>
      </c>
      <c r="D6335" t="s">
        <v>84</v>
      </c>
      <c r="E6335" s="2">
        <v>12.5</v>
      </c>
      <c r="F6335" s="4">
        <v>3</v>
      </c>
      <c r="G6335" s="2">
        <v>37.5</v>
      </c>
      <c r="H6335" t="s">
        <v>45</v>
      </c>
      <c r="I6335" t="s">
        <v>36</v>
      </c>
      <c r="J6335" s="1">
        <v>45378</v>
      </c>
      <c r="K6335" t="b">
        <v>0</v>
      </c>
    </row>
    <row r="6336" spans="1:11" x14ac:dyDescent="0.25">
      <c r="A6336" t="s">
        <v>326</v>
      </c>
      <c r="B6336" t="s">
        <v>58</v>
      </c>
      <c r="C6336" t="s">
        <v>27</v>
      </c>
      <c r="D6336" t="s">
        <v>217</v>
      </c>
      <c r="E6336" s="2">
        <v>12.5</v>
      </c>
      <c r="F6336" s="4">
        <v>3</v>
      </c>
      <c r="G6336" s="2">
        <v>37.5</v>
      </c>
      <c r="H6336" t="s">
        <v>25</v>
      </c>
      <c r="I6336" t="s">
        <v>36</v>
      </c>
      <c r="J6336" s="1">
        <v>45523</v>
      </c>
      <c r="K6336" t="b">
        <v>0</v>
      </c>
    </row>
    <row r="6337" spans="1:11" x14ac:dyDescent="0.25">
      <c r="A6337" t="s">
        <v>4326</v>
      </c>
      <c r="B6337" t="s">
        <v>69</v>
      </c>
      <c r="C6337" t="s">
        <v>31</v>
      </c>
      <c r="D6337" t="s">
        <v>32</v>
      </c>
      <c r="E6337" s="2">
        <v>12.5</v>
      </c>
      <c r="F6337" s="4">
        <v>3</v>
      </c>
      <c r="G6337" s="2">
        <v>37.5</v>
      </c>
      <c r="H6337" t="s">
        <v>45</v>
      </c>
      <c r="I6337" t="s">
        <v>16</v>
      </c>
      <c r="J6337" s="1">
        <v>44772</v>
      </c>
      <c r="K6337" t="b">
        <v>0</v>
      </c>
    </row>
    <row r="6338" spans="1:11" x14ac:dyDescent="0.25">
      <c r="A6338" t="s">
        <v>4923</v>
      </c>
      <c r="B6338" t="s">
        <v>97</v>
      </c>
      <c r="C6338" t="s">
        <v>59</v>
      </c>
      <c r="D6338" t="s">
        <v>177</v>
      </c>
      <c r="E6338" s="2">
        <v>12.5</v>
      </c>
      <c r="F6338" s="4">
        <v>3</v>
      </c>
      <c r="G6338" s="2">
        <v>37.5</v>
      </c>
      <c r="H6338" t="s">
        <v>45</v>
      </c>
      <c r="I6338" t="s">
        <v>36</v>
      </c>
      <c r="J6338" s="1">
        <v>44815</v>
      </c>
      <c r="K6338" t="b">
        <v>1</v>
      </c>
    </row>
    <row r="6339" spans="1:11" x14ac:dyDescent="0.25">
      <c r="A6339" t="s">
        <v>4895</v>
      </c>
      <c r="B6339" t="s">
        <v>34</v>
      </c>
      <c r="C6339" t="s">
        <v>59</v>
      </c>
      <c r="D6339" t="s">
        <v>177</v>
      </c>
      <c r="E6339" s="2">
        <v>12.5</v>
      </c>
      <c r="F6339" s="4">
        <v>3</v>
      </c>
      <c r="G6339" s="2">
        <v>37.5</v>
      </c>
      <c r="H6339" t="s">
        <v>25</v>
      </c>
      <c r="I6339" t="s">
        <v>16</v>
      </c>
      <c r="J6339" s="1">
        <v>44711</v>
      </c>
      <c r="K6339" t="b">
        <v>0</v>
      </c>
    </row>
    <row r="6340" spans="1:11" x14ac:dyDescent="0.25">
      <c r="A6340" t="s">
        <v>6434</v>
      </c>
      <c r="B6340" t="s">
        <v>72</v>
      </c>
      <c r="C6340" t="s">
        <v>19</v>
      </c>
      <c r="D6340" t="s">
        <v>128</v>
      </c>
      <c r="E6340" s="2">
        <v>12.5</v>
      </c>
      <c r="F6340" s="4">
        <v>3</v>
      </c>
      <c r="G6340" s="2">
        <v>37.5</v>
      </c>
      <c r="H6340" t="s">
        <v>25</v>
      </c>
      <c r="I6340" t="s">
        <v>36</v>
      </c>
      <c r="J6340" s="1">
        <v>45610</v>
      </c>
      <c r="K6340" t="b">
        <v>0</v>
      </c>
    </row>
    <row r="6341" spans="1:11" x14ac:dyDescent="0.25">
      <c r="A6341" t="s">
        <v>5862</v>
      </c>
      <c r="B6341" t="s">
        <v>61</v>
      </c>
      <c r="C6341" t="s">
        <v>31</v>
      </c>
      <c r="D6341" t="s">
        <v>32</v>
      </c>
      <c r="E6341" s="2">
        <v>12.5</v>
      </c>
      <c r="F6341" s="4">
        <v>3</v>
      </c>
      <c r="G6341" s="2">
        <v>37.5</v>
      </c>
      <c r="H6341" t="s">
        <v>15</v>
      </c>
      <c r="I6341" t="s">
        <v>36</v>
      </c>
      <c r="J6341" s="1">
        <v>45597</v>
      </c>
      <c r="K6341" t="b">
        <v>0</v>
      </c>
    </row>
    <row r="6342" spans="1:11" x14ac:dyDescent="0.25">
      <c r="A6342" t="s">
        <v>2915</v>
      </c>
      <c r="B6342" t="s">
        <v>85</v>
      </c>
      <c r="C6342" t="s">
        <v>19</v>
      </c>
      <c r="D6342" t="s">
        <v>128</v>
      </c>
      <c r="E6342" s="2">
        <v>12.5</v>
      </c>
      <c r="F6342" s="4">
        <v>3</v>
      </c>
      <c r="G6342" s="2">
        <v>37.5</v>
      </c>
      <c r="H6342" t="s">
        <v>25</v>
      </c>
      <c r="I6342" t="s">
        <v>16</v>
      </c>
      <c r="J6342" s="1">
        <v>45581</v>
      </c>
      <c r="K6342" t="b">
        <v>0</v>
      </c>
    </row>
    <row r="6343" spans="1:11" x14ac:dyDescent="0.25">
      <c r="A6343" t="s">
        <v>5631</v>
      </c>
      <c r="B6343" t="s">
        <v>26</v>
      </c>
      <c r="C6343" t="s">
        <v>19</v>
      </c>
      <c r="D6343" t="s">
        <v>128</v>
      </c>
      <c r="E6343" s="2">
        <v>12.5</v>
      </c>
      <c r="F6343" s="4">
        <v>3</v>
      </c>
      <c r="G6343" s="2">
        <v>37.5</v>
      </c>
      <c r="H6343" t="s">
        <v>15</v>
      </c>
      <c r="I6343" t="s">
        <v>16</v>
      </c>
      <c r="J6343" s="1">
        <v>45633</v>
      </c>
      <c r="K6343" t="b">
        <v>1</v>
      </c>
    </row>
    <row r="6344" spans="1:11" x14ac:dyDescent="0.25">
      <c r="A6344" t="s">
        <v>6135</v>
      </c>
      <c r="B6344" t="s">
        <v>37</v>
      </c>
      <c r="C6344" t="s">
        <v>110</v>
      </c>
      <c r="D6344" t="s">
        <v>234</v>
      </c>
      <c r="E6344" s="2">
        <v>12.5</v>
      </c>
      <c r="F6344" s="4">
        <v>3</v>
      </c>
      <c r="G6344" s="2">
        <v>37.5</v>
      </c>
      <c r="H6344" t="s">
        <v>15</v>
      </c>
      <c r="I6344" t="s">
        <v>36</v>
      </c>
      <c r="J6344" s="1">
        <v>45118</v>
      </c>
      <c r="K6344" t="b">
        <v>1</v>
      </c>
    </row>
    <row r="6345" spans="1:11" x14ac:dyDescent="0.25">
      <c r="A6345" t="s">
        <v>2429</v>
      </c>
      <c r="B6345" t="s">
        <v>66</v>
      </c>
      <c r="C6345" t="s">
        <v>19</v>
      </c>
      <c r="D6345" t="s">
        <v>128</v>
      </c>
      <c r="E6345" s="2">
        <v>12.5</v>
      </c>
      <c r="F6345" s="4">
        <v>3</v>
      </c>
      <c r="G6345" s="2">
        <v>37.5</v>
      </c>
      <c r="H6345" t="s">
        <v>25</v>
      </c>
      <c r="I6345" t="s">
        <v>16</v>
      </c>
      <c r="J6345" s="1">
        <v>45612</v>
      </c>
      <c r="K6345" t="b">
        <v>0</v>
      </c>
    </row>
    <row r="6346" spans="1:11" x14ac:dyDescent="0.25">
      <c r="A6346" t="s">
        <v>6023</v>
      </c>
      <c r="B6346" t="s">
        <v>26</v>
      </c>
      <c r="C6346" t="s">
        <v>59</v>
      </c>
      <c r="D6346" t="s">
        <v>177</v>
      </c>
      <c r="E6346" s="2">
        <v>12.5</v>
      </c>
      <c r="F6346" s="4">
        <v>3</v>
      </c>
      <c r="G6346" s="2">
        <v>37.5</v>
      </c>
      <c r="H6346" t="s">
        <v>45</v>
      </c>
      <c r="I6346" t="s">
        <v>16</v>
      </c>
      <c r="J6346" s="1">
        <v>44713</v>
      </c>
      <c r="K6346" t="b">
        <v>1</v>
      </c>
    </row>
    <row r="6347" spans="1:11" x14ac:dyDescent="0.25">
      <c r="A6347" t="s">
        <v>7692</v>
      </c>
      <c r="B6347" t="s">
        <v>69</v>
      </c>
      <c r="C6347" t="s">
        <v>13</v>
      </c>
      <c r="D6347" t="s">
        <v>84</v>
      </c>
      <c r="E6347" s="2">
        <v>12.5</v>
      </c>
      <c r="F6347" s="4">
        <v>3</v>
      </c>
      <c r="G6347" s="2">
        <v>37.5</v>
      </c>
      <c r="H6347" t="s">
        <v>25</v>
      </c>
      <c r="I6347" t="s">
        <v>16</v>
      </c>
      <c r="J6347" s="1">
        <v>44751</v>
      </c>
      <c r="K6347" t="b">
        <v>1</v>
      </c>
    </row>
    <row r="6348" spans="1:11" x14ac:dyDescent="0.25">
      <c r="A6348" t="s">
        <v>394</v>
      </c>
      <c r="B6348" t="s">
        <v>51</v>
      </c>
      <c r="C6348" t="s">
        <v>19</v>
      </c>
      <c r="D6348" t="s">
        <v>128</v>
      </c>
      <c r="E6348" s="2">
        <v>12.5</v>
      </c>
      <c r="F6348" s="4">
        <v>3</v>
      </c>
      <c r="G6348" s="2">
        <v>37.5</v>
      </c>
      <c r="H6348" t="s">
        <v>25</v>
      </c>
      <c r="I6348" t="s">
        <v>36</v>
      </c>
      <c r="J6348" s="1">
        <v>44701</v>
      </c>
      <c r="K6348" t="b">
        <v>0</v>
      </c>
    </row>
    <row r="6349" spans="1:11" x14ac:dyDescent="0.25">
      <c r="A6349" t="s">
        <v>6465</v>
      </c>
      <c r="B6349" t="s">
        <v>77</v>
      </c>
      <c r="C6349" t="s">
        <v>59</v>
      </c>
      <c r="D6349" t="s">
        <v>177</v>
      </c>
      <c r="E6349" s="2">
        <v>12.5</v>
      </c>
      <c r="F6349" s="4">
        <v>3</v>
      </c>
      <c r="G6349" s="2">
        <v>37.5</v>
      </c>
      <c r="H6349" t="s">
        <v>45</v>
      </c>
      <c r="I6349" t="s">
        <v>16</v>
      </c>
      <c r="J6349" s="1">
        <v>45171</v>
      </c>
      <c r="K6349" t="b">
        <v>0</v>
      </c>
    </row>
    <row r="6350" spans="1:11" x14ac:dyDescent="0.25">
      <c r="A6350" t="s">
        <v>3821</v>
      </c>
      <c r="B6350" t="s">
        <v>12</v>
      </c>
      <c r="C6350" t="s">
        <v>31</v>
      </c>
      <c r="D6350" t="s">
        <v>32</v>
      </c>
      <c r="E6350" s="2">
        <v>12.5</v>
      </c>
      <c r="F6350" s="4">
        <v>3</v>
      </c>
      <c r="G6350" s="2">
        <v>37.5</v>
      </c>
      <c r="H6350" t="s">
        <v>15</v>
      </c>
      <c r="I6350" t="s">
        <v>36</v>
      </c>
      <c r="J6350" s="1">
        <v>45674</v>
      </c>
      <c r="K6350" t="b">
        <v>1</v>
      </c>
    </row>
    <row r="6351" spans="1:11" x14ac:dyDescent="0.25">
      <c r="A6351" t="s">
        <v>5047</v>
      </c>
      <c r="B6351" t="s">
        <v>85</v>
      </c>
      <c r="C6351" t="s">
        <v>19</v>
      </c>
      <c r="D6351" t="s">
        <v>128</v>
      </c>
      <c r="E6351" s="2">
        <v>12.5</v>
      </c>
      <c r="F6351" s="4">
        <v>3</v>
      </c>
      <c r="G6351" s="2">
        <v>37.5</v>
      </c>
      <c r="H6351" t="s">
        <v>45</v>
      </c>
      <c r="I6351" t="s">
        <v>16</v>
      </c>
      <c r="J6351" s="1">
        <v>45072</v>
      </c>
      <c r="K6351" t="b">
        <v>0</v>
      </c>
    </row>
    <row r="6352" spans="1:11" x14ac:dyDescent="0.25">
      <c r="A6352" t="s">
        <v>6238</v>
      </c>
      <c r="B6352" t="s">
        <v>66</v>
      </c>
      <c r="C6352" t="s">
        <v>59</v>
      </c>
      <c r="D6352" t="s">
        <v>177</v>
      </c>
      <c r="E6352" s="2">
        <v>12.5</v>
      </c>
      <c r="F6352" s="4">
        <v>3</v>
      </c>
      <c r="G6352" s="2">
        <v>37.5</v>
      </c>
      <c r="H6352" t="s">
        <v>45</v>
      </c>
      <c r="I6352" t="s">
        <v>16</v>
      </c>
      <c r="J6352" s="1">
        <v>45599</v>
      </c>
      <c r="K6352" t="b">
        <v>0</v>
      </c>
    </row>
    <row r="6353" spans="1:11" x14ac:dyDescent="0.25">
      <c r="A6353" t="s">
        <v>1587</v>
      </c>
      <c r="B6353" t="s">
        <v>72</v>
      </c>
      <c r="C6353" t="s">
        <v>19</v>
      </c>
      <c r="D6353" t="s">
        <v>128</v>
      </c>
      <c r="E6353" s="2">
        <v>12.5</v>
      </c>
      <c r="F6353" s="4">
        <v>3</v>
      </c>
      <c r="G6353" s="2">
        <v>37.5</v>
      </c>
      <c r="H6353" t="s">
        <v>25</v>
      </c>
      <c r="I6353" t="s">
        <v>16</v>
      </c>
      <c r="J6353" s="1">
        <v>45525</v>
      </c>
      <c r="K6353" t="b">
        <v>0</v>
      </c>
    </row>
    <row r="6354" spans="1:11" x14ac:dyDescent="0.25">
      <c r="A6354" t="s">
        <v>1192</v>
      </c>
      <c r="B6354" t="s">
        <v>56</v>
      </c>
      <c r="C6354" t="s">
        <v>59</v>
      </c>
      <c r="D6354" t="s">
        <v>177</v>
      </c>
      <c r="E6354" s="2">
        <v>12.5</v>
      </c>
      <c r="F6354" s="4">
        <v>3</v>
      </c>
      <c r="G6354" s="2">
        <v>37.5</v>
      </c>
      <c r="H6354" t="s">
        <v>15</v>
      </c>
      <c r="I6354" t="s">
        <v>16</v>
      </c>
      <c r="J6354" s="1">
        <v>45611</v>
      </c>
      <c r="K6354" t="b">
        <v>1</v>
      </c>
    </row>
    <row r="6355" spans="1:11" x14ac:dyDescent="0.25">
      <c r="A6355" t="s">
        <v>3875</v>
      </c>
      <c r="B6355" t="s">
        <v>51</v>
      </c>
      <c r="C6355" t="s">
        <v>23</v>
      </c>
      <c r="D6355" t="s">
        <v>437</v>
      </c>
      <c r="E6355" s="2">
        <v>12.5</v>
      </c>
      <c r="F6355" s="4">
        <v>3</v>
      </c>
      <c r="G6355" s="2">
        <v>37.5</v>
      </c>
      <c r="H6355" t="s">
        <v>15</v>
      </c>
      <c r="I6355" t="s">
        <v>36</v>
      </c>
      <c r="J6355" s="1">
        <v>45078</v>
      </c>
      <c r="K6355" t="b">
        <v>1</v>
      </c>
    </row>
    <row r="6356" spans="1:11" x14ac:dyDescent="0.25">
      <c r="A6356" t="s">
        <v>4936</v>
      </c>
      <c r="B6356" t="s">
        <v>37</v>
      </c>
      <c r="C6356" t="s">
        <v>38</v>
      </c>
      <c r="D6356" t="s">
        <v>480</v>
      </c>
      <c r="E6356" s="2">
        <v>12.5</v>
      </c>
      <c r="F6356" s="4">
        <v>3</v>
      </c>
      <c r="G6356" s="2">
        <v>37.5</v>
      </c>
      <c r="H6356" t="s">
        <v>15</v>
      </c>
      <c r="I6356" t="s">
        <v>36</v>
      </c>
      <c r="J6356" s="1">
        <v>44925</v>
      </c>
      <c r="K6356" t="b">
        <v>1</v>
      </c>
    </row>
    <row r="6357" spans="1:11" x14ac:dyDescent="0.25">
      <c r="A6357" t="s">
        <v>5604</v>
      </c>
      <c r="B6357" t="s">
        <v>58</v>
      </c>
      <c r="C6357" t="s">
        <v>38</v>
      </c>
      <c r="D6357" t="s">
        <v>480</v>
      </c>
      <c r="E6357" s="2">
        <v>12.5</v>
      </c>
      <c r="F6357" s="4">
        <v>3</v>
      </c>
      <c r="G6357" s="2">
        <v>37.5</v>
      </c>
      <c r="H6357" t="s">
        <v>45</v>
      </c>
      <c r="I6357" t="s">
        <v>16</v>
      </c>
      <c r="J6357" s="1">
        <v>44916</v>
      </c>
      <c r="K6357" t="b">
        <v>1</v>
      </c>
    </row>
    <row r="6358" spans="1:11" x14ac:dyDescent="0.25">
      <c r="A6358" t="s">
        <v>2672</v>
      </c>
      <c r="B6358" t="s">
        <v>43</v>
      </c>
      <c r="C6358" t="s">
        <v>19</v>
      </c>
      <c r="D6358" t="s">
        <v>128</v>
      </c>
      <c r="E6358" s="2">
        <v>12.5</v>
      </c>
      <c r="F6358" s="4">
        <v>3</v>
      </c>
      <c r="G6358" s="2">
        <v>37.5</v>
      </c>
      <c r="H6358" t="s">
        <v>15</v>
      </c>
      <c r="I6358" t="s">
        <v>36</v>
      </c>
      <c r="J6358" s="1">
        <v>45297</v>
      </c>
      <c r="K6358" t="b">
        <v>0</v>
      </c>
    </row>
    <row r="6359" spans="1:11" x14ac:dyDescent="0.25">
      <c r="A6359" t="s">
        <v>6275</v>
      </c>
      <c r="B6359" t="s">
        <v>100</v>
      </c>
      <c r="C6359" t="s">
        <v>27</v>
      </c>
      <c r="D6359" t="s">
        <v>384</v>
      </c>
      <c r="E6359" s="2">
        <v>18.5</v>
      </c>
      <c r="F6359" s="4">
        <v>2</v>
      </c>
      <c r="G6359" s="2">
        <v>37</v>
      </c>
      <c r="H6359" t="s">
        <v>45</v>
      </c>
      <c r="I6359" t="s">
        <v>16</v>
      </c>
      <c r="J6359" s="1">
        <v>45115</v>
      </c>
      <c r="K6359" t="b">
        <v>1</v>
      </c>
    </row>
    <row r="6360" spans="1:11" x14ac:dyDescent="0.25">
      <c r="A6360" t="s">
        <v>2744</v>
      </c>
      <c r="B6360" t="s">
        <v>61</v>
      </c>
      <c r="C6360" t="s">
        <v>110</v>
      </c>
      <c r="D6360" t="s">
        <v>189</v>
      </c>
      <c r="E6360" s="2">
        <v>18.5</v>
      </c>
      <c r="F6360" s="4">
        <v>2</v>
      </c>
      <c r="G6360" s="2">
        <v>37</v>
      </c>
      <c r="H6360" t="s">
        <v>15</v>
      </c>
      <c r="I6360" t="s">
        <v>16</v>
      </c>
      <c r="J6360" s="1">
        <v>45641</v>
      </c>
      <c r="K6360" t="b">
        <v>1</v>
      </c>
    </row>
    <row r="6361" spans="1:11" x14ac:dyDescent="0.25">
      <c r="A6361" t="s">
        <v>1952</v>
      </c>
      <c r="B6361" t="s">
        <v>40</v>
      </c>
      <c r="C6361" t="s">
        <v>13</v>
      </c>
      <c r="D6361" t="s">
        <v>14</v>
      </c>
      <c r="E6361" s="2">
        <v>18.5</v>
      </c>
      <c r="F6361" s="4">
        <v>2</v>
      </c>
      <c r="G6361" s="2">
        <v>37</v>
      </c>
      <c r="H6361" t="s">
        <v>15</v>
      </c>
      <c r="I6361" t="s">
        <v>36</v>
      </c>
      <c r="J6361" s="1">
        <v>44718</v>
      </c>
      <c r="K6361" t="b">
        <v>1</v>
      </c>
    </row>
    <row r="6362" spans="1:11" x14ac:dyDescent="0.25">
      <c r="A6362" t="s">
        <v>6566</v>
      </c>
      <c r="B6362" t="s">
        <v>12</v>
      </c>
      <c r="C6362" t="s">
        <v>27</v>
      </c>
      <c r="D6362" t="s">
        <v>384</v>
      </c>
      <c r="E6362" s="2">
        <v>18.5</v>
      </c>
      <c r="F6362" s="4">
        <v>2</v>
      </c>
      <c r="G6362" s="2">
        <v>37</v>
      </c>
      <c r="H6362" t="s">
        <v>25</v>
      </c>
      <c r="I6362" t="s">
        <v>16</v>
      </c>
      <c r="J6362" s="1">
        <v>44857</v>
      </c>
      <c r="K6362" t="b">
        <v>0</v>
      </c>
    </row>
    <row r="6363" spans="1:11" x14ac:dyDescent="0.25">
      <c r="A6363" t="s">
        <v>7219</v>
      </c>
      <c r="B6363" t="s">
        <v>142</v>
      </c>
      <c r="C6363" t="s">
        <v>13</v>
      </c>
      <c r="D6363" t="s">
        <v>14</v>
      </c>
      <c r="E6363" s="2">
        <v>18.5</v>
      </c>
      <c r="F6363" s="4">
        <v>2</v>
      </c>
      <c r="G6363" s="2">
        <v>37</v>
      </c>
      <c r="H6363" t="s">
        <v>25</v>
      </c>
      <c r="I6363" t="s">
        <v>16</v>
      </c>
      <c r="J6363" s="1">
        <v>45214</v>
      </c>
      <c r="K6363" t="b">
        <v>0</v>
      </c>
    </row>
    <row r="6364" spans="1:11" x14ac:dyDescent="0.25">
      <c r="A6364" t="s">
        <v>1403</v>
      </c>
      <c r="B6364" t="s">
        <v>69</v>
      </c>
      <c r="C6364" t="s">
        <v>59</v>
      </c>
      <c r="D6364" t="s">
        <v>102</v>
      </c>
      <c r="E6364" s="2">
        <v>18.5</v>
      </c>
      <c r="F6364" s="4">
        <v>2</v>
      </c>
      <c r="G6364" s="2">
        <v>37</v>
      </c>
      <c r="H6364" t="s">
        <v>45</v>
      </c>
      <c r="I6364" t="s">
        <v>16</v>
      </c>
      <c r="J6364" s="1">
        <v>44982</v>
      </c>
      <c r="K6364" t="b">
        <v>0</v>
      </c>
    </row>
    <row r="6365" spans="1:11" x14ac:dyDescent="0.25">
      <c r="A6365" t="s">
        <v>1128</v>
      </c>
      <c r="B6365" t="s">
        <v>56</v>
      </c>
      <c r="C6365" t="s">
        <v>110</v>
      </c>
      <c r="D6365" t="s">
        <v>189</v>
      </c>
      <c r="E6365" s="2">
        <v>18.5</v>
      </c>
      <c r="F6365" s="4">
        <v>2</v>
      </c>
      <c r="G6365" s="2">
        <v>37</v>
      </c>
      <c r="H6365" t="s">
        <v>15</v>
      </c>
      <c r="I6365" t="s">
        <v>36</v>
      </c>
      <c r="J6365" s="1">
        <v>45617</v>
      </c>
      <c r="K6365" t="b">
        <v>1</v>
      </c>
    </row>
    <row r="6366" spans="1:11" x14ac:dyDescent="0.25">
      <c r="A6366" t="s">
        <v>5009</v>
      </c>
      <c r="B6366" t="s">
        <v>58</v>
      </c>
      <c r="C6366" t="s">
        <v>19</v>
      </c>
      <c r="D6366" t="s">
        <v>1452</v>
      </c>
      <c r="E6366" s="2">
        <v>18.5</v>
      </c>
      <c r="F6366" s="4">
        <v>2</v>
      </c>
      <c r="G6366" s="2">
        <v>37</v>
      </c>
      <c r="H6366" t="s">
        <v>15</v>
      </c>
      <c r="I6366" t="s">
        <v>36</v>
      </c>
      <c r="J6366" s="1">
        <v>45480</v>
      </c>
      <c r="K6366" t="b">
        <v>1</v>
      </c>
    </row>
    <row r="6367" spans="1:11" x14ac:dyDescent="0.25">
      <c r="A6367" t="s">
        <v>6066</v>
      </c>
      <c r="B6367" t="s">
        <v>61</v>
      </c>
      <c r="C6367" t="s">
        <v>110</v>
      </c>
      <c r="D6367" t="s">
        <v>189</v>
      </c>
      <c r="E6367" s="2">
        <v>18.5</v>
      </c>
      <c r="F6367" s="4">
        <v>2</v>
      </c>
      <c r="G6367" s="2">
        <v>37</v>
      </c>
      <c r="H6367" t="s">
        <v>15</v>
      </c>
      <c r="I6367" t="s">
        <v>16</v>
      </c>
      <c r="J6367" s="1">
        <v>45299</v>
      </c>
      <c r="K6367" t="b">
        <v>0</v>
      </c>
    </row>
    <row r="6368" spans="1:11" x14ac:dyDescent="0.25">
      <c r="A6368" t="s">
        <v>5759</v>
      </c>
      <c r="B6368" t="s">
        <v>34</v>
      </c>
      <c r="C6368" t="s">
        <v>59</v>
      </c>
      <c r="D6368" t="s">
        <v>102</v>
      </c>
      <c r="E6368" s="2">
        <v>18.5</v>
      </c>
      <c r="F6368" s="4">
        <v>2</v>
      </c>
      <c r="G6368" s="2">
        <v>37</v>
      </c>
      <c r="H6368" t="s">
        <v>45</v>
      </c>
      <c r="I6368" t="s">
        <v>16</v>
      </c>
      <c r="J6368" s="1">
        <v>45636</v>
      </c>
      <c r="K6368" t="b">
        <v>1</v>
      </c>
    </row>
    <row r="6369" spans="1:11" x14ac:dyDescent="0.25">
      <c r="A6369" t="s">
        <v>6880</v>
      </c>
      <c r="B6369" t="s">
        <v>58</v>
      </c>
      <c r="C6369" t="s">
        <v>31</v>
      </c>
      <c r="D6369" t="s">
        <v>67</v>
      </c>
      <c r="E6369" s="2">
        <v>18.5</v>
      </c>
      <c r="F6369" s="4">
        <v>2</v>
      </c>
      <c r="G6369" s="2">
        <v>37</v>
      </c>
      <c r="H6369" t="s">
        <v>25</v>
      </c>
      <c r="I6369" t="s">
        <v>16</v>
      </c>
      <c r="J6369" s="1">
        <v>44864</v>
      </c>
      <c r="K6369" t="b">
        <v>0</v>
      </c>
    </row>
    <row r="6370" spans="1:11" x14ac:dyDescent="0.25">
      <c r="A6370" t="s">
        <v>6807</v>
      </c>
      <c r="B6370" t="s">
        <v>58</v>
      </c>
      <c r="C6370" t="s">
        <v>31</v>
      </c>
      <c r="D6370" t="s">
        <v>67</v>
      </c>
      <c r="E6370" s="2">
        <v>18.5</v>
      </c>
      <c r="F6370" s="4">
        <v>2</v>
      </c>
      <c r="G6370" s="2">
        <v>37</v>
      </c>
      <c r="H6370" t="s">
        <v>15</v>
      </c>
      <c r="I6370" t="s">
        <v>36</v>
      </c>
      <c r="J6370" s="1">
        <v>45385</v>
      </c>
      <c r="K6370" t="b">
        <v>0</v>
      </c>
    </row>
    <row r="6371" spans="1:11" x14ac:dyDescent="0.25">
      <c r="A6371" t="s">
        <v>1337</v>
      </c>
      <c r="B6371" t="s">
        <v>66</v>
      </c>
      <c r="C6371" t="s">
        <v>38</v>
      </c>
      <c r="D6371" t="s">
        <v>94</v>
      </c>
      <c r="E6371" s="2">
        <v>18.5</v>
      </c>
      <c r="F6371" s="4">
        <v>2</v>
      </c>
      <c r="G6371" s="2">
        <v>37</v>
      </c>
      <c r="H6371" t="s">
        <v>45</v>
      </c>
      <c r="I6371" t="s">
        <v>36</v>
      </c>
      <c r="J6371" s="1">
        <v>45021</v>
      </c>
      <c r="K6371" t="b">
        <v>0</v>
      </c>
    </row>
    <row r="6372" spans="1:11" x14ac:dyDescent="0.25">
      <c r="A6372" t="s">
        <v>6123</v>
      </c>
      <c r="B6372" t="s">
        <v>40</v>
      </c>
      <c r="C6372" t="s">
        <v>31</v>
      </c>
      <c r="D6372" t="s">
        <v>136</v>
      </c>
      <c r="E6372" s="2">
        <v>36.5</v>
      </c>
      <c r="F6372" s="4">
        <v>1</v>
      </c>
      <c r="G6372" s="2">
        <v>36.5</v>
      </c>
      <c r="H6372" t="s">
        <v>15</v>
      </c>
      <c r="I6372" t="s">
        <v>16</v>
      </c>
      <c r="J6372" s="1">
        <v>45574</v>
      </c>
      <c r="K6372" t="b">
        <v>0</v>
      </c>
    </row>
    <row r="6373" spans="1:11" x14ac:dyDescent="0.25">
      <c r="A6373" t="s">
        <v>503</v>
      </c>
      <c r="B6373" t="s">
        <v>40</v>
      </c>
      <c r="C6373" t="s">
        <v>31</v>
      </c>
      <c r="D6373" t="s">
        <v>136</v>
      </c>
      <c r="E6373" s="2">
        <v>36.5</v>
      </c>
      <c r="F6373" s="4">
        <v>1</v>
      </c>
      <c r="G6373" s="2">
        <v>36.5</v>
      </c>
      <c r="H6373" t="s">
        <v>45</v>
      </c>
      <c r="I6373" t="s">
        <v>16</v>
      </c>
      <c r="J6373" s="1">
        <v>44742</v>
      </c>
      <c r="K6373" t="b">
        <v>1</v>
      </c>
    </row>
    <row r="6374" spans="1:11" x14ac:dyDescent="0.25">
      <c r="A6374" t="s">
        <v>4193</v>
      </c>
      <c r="B6374" t="s">
        <v>58</v>
      </c>
      <c r="C6374" t="s">
        <v>19</v>
      </c>
      <c r="D6374" t="s">
        <v>412</v>
      </c>
      <c r="E6374" s="2">
        <v>36.5</v>
      </c>
      <c r="F6374" s="4">
        <v>1</v>
      </c>
      <c r="G6374" s="2">
        <v>36.5</v>
      </c>
      <c r="H6374" t="s">
        <v>45</v>
      </c>
      <c r="I6374" t="s">
        <v>16</v>
      </c>
      <c r="J6374" s="1">
        <v>44778</v>
      </c>
      <c r="K6374" t="b">
        <v>0</v>
      </c>
    </row>
    <row r="6375" spans="1:11" x14ac:dyDescent="0.25">
      <c r="A6375" t="s">
        <v>5058</v>
      </c>
      <c r="B6375" t="s">
        <v>12</v>
      </c>
      <c r="C6375" t="s">
        <v>19</v>
      </c>
      <c r="D6375" t="s">
        <v>412</v>
      </c>
      <c r="E6375" s="2">
        <v>36.5</v>
      </c>
      <c r="F6375" s="4">
        <v>1</v>
      </c>
      <c r="G6375" s="2">
        <v>36.5</v>
      </c>
      <c r="H6375" t="s">
        <v>45</v>
      </c>
      <c r="I6375" t="s">
        <v>36</v>
      </c>
      <c r="J6375" s="1">
        <v>45075</v>
      </c>
      <c r="K6375" t="b">
        <v>1</v>
      </c>
    </row>
    <row r="6376" spans="1:11" x14ac:dyDescent="0.25">
      <c r="A6376" t="s">
        <v>5682</v>
      </c>
      <c r="B6376" t="s">
        <v>66</v>
      </c>
      <c r="C6376" t="s">
        <v>13</v>
      </c>
      <c r="D6376" t="s">
        <v>80</v>
      </c>
      <c r="E6376" s="2">
        <v>36.5</v>
      </c>
      <c r="F6376" s="4">
        <v>1</v>
      </c>
      <c r="G6376" s="2">
        <v>36.5</v>
      </c>
      <c r="H6376" t="s">
        <v>25</v>
      </c>
      <c r="I6376" t="s">
        <v>16</v>
      </c>
      <c r="J6376" s="1">
        <v>44827</v>
      </c>
      <c r="K6376" t="b">
        <v>1</v>
      </c>
    </row>
    <row r="6377" spans="1:11" x14ac:dyDescent="0.25">
      <c r="A6377" t="s">
        <v>5816</v>
      </c>
      <c r="B6377" t="s">
        <v>43</v>
      </c>
      <c r="C6377" t="s">
        <v>27</v>
      </c>
      <c r="D6377" t="s">
        <v>101</v>
      </c>
      <c r="E6377" s="2">
        <v>36.5</v>
      </c>
      <c r="F6377" s="4">
        <v>1</v>
      </c>
      <c r="G6377" s="2">
        <v>36.5</v>
      </c>
      <c r="H6377" t="s">
        <v>15</v>
      </c>
      <c r="I6377" t="s">
        <v>36</v>
      </c>
      <c r="J6377" s="1">
        <v>45467</v>
      </c>
      <c r="K6377" t="b">
        <v>1</v>
      </c>
    </row>
    <row r="6378" spans="1:11" x14ac:dyDescent="0.25">
      <c r="A6378" t="s">
        <v>4596</v>
      </c>
      <c r="B6378" t="s">
        <v>26</v>
      </c>
      <c r="C6378" t="s">
        <v>23</v>
      </c>
      <c r="D6378" t="s">
        <v>44</v>
      </c>
      <c r="E6378" s="2">
        <v>36.5</v>
      </c>
      <c r="F6378" s="4">
        <v>1</v>
      </c>
      <c r="G6378" s="2">
        <v>36.5</v>
      </c>
      <c r="H6378" t="s">
        <v>45</v>
      </c>
      <c r="I6378" t="s">
        <v>16</v>
      </c>
      <c r="J6378" s="1">
        <v>44603</v>
      </c>
      <c r="K6378" t="b">
        <v>1</v>
      </c>
    </row>
    <row r="6379" spans="1:11" x14ac:dyDescent="0.25">
      <c r="A6379" t="s">
        <v>6571</v>
      </c>
      <c r="B6379" t="s">
        <v>12</v>
      </c>
      <c r="C6379" t="s">
        <v>59</v>
      </c>
      <c r="D6379" t="s">
        <v>290</v>
      </c>
      <c r="E6379" s="2">
        <v>36.5</v>
      </c>
      <c r="F6379" s="4">
        <v>1</v>
      </c>
      <c r="G6379" s="2">
        <v>36.5</v>
      </c>
      <c r="H6379" t="s">
        <v>45</v>
      </c>
      <c r="I6379" t="s">
        <v>36</v>
      </c>
      <c r="J6379" s="1">
        <v>45672</v>
      </c>
      <c r="K6379" t="b">
        <v>1</v>
      </c>
    </row>
    <row r="6380" spans="1:11" x14ac:dyDescent="0.25">
      <c r="A6380" t="s">
        <v>2136</v>
      </c>
      <c r="B6380" t="s">
        <v>142</v>
      </c>
      <c r="C6380" t="s">
        <v>31</v>
      </c>
      <c r="D6380" t="s">
        <v>136</v>
      </c>
      <c r="E6380" s="2">
        <v>36.5</v>
      </c>
      <c r="F6380" s="4">
        <v>1</v>
      </c>
      <c r="G6380" s="2">
        <v>36.5</v>
      </c>
      <c r="H6380" t="s">
        <v>45</v>
      </c>
      <c r="I6380" t="s">
        <v>16</v>
      </c>
      <c r="J6380" s="1">
        <v>44974</v>
      </c>
      <c r="K6380" t="b">
        <v>0</v>
      </c>
    </row>
    <row r="6381" spans="1:11" x14ac:dyDescent="0.25">
      <c r="A6381" t="s">
        <v>237</v>
      </c>
      <c r="B6381" t="s">
        <v>58</v>
      </c>
      <c r="C6381" t="s">
        <v>27</v>
      </c>
      <c r="D6381" t="s">
        <v>101</v>
      </c>
      <c r="E6381" s="2">
        <v>36.5</v>
      </c>
      <c r="F6381" s="4">
        <v>1</v>
      </c>
      <c r="G6381" s="2">
        <v>36.5</v>
      </c>
      <c r="H6381" t="s">
        <v>25</v>
      </c>
      <c r="I6381" t="s">
        <v>16</v>
      </c>
      <c r="J6381" s="1">
        <v>45439</v>
      </c>
      <c r="K6381" t="b">
        <v>0</v>
      </c>
    </row>
    <row r="6382" spans="1:11" x14ac:dyDescent="0.25">
      <c r="A6382" t="s">
        <v>2861</v>
      </c>
      <c r="B6382" t="s">
        <v>18</v>
      </c>
      <c r="C6382" t="s">
        <v>27</v>
      </c>
      <c r="D6382" t="s">
        <v>101</v>
      </c>
      <c r="E6382" s="2">
        <v>36.5</v>
      </c>
      <c r="F6382" s="4">
        <v>1</v>
      </c>
      <c r="G6382" s="2">
        <v>36.5</v>
      </c>
      <c r="H6382" t="s">
        <v>25</v>
      </c>
      <c r="I6382" t="s">
        <v>36</v>
      </c>
      <c r="J6382" s="1">
        <v>45288</v>
      </c>
      <c r="K6382" t="b">
        <v>0</v>
      </c>
    </row>
    <row r="6383" spans="1:11" x14ac:dyDescent="0.25">
      <c r="A6383" t="s">
        <v>3472</v>
      </c>
      <c r="B6383" t="s">
        <v>43</v>
      </c>
      <c r="C6383" t="s">
        <v>23</v>
      </c>
      <c r="D6383" t="s">
        <v>44</v>
      </c>
      <c r="E6383" s="2">
        <v>36.5</v>
      </c>
      <c r="F6383" s="4">
        <v>1</v>
      </c>
      <c r="G6383" s="2">
        <v>36.5</v>
      </c>
      <c r="H6383" t="s">
        <v>15</v>
      </c>
      <c r="I6383" t="s">
        <v>16</v>
      </c>
      <c r="J6383" s="1">
        <v>44584</v>
      </c>
      <c r="K6383" t="b">
        <v>0</v>
      </c>
    </row>
    <row r="6384" spans="1:11" x14ac:dyDescent="0.25">
      <c r="A6384" t="s">
        <v>4680</v>
      </c>
      <c r="B6384" t="s">
        <v>51</v>
      </c>
      <c r="C6384" t="s">
        <v>27</v>
      </c>
      <c r="D6384" t="s">
        <v>101</v>
      </c>
      <c r="E6384" s="2">
        <v>36.5</v>
      </c>
      <c r="F6384" s="4">
        <v>1</v>
      </c>
      <c r="G6384" s="2">
        <v>36.5</v>
      </c>
      <c r="H6384" t="s">
        <v>15</v>
      </c>
      <c r="I6384" t="s">
        <v>36</v>
      </c>
      <c r="J6384" s="1">
        <v>45128</v>
      </c>
      <c r="K6384" t="b">
        <v>1</v>
      </c>
    </row>
    <row r="6385" spans="1:11" x14ac:dyDescent="0.25">
      <c r="A6385" t="s">
        <v>1629</v>
      </c>
      <c r="B6385" t="s">
        <v>77</v>
      </c>
      <c r="C6385" t="s">
        <v>13</v>
      </c>
      <c r="D6385" t="s">
        <v>80</v>
      </c>
      <c r="E6385" s="2">
        <v>36.5</v>
      </c>
      <c r="F6385" s="4">
        <v>1</v>
      </c>
      <c r="G6385" s="2">
        <v>36.5</v>
      </c>
      <c r="H6385" t="s">
        <v>45</v>
      </c>
      <c r="I6385" t="s">
        <v>36</v>
      </c>
      <c r="J6385" s="1">
        <v>45460</v>
      </c>
      <c r="K6385" t="b">
        <v>0</v>
      </c>
    </row>
    <row r="6386" spans="1:11" x14ac:dyDescent="0.25">
      <c r="A6386" t="s">
        <v>4085</v>
      </c>
      <c r="B6386" t="s">
        <v>97</v>
      </c>
      <c r="C6386" t="s">
        <v>19</v>
      </c>
      <c r="D6386" t="s">
        <v>412</v>
      </c>
      <c r="E6386" s="2">
        <v>36.5</v>
      </c>
      <c r="F6386" s="4">
        <v>1</v>
      </c>
      <c r="G6386" s="2">
        <v>36.5</v>
      </c>
      <c r="H6386" t="s">
        <v>15</v>
      </c>
      <c r="I6386" t="s">
        <v>16</v>
      </c>
      <c r="J6386" s="1">
        <v>45564</v>
      </c>
      <c r="K6386" t="b">
        <v>0</v>
      </c>
    </row>
    <row r="6387" spans="1:11" x14ac:dyDescent="0.25">
      <c r="A6387" t="s">
        <v>7223</v>
      </c>
      <c r="B6387" t="s">
        <v>51</v>
      </c>
      <c r="C6387" t="s">
        <v>27</v>
      </c>
      <c r="D6387" t="s">
        <v>101</v>
      </c>
      <c r="E6387" s="2">
        <v>36.5</v>
      </c>
      <c r="F6387" s="4">
        <v>1</v>
      </c>
      <c r="G6387" s="2">
        <v>36.5</v>
      </c>
      <c r="H6387" t="s">
        <v>25</v>
      </c>
      <c r="I6387" t="s">
        <v>16</v>
      </c>
      <c r="J6387" s="1">
        <v>45135</v>
      </c>
      <c r="K6387" t="b">
        <v>1</v>
      </c>
    </row>
    <row r="6388" spans="1:11" x14ac:dyDescent="0.25">
      <c r="A6388" t="s">
        <v>6808</v>
      </c>
      <c r="B6388" t="s">
        <v>100</v>
      </c>
      <c r="C6388" t="s">
        <v>23</v>
      </c>
      <c r="D6388" t="s">
        <v>44</v>
      </c>
      <c r="E6388" s="2">
        <v>36.5</v>
      </c>
      <c r="F6388" s="4">
        <v>1</v>
      </c>
      <c r="G6388" s="2">
        <v>36.5</v>
      </c>
      <c r="H6388" t="s">
        <v>15</v>
      </c>
      <c r="I6388" t="s">
        <v>36</v>
      </c>
      <c r="J6388" s="1">
        <v>44767</v>
      </c>
      <c r="K6388" t="b">
        <v>0</v>
      </c>
    </row>
    <row r="6389" spans="1:11" x14ac:dyDescent="0.25">
      <c r="A6389" t="s">
        <v>4118</v>
      </c>
      <c r="B6389" t="s">
        <v>85</v>
      </c>
      <c r="C6389" t="s">
        <v>13</v>
      </c>
      <c r="D6389" t="s">
        <v>80</v>
      </c>
      <c r="E6389" s="2">
        <v>36.5</v>
      </c>
      <c r="F6389" s="4">
        <v>1</v>
      </c>
      <c r="G6389" s="2">
        <v>36.5</v>
      </c>
      <c r="H6389" t="s">
        <v>45</v>
      </c>
      <c r="I6389" t="s">
        <v>36</v>
      </c>
      <c r="J6389" s="1">
        <v>45547</v>
      </c>
      <c r="K6389" t="b">
        <v>0</v>
      </c>
    </row>
    <row r="6390" spans="1:11" x14ac:dyDescent="0.25">
      <c r="A6390" t="s">
        <v>1129</v>
      </c>
      <c r="B6390" t="s">
        <v>85</v>
      </c>
      <c r="C6390" t="s">
        <v>19</v>
      </c>
      <c r="D6390" t="s">
        <v>412</v>
      </c>
      <c r="E6390" s="2">
        <v>36.5</v>
      </c>
      <c r="F6390" s="4">
        <v>1</v>
      </c>
      <c r="G6390" s="2">
        <v>36.5</v>
      </c>
      <c r="H6390" t="s">
        <v>15</v>
      </c>
      <c r="I6390" t="s">
        <v>36</v>
      </c>
      <c r="J6390" s="1">
        <v>44807</v>
      </c>
      <c r="K6390" t="b">
        <v>0</v>
      </c>
    </row>
    <row r="6391" spans="1:11" x14ac:dyDescent="0.25">
      <c r="A6391" t="s">
        <v>692</v>
      </c>
      <c r="B6391" t="s">
        <v>77</v>
      </c>
      <c r="C6391" t="s">
        <v>13</v>
      </c>
      <c r="D6391" t="s">
        <v>80</v>
      </c>
      <c r="E6391" s="2">
        <v>36.5</v>
      </c>
      <c r="F6391" s="4">
        <v>1</v>
      </c>
      <c r="G6391" s="2">
        <v>36.5</v>
      </c>
      <c r="H6391" t="s">
        <v>15</v>
      </c>
      <c r="I6391" t="s">
        <v>36</v>
      </c>
      <c r="J6391" s="1">
        <v>45391</v>
      </c>
      <c r="K6391" t="b">
        <v>1</v>
      </c>
    </row>
    <row r="6392" spans="1:11" x14ac:dyDescent="0.25">
      <c r="A6392" t="s">
        <v>2151</v>
      </c>
      <c r="B6392" t="s">
        <v>56</v>
      </c>
      <c r="C6392" t="s">
        <v>23</v>
      </c>
      <c r="D6392" t="s">
        <v>44</v>
      </c>
      <c r="E6392" s="2">
        <v>36.5</v>
      </c>
      <c r="F6392" s="4">
        <v>1</v>
      </c>
      <c r="G6392" s="2">
        <v>36.5</v>
      </c>
      <c r="H6392" t="s">
        <v>15</v>
      </c>
      <c r="I6392" t="s">
        <v>16</v>
      </c>
      <c r="J6392" s="1">
        <v>45068</v>
      </c>
      <c r="K6392" t="b">
        <v>0</v>
      </c>
    </row>
    <row r="6393" spans="1:11" x14ac:dyDescent="0.25">
      <c r="A6393" t="s">
        <v>2147</v>
      </c>
      <c r="B6393" t="s">
        <v>77</v>
      </c>
      <c r="C6393" t="s">
        <v>31</v>
      </c>
      <c r="D6393" t="s">
        <v>136</v>
      </c>
      <c r="E6393" s="2">
        <v>36.5</v>
      </c>
      <c r="F6393" s="4">
        <v>1</v>
      </c>
      <c r="G6393" s="2">
        <v>36.5</v>
      </c>
      <c r="H6393" t="s">
        <v>25</v>
      </c>
      <c r="I6393" t="s">
        <v>36</v>
      </c>
      <c r="J6393" s="1">
        <v>45590</v>
      </c>
      <c r="K6393" t="b">
        <v>1</v>
      </c>
    </row>
    <row r="6394" spans="1:11" x14ac:dyDescent="0.25">
      <c r="A6394" t="s">
        <v>4683</v>
      </c>
      <c r="B6394" t="s">
        <v>12</v>
      </c>
      <c r="C6394" t="s">
        <v>23</v>
      </c>
      <c r="D6394" t="s">
        <v>44</v>
      </c>
      <c r="E6394" s="2">
        <v>36.5</v>
      </c>
      <c r="F6394" s="4">
        <v>1</v>
      </c>
      <c r="G6394" s="2">
        <v>36.5</v>
      </c>
      <c r="H6394" t="s">
        <v>25</v>
      </c>
      <c r="I6394" t="s">
        <v>36</v>
      </c>
      <c r="J6394" s="1">
        <v>44859</v>
      </c>
      <c r="K6394" t="b">
        <v>1</v>
      </c>
    </row>
    <row r="6395" spans="1:11" x14ac:dyDescent="0.25">
      <c r="A6395" t="s">
        <v>1961</v>
      </c>
      <c r="B6395" t="s">
        <v>63</v>
      </c>
      <c r="C6395" t="s">
        <v>27</v>
      </c>
      <c r="D6395" t="s">
        <v>101</v>
      </c>
      <c r="E6395" s="2">
        <v>36.5</v>
      </c>
      <c r="F6395" s="4">
        <v>1</v>
      </c>
      <c r="G6395" s="2">
        <v>36.5</v>
      </c>
      <c r="H6395" t="s">
        <v>25</v>
      </c>
      <c r="I6395" t="s">
        <v>36</v>
      </c>
      <c r="J6395" s="1">
        <v>45043</v>
      </c>
      <c r="K6395" t="b">
        <v>1</v>
      </c>
    </row>
    <row r="6396" spans="1:11" x14ac:dyDescent="0.25">
      <c r="A6396" t="s">
        <v>4637</v>
      </c>
      <c r="B6396" t="s">
        <v>77</v>
      </c>
      <c r="C6396" t="s">
        <v>110</v>
      </c>
      <c r="D6396" t="s">
        <v>134</v>
      </c>
      <c r="E6396" s="2">
        <v>36.5</v>
      </c>
      <c r="F6396" s="4">
        <v>1</v>
      </c>
      <c r="G6396" s="2">
        <v>36.5</v>
      </c>
      <c r="H6396" t="s">
        <v>15</v>
      </c>
      <c r="I6396" t="s">
        <v>16</v>
      </c>
      <c r="J6396" s="1">
        <v>45624</v>
      </c>
      <c r="K6396" t="b">
        <v>0</v>
      </c>
    </row>
    <row r="6397" spans="1:11" x14ac:dyDescent="0.25">
      <c r="A6397" t="s">
        <v>1352</v>
      </c>
      <c r="B6397" t="s">
        <v>12</v>
      </c>
      <c r="C6397" t="s">
        <v>31</v>
      </c>
      <c r="D6397" t="s">
        <v>136</v>
      </c>
      <c r="E6397" s="2">
        <v>36.5</v>
      </c>
      <c r="F6397" s="4">
        <v>1</v>
      </c>
      <c r="G6397" s="2">
        <v>36.5</v>
      </c>
      <c r="H6397" t="s">
        <v>25</v>
      </c>
      <c r="I6397" t="s">
        <v>16</v>
      </c>
      <c r="J6397" s="1">
        <v>45583</v>
      </c>
      <c r="K6397" t="b">
        <v>0</v>
      </c>
    </row>
    <row r="6398" spans="1:11" x14ac:dyDescent="0.25">
      <c r="A6398" t="s">
        <v>3017</v>
      </c>
      <c r="B6398" t="s">
        <v>66</v>
      </c>
      <c r="C6398" t="s">
        <v>31</v>
      </c>
      <c r="D6398" t="s">
        <v>35</v>
      </c>
      <c r="E6398" s="2">
        <v>5</v>
      </c>
      <c r="F6398" s="4">
        <v>7</v>
      </c>
      <c r="G6398" s="2">
        <v>35</v>
      </c>
      <c r="H6398" t="s">
        <v>45</v>
      </c>
      <c r="I6398" t="s">
        <v>36</v>
      </c>
      <c r="J6398" s="1">
        <v>44770</v>
      </c>
      <c r="K6398" t="b">
        <v>1</v>
      </c>
    </row>
    <row r="6399" spans="1:11" x14ac:dyDescent="0.25">
      <c r="A6399" t="s">
        <v>4969</v>
      </c>
      <c r="B6399" t="s">
        <v>12</v>
      </c>
      <c r="C6399" t="s">
        <v>38</v>
      </c>
      <c r="D6399" t="s">
        <v>225</v>
      </c>
      <c r="E6399" s="2">
        <v>5</v>
      </c>
      <c r="F6399" s="4">
        <v>7</v>
      </c>
      <c r="G6399" s="2">
        <v>35</v>
      </c>
      <c r="H6399" t="s">
        <v>45</v>
      </c>
      <c r="I6399" t="s">
        <v>36</v>
      </c>
      <c r="J6399" s="1">
        <v>44657</v>
      </c>
      <c r="K6399" t="b">
        <v>0</v>
      </c>
    </row>
    <row r="6400" spans="1:11" x14ac:dyDescent="0.25">
      <c r="A6400" t="s">
        <v>892</v>
      </c>
      <c r="B6400" t="s">
        <v>51</v>
      </c>
      <c r="C6400" t="s">
        <v>13</v>
      </c>
      <c r="D6400" t="s">
        <v>893</v>
      </c>
      <c r="E6400" s="2">
        <v>35</v>
      </c>
      <c r="F6400" s="4">
        <v>1</v>
      </c>
      <c r="G6400" s="2">
        <v>35</v>
      </c>
      <c r="H6400" t="s">
        <v>45</v>
      </c>
      <c r="I6400" t="s">
        <v>36</v>
      </c>
      <c r="J6400" s="1">
        <v>45175</v>
      </c>
      <c r="K6400" t="b">
        <v>0</v>
      </c>
    </row>
    <row r="6401" spans="1:11" x14ac:dyDescent="0.25">
      <c r="A6401" t="s">
        <v>464</v>
      </c>
      <c r="B6401" t="s">
        <v>86</v>
      </c>
      <c r="C6401" t="s">
        <v>23</v>
      </c>
      <c r="D6401" t="s">
        <v>179</v>
      </c>
      <c r="E6401" s="2">
        <v>35</v>
      </c>
      <c r="F6401" s="4">
        <v>1</v>
      </c>
      <c r="G6401" s="2">
        <v>35</v>
      </c>
      <c r="H6401" t="s">
        <v>15</v>
      </c>
      <c r="I6401" t="s">
        <v>36</v>
      </c>
      <c r="J6401" s="1">
        <v>45274</v>
      </c>
      <c r="K6401" t="b">
        <v>1</v>
      </c>
    </row>
    <row r="6402" spans="1:11" x14ac:dyDescent="0.25">
      <c r="A6402" t="s">
        <v>4781</v>
      </c>
      <c r="B6402" t="s">
        <v>30</v>
      </c>
      <c r="C6402" t="s">
        <v>23</v>
      </c>
      <c r="D6402" t="s">
        <v>179</v>
      </c>
      <c r="E6402" s="2">
        <v>35</v>
      </c>
      <c r="F6402" s="4">
        <v>1</v>
      </c>
      <c r="G6402" s="2">
        <v>35</v>
      </c>
      <c r="H6402" t="s">
        <v>45</v>
      </c>
      <c r="I6402" t="s">
        <v>16</v>
      </c>
      <c r="J6402" s="1">
        <v>45128</v>
      </c>
      <c r="K6402" t="b">
        <v>1</v>
      </c>
    </row>
    <row r="6403" spans="1:11" x14ac:dyDescent="0.25">
      <c r="A6403" t="s">
        <v>4366</v>
      </c>
      <c r="B6403" t="s">
        <v>100</v>
      </c>
      <c r="C6403" t="s">
        <v>59</v>
      </c>
      <c r="D6403" t="s">
        <v>279</v>
      </c>
      <c r="E6403" s="2">
        <v>5</v>
      </c>
      <c r="F6403" s="4">
        <v>7</v>
      </c>
      <c r="G6403" s="2">
        <v>35</v>
      </c>
      <c r="H6403" t="s">
        <v>45</v>
      </c>
      <c r="I6403" t="s">
        <v>36</v>
      </c>
      <c r="J6403" s="1">
        <v>44643</v>
      </c>
      <c r="K6403" t="b">
        <v>1</v>
      </c>
    </row>
    <row r="6404" spans="1:11" x14ac:dyDescent="0.25">
      <c r="A6404" t="s">
        <v>6178</v>
      </c>
      <c r="B6404" t="s">
        <v>12</v>
      </c>
      <c r="C6404" t="s">
        <v>59</v>
      </c>
      <c r="D6404" t="s">
        <v>87</v>
      </c>
      <c r="E6404" s="2">
        <v>35</v>
      </c>
      <c r="F6404" s="4">
        <v>1</v>
      </c>
      <c r="G6404" s="2">
        <v>35</v>
      </c>
      <c r="H6404" t="s">
        <v>25</v>
      </c>
      <c r="I6404" t="s">
        <v>36</v>
      </c>
      <c r="J6404" s="1">
        <v>45291</v>
      </c>
      <c r="K6404" t="b">
        <v>1</v>
      </c>
    </row>
    <row r="6405" spans="1:11" x14ac:dyDescent="0.25">
      <c r="A6405" t="s">
        <v>7218</v>
      </c>
      <c r="B6405" t="s">
        <v>61</v>
      </c>
      <c r="C6405" t="s">
        <v>23</v>
      </c>
      <c r="D6405" t="s">
        <v>311</v>
      </c>
      <c r="E6405" s="2">
        <v>5</v>
      </c>
      <c r="F6405" s="4">
        <v>7</v>
      </c>
      <c r="G6405" s="2">
        <v>35</v>
      </c>
      <c r="H6405" t="s">
        <v>15</v>
      </c>
      <c r="I6405" t="s">
        <v>16</v>
      </c>
      <c r="J6405" s="1">
        <v>45092</v>
      </c>
      <c r="K6405" t="b">
        <v>0</v>
      </c>
    </row>
    <row r="6406" spans="1:11" x14ac:dyDescent="0.25">
      <c r="A6406" t="s">
        <v>3278</v>
      </c>
      <c r="B6406" t="s">
        <v>30</v>
      </c>
      <c r="C6406" t="s">
        <v>23</v>
      </c>
      <c r="D6406" t="s">
        <v>311</v>
      </c>
      <c r="E6406" s="2">
        <v>5</v>
      </c>
      <c r="F6406" s="4">
        <v>7</v>
      </c>
      <c r="G6406" s="2">
        <v>35</v>
      </c>
      <c r="H6406" t="s">
        <v>15</v>
      </c>
      <c r="I6406" t="s">
        <v>36</v>
      </c>
      <c r="J6406" s="1">
        <v>45565</v>
      </c>
      <c r="K6406" t="b">
        <v>1</v>
      </c>
    </row>
    <row r="6407" spans="1:11" x14ac:dyDescent="0.25">
      <c r="A6407" t="s">
        <v>7803</v>
      </c>
      <c r="B6407" t="s">
        <v>40</v>
      </c>
      <c r="C6407" t="s">
        <v>13</v>
      </c>
      <c r="D6407" t="s">
        <v>146</v>
      </c>
      <c r="E6407" s="2">
        <v>5</v>
      </c>
      <c r="F6407" s="4">
        <v>7</v>
      </c>
      <c r="G6407" s="2">
        <v>35</v>
      </c>
      <c r="H6407" t="s">
        <v>15</v>
      </c>
      <c r="I6407" t="s">
        <v>16</v>
      </c>
      <c r="J6407" s="1">
        <v>44887</v>
      </c>
      <c r="K6407" t="b">
        <v>1</v>
      </c>
    </row>
    <row r="6408" spans="1:11" x14ac:dyDescent="0.25">
      <c r="A6408" t="s">
        <v>3177</v>
      </c>
      <c r="B6408" t="s">
        <v>104</v>
      </c>
      <c r="C6408" t="s">
        <v>31</v>
      </c>
      <c r="D6408" t="s">
        <v>905</v>
      </c>
      <c r="E6408" s="2">
        <v>35</v>
      </c>
      <c r="F6408" s="4">
        <v>1</v>
      </c>
      <c r="G6408" s="2">
        <v>35</v>
      </c>
      <c r="H6408" t="s">
        <v>45</v>
      </c>
      <c r="I6408" t="s">
        <v>16</v>
      </c>
      <c r="J6408" s="1">
        <v>45046</v>
      </c>
      <c r="K6408" t="b">
        <v>1</v>
      </c>
    </row>
    <row r="6409" spans="1:11" x14ac:dyDescent="0.25">
      <c r="A6409" t="s">
        <v>2261</v>
      </c>
      <c r="B6409" t="s">
        <v>61</v>
      </c>
      <c r="C6409" t="s">
        <v>23</v>
      </c>
      <c r="D6409" t="s">
        <v>311</v>
      </c>
      <c r="E6409" s="2">
        <v>5</v>
      </c>
      <c r="F6409" s="4">
        <v>7</v>
      </c>
      <c r="G6409" s="2">
        <v>35</v>
      </c>
      <c r="H6409" t="s">
        <v>45</v>
      </c>
      <c r="I6409" t="s">
        <v>16</v>
      </c>
      <c r="J6409" s="1">
        <v>45656</v>
      </c>
      <c r="K6409" t="b">
        <v>1</v>
      </c>
    </row>
    <row r="6410" spans="1:11" x14ac:dyDescent="0.25">
      <c r="A6410" t="s">
        <v>1210</v>
      </c>
      <c r="B6410" t="s">
        <v>61</v>
      </c>
      <c r="C6410" t="s">
        <v>31</v>
      </c>
      <c r="D6410" t="s">
        <v>35</v>
      </c>
      <c r="E6410" s="2">
        <v>5</v>
      </c>
      <c r="F6410" s="4">
        <v>7</v>
      </c>
      <c r="G6410" s="2">
        <v>35</v>
      </c>
      <c r="H6410" t="s">
        <v>25</v>
      </c>
      <c r="I6410" t="s">
        <v>36</v>
      </c>
      <c r="J6410" s="1">
        <v>45608</v>
      </c>
      <c r="K6410" t="b">
        <v>0</v>
      </c>
    </row>
    <row r="6411" spans="1:11" x14ac:dyDescent="0.25">
      <c r="A6411" t="s">
        <v>5639</v>
      </c>
      <c r="B6411" t="s">
        <v>43</v>
      </c>
      <c r="C6411" t="s">
        <v>23</v>
      </c>
      <c r="D6411" t="s">
        <v>179</v>
      </c>
      <c r="E6411" s="2">
        <v>35</v>
      </c>
      <c r="F6411" s="4">
        <v>1</v>
      </c>
      <c r="G6411" s="2">
        <v>35</v>
      </c>
      <c r="H6411" t="s">
        <v>25</v>
      </c>
      <c r="I6411" t="s">
        <v>16</v>
      </c>
      <c r="J6411" s="1">
        <v>45529</v>
      </c>
      <c r="K6411" t="b">
        <v>1</v>
      </c>
    </row>
    <row r="6412" spans="1:11" x14ac:dyDescent="0.25">
      <c r="A6412" t="s">
        <v>5495</v>
      </c>
      <c r="B6412" t="s">
        <v>142</v>
      </c>
      <c r="C6412" t="s">
        <v>38</v>
      </c>
      <c r="D6412" t="s">
        <v>225</v>
      </c>
      <c r="E6412" s="2">
        <v>5</v>
      </c>
      <c r="F6412" s="4">
        <v>7</v>
      </c>
      <c r="G6412" s="2">
        <v>35</v>
      </c>
      <c r="H6412" t="s">
        <v>15</v>
      </c>
      <c r="I6412" t="s">
        <v>36</v>
      </c>
      <c r="J6412" s="1">
        <v>44649</v>
      </c>
      <c r="K6412" t="b">
        <v>0</v>
      </c>
    </row>
    <row r="6413" spans="1:11" x14ac:dyDescent="0.25">
      <c r="A6413" t="s">
        <v>4957</v>
      </c>
      <c r="B6413" t="s">
        <v>40</v>
      </c>
      <c r="C6413" t="s">
        <v>38</v>
      </c>
      <c r="D6413" t="s">
        <v>225</v>
      </c>
      <c r="E6413" s="2">
        <v>5</v>
      </c>
      <c r="F6413" s="4">
        <v>7</v>
      </c>
      <c r="G6413" s="2">
        <v>35</v>
      </c>
      <c r="H6413" t="s">
        <v>45</v>
      </c>
      <c r="I6413" t="s">
        <v>16</v>
      </c>
      <c r="J6413" s="1">
        <v>45483</v>
      </c>
      <c r="K6413" t="b">
        <v>0</v>
      </c>
    </row>
    <row r="6414" spans="1:11" x14ac:dyDescent="0.25">
      <c r="A6414" t="s">
        <v>4446</v>
      </c>
      <c r="B6414" t="s">
        <v>66</v>
      </c>
      <c r="C6414" t="s">
        <v>31</v>
      </c>
      <c r="D6414" t="s">
        <v>35</v>
      </c>
      <c r="E6414" s="2">
        <v>5</v>
      </c>
      <c r="F6414" s="4">
        <v>7</v>
      </c>
      <c r="G6414" s="2">
        <v>35</v>
      </c>
      <c r="H6414" t="s">
        <v>15</v>
      </c>
      <c r="I6414" t="s">
        <v>36</v>
      </c>
      <c r="J6414" s="1">
        <v>45062</v>
      </c>
      <c r="K6414" t="b">
        <v>1</v>
      </c>
    </row>
    <row r="6415" spans="1:11" x14ac:dyDescent="0.25">
      <c r="A6415" t="s">
        <v>3040</v>
      </c>
      <c r="B6415" t="s">
        <v>63</v>
      </c>
      <c r="C6415" t="s">
        <v>31</v>
      </c>
      <c r="D6415" t="s">
        <v>905</v>
      </c>
      <c r="E6415" s="2">
        <v>35</v>
      </c>
      <c r="F6415" s="4">
        <v>1</v>
      </c>
      <c r="G6415" s="2">
        <v>35</v>
      </c>
      <c r="H6415" t="s">
        <v>45</v>
      </c>
      <c r="I6415" t="s">
        <v>36</v>
      </c>
      <c r="J6415" s="1">
        <v>45135</v>
      </c>
      <c r="K6415" t="b">
        <v>1</v>
      </c>
    </row>
    <row r="6416" spans="1:11" x14ac:dyDescent="0.25">
      <c r="A6416" t="s">
        <v>7743</v>
      </c>
      <c r="B6416" t="s">
        <v>85</v>
      </c>
      <c r="C6416" t="s">
        <v>38</v>
      </c>
      <c r="D6416" t="s">
        <v>163</v>
      </c>
      <c r="E6416" s="2">
        <v>35</v>
      </c>
      <c r="F6416" s="4">
        <v>1</v>
      </c>
      <c r="G6416" s="2">
        <v>35</v>
      </c>
      <c r="H6416" t="s">
        <v>45</v>
      </c>
      <c r="I6416" t="s">
        <v>16</v>
      </c>
      <c r="J6416" s="1">
        <v>45166</v>
      </c>
      <c r="K6416" t="b">
        <v>0</v>
      </c>
    </row>
    <row r="6417" spans="1:11" x14ac:dyDescent="0.25">
      <c r="A6417" t="s">
        <v>2926</v>
      </c>
      <c r="B6417" t="s">
        <v>40</v>
      </c>
      <c r="C6417" t="s">
        <v>110</v>
      </c>
      <c r="D6417" t="s">
        <v>197</v>
      </c>
      <c r="E6417" s="2">
        <v>35</v>
      </c>
      <c r="F6417" s="4">
        <v>1</v>
      </c>
      <c r="G6417" s="2">
        <v>35</v>
      </c>
      <c r="H6417" t="s">
        <v>25</v>
      </c>
      <c r="I6417" t="s">
        <v>36</v>
      </c>
      <c r="J6417" s="1">
        <v>44665</v>
      </c>
      <c r="K6417" t="b">
        <v>0</v>
      </c>
    </row>
    <row r="6418" spans="1:11" x14ac:dyDescent="0.25">
      <c r="A6418" t="s">
        <v>4554</v>
      </c>
      <c r="B6418" t="s">
        <v>26</v>
      </c>
      <c r="C6418" t="s">
        <v>38</v>
      </c>
      <c r="D6418" t="s">
        <v>225</v>
      </c>
      <c r="E6418" s="2">
        <v>5</v>
      </c>
      <c r="F6418" s="4">
        <v>7</v>
      </c>
      <c r="G6418" s="2">
        <v>35</v>
      </c>
      <c r="H6418" t="s">
        <v>15</v>
      </c>
      <c r="I6418" t="s">
        <v>16</v>
      </c>
      <c r="J6418" s="1">
        <v>44634</v>
      </c>
      <c r="K6418" t="b">
        <v>0</v>
      </c>
    </row>
    <row r="6419" spans="1:11" x14ac:dyDescent="0.25">
      <c r="A6419" t="s">
        <v>2540</v>
      </c>
      <c r="B6419" t="s">
        <v>86</v>
      </c>
      <c r="C6419" t="s">
        <v>19</v>
      </c>
      <c r="D6419" t="s">
        <v>219</v>
      </c>
      <c r="E6419" s="2">
        <v>5</v>
      </c>
      <c r="F6419" s="4">
        <v>7</v>
      </c>
      <c r="G6419" s="2">
        <v>35</v>
      </c>
      <c r="H6419" t="s">
        <v>15</v>
      </c>
      <c r="I6419" t="s">
        <v>16</v>
      </c>
      <c r="J6419" s="1">
        <v>45313</v>
      </c>
      <c r="K6419" t="b">
        <v>0</v>
      </c>
    </row>
    <row r="6420" spans="1:11" x14ac:dyDescent="0.25">
      <c r="A6420" t="s">
        <v>477</v>
      </c>
      <c r="B6420" t="s">
        <v>18</v>
      </c>
      <c r="C6420" t="s">
        <v>13</v>
      </c>
      <c r="D6420" t="s">
        <v>146</v>
      </c>
      <c r="E6420" s="2">
        <v>5</v>
      </c>
      <c r="F6420" s="4">
        <v>7</v>
      </c>
      <c r="G6420" s="2">
        <v>35</v>
      </c>
      <c r="H6420" t="s">
        <v>15</v>
      </c>
      <c r="I6420" t="s">
        <v>16</v>
      </c>
      <c r="J6420" s="1">
        <v>45478</v>
      </c>
      <c r="K6420" t="b">
        <v>1</v>
      </c>
    </row>
    <row r="6421" spans="1:11" x14ac:dyDescent="0.25">
      <c r="A6421" t="s">
        <v>2924</v>
      </c>
      <c r="B6421" t="s">
        <v>26</v>
      </c>
      <c r="C6421" t="s">
        <v>38</v>
      </c>
      <c r="D6421" t="s">
        <v>225</v>
      </c>
      <c r="E6421" s="2">
        <v>5</v>
      </c>
      <c r="F6421" s="4">
        <v>7</v>
      </c>
      <c r="G6421" s="2">
        <v>35</v>
      </c>
      <c r="H6421" t="s">
        <v>25</v>
      </c>
      <c r="I6421" t="s">
        <v>16</v>
      </c>
      <c r="J6421" s="1">
        <v>44610</v>
      </c>
      <c r="K6421" t="b">
        <v>0</v>
      </c>
    </row>
    <row r="6422" spans="1:11" x14ac:dyDescent="0.25">
      <c r="A6422" t="s">
        <v>2735</v>
      </c>
      <c r="B6422" t="s">
        <v>142</v>
      </c>
      <c r="C6422" t="s">
        <v>23</v>
      </c>
      <c r="D6422" t="s">
        <v>311</v>
      </c>
      <c r="E6422" s="2">
        <v>5</v>
      </c>
      <c r="F6422" s="4">
        <v>7</v>
      </c>
      <c r="G6422" s="2">
        <v>35</v>
      </c>
      <c r="H6422" t="s">
        <v>45</v>
      </c>
      <c r="I6422" t="s">
        <v>16</v>
      </c>
      <c r="J6422" s="1">
        <v>45463</v>
      </c>
      <c r="K6422" t="b">
        <v>1</v>
      </c>
    </row>
    <row r="6423" spans="1:11" x14ac:dyDescent="0.25">
      <c r="A6423" t="s">
        <v>5126</v>
      </c>
      <c r="B6423" t="s">
        <v>72</v>
      </c>
      <c r="C6423" t="s">
        <v>23</v>
      </c>
      <c r="D6423" t="s">
        <v>311</v>
      </c>
      <c r="E6423" s="2">
        <v>5</v>
      </c>
      <c r="F6423" s="4">
        <v>7</v>
      </c>
      <c r="G6423" s="2">
        <v>35</v>
      </c>
      <c r="H6423" t="s">
        <v>45</v>
      </c>
      <c r="I6423" t="s">
        <v>36</v>
      </c>
      <c r="J6423" s="1">
        <v>44926</v>
      </c>
      <c r="K6423" t="b">
        <v>0</v>
      </c>
    </row>
    <row r="6424" spans="1:11" x14ac:dyDescent="0.25">
      <c r="A6424" t="s">
        <v>4676</v>
      </c>
      <c r="B6424" t="s">
        <v>37</v>
      </c>
      <c r="C6424" t="s">
        <v>13</v>
      </c>
      <c r="D6424" t="s">
        <v>146</v>
      </c>
      <c r="E6424" s="2">
        <v>5</v>
      </c>
      <c r="F6424" s="4">
        <v>7</v>
      </c>
      <c r="G6424" s="2">
        <v>35</v>
      </c>
      <c r="H6424" t="s">
        <v>45</v>
      </c>
      <c r="I6424" t="s">
        <v>16</v>
      </c>
      <c r="J6424" s="1">
        <v>44956</v>
      </c>
      <c r="K6424" t="b">
        <v>0</v>
      </c>
    </row>
    <row r="6425" spans="1:11" x14ac:dyDescent="0.25">
      <c r="A6425" t="s">
        <v>7482</v>
      </c>
      <c r="B6425" t="s">
        <v>26</v>
      </c>
      <c r="C6425" t="s">
        <v>19</v>
      </c>
      <c r="D6425" t="s">
        <v>214</v>
      </c>
      <c r="E6425" s="2">
        <v>35</v>
      </c>
      <c r="F6425" s="4">
        <v>1</v>
      </c>
      <c r="G6425" s="2">
        <v>35</v>
      </c>
      <c r="H6425" t="s">
        <v>45</v>
      </c>
      <c r="I6425" t="s">
        <v>36</v>
      </c>
      <c r="J6425" s="1">
        <v>45267</v>
      </c>
      <c r="K6425" t="b">
        <v>0</v>
      </c>
    </row>
    <row r="6426" spans="1:11" x14ac:dyDescent="0.25">
      <c r="A6426" t="s">
        <v>7513</v>
      </c>
      <c r="B6426" t="s">
        <v>63</v>
      </c>
      <c r="C6426" t="s">
        <v>59</v>
      </c>
      <c r="D6426" t="s">
        <v>279</v>
      </c>
      <c r="E6426" s="2">
        <v>5</v>
      </c>
      <c r="F6426" s="4">
        <v>7</v>
      </c>
      <c r="G6426" s="2">
        <v>35</v>
      </c>
      <c r="H6426" t="s">
        <v>25</v>
      </c>
      <c r="I6426" t="s">
        <v>16</v>
      </c>
      <c r="J6426" s="1">
        <v>45484</v>
      </c>
      <c r="K6426" t="b">
        <v>0</v>
      </c>
    </row>
    <row r="6427" spans="1:11" x14ac:dyDescent="0.25">
      <c r="A6427" t="s">
        <v>6918</v>
      </c>
      <c r="B6427" t="s">
        <v>18</v>
      </c>
      <c r="C6427" t="s">
        <v>31</v>
      </c>
      <c r="D6427" t="s">
        <v>905</v>
      </c>
      <c r="E6427" s="2">
        <v>35</v>
      </c>
      <c r="F6427" s="4">
        <v>1</v>
      </c>
      <c r="G6427" s="2">
        <v>35</v>
      </c>
      <c r="H6427" t="s">
        <v>25</v>
      </c>
      <c r="I6427" t="s">
        <v>36</v>
      </c>
      <c r="J6427" s="1">
        <v>45134</v>
      </c>
      <c r="K6427" t="b">
        <v>1</v>
      </c>
    </row>
    <row r="6428" spans="1:11" x14ac:dyDescent="0.25">
      <c r="A6428" t="s">
        <v>299</v>
      </c>
      <c r="B6428" t="s">
        <v>51</v>
      </c>
      <c r="C6428" t="s">
        <v>13</v>
      </c>
      <c r="D6428" t="s">
        <v>146</v>
      </c>
      <c r="E6428" s="2">
        <v>5</v>
      </c>
      <c r="F6428" s="4">
        <v>7</v>
      </c>
      <c r="G6428" s="2">
        <v>35</v>
      </c>
      <c r="H6428" t="s">
        <v>15</v>
      </c>
      <c r="I6428" t="s">
        <v>16</v>
      </c>
      <c r="J6428" s="1">
        <v>45637</v>
      </c>
      <c r="K6428" t="b">
        <v>0</v>
      </c>
    </row>
    <row r="6429" spans="1:11" x14ac:dyDescent="0.25">
      <c r="A6429" t="s">
        <v>3756</v>
      </c>
      <c r="B6429" t="s">
        <v>58</v>
      </c>
      <c r="C6429" t="s">
        <v>19</v>
      </c>
      <c r="D6429" t="s">
        <v>219</v>
      </c>
      <c r="E6429" s="2">
        <v>5</v>
      </c>
      <c r="F6429" s="4">
        <v>7</v>
      </c>
      <c r="G6429" s="2">
        <v>35</v>
      </c>
      <c r="H6429" t="s">
        <v>45</v>
      </c>
      <c r="I6429" t="s">
        <v>36</v>
      </c>
      <c r="J6429" s="1">
        <v>45561</v>
      </c>
      <c r="K6429" t="b">
        <v>1</v>
      </c>
    </row>
    <row r="6430" spans="1:11" x14ac:dyDescent="0.25">
      <c r="A6430" t="s">
        <v>336</v>
      </c>
      <c r="B6430" t="s">
        <v>69</v>
      </c>
      <c r="C6430" t="s">
        <v>110</v>
      </c>
      <c r="D6430" t="s">
        <v>337</v>
      </c>
      <c r="E6430" s="2">
        <v>5</v>
      </c>
      <c r="F6430" s="4">
        <v>7</v>
      </c>
      <c r="G6430" s="2">
        <v>35</v>
      </c>
      <c r="H6430" t="s">
        <v>25</v>
      </c>
      <c r="I6430" t="s">
        <v>16</v>
      </c>
      <c r="J6430" s="1">
        <v>44600</v>
      </c>
      <c r="K6430" t="b">
        <v>1</v>
      </c>
    </row>
    <row r="6431" spans="1:11" x14ac:dyDescent="0.25">
      <c r="A6431" t="s">
        <v>6481</v>
      </c>
      <c r="B6431" t="s">
        <v>69</v>
      </c>
      <c r="C6431" t="s">
        <v>23</v>
      </c>
      <c r="D6431" t="s">
        <v>179</v>
      </c>
      <c r="E6431" s="2">
        <v>35</v>
      </c>
      <c r="F6431" s="4">
        <v>1</v>
      </c>
      <c r="G6431" s="2">
        <v>35</v>
      </c>
      <c r="H6431" t="s">
        <v>25</v>
      </c>
      <c r="I6431" t="s">
        <v>36</v>
      </c>
      <c r="J6431" s="1">
        <v>45059</v>
      </c>
      <c r="K6431" t="b">
        <v>1</v>
      </c>
    </row>
    <row r="6432" spans="1:11" x14ac:dyDescent="0.25">
      <c r="A6432" t="s">
        <v>6129</v>
      </c>
      <c r="B6432" t="s">
        <v>18</v>
      </c>
      <c r="C6432" t="s">
        <v>31</v>
      </c>
      <c r="D6432" t="s">
        <v>35</v>
      </c>
      <c r="E6432" s="2">
        <v>5</v>
      </c>
      <c r="F6432" s="4">
        <v>7</v>
      </c>
      <c r="G6432" s="2">
        <v>35</v>
      </c>
      <c r="H6432" t="s">
        <v>45</v>
      </c>
      <c r="I6432" t="s">
        <v>36</v>
      </c>
      <c r="J6432" s="1">
        <v>45486</v>
      </c>
      <c r="K6432" t="b">
        <v>0</v>
      </c>
    </row>
    <row r="6433" spans="1:11" x14ac:dyDescent="0.25">
      <c r="A6433" t="s">
        <v>5592</v>
      </c>
      <c r="B6433" t="s">
        <v>51</v>
      </c>
      <c r="C6433" t="s">
        <v>27</v>
      </c>
      <c r="D6433" t="s">
        <v>348</v>
      </c>
      <c r="E6433" s="2">
        <v>5</v>
      </c>
      <c r="F6433" s="4">
        <v>7</v>
      </c>
      <c r="G6433" s="2">
        <v>35</v>
      </c>
      <c r="H6433" t="s">
        <v>25</v>
      </c>
      <c r="I6433" t="s">
        <v>16</v>
      </c>
      <c r="J6433" s="1">
        <v>44805</v>
      </c>
      <c r="K6433" t="b">
        <v>0</v>
      </c>
    </row>
    <row r="6434" spans="1:11" x14ac:dyDescent="0.25">
      <c r="A6434" t="s">
        <v>2932</v>
      </c>
      <c r="B6434" t="s">
        <v>12</v>
      </c>
      <c r="C6434" t="s">
        <v>38</v>
      </c>
      <c r="D6434" t="s">
        <v>163</v>
      </c>
      <c r="E6434" s="2">
        <v>35</v>
      </c>
      <c r="F6434" s="4">
        <v>1</v>
      </c>
      <c r="G6434" s="2">
        <v>35</v>
      </c>
      <c r="H6434" t="s">
        <v>45</v>
      </c>
      <c r="I6434" t="s">
        <v>16</v>
      </c>
      <c r="J6434" s="1">
        <v>44607</v>
      </c>
      <c r="K6434" t="b">
        <v>0</v>
      </c>
    </row>
    <row r="6435" spans="1:11" x14ac:dyDescent="0.25">
      <c r="A6435" t="s">
        <v>432</v>
      </c>
      <c r="B6435" t="s">
        <v>69</v>
      </c>
      <c r="C6435" t="s">
        <v>19</v>
      </c>
      <c r="D6435" t="s">
        <v>219</v>
      </c>
      <c r="E6435" s="2">
        <v>5</v>
      </c>
      <c r="F6435" s="4">
        <v>7</v>
      </c>
      <c r="G6435" s="2">
        <v>35</v>
      </c>
      <c r="H6435" t="s">
        <v>25</v>
      </c>
      <c r="I6435" t="s">
        <v>36</v>
      </c>
      <c r="J6435" s="1">
        <v>44639</v>
      </c>
      <c r="K6435" t="b">
        <v>1</v>
      </c>
    </row>
    <row r="6436" spans="1:11" x14ac:dyDescent="0.25">
      <c r="A6436" t="s">
        <v>2860</v>
      </c>
      <c r="B6436" t="s">
        <v>18</v>
      </c>
      <c r="C6436" t="s">
        <v>38</v>
      </c>
      <c r="D6436" t="s">
        <v>225</v>
      </c>
      <c r="E6436" s="2">
        <v>5</v>
      </c>
      <c r="F6436" s="4">
        <v>7</v>
      </c>
      <c r="G6436" s="2">
        <v>35</v>
      </c>
      <c r="H6436" t="s">
        <v>15</v>
      </c>
      <c r="I6436" t="s">
        <v>36</v>
      </c>
      <c r="J6436" s="1">
        <v>44627</v>
      </c>
      <c r="K6436" t="b">
        <v>1</v>
      </c>
    </row>
    <row r="6437" spans="1:11" x14ac:dyDescent="0.25">
      <c r="A6437" t="s">
        <v>4782</v>
      </c>
      <c r="B6437" t="s">
        <v>100</v>
      </c>
      <c r="C6437" t="s">
        <v>59</v>
      </c>
      <c r="D6437" t="s">
        <v>279</v>
      </c>
      <c r="E6437" s="2">
        <v>5</v>
      </c>
      <c r="F6437" s="4">
        <v>7</v>
      </c>
      <c r="G6437" s="2">
        <v>35</v>
      </c>
      <c r="H6437" t="s">
        <v>15</v>
      </c>
      <c r="I6437" t="s">
        <v>36</v>
      </c>
      <c r="J6437" s="1">
        <v>44994</v>
      </c>
      <c r="K6437" t="b">
        <v>0</v>
      </c>
    </row>
    <row r="6438" spans="1:11" x14ac:dyDescent="0.25">
      <c r="A6438" t="s">
        <v>4821</v>
      </c>
      <c r="B6438" t="s">
        <v>85</v>
      </c>
      <c r="C6438" t="s">
        <v>110</v>
      </c>
      <c r="D6438" t="s">
        <v>337</v>
      </c>
      <c r="E6438" s="2">
        <v>5</v>
      </c>
      <c r="F6438" s="4">
        <v>7</v>
      </c>
      <c r="G6438" s="2">
        <v>35</v>
      </c>
      <c r="H6438" t="s">
        <v>45</v>
      </c>
      <c r="I6438" t="s">
        <v>16</v>
      </c>
      <c r="J6438" s="1">
        <v>44703</v>
      </c>
      <c r="K6438" t="b">
        <v>1</v>
      </c>
    </row>
    <row r="6439" spans="1:11" x14ac:dyDescent="0.25">
      <c r="A6439" t="s">
        <v>4492</v>
      </c>
      <c r="B6439" t="s">
        <v>43</v>
      </c>
      <c r="C6439" t="s">
        <v>59</v>
      </c>
      <c r="D6439" t="s">
        <v>87</v>
      </c>
      <c r="E6439" s="2">
        <v>35</v>
      </c>
      <c r="F6439" s="4">
        <v>1</v>
      </c>
      <c r="G6439" s="2">
        <v>35</v>
      </c>
      <c r="H6439" t="s">
        <v>45</v>
      </c>
      <c r="I6439" t="s">
        <v>36</v>
      </c>
      <c r="J6439" s="1">
        <v>45663</v>
      </c>
      <c r="K6439" t="b">
        <v>0</v>
      </c>
    </row>
    <row r="6440" spans="1:11" x14ac:dyDescent="0.25">
      <c r="A6440" t="s">
        <v>5130</v>
      </c>
      <c r="B6440" t="s">
        <v>72</v>
      </c>
      <c r="C6440" t="s">
        <v>38</v>
      </c>
      <c r="D6440" t="s">
        <v>225</v>
      </c>
      <c r="E6440" s="2">
        <v>5</v>
      </c>
      <c r="F6440" s="4">
        <v>7</v>
      </c>
      <c r="G6440" s="2">
        <v>35</v>
      </c>
      <c r="H6440" t="s">
        <v>15</v>
      </c>
      <c r="I6440" t="s">
        <v>16</v>
      </c>
      <c r="J6440" s="1">
        <v>45632</v>
      </c>
      <c r="K6440" t="b">
        <v>1</v>
      </c>
    </row>
    <row r="6441" spans="1:11" x14ac:dyDescent="0.25">
      <c r="A6441" t="s">
        <v>1743</v>
      </c>
      <c r="B6441" t="s">
        <v>93</v>
      </c>
      <c r="C6441" t="s">
        <v>19</v>
      </c>
      <c r="D6441" t="s">
        <v>219</v>
      </c>
      <c r="E6441" s="2">
        <v>5</v>
      </c>
      <c r="F6441" s="4">
        <v>7</v>
      </c>
      <c r="G6441" s="2">
        <v>35</v>
      </c>
      <c r="H6441" t="s">
        <v>45</v>
      </c>
      <c r="I6441" t="s">
        <v>16</v>
      </c>
      <c r="J6441" s="1">
        <v>45635</v>
      </c>
      <c r="K6441" t="b">
        <v>1</v>
      </c>
    </row>
    <row r="6442" spans="1:11" x14ac:dyDescent="0.25">
      <c r="A6442" t="s">
        <v>5413</v>
      </c>
      <c r="B6442" t="s">
        <v>34</v>
      </c>
      <c r="C6442" t="s">
        <v>27</v>
      </c>
      <c r="D6442" t="s">
        <v>240</v>
      </c>
      <c r="E6442" s="2">
        <v>35</v>
      </c>
      <c r="F6442" s="4">
        <v>1</v>
      </c>
      <c r="G6442" s="2">
        <v>35</v>
      </c>
      <c r="H6442" t="s">
        <v>15</v>
      </c>
      <c r="I6442" t="s">
        <v>36</v>
      </c>
      <c r="J6442" s="1">
        <v>45109</v>
      </c>
      <c r="K6442" t="b">
        <v>1</v>
      </c>
    </row>
    <row r="6443" spans="1:11" x14ac:dyDescent="0.25">
      <c r="A6443" t="s">
        <v>378</v>
      </c>
      <c r="B6443" t="s">
        <v>37</v>
      </c>
      <c r="C6443" t="s">
        <v>23</v>
      </c>
      <c r="D6443" t="s">
        <v>179</v>
      </c>
      <c r="E6443" s="2">
        <v>35</v>
      </c>
      <c r="F6443" s="4">
        <v>1</v>
      </c>
      <c r="G6443" s="2">
        <v>35</v>
      </c>
      <c r="H6443" t="s">
        <v>15</v>
      </c>
      <c r="I6443" t="s">
        <v>16</v>
      </c>
      <c r="J6443" s="1">
        <v>44810</v>
      </c>
      <c r="K6443" t="b">
        <v>0</v>
      </c>
    </row>
    <row r="6444" spans="1:11" x14ac:dyDescent="0.25">
      <c r="A6444" t="s">
        <v>879</v>
      </c>
      <c r="B6444" t="s">
        <v>69</v>
      </c>
      <c r="C6444" t="s">
        <v>59</v>
      </c>
      <c r="D6444" t="s">
        <v>87</v>
      </c>
      <c r="E6444" s="2">
        <v>35</v>
      </c>
      <c r="F6444" s="4">
        <v>1</v>
      </c>
      <c r="G6444" s="2">
        <v>35</v>
      </c>
      <c r="H6444" t="s">
        <v>15</v>
      </c>
      <c r="I6444" t="s">
        <v>16</v>
      </c>
      <c r="J6444" s="1">
        <v>44777</v>
      </c>
      <c r="K6444" t="b">
        <v>0</v>
      </c>
    </row>
    <row r="6445" spans="1:11" x14ac:dyDescent="0.25">
      <c r="A6445" t="s">
        <v>261</v>
      </c>
      <c r="B6445" t="s">
        <v>12</v>
      </c>
      <c r="C6445" t="s">
        <v>19</v>
      </c>
      <c r="D6445" t="s">
        <v>219</v>
      </c>
      <c r="E6445" s="2">
        <v>5</v>
      </c>
      <c r="F6445" s="4">
        <v>7</v>
      </c>
      <c r="G6445" s="2">
        <v>35</v>
      </c>
      <c r="H6445" t="s">
        <v>15</v>
      </c>
      <c r="I6445" t="s">
        <v>16</v>
      </c>
      <c r="J6445" s="1">
        <v>45644</v>
      </c>
      <c r="K6445" t="b">
        <v>0</v>
      </c>
    </row>
    <row r="6446" spans="1:11" x14ac:dyDescent="0.25">
      <c r="A6446" t="s">
        <v>750</v>
      </c>
      <c r="B6446" t="s">
        <v>100</v>
      </c>
      <c r="C6446" t="s">
        <v>19</v>
      </c>
      <c r="D6446" t="s">
        <v>219</v>
      </c>
      <c r="E6446" s="2">
        <v>5</v>
      </c>
      <c r="F6446" s="4">
        <v>7</v>
      </c>
      <c r="G6446" s="2">
        <v>35</v>
      </c>
      <c r="H6446" t="s">
        <v>45</v>
      </c>
      <c r="I6446" t="s">
        <v>36</v>
      </c>
      <c r="J6446" s="1">
        <v>45074</v>
      </c>
      <c r="K6446" t="b">
        <v>1</v>
      </c>
    </row>
    <row r="6447" spans="1:11" x14ac:dyDescent="0.25">
      <c r="A6447" t="s">
        <v>2552</v>
      </c>
      <c r="B6447" t="s">
        <v>69</v>
      </c>
      <c r="C6447" t="s">
        <v>59</v>
      </c>
      <c r="D6447" t="s">
        <v>87</v>
      </c>
      <c r="E6447" s="2">
        <v>35</v>
      </c>
      <c r="F6447" s="4">
        <v>1</v>
      </c>
      <c r="G6447" s="2">
        <v>35</v>
      </c>
      <c r="H6447" t="s">
        <v>15</v>
      </c>
      <c r="I6447" t="s">
        <v>16</v>
      </c>
      <c r="J6447" s="1">
        <v>45436</v>
      </c>
      <c r="K6447" t="b">
        <v>1</v>
      </c>
    </row>
    <row r="6448" spans="1:11" x14ac:dyDescent="0.25">
      <c r="A6448" t="s">
        <v>1442</v>
      </c>
      <c r="B6448" t="s">
        <v>51</v>
      </c>
      <c r="C6448" t="s">
        <v>31</v>
      </c>
      <c r="D6448" t="s">
        <v>35</v>
      </c>
      <c r="E6448" s="2">
        <v>5</v>
      </c>
      <c r="F6448" s="4">
        <v>7</v>
      </c>
      <c r="G6448" s="2">
        <v>35</v>
      </c>
      <c r="H6448" t="s">
        <v>15</v>
      </c>
      <c r="I6448" t="s">
        <v>16</v>
      </c>
      <c r="J6448" s="1">
        <v>44636</v>
      </c>
      <c r="K6448" t="b">
        <v>1</v>
      </c>
    </row>
    <row r="6449" spans="1:11" x14ac:dyDescent="0.25">
      <c r="A6449" t="s">
        <v>3781</v>
      </c>
      <c r="B6449" t="s">
        <v>100</v>
      </c>
      <c r="C6449" t="s">
        <v>27</v>
      </c>
      <c r="D6449" t="s">
        <v>763</v>
      </c>
      <c r="E6449" s="2">
        <v>17</v>
      </c>
      <c r="F6449" s="4">
        <v>2</v>
      </c>
      <c r="G6449" s="2">
        <v>34</v>
      </c>
      <c r="H6449" t="s">
        <v>45</v>
      </c>
      <c r="I6449" t="s">
        <v>16</v>
      </c>
      <c r="J6449" s="1">
        <v>45584</v>
      </c>
      <c r="K6449" t="b">
        <v>1</v>
      </c>
    </row>
    <row r="6450" spans="1:11" x14ac:dyDescent="0.25">
      <c r="A6450" t="s">
        <v>627</v>
      </c>
      <c r="B6450" t="s">
        <v>56</v>
      </c>
      <c r="C6450" t="s">
        <v>13</v>
      </c>
      <c r="D6450" t="s">
        <v>380</v>
      </c>
      <c r="E6450" s="2">
        <v>17</v>
      </c>
      <c r="F6450" s="4">
        <v>2</v>
      </c>
      <c r="G6450" s="2">
        <v>34</v>
      </c>
      <c r="H6450" t="s">
        <v>45</v>
      </c>
      <c r="I6450" t="s">
        <v>36</v>
      </c>
      <c r="J6450" s="1">
        <v>45571</v>
      </c>
      <c r="K6450" t="b">
        <v>1</v>
      </c>
    </row>
    <row r="6451" spans="1:11" x14ac:dyDescent="0.25">
      <c r="A6451" t="s">
        <v>4774</v>
      </c>
      <c r="B6451" t="s">
        <v>86</v>
      </c>
      <c r="C6451" t="s">
        <v>31</v>
      </c>
      <c r="D6451" t="s">
        <v>195</v>
      </c>
      <c r="E6451" s="2">
        <v>17</v>
      </c>
      <c r="F6451" s="4">
        <v>2</v>
      </c>
      <c r="G6451" s="2">
        <v>34</v>
      </c>
      <c r="H6451" t="s">
        <v>15</v>
      </c>
      <c r="I6451" t="s">
        <v>36</v>
      </c>
      <c r="J6451" s="1">
        <v>45071</v>
      </c>
      <c r="K6451" t="b">
        <v>1</v>
      </c>
    </row>
    <row r="6452" spans="1:11" x14ac:dyDescent="0.25">
      <c r="A6452" t="s">
        <v>7354</v>
      </c>
      <c r="B6452" t="s">
        <v>104</v>
      </c>
      <c r="C6452" t="s">
        <v>27</v>
      </c>
      <c r="D6452" t="s">
        <v>763</v>
      </c>
      <c r="E6452" s="2">
        <v>17</v>
      </c>
      <c r="F6452" s="4">
        <v>2</v>
      </c>
      <c r="G6452" s="2">
        <v>34</v>
      </c>
      <c r="H6452" t="s">
        <v>25</v>
      </c>
      <c r="I6452" t="s">
        <v>16</v>
      </c>
      <c r="J6452" s="1">
        <v>45198</v>
      </c>
      <c r="K6452" t="b">
        <v>1</v>
      </c>
    </row>
    <row r="6453" spans="1:11" x14ac:dyDescent="0.25">
      <c r="A6453" t="s">
        <v>4444</v>
      </c>
      <c r="B6453" t="s">
        <v>61</v>
      </c>
      <c r="C6453" t="s">
        <v>110</v>
      </c>
      <c r="D6453" t="s">
        <v>327</v>
      </c>
      <c r="E6453" s="2">
        <v>17</v>
      </c>
      <c r="F6453" s="4">
        <v>2</v>
      </c>
      <c r="G6453" s="2">
        <v>34</v>
      </c>
      <c r="H6453" t="s">
        <v>25</v>
      </c>
      <c r="I6453" t="s">
        <v>36</v>
      </c>
      <c r="J6453" s="1">
        <v>45216</v>
      </c>
      <c r="K6453" t="b">
        <v>0</v>
      </c>
    </row>
    <row r="6454" spans="1:11" x14ac:dyDescent="0.25">
      <c r="A6454" t="s">
        <v>5935</v>
      </c>
      <c r="B6454" t="s">
        <v>72</v>
      </c>
      <c r="C6454" t="s">
        <v>27</v>
      </c>
      <c r="D6454" t="s">
        <v>763</v>
      </c>
      <c r="E6454" s="2">
        <v>17</v>
      </c>
      <c r="F6454" s="4">
        <v>2</v>
      </c>
      <c r="G6454" s="2">
        <v>34</v>
      </c>
      <c r="H6454" t="s">
        <v>25</v>
      </c>
      <c r="I6454" t="s">
        <v>36</v>
      </c>
      <c r="J6454" s="1">
        <v>45593</v>
      </c>
      <c r="K6454" t="b">
        <v>0</v>
      </c>
    </row>
    <row r="6455" spans="1:11" x14ac:dyDescent="0.25">
      <c r="A6455" t="s">
        <v>3386</v>
      </c>
      <c r="B6455" t="s">
        <v>93</v>
      </c>
      <c r="C6455" t="s">
        <v>31</v>
      </c>
      <c r="D6455" t="s">
        <v>195</v>
      </c>
      <c r="E6455" s="2">
        <v>17</v>
      </c>
      <c r="F6455" s="4">
        <v>2</v>
      </c>
      <c r="G6455" s="2">
        <v>34</v>
      </c>
      <c r="H6455" t="s">
        <v>15</v>
      </c>
      <c r="I6455" t="s">
        <v>16</v>
      </c>
      <c r="J6455" s="1">
        <v>45373</v>
      </c>
      <c r="K6455" t="b">
        <v>1</v>
      </c>
    </row>
    <row r="6456" spans="1:11" x14ac:dyDescent="0.25">
      <c r="A6456" t="s">
        <v>3645</v>
      </c>
      <c r="B6456" t="s">
        <v>61</v>
      </c>
      <c r="C6456" t="s">
        <v>110</v>
      </c>
      <c r="D6456" t="s">
        <v>327</v>
      </c>
      <c r="E6456" s="2">
        <v>17</v>
      </c>
      <c r="F6456" s="4">
        <v>2</v>
      </c>
      <c r="G6456" s="2">
        <v>34</v>
      </c>
      <c r="H6456" t="s">
        <v>25</v>
      </c>
      <c r="I6456" t="s">
        <v>16</v>
      </c>
      <c r="J6456" s="1">
        <v>45406</v>
      </c>
      <c r="K6456" t="b">
        <v>1</v>
      </c>
    </row>
    <row r="6457" spans="1:11" x14ac:dyDescent="0.25">
      <c r="A6457" t="s">
        <v>7130</v>
      </c>
      <c r="B6457" t="s">
        <v>30</v>
      </c>
      <c r="C6457" t="s">
        <v>59</v>
      </c>
      <c r="D6457" t="s">
        <v>655</v>
      </c>
      <c r="E6457" s="2">
        <v>17</v>
      </c>
      <c r="F6457" s="4">
        <v>2</v>
      </c>
      <c r="G6457" s="2">
        <v>34</v>
      </c>
      <c r="H6457" t="s">
        <v>45</v>
      </c>
      <c r="I6457" t="s">
        <v>36</v>
      </c>
      <c r="J6457" s="1">
        <v>45573</v>
      </c>
      <c r="K6457" t="b">
        <v>1</v>
      </c>
    </row>
    <row r="6458" spans="1:11" x14ac:dyDescent="0.25">
      <c r="A6458" t="s">
        <v>1945</v>
      </c>
      <c r="B6458" t="s">
        <v>56</v>
      </c>
      <c r="C6458" t="s">
        <v>110</v>
      </c>
      <c r="D6458" t="s">
        <v>327</v>
      </c>
      <c r="E6458" s="2">
        <v>17</v>
      </c>
      <c r="F6458" s="4">
        <v>2</v>
      </c>
      <c r="G6458" s="2">
        <v>34</v>
      </c>
      <c r="H6458" t="s">
        <v>15</v>
      </c>
      <c r="I6458" t="s">
        <v>36</v>
      </c>
      <c r="J6458" s="1">
        <v>44641</v>
      </c>
      <c r="K6458" t="b">
        <v>0</v>
      </c>
    </row>
    <row r="6459" spans="1:11" x14ac:dyDescent="0.25">
      <c r="A6459" t="s">
        <v>7024</v>
      </c>
      <c r="B6459" t="s">
        <v>93</v>
      </c>
      <c r="C6459" t="s">
        <v>31</v>
      </c>
      <c r="D6459" t="s">
        <v>195</v>
      </c>
      <c r="E6459" s="2">
        <v>17</v>
      </c>
      <c r="F6459" s="4">
        <v>2</v>
      </c>
      <c r="G6459" s="2">
        <v>34</v>
      </c>
      <c r="H6459" t="s">
        <v>45</v>
      </c>
      <c r="I6459" t="s">
        <v>36</v>
      </c>
      <c r="J6459" s="1">
        <v>44744</v>
      </c>
      <c r="K6459" t="b">
        <v>1</v>
      </c>
    </row>
    <row r="6460" spans="1:11" x14ac:dyDescent="0.25">
      <c r="A6460" t="s">
        <v>3575</v>
      </c>
      <c r="B6460" t="s">
        <v>72</v>
      </c>
      <c r="C6460" t="s">
        <v>13</v>
      </c>
      <c r="D6460" t="s">
        <v>380</v>
      </c>
      <c r="E6460" s="2">
        <v>17</v>
      </c>
      <c r="F6460" s="4">
        <v>2</v>
      </c>
      <c r="G6460" s="2">
        <v>34</v>
      </c>
      <c r="H6460" t="s">
        <v>45</v>
      </c>
      <c r="I6460" t="s">
        <v>16</v>
      </c>
      <c r="J6460" s="1">
        <v>45343</v>
      </c>
      <c r="K6460" t="b">
        <v>0</v>
      </c>
    </row>
    <row r="6461" spans="1:11" x14ac:dyDescent="0.25">
      <c r="A6461" t="s">
        <v>2309</v>
      </c>
      <c r="B6461" t="s">
        <v>142</v>
      </c>
      <c r="C6461" t="s">
        <v>27</v>
      </c>
      <c r="D6461" t="s">
        <v>763</v>
      </c>
      <c r="E6461" s="2">
        <v>17</v>
      </c>
      <c r="F6461" s="4">
        <v>2</v>
      </c>
      <c r="G6461" s="2">
        <v>34</v>
      </c>
      <c r="H6461" t="s">
        <v>45</v>
      </c>
      <c r="I6461" t="s">
        <v>16</v>
      </c>
      <c r="J6461" s="1">
        <v>44947</v>
      </c>
      <c r="K6461" t="b">
        <v>1</v>
      </c>
    </row>
    <row r="6462" spans="1:11" x14ac:dyDescent="0.25">
      <c r="A6462" t="s">
        <v>4976</v>
      </c>
      <c r="B6462" t="s">
        <v>56</v>
      </c>
      <c r="C6462" t="s">
        <v>13</v>
      </c>
      <c r="D6462" t="s">
        <v>380</v>
      </c>
      <c r="E6462" s="2">
        <v>17</v>
      </c>
      <c r="F6462" s="4">
        <v>2</v>
      </c>
      <c r="G6462" s="2">
        <v>34</v>
      </c>
      <c r="H6462" t="s">
        <v>25</v>
      </c>
      <c r="I6462" t="s">
        <v>16</v>
      </c>
      <c r="J6462" s="1">
        <v>45539</v>
      </c>
      <c r="K6462" t="b">
        <v>1</v>
      </c>
    </row>
    <row r="6463" spans="1:11" x14ac:dyDescent="0.25">
      <c r="A6463" t="s">
        <v>2056</v>
      </c>
      <c r="B6463" t="s">
        <v>104</v>
      </c>
      <c r="C6463" t="s">
        <v>19</v>
      </c>
      <c r="D6463" t="s">
        <v>366</v>
      </c>
      <c r="E6463" s="2">
        <v>17</v>
      </c>
      <c r="F6463" s="4">
        <v>2</v>
      </c>
      <c r="G6463" s="2">
        <v>34</v>
      </c>
      <c r="H6463" t="s">
        <v>25</v>
      </c>
      <c r="I6463" t="s">
        <v>36</v>
      </c>
      <c r="J6463" s="1">
        <v>44887</v>
      </c>
      <c r="K6463" t="b">
        <v>0</v>
      </c>
    </row>
    <row r="6464" spans="1:11" x14ac:dyDescent="0.25">
      <c r="A6464" t="s">
        <v>796</v>
      </c>
      <c r="B6464" t="s">
        <v>61</v>
      </c>
      <c r="C6464" t="s">
        <v>110</v>
      </c>
      <c r="D6464" t="s">
        <v>327</v>
      </c>
      <c r="E6464" s="2">
        <v>17</v>
      </c>
      <c r="F6464" s="4">
        <v>2</v>
      </c>
      <c r="G6464" s="2">
        <v>34</v>
      </c>
      <c r="H6464" t="s">
        <v>15</v>
      </c>
      <c r="I6464" t="s">
        <v>36</v>
      </c>
      <c r="J6464" s="1">
        <v>44644</v>
      </c>
      <c r="K6464" t="b">
        <v>1</v>
      </c>
    </row>
    <row r="6465" spans="1:11" x14ac:dyDescent="0.25">
      <c r="A6465" t="s">
        <v>2894</v>
      </c>
      <c r="B6465" t="s">
        <v>18</v>
      </c>
      <c r="C6465" t="s">
        <v>59</v>
      </c>
      <c r="D6465" t="s">
        <v>655</v>
      </c>
      <c r="E6465" s="2">
        <v>17</v>
      </c>
      <c r="F6465" s="4">
        <v>2</v>
      </c>
      <c r="G6465" s="2">
        <v>34</v>
      </c>
      <c r="H6465" t="s">
        <v>15</v>
      </c>
      <c r="I6465" t="s">
        <v>16</v>
      </c>
      <c r="J6465" s="1">
        <v>44985</v>
      </c>
      <c r="K6465" t="b">
        <v>0</v>
      </c>
    </row>
    <row r="6466" spans="1:11" x14ac:dyDescent="0.25">
      <c r="A6466" t="s">
        <v>6741</v>
      </c>
      <c r="B6466" t="s">
        <v>100</v>
      </c>
      <c r="C6466" t="s">
        <v>110</v>
      </c>
      <c r="D6466" t="s">
        <v>327</v>
      </c>
      <c r="E6466" s="2">
        <v>17</v>
      </c>
      <c r="F6466" s="4">
        <v>2</v>
      </c>
      <c r="G6466" s="2">
        <v>34</v>
      </c>
      <c r="H6466" t="s">
        <v>25</v>
      </c>
      <c r="I6466" t="s">
        <v>16</v>
      </c>
      <c r="J6466" s="1">
        <v>45263</v>
      </c>
      <c r="K6466" t="b">
        <v>0</v>
      </c>
    </row>
    <row r="6467" spans="1:11" x14ac:dyDescent="0.25">
      <c r="A6467" t="s">
        <v>4910</v>
      </c>
      <c r="B6467" t="s">
        <v>97</v>
      </c>
      <c r="C6467" t="s">
        <v>59</v>
      </c>
      <c r="D6467" t="s">
        <v>655</v>
      </c>
      <c r="E6467" s="2">
        <v>17</v>
      </c>
      <c r="F6467" s="4">
        <v>2</v>
      </c>
      <c r="G6467" s="2">
        <v>34</v>
      </c>
      <c r="H6467" t="s">
        <v>25</v>
      </c>
      <c r="I6467" t="s">
        <v>16</v>
      </c>
      <c r="J6467" s="1">
        <v>45212</v>
      </c>
      <c r="K6467" t="b">
        <v>1</v>
      </c>
    </row>
    <row r="6468" spans="1:11" x14ac:dyDescent="0.25">
      <c r="A6468" t="s">
        <v>3090</v>
      </c>
      <c r="B6468" t="s">
        <v>34</v>
      </c>
      <c r="C6468" t="s">
        <v>13</v>
      </c>
      <c r="D6468" t="s">
        <v>380</v>
      </c>
      <c r="E6468" s="2">
        <v>17</v>
      </c>
      <c r="F6468" s="4">
        <v>2</v>
      </c>
      <c r="G6468" s="2">
        <v>34</v>
      </c>
      <c r="H6468" t="s">
        <v>45</v>
      </c>
      <c r="I6468" t="s">
        <v>36</v>
      </c>
      <c r="J6468" s="1">
        <v>45080</v>
      </c>
      <c r="K6468" t="b">
        <v>1</v>
      </c>
    </row>
    <row r="6469" spans="1:11" x14ac:dyDescent="0.25">
      <c r="A6469" t="s">
        <v>4878</v>
      </c>
      <c r="B6469" t="s">
        <v>18</v>
      </c>
      <c r="C6469" t="s">
        <v>23</v>
      </c>
      <c r="D6469" t="s">
        <v>73</v>
      </c>
      <c r="E6469" s="2">
        <v>33.5</v>
      </c>
      <c r="F6469" s="4">
        <v>1</v>
      </c>
      <c r="G6469" s="2">
        <v>33.5</v>
      </c>
      <c r="H6469" t="s">
        <v>15</v>
      </c>
      <c r="I6469" t="s">
        <v>36</v>
      </c>
      <c r="J6469" s="1">
        <v>45453</v>
      </c>
      <c r="K6469" t="b">
        <v>1</v>
      </c>
    </row>
    <row r="6470" spans="1:11" x14ac:dyDescent="0.25">
      <c r="A6470" t="s">
        <v>7021</v>
      </c>
      <c r="B6470" t="s">
        <v>40</v>
      </c>
      <c r="C6470" t="s">
        <v>27</v>
      </c>
      <c r="D6470" t="s">
        <v>209</v>
      </c>
      <c r="E6470" s="2">
        <v>33.5</v>
      </c>
      <c r="F6470" s="4">
        <v>1</v>
      </c>
      <c r="G6470" s="2">
        <v>33.5</v>
      </c>
      <c r="H6470" t="s">
        <v>15</v>
      </c>
      <c r="I6470" t="s">
        <v>16</v>
      </c>
      <c r="J6470" s="1">
        <v>44648</v>
      </c>
      <c r="K6470" t="b">
        <v>0</v>
      </c>
    </row>
    <row r="6471" spans="1:11" x14ac:dyDescent="0.25">
      <c r="A6471" t="s">
        <v>661</v>
      </c>
      <c r="B6471" t="s">
        <v>43</v>
      </c>
      <c r="C6471" t="s">
        <v>38</v>
      </c>
      <c r="D6471" t="s">
        <v>434</v>
      </c>
      <c r="E6471" s="2">
        <v>33.5</v>
      </c>
      <c r="F6471" s="4">
        <v>1</v>
      </c>
      <c r="G6471" s="2">
        <v>33.5</v>
      </c>
      <c r="H6471" t="s">
        <v>15</v>
      </c>
      <c r="I6471" t="s">
        <v>36</v>
      </c>
      <c r="J6471" s="1">
        <v>44717</v>
      </c>
      <c r="K6471" t="b">
        <v>1</v>
      </c>
    </row>
    <row r="6472" spans="1:11" x14ac:dyDescent="0.25">
      <c r="A6472" t="s">
        <v>2185</v>
      </c>
      <c r="B6472" t="s">
        <v>43</v>
      </c>
      <c r="C6472" t="s">
        <v>59</v>
      </c>
      <c r="D6472" t="s">
        <v>270</v>
      </c>
      <c r="E6472" s="2">
        <v>33.5</v>
      </c>
      <c r="F6472" s="4">
        <v>1</v>
      </c>
      <c r="G6472" s="2">
        <v>33.5</v>
      </c>
      <c r="H6472" t="s">
        <v>25</v>
      </c>
      <c r="I6472" t="s">
        <v>16</v>
      </c>
      <c r="J6472" s="1">
        <v>45285</v>
      </c>
      <c r="K6472" t="b">
        <v>1</v>
      </c>
    </row>
    <row r="6473" spans="1:11" x14ac:dyDescent="0.25">
      <c r="A6473" t="s">
        <v>5512</v>
      </c>
      <c r="B6473" t="s">
        <v>56</v>
      </c>
      <c r="C6473" t="s">
        <v>59</v>
      </c>
      <c r="D6473" t="s">
        <v>270</v>
      </c>
      <c r="E6473" s="2">
        <v>33.5</v>
      </c>
      <c r="F6473" s="4">
        <v>1</v>
      </c>
      <c r="G6473" s="2">
        <v>33.5</v>
      </c>
      <c r="H6473" t="s">
        <v>15</v>
      </c>
      <c r="I6473" t="s">
        <v>36</v>
      </c>
      <c r="J6473" s="1">
        <v>45443</v>
      </c>
      <c r="K6473" t="b">
        <v>0</v>
      </c>
    </row>
    <row r="6474" spans="1:11" x14ac:dyDescent="0.25">
      <c r="A6474" t="s">
        <v>3354</v>
      </c>
      <c r="B6474" t="s">
        <v>30</v>
      </c>
      <c r="C6474" t="s">
        <v>59</v>
      </c>
      <c r="D6474" t="s">
        <v>270</v>
      </c>
      <c r="E6474" s="2">
        <v>33.5</v>
      </c>
      <c r="F6474" s="4">
        <v>1</v>
      </c>
      <c r="G6474" s="2">
        <v>33.5</v>
      </c>
      <c r="H6474" t="s">
        <v>45</v>
      </c>
      <c r="I6474" t="s">
        <v>36</v>
      </c>
      <c r="J6474" s="1">
        <v>45423</v>
      </c>
      <c r="K6474" t="b">
        <v>1</v>
      </c>
    </row>
    <row r="6475" spans="1:11" x14ac:dyDescent="0.25">
      <c r="A6475" t="s">
        <v>4178</v>
      </c>
      <c r="B6475" t="s">
        <v>18</v>
      </c>
      <c r="C6475" t="s">
        <v>31</v>
      </c>
      <c r="D6475" t="s">
        <v>155</v>
      </c>
      <c r="E6475" s="2">
        <v>33.5</v>
      </c>
      <c r="F6475" s="4">
        <v>1</v>
      </c>
      <c r="G6475" s="2">
        <v>33.5</v>
      </c>
      <c r="H6475" t="s">
        <v>45</v>
      </c>
      <c r="I6475" t="s">
        <v>16</v>
      </c>
      <c r="J6475" s="1">
        <v>44808</v>
      </c>
      <c r="K6475" t="b">
        <v>1</v>
      </c>
    </row>
    <row r="6476" spans="1:11" x14ac:dyDescent="0.25">
      <c r="A6476" t="s">
        <v>3796</v>
      </c>
      <c r="B6476" t="s">
        <v>51</v>
      </c>
      <c r="C6476" t="s">
        <v>13</v>
      </c>
      <c r="D6476" t="s">
        <v>375</v>
      </c>
      <c r="E6476" s="2">
        <v>33.5</v>
      </c>
      <c r="F6476" s="4">
        <v>1</v>
      </c>
      <c r="G6476" s="2">
        <v>33.5</v>
      </c>
      <c r="H6476" t="s">
        <v>25</v>
      </c>
      <c r="I6476" t="s">
        <v>16</v>
      </c>
      <c r="J6476" s="1">
        <v>44983</v>
      </c>
      <c r="K6476" t="b">
        <v>0</v>
      </c>
    </row>
    <row r="6477" spans="1:11" x14ac:dyDescent="0.25">
      <c r="A6477" t="s">
        <v>5315</v>
      </c>
      <c r="B6477" t="s">
        <v>56</v>
      </c>
      <c r="C6477" t="s">
        <v>13</v>
      </c>
      <c r="D6477" t="s">
        <v>375</v>
      </c>
      <c r="E6477" s="2">
        <v>33.5</v>
      </c>
      <c r="F6477" s="4">
        <v>1</v>
      </c>
      <c r="G6477" s="2">
        <v>33.5</v>
      </c>
      <c r="H6477" t="s">
        <v>45</v>
      </c>
      <c r="I6477" t="s">
        <v>36</v>
      </c>
      <c r="J6477" s="1">
        <v>45137</v>
      </c>
      <c r="K6477" t="b">
        <v>1</v>
      </c>
    </row>
    <row r="6478" spans="1:11" x14ac:dyDescent="0.25">
      <c r="A6478" t="s">
        <v>3186</v>
      </c>
      <c r="B6478" t="s">
        <v>104</v>
      </c>
      <c r="C6478" t="s">
        <v>27</v>
      </c>
      <c r="D6478" t="s">
        <v>209</v>
      </c>
      <c r="E6478" s="2">
        <v>33.5</v>
      </c>
      <c r="F6478" s="4">
        <v>1</v>
      </c>
      <c r="G6478" s="2">
        <v>33.5</v>
      </c>
      <c r="H6478" t="s">
        <v>15</v>
      </c>
      <c r="I6478" t="s">
        <v>36</v>
      </c>
      <c r="J6478" s="1">
        <v>45559</v>
      </c>
      <c r="K6478" t="b">
        <v>1</v>
      </c>
    </row>
    <row r="6479" spans="1:11" x14ac:dyDescent="0.25">
      <c r="A6479" t="s">
        <v>1357</v>
      </c>
      <c r="B6479" t="s">
        <v>43</v>
      </c>
      <c r="C6479" t="s">
        <v>27</v>
      </c>
      <c r="D6479" t="s">
        <v>209</v>
      </c>
      <c r="E6479" s="2">
        <v>33.5</v>
      </c>
      <c r="F6479" s="4">
        <v>1</v>
      </c>
      <c r="G6479" s="2">
        <v>33.5</v>
      </c>
      <c r="H6479" t="s">
        <v>25</v>
      </c>
      <c r="I6479" t="s">
        <v>36</v>
      </c>
      <c r="J6479" s="1">
        <v>45458</v>
      </c>
      <c r="K6479" t="b">
        <v>1</v>
      </c>
    </row>
    <row r="6480" spans="1:11" x14ac:dyDescent="0.25">
      <c r="A6480" t="s">
        <v>6800</v>
      </c>
      <c r="B6480" t="s">
        <v>104</v>
      </c>
      <c r="C6480" t="s">
        <v>59</v>
      </c>
      <c r="D6480" t="s">
        <v>270</v>
      </c>
      <c r="E6480" s="2">
        <v>33.5</v>
      </c>
      <c r="F6480" s="4">
        <v>1</v>
      </c>
      <c r="G6480" s="2">
        <v>33.5</v>
      </c>
      <c r="H6480" t="s">
        <v>25</v>
      </c>
      <c r="I6480" t="s">
        <v>36</v>
      </c>
      <c r="J6480" s="1">
        <v>45342</v>
      </c>
      <c r="K6480" t="b">
        <v>0</v>
      </c>
    </row>
    <row r="6481" spans="1:11" x14ac:dyDescent="0.25">
      <c r="A6481" t="s">
        <v>4797</v>
      </c>
      <c r="B6481" t="s">
        <v>30</v>
      </c>
      <c r="C6481" t="s">
        <v>31</v>
      </c>
      <c r="D6481" t="s">
        <v>155</v>
      </c>
      <c r="E6481" s="2">
        <v>33.5</v>
      </c>
      <c r="F6481" s="4">
        <v>1</v>
      </c>
      <c r="G6481" s="2">
        <v>33.5</v>
      </c>
      <c r="H6481" t="s">
        <v>45</v>
      </c>
      <c r="I6481" t="s">
        <v>16</v>
      </c>
      <c r="J6481" s="1">
        <v>45099</v>
      </c>
      <c r="K6481" t="b">
        <v>1</v>
      </c>
    </row>
    <row r="6482" spans="1:11" x14ac:dyDescent="0.25">
      <c r="A6482" t="s">
        <v>4110</v>
      </c>
      <c r="B6482" t="s">
        <v>93</v>
      </c>
      <c r="C6482" t="s">
        <v>110</v>
      </c>
      <c r="D6482" t="s">
        <v>154</v>
      </c>
      <c r="E6482" s="2">
        <v>33.5</v>
      </c>
      <c r="F6482" s="4">
        <v>1</v>
      </c>
      <c r="G6482" s="2">
        <v>33.5</v>
      </c>
      <c r="H6482" t="s">
        <v>15</v>
      </c>
      <c r="I6482" t="s">
        <v>36</v>
      </c>
      <c r="J6482" s="1">
        <v>45423</v>
      </c>
      <c r="K6482" t="b">
        <v>0</v>
      </c>
    </row>
    <row r="6483" spans="1:11" x14ac:dyDescent="0.25">
      <c r="A6483" t="s">
        <v>7261</v>
      </c>
      <c r="B6483" t="s">
        <v>63</v>
      </c>
      <c r="C6483" t="s">
        <v>13</v>
      </c>
      <c r="D6483" t="s">
        <v>375</v>
      </c>
      <c r="E6483" s="2">
        <v>33.5</v>
      </c>
      <c r="F6483" s="4">
        <v>1</v>
      </c>
      <c r="G6483" s="2">
        <v>33.5</v>
      </c>
      <c r="H6483" t="s">
        <v>25</v>
      </c>
      <c r="I6483" t="s">
        <v>16</v>
      </c>
      <c r="J6483" s="1">
        <v>45424</v>
      </c>
      <c r="K6483" t="b">
        <v>1</v>
      </c>
    </row>
    <row r="6484" spans="1:11" x14ac:dyDescent="0.25">
      <c r="A6484" t="s">
        <v>6909</v>
      </c>
      <c r="B6484" t="s">
        <v>86</v>
      </c>
      <c r="C6484" t="s">
        <v>59</v>
      </c>
      <c r="D6484" t="s">
        <v>270</v>
      </c>
      <c r="E6484" s="2">
        <v>33.5</v>
      </c>
      <c r="F6484" s="4">
        <v>1</v>
      </c>
      <c r="G6484" s="2">
        <v>33.5</v>
      </c>
      <c r="H6484" t="s">
        <v>15</v>
      </c>
      <c r="I6484" t="s">
        <v>16</v>
      </c>
      <c r="J6484" s="1">
        <v>45061</v>
      </c>
      <c r="K6484" t="b">
        <v>1</v>
      </c>
    </row>
    <row r="6485" spans="1:11" x14ac:dyDescent="0.25">
      <c r="A6485" t="s">
        <v>5691</v>
      </c>
      <c r="B6485" t="s">
        <v>72</v>
      </c>
      <c r="C6485" t="s">
        <v>13</v>
      </c>
      <c r="D6485" t="s">
        <v>375</v>
      </c>
      <c r="E6485" s="2">
        <v>33.5</v>
      </c>
      <c r="F6485" s="4">
        <v>1</v>
      </c>
      <c r="G6485" s="2">
        <v>33.5</v>
      </c>
      <c r="H6485" t="s">
        <v>45</v>
      </c>
      <c r="I6485" t="s">
        <v>36</v>
      </c>
      <c r="J6485" s="1">
        <v>45429</v>
      </c>
      <c r="K6485" t="b">
        <v>0</v>
      </c>
    </row>
    <row r="6486" spans="1:11" x14ac:dyDescent="0.25">
      <c r="A6486" t="s">
        <v>4200</v>
      </c>
      <c r="B6486" t="s">
        <v>51</v>
      </c>
      <c r="C6486" t="s">
        <v>31</v>
      </c>
      <c r="D6486" t="s">
        <v>155</v>
      </c>
      <c r="E6486" s="2">
        <v>33.5</v>
      </c>
      <c r="F6486" s="4">
        <v>1</v>
      </c>
      <c r="G6486" s="2">
        <v>33.5</v>
      </c>
      <c r="H6486" t="s">
        <v>25</v>
      </c>
      <c r="I6486" t="s">
        <v>36</v>
      </c>
      <c r="J6486" s="1">
        <v>45162</v>
      </c>
      <c r="K6486" t="b">
        <v>1</v>
      </c>
    </row>
    <row r="6487" spans="1:11" x14ac:dyDescent="0.25">
      <c r="A6487" t="s">
        <v>2704</v>
      </c>
      <c r="B6487" t="s">
        <v>85</v>
      </c>
      <c r="C6487" t="s">
        <v>23</v>
      </c>
      <c r="D6487" t="s">
        <v>73</v>
      </c>
      <c r="E6487" s="2">
        <v>33.5</v>
      </c>
      <c r="F6487" s="4">
        <v>1</v>
      </c>
      <c r="G6487" s="2">
        <v>33.5</v>
      </c>
      <c r="H6487" t="s">
        <v>15</v>
      </c>
      <c r="I6487" t="s">
        <v>16</v>
      </c>
      <c r="J6487" s="1">
        <v>44967</v>
      </c>
      <c r="K6487" t="b">
        <v>0</v>
      </c>
    </row>
    <row r="6488" spans="1:11" x14ac:dyDescent="0.25">
      <c r="A6488" t="s">
        <v>4349</v>
      </c>
      <c r="B6488" t="s">
        <v>51</v>
      </c>
      <c r="C6488" t="s">
        <v>19</v>
      </c>
      <c r="D6488" t="s">
        <v>626</v>
      </c>
      <c r="E6488" s="2">
        <v>33.5</v>
      </c>
      <c r="F6488" s="4">
        <v>1</v>
      </c>
      <c r="G6488" s="2">
        <v>33.5</v>
      </c>
      <c r="H6488" t="s">
        <v>25</v>
      </c>
      <c r="I6488" t="s">
        <v>36</v>
      </c>
      <c r="J6488" s="1">
        <v>44722</v>
      </c>
      <c r="K6488" t="b">
        <v>1</v>
      </c>
    </row>
    <row r="6489" spans="1:11" x14ac:dyDescent="0.25">
      <c r="A6489" t="s">
        <v>5401</v>
      </c>
      <c r="B6489" t="s">
        <v>43</v>
      </c>
      <c r="C6489" t="s">
        <v>31</v>
      </c>
      <c r="D6489" t="s">
        <v>155</v>
      </c>
      <c r="E6489" s="2">
        <v>33.5</v>
      </c>
      <c r="F6489" s="4">
        <v>1</v>
      </c>
      <c r="G6489" s="2">
        <v>33.5</v>
      </c>
      <c r="H6489" t="s">
        <v>25</v>
      </c>
      <c r="I6489" t="s">
        <v>36</v>
      </c>
      <c r="J6489" s="1">
        <v>44850</v>
      </c>
      <c r="K6489" t="b">
        <v>0</v>
      </c>
    </row>
    <row r="6490" spans="1:11" x14ac:dyDescent="0.25">
      <c r="A6490" t="s">
        <v>1681</v>
      </c>
      <c r="B6490" t="s">
        <v>104</v>
      </c>
      <c r="C6490" t="s">
        <v>31</v>
      </c>
      <c r="D6490" t="s">
        <v>155</v>
      </c>
      <c r="E6490" s="2">
        <v>33.5</v>
      </c>
      <c r="F6490" s="4">
        <v>1</v>
      </c>
      <c r="G6490" s="2">
        <v>33.5</v>
      </c>
      <c r="H6490" t="s">
        <v>45</v>
      </c>
      <c r="I6490" t="s">
        <v>36</v>
      </c>
      <c r="J6490" s="1">
        <v>45481</v>
      </c>
      <c r="K6490" t="b">
        <v>1</v>
      </c>
    </row>
    <row r="6491" spans="1:11" x14ac:dyDescent="0.25">
      <c r="A6491" t="s">
        <v>1003</v>
      </c>
      <c r="B6491" t="s">
        <v>85</v>
      </c>
      <c r="C6491" t="s">
        <v>38</v>
      </c>
      <c r="D6491" t="s">
        <v>434</v>
      </c>
      <c r="E6491" s="2">
        <v>33.5</v>
      </c>
      <c r="F6491" s="4">
        <v>1</v>
      </c>
      <c r="G6491" s="2">
        <v>33.5</v>
      </c>
      <c r="H6491" t="s">
        <v>15</v>
      </c>
      <c r="I6491" t="s">
        <v>16</v>
      </c>
      <c r="J6491" s="1">
        <v>45237</v>
      </c>
      <c r="K6491" t="b">
        <v>1</v>
      </c>
    </row>
    <row r="6492" spans="1:11" x14ac:dyDescent="0.25">
      <c r="A6492" t="s">
        <v>4257</v>
      </c>
      <c r="B6492" t="s">
        <v>56</v>
      </c>
      <c r="C6492" t="s">
        <v>13</v>
      </c>
      <c r="D6492" t="s">
        <v>375</v>
      </c>
      <c r="E6492" s="2">
        <v>33.5</v>
      </c>
      <c r="F6492" s="4">
        <v>1</v>
      </c>
      <c r="G6492" s="2">
        <v>33.5</v>
      </c>
      <c r="H6492" t="s">
        <v>15</v>
      </c>
      <c r="I6492" t="s">
        <v>36</v>
      </c>
      <c r="J6492" s="1">
        <v>45070</v>
      </c>
      <c r="K6492" t="b">
        <v>0</v>
      </c>
    </row>
    <row r="6493" spans="1:11" x14ac:dyDescent="0.25">
      <c r="A6493" t="s">
        <v>1770</v>
      </c>
      <c r="B6493" t="s">
        <v>61</v>
      </c>
      <c r="C6493" t="s">
        <v>59</v>
      </c>
      <c r="D6493" t="s">
        <v>270</v>
      </c>
      <c r="E6493" s="2">
        <v>33.5</v>
      </c>
      <c r="F6493" s="4">
        <v>1</v>
      </c>
      <c r="G6493" s="2">
        <v>33.5</v>
      </c>
      <c r="H6493" t="s">
        <v>15</v>
      </c>
      <c r="I6493" t="s">
        <v>36</v>
      </c>
      <c r="J6493" s="1">
        <v>44849</v>
      </c>
      <c r="K6493" t="b">
        <v>1</v>
      </c>
    </row>
    <row r="6494" spans="1:11" x14ac:dyDescent="0.25">
      <c r="A6494" t="s">
        <v>1545</v>
      </c>
      <c r="B6494" t="s">
        <v>12</v>
      </c>
      <c r="C6494" t="s">
        <v>59</v>
      </c>
      <c r="D6494" t="s">
        <v>270</v>
      </c>
      <c r="E6494" s="2">
        <v>33.5</v>
      </c>
      <c r="F6494" s="4">
        <v>1</v>
      </c>
      <c r="G6494" s="2">
        <v>33.5</v>
      </c>
      <c r="H6494" t="s">
        <v>15</v>
      </c>
      <c r="I6494" t="s">
        <v>36</v>
      </c>
      <c r="J6494" s="1">
        <v>44915</v>
      </c>
      <c r="K6494" t="b">
        <v>0</v>
      </c>
    </row>
    <row r="6495" spans="1:11" x14ac:dyDescent="0.25">
      <c r="A6495" t="s">
        <v>3165</v>
      </c>
      <c r="B6495" t="s">
        <v>100</v>
      </c>
      <c r="C6495" t="s">
        <v>23</v>
      </c>
      <c r="D6495" t="s">
        <v>73</v>
      </c>
      <c r="E6495" s="2">
        <v>33.5</v>
      </c>
      <c r="F6495" s="4">
        <v>1</v>
      </c>
      <c r="G6495" s="2">
        <v>33.5</v>
      </c>
      <c r="H6495" t="s">
        <v>45</v>
      </c>
      <c r="I6495" t="s">
        <v>16</v>
      </c>
      <c r="J6495" s="1">
        <v>44794</v>
      </c>
      <c r="K6495" t="b">
        <v>0</v>
      </c>
    </row>
    <row r="6496" spans="1:11" x14ac:dyDescent="0.25">
      <c r="A6496" t="s">
        <v>1445</v>
      </c>
      <c r="B6496" t="s">
        <v>66</v>
      </c>
      <c r="C6496" t="s">
        <v>110</v>
      </c>
      <c r="D6496" t="s">
        <v>154</v>
      </c>
      <c r="E6496" s="2">
        <v>33.5</v>
      </c>
      <c r="F6496" s="4">
        <v>1</v>
      </c>
      <c r="G6496" s="2">
        <v>33.5</v>
      </c>
      <c r="H6496" t="s">
        <v>15</v>
      </c>
      <c r="I6496" t="s">
        <v>16</v>
      </c>
      <c r="J6496" s="1">
        <v>44698</v>
      </c>
      <c r="K6496" t="b">
        <v>0</v>
      </c>
    </row>
    <row r="6497" spans="1:11" x14ac:dyDescent="0.25">
      <c r="A6497" t="s">
        <v>2734</v>
      </c>
      <c r="B6497" t="s">
        <v>30</v>
      </c>
      <c r="C6497" t="s">
        <v>59</v>
      </c>
      <c r="D6497" t="s">
        <v>270</v>
      </c>
      <c r="E6497" s="2">
        <v>33.5</v>
      </c>
      <c r="F6497" s="4">
        <v>1</v>
      </c>
      <c r="G6497" s="2">
        <v>33.5</v>
      </c>
      <c r="H6497" t="s">
        <v>45</v>
      </c>
      <c r="I6497" t="s">
        <v>16</v>
      </c>
      <c r="J6497" s="1">
        <v>44785</v>
      </c>
      <c r="K6497" t="b">
        <v>1</v>
      </c>
    </row>
    <row r="6498" spans="1:11" x14ac:dyDescent="0.25">
      <c r="A6498" t="s">
        <v>1312</v>
      </c>
      <c r="B6498" t="s">
        <v>34</v>
      </c>
      <c r="C6498" t="s">
        <v>31</v>
      </c>
      <c r="D6498" t="s">
        <v>155</v>
      </c>
      <c r="E6498" s="2">
        <v>33.5</v>
      </c>
      <c r="F6498" s="4">
        <v>1</v>
      </c>
      <c r="G6498" s="2">
        <v>33.5</v>
      </c>
      <c r="H6498" t="s">
        <v>45</v>
      </c>
      <c r="I6498" t="s">
        <v>16</v>
      </c>
      <c r="J6498" s="1">
        <v>44641</v>
      </c>
      <c r="K6498" t="b">
        <v>1</v>
      </c>
    </row>
    <row r="6499" spans="1:11" x14ac:dyDescent="0.25">
      <c r="A6499" t="s">
        <v>4255</v>
      </c>
      <c r="B6499" t="s">
        <v>58</v>
      </c>
      <c r="C6499" t="s">
        <v>31</v>
      </c>
      <c r="D6499" t="s">
        <v>155</v>
      </c>
      <c r="E6499" s="2">
        <v>33.5</v>
      </c>
      <c r="F6499" s="4">
        <v>1</v>
      </c>
      <c r="G6499" s="2">
        <v>33.5</v>
      </c>
      <c r="H6499" t="s">
        <v>15</v>
      </c>
      <c r="I6499" t="s">
        <v>16</v>
      </c>
      <c r="J6499" s="1">
        <v>45557</v>
      </c>
      <c r="K6499" t="b">
        <v>1</v>
      </c>
    </row>
    <row r="6500" spans="1:11" x14ac:dyDescent="0.25">
      <c r="A6500" t="s">
        <v>491</v>
      </c>
      <c r="B6500" t="s">
        <v>77</v>
      </c>
      <c r="C6500" t="s">
        <v>27</v>
      </c>
      <c r="D6500" t="s">
        <v>209</v>
      </c>
      <c r="E6500" s="2">
        <v>33.5</v>
      </c>
      <c r="F6500" s="4">
        <v>1</v>
      </c>
      <c r="G6500" s="2">
        <v>33.5</v>
      </c>
      <c r="H6500" t="s">
        <v>25</v>
      </c>
      <c r="I6500" t="s">
        <v>36</v>
      </c>
      <c r="J6500" s="1">
        <v>45430</v>
      </c>
      <c r="K6500" t="b">
        <v>1</v>
      </c>
    </row>
    <row r="6501" spans="1:11" x14ac:dyDescent="0.25">
      <c r="A6501" t="s">
        <v>1958</v>
      </c>
      <c r="B6501" t="s">
        <v>51</v>
      </c>
      <c r="C6501" t="s">
        <v>13</v>
      </c>
      <c r="D6501" t="s">
        <v>375</v>
      </c>
      <c r="E6501" s="2">
        <v>33.5</v>
      </c>
      <c r="F6501" s="4">
        <v>1</v>
      </c>
      <c r="G6501" s="2">
        <v>33.5</v>
      </c>
      <c r="H6501" t="s">
        <v>15</v>
      </c>
      <c r="I6501" t="s">
        <v>16</v>
      </c>
      <c r="J6501" s="1">
        <v>45471</v>
      </c>
      <c r="K6501" t="b">
        <v>0</v>
      </c>
    </row>
    <row r="6502" spans="1:11" x14ac:dyDescent="0.25">
      <c r="A6502" t="s">
        <v>4833</v>
      </c>
      <c r="B6502" t="s">
        <v>56</v>
      </c>
      <c r="C6502" t="s">
        <v>13</v>
      </c>
      <c r="D6502" t="s">
        <v>375</v>
      </c>
      <c r="E6502" s="2">
        <v>33.5</v>
      </c>
      <c r="F6502" s="4">
        <v>1</v>
      </c>
      <c r="G6502" s="2">
        <v>33.5</v>
      </c>
      <c r="H6502" t="s">
        <v>25</v>
      </c>
      <c r="I6502" t="s">
        <v>16</v>
      </c>
      <c r="J6502" s="1">
        <v>45596</v>
      </c>
      <c r="K6502" t="b">
        <v>1</v>
      </c>
    </row>
    <row r="6503" spans="1:11" x14ac:dyDescent="0.25">
      <c r="A6503" t="s">
        <v>6607</v>
      </c>
      <c r="B6503" t="s">
        <v>22</v>
      </c>
      <c r="C6503" t="s">
        <v>59</v>
      </c>
      <c r="D6503" t="s">
        <v>270</v>
      </c>
      <c r="E6503" s="2">
        <v>33.5</v>
      </c>
      <c r="F6503" s="4">
        <v>1</v>
      </c>
      <c r="G6503" s="2">
        <v>33.5</v>
      </c>
      <c r="H6503" t="s">
        <v>25</v>
      </c>
      <c r="I6503" t="s">
        <v>16</v>
      </c>
      <c r="J6503" s="1">
        <v>44728</v>
      </c>
      <c r="K6503" t="b">
        <v>0</v>
      </c>
    </row>
    <row r="6504" spans="1:11" x14ac:dyDescent="0.25">
      <c r="A6504" t="s">
        <v>7704</v>
      </c>
      <c r="B6504" t="s">
        <v>56</v>
      </c>
      <c r="C6504" t="s">
        <v>110</v>
      </c>
      <c r="D6504" t="s">
        <v>154</v>
      </c>
      <c r="E6504" s="2">
        <v>33.5</v>
      </c>
      <c r="F6504" s="4">
        <v>1</v>
      </c>
      <c r="G6504" s="2">
        <v>33.5</v>
      </c>
      <c r="H6504" t="s">
        <v>15</v>
      </c>
      <c r="I6504" t="s">
        <v>36</v>
      </c>
      <c r="J6504" s="1">
        <v>45091</v>
      </c>
      <c r="K6504" t="b">
        <v>1</v>
      </c>
    </row>
    <row r="6505" spans="1:11" x14ac:dyDescent="0.25">
      <c r="A6505" t="s">
        <v>446</v>
      </c>
      <c r="B6505" t="s">
        <v>30</v>
      </c>
      <c r="C6505" t="s">
        <v>38</v>
      </c>
      <c r="D6505" t="s">
        <v>434</v>
      </c>
      <c r="E6505" s="2">
        <v>33.5</v>
      </c>
      <c r="F6505" s="4">
        <v>1</v>
      </c>
      <c r="G6505" s="2">
        <v>33.5</v>
      </c>
      <c r="H6505" t="s">
        <v>15</v>
      </c>
      <c r="I6505" t="s">
        <v>36</v>
      </c>
      <c r="J6505" s="1">
        <v>44833</v>
      </c>
      <c r="K6505" t="b">
        <v>0</v>
      </c>
    </row>
    <row r="6506" spans="1:11" x14ac:dyDescent="0.25">
      <c r="A6506" t="s">
        <v>1477</v>
      </c>
      <c r="B6506" t="s">
        <v>104</v>
      </c>
      <c r="C6506" t="s">
        <v>110</v>
      </c>
      <c r="D6506" t="s">
        <v>154</v>
      </c>
      <c r="E6506" s="2">
        <v>33.5</v>
      </c>
      <c r="F6506" s="4">
        <v>1</v>
      </c>
      <c r="G6506" s="2">
        <v>33.5</v>
      </c>
      <c r="H6506" t="s">
        <v>15</v>
      </c>
      <c r="I6506" t="s">
        <v>16</v>
      </c>
      <c r="J6506" s="1">
        <v>45100</v>
      </c>
      <c r="K6506" t="b">
        <v>0</v>
      </c>
    </row>
    <row r="6507" spans="1:11" x14ac:dyDescent="0.25">
      <c r="A6507" t="s">
        <v>4722</v>
      </c>
      <c r="B6507" t="s">
        <v>34</v>
      </c>
      <c r="C6507" t="s">
        <v>19</v>
      </c>
      <c r="D6507" t="s">
        <v>626</v>
      </c>
      <c r="E6507" s="2">
        <v>33.5</v>
      </c>
      <c r="F6507" s="4">
        <v>1</v>
      </c>
      <c r="G6507" s="2">
        <v>33.5</v>
      </c>
      <c r="H6507" t="s">
        <v>15</v>
      </c>
      <c r="I6507" t="s">
        <v>16</v>
      </c>
      <c r="J6507" s="1">
        <v>45539</v>
      </c>
      <c r="K6507" t="b">
        <v>1</v>
      </c>
    </row>
    <row r="6508" spans="1:11" x14ac:dyDescent="0.25">
      <c r="A6508" t="s">
        <v>2318</v>
      </c>
      <c r="B6508" t="s">
        <v>142</v>
      </c>
      <c r="C6508" t="s">
        <v>27</v>
      </c>
      <c r="D6508" t="s">
        <v>209</v>
      </c>
      <c r="E6508" s="2">
        <v>33.5</v>
      </c>
      <c r="F6508" s="4">
        <v>1</v>
      </c>
      <c r="G6508" s="2">
        <v>33.5</v>
      </c>
      <c r="H6508" t="s">
        <v>45</v>
      </c>
      <c r="I6508" t="s">
        <v>36</v>
      </c>
      <c r="J6508" s="1">
        <v>44959</v>
      </c>
      <c r="K6508" t="b">
        <v>1</v>
      </c>
    </row>
    <row r="6509" spans="1:11" x14ac:dyDescent="0.25">
      <c r="A6509" t="s">
        <v>4197</v>
      </c>
      <c r="B6509" t="s">
        <v>51</v>
      </c>
      <c r="C6509" t="s">
        <v>31</v>
      </c>
      <c r="D6509" t="s">
        <v>155</v>
      </c>
      <c r="E6509" s="2">
        <v>33.5</v>
      </c>
      <c r="F6509" s="4">
        <v>1</v>
      </c>
      <c r="G6509" s="2">
        <v>33.5</v>
      </c>
      <c r="H6509" t="s">
        <v>15</v>
      </c>
      <c r="I6509" t="s">
        <v>36</v>
      </c>
      <c r="J6509" s="1">
        <v>45665</v>
      </c>
      <c r="K6509" t="b">
        <v>0</v>
      </c>
    </row>
    <row r="6510" spans="1:11" x14ac:dyDescent="0.25">
      <c r="A6510" t="s">
        <v>6579</v>
      </c>
      <c r="B6510" t="s">
        <v>93</v>
      </c>
      <c r="C6510" t="s">
        <v>13</v>
      </c>
      <c r="D6510" t="s">
        <v>375</v>
      </c>
      <c r="E6510" s="2">
        <v>33.5</v>
      </c>
      <c r="F6510" s="4">
        <v>1</v>
      </c>
      <c r="G6510" s="2">
        <v>33.5</v>
      </c>
      <c r="H6510" t="s">
        <v>25</v>
      </c>
      <c r="I6510" t="s">
        <v>36</v>
      </c>
      <c r="J6510" s="1">
        <v>45354</v>
      </c>
      <c r="K6510" t="b">
        <v>1</v>
      </c>
    </row>
    <row r="6511" spans="1:11" x14ac:dyDescent="0.25">
      <c r="A6511" t="s">
        <v>3801</v>
      </c>
      <c r="B6511" t="s">
        <v>61</v>
      </c>
      <c r="C6511" t="s">
        <v>110</v>
      </c>
      <c r="D6511" t="s">
        <v>154</v>
      </c>
      <c r="E6511" s="2">
        <v>33.5</v>
      </c>
      <c r="F6511" s="4">
        <v>1</v>
      </c>
      <c r="G6511" s="2">
        <v>33.5</v>
      </c>
      <c r="H6511" t="s">
        <v>25</v>
      </c>
      <c r="I6511" t="s">
        <v>16</v>
      </c>
      <c r="J6511" s="1">
        <v>45666</v>
      </c>
      <c r="K6511" t="b">
        <v>1</v>
      </c>
    </row>
    <row r="6512" spans="1:11" x14ac:dyDescent="0.25">
      <c r="A6512" t="s">
        <v>3588</v>
      </c>
      <c r="B6512" t="s">
        <v>100</v>
      </c>
      <c r="C6512" t="s">
        <v>23</v>
      </c>
      <c r="D6512" t="s">
        <v>73</v>
      </c>
      <c r="E6512" s="2">
        <v>33.5</v>
      </c>
      <c r="F6512" s="4">
        <v>1</v>
      </c>
      <c r="G6512" s="2">
        <v>33.5</v>
      </c>
      <c r="H6512" t="s">
        <v>45</v>
      </c>
      <c r="I6512" t="s">
        <v>36</v>
      </c>
      <c r="J6512" s="1">
        <v>45512</v>
      </c>
      <c r="K6512" t="b">
        <v>0</v>
      </c>
    </row>
    <row r="6513" spans="1:11" x14ac:dyDescent="0.25">
      <c r="A6513" t="s">
        <v>5233</v>
      </c>
      <c r="B6513" t="s">
        <v>86</v>
      </c>
      <c r="C6513" t="s">
        <v>23</v>
      </c>
      <c r="D6513" t="s">
        <v>73</v>
      </c>
      <c r="E6513" s="2">
        <v>33.5</v>
      </c>
      <c r="F6513" s="4">
        <v>1</v>
      </c>
      <c r="G6513" s="2">
        <v>33.5</v>
      </c>
      <c r="H6513" t="s">
        <v>15</v>
      </c>
      <c r="I6513" t="s">
        <v>36</v>
      </c>
      <c r="J6513" s="1">
        <v>45028</v>
      </c>
      <c r="K6513" t="b">
        <v>1</v>
      </c>
    </row>
    <row r="6514" spans="1:11" x14ac:dyDescent="0.25">
      <c r="A6514" t="s">
        <v>1602</v>
      </c>
      <c r="B6514" t="s">
        <v>100</v>
      </c>
      <c r="C6514" t="s">
        <v>110</v>
      </c>
      <c r="D6514" t="s">
        <v>118</v>
      </c>
      <c r="E6514" s="2">
        <v>11</v>
      </c>
      <c r="F6514" s="4">
        <v>3</v>
      </c>
      <c r="G6514" s="2">
        <v>33</v>
      </c>
      <c r="H6514" t="s">
        <v>25</v>
      </c>
      <c r="I6514" t="s">
        <v>16</v>
      </c>
      <c r="J6514" s="1">
        <v>45328</v>
      </c>
      <c r="K6514" t="b">
        <v>0</v>
      </c>
    </row>
    <row r="6515" spans="1:11" x14ac:dyDescent="0.25">
      <c r="A6515" t="s">
        <v>392</v>
      </c>
      <c r="B6515" t="s">
        <v>18</v>
      </c>
      <c r="C6515" t="s">
        <v>38</v>
      </c>
      <c r="D6515" t="s">
        <v>193</v>
      </c>
      <c r="E6515" s="2">
        <v>11</v>
      </c>
      <c r="F6515" s="4">
        <v>3</v>
      </c>
      <c r="G6515" s="2">
        <v>33</v>
      </c>
      <c r="H6515" t="s">
        <v>25</v>
      </c>
      <c r="I6515" t="s">
        <v>36</v>
      </c>
      <c r="J6515" s="1">
        <v>45413</v>
      </c>
      <c r="K6515" t="b">
        <v>0</v>
      </c>
    </row>
    <row r="6516" spans="1:11" x14ac:dyDescent="0.25">
      <c r="A6516" t="s">
        <v>4303</v>
      </c>
      <c r="B6516" t="s">
        <v>51</v>
      </c>
      <c r="C6516" t="s">
        <v>59</v>
      </c>
      <c r="D6516" t="s">
        <v>347</v>
      </c>
      <c r="E6516" s="2">
        <v>11</v>
      </c>
      <c r="F6516" s="4">
        <v>3</v>
      </c>
      <c r="G6516" s="2">
        <v>33</v>
      </c>
      <c r="H6516" t="s">
        <v>25</v>
      </c>
      <c r="I6516" t="s">
        <v>16</v>
      </c>
      <c r="J6516" s="1">
        <v>45539</v>
      </c>
      <c r="K6516" t="b">
        <v>1</v>
      </c>
    </row>
    <row r="6517" spans="1:11" x14ac:dyDescent="0.25">
      <c r="A6517" t="s">
        <v>3482</v>
      </c>
      <c r="B6517" t="s">
        <v>18</v>
      </c>
      <c r="C6517" t="s">
        <v>38</v>
      </c>
      <c r="D6517" t="s">
        <v>193</v>
      </c>
      <c r="E6517" s="2">
        <v>11</v>
      </c>
      <c r="F6517" s="4">
        <v>3</v>
      </c>
      <c r="G6517" s="2">
        <v>33</v>
      </c>
      <c r="H6517" t="s">
        <v>45</v>
      </c>
      <c r="I6517" t="s">
        <v>16</v>
      </c>
      <c r="J6517" s="1">
        <v>44756</v>
      </c>
      <c r="K6517" t="b">
        <v>0</v>
      </c>
    </row>
    <row r="6518" spans="1:11" x14ac:dyDescent="0.25">
      <c r="A6518" t="s">
        <v>2488</v>
      </c>
      <c r="B6518" t="s">
        <v>72</v>
      </c>
      <c r="C6518" t="s">
        <v>38</v>
      </c>
      <c r="D6518" t="s">
        <v>193</v>
      </c>
      <c r="E6518" s="2">
        <v>11</v>
      </c>
      <c r="F6518" s="4">
        <v>3</v>
      </c>
      <c r="G6518" s="2">
        <v>33</v>
      </c>
      <c r="H6518" t="s">
        <v>15</v>
      </c>
      <c r="I6518" t="s">
        <v>36</v>
      </c>
      <c r="J6518" s="1">
        <v>45380</v>
      </c>
      <c r="K6518" t="b">
        <v>1</v>
      </c>
    </row>
    <row r="6519" spans="1:11" x14ac:dyDescent="0.25">
      <c r="A6519" t="s">
        <v>6082</v>
      </c>
      <c r="B6519" t="s">
        <v>97</v>
      </c>
      <c r="C6519" t="s">
        <v>31</v>
      </c>
      <c r="D6519" t="s">
        <v>318</v>
      </c>
      <c r="E6519" s="2">
        <v>11</v>
      </c>
      <c r="F6519" s="4">
        <v>3</v>
      </c>
      <c r="G6519" s="2">
        <v>33</v>
      </c>
      <c r="H6519" t="s">
        <v>25</v>
      </c>
      <c r="I6519" t="s">
        <v>16</v>
      </c>
      <c r="J6519" s="1">
        <v>44570</v>
      </c>
      <c r="K6519" t="b">
        <v>0</v>
      </c>
    </row>
    <row r="6520" spans="1:11" x14ac:dyDescent="0.25">
      <c r="A6520" t="s">
        <v>6287</v>
      </c>
      <c r="B6520" t="s">
        <v>18</v>
      </c>
      <c r="C6520" t="s">
        <v>38</v>
      </c>
      <c r="D6520" t="s">
        <v>193</v>
      </c>
      <c r="E6520" s="2">
        <v>11</v>
      </c>
      <c r="F6520" s="4">
        <v>3</v>
      </c>
      <c r="G6520" s="2">
        <v>33</v>
      </c>
      <c r="H6520" t="s">
        <v>25</v>
      </c>
      <c r="I6520" t="s">
        <v>36</v>
      </c>
      <c r="J6520" s="1">
        <v>45507</v>
      </c>
      <c r="K6520" t="b">
        <v>0</v>
      </c>
    </row>
    <row r="6521" spans="1:11" x14ac:dyDescent="0.25">
      <c r="A6521" t="s">
        <v>5477</v>
      </c>
      <c r="B6521" t="s">
        <v>63</v>
      </c>
      <c r="C6521" t="s">
        <v>23</v>
      </c>
      <c r="D6521" t="s">
        <v>410</v>
      </c>
      <c r="E6521" s="2">
        <v>11</v>
      </c>
      <c r="F6521" s="4">
        <v>3</v>
      </c>
      <c r="G6521" s="2">
        <v>33</v>
      </c>
      <c r="H6521" t="s">
        <v>45</v>
      </c>
      <c r="I6521" t="s">
        <v>16</v>
      </c>
      <c r="J6521" s="1">
        <v>45124</v>
      </c>
      <c r="K6521" t="b">
        <v>0</v>
      </c>
    </row>
    <row r="6522" spans="1:11" x14ac:dyDescent="0.25">
      <c r="A6522" t="s">
        <v>3899</v>
      </c>
      <c r="B6522" t="s">
        <v>22</v>
      </c>
      <c r="C6522" t="s">
        <v>59</v>
      </c>
      <c r="D6522" t="s">
        <v>347</v>
      </c>
      <c r="E6522" s="2">
        <v>11</v>
      </c>
      <c r="F6522" s="4">
        <v>3</v>
      </c>
      <c r="G6522" s="2">
        <v>33</v>
      </c>
      <c r="H6522" t="s">
        <v>25</v>
      </c>
      <c r="I6522" t="s">
        <v>16</v>
      </c>
      <c r="J6522" s="1">
        <v>44881</v>
      </c>
      <c r="K6522" t="b">
        <v>0</v>
      </c>
    </row>
    <row r="6523" spans="1:11" x14ac:dyDescent="0.25">
      <c r="A6523" t="s">
        <v>2779</v>
      </c>
      <c r="B6523" t="s">
        <v>34</v>
      </c>
      <c r="C6523" t="s">
        <v>59</v>
      </c>
      <c r="D6523" t="s">
        <v>347</v>
      </c>
      <c r="E6523" s="2">
        <v>11</v>
      </c>
      <c r="F6523" s="4">
        <v>3</v>
      </c>
      <c r="G6523" s="2">
        <v>33</v>
      </c>
      <c r="H6523" t="s">
        <v>25</v>
      </c>
      <c r="I6523" t="s">
        <v>16</v>
      </c>
      <c r="J6523" s="1">
        <v>45109</v>
      </c>
      <c r="K6523" t="b">
        <v>1</v>
      </c>
    </row>
    <row r="6524" spans="1:11" x14ac:dyDescent="0.25">
      <c r="A6524" t="s">
        <v>4856</v>
      </c>
      <c r="B6524" t="s">
        <v>26</v>
      </c>
      <c r="C6524" t="s">
        <v>38</v>
      </c>
      <c r="D6524" t="s">
        <v>193</v>
      </c>
      <c r="E6524" s="2">
        <v>11</v>
      </c>
      <c r="F6524" s="4">
        <v>3</v>
      </c>
      <c r="G6524" s="2">
        <v>33</v>
      </c>
      <c r="H6524" t="s">
        <v>45</v>
      </c>
      <c r="I6524" t="s">
        <v>36</v>
      </c>
      <c r="J6524" s="1">
        <v>45517</v>
      </c>
      <c r="K6524" t="b">
        <v>1</v>
      </c>
    </row>
    <row r="6525" spans="1:11" x14ac:dyDescent="0.25">
      <c r="A6525" t="s">
        <v>3124</v>
      </c>
      <c r="B6525" t="s">
        <v>72</v>
      </c>
      <c r="C6525" t="s">
        <v>31</v>
      </c>
      <c r="D6525" t="s">
        <v>318</v>
      </c>
      <c r="E6525" s="2">
        <v>11</v>
      </c>
      <c r="F6525" s="4">
        <v>3</v>
      </c>
      <c r="G6525" s="2">
        <v>33</v>
      </c>
      <c r="H6525" t="s">
        <v>45</v>
      </c>
      <c r="I6525" t="s">
        <v>36</v>
      </c>
      <c r="J6525" s="1">
        <v>45164</v>
      </c>
      <c r="K6525" t="b">
        <v>1</v>
      </c>
    </row>
    <row r="6526" spans="1:11" x14ac:dyDescent="0.25">
      <c r="A6526" t="s">
        <v>1077</v>
      </c>
      <c r="B6526" t="s">
        <v>69</v>
      </c>
      <c r="C6526" t="s">
        <v>31</v>
      </c>
      <c r="D6526" t="s">
        <v>318</v>
      </c>
      <c r="E6526" s="2">
        <v>11</v>
      </c>
      <c r="F6526" s="4">
        <v>3</v>
      </c>
      <c r="G6526" s="2">
        <v>33</v>
      </c>
      <c r="H6526" t="s">
        <v>45</v>
      </c>
      <c r="I6526" t="s">
        <v>16</v>
      </c>
      <c r="J6526" s="1">
        <v>45311</v>
      </c>
      <c r="K6526" t="b">
        <v>0</v>
      </c>
    </row>
    <row r="6527" spans="1:11" x14ac:dyDescent="0.25">
      <c r="A6527" t="s">
        <v>4527</v>
      </c>
      <c r="B6527" t="s">
        <v>61</v>
      </c>
      <c r="C6527" t="s">
        <v>31</v>
      </c>
      <c r="D6527" t="s">
        <v>318</v>
      </c>
      <c r="E6527" s="2">
        <v>11</v>
      </c>
      <c r="F6527" s="4">
        <v>3</v>
      </c>
      <c r="G6527" s="2">
        <v>33</v>
      </c>
      <c r="H6527" t="s">
        <v>25</v>
      </c>
      <c r="I6527" t="s">
        <v>36</v>
      </c>
      <c r="J6527" s="1">
        <v>44703</v>
      </c>
      <c r="K6527" t="b">
        <v>1</v>
      </c>
    </row>
    <row r="6528" spans="1:11" x14ac:dyDescent="0.25">
      <c r="A6528" t="s">
        <v>5173</v>
      </c>
      <c r="B6528" t="s">
        <v>86</v>
      </c>
      <c r="C6528" t="s">
        <v>59</v>
      </c>
      <c r="D6528" t="s">
        <v>347</v>
      </c>
      <c r="E6528" s="2">
        <v>11</v>
      </c>
      <c r="F6528" s="4">
        <v>3</v>
      </c>
      <c r="G6528" s="2">
        <v>33</v>
      </c>
      <c r="H6528" t="s">
        <v>45</v>
      </c>
      <c r="I6528" t="s">
        <v>36</v>
      </c>
      <c r="J6528" s="1">
        <v>45498</v>
      </c>
      <c r="K6528" t="b">
        <v>0</v>
      </c>
    </row>
    <row r="6529" spans="1:11" x14ac:dyDescent="0.25">
      <c r="A6529" t="s">
        <v>460</v>
      </c>
      <c r="B6529" t="s">
        <v>72</v>
      </c>
      <c r="C6529" t="s">
        <v>110</v>
      </c>
      <c r="D6529" t="s">
        <v>118</v>
      </c>
      <c r="E6529" s="2">
        <v>11</v>
      </c>
      <c r="F6529" s="4">
        <v>3</v>
      </c>
      <c r="G6529" s="2">
        <v>33</v>
      </c>
      <c r="H6529" t="s">
        <v>15</v>
      </c>
      <c r="I6529" t="s">
        <v>16</v>
      </c>
      <c r="J6529" s="1">
        <v>45372</v>
      </c>
      <c r="K6529" t="b">
        <v>0</v>
      </c>
    </row>
    <row r="6530" spans="1:11" x14ac:dyDescent="0.25">
      <c r="A6530" t="s">
        <v>1913</v>
      </c>
      <c r="B6530" t="s">
        <v>93</v>
      </c>
      <c r="C6530" t="s">
        <v>110</v>
      </c>
      <c r="D6530" t="s">
        <v>118</v>
      </c>
      <c r="E6530" s="2">
        <v>11</v>
      </c>
      <c r="F6530" s="4">
        <v>3</v>
      </c>
      <c r="G6530" s="2">
        <v>33</v>
      </c>
      <c r="H6530" t="s">
        <v>45</v>
      </c>
      <c r="I6530" t="s">
        <v>16</v>
      </c>
      <c r="J6530" s="1">
        <v>44832</v>
      </c>
      <c r="K6530" t="b">
        <v>1</v>
      </c>
    </row>
    <row r="6531" spans="1:11" x14ac:dyDescent="0.25">
      <c r="A6531" t="s">
        <v>452</v>
      </c>
      <c r="B6531" t="s">
        <v>97</v>
      </c>
      <c r="C6531" t="s">
        <v>59</v>
      </c>
      <c r="D6531" t="s">
        <v>347</v>
      </c>
      <c r="E6531" s="2">
        <v>11</v>
      </c>
      <c r="F6531" s="4">
        <v>3</v>
      </c>
      <c r="G6531" s="2">
        <v>33</v>
      </c>
      <c r="H6531" t="s">
        <v>45</v>
      </c>
      <c r="I6531" t="s">
        <v>36</v>
      </c>
      <c r="J6531" s="1">
        <v>45322</v>
      </c>
      <c r="K6531" t="b">
        <v>0</v>
      </c>
    </row>
    <row r="6532" spans="1:11" x14ac:dyDescent="0.25">
      <c r="A6532" t="s">
        <v>3869</v>
      </c>
      <c r="B6532" t="s">
        <v>69</v>
      </c>
      <c r="C6532" t="s">
        <v>110</v>
      </c>
      <c r="D6532" t="s">
        <v>118</v>
      </c>
      <c r="E6532" s="2">
        <v>11</v>
      </c>
      <c r="F6532" s="4">
        <v>3</v>
      </c>
      <c r="G6532" s="2">
        <v>33</v>
      </c>
      <c r="H6532" t="s">
        <v>15</v>
      </c>
      <c r="I6532" t="s">
        <v>16</v>
      </c>
      <c r="J6532" s="1">
        <v>45241</v>
      </c>
      <c r="K6532" t="b">
        <v>1</v>
      </c>
    </row>
    <row r="6533" spans="1:11" x14ac:dyDescent="0.25">
      <c r="A6533" t="s">
        <v>4314</v>
      </c>
      <c r="B6533" t="s">
        <v>30</v>
      </c>
      <c r="C6533" t="s">
        <v>13</v>
      </c>
      <c r="D6533" t="s">
        <v>471</v>
      </c>
      <c r="E6533" s="2">
        <v>11</v>
      </c>
      <c r="F6533" s="4">
        <v>3</v>
      </c>
      <c r="G6533" s="2">
        <v>33</v>
      </c>
      <c r="H6533" t="s">
        <v>25</v>
      </c>
      <c r="I6533" t="s">
        <v>16</v>
      </c>
      <c r="J6533" s="1">
        <v>45565</v>
      </c>
      <c r="K6533" t="b">
        <v>0</v>
      </c>
    </row>
    <row r="6534" spans="1:11" x14ac:dyDescent="0.25">
      <c r="A6534" t="s">
        <v>7529</v>
      </c>
      <c r="B6534" t="s">
        <v>30</v>
      </c>
      <c r="C6534" t="s">
        <v>38</v>
      </c>
      <c r="D6534" t="s">
        <v>193</v>
      </c>
      <c r="E6534" s="2">
        <v>11</v>
      </c>
      <c r="F6534" s="4">
        <v>3</v>
      </c>
      <c r="G6534" s="2">
        <v>33</v>
      </c>
      <c r="H6534" t="s">
        <v>45</v>
      </c>
      <c r="I6534" t="s">
        <v>36</v>
      </c>
      <c r="J6534" s="1">
        <v>45329</v>
      </c>
      <c r="K6534" t="b">
        <v>1</v>
      </c>
    </row>
    <row r="6535" spans="1:11" x14ac:dyDescent="0.25">
      <c r="A6535" t="s">
        <v>3299</v>
      </c>
      <c r="B6535" t="s">
        <v>61</v>
      </c>
      <c r="C6535" t="s">
        <v>59</v>
      </c>
      <c r="D6535" t="s">
        <v>347</v>
      </c>
      <c r="E6535" s="2">
        <v>11</v>
      </c>
      <c r="F6535" s="4">
        <v>3</v>
      </c>
      <c r="G6535" s="2">
        <v>33</v>
      </c>
      <c r="H6535" t="s">
        <v>15</v>
      </c>
      <c r="I6535" t="s">
        <v>16</v>
      </c>
      <c r="J6535" s="1">
        <v>45194</v>
      </c>
      <c r="K6535" t="b">
        <v>1</v>
      </c>
    </row>
    <row r="6536" spans="1:11" x14ac:dyDescent="0.25">
      <c r="A6536" t="s">
        <v>5388</v>
      </c>
      <c r="B6536" t="s">
        <v>26</v>
      </c>
      <c r="C6536" t="s">
        <v>110</v>
      </c>
      <c r="D6536" t="s">
        <v>118</v>
      </c>
      <c r="E6536" s="2">
        <v>11</v>
      </c>
      <c r="F6536" s="4">
        <v>3</v>
      </c>
      <c r="G6536" s="2">
        <v>33</v>
      </c>
      <c r="H6536" t="s">
        <v>15</v>
      </c>
      <c r="I6536" t="s">
        <v>36</v>
      </c>
      <c r="J6536" s="1">
        <v>45440</v>
      </c>
      <c r="K6536" t="b">
        <v>0</v>
      </c>
    </row>
    <row r="6537" spans="1:11" x14ac:dyDescent="0.25">
      <c r="A6537" t="s">
        <v>192</v>
      </c>
      <c r="B6537" t="s">
        <v>43</v>
      </c>
      <c r="C6537" t="s">
        <v>38</v>
      </c>
      <c r="D6537" t="s">
        <v>193</v>
      </c>
      <c r="E6537" s="2">
        <v>11</v>
      </c>
      <c r="F6537" s="4">
        <v>3</v>
      </c>
      <c r="G6537" s="2">
        <v>33</v>
      </c>
      <c r="H6537" t="s">
        <v>25</v>
      </c>
      <c r="I6537" t="s">
        <v>36</v>
      </c>
      <c r="J6537" s="1">
        <v>44597</v>
      </c>
      <c r="K6537" t="b">
        <v>0</v>
      </c>
    </row>
    <row r="6538" spans="1:11" x14ac:dyDescent="0.25">
      <c r="A6538" t="s">
        <v>4445</v>
      </c>
      <c r="B6538" t="s">
        <v>37</v>
      </c>
      <c r="C6538" t="s">
        <v>23</v>
      </c>
      <c r="D6538" t="s">
        <v>410</v>
      </c>
      <c r="E6538" s="2">
        <v>11</v>
      </c>
      <c r="F6538" s="4">
        <v>3</v>
      </c>
      <c r="G6538" s="2">
        <v>33</v>
      </c>
      <c r="H6538" t="s">
        <v>15</v>
      </c>
      <c r="I6538" t="s">
        <v>16</v>
      </c>
      <c r="J6538" s="1">
        <v>44630</v>
      </c>
      <c r="K6538" t="b">
        <v>0</v>
      </c>
    </row>
    <row r="6539" spans="1:11" x14ac:dyDescent="0.25">
      <c r="A6539" t="s">
        <v>5360</v>
      </c>
      <c r="B6539" t="s">
        <v>56</v>
      </c>
      <c r="C6539" t="s">
        <v>38</v>
      </c>
      <c r="D6539" t="s">
        <v>235</v>
      </c>
      <c r="E6539" s="2">
        <v>6.5</v>
      </c>
      <c r="F6539" s="4">
        <v>5</v>
      </c>
      <c r="G6539" s="2">
        <v>32.5</v>
      </c>
      <c r="H6539" t="s">
        <v>45</v>
      </c>
      <c r="I6539" t="s">
        <v>16</v>
      </c>
      <c r="J6539" s="1">
        <v>44632</v>
      </c>
      <c r="K6539" t="b">
        <v>0</v>
      </c>
    </row>
    <row r="6540" spans="1:11" x14ac:dyDescent="0.25">
      <c r="A6540" t="s">
        <v>1831</v>
      </c>
      <c r="B6540" t="s">
        <v>37</v>
      </c>
      <c r="C6540" t="s">
        <v>110</v>
      </c>
      <c r="D6540" t="s">
        <v>221</v>
      </c>
      <c r="E6540" s="2">
        <v>6.5</v>
      </c>
      <c r="F6540" s="4">
        <v>5</v>
      </c>
      <c r="G6540" s="2">
        <v>32.5</v>
      </c>
      <c r="H6540" t="s">
        <v>45</v>
      </c>
      <c r="I6540" t="s">
        <v>36</v>
      </c>
      <c r="J6540" s="1">
        <v>45093</v>
      </c>
      <c r="K6540" t="b">
        <v>1</v>
      </c>
    </row>
    <row r="6541" spans="1:11" x14ac:dyDescent="0.25">
      <c r="A6541" t="s">
        <v>3658</v>
      </c>
      <c r="B6541" t="s">
        <v>26</v>
      </c>
      <c r="C6541" t="s">
        <v>38</v>
      </c>
      <c r="D6541" t="s">
        <v>235</v>
      </c>
      <c r="E6541" s="2">
        <v>6.5</v>
      </c>
      <c r="F6541" s="4">
        <v>5</v>
      </c>
      <c r="G6541" s="2">
        <v>32.5</v>
      </c>
      <c r="H6541" t="s">
        <v>25</v>
      </c>
      <c r="I6541" t="s">
        <v>16</v>
      </c>
      <c r="J6541" s="1">
        <v>44939</v>
      </c>
      <c r="K6541" t="b">
        <v>1</v>
      </c>
    </row>
    <row r="6542" spans="1:11" x14ac:dyDescent="0.25">
      <c r="A6542" t="s">
        <v>7822</v>
      </c>
      <c r="B6542" t="s">
        <v>34</v>
      </c>
      <c r="C6542" t="s">
        <v>110</v>
      </c>
      <c r="D6542" t="s">
        <v>221</v>
      </c>
      <c r="E6542" s="2">
        <v>6.5</v>
      </c>
      <c r="F6542" s="4">
        <v>5</v>
      </c>
      <c r="G6542" s="2">
        <v>32.5</v>
      </c>
      <c r="H6542" t="s">
        <v>15</v>
      </c>
      <c r="I6542" t="s">
        <v>36</v>
      </c>
      <c r="J6542" s="1">
        <v>45541</v>
      </c>
      <c r="K6542" t="b">
        <v>0</v>
      </c>
    </row>
    <row r="6543" spans="1:11" x14ac:dyDescent="0.25">
      <c r="A6543" t="s">
        <v>3041</v>
      </c>
      <c r="B6543" t="s">
        <v>97</v>
      </c>
      <c r="C6543" t="s">
        <v>27</v>
      </c>
      <c r="D6543" t="s">
        <v>246</v>
      </c>
      <c r="E6543" s="2">
        <v>6.5</v>
      </c>
      <c r="F6543" s="4">
        <v>5</v>
      </c>
      <c r="G6543" s="2">
        <v>32.5</v>
      </c>
      <c r="H6543" t="s">
        <v>25</v>
      </c>
      <c r="I6543" t="s">
        <v>16</v>
      </c>
      <c r="J6543" s="1">
        <v>44647</v>
      </c>
      <c r="K6543" t="b">
        <v>1</v>
      </c>
    </row>
    <row r="6544" spans="1:11" x14ac:dyDescent="0.25">
      <c r="A6544" t="s">
        <v>2477</v>
      </c>
      <c r="B6544" t="s">
        <v>63</v>
      </c>
      <c r="C6544" t="s">
        <v>27</v>
      </c>
      <c r="D6544" t="s">
        <v>246</v>
      </c>
      <c r="E6544" s="2">
        <v>6.5</v>
      </c>
      <c r="F6544" s="4">
        <v>5</v>
      </c>
      <c r="G6544" s="2">
        <v>32.5</v>
      </c>
      <c r="H6544" t="s">
        <v>45</v>
      </c>
      <c r="I6544" t="s">
        <v>36</v>
      </c>
      <c r="J6544" s="1">
        <v>45306</v>
      </c>
      <c r="K6544" t="b">
        <v>0</v>
      </c>
    </row>
    <row r="6545" spans="1:11" x14ac:dyDescent="0.25">
      <c r="A6545" t="s">
        <v>1427</v>
      </c>
      <c r="B6545" t="s">
        <v>12</v>
      </c>
      <c r="C6545" t="s">
        <v>110</v>
      </c>
      <c r="D6545" t="s">
        <v>221</v>
      </c>
      <c r="E6545" s="2">
        <v>6.5</v>
      </c>
      <c r="F6545" s="4">
        <v>5</v>
      </c>
      <c r="G6545" s="2">
        <v>32.5</v>
      </c>
      <c r="H6545" t="s">
        <v>25</v>
      </c>
      <c r="I6545" t="s">
        <v>16</v>
      </c>
      <c r="J6545" s="1">
        <v>44835</v>
      </c>
      <c r="K6545" t="b">
        <v>1</v>
      </c>
    </row>
    <row r="6546" spans="1:11" x14ac:dyDescent="0.25">
      <c r="A6546" t="s">
        <v>462</v>
      </c>
      <c r="B6546" t="s">
        <v>18</v>
      </c>
      <c r="C6546" t="s">
        <v>38</v>
      </c>
      <c r="D6546" t="s">
        <v>235</v>
      </c>
      <c r="E6546" s="2">
        <v>6.5</v>
      </c>
      <c r="F6546" s="4">
        <v>5</v>
      </c>
      <c r="G6546" s="2">
        <v>32.5</v>
      </c>
      <c r="H6546" t="s">
        <v>45</v>
      </c>
      <c r="I6546" t="s">
        <v>36</v>
      </c>
      <c r="J6546" s="1">
        <v>44737</v>
      </c>
      <c r="K6546" t="b">
        <v>0</v>
      </c>
    </row>
    <row r="6547" spans="1:11" x14ac:dyDescent="0.25">
      <c r="A6547" t="s">
        <v>961</v>
      </c>
      <c r="B6547" t="s">
        <v>18</v>
      </c>
      <c r="C6547" t="s">
        <v>31</v>
      </c>
      <c r="D6547" t="s">
        <v>49</v>
      </c>
      <c r="E6547" s="2">
        <v>6.5</v>
      </c>
      <c r="F6547" s="4">
        <v>5</v>
      </c>
      <c r="G6547" s="2">
        <v>32.5</v>
      </c>
      <c r="H6547" t="s">
        <v>25</v>
      </c>
      <c r="I6547" t="s">
        <v>36</v>
      </c>
      <c r="J6547" s="1">
        <v>44842</v>
      </c>
      <c r="K6547" t="b">
        <v>1</v>
      </c>
    </row>
    <row r="6548" spans="1:11" x14ac:dyDescent="0.25">
      <c r="A6548" t="s">
        <v>3675</v>
      </c>
      <c r="B6548" t="s">
        <v>100</v>
      </c>
      <c r="C6548" t="s">
        <v>110</v>
      </c>
      <c r="D6548" t="s">
        <v>221</v>
      </c>
      <c r="E6548" s="2">
        <v>6.5</v>
      </c>
      <c r="F6548" s="4">
        <v>5</v>
      </c>
      <c r="G6548" s="2">
        <v>32.5</v>
      </c>
      <c r="H6548" t="s">
        <v>15</v>
      </c>
      <c r="I6548" t="s">
        <v>36</v>
      </c>
      <c r="J6548" s="1">
        <v>45672</v>
      </c>
      <c r="K6548" t="b">
        <v>0</v>
      </c>
    </row>
    <row r="6549" spans="1:11" x14ac:dyDescent="0.25">
      <c r="A6549" t="s">
        <v>2674</v>
      </c>
      <c r="B6549" t="s">
        <v>100</v>
      </c>
      <c r="C6549" t="s">
        <v>27</v>
      </c>
      <c r="D6549" t="s">
        <v>246</v>
      </c>
      <c r="E6549" s="2">
        <v>6.5</v>
      </c>
      <c r="F6549" s="4">
        <v>5</v>
      </c>
      <c r="G6549" s="2">
        <v>32.5</v>
      </c>
      <c r="H6549" t="s">
        <v>45</v>
      </c>
      <c r="I6549" t="s">
        <v>36</v>
      </c>
      <c r="J6549" s="1">
        <v>45513</v>
      </c>
      <c r="K6549" t="b">
        <v>0</v>
      </c>
    </row>
    <row r="6550" spans="1:11" x14ac:dyDescent="0.25">
      <c r="A6550" t="s">
        <v>2029</v>
      </c>
      <c r="B6550" t="s">
        <v>12</v>
      </c>
      <c r="C6550" t="s">
        <v>23</v>
      </c>
      <c r="D6550" t="s">
        <v>137</v>
      </c>
      <c r="E6550" s="2">
        <v>6.5</v>
      </c>
      <c r="F6550" s="4">
        <v>5</v>
      </c>
      <c r="G6550" s="2">
        <v>32.5</v>
      </c>
      <c r="H6550" t="s">
        <v>15</v>
      </c>
      <c r="I6550" t="s">
        <v>16</v>
      </c>
      <c r="J6550" s="1">
        <v>45085</v>
      </c>
      <c r="K6550" t="b">
        <v>1</v>
      </c>
    </row>
    <row r="6551" spans="1:11" x14ac:dyDescent="0.25">
      <c r="A6551" t="s">
        <v>3455</v>
      </c>
      <c r="B6551" t="s">
        <v>100</v>
      </c>
      <c r="C6551" t="s">
        <v>38</v>
      </c>
      <c r="D6551" t="s">
        <v>235</v>
      </c>
      <c r="E6551" s="2">
        <v>6.5</v>
      </c>
      <c r="F6551" s="4">
        <v>5</v>
      </c>
      <c r="G6551" s="2">
        <v>32.5</v>
      </c>
      <c r="H6551" t="s">
        <v>45</v>
      </c>
      <c r="I6551" t="s">
        <v>36</v>
      </c>
      <c r="J6551" s="1">
        <v>44779</v>
      </c>
      <c r="K6551" t="b">
        <v>1</v>
      </c>
    </row>
    <row r="6552" spans="1:11" x14ac:dyDescent="0.25">
      <c r="A6552" t="s">
        <v>2331</v>
      </c>
      <c r="B6552" t="s">
        <v>85</v>
      </c>
      <c r="C6552" t="s">
        <v>27</v>
      </c>
      <c r="D6552" t="s">
        <v>246</v>
      </c>
      <c r="E6552" s="2">
        <v>6.5</v>
      </c>
      <c r="F6552" s="4">
        <v>5</v>
      </c>
      <c r="G6552" s="2">
        <v>32.5</v>
      </c>
      <c r="H6552" t="s">
        <v>15</v>
      </c>
      <c r="I6552" t="s">
        <v>16</v>
      </c>
      <c r="J6552" s="1">
        <v>45238</v>
      </c>
      <c r="K6552" t="b">
        <v>1</v>
      </c>
    </row>
    <row r="6553" spans="1:11" x14ac:dyDescent="0.25">
      <c r="A6553" t="s">
        <v>1988</v>
      </c>
      <c r="B6553" t="s">
        <v>37</v>
      </c>
      <c r="C6553" t="s">
        <v>38</v>
      </c>
      <c r="D6553" t="s">
        <v>235</v>
      </c>
      <c r="E6553" s="2">
        <v>6.5</v>
      </c>
      <c r="F6553" s="4">
        <v>5</v>
      </c>
      <c r="G6553" s="2">
        <v>32.5</v>
      </c>
      <c r="H6553" t="s">
        <v>15</v>
      </c>
      <c r="I6553" t="s">
        <v>16</v>
      </c>
      <c r="J6553" s="1">
        <v>45011</v>
      </c>
      <c r="K6553" t="b">
        <v>0</v>
      </c>
    </row>
    <row r="6554" spans="1:11" x14ac:dyDescent="0.25">
      <c r="A6554" t="s">
        <v>6052</v>
      </c>
      <c r="B6554" t="s">
        <v>43</v>
      </c>
      <c r="C6554" t="s">
        <v>23</v>
      </c>
      <c r="D6554" t="s">
        <v>137</v>
      </c>
      <c r="E6554" s="2">
        <v>6.5</v>
      </c>
      <c r="F6554" s="4">
        <v>5</v>
      </c>
      <c r="G6554" s="2">
        <v>32.5</v>
      </c>
      <c r="H6554" t="s">
        <v>15</v>
      </c>
      <c r="I6554" t="s">
        <v>36</v>
      </c>
      <c r="J6554" s="1">
        <v>45596</v>
      </c>
      <c r="K6554" t="b">
        <v>1</v>
      </c>
    </row>
    <row r="6555" spans="1:11" x14ac:dyDescent="0.25">
      <c r="A6555" t="s">
        <v>6420</v>
      </c>
      <c r="B6555" t="s">
        <v>72</v>
      </c>
      <c r="C6555" t="s">
        <v>23</v>
      </c>
      <c r="D6555" t="s">
        <v>137</v>
      </c>
      <c r="E6555" s="2">
        <v>6.5</v>
      </c>
      <c r="F6555" s="4">
        <v>5</v>
      </c>
      <c r="G6555" s="2">
        <v>32.5</v>
      </c>
      <c r="H6555" t="s">
        <v>25</v>
      </c>
      <c r="I6555" t="s">
        <v>16</v>
      </c>
      <c r="J6555" s="1">
        <v>44591</v>
      </c>
      <c r="K6555" t="b">
        <v>1</v>
      </c>
    </row>
    <row r="6556" spans="1:11" x14ac:dyDescent="0.25">
      <c r="A6556" t="s">
        <v>2645</v>
      </c>
      <c r="B6556" t="s">
        <v>26</v>
      </c>
      <c r="C6556" t="s">
        <v>27</v>
      </c>
      <c r="D6556" t="s">
        <v>246</v>
      </c>
      <c r="E6556" s="2">
        <v>6.5</v>
      </c>
      <c r="F6556" s="4">
        <v>5</v>
      </c>
      <c r="G6556" s="2">
        <v>32.5</v>
      </c>
      <c r="H6556" t="s">
        <v>15</v>
      </c>
      <c r="I6556" t="s">
        <v>16</v>
      </c>
      <c r="J6556" s="1">
        <v>44690</v>
      </c>
      <c r="K6556" t="b">
        <v>0</v>
      </c>
    </row>
    <row r="6557" spans="1:11" x14ac:dyDescent="0.25">
      <c r="A6557" t="s">
        <v>6255</v>
      </c>
      <c r="B6557" t="s">
        <v>56</v>
      </c>
      <c r="C6557" t="s">
        <v>13</v>
      </c>
      <c r="D6557" t="s">
        <v>428</v>
      </c>
      <c r="E6557" s="2">
        <v>6.5</v>
      </c>
      <c r="F6557" s="4">
        <v>5</v>
      </c>
      <c r="G6557" s="2">
        <v>32.5</v>
      </c>
      <c r="H6557" t="s">
        <v>15</v>
      </c>
      <c r="I6557" t="s">
        <v>36</v>
      </c>
      <c r="J6557" s="1">
        <v>44645</v>
      </c>
      <c r="K6557" t="b">
        <v>0</v>
      </c>
    </row>
    <row r="6558" spans="1:11" x14ac:dyDescent="0.25">
      <c r="A6558" t="s">
        <v>5182</v>
      </c>
      <c r="B6558" t="s">
        <v>93</v>
      </c>
      <c r="C6558" t="s">
        <v>27</v>
      </c>
      <c r="D6558" t="s">
        <v>246</v>
      </c>
      <c r="E6558" s="2">
        <v>6.5</v>
      </c>
      <c r="F6558" s="4">
        <v>5</v>
      </c>
      <c r="G6558" s="2">
        <v>32.5</v>
      </c>
      <c r="H6558" t="s">
        <v>45</v>
      </c>
      <c r="I6558" t="s">
        <v>36</v>
      </c>
      <c r="J6558" s="1">
        <v>44822</v>
      </c>
      <c r="K6558" t="b">
        <v>1</v>
      </c>
    </row>
    <row r="6559" spans="1:11" x14ac:dyDescent="0.25">
      <c r="A6559" t="s">
        <v>1228</v>
      </c>
      <c r="B6559" t="s">
        <v>22</v>
      </c>
      <c r="C6559" t="s">
        <v>27</v>
      </c>
      <c r="D6559" t="s">
        <v>246</v>
      </c>
      <c r="E6559" s="2">
        <v>6.5</v>
      </c>
      <c r="F6559" s="4">
        <v>5</v>
      </c>
      <c r="G6559" s="2">
        <v>32.5</v>
      </c>
      <c r="H6559" t="s">
        <v>25</v>
      </c>
      <c r="I6559" t="s">
        <v>36</v>
      </c>
      <c r="J6559" s="1">
        <v>45507</v>
      </c>
      <c r="K6559" t="b">
        <v>1</v>
      </c>
    </row>
    <row r="6560" spans="1:11" x14ac:dyDescent="0.25">
      <c r="A6560" t="s">
        <v>5772</v>
      </c>
      <c r="B6560" t="s">
        <v>12</v>
      </c>
      <c r="C6560" t="s">
        <v>38</v>
      </c>
      <c r="D6560" t="s">
        <v>235</v>
      </c>
      <c r="E6560" s="2">
        <v>6.5</v>
      </c>
      <c r="F6560" s="4">
        <v>5</v>
      </c>
      <c r="G6560" s="2">
        <v>32.5</v>
      </c>
      <c r="H6560" t="s">
        <v>25</v>
      </c>
      <c r="I6560" t="s">
        <v>16</v>
      </c>
      <c r="J6560" s="1">
        <v>44944</v>
      </c>
      <c r="K6560" t="b">
        <v>0</v>
      </c>
    </row>
    <row r="6561" spans="1:11" x14ac:dyDescent="0.25">
      <c r="A6561" t="s">
        <v>6621</v>
      </c>
      <c r="B6561" t="s">
        <v>22</v>
      </c>
      <c r="C6561" t="s">
        <v>23</v>
      </c>
      <c r="D6561" t="s">
        <v>137</v>
      </c>
      <c r="E6561" s="2">
        <v>6.5</v>
      </c>
      <c r="F6561" s="4">
        <v>5</v>
      </c>
      <c r="G6561" s="2">
        <v>32.5</v>
      </c>
      <c r="H6561" t="s">
        <v>25</v>
      </c>
      <c r="I6561" t="s">
        <v>16</v>
      </c>
      <c r="J6561" s="1">
        <v>45089</v>
      </c>
      <c r="K6561" t="b">
        <v>0</v>
      </c>
    </row>
    <row r="6562" spans="1:11" x14ac:dyDescent="0.25">
      <c r="A6562" t="s">
        <v>4034</v>
      </c>
      <c r="B6562" t="s">
        <v>77</v>
      </c>
      <c r="C6562" t="s">
        <v>38</v>
      </c>
      <c r="D6562" t="s">
        <v>235</v>
      </c>
      <c r="E6562" s="2">
        <v>6.5</v>
      </c>
      <c r="F6562" s="4">
        <v>5</v>
      </c>
      <c r="G6562" s="2">
        <v>32.5</v>
      </c>
      <c r="H6562" t="s">
        <v>45</v>
      </c>
      <c r="I6562" t="s">
        <v>16</v>
      </c>
      <c r="J6562" s="1">
        <v>45206</v>
      </c>
      <c r="K6562" t="b">
        <v>1</v>
      </c>
    </row>
    <row r="6563" spans="1:11" x14ac:dyDescent="0.25">
      <c r="A6563" t="s">
        <v>6855</v>
      </c>
      <c r="B6563" t="s">
        <v>26</v>
      </c>
      <c r="C6563" t="s">
        <v>23</v>
      </c>
      <c r="D6563" t="s">
        <v>137</v>
      </c>
      <c r="E6563" s="2">
        <v>6.5</v>
      </c>
      <c r="F6563" s="4">
        <v>5</v>
      </c>
      <c r="G6563" s="2">
        <v>32.5</v>
      </c>
      <c r="H6563" t="s">
        <v>45</v>
      </c>
      <c r="I6563" t="s">
        <v>36</v>
      </c>
      <c r="J6563" s="1">
        <v>45049</v>
      </c>
      <c r="K6563" t="b">
        <v>0</v>
      </c>
    </row>
    <row r="6564" spans="1:11" x14ac:dyDescent="0.25">
      <c r="A6564" t="s">
        <v>3596</v>
      </c>
      <c r="B6564" t="s">
        <v>93</v>
      </c>
      <c r="C6564" t="s">
        <v>27</v>
      </c>
      <c r="D6564" t="s">
        <v>246</v>
      </c>
      <c r="E6564" s="2">
        <v>6.5</v>
      </c>
      <c r="F6564" s="4">
        <v>5</v>
      </c>
      <c r="G6564" s="2">
        <v>32.5</v>
      </c>
      <c r="H6564" t="s">
        <v>15</v>
      </c>
      <c r="I6564" t="s">
        <v>36</v>
      </c>
      <c r="J6564" s="1">
        <v>45595</v>
      </c>
      <c r="K6564" t="b">
        <v>1</v>
      </c>
    </row>
    <row r="6565" spans="1:11" x14ac:dyDescent="0.25">
      <c r="A6565" t="s">
        <v>1165</v>
      </c>
      <c r="B6565" t="s">
        <v>26</v>
      </c>
      <c r="C6565" t="s">
        <v>27</v>
      </c>
      <c r="D6565" t="s">
        <v>246</v>
      </c>
      <c r="E6565" s="2">
        <v>6.5</v>
      </c>
      <c r="F6565" s="4">
        <v>5</v>
      </c>
      <c r="G6565" s="2">
        <v>32.5</v>
      </c>
      <c r="H6565" t="s">
        <v>45</v>
      </c>
      <c r="I6565" t="s">
        <v>36</v>
      </c>
      <c r="J6565" s="1">
        <v>45533</v>
      </c>
      <c r="K6565" t="b">
        <v>1</v>
      </c>
    </row>
    <row r="6566" spans="1:11" x14ac:dyDescent="0.25">
      <c r="A6566" t="s">
        <v>6205</v>
      </c>
      <c r="B6566" t="s">
        <v>56</v>
      </c>
      <c r="C6566" t="s">
        <v>27</v>
      </c>
      <c r="D6566" t="s">
        <v>246</v>
      </c>
      <c r="E6566" s="2">
        <v>6.5</v>
      </c>
      <c r="F6566" s="4">
        <v>5</v>
      </c>
      <c r="G6566" s="2">
        <v>32.5</v>
      </c>
      <c r="H6566" t="s">
        <v>15</v>
      </c>
      <c r="I6566" t="s">
        <v>16</v>
      </c>
      <c r="J6566" s="1">
        <v>44988</v>
      </c>
      <c r="K6566" t="b">
        <v>0</v>
      </c>
    </row>
    <row r="6567" spans="1:11" x14ac:dyDescent="0.25">
      <c r="A6567" t="s">
        <v>2376</v>
      </c>
      <c r="B6567" t="s">
        <v>77</v>
      </c>
      <c r="C6567" t="s">
        <v>59</v>
      </c>
      <c r="D6567" t="s">
        <v>541</v>
      </c>
      <c r="E6567" s="2">
        <v>6.5</v>
      </c>
      <c r="F6567" s="4">
        <v>5</v>
      </c>
      <c r="G6567" s="2">
        <v>32.5</v>
      </c>
      <c r="H6567" t="s">
        <v>25</v>
      </c>
      <c r="I6567" t="s">
        <v>36</v>
      </c>
      <c r="J6567" s="1">
        <v>44667</v>
      </c>
      <c r="K6567" t="b">
        <v>1</v>
      </c>
    </row>
    <row r="6568" spans="1:11" x14ac:dyDescent="0.25">
      <c r="A6568" t="s">
        <v>5160</v>
      </c>
      <c r="B6568" t="s">
        <v>142</v>
      </c>
      <c r="C6568" t="s">
        <v>13</v>
      </c>
      <c r="D6568" t="s">
        <v>428</v>
      </c>
      <c r="E6568" s="2">
        <v>6.5</v>
      </c>
      <c r="F6568" s="4">
        <v>5</v>
      </c>
      <c r="G6568" s="2">
        <v>32.5</v>
      </c>
      <c r="H6568" t="s">
        <v>25</v>
      </c>
      <c r="I6568" t="s">
        <v>36</v>
      </c>
      <c r="J6568" s="1">
        <v>45261</v>
      </c>
      <c r="K6568" t="b">
        <v>0</v>
      </c>
    </row>
    <row r="6569" spans="1:11" x14ac:dyDescent="0.25">
      <c r="A6569" t="s">
        <v>3308</v>
      </c>
      <c r="B6569" t="s">
        <v>22</v>
      </c>
      <c r="C6569" t="s">
        <v>27</v>
      </c>
      <c r="D6569" t="s">
        <v>246</v>
      </c>
      <c r="E6569" s="2">
        <v>6.5</v>
      </c>
      <c r="F6569" s="4">
        <v>5</v>
      </c>
      <c r="G6569" s="2">
        <v>32.5</v>
      </c>
      <c r="H6569" t="s">
        <v>45</v>
      </c>
      <c r="I6569" t="s">
        <v>36</v>
      </c>
      <c r="J6569" s="1">
        <v>44741</v>
      </c>
      <c r="K6569" t="b">
        <v>1</v>
      </c>
    </row>
    <row r="6570" spans="1:11" x14ac:dyDescent="0.25">
      <c r="A6570" t="s">
        <v>3578</v>
      </c>
      <c r="B6570" t="s">
        <v>34</v>
      </c>
      <c r="C6570" t="s">
        <v>59</v>
      </c>
      <c r="D6570" t="s">
        <v>541</v>
      </c>
      <c r="E6570" s="2">
        <v>6.5</v>
      </c>
      <c r="F6570" s="4">
        <v>5</v>
      </c>
      <c r="G6570" s="2">
        <v>32.5</v>
      </c>
      <c r="H6570" t="s">
        <v>25</v>
      </c>
      <c r="I6570" t="s">
        <v>36</v>
      </c>
      <c r="J6570" s="1">
        <v>44839</v>
      </c>
      <c r="K6570" t="b">
        <v>0</v>
      </c>
    </row>
    <row r="6571" spans="1:11" x14ac:dyDescent="0.25">
      <c r="A6571" t="s">
        <v>4798</v>
      </c>
      <c r="B6571" t="s">
        <v>63</v>
      </c>
      <c r="C6571" t="s">
        <v>27</v>
      </c>
      <c r="D6571" t="s">
        <v>246</v>
      </c>
      <c r="E6571" s="2">
        <v>6.5</v>
      </c>
      <c r="F6571" s="4">
        <v>5</v>
      </c>
      <c r="G6571" s="2">
        <v>32.5</v>
      </c>
      <c r="H6571" t="s">
        <v>25</v>
      </c>
      <c r="I6571" t="s">
        <v>36</v>
      </c>
      <c r="J6571" s="1">
        <v>44659</v>
      </c>
      <c r="K6571" t="b">
        <v>0</v>
      </c>
    </row>
    <row r="6572" spans="1:11" x14ac:dyDescent="0.25">
      <c r="A6572" t="s">
        <v>2625</v>
      </c>
      <c r="B6572" t="s">
        <v>26</v>
      </c>
      <c r="C6572" t="s">
        <v>19</v>
      </c>
      <c r="D6572" t="s">
        <v>120</v>
      </c>
      <c r="E6572" s="2">
        <v>32</v>
      </c>
      <c r="F6572" s="4">
        <v>1</v>
      </c>
      <c r="G6572" s="2">
        <v>32</v>
      </c>
      <c r="H6572" t="s">
        <v>25</v>
      </c>
      <c r="I6572" t="s">
        <v>16</v>
      </c>
      <c r="J6572" s="1">
        <v>45582</v>
      </c>
      <c r="K6572" t="b">
        <v>1</v>
      </c>
    </row>
    <row r="6573" spans="1:11" x14ac:dyDescent="0.25">
      <c r="A6573" t="s">
        <v>7203</v>
      </c>
      <c r="B6573" t="s">
        <v>72</v>
      </c>
      <c r="C6573" t="s">
        <v>110</v>
      </c>
      <c r="D6573" t="s">
        <v>282</v>
      </c>
      <c r="E6573" s="2">
        <v>32</v>
      </c>
      <c r="F6573" s="4">
        <v>1</v>
      </c>
      <c r="G6573" s="2">
        <v>32</v>
      </c>
      <c r="H6573" t="s">
        <v>45</v>
      </c>
      <c r="I6573" t="s">
        <v>36</v>
      </c>
      <c r="J6573" s="1">
        <v>45363</v>
      </c>
      <c r="K6573" t="b">
        <v>1</v>
      </c>
    </row>
    <row r="6574" spans="1:11" x14ac:dyDescent="0.25">
      <c r="A6574" t="s">
        <v>6331</v>
      </c>
      <c r="B6574" t="s">
        <v>30</v>
      </c>
      <c r="C6574" t="s">
        <v>110</v>
      </c>
      <c r="D6574" t="s">
        <v>282</v>
      </c>
      <c r="E6574" s="2">
        <v>32</v>
      </c>
      <c r="F6574" s="4">
        <v>1</v>
      </c>
      <c r="G6574" s="2">
        <v>32</v>
      </c>
      <c r="H6574" t="s">
        <v>45</v>
      </c>
      <c r="I6574" t="s">
        <v>16</v>
      </c>
      <c r="J6574" s="1">
        <v>45225</v>
      </c>
      <c r="K6574" t="b">
        <v>0</v>
      </c>
    </row>
    <row r="6575" spans="1:11" x14ac:dyDescent="0.25">
      <c r="A6575" t="s">
        <v>3841</v>
      </c>
      <c r="B6575" t="s">
        <v>86</v>
      </c>
      <c r="C6575" t="s">
        <v>19</v>
      </c>
      <c r="D6575" t="s">
        <v>226</v>
      </c>
      <c r="E6575" s="2">
        <v>8</v>
      </c>
      <c r="F6575" s="4">
        <v>4</v>
      </c>
      <c r="G6575" s="2">
        <v>32</v>
      </c>
      <c r="H6575" t="s">
        <v>25</v>
      </c>
      <c r="I6575" t="s">
        <v>16</v>
      </c>
      <c r="J6575" s="1">
        <v>45461</v>
      </c>
      <c r="K6575" t="b">
        <v>1</v>
      </c>
    </row>
    <row r="6576" spans="1:11" x14ac:dyDescent="0.25">
      <c r="A6576" t="s">
        <v>1527</v>
      </c>
      <c r="B6576" t="s">
        <v>63</v>
      </c>
      <c r="C6576" t="s">
        <v>31</v>
      </c>
      <c r="D6576" t="s">
        <v>106</v>
      </c>
      <c r="E6576" s="2">
        <v>8</v>
      </c>
      <c r="F6576" s="4">
        <v>4</v>
      </c>
      <c r="G6576" s="2">
        <v>32</v>
      </c>
      <c r="H6576" t="s">
        <v>45</v>
      </c>
      <c r="I6576" t="s">
        <v>16</v>
      </c>
      <c r="J6576" s="1">
        <v>45308</v>
      </c>
      <c r="K6576" t="b">
        <v>0</v>
      </c>
    </row>
    <row r="6577" spans="1:11" x14ac:dyDescent="0.25">
      <c r="A6577" t="s">
        <v>6554</v>
      </c>
      <c r="B6577" t="s">
        <v>66</v>
      </c>
      <c r="C6577" t="s">
        <v>13</v>
      </c>
      <c r="D6577" t="s">
        <v>426</v>
      </c>
      <c r="E6577" s="2">
        <v>32</v>
      </c>
      <c r="F6577" s="4">
        <v>1</v>
      </c>
      <c r="G6577" s="2">
        <v>32</v>
      </c>
      <c r="H6577" t="s">
        <v>45</v>
      </c>
      <c r="I6577" t="s">
        <v>36</v>
      </c>
      <c r="J6577" s="1">
        <v>45652</v>
      </c>
      <c r="K6577" t="b">
        <v>1</v>
      </c>
    </row>
    <row r="6578" spans="1:11" x14ac:dyDescent="0.25">
      <c r="A6578" t="s">
        <v>7342</v>
      </c>
      <c r="B6578" t="s">
        <v>97</v>
      </c>
      <c r="C6578" t="s">
        <v>13</v>
      </c>
      <c r="D6578" t="s">
        <v>969</v>
      </c>
      <c r="E6578" s="2">
        <v>8</v>
      </c>
      <c r="F6578" s="4">
        <v>4</v>
      </c>
      <c r="G6578" s="2">
        <v>32</v>
      </c>
      <c r="H6578" t="s">
        <v>45</v>
      </c>
      <c r="I6578" t="s">
        <v>36</v>
      </c>
      <c r="J6578" s="1">
        <v>45012</v>
      </c>
      <c r="K6578" t="b">
        <v>0</v>
      </c>
    </row>
    <row r="6579" spans="1:11" x14ac:dyDescent="0.25">
      <c r="A6579" t="s">
        <v>202</v>
      </c>
      <c r="B6579" t="s">
        <v>12</v>
      </c>
      <c r="C6579" t="s">
        <v>31</v>
      </c>
      <c r="D6579" t="s">
        <v>106</v>
      </c>
      <c r="E6579" s="2">
        <v>8</v>
      </c>
      <c r="F6579" s="4">
        <v>4</v>
      </c>
      <c r="G6579" s="2">
        <v>32</v>
      </c>
      <c r="H6579" t="s">
        <v>25</v>
      </c>
      <c r="I6579" t="s">
        <v>36</v>
      </c>
      <c r="J6579" s="1">
        <v>44924</v>
      </c>
      <c r="K6579" t="b">
        <v>0</v>
      </c>
    </row>
    <row r="6580" spans="1:11" x14ac:dyDescent="0.25">
      <c r="A6580" t="s">
        <v>3734</v>
      </c>
      <c r="B6580" t="s">
        <v>85</v>
      </c>
      <c r="C6580" t="s">
        <v>27</v>
      </c>
      <c r="D6580" t="s">
        <v>207</v>
      </c>
      <c r="E6580" s="2">
        <v>32</v>
      </c>
      <c r="F6580" s="4">
        <v>1</v>
      </c>
      <c r="G6580" s="2">
        <v>32</v>
      </c>
      <c r="H6580" t="s">
        <v>25</v>
      </c>
      <c r="I6580" t="s">
        <v>16</v>
      </c>
      <c r="J6580" s="1">
        <v>45281</v>
      </c>
      <c r="K6580" t="b">
        <v>0</v>
      </c>
    </row>
    <row r="6581" spans="1:11" x14ac:dyDescent="0.25">
      <c r="A6581" t="s">
        <v>1056</v>
      </c>
      <c r="B6581" t="s">
        <v>34</v>
      </c>
      <c r="C6581" t="s">
        <v>110</v>
      </c>
      <c r="D6581" t="s">
        <v>741</v>
      </c>
      <c r="E6581" s="2">
        <v>8</v>
      </c>
      <c r="F6581" s="4">
        <v>4</v>
      </c>
      <c r="G6581" s="2">
        <v>32</v>
      </c>
      <c r="H6581" t="s">
        <v>45</v>
      </c>
      <c r="I6581" t="s">
        <v>16</v>
      </c>
      <c r="J6581" s="1">
        <v>44695</v>
      </c>
      <c r="K6581" t="b">
        <v>1</v>
      </c>
    </row>
    <row r="6582" spans="1:11" x14ac:dyDescent="0.25">
      <c r="A6582" t="s">
        <v>3220</v>
      </c>
      <c r="B6582" t="s">
        <v>34</v>
      </c>
      <c r="C6582" t="s">
        <v>19</v>
      </c>
      <c r="D6582" t="s">
        <v>226</v>
      </c>
      <c r="E6582" s="2">
        <v>8</v>
      </c>
      <c r="F6582" s="4">
        <v>4</v>
      </c>
      <c r="G6582" s="2">
        <v>32</v>
      </c>
      <c r="H6582" t="s">
        <v>25</v>
      </c>
      <c r="I6582" t="s">
        <v>16</v>
      </c>
      <c r="J6582" s="1">
        <v>45062</v>
      </c>
      <c r="K6582" t="b">
        <v>1</v>
      </c>
    </row>
    <row r="6583" spans="1:11" x14ac:dyDescent="0.25">
      <c r="A6583" t="s">
        <v>6835</v>
      </c>
      <c r="B6583" t="s">
        <v>93</v>
      </c>
      <c r="C6583" t="s">
        <v>19</v>
      </c>
      <c r="D6583" t="s">
        <v>226</v>
      </c>
      <c r="E6583" s="2">
        <v>8</v>
      </c>
      <c r="F6583" s="4">
        <v>4</v>
      </c>
      <c r="G6583" s="2">
        <v>32</v>
      </c>
      <c r="H6583" t="s">
        <v>25</v>
      </c>
      <c r="I6583" t="s">
        <v>36</v>
      </c>
      <c r="J6583" s="1">
        <v>45448</v>
      </c>
      <c r="K6583" t="b">
        <v>0</v>
      </c>
    </row>
    <row r="6584" spans="1:11" x14ac:dyDescent="0.25">
      <c r="A6584" t="s">
        <v>4465</v>
      </c>
      <c r="B6584" t="s">
        <v>37</v>
      </c>
      <c r="C6584" t="s">
        <v>59</v>
      </c>
      <c r="D6584" t="s">
        <v>254</v>
      </c>
      <c r="E6584" s="2">
        <v>32</v>
      </c>
      <c r="F6584" s="4">
        <v>1</v>
      </c>
      <c r="G6584" s="2">
        <v>32</v>
      </c>
      <c r="H6584" t="s">
        <v>15</v>
      </c>
      <c r="I6584" t="s">
        <v>16</v>
      </c>
      <c r="J6584" s="1">
        <v>45392</v>
      </c>
      <c r="K6584" t="b">
        <v>0</v>
      </c>
    </row>
    <row r="6585" spans="1:11" x14ac:dyDescent="0.25">
      <c r="A6585" t="s">
        <v>3639</v>
      </c>
      <c r="B6585" t="s">
        <v>58</v>
      </c>
      <c r="C6585" t="s">
        <v>23</v>
      </c>
      <c r="D6585" t="s">
        <v>47</v>
      </c>
      <c r="E6585" s="2">
        <v>8</v>
      </c>
      <c r="F6585" s="4">
        <v>4</v>
      </c>
      <c r="G6585" s="2">
        <v>32</v>
      </c>
      <c r="H6585" t="s">
        <v>25</v>
      </c>
      <c r="I6585" t="s">
        <v>36</v>
      </c>
      <c r="J6585" s="1">
        <v>45474</v>
      </c>
      <c r="K6585" t="b">
        <v>0</v>
      </c>
    </row>
    <row r="6586" spans="1:11" x14ac:dyDescent="0.25">
      <c r="A6586" t="s">
        <v>1977</v>
      </c>
      <c r="B6586" t="s">
        <v>142</v>
      </c>
      <c r="C6586" t="s">
        <v>110</v>
      </c>
      <c r="D6586" t="s">
        <v>282</v>
      </c>
      <c r="E6586" s="2">
        <v>32</v>
      </c>
      <c r="F6586" s="4">
        <v>1</v>
      </c>
      <c r="G6586" s="2">
        <v>32</v>
      </c>
      <c r="H6586" t="s">
        <v>45</v>
      </c>
      <c r="I6586" t="s">
        <v>36</v>
      </c>
      <c r="J6586" s="1">
        <v>45032</v>
      </c>
      <c r="K6586" t="b">
        <v>1</v>
      </c>
    </row>
    <row r="6587" spans="1:11" x14ac:dyDescent="0.25">
      <c r="A6587" t="s">
        <v>362</v>
      </c>
      <c r="B6587" t="s">
        <v>72</v>
      </c>
      <c r="C6587" t="s">
        <v>27</v>
      </c>
      <c r="D6587" t="s">
        <v>207</v>
      </c>
      <c r="E6587" s="2">
        <v>32</v>
      </c>
      <c r="F6587" s="4">
        <v>1</v>
      </c>
      <c r="G6587" s="2">
        <v>32</v>
      </c>
      <c r="H6587" t="s">
        <v>15</v>
      </c>
      <c r="I6587" t="s">
        <v>36</v>
      </c>
      <c r="J6587" s="1">
        <v>45053</v>
      </c>
      <c r="K6587" t="b">
        <v>1</v>
      </c>
    </row>
    <row r="6588" spans="1:11" x14ac:dyDescent="0.25">
      <c r="A6588" t="s">
        <v>4244</v>
      </c>
      <c r="B6588" t="s">
        <v>26</v>
      </c>
      <c r="C6588" t="s">
        <v>38</v>
      </c>
      <c r="D6588" t="s">
        <v>748</v>
      </c>
      <c r="E6588" s="2">
        <v>32</v>
      </c>
      <c r="F6588" s="4">
        <v>1</v>
      </c>
      <c r="G6588" s="2">
        <v>32</v>
      </c>
      <c r="H6588" t="s">
        <v>45</v>
      </c>
      <c r="I6588" t="s">
        <v>36</v>
      </c>
      <c r="J6588" s="1">
        <v>45050</v>
      </c>
      <c r="K6588" t="b">
        <v>1</v>
      </c>
    </row>
    <row r="6589" spans="1:11" x14ac:dyDescent="0.25">
      <c r="A6589" t="s">
        <v>4128</v>
      </c>
      <c r="B6589" t="s">
        <v>12</v>
      </c>
      <c r="C6589" t="s">
        <v>110</v>
      </c>
      <c r="D6589" t="s">
        <v>282</v>
      </c>
      <c r="E6589" s="2">
        <v>32</v>
      </c>
      <c r="F6589" s="4">
        <v>1</v>
      </c>
      <c r="G6589" s="2">
        <v>32</v>
      </c>
      <c r="H6589" t="s">
        <v>15</v>
      </c>
      <c r="I6589" t="s">
        <v>36</v>
      </c>
      <c r="J6589" s="1">
        <v>45122</v>
      </c>
      <c r="K6589" t="b">
        <v>1</v>
      </c>
    </row>
    <row r="6590" spans="1:11" x14ac:dyDescent="0.25">
      <c r="A6590" t="s">
        <v>3273</v>
      </c>
      <c r="B6590" t="s">
        <v>93</v>
      </c>
      <c r="C6590" t="s">
        <v>31</v>
      </c>
      <c r="D6590" t="s">
        <v>106</v>
      </c>
      <c r="E6590" s="2">
        <v>8</v>
      </c>
      <c r="F6590" s="4">
        <v>4</v>
      </c>
      <c r="G6590" s="2">
        <v>32</v>
      </c>
      <c r="H6590" t="s">
        <v>15</v>
      </c>
      <c r="I6590" t="s">
        <v>16</v>
      </c>
      <c r="J6590" s="1">
        <v>45129</v>
      </c>
      <c r="K6590" t="b">
        <v>1</v>
      </c>
    </row>
    <row r="6591" spans="1:11" x14ac:dyDescent="0.25">
      <c r="A6591" t="s">
        <v>3008</v>
      </c>
      <c r="B6591" t="s">
        <v>34</v>
      </c>
      <c r="C6591" t="s">
        <v>27</v>
      </c>
      <c r="D6591" t="s">
        <v>207</v>
      </c>
      <c r="E6591" s="2">
        <v>32</v>
      </c>
      <c r="F6591" s="4">
        <v>1</v>
      </c>
      <c r="G6591" s="2">
        <v>32</v>
      </c>
      <c r="H6591" t="s">
        <v>45</v>
      </c>
      <c r="I6591" t="s">
        <v>16</v>
      </c>
      <c r="J6591" s="1">
        <v>45438</v>
      </c>
      <c r="K6591" t="b">
        <v>1</v>
      </c>
    </row>
    <row r="6592" spans="1:11" x14ac:dyDescent="0.25">
      <c r="A6592" t="s">
        <v>4851</v>
      </c>
      <c r="B6592" t="s">
        <v>85</v>
      </c>
      <c r="C6592" t="s">
        <v>38</v>
      </c>
      <c r="D6592" t="s">
        <v>748</v>
      </c>
      <c r="E6592" s="2">
        <v>32</v>
      </c>
      <c r="F6592" s="4">
        <v>1</v>
      </c>
      <c r="G6592" s="2">
        <v>32</v>
      </c>
      <c r="H6592" t="s">
        <v>15</v>
      </c>
      <c r="I6592" t="s">
        <v>16</v>
      </c>
      <c r="J6592" s="1">
        <v>45042</v>
      </c>
      <c r="K6592" t="b">
        <v>0</v>
      </c>
    </row>
    <row r="6593" spans="1:11" x14ac:dyDescent="0.25">
      <c r="A6593" t="s">
        <v>1690</v>
      </c>
      <c r="B6593" t="s">
        <v>93</v>
      </c>
      <c r="C6593" t="s">
        <v>19</v>
      </c>
      <c r="D6593" t="s">
        <v>120</v>
      </c>
      <c r="E6593" s="2">
        <v>32</v>
      </c>
      <c r="F6593" s="4">
        <v>1</v>
      </c>
      <c r="G6593" s="2">
        <v>32</v>
      </c>
      <c r="H6593" t="s">
        <v>45</v>
      </c>
      <c r="I6593" t="s">
        <v>16</v>
      </c>
      <c r="J6593" s="1">
        <v>45331</v>
      </c>
      <c r="K6593" t="b">
        <v>1</v>
      </c>
    </row>
    <row r="6594" spans="1:11" x14ac:dyDescent="0.25">
      <c r="A6594" t="s">
        <v>1363</v>
      </c>
      <c r="B6594" t="s">
        <v>86</v>
      </c>
      <c r="C6594" t="s">
        <v>110</v>
      </c>
      <c r="D6594" t="s">
        <v>282</v>
      </c>
      <c r="E6594" s="2">
        <v>32</v>
      </c>
      <c r="F6594" s="4">
        <v>1</v>
      </c>
      <c r="G6594" s="2">
        <v>32</v>
      </c>
      <c r="H6594" t="s">
        <v>45</v>
      </c>
      <c r="I6594" t="s">
        <v>16</v>
      </c>
      <c r="J6594" s="1">
        <v>45621</v>
      </c>
      <c r="K6594" t="b">
        <v>1</v>
      </c>
    </row>
    <row r="6595" spans="1:11" x14ac:dyDescent="0.25">
      <c r="A6595" t="s">
        <v>1889</v>
      </c>
      <c r="B6595" t="s">
        <v>104</v>
      </c>
      <c r="C6595" t="s">
        <v>23</v>
      </c>
      <c r="D6595" t="s">
        <v>47</v>
      </c>
      <c r="E6595" s="2">
        <v>8</v>
      </c>
      <c r="F6595" s="4">
        <v>4</v>
      </c>
      <c r="G6595" s="2">
        <v>32</v>
      </c>
      <c r="H6595" t="s">
        <v>45</v>
      </c>
      <c r="I6595" t="s">
        <v>16</v>
      </c>
      <c r="J6595" s="1">
        <v>44826</v>
      </c>
      <c r="K6595" t="b">
        <v>1</v>
      </c>
    </row>
    <row r="6596" spans="1:11" x14ac:dyDescent="0.25">
      <c r="A6596" t="s">
        <v>3816</v>
      </c>
      <c r="B6596" t="s">
        <v>86</v>
      </c>
      <c r="C6596" t="s">
        <v>19</v>
      </c>
      <c r="D6596" t="s">
        <v>120</v>
      </c>
      <c r="E6596" s="2">
        <v>32</v>
      </c>
      <c r="F6596" s="4">
        <v>1</v>
      </c>
      <c r="G6596" s="2">
        <v>32</v>
      </c>
      <c r="H6596" t="s">
        <v>15</v>
      </c>
      <c r="I6596" t="s">
        <v>36</v>
      </c>
      <c r="J6596" s="1">
        <v>45021</v>
      </c>
      <c r="K6596" t="b">
        <v>0</v>
      </c>
    </row>
    <row r="6597" spans="1:11" x14ac:dyDescent="0.25">
      <c r="A6597" t="s">
        <v>2814</v>
      </c>
      <c r="B6597" t="s">
        <v>104</v>
      </c>
      <c r="C6597" t="s">
        <v>19</v>
      </c>
      <c r="D6597" t="s">
        <v>226</v>
      </c>
      <c r="E6597" s="2">
        <v>8</v>
      </c>
      <c r="F6597" s="4">
        <v>4</v>
      </c>
      <c r="G6597" s="2">
        <v>32</v>
      </c>
      <c r="H6597" t="s">
        <v>15</v>
      </c>
      <c r="I6597" t="s">
        <v>16</v>
      </c>
      <c r="J6597" s="1">
        <v>45176</v>
      </c>
      <c r="K6597" t="b">
        <v>1</v>
      </c>
    </row>
    <row r="6598" spans="1:11" x14ac:dyDescent="0.25">
      <c r="A6598" t="s">
        <v>6593</v>
      </c>
      <c r="B6598" t="s">
        <v>86</v>
      </c>
      <c r="C6598" t="s">
        <v>31</v>
      </c>
      <c r="D6598" t="s">
        <v>106</v>
      </c>
      <c r="E6598" s="2">
        <v>8</v>
      </c>
      <c r="F6598" s="4">
        <v>4</v>
      </c>
      <c r="G6598" s="2">
        <v>32</v>
      </c>
      <c r="H6598" t="s">
        <v>45</v>
      </c>
      <c r="I6598" t="s">
        <v>36</v>
      </c>
      <c r="J6598" s="1">
        <v>44651</v>
      </c>
      <c r="K6598" t="b">
        <v>0</v>
      </c>
    </row>
    <row r="6599" spans="1:11" x14ac:dyDescent="0.25">
      <c r="A6599" t="s">
        <v>3599</v>
      </c>
      <c r="B6599" t="s">
        <v>69</v>
      </c>
      <c r="C6599" t="s">
        <v>110</v>
      </c>
      <c r="D6599" t="s">
        <v>282</v>
      </c>
      <c r="E6599" s="2">
        <v>32</v>
      </c>
      <c r="F6599" s="4">
        <v>1</v>
      </c>
      <c r="G6599" s="2">
        <v>32</v>
      </c>
      <c r="H6599" t="s">
        <v>45</v>
      </c>
      <c r="I6599" t="s">
        <v>16</v>
      </c>
      <c r="J6599" s="1">
        <v>45636</v>
      </c>
      <c r="K6599" t="b">
        <v>1</v>
      </c>
    </row>
    <row r="6600" spans="1:11" x14ac:dyDescent="0.25">
      <c r="A6600" t="s">
        <v>1790</v>
      </c>
      <c r="B6600" t="s">
        <v>12</v>
      </c>
      <c r="C6600" t="s">
        <v>31</v>
      </c>
      <c r="D6600" t="s">
        <v>1505</v>
      </c>
      <c r="E6600" s="2">
        <v>32</v>
      </c>
      <c r="F6600" s="4">
        <v>1</v>
      </c>
      <c r="G6600" s="2">
        <v>32</v>
      </c>
      <c r="H6600" t="s">
        <v>45</v>
      </c>
      <c r="I6600" t="s">
        <v>36</v>
      </c>
      <c r="J6600" s="1">
        <v>44989</v>
      </c>
      <c r="K6600" t="b">
        <v>0</v>
      </c>
    </row>
    <row r="6601" spans="1:11" x14ac:dyDescent="0.25">
      <c r="A6601" t="s">
        <v>6964</v>
      </c>
      <c r="B6601" t="s">
        <v>56</v>
      </c>
      <c r="C6601" t="s">
        <v>19</v>
      </c>
      <c r="D6601" t="s">
        <v>226</v>
      </c>
      <c r="E6601" s="2">
        <v>8</v>
      </c>
      <c r="F6601" s="4">
        <v>4</v>
      </c>
      <c r="G6601" s="2">
        <v>32</v>
      </c>
      <c r="H6601" t="s">
        <v>25</v>
      </c>
      <c r="I6601" t="s">
        <v>16</v>
      </c>
      <c r="J6601" s="1">
        <v>45172</v>
      </c>
      <c r="K6601" t="b">
        <v>1</v>
      </c>
    </row>
    <row r="6602" spans="1:11" x14ac:dyDescent="0.25">
      <c r="A6602" t="s">
        <v>5402</v>
      </c>
      <c r="B6602" t="s">
        <v>100</v>
      </c>
      <c r="C6602" t="s">
        <v>38</v>
      </c>
      <c r="D6602" t="s">
        <v>748</v>
      </c>
      <c r="E6602" s="2">
        <v>32</v>
      </c>
      <c r="F6602" s="4">
        <v>1</v>
      </c>
      <c r="G6602" s="2">
        <v>32</v>
      </c>
      <c r="H6602" t="s">
        <v>15</v>
      </c>
      <c r="I6602" t="s">
        <v>36</v>
      </c>
      <c r="J6602" s="1">
        <v>45512</v>
      </c>
      <c r="K6602" t="b">
        <v>0</v>
      </c>
    </row>
    <row r="6603" spans="1:11" x14ac:dyDescent="0.25">
      <c r="A6603" t="s">
        <v>7512</v>
      </c>
      <c r="B6603" t="s">
        <v>85</v>
      </c>
      <c r="C6603" t="s">
        <v>19</v>
      </c>
      <c r="D6603" t="s">
        <v>226</v>
      </c>
      <c r="E6603" s="2">
        <v>8</v>
      </c>
      <c r="F6603" s="4">
        <v>4</v>
      </c>
      <c r="G6603" s="2">
        <v>32</v>
      </c>
      <c r="H6603" t="s">
        <v>45</v>
      </c>
      <c r="I6603" t="s">
        <v>36</v>
      </c>
      <c r="J6603" s="1">
        <v>44882</v>
      </c>
      <c r="K6603" t="b">
        <v>0</v>
      </c>
    </row>
    <row r="6604" spans="1:11" x14ac:dyDescent="0.25">
      <c r="A6604" t="s">
        <v>5948</v>
      </c>
      <c r="B6604" t="s">
        <v>97</v>
      </c>
      <c r="C6604" t="s">
        <v>23</v>
      </c>
      <c r="D6604" t="s">
        <v>47</v>
      </c>
      <c r="E6604" s="2">
        <v>8</v>
      </c>
      <c r="F6604" s="4">
        <v>4</v>
      </c>
      <c r="G6604" s="2">
        <v>32</v>
      </c>
      <c r="H6604" t="s">
        <v>25</v>
      </c>
      <c r="I6604" t="s">
        <v>36</v>
      </c>
      <c r="J6604" s="1">
        <v>45500</v>
      </c>
      <c r="K6604" t="b">
        <v>1</v>
      </c>
    </row>
    <row r="6605" spans="1:11" x14ac:dyDescent="0.25">
      <c r="A6605" t="s">
        <v>1610</v>
      </c>
      <c r="B6605" t="s">
        <v>100</v>
      </c>
      <c r="C6605" t="s">
        <v>19</v>
      </c>
      <c r="D6605" t="s">
        <v>120</v>
      </c>
      <c r="E6605" s="2">
        <v>32</v>
      </c>
      <c r="F6605" s="4">
        <v>1</v>
      </c>
      <c r="G6605" s="2">
        <v>32</v>
      </c>
      <c r="H6605" t="s">
        <v>15</v>
      </c>
      <c r="I6605" t="s">
        <v>36</v>
      </c>
      <c r="J6605" s="1">
        <v>45162</v>
      </c>
      <c r="K6605" t="b">
        <v>1</v>
      </c>
    </row>
    <row r="6606" spans="1:11" x14ac:dyDescent="0.25">
      <c r="A6606" t="s">
        <v>5337</v>
      </c>
      <c r="B6606" t="s">
        <v>30</v>
      </c>
      <c r="C6606" t="s">
        <v>23</v>
      </c>
      <c r="D6606" t="s">
        <v>47</v>
      </c>
      <c r="E6606" s="2">
        <v>8</v>
      </c>
      <c r="F6606" s="4">
        <v>4</v>
      </c>
      <c r="G6606" s="2">
        <v>32</v>
      </c>
      <c r="H6606" t="s">
        <v>45</v>
      </c>
      <c r="I6606" t="s">
        <v>36</v>
      </c>
      <c r="J6606" s="1">
        <v>44897</v>
      </c>
      <c r="K6606" t="b">
        <v>0</v>
      </c>
    </row>
    <row r="6607" spans="1:11" x14ac:dyDescent="0.25">
      <c r="A6607" t="s">
        <v>6963</v>
      </c>
      <c r="B6607" t="s">
        <v>40</v>
      </c>
      <c r="C6607" t="s">
        <v>38</v>
      </c>
      <c r="D6607" t="s">
        <v>697</v>
      </c>
      <c r="E6607" s="2">
        <v>8</v>
      </c>
      <c r="F6607" s="4">
        <v>4</v>
      </c>
      <c r="G6607" s="2">
        <v>32</v>
      </c>
      <c r="H6607" t="s">
        <v>15</v>
      </c>
      <c r="I6607" t="s">
        <v>36</v>
      </c>
      <c r="J6607" s="1">
        <v>45319</v>
      </c>
      <c r="K6607" t="b">
        <v>0</v>
      </c>
    </row>
    <row r="6608" spans="1:11" x14ac:dyDescent="0.25">
      <c r="A6608" t="s">
        <v>7288</v>
      </c>
      <c r="B6608" t="s">
        <v>66</v>
      </c>
      <c r="C6608" t="s">
        <v>23</v>
      </c>
      <c r="D6608" t="s">
        <v>47</v>
      </c>
      <c r="E6608" s="2">
        <v>8</v>
      </c>
      <c r="F6608" s="4">
        <v>4</v>
      </c>
      <c r="G6608" s="2">
        <v>32</v>
      </c>
      <c r="H6608" t="s">
        <v>25</v>
      </c>
      <c r="I6608" t="s">
        <v>16</v>
      </c>
      <c r="J6608" s="1">
        <v>45349</v>
      </c>
      <c r="K6608" t="b">
        <v>1</v>
      </c>
    </row>
    <row r="6609" spans="1:11" x14ac:dyDescent="0.25">
      <c r="A6609" t="s">
        <v>6997</v>
      </c>
      <c r="B6609" t="s">
        <v>104</v>
      </c>
      <c r="C6609" t="s">
        <v>27</v>
      </c>
      <c r="D6609" t="s">
        <v>357</v>
      </c>
      <c r="E6609" s="2">
        <v>8</v>
      </c>
      <c r="F6609" s="4">
        <v>4</v>
      </c>
      <c r="G6609" s="2">
        <v>32</v>
      </c>
      <c r="H6609" t="s">
        <v>45</v>
      </c>
      <c r="I6609" t="s">
        <v>16</v>
      </c>
      <c r="J6609" s="1">
        <v>45429</v>
      </c>
      <c r="K6609" t="b">
        <v>1</v>
      </c>
    </row>
    <row r="6610" spans="1:11" x14ac:dyDescent="0.25">
      <c r="A6610" t="s">
        <v>2247</v>
      </c>
      <c r="B6610" t="s">
        <v>142</v>
      </c>
      <c r="C6610" t="s">
        <v>19</v>
      </c>
      <c r="D6610" t="s">
        <v>226</v>
      </c>
      <c r="E6610" s="2">
        <v>8</v>
      </c>
      <c r="F6610" s="4">
        <v>4</v>
      </c>
      <c r="G6610" s="2">
        <v>32</v>
      </c>
      <c r="H6610" t="s">
        <v>15</v>
      </c>
      <c r="I6610" t="s">
        <v>36</v>
      </c>
      <c r="J6610" s="1">
        <v>44591</v>
      </c>
      <c r="K6610" t="b">
        <v>0</v>
      </c>
    </row>
    <row r="6611" spans="1:11" x14ac:dyDescent="0.25">
      <c r="A6611" t="s">
        <v>965</v>
      </c>
      <c r="B6611" t="s">
        <v>85</v>
      </c>
      <c r="C6611" t="s">
        <v>23</v>
      </c>
      <c r="D6611" t="s">
        <v>47</v>
      </c>
      <c r="E6611" s="2">
        <v>8</v>
      </c>
      <c r="F6611" s="4">
        <v>4</v>
      </c>
      <c r="G6611" s="2">
        <v>32</v>
      </c>
      <c r="H6611" t="s">
        <v>15</v>
      </c>
      <c r="I6611" t="s">
        <v>16</v>
      </c>
      <c r="J6611" s="1">
        <v>45092</v>
      </c>
      <c r="K6611" t="b">
        <v>1</v>
      </c>
    </row>
    <row r="6612" spans="1:11" x14ac:dyDescent="0.25">
      <c r="A6612" t="s">
        <v>5180</v>
      </c>
      <c r="B6612" t="s">
        <v>63</v>
      </c>
      <c r="C6612" t="s">
        <v>38</v>
      </c>
      <c r="D6612" t="s">
        <v>697</v>
      </c>
      <c r="E6612" s="2">
        <v>8</v>
      </c>
      <c r="F6612" s="4">
        <v>4</v>
      </c>
      <c r="G6612" s="2">
        <v>32</v>
      </c>
      <c r="H6612" t="s">
        <v>45</v>
      </c>
      <c r="I6612" t="s">
        <v>16</v>
      </c>
      <c r="J6612" s="1">
        <v>45235</v>
      </c>
      <c r="K6612" t="b">
        <v>1</v>
      </c>
    </row>
    <row r="6613" spans="1:11" x14ac:dyDescent="0.25">
      <c r="A6613" t="s">
        <v>4882</v>
      </c>
      <c r="B6613" t="s">
        <v>63</v>
      </c>
      <c r="C6613" t="s">
        <v>27</v>
      </c>
      <c r="D6613" t="s">
        <v>207</v>
      </c>
      <c r="E6613" s="2">
        <v>32</v>
      </c>
      <c r="F6613" s="4">
        <v>1</v>
      </c>
      <c r="G6613" s="2">
        <v>32</v>
      </c>
      <c r="H6613" t="s">
        <v>45</v>
      </c>
      <c r="I6613" t="s">
        <v>16</v>
      </c>
      <c r="J6613" s="1">
        <v>45367</v>
      </c>
      <c r="K6613" t="b">
        <v>1</v>
      </c>
    </row>
    <row r="6614" spans="1:11" x14ac:dyDescent="0.25">
      <c r="A6614" t="s">
        <v>3272</v>
      </c>
      <c r="B6614" t="s">
        <v>56</v>
      </c>
      <c r="C6614" t="s">
        <v>59</v>
      </c>
      <c r="D6614" t="s">
        <v>254</v>
      </c>
      <c r="E6614" s="2">
        <v>32</v>
      </c>
      <c r="F6614" s="4">
        <v>1</v>
      </c>
      <c r="G6614" s="2">
        <v>32</v>
      </c>
      <c r="H6614" t="s">
        <v>25</v>
      </c>
      <c r="I6614" t="s">
        <v>16</v>
      </c>
      <c r="J6614" s="1">
        <v>44791</v>
      </c>
      <c r="K6614" t="b">
        <v>1</v>
      </c>
    </row>
    <row r="6615" spans="1:11" x14ac:dyDescent="0.25">
      <c r="A6615" t="s">
        <v>3456</v>
      </c>
      <c r="B6615" t="s">
        <v>56</v>
      </c>
      <c r="C6615" t="s">
        <v>19</v>
      </c>
      <c r="D6615" t="s">
        <v>120</v>
      </c>
      <c r="E6615" s="2">
        <v>32</v>
      </c>
      <c r="F6615" s="4">
        <v>1</v>
      </c>
      <c r="G6615" s="2">
        <v>32</v>
      </c>
      <c r="H6615" t="s">
        <v>25</v>
      </c>
      <c r="I6615" t="s">
        <v>16</v>
      </c>
      <c r="J6615" s="1">
        <v>45192</v>
      </c>
      <c r="K6615" t="b">
        <v>1</v>
      </c>
    </row>
    <row r="6616" spans="1:11" x14ac:dyDescent="0.25">
      <c r="A6616" t="s">
        <v>6713</v>
      </c>
      <c r="B6616" t="s">
        <v>30</v>
      </c>
      <c r="C6616" t="s">
        <v>19</v>
      </c>
      <c r="D6616" t="s">
        <v>226</v>
      </c>
      <c r="E6616" s="2">
        <v>8</v>
      </c>
      <c r="F6616" s="4">
        <v>4</v>
      </c>
      <c r="G6616" s="2">
        <v>32</v>
      </c>
      <c r="H6616" t="s">
        <v>45</v>
      </c>
      <c r="I6616" t="s">
        <v>36</v>
      </c>
      <c r="J6616" s="1">
        <v>45438</v>
      </c>
      <c r="K6616" t="b">
        <v>1</v>
      </c>
    </row>
    <row r="6617" spans="1:11" x14ac:dyDescent="0.25">
      <c r="A6617" t="s">
        <v>2406</v>
      </c>
      <c r="B6617" t="s">
        <v>97</v>
      </c>
      <c r="C6617" t="s">
        <v>23</v>
      </c>
      <c r="D6617" t="s">
        <v>47</v>
      </c>
      <c r="E6617" s="2">
        <v>8</v>
      </c>
      <c r="F6617" s="4">
        <v>4</v>
      </c>
      <c r="G6617" s="2">
        <v>32</v>
      </c>
      <c r="H6617" t="s">
        <v>25</v>
      </c>
      <c r="I6617" t="s">
        <v>36</v>
      </c>
      <c r="J6617" s="1">
        <v>45172</v>
      </c>
      <c r="K6617" t="b">
        <v>0</v>
      </c>
    </row>
    <row r="6618" spans="1:11" x14ac:dyDescent="0.25">
      <c r="A6618" t="s">
        <v>5640</v>
      </c>
      <c r="B6618" t="s">
        <v>37</v>
      </c>
      <c r="C6618" t="s">
        <v>110</v>
      </c>
      <c r="D6618" t="s">
        <v>282</v>
      </c>
      <c r="E6618" s="2">
        <v>32</v>
      </c>
      <c r="F6618" s="4">
        <v>1</v>
      </c>
      <c r="G6618" s="2">
        <v>32</v>
      </c>
      <c r="H6618" t="s">
        <v>15</v>
      </c>
      <c r="I6618" t="s">
        <v>36</v>
      </c>
      <c r="J6618" s="1">
        <v>45167</v>
      </c>
      <c r="K6618" t="b">
        <v>1</v>
      </c>
    </row>
    <row r="6619" spans="1:11" x14ac:dyDescent="0.25">
      <c r="A6619" t="s">
        <v>7047</v>
      </c>
      <c r="B6619" t="s">
        <v>37</v>
      </c>
      <c r="C6619" t="s">
        <v>23</v>
      </c>
      <c r="D6619" t="s">
        <v>47</v>
      </c>
      <c r="E6619" s="2">
        <v>8</v>
      </c>
      <c r="F6619" s="4">
        <v>4</v>
      </c>
      <c r="G6619" s="2">
        <v>32</v>
      </c>
      <c r="H6619" t="s">
        <v>45</v>
      </c>
      <c r="I6619" t="s">
        <v>16</v>
      </c>
      <c r="J6619" s="1">
        <v>45299</v>
      </c>
      <c r="K6619" t="b">
        <v>1</v>
      </c>
    </row>
    <row r="6620" spans="1:11" x14ac:dyDescent="0.25">
      <c r="A6620" t="s">
        <v>3514</v>
      </c>
      <c r="B6620" t="s">
        <v>97</v>
      </c>
      <c r="C6620" t="s">
        <v>19</v>
      </c>
      <c r="D6620" t="s">
        <v>120</v>
      </c>
      <c r="E6620" s="2">
        <v>32</v>
      </c>
      <c r="F6620" s="4">
        <v>1</v>
      </c>
      <c r="G6620" s="2">
        <v>32</v>
      </c>
      <c r="H6620" t="s">
        <v>45</v>
      </c>
      <c r="I6620" t="s">
        <v>36</v>
      </c>
      <c r="J6620" s="1">
        <v>44725</v>
      </c>
      <c r="K6620" t="b">
        <v>1</v>
      </c>
    </row>
    <row r="6621" spans="1:11" x14ac:dyDescent="0.25">
      <c r="A6621" t="s">
        <v>2270</v>
      </c>
      <c r="B6621" t="s">
        <v>61</v>
      </c>
      <c r="C6621" t="s">
        <v>38</v>
      </c>
      <c r="D6621" t="s">
        <v>697</v>
      </c>
      <c r="E6621" s="2">
        <v>8</v>
      </c>
      <c r="F6621" s="4">
        <v>4</v>
      </c>
      <c r="G6621" s="2">
        <v>32</v>
      </c>
      <c r="H6621" t="s">
        <v>15</v>
      </c>
      <c r="I6621" t="s">
        <v>16</v>
      </c>
      <c r="J6621" s="1">
        <v>45314</v>
      </c>
      <c r="K6621" t="b">
        <v>1</v>
      </c>
    </row>
    <row r="6622" spans="1:11" x14ac:dyDescent="0.25">
      <c r="A6622" t="s">
        <v>7494</v>
      </c>
      <c r="B6622" t="s">
        <v>72</v>
      </c>
      <c r="C6622" t="s">
        <v>31</v>
      </c>
      <c r="D6622" t="s">
        <v>106</v>
      </c>
      <c r="E6622" s="2">
        <v>8</v>
      </c>
      <c r="F6622" s="4">
        <v>4</v>
      </c>
      <c r="G6622" s="2">
        <v>32</v>
      </c>
      <c r="H6622" t="s">
        <v>25</v>
      </c>
      <c r="I6622" t="s">
        <v>36</v>
      </c>
      <c r="J6622" s="1">
        <v>45313</v>
      </c>
      <c r="K6622" t="b">
        <v>1</v>
      </c>
    </row>
    <row r="6623" spans="1:11" x14ac:dyDescent="0.25">
      <c r="A6623" t="s">
        <v>889</v>
      </c>
      <c r="B6623" t="s">
        <v>22</v>
      </c>
      <c r="C6623" t="s">
        <v>19</v>
      </c>
      <c r="D6623" t="s">
        <v>226</v>
      </c>
      <c r="E6623" s="2">
        <v>8</v>
      </c>
      <c r="F6623" s="4">
        <v>4</v>
      </c>
      <c r="G6623" s="2">
        <v>32</v>
      </c>
      <c r="H6623" t="s">
        <v>45</v>
      </c>
      <c r="I6623" t="s">
        <v>16</v>
      </c>
      <c r="J6623" s="1">
        <v>45328</v>
      </c>
      <c r="K6623" t="b">
        <v>0</v>
      </c>
    </row>
    <row r="6624" spans="1:11" x14ac:dyDescent="0.25">
      <c r="A6624" t="s">
        <v>2240</v>
      </c>
      <c r="B6624" t="s">
        <v>104</v>
      </c>
      <c r="C6624" t="s">
        <v>110</v>
      </c>
      <c r="D6624" t="s">
        <v>282</v>
      </c>
      <c r="E6624" s="2">
        <v>32</v>
      </c>
      <c r="F6624" s="4">
        <v>1</v>
      </c>
      <c r="G6624" s="2">
        <v>32</v>
      </c>
      <c r="H6624" t="s">
        <v>45</v>
      </c>
      <c r="I6624" t="s">
        <v>16</v>
      </c>
      <c r="J6624" s="1">
        <v>45612</v>
      </c>
      <c r="K6624" t="b">
        <v>0</v>
      </c>
    </row>
    <row r="6625" spans="1:11" x14ac:dyDescent="0.25">
      <c r="A6625" t="s">
        <v>2284</v>
      </c>
      <c r="B6625" t="s">
        <v>93</v>
      </c>
      <c r="C6625" t="s">
        <v>27</v>
      </c>
      <c r="D6625" t="s">
        <v>357</v>
      </c>
      <c r="E6625" s="2">
        <v>8</v>
      </c>
      <c r="F6625" s="4">
        <v>4</v>
      </c>
      <c r="G6625" s="2">
        <v>32</v>
      </c>
      <c r="H6625" t="s">
        <v>25</v>
      </c>
      <c r="I6625" t="s">
        <v>16</v>
      </c>
      <c r="J6625" s="1">
        <v>45321</v>
      </c>
      <c r="K6625" t="b">
        <v>0</v>
      </c>
    </row>
    <row r="6626" spans="1:11" x14ac:dyDescent="0.25">
      <c r="A6626" t="s">
        <v>2073</v>
      </c>
      <c r="B6626" t="s">
        <v>40</v>
      </c>
      <c r="C6626" t="s">
        <v>13</v>
      </c>
      <c r="D6626" t="s">
        <v>389</v>
      </c>
      <c r="E6626" s="2">
        <v>15.5</v>
      </c>
      <c r="F6626" s="4">
        <v>2</v>
      </c>
      <c r="G6626" s="2">
        <v>31</v>
      </c>
      <c r="H6626" t="s">
        <v>25</v>
      </c>
      <c r="I6626" t="s">
        <v>16</v>
      </c>
      <c r="J6626" s="1">
        <v>44634</v>
      </c>
      <c r="K6626" t="b">
        <v>0</v>
      </c>
    </row>
    <row r="6627" spans="1:11" x14ac:dyDescent="0.25">
      <c r="A6627" t="s">
        <v>3254</v>
      </c>
      <c r="B6627" t="s">
        <v>72</v>
      </c>
      <c r="C6627" t="s">
        <v>27</v>
      </c>
      <c r="D6627" t="s">
        <v>105</v>
      </c>
      <c r="E6627" s="2">
        <v>15.5</v>
      </c>
      <c r="F6627" s="4">
        <v>2</v>
      </c>
      <c r="G6627" s="2">
        <v>31</v>
      </c>
      <c r="H6627" t="s">
        <v>15</v>
      </c>
      <c r="I6627" t="s">
        <v>16</v>
      </c>
      <c r="J6627" s="1">
        <v>44858</v>
      </c>
      <c r="K6627" t="b">
        <v>0</v>
      </c>
    </row>
    <row r="6628" spans="1:11" x14ac:dyDescent="0.25">
      <c r="A6628" t="s">
        <v>6762</v>
      </c>
      <c r="B6628" t="s">
        <v>97</v>
      </c>
      <c r="C6628" t="s">
        <v>13</v>
      </c>
      <c r="D6628" t="s">
        <v>389</v>
      </c>
      <c r="E6628" s="2">
        <v>15.5</v>
      </c>
      <c r="F6628" s="4">
        <v>2</v>
      </c>
      <c r="G6628" s="2">
        <v>31</v>
      </c>
      <c r="H6628" t="s">
        <v>25</v>
      </c>
      <c r="I6628" t="s">
        <v>36</v>
      </c>
      <c r="J6628" s="1">
        <v>45248</v>
      </c>
      <c r="K6628" t="b">
        <v>0</v>
      </c>
    </row>
    <row r="6629" spans="1:11" x14ac:dyDescent="0.25">
      <c r="A6629" t="s">
        <v>2851</v>
      </c>
      <c r="B6629" t="s">
        <v>142</v>
      </c>
      <c r="C6629" t="s">
        <v>19</v>
      </c>
      <c r="D6629" t="s">
        <v>166</v>
      </c>
      <c r="E6629" s="2">
        <v>15.5</v>
      </c>
      <c r="F6629" s="4">
        <v>2</v>
      </c>
      <c r="G6629" s="2">
        <v>31</v>
      </c>
      <c r="H6629" t="s">
        <v>45</v>
      </c>
      <c r="I6629" t="s">
        <v>36</v>
      </c>
      <c r="J6629" s="1">
        <v>45670</v>
      </c>
      <c r="K6629" t="b">
        <v>0</v>
      </c>
    </row>
    <row r="6630" spans="1:11" x14ac:dyDescent="0.25">
      <c r="A6630" t="s">
        <v>2610</v>
      </c>
      <c r="B6630" t="s">
        <v>97</v>
      </c>
      <c r="C6630" t="s">
        <v>59</v>
      </c>
      <c r="D6630" t="s">
        <v>201</v>
      </c>
      <c r="E6630" s="2">
        <v>15.5</v>
      </c>
      <c r="F6630" s="4">
        <v>2</v>
      </c>
      <c r="G6630" s="2">
        <v>31</v>
      </c>
      <c r="H6630" t="s">
        <v>25</v>
      </c>
      <c r="I6630" t="s">
        <v>16</v>
      </c>
      <c r="J6630" s="1">
        <v>44578</v>
      </c>
      <c r="K6630" t="b">
        <v>1</v>
      </c>
    </row>
    <row r="6631" spans="1:11" x14ac:dyDescent="0.25">
      <c r="A6631" t="s">
        <v>5120</v>
      </c>
      <c r="B6631" t="s">
        <v>58</v>
      </c>
      <c r="C6631" t="s">
        <v>59</v>
      </c>
      <c r="D6631" t="s">
        <v>201</v>
      </c>
      <c r="E6631" s="2">
        <v>15.5</v>
      </c>
      <c r="F6631" s="4">
        <v>2</v>
      </c>
      <c r="G6631" s="2">
        <v>31</v>
      </c>
      <c r="H6631" t="s">
        <v>25</v>
      </c>
      <c r="I6631" t="s">
        <v>16</v>
      </c>
      <c r="J6631" s="1">
        <v>44571</v>
      </c>
      <c r="K6631" t="b">
        <v>1</v>
      </c>
    </row>
    <row r="6632" spans="1:11" x14ac:dyDescent="0.25">
      <c r="A6632" t="s">
        <v>1837</v>
      </c>
      <c r="B6632" t="s">
        <v>97</v>
      </c>
      <c r="C6632" t="s">
        <v>27</v>
      </c>
      <c r="D6632" t="s">
        <v>105</v>
      </c>
      <c r="E6632" s="2">
        <v>15.5</v>
      </c>
      <c r="F6632" s="4">
        <v>2</v>
      </c>
      <c r="G6632" s="2">
        <v>31</v>
      </c>
      <c r="H6632" t="s">
        <v>25</v>
      </c>
      <c r="I6632" t="s">
        <v>16</v>
      </c>
      <c r="J6632" s="1">
        <v>45288</v>
      </c>
      <c r="K6632" t="b">
        <v>1</v>
      </c>
    </row>
    <row r="6633" spans="1:11" x14ac:dyDescent="0.25">
      <c r="A6633" t="s">
        <v>6508</v>
      </c>
      <c r="B6633" t="s">
        <v>69</v>
      </c>
      <c r="C6633" t="s">
        <v>38</v>
      </c>
      <c r="D6633" t="s">
        <v>241</v>
      </c>
      <c r="E6633" s="2">
        <v>15.5</v>
      </c>
      <c r="F6633" s="4">
        <v>2</v>
      </c>
      <c r="G6633" s="2">
        <v>31</v>
      </c>
      <c r="H6633" t="s">
        <v>15</v>
      </c>
      <c r="I6633" t="s">
        <v>36</v>
      </c>
      <c r="J6633" s="1">
        <v>44682</v>
      </c>
      <c r="K6633" t="b">
        <v>0</v>
      </c>
    </row>
    <row r="6634" spans="1:11" x14ac:dyDescent="0.25">
      <c r="A6634" t="s">
        <v>4852</v>
      </c>
      <c r="B6634" t="s">
        <v>56</v>
      </c>
      <c r="C6634" t="s">
        <v>59</v>
      </c>
      <c r="D6634" t="s">
        <v>201</v>
      </c>
      <c r="E6634" s="2">
        <v>15.5</v>
      </c>
      <c r="F6634" s="4">
        <v>2</v>
      </c>
      <c r="G6634" s="2">
        <v>31</v>
      </c>
      <c r="H6634" t="s">
        <v>15</v>
      </c>
      <c r="I6634" t="s">
        <v>16</v>
      </c>
      <c r="J6634" s="1">
        <v>45040</v>
      </c>
      <c r="K6634" t="b">
        <v>0</v>
      </c>
    </row>
    <row r="6635" spans="1:11" x14ac:dyDescent="0.25">
      <c r="A6635" t="s">
        <v>7108</v>
      </c>
      <c r="B6635" t="s">
        <v>30</v>
      </c>
      <c r="C6635" t="s">
        <v>19</v>
      </c>
      <c r="D6635" t="s">
        <v>166</v>
      </c>
      <c r="E6635" s="2">
        <v>15.5</v>
      </c>
      <c r="F6635" s="4">
        <v>2</v>
      </c>
      <c r="G6635" s="2">
        <v>31</v>
      </c>
      <c r="H6635" t="s">
        <v>25</v>
      </c>
      <c r="I6635" t="s">
        <v>16</v>
      </c>
      <c r="J6635" s="1">
        <v>45669</v>
      </c>
      <c r="K6635" t="b">
        <v>1</v>
      </c>
    </row>
    <row r="6636" spans="1:11" x14ac:dyDescent="0.25">
      <c r="A6636" t="s">
        <v>3790</v>
      </c>
      <c r="B6636" t="s">
        <v>18</v>
      </c>
      <c r="C6636" t="s">
        <v>19</v>
      </c>
      <c r="D6636" t="s">
        <v>166</v>
      </c>
      <c r="E6636" s="2">
        <v>15.5</v>
      </c>
      <c r="F6636" s="4">
        <v>2</v>
      </c>
      <c r="G6636" s="2">
        <v>31</v>
      </c>
      <c r="H6636" t="s">
        <v>15</v>
      </c>
      <c r="I6636" t="s">
        <v>36</v>
      </c>
      <c r="J6636" s="1">
        <v>45319</v>
      </c>
      <c r="K6636" t="b">
        <v>1</v>
      </c>
    </row>
    <row r="6637" spans="1:11" x14ac:dyDescent="0.25">
      <c r="A6637" t="s">
        <v>6969</v>
      </c>
      <c r="B6637" t="s">
        <v>100</v>
      </c>
      <c r="C6637" t="s">
        <v>59</v>
      </c>
      <c r="D6637" t="s">
        <v>201</v>
      </c>
      <c r="E6637" s="2">
        <v>15.5</v>
      </c>
      <c r="F6637" s="4">
        <v>2</v>
      </c>
      <c r="G6637" s="2">
        <v>31</v>
      </c>
      <c r="H6637" t="s">
        <v>25</v>
      </c>
      <c r="I6637" t="s">
        <v>36</v>
      </c>
      <c r="J6637" s="1">
        <v>44874</v>
      </c>
      <c r="K6637" t="b">
        <v>0</v>
      </c>
    </row>
    <row r="6638" spans="1:11" x14ac:dyDescent="0.25">
      <c r="A6638" t="s">
        <v>5986</v>
      </c>
      <c r="B6638" t="s">
        <v>69</v>
      </c>
      <c r="C6638" t="s">
        <v>38</v>
      </c>
      <c r="D6638" t="s">
        <v>241</v>
      </c>
      <c r="E6638" s="2">
        <v>15.5</v>
      </c>
      <c r="F6638" s="4">
        <v>2</v>
      </c>
      <c r="G6638" s="2">
        <v>31</v>
      </c>
      <c r="H6638" t="s">
        <v>45</v>
      </c>
      <c r="I6638" t="s">
        <v>16</v>
      </c>
      <c r="J6638" s="1">
        <v>45617</v>
      </c>
      <c r="K6638" t="b">
        <v>1</v>
      </c>
    </row>
    <row r="6639" spans="1:11" x14ac:dyDescent="0.25">
      <c r="A6639" t="s">
        <v>1253</v>
      </c>
      <c r="B6639" t="s">
        <v>40</v>
      </c>
      <c r="C6639" t="s">
        <v>38</v>
      </c>
      <c r="D6639" t="s">
        <v>241</v>
      </c>
      <c r="E6639" s="2">
        <v>15.5</v>
      </c>
      <c r="F6639" s="4">
        <v>2</v>
      </c>
      <c r="G6639" s="2">
        <v>31</v>
      </c>
      <c r="H6639" t="s">
        <v>45</v>
      </c>
      <c r="I6639" t="s">
        <v>16</v>
      </c>
      <c r="J6639" s="1">
        <v>44669</v>
      </c>
      <c r="K6639" t="b">
        <v>1</v>
      </c>
    </row>
    <row r="6640" spans="1:11" x14ac:dyDescent="0.25">
      <c r="A6640" t="s">
        <v>6575</v>
      </c>
      <c r="B6640" t="s">
        <v>51</v>
      </c>
      <c r="C6640" t="s">
        <v>19</v>
      </c>
      <c r="D6640" t="s">
        <v>166</v>
      </c>
      <c r="E6640" s="2">
        <v>15.5</v>
      </c>
      <c r="F6640" s="4">
        <v>2</v>
      </c>
      <c r="G6640" s="2">
        <v>31</v>
      </c>
      <c r="H6640" t="s">
        <v>45</v>
      </c>
      <c r="I6640" t="s">
        <v>16</v>
      </c>
      <c r="J6640" s="1">
        <v>44605</v>
      </c>
      <c r="K6640" t="b">
        <v>1</v>
      </c>
    </row>
    <row r="6641" spans="1:11" x14ac:dyDescent="0.25">
      <c r="A6641" t="s">
        <v>5214</v>
      </c>
      <c r="B6641" t="s">
        <v>58</v>
      </c>
      <c r="C6641" t="s">
        <v>19</v>
      </c>
      <c r="D6641" t="s">
        <v>166</v>
      </c>
      <c r="E6641" s="2">
        <v>15.5</v>
      </c>
      <c r="F6641" s="4">
        <v>2</v>
      </c>
      <c r="G6641" s="2">
        <v>31</v>
      </c>
      <c r="H6641" t="s">
        <v>15</v>
      </c>
      <c r="I6641" t="s">
        <v>36</v>
      </c>
      <c r="J6641" s="1">
        <v>45440</v>
      </c>
      <c r="K6641" t="b">
        <v>0</v>
      </c>
    </row>
    <row r="6642" spans="1:11" x14ac:dyDescent="0.25">
      <c r="A6642" t="s">
        <v>2893</v>
      </c>
      <c r="B6642" t="s">
        <v>69</v>
      </c>
      <c r="C6642" t="s">
        <v>13</v>
      </c>
      <c r="D6642" t="s">
        <v>389</v>
      </c>
      <c r="E6642" s="2">
        <v>15.5</v>
      </c>
      <c r="F6642" s="4">
        <v>2</v>
      </c>
      <c r="G6642" s="2">
        <v>31</v>
      </c>
      <c r="H6642" t="s">
        <v>25</v>
      </c>
      <c r="I6642" t="s">
        <v>16</v>
      </c>
      <c r="J6642" s="1">
        <v>44927</v>
      </c>
      <c r="K6642" t="b">
        <v>0</v>
      </c>
    </row>
    <row r="6643" spans="1:11" x14ac:dyDescent="0.25">
      <c r="A6643" t="s">
        <v>5297</v>
      </c>
      <c r="B6643" t="s">
        <v>18</v>
      </c>
      <c r="C6643" t="s">
        <v>59</v>
      </c>
      <c r="D6643" t="s">
        <v>201</v>
      </c>
      <c r="E6643" s="2">
        <v>15.5</v>
      </c>
      <c r="F6643" s="4">
        <v>2</v>
      </c>
      <c r="G6643" s="2">
        <v>31</v>
      </c>
      <c r="H6643" t="s">
        <v>45</v>
      </c>
      <c r="I6643" t="s">
        <v>16</v>
      </c>
      <c r="J6643" s="1">
        <v>44888</v>
      </c>
      <c r="K6643" t="b">
        <v>0</v>
      </c>
    </row>
    <row r="6644" spans="1:11" x14ac:dyDescent="0.25">
      <c r="A6644" t="s">
        <v>531</v>
      </c>
      <c r="B6644" t="s">
        <v>51</v>
      </c>
      <c r="C6644" t="s">
        <v>38</v>
      </c>
      <c r="D6644" t="s">
        <v>241</v>
      </c>
      <c r="E6644" s="2">
        <v>15.5</v>
      </c>
      <c r="F6644" s="4">
        <v>2</v>
      </c>
      <c r="G6644" s="2">
        <v>31</v>
      </c>
      <c r="H6644" t="s">
        <v>25</v>
      </c>
      <c r="I6644" t="s">
        <v>36</v>
      </c>
      <c r="J6644" s="1">
        <v>45126</v>
      </c>
      <c r="K6644" t="b">
        <v>0</v>
      </c>
    </row>
    <row r="6645" spans="1:11" x14ac:dyDescent="0.25">
      <c r="A6645" t="s">
        <v>4238</v>
      </c>
      <c r="B6645" t="s">
        <v>66</v>
      </c>
      <c r="C6645" t="s">
        <v>59</v>
      </c>
      <c r="D6645" t="s">
        <v>201</v>
      </c>
      <c r="E6645" s="2">
        <v>15.5</v>
      </c>
      <c r="F6645" s="4">
        <v>2</v>
      </c>
      <c r="G6645" s="2">
        <v>31</v>
      </c>
      <c r="H6645" t="s">
        <v>15</v>
      </c>
      <c r="I6645" t="s">
        <v>16</v>
      </c>
      <c r="J6645" s="1">
        <v>44665</v>
      </c>
      <c r="K6645" t="b">
        <v>1</v>
      </c>
    </row>
    <row r="6646" spans="1:11" x14ac:dyDescent="0.25">
      <c r="A6646" t="s">
        <v>7699</v>
      </c>
      <c r="B6646" t="s">
        <v>26</v>
      </c>
      <c r="C6646" t="s">
        <v>19</v>
      </c>
      <c r="D6646" t="s">
        <v>166</v>
      </c>
      <c r="E6646" s="2">
        <v>15.5</v>
      </c>
      <c r="F6646" s="4">
        <v>2</v>
      </c>
      <c r="G6646" s="2">
        <v>31</v>
      </c>
      <c r="H6646" t="s">
        <v>45</v>
      </c>
      <c r="I6646" t="s">
        <v>36</v>
      </c>
      <c r="J6646" s="1">
        <v>45129</v>
      </c>
      <c r="K6646" t="b">
        <v>0</v>
      </c>
    </row>
    <row r="6647" spans="1:11" x14ac:dyDescent="0.25">
      <c r="A6647" t="s">
        <v>7555</v>
      </c>
      <c r="B6647" t="s">
        <v>51</v>
      </c>
      <c r="C6647" t="s">
        <v>23</v>
      </c>
      <c r="D6647" t="s">
        <v>187</v>
      </c>
      <c r="E6647" s="2">
        <v>15.5</v>
      </c>
      <c r="F6647" s="4">
        <v>2</v>
      </c>
      <c r="G6647" s="2">
        <v>31</v>
      </c>
      <c r="H6647" t="s">
        <v>45</v>
      </c>
      <c r="I6647" t="s">
        <v>16</v>
      </c>
      <c r="J6647" s="1">
        <v>44732</v>
      </c>
      <c r="K6647" t="b">
        <v>1</v>
      </c>
    </row>
    <row r="6648" spans="1:11" x14ac:dyDescent="0.25">
      <c r="A6648" t="s">
        <v>6455</v>
      </c>
      <c r="B6648" t="s">
        <v>66</v>
      </c>
      <c r="C6648" t="s">
        <v>38</v>
      </c>
      <c r="D6648" t="s">
        <v>241</v>
      </c>
      <c r="E6648" s="2">
        <v>15.5</v>
      </c>
      <c r="F6648" s="4">
        <v>2</v>
      </c>
      <c r="G6648" s="2">
        <v>31</v>
      </c>
      <c r="H6648" t="s">
        <v>15</v>
      </c>
      <c r="I6648" t="s">
        <v>36</v>
      </c>
      <c r="J6648" s="1">
        <v>44859</v>
      </c>
      <c r="K6648" t="b">
        <v>1</v>
      </c>
    </row>
    <row r="6649" spans="1:11" x14ac:dyDescent="0.25">
      <c r="A6649" t="s">
        <v>5412</v>
      </c>
      <c r="B6649" t="s">
        <v>69</v>
      </c>
      <c r="C6649" t="s">
        <v>19</v>
      </c>
      <c r="D6649" t="s">
        <v>166</v>
      </c>
      <c r="E6649" s="2">
        <v>15.5</v>
      </c>
      <c r="F6649" s="4">
        <v>2</v>
      </c>
      <c r="G6649" s="2">
        <v>31</v>
      </c>
      <c r="H6649" t="s">
        <v>45</v>
      </c>
      <c r="I6649" t="s">
        <v>16</v>
      </c>
      <c r="J6649" s="1">
        <v>44978</v>
      </c>
      <c r="K6649" t="b">
        <v>0</v>
      </c>
    </row>
    <row r="6650" spans="1:11" x14ac:dyDescent="0.25">
      <c r="A6650" t="s">
        <v>6100</v>
      </c>
      <c r="B6650" t="s">
        <v>30</v>
      </c>
      <c r="C6650" t="s">
        <v>59</v>
      </c>
      <c r="D6650" t="s">
        <v>201</v>
      </c>
      <c r="E6650" s="2">
        <v>15.5</v>
      </c>
      <c r="F6650" s="4">
        <v>2</v>
      </c>
      <c r="G6650" s="2">
        <v>31</v>
      </c>
      <c r="H6650" t="s">
        <v>15</v>
      </c>
      <c r="I6650" t="s">
        <v>16</v>
      </c>
      <c r="J6650" s="1">
        <v>45014</v>
      </c>
      <c r="K6650" t="b">
        <v>1</v>
      </c>
    </row>
    <row r="6651" spans="1:11" x14ac:dyDescent="0.25">
      <c r="A6651" t="s">
        <v>7590</v>
      </c>
      <c r="B6651" t="s">
        <v>12</v>
      </c>
      <c r="C6651" t="s">
        <v>19</v>
      </c>
      <c r="D6651" t="s">
        <v>166</v>
      </c>
      <c r="E6651" s="2">
        <v>15.5</v>
      </c>
      <c r="F6651" s="4">
        <v>2</v>
      </c>
      <c r="G6651" s="2">
        <v>31</v>
      </c>
      <c r="H6651" t="s">
        <v>25</v>
      </c>
      <c r="I6651" t="s">
        <v>16</v>
      </c>
      <c r="J6651" s="1">
        <v>45453</v>
      </c>
      <c r="K6651" t="b">
        <v>0</v>
      </c>
    </row>
    <row r="6652" spans="1:11" x14ac:dyDescent="0.25">
      <c r="A6652" t="s">
        <v>7653</v>
      </c>
      <c r="B6652" t="s">
        <v>100</v>
      </c>
      <c r="C6652" t="s">
        <v>110</v>
      </c>
      <c r="D6652" t="s">
        <v>199</v>
      </c>
      <c r="E6652" s="2">
        <v>15.5</v>
      </c>
      <c r="F6652" s="4">
        <v>2</v>
      </c>
      <c r="G6652" s="2">
        <v>31</v>
      </c>
      <c r="H6652" t="s">
        <v>45</v>
      </c>
      <c r="I6652" t="s">
        <v>36</v>
      </c>
      <c r="J6652" s="1">
        <v>44904</v>
      </c>
      <c r="K6652" t="b">
        <v>1</v>
      </c>
    </row>
    <row r="6653" spans="1:11" x14ac:dyDescent="0.25">
      <c r="A6653" t="s">
        <v>1374</v>
      </c>
      <c r="B6653" t="s">
        <v>37</v>
      </c>
      <c r="C6653" t="s">
        <v>31</v>
      </c>
      <c r="D6653" t="s">
        <v>144</v>
      </c>
      <c r="E6653" s="2">
        <v>30.5</v>
      </c>
      <c r="F6653" s="4">
        <v>1</v>
      </c>
      <c r="G6653" s="2">
        <v>30.5</v>
      </c>
      <c r="H6653" t="s">
        <v>25</v>
      </c>
      <c r="I6653" t="s">
        <v>16</v>
      </c>
      <c r="J6653" s="1">
        <v>45153</v>
      </c>
      <c r="K6653" t="b">
        <v>0</v>
      </c>
    </row>
    <row r="6654" spans="1:11" x14ac:dyDescent="0.25">
      <c r="A6654" t="s">
        <v>6156</v>
      </c>
      <c r="B6654" t="s">
        <v>40</v>
      </c>
      <c r="C6654" t="s">
        <v>110</v>
      </c>
      <c r="D6654" t="s">
        <v>256</v>
      </c>
      <c r="E6654" s="2">
        <v>30.5</v>
      </c>
      <c r="F6654" s="4">
        <v>1</v>
      </c>
      <c r="G6654" s="2">
        <v>30.5</v>
      </c>
      <c r="H6654" t="s">
        <v>45</v>
      </c>
      <c r="I6654" t="s">
        <v>36</v>
      </c>
      <c r="J6654" s="1">
        <v>44895</v>
      </c>
      <c r="K6654" t="b">
        <v>1</v>
      </c>
    </row>
    <row r="6655" spans="1:11" x14ac:dyDescent="0.25">
      <c r="A6655" t="s">
        <v>4347</v>
      </c>
      <c r="B6655" t="s">
        <v>12</v>
      </c>
      <c r="C6655" t="s">
        <v>31</v>
      </c>
      <c r="D6655" t="s">
        <v>144</v>
      </c>
      <c r="E6655" s="2">
        <v>30.5</v>
      </c>
      <c r="F6655" s="4">
        <v>1</v>
      </c>
      <c r="G6655" s="2">
        <v>30.5</v>
      </c>
      <c r="H6655" t="s">
        <v>25</v>
      </c>
      <c r="I6655" t="s">
        <v>36</v>
      </c>
      <c r="J6655" s="1">
        <v>45672</v>
      </c>
      <c r="K6655" t="b">
        <v>1</v>
      </c>
    </row>
    <row r="6656" spans="1:11" x14ac:dyDescent="0.25">
      <c r="A6656" t="s">
        <v>5725</v>
      </c>
      <c r="B6656" t="s">
        <v>86</v>
      </c>
      <c r="C6656" t="s">
        <v>13</v>
      </c>
      <c r="D6656" t="s">
        <v>1016</v>
      </c>
      <c r="E6656" s="2">
        <v>30.5</v>
      </c>
      <c r="F6656" s="4">
        <v>1</v>
      </c>
      <c r="G6656" s="2">
        <v>30.5</v>
      </c>
      <c r="H6656" t="s">
        <v>15</v>
      </c>
      <c r="I6656" t="s">
        <v>36</v>
      </c>
      <c r="J6656" s="1">
        <v>45502</v>
      </c>
      <c r="K6656" t="b">
        <v>1</v>
      </c>
    </row>
    <row r="6657" spans="1:11" x14ac:dyDescent="0.25">
      <c r="A6657" t="s">
        <v>7493</v>
      </c>
      <c r="B6657" t="s">
        <v>86</v>
      </c>
      <c r="C6657" t="s">
        <v>31</v>
      </c>
      <c r="D6657" t="s">
        <v>144</v>
      </c>
      <c r="E6657" s="2">
        <v>30.5</v>
      </c>
      <c r="F6657" s="4">
        <v>1</v>
      </c>
      <c r="G6657" s="2">
        <v>30.5</v>
      </c>
      <c r="H6657" t="s">
        <v>45</v>
      </c>
      <c r="I6657" t="s">
        <v>36</v>
      </c>
      <c r="J6657" s="1">
        <v>45469</v>
      </c>
      <c r="K6657" t="b">
        <v>0</v>
      </c>
    </row>
    <row r="6658" spans="1:11" x14ac:dyDescent="0.25">
      <c r="A6658" t="s">
        <v>6040</v>
      </c>
      <c r="B6658" t="s">
        <v>104</v>
      </c>
      <c r="C6658" t="s">
        <v>23</v>
      </c>
      <c r="D6658" t="s">
        <v>223</v>
      </c>
      <c r="E6658" s="2">
        <v>30.5</v>
      </c>
      <c r="F6658" s="4">
        <v>1</v>
      </c>
      <c r="G6658" s="2">
        <v>30.5</v>
      </c>
      <c r="H6658" t="s">
        <v>15</v>
      </c>
      <c r="I6658" t="s">
        <v>36</v>
      </c>
      <c r="J6658" s="1">
        <v>45360</v>
      </c>
      <c r="K6658" t="b">
        <v>0</v>
      </c>
    </row>
    <row r="6659" spans="1:11" x14ac:dyDescent="0.25">
      <c r="A6659" t="s">
        <v>7386</v>
      </c>
      <c r="B6659" t="s">
        <v>12</v>
      </c>
      <c r="C6659" t="s">
        <v>19</v>
      </c>
      <c r="D6659" t="s">
        <v>474</v>
      </c>
      <c r="E6659" s="2">
        <v>30.5</v>
      </c>
      <c r="F6659" s="4">
        <v>1</v>
      </c>
      <c r="G6659" s="2">
        <v>30.5</v>
      </c>
      <c r="H6659" t="s">
        <v>25</v>
      </c>
      <c r="I6659" t="s">
        <v>16</v>
      </c>
      <c r="J6659" s="1">
        <v>44657</v>
      </c>
      <c r="K6659" t="b">
        <v>0</v>
      </c>
    </row>
    <row r="6660" spans="1:11" x14ac:dyDescent="0.25">
      <c r="A6660" t="s">
        <v>594</v>
      </c>
      <c r="B6660" t="s">
        <v>43</v>
      </c>
      <c r="C6660" t="s">
        <v>27</v>
      </c>
      <c r="D6660" t="s">
        <v>524</v>
      </c>
      <c r="E6660" s="2">
        <v>30.5</v>
      </c>
      <c r="F6660" s="4">
        <v>1</v>
      </c>
      <c r="G6660" s="2">
        <v>30.5</v>
      </c>
      <c r="H6660" t="s">
        <v>15</v>
      </c>
      <c r="I6660" t="s">
        <v>36</v>
      </c>
      <c r="J6660" s="1">
        <v>45573</v>
      </c>
      <c r="K6660" t="b">
        <v>0</v>
      </c>
    </row>
    <row r="6661" spans="1:11" x14ac:dyDescent="0.25">
      <c r="A6661" t="s">
        <v>4609</v>
      </c>
      <c r="B6661" t="s">
        <v>26</v>
      </c>
      <c r="C6661" t="s">
        <v>31</v>
      </c>
      <c r="D6661" t="s">
        <v>144</v>
      </c>
      <c r="E6661" s="2">
        <v>30.5</v>
      </c>
      <c r="F6661" s="4">
        <v>1</v>
      </c>
      <c r="G6661" s="2">
        <v>30.5</v>
      </c>
      <c r="H6661" t="s">
        <v>25</v>
      </c>
      <c r="I6661" t="s">
        <v>36</v>
      </c>
      <c r="J6661" s="1">
        <v>44894</v>
      </c>
      <c r="K6661" t="b">
        <v>1</v>
      </c>
    </row>
    <row r="6662" spans="1:11" x14ac:dyDescent="0.25">
      <c r="A6662" t="s">
        <v>4279</v>
      </c>
      <c r="B6662" t="s">
        <v>22</v>
      </c>
      <c r="C6662" t="s">
        <v>13</v>
      </c>
      <c r="D6662" t="s">
        <v>1016</v>
      </c>
      <c r="E6662" s="2">
        <v>30.5</v>
      </c>
      <c r="F6662" s="4">
        <v>1</v>
      </c>
      <c r="G6662" s="2">
        <v>30.5</v>
      </c>
      <c r="H6662" t="s">
        <v>15</v>
      </c>
      <c r="I6662" t="s">
        <v>16</v>
      </c>
      <c r="J6662" s="1">
        <v>45665</v>
      </c>
      <c r="K6662" t="b">
        <v>1</v>
      </c>
    </row>
    <row r="6663" spans="1:11" x14ac:dyDescent="0.25">
      <c r="A6663" t="s">
        <v>7008</v>
      </c>
      <c r="B6663" t="s">
        <v>85</v>
      </c>
      <c r="C6663" t="s">
        <v>110</v>
      </c>
      <c r="D6663" t="s">
        <v>256</v>
      </c>
      <c r="E6663" s="2">
        <v>30.5</v>
      </c>
      <c r="F6663" s="4">
        <v>1</v>
      </c>
      <c r="G6663" s="2">
        <v>30.5</v>
      </c>
      <c r="H6663" t="s">
        <v>25</v>
      </c>
      <c r="I6663" t="s">
        <v>36</v>
      </c>
      <c r="J6663" s="1">
        <v>45085</v>
      </c>
      <c r="K6663" t="b">
        <v>0</v>
      </c>
    </row>
    <row r="6664" spans="1:11" x14ac:dyDescent="0.25">
      <c r="A6664" t="s">
        <v>1870</v>
      </c>
      <c r="B6664" t="s">
        <v>93</v>
      </c>
      <c r="C6664" t="s">
        <v>31</v>
      </c>
      <c r="D6664" t="s">
        <v>144</v>
      </c>
      <c r="E6664" s="2">
        <v>30.5</v>
      </c>
      <c r="F6664" s="4">
        <v>1</v>
      </c>
      <c r="G6664" s="2">
        <v>30.5</v>
      </c>
      <c r="H6664" t="s">
        <v>45</v>
      </c>
      <c r="I6664" t="s">
        <v>16</v>
      </c>
      <c r="J6664" s="1">
        <v>45669</v>
      </c>
      <c r="K6664" t="b">
        <v>0</v>
      </c>
    </row>
    <row r="6665" spans="1:11" x14ac:dyDescent="0.25">
      <c r="A6665" t="s">
        <v>2852</v>
      </c>
      <c r="B6665" t="s">
        <v>63</v>
      </c>
      <c r="C6665" t="s">
        <v>110</v>
      </c>
      <c r="D6665" t="s">
        <v>256</v>
      </c>
      <c r="E6665" s="2">
        <v>30.5</v>
      </c>
      <c r="F6665" s="4">
        <v>1</v>
      </c>
      <c r="G6665" s="2">
        <v>30.5</v>
      </c>
      <c r="H6665" t="s">
        <v>15</v>
      </c>
      <c r="I6665" t="s">
        <v>16</v>
      </c>
      <c r="J6665" s="1">
        <v>44640</v>
      </c>
      <c r="K6665" t="b">
        <v>0</v>
      </c>
    </row>
    <row r="6666" spans="1:11" x14ac:dyDescent="0.25">
      <c r="A6666" t="s">
        <v>4926</v>
      </c>
      <c r="B6666" t="s">
        <v>40</v>
      </c>
      <c r="C6666" t="s">
        <v>27</v>
      </c>
      <c r="D6666" t="s">
        <v>524</v>
      </c>
      <c r="E6666" s="2">
        <v>30.5</v>
      </c>
      <c r="F6666" s="4">
        <v>1</v>
      </c>
      <c r="G6666" s="2">
        <v>30.5</v>
      </c>
      <c r="H6666" t="s">
        <v>15</v>
      </c>
      <c r="I6666" t="s">
        <v>16</v>
      </c>
      <c r="J6666" s="1">
        <v>45205</v>
      </c>
      <c r="K6666" t="b">
        <v>0</v>
      </c>
    </row>
    <row r="6667" spans="1:11" x14ac:dyDescent="0.25">
      <c r="A6667" t="s">
        <v>6649</v>
      </c>
      <c r="B6667" t="s">
        <v>18</v>
      </c>
      <c r="C6667" t="s">
        <v>19</v>
      </c>
      <c r="D6667" t="s">
        <v>474</v>
      </c>
      <c r="E6667" s="2">
        <v>30.5</v>
      </c>
      <c r="F6667" s="4">
        <v>1</v>
      </c>
      <c r="G6667" s="2">
        <v>30.5</v>
      </c>
      <c r="H6667" t="s">
        <v>15</v>
      </c>
      <c r="I6667" t="s">
        <v>16</v>
      </c>
      <c r="J6667" s="1">
        <v>45197</v>
      </c>
      <c r="K6667" t="b">
        <v>1</v>
      </c>
    </row>
    <row r="6668" spans="1:11" x14ac:dyDescent="0.25">
      <c r="A6668" t="s">
        <v>1976</v>
      </c>
      <c r="B6668" t="s">
        <v>26</v>
      </c>
      <c r="C6668" t="s">
        <v>27</v>
      </c>
      <c r="D6668" t="s">
        <v>524</v>
      </c>
      <c r="E6668" s="2">
        <v>30.5</v>
      </c>
      <c r="F6668" s="4">
        <v>1</v>
      </c>
      <c r="G6668" s="2">
        <v>30.5</v>
      </c>
      <c r="H6668" t="s">
        <v>15</v>
      </c>
      <c r="I6668" t="s">
        <v>36</v>
      </c>
      <c r="J6668" s="1">
        <v>44919</v>
      </c>
      <c r="K6668" t="b">
        <v>0</v>
      </c>
    </row>
    <row r="6669" spans="1:11" x14ac:dyDescent="0.25">
      <c r="A6669" t="s">
        <v>4628</v>
      </c>
      <c r="B6669" t="s">
        <v>142</v>
      </c>
      <c r="C6669" t="s">
        <v>23</v>
      </c>
      <c r="D6669" t="s">
        <v>311</v>
      </c>
      <c r="E6669" s="2">
        <v>5</v>
      </c>
      <c r="F6669" s="4">
        <v>6</v>
      </c>
      <c r="G6669" s="2">
        <v>30</v>
      </c>
      <c r="H6669" t="s">
        <v>15</v>
      </c>
      <c r="I6669" t="s">
        <v>36</v>
      </c>
      <c r="J6669" s="1">
        <v>45240</v>
      </c>
      <c r="K6669" t="b">
        <v>0</v>
      </c>
    </row>
    <row r="6670" spans="1:11" x14ac:dyDescent="0.25">
      <c r="A6670" t="s">
        <v>6155</v>
      </c>
      <c r="B6670" t="s">
        <v>18</v>
      </c>
      <c r="C6670" t="s">
        <v>38</v>
      </c>
      <c r="D6670" t="s">
        <v>225</v>
      </c>
      <c r="E6670" s="2">
        <v>5</v>
      </c>
      <c r="F6670" s="4">
        <v>6</v>
      </c>
      <c r="G6670" s="2">
        <v>30</v>
      </c>
      <c r="H6670" t="s">
        <v>25</v>
      </c>
      <c r="I6670" t="s">
        <v>16</v>
      </c>
      <c r="J6670" s="1">
        <v>44664</v>
      </c>
      <c r="K6670" t="b">
        <v>1</v>
      </c>
    </row>
    <row r="6671" spans="1:11" x14ac:dyDescent="0.25">
      <c r="A6671" t="s">
        <v>1799</v>
      </c>
      <c r="B6671" t="s">
        <v>22</v>
      </c>
      <c r="C6671" t="s">
        <v>38</v>
      </c>
      <c r="D6671" t="s">
        <v>225</v>
      </c>
      <c r="E6671" s="2">
        <v>5</v>
      </c>
      <c r="F6671" s="4">
        <v>6</v>
      </c>
      <c r="G6671" s="2">
        <v>30</v>
      </c>
      <c r="H6671" t="s">
        <v>25</v>
      </c>
      <c r="I6671" t="s">
        <v>36</v>
      </c>
      <c r="J6671" s="1">
        <v>45097</v>
      </c>
      <c r="K6671" t="b">
        <v>1</v>
      </c>
    </row>
    <row r="6672" spans="1:11" x14ac:dyDescent="0.25">
      <c r="A6672" t="s">
        <v>145</v>
      </c>
      <c r="B6672" t="s">
        <v>58</v>
      </c>
      <c r="C6672" t="s">
        <v>13</v>
      </c>
      <c r="D6672" t="s">
        <v>146</v>
      </c>
      <c r="E6672" s="2">
        <v>5</v>
      </c>
      <c r="F6672" s="4">
        <v>6</v>
      </c>
      <c r="G6672" s="2">
        <v>30</v>
      </c>
      <c r="H6672" t="s">
        <v>15</v>
      </c>
      <c r="I6672" t="s">
        <v>16</v>
      </c>
      <c r="J6672" s="1">
        <v>44912</v>
      </c>
      <c r="K6672" t="b">
        <v>1</v>
      </c>
    </row>
    <row r="6673" spans="1:11" x14ac:dyDescent="0.25">
      <c r="A6673" t="s">
        <v>5012</v>
      </c>
      <c r="B6673" t="s">
        <v>86</v>
      </c>
      <c r="C6673" t="s">
        <v>31</v>
      </c>
      <c r="D6673" t="s">
        <v>35</v>
      </c>
      <c r="E6673" s="2">
        <v>5</v>
      </c>
      <c r="F6673" s="4">
        <v>6</v>
      </c>
      <c r="G6673" s="2">
        <v>30</v>
      </c>
      <c r="H6673" t="s">
        <v>45</v>
      </c>
      <c r="I6673" t="s">
        <v>36</v>
      </c>
      <c r="J6673" s="1">
        <v>45329</v>
      </c>
      <c r="K6673" t="b">
        <v>0</v>
      </c>
    </row>
    <row r="6674" spans="1:11" x14ac:dyDescent="0.25">
      <c r="A6674" t="s">
        <v>4215</v>
      </c>
      <c r="B6674" t="s">
        <v>97</v>
      </c>
      <c r="C6674" t="s">
        <v>13</v>
      </c>
      <c r="D6674" t="s">
        <v>146</v>
      </c>
      <c r="E6674" s="2">
        <v>5</v>
      </c>
      <c r="F6674" s="4">
        <v>6</v>
      </c>
      <c r="G6674" s="2">
        <v>30</v>
      </c>
      <c r="H6674" t="s">
        <v>25</v>
      </c>
      <c r="I6674" t="s">
        <v>16</v>
      </c>
      <c r="J6674" s="1">
        <v>45649</v>
      </c>
      <c r="K6674" t="b">
        <v>0</v>
      </c>
    </row>
    <row r="6675" spans="1:11" x14ac:dyDescent="0.25">
      <c r="A6675" t="s">
        <v>6718</v>
      </c>
      <c r="B6675" t="s">
        <v>40</v>
      </c>
      <c r="C6675" t="s">
        <v>23</v>
      </c>
      <c r="D6675" t="s">
        <v>311</v>
      </c>
      <c r="E6675" s="2">
        <v>5</v>
      </c>
      <c r="F6675" s="4">
        <v>6</v>
      </c>
      <c r="G6675" s="2">
        <v>30</v>
      </c>
      <c r="H6675" t="s">
        <v>15</v>
      </c>
      <c r="I6675" t="s">
        <v>36</v>
      </c>
      <c r="J6675" s="1">
        <v>45029</v>
      </c>
      <c r="K6675" t="b">
        <v>1</v>
      </c>
    </row>
    <row r="6676" spans="1:11" x14ac:dyDescent="0.25">
      <c r="A6676" t="s">
        <v>1094</v>
      </c>
      <c r="B6676" t="s">
        <v>97</v>
      </c>
      <c r="C6676" t="s">
        <v>59</v>
      </c>
      <c r="D6676" t="s">
        <v>279</v>
      </c>
      <c r="E6676" s="2">
        <v>5</v>
      </c>
      <c r="F6676" s="4">
        <v>6</v>
      </c>
      <c r="G6676" s="2">
        <v>30</v>
      </c>
      <c r="H6676" t="s">
        <v>25</v>
      </c>
      <c r="I6676" t="s">
        <v>36</v>
      </c>
      <c r="J6676" s="1">
        <v>45490</v>
      </c>
      <c r="K6676" t="b">
        <v>1</v>
      </c>
    </row>
    <row r="6677" spans="1:11" x14ac:dyDescent="0.25">
      <c r="A6677" t="s">
        <v>2983</v>
      </c>
      <c r="B6677" t="s">
        <v>18</v>
      </c>
      <c r="C6677" t="s">
        <v>19</v>
      </c>
      <c r="D6677" t="s">
        <v>219</v>
      </c>
      <c r="E6677" s="2">
        <v>5</v>
      </c>
      <c r="F6677" s="4">
        <v>6</v>
      </c>
      <c r="G6677" s="2">
        <v>30</v>
      </c>
      <c r="H6677" t="s">
        <v>25</v>
      </c>
      <c r="I6677" t="s">
        <v>16</v>
      </c>
      <c r="J6677" s="1">
        <v>44611</v>
      </c>
      <c r="K6677" t="b">
        <v>0</v>
      </c>
    </row>
    <row r="6678" spans="1:11" x14ac:dyDescent="0.25">
      <c r="A6678" t="s">
        <v>6248</v>
      </c>
      <c r="B6678" t="s">
        <v>86</v>
      </c>
      <c r="C6678" t="s">
        <v>13</v>
      </c>
      <c r="D6678" t="s">
        <v>146</v>
      </c>
      <c r="E6678" s="2">
        <v>5</v>
      </c>
      <c r="F6678" s="4">
        <v>6</v>
      </c>
      <c r="G6678" s="2">
        <v>30</v>
      </c>
      <c r="H6678" t="s">
        <v>15</v>
      </c>
      <c r="I6678" t="s">
        <v>36</v>
      </c>
      <c r="J6678" s="1">
        <v>45408</v>
      </c>
      <c r="K6678" t="b">
        <v>0</v>
      </c>
    </row>
    <row r="6679" spans="1:11" x14ac:dyDescent="0.25">
      <c r="A6679" t="s">
        <v>7745</v>
      </c>
      <c r="B6679" t="s">
        <v>66</v>
      </c>
      <c r="C6679" t="s">
        <v>27</v>
      </c>
      <c r="D6679" t="s">
        <v>348</v>
      </c>
      <c r="E6679" s="2">
        <v>5</v>
      </c>
      <c r="F6679" s="4">
        <v>6</v>
      </c>
      <c r="G6679" s="2">
        <v>30</v>
      </c>
      <c r="H6679" t="s">
        <v>45</v>
      </c>
      <c r="I6679" t="s">
        <v>36</v>
      </c>
      <c r="J6679" s="1">
        <v>45289</v>
      </c>
      <c r="K6679" t="b">
        <v>1</v>
      </c>
    </row>
    <row r="6680" spans="1:11" x14ac:dyDescent="0.25">
      <c r="A6680" t="s">
        <v>6789</v>
      </c>
      <c r="B6680" t="s">
        <v>43</v>
      </c>
      <c r="C6680" t="s">
        <v>19</v>
      </c>
      <c r="D6680" t="s">
        <v>219</v>
      </c>
      <c r="E6680" s="2">
        <v>5</v>
      </c>
      <c r="F6680" s="4">
        <v>6</v>
      </c>
      <c r="G6680" s="2">
        <v>30</v>
      </c>
      <c r="H6680" t="s">
        <v>25</v>
      </c>
      <c r="I6680" t="s">
        <v>36</v>
      </c>
      <c r="J6680" s="1">
        <v>45124</v>
      </c>
      <c r="K6680" t="b">
        <v>0</v>
      </c>
    </row>
    <row r="6681" spans="1:11" x14ac:dyDescent="0.25">
      <c r="A6681" t="s">
        <v>527</v>
      </c>
      <c r="B6681" t="s">
        <v>69</v>
      </c>
      <c r="C6681" t="s">
        <v>38</v>
      </c>
      <c r="D6681" t="s">
        <v>225</v>
      </c>
      <c r="E6681" s="2">
        <v>5</v>
      </c>
      <c r="F6681" s="4">
        <v>6</v>
      </c>
      <c r="G6681" s="2">
        <v>30</v>
      </c>
      <c r="H6681" t="s">
        <v>15</v>
      </c>
      <c r="I6681" t="s">
        <v>16</v>
      </c>
      <c r="J6681" s="1">
        <v>45027</v>
      </c>
      <c r="K6681" t="b">
        <v>1</v>
      </c>
    </row>
    <row r="6682" spans="1:11" x14ac:dyDescent="0.25">
      <c r="A6682" t="s">
        <v>507</v>
      </c>
      <c r="B6682" t="s">
        <v>77</v>
      </c>
      <c r="C6682" t="s">
        <v>19</v>
      </c>
      <c r="D6682" t="s">
        <v>219</v>
      </c>
      <c r="E6682" s="2">
        <v>5</v>
      </c>
      <c r="F6682" s="4">
        <v>6</v>
      </c>
      <c r="G6682" s="2">
        <v>30</v>
      </c>
      <c r="H6682" t="s">
        <v>25</v>
      </c>
      <c r="I6682" t="s">
        <v>16</v>
      </c>
      <c r="J6682" s="1">
        <v>44711</v>
      </c>
      <c r="K6682" t="b">
        <v>1</v>
      </c>
    </row>
    <row r="6683" spans="1:11" x14ac:dyDescent="0.25">
      <c r="A6683" t="s">
        <v>6087</v>
      </c>
      <c r="B6683" t="s">
        <v>40</v>
      </c>
      <c r="C6683" t="s">
        <v>110</v>
      </c>
      <c r="D6683" t="s">
        <v>337</v>
      </c>
      <c r="E6683" s="2">
        <v>5</v>
      </c>
      <c r="F6683" s="4">
        <v>6</v>
      </c>
      <c r="G6683" s="2">
        <v>30</v>
      </c>
      <c r="H6683" t="s">
        <v>25</v>
      </c>
      <c r="I6683" t="s">
        <v>36</v>
      </c>
      <c r="J6683" s="1">
        <v>44600</v>
      </c>
      <c r="K6683" t="b">
        <v>1</v>
      </c>
    </row>
    <row r="6684" spans="1:11" x14ac:dyDescent="0.25">
      <c r="A6684" t="s">
        <v>5873</v>
      </c>
      <c r="B6684" t="s">
        <v>77</v>
      </c>
      <c r="C6684" t="s">
        <v>19</v>
      </c>
      <c r="D6684" t="s">
        <v>219</v>
      </c>
      <c r="E6684" s="2">
        <v>5</v>
      </c>
      <c r="F6684" s="4">
        <v>6</v>
      </c>
      <c r="G6684" s="2">
        <v>30</v>
      </c>
      <c r="H6684" t="s">
        <v>15</v>
      </c>
      <c r="I6684" t="s">
        <v>16</v>
      </c>
      <c r="J6684" s="1">
        <v>44977</v>
      </c>
      <c r="K6684" t="b">
        <v>1</v>
      </c>
    </row>
    <row r="6685" spans="1:11" x14ac:dyDescent="0.25">
      <c r="A6685" t="s">
        <v>6788</v>
      </c>
      <c r="B6685" t="s">
        <v>66</v>
      </c>
      <c r="C6685" t="s">
        <v>27</v>
      </c>
      <c r="D6685" t="s">
        <v>348</v>
      </c>
      <c r="E6685" s="2">
        <v>5</v>
      </c>
      <c r="F6685" s="4">
        <v>6</v>
      </c>
      <c r="G6685" s="2">
        <v>30</v>
      </c>
      <c r="H6685" t="s">
        <v>15</v>
      </c>
      <c r="I6685" t="s">
        <v>16</v>
      </c>
      <c r="J6685" s="1">
        <v>45491</v>
      </c>
      <c r="K6685" t="b">
        <v>0</v>
      </c>
    </row>
    <row r="6686" spans="1:11" x14ac:dyDescent="0.25">
      <c r="A6686" t="s">
        <v>2398</v>
      </c>
      <c r="B6686" t="s">
        <v>69</v>
      </c>
      <c r="C6686" t="s">
        <v>19</v>
      </c>
      <c r="D6686" t="s">
        <v>219</v>
      </c>
      <c r="E6686" s="2">
        <v>5</v>
      </c>
      <c r="F6686" s="4">
        <v>6</v>
      </c>
      <c r="G6686" s="2">
        <v>30</v>
      </c>
      <c r="H6686" t="s">
        <v>15</v>
      </c>
      <c r="I6686" t="s">
        <v>36</v>
      </c>
      <c r="J6686" s="1">
        <v>45155</v>
      </c>
      <c r="K6686" t="b">
        <v>1</v>
      </c>
    </row>
    <row r="6687" spans="1:11" x14ac:dyDescent="0.25">
      <c r="A6687" t="s">
        <v>6655</v>
      </c>
      <c r="B6687" t="s">
        <v>22</v>
      </c>
      <c r="C6687" t="s">
        <v>19</v>
      </c>
      <c r="D6687" t="s">
        <v>219</v>
      </c>
      <c r="E6687" s="2">
        <v>5</v>
      </c>
      <c r="F6687" s="4">
        <v>6</v>
      </c>
      <c r="G6687" s="2">
        <v>30</v>
      </c>
      <c r="H6687" t="s">
        <v>25</v>
      </c>
      <c r="I6687" t="s">
        <v>36</v>
      </c>
      <c r="J6687" s="1">
        <v>45608</v>
      </c>
      <c r="K6687" t="b">
        <v>0</v>
      </c>
    </row>
    <row r="6688" spans="1:11" x14ac:dyDescent="0.25">
      <c r="A6688" t="s">
        <v>2178</v>
      </c>
      <c r="B6688" t="s">
        <v>51</v>
      </c>
      <c r="C6688" t="s">
        <v>19</v>
      </c>
      <c r="D6688" t="s">
        <v>219</v>
      </c>
      <c r="E6688" s="2">
        <v>5</v>
      </c>
      <c r="F6688" s="4">
        <v>6</v>
      </c>
      <c r="G6688" s="2">
        <v>30</v>
      </c>
      <c r="H6688" t="s">
        <v>45</v>
      </c>
      <c r="I6688" t="s">
        <v>16</v>
      </c>
      <c r="J6688" s="1">
        <v>44950</v>
      </c>
      <c r="K6688" t="b">
        <v>0</v>
      </c>
    </row>
    <row r="6689" spans="1:11" x14ac:dyDescent="0.25">
      <c r="A6689" t="s">
        <v>1198</v>
      </c>
      <c r="B6689" t="s">
        <v>100</v>
      </c>
      <c r="C6689" t="s">
        <v>110</v>
      </c>
      <c r="D6689" t="s">
        <v>337</v>
      </c>
      <c r="E6689" s="2">
        <v>5</v>
      </c>
      <c r="F6689" s="4">
        <v>6</v>
      </c>
      <c r="G6689" s="2">
        <v>30</v>
      </c>
      <c r="H6689" t="s">
        <v>45</v>
      </c>
      <c r="I6689" t="s">
        <v>16</v>
      </c>
      <c r="J6689" s="1">
        <v>45668</v>
      </c>
      <c r="K6689" t="b">
        <v>0</v>
      </c>
    </row>
    <row r="6690" spans="1:11" x14ac:dyDescent="0.25">
      <c r="A6690" t="s">
        <v>2890</v>
      </c>
      <c r="B6690" t="s">
        <v>63</v>
      </c>
      <c r="C6690" t="s">
        <v>59</v>
      </c>
      <c r="D6690" t="s">
        <v>279</v>
      </c>
      <c r="E6690" s="2">
        <v>5</v>
      </c>
      <c r="F6690" s="4">
        <v>6</v>
      </c>
      <c r="G6690" s="2">
        <v>30</v>
      </c>
      <c r="H6690" t="s">
        <v>45</v>
      </c>
      <c r="I6690" t="s">
        <v>36</v>
      </c>
      <c r="J6690" s="1">
        <v>45014</v>
      </c>
      <c r="K6690" t="b">
        <v>0</v>
      </c>
    </row>
    <row r="6691" spans="1:11" x14ac:dyDescent="0.25">
      <c r="A6691" t="s">
        <v>1533</v>
      </c>
      <c r="B6691" t="s">
        <v>22</v>
      </c>
      <c r="C6691" t="s">
        <v>19</v>
      </c>
      <c r="D6691" t="s">
        <v>219</v>
      </c>
      <c r="E6691" s="2">
        <v>5</v>
      </c>
      <c r="F6691" s="4">
        <v>6</v>
      </c>
      <c r="G6691" s="2">
        <v>30</v>
      </c>
      <c r="H6691" t="s">
        <v>45</v>
      </c>
      <c r="I6691" t="s">
        <v>36</v>
      </c>
      <c r="J6691" s="1">
        <v>45076</v>
      </c>
      <c r="K6691" t="b">
        <v>0</v>
      </c>
    </row>
    <row r="6692" spans="1:11" x14ac:dyDescent="0.25">
      <c r="A6692" t="s">
        <v>3590</v>
      </c>
      <c r="B6692" t="s">
        <v>26</v>
      </c>
      <c r="C6692" t="s">
        <v>13</v>
      </c>
      <c r="D6692" t="s">
        <v>146</v>
      </c>
      <c r="E6692" s="2">
        <v>5</v>
      </c>
      <c r="F6692" s="4">
        <v>6</v>
      </c>
      <c r="G6692" s="2">
        <v>30</v>
      </c>
      <c r="H6692" t="s">
        <v>15</v>
      </c>
      <c r="I6692" t="s">
        <v>36</v>
      </c>
      <c r="J6692" s="1">
        <v>44582</v>
      </c>
      <c r="K6692" t="b">
        <v>1</v>
      </c>
    </row>
    <row r="6693" spans="1:11" x14ac:dyDescent="0.25">
      <c r="A6693" t="s">
        <v>7072</v>
      </c>
      <c r="B6693" t="s">
        <v>43</v>
      </c>
      <c r="C6693" t="s">
        <v>23</v>
      </c>
      <c r="D6693" t="s">
        <v>311</v>
      </c>
      <c r="E6693" s="2">
        <v>5</v>
      </c>
      <c r="F6693" s="4">
        <v>6</v>
      </c>
      <c r="G6693" s="2">
        <v>30</v>
      </c>
      <c r="H6693" t="s">
        <v>25</v>
      </c>
      <c r="I6693" t="s">
        <v>36</v>
      </c>
      <c r="J6693" s="1">
        <v>45050</v>
      </c>
      <c r="K6693" t="b">
        <v>0</v>
      </c>
    </row>
    <row r="6694" spans="1:11" x14ac:dyDescent="0.25">
      <c r="A6694" t="s">
        <v>7468</v>
      </c>
      <c r="B6694" t="s">
        <v>61</v>
      </c>
      <c r="C6694" t="s">
        <v>19</v>
      </c>
      <c r="D6694" t="s">
        <v>219</v>
      </c>
      <c r="E6694" s="2">
        <v>5</v>
      </c>
      <c r="F6694" s="4">
        <v>6</v>
      </c>
      <c r="G6694" s="2">
        <v>30</v>
      </c>
      <c r="H6694" t="s">
        <v>15</v>
      </c>
      <c r="I6694" t="s">
        <v>16</v>
      </c>
      <c r="J6694" s="1">
        <v>45352</v>
      </c>
      <c r="K6694" t="b">
        <v>1</v>
      </c>
    </row>
    <row r="6695" spans="1:11" x14ac:dyDescent="0.25">
      <c r="A6695" t="s">
        <v>1717</v>
      </c>
      <c r="B6695" t="s">
        <v>61</v>
      </c>
      <c r="C6695" t="s">
        <v>31</v>
      </c>
      <c r="D6695" t="s">
        <v>372</v>
      </c>
      <c r="E6695" s="2">
        <v>29</v>
      </c>
      <c r="F6695" s="4">
        <v>1</v>
      </c>
      <c r="G6695" s="2">
        <v>29</v>
      </c>
      <c r="H6695" t="s">
        <v>25</v>
      </c>
      <c r="I6695" t="s">
        <v>16</v>
      </c>
      <c r="J6695" s="1">
        <v>45221</v>
      </c>
      <c r="K6695" t="b">
        <v>0</v>
      </c>
    </row>
    <row r="6696" spans="1:11" x14ac:dyDescent="0.25">
      <c r="A6696" t="s">
        <v>693</v>
      </c>
      <c r="B6696" t="s">
        <v>100</v>
      </c>
      <c r="C6696" t="s">
        <v>59</v>
      </c>
      <c r="D6696" t="s">
        <v>297</v>
      </c>
      <c r="E6696" s="2">
        <v>29</v>
      </c>
      <c r="F6696" s="4">
        <v>1</v>
      </c>
      <c r="G6696" s="2">
        <v>29</v>
      </c>
      <c r="H6696" t="s">
        <v>45</v>
      </c>
      <c r="I6696" t="s">
        <v>36</v>
      </c>
      <c r="J6696" s="1">
        <v>44917</v>
      </c>
      <c r="K6696" t="b">
        <v>0</v>
      </c>
    </row>
    <row r="6697" spans="1:11" x14ac:dyDescent="0.25">
      <c r="A6697" t="s">
        <v>3750</v>
      </c>
      <c r="B6697" t="s">
        <v>77</v>
      </c>
      <c r="C6697" t="s">
        <v>27</v>
      </c>
      <c r="D6697" t="s">
        <v>421</v>
      </c>
      <c r="E6697" s="2">
        <v>29</v>
      </c>
      <c r="F6697" s="4">
        <v>1</v>
      </c>
      <c r="G6697" s="2">
        <v>29</v>
      </c>
      <c r="H6697" t="s">
        <v>45</v>
      </c>
      <c r="I6697" t="s">
        <v>16</v>
      </c>
      <c r="J6697" s="1">
        <v>45516</v>
      </c>
      <c r="K6697" t="b">
        <v>1</v>
      </c>
    </row>
    <row r="6698" spans="1:11" x14ac:dyDescent="0.25">
      <c r="A6698" t="s">
        <v>5307</v>
      </c>
      <c r="B6698" t="s">
        <v>69</v>
      </c>
      <c r="C6698" t="s">
        <v>13</v>
      </c>
      <c r="D6698" t="s">
        <v>55</v>
      </c>
      <c r="E6698" s="2">
        <v>29</v>
      </c>
      <c r="F6698" s="4">
        <v>1</v>
      </c>
      <c r="G6698" s="2">
        <v>29</v>
      </c>
      <c r="H6698" t="s">
        <v>45</v>
      </c>
      <c r="I6698" t="s">
        <v>36</v>
      </c>
      <c r="J6698" s="1">
        <v>44688</v>
      </c>
      <c r="K6698" t="b">
        <v>1</v>
      </c>
    </row>
    <row r="6699" spans="1:11" x14ac:dyDescent="0.25">
      <c r="A6699" t="s">
        <v>616</v>
      </c>
      <c r="B6699" t="s">
        <v>22</v>
      </c>
      <c r="C6699" t="s">
        <v>110</v>
      </c>
      <c r="D6699" t="s">
        <v>386</v>
      </c>
      <c r="E6699" s="2">
        <v>29</v>
      </c>
      <c r="F6699" s="4">
        <v>1</v>
      </c>
      <c r="G6699" s="2">
        <v>29</v>
      </c>
      <c r="H6699" t="s">
        <v>45</v>
      </c>
      <c r="I6699" t="s">
        <v>16</v>
      </c>
      <c r="J6699" s="1">
        <v>44906</v>
      </c>
      <c r="K6699" t="b">
        <v>0</v>
      </c>
    </row>
    <row r="6700" spans="1:11" x14ac:dyDescent="0.25">
      <c r="A6700" t="s">
        <v>5950</v>
      </c>
      <c r="B6700" t="s">
        <v>58</v>
      </c>
      <c r="C6700" t="s">
        <v>13</v>
      </c>
      <c r="D6700" t="s">
        <v>55</v>
      </c>
      <c r="E6700" s="2">
        <v>29</v>
      </c>
      <c r="F6700" s="4">
        <v>1</v>
      </c>
      <c r="G6700" s="2">
        <v>29</v>
      </c>
      <c r="H6700" t="s">
        <v>15</v>
      </c>
      <c r="I6700" t="s">
        <v>16</v>
      </c>
      <c r="J6700" s="1">
        <v>44828</v>
      </c>
      <c r="K6700" t="b">
        <v>0</v>
      </c>
    </row>
    <row r="6701" spans="1:11" x14ac:dyDescent="0.25">
      <c r="A6701" t="s">
        <v>4114</v>
      </c>
      <c r="B6701" t="s">
        <v>61</v>
      </c>
      <c r="C6701" t="s">
        <v>110</v>
      </c>
      <c r="D6701" t="s">
        <v>386</v>
      </c>
      <c r="E6701" s="2">
        <v>29</v>
      </c>
      <c r="F6701" s="4">
        <v>1</v>
      </c>
      <c r="G6701" s="2">
        <v>29</v>
      </c>
      <c r="H6701" t="s">
        <v>25</v>
      </c>
      <c r="I6701" t="s">
        <v>16</v>
      </c>
      <c r="J6701" s="1">
        <v>44589</v>
      </c>
      <c r="K6701" t="b">
        <v>1</v>
      </c>
    </row>
    <row r="6702" spans="1:11" x14ac:dyDescent="0.25">
      <c r="A6702" t="s">
        <v>6641</v>
      </c>
      <c r="B6702" t="s">
        <v>12</v>
      </c>
      <c r="C6702" t="s">
        <v>13</v>
      </c>
      <c r="D6702" t="s">
        <v>55</v>
      </c>
      <c r="E6702" s="2">
        <v>29</v>
      </c>
      <c r="F6702" s="4">
        <v>1</v>
      </c>
      <c r="G6702" s="2">
        <v>29</v>
      </c>
      <c r="H6702" t="s">
        <v>25</v>
      </c>
      <c r="I6702" t="s">
        <v>16</v>
      </c>
      <c r="J6702" s="1">
        <v>45277</v>
      </c>
      <c r="K6702" t="b">
        <v>0</v>
      </c>
    </row>
    <row r="6703" spans="1:11" x14ac:dyDescent="0.25">
      <c r="A6703" t="s">
        <v>496</v>
      </c>
      <c r="B6703" t="s">
        <v>18</v>
      </c>
      <c r="C6703" t="s">
        <v>31</v>
      </c>
      <c r="D6703" t="s">
        <v>372</v>
      </c>
      <c r="E6703" s="2">
        <v>29</v>
      </c>
      <c r="F6703" s="4">
        <v>1</v>
      </c>
      <c r="G6703" s="2">
        <v>29</v>
      </c>
      <c r="H6703" t="s">
        <v>45</v>
      </c>
      <c r="I6703" t="s">
        <v>16</v>
      </c>
      <c r="J6703" s="1">
        <v>45483</v>
      </c>
      <c r="K6703" t="b">
        <v>0</v>
      </c>
    </row>
    <row r="6704" spans="1:11" x14ac:dyDescent="0.25">
      <c r="A6704" t="s">
        <v>624</v>
      </c>
      <c r="B6704" t="s">
        <v>58</v>
      </c>
      <c r="C6704" t="s">
        <v>27</v>
      </c>
      <c r="D6704" t="s">
        <v>421</v>
      </c>
      <c r="E6704" s="2">
        <v>29</v>
      </c>
      <c r="F6704" s="4">
        <v>1</v>
      </c>
      <c r="G6704" s="2">
        <v>29</v>
      </c>
      <c r="H6704" t="s">
        <v>45</v>
      </c>
      <c r="I6704" t="s">
        <v>36</v>
      </c>
      <c r="J6704" s="1">
        <v>45114</v>
      </c>
      <c r="K6704" t="b">
        <v>1</v>
      </c>
    </row>
    <row r="6705" spans="1:11" x14ac:dyDescent="0.25">
      <c r="A6705" t="s">
        <v>5425</v>
      </c>
      <c r="B6705" t="s">
        <v>30</v>
      </c>
      <c r="C6705" t="s">
        <v>31</v>
      </c>
      <c r="D6705" t="s">
        <v>372</v>
      </c>
      <c r="E6705" s="2">
        <v>29</v>
      </c>
      <c r="F6705" s="4">
        <v>1</v>
      </c>
      <c r="G6705" s="2">
        <v>29</v>
      </c>
      <c r="H6705" t="s">
        <v>25</v>
      </c>
      <c r="I6705" t="s">
        <v>36</v>
      </c>
      <c r="J6705" s="1">
        <v>45383</v>
      </c>
      <c r="K6705" t="b">
        <v>1</v>
      </c>
    </row>
    <row r="6706" spans="1:11" x14ac:dyDescent="0.25">
      <c r="A6706" t="s">
        <v>1641</v>
      </c>
      <c r="B6706" t="s">
        <v>26</v>
      </c>
      <c r="C6706" t="s">
        <v>59</v>
      </c>
      <c r="D6706" t="s">
        <v>297</v>
      </c>
      <c r="E6706" s="2">
        <v>29</v>
      </c>
      <c r="F6706" s="4">
        <v>1</v>
      </c>
      <c r="G6706" s="2">
        <v>29</v>
      </c>
      <c r="H6706" t="s">
        <v>25</v>
      </c>
      <c r="I6706" t="s">
        <v>36</v>
      </c>
      <c r="J6706" s="1">
        <v>45340</v>
      </c>
      <c r="K6706" t="b">
        <v>1</v>
      </c>
    </row>
    <row r="6707" spans="1:11" x14ac:dyDescent="0.25">
      <c r="A6707" t="s">
        <v>1658</v>
      </c>
      <c r="B6707" t="s">
        <v>30</v>
      </c>
      <c r="C6707" t="s">
        <v>23</v>
      </c>
      <c r="D6707" t="s">
        <v>352</v>
      </c>
      <c r="E6707" s="2">
        <v>29</v>
      </c>
      <c r="F6707" s="4">
        <v>1</v>
      </c>
      <c r="G6707" s="2">
        <v>29</v>
      </c>
      <c r="H6707" t="s">
        <v>25</v>
      </c>
      <c r="I6707" t="s">
        <v>36</v>
      </c>
      <c r="J6707" s="1">
        <v>45197</v>
      </c>
      <c r="K6707" t="b">
        <v>0</v>
      </c>
    </row>
    <row r="6708" spans="1:11" x14ac:dyDescent="0.25">
      <c r="A6708" t="s">
        <v>5353</v>
      </c>
      <c r="B6708" t="s">
        <v>142</v>
      </c>
      <c r="C6708" t="s">
        <v>19</v>
      </c>
      <c r="D6708" t="s">
        <v>20</v>
      </c>
      <c r="E6708" s="2">
        <v>29</v>
      </c>
      <c r="F6708" s="4">
        <v>1</v>
      </c>
      <c r="G6708" s="2">
        <v>29</v>
      </c>
      <c r="H6708" t="s">
        <v>15</v>
      </c>
      <c r="I6708" t="s">
        <v>36</v>
      </c>
      <c r="J6708" s="1">
        <v>45420</v>
      </c>
      <c r="K6708" t="b">
        <v>0</v>
      </c>
    </row>
    <row r="6709" spans="1:11" x14ac:dyDescent="0.25">
      <c r="A6709" t="s">
        <v>4312</v>
      </c>
      <c r="B6709" t="s">
        <v>26</v>
      </c>
      <c r="C6709" t="s">
        <v>110</v>
      </c>
      <c r="D6709" t="s">
        <v>386</v>
      </c>
      <c r="E6709" s="2">
        <v>29</v>
      </c>
      <c r="F6709" s="4">
        <v>1</v>
      </c>
      <c r="G6709" s="2">
        <v>29</v>
      </c>
      <c r="H6709" t="s">
        <v>25</v>
      </c>
      <c r="I6709" t="s">
        <v>16</v>
      </c>
      <c r="J6709" s="1">
        <v>45031</v>
      </c>
      <c r="K6709" t="b">
        <v>0</v>
      </c>
    </row>
    <row r="6710" spans="1:11" x14ac:dyDescent="0.25">
      <c r="A6710" t="s">
        <v>5462</v>
      </c>
      <c r="B6710" t="s">
        <v>56</v>
      </c>
      <c r="C6710" t="s">
        <v>59</v>
      </c>
      <c r="D6710" t="s">
        <v>297</v>
      </c>
      <c r="E6710" s="2">
        <v>29</v>
      </c>
      <c r="F6710" s="4">
        <v>1</v>
      </c>
      <c r="G6710" s="2">
        <v>29</v>
      </c>
      <c r="H6710" t="s">
        <v>45</v>
      </c>
      <c r="I6710" t="s">
        <v>16</v>
      </c>
      <c r="J6710" s="1">
        <v>44679</v>
      </c>
      <c r="K6710" t="b">
        <v>1</v>
      </c>
    </row>
    <row r="6711" spans="1:11" x14ac:dyDescent="0.25">
      <c r="A6711" t="s">
        <v>7553</v>
      </c>
      <c r="B6711" t="s">
        <v>34</v>
      </c>
      <c r="C6711" t="s">
        <v>31</v>
      </c>
      <c r="D6711" t="s">
        <v>372</v>
      </c>
      <c r="E6711" s="2">
        <v>29</v>
      </c>
      <c r="F6711" s="4">
        <v>1</v>
      </c>
      <c r="G6711" s="2">
        <v>29</v>
      </c>
      <c r="H6711" t="s">
        <v>45</v>
      </c>
      <c r="I6711" t="s">
        <v>16</v>
      </c>
      <c r="J6711" s="1">
        <v>44815</v>
      </c>
      <c r="K6711" t="b">
        <v>1</v>
      </c>
    </row>
    <row r="6712" spans="1:11" x14ac:dyDescent="0.25">
      <c r="A6712" t="s">
        <v>6140</v>
      </c>
      <c r="B6712" t="s">
        <v>77</v>
      </c>
      <c r="C6712" t="s">
        <v>13</v>
      </c>
      <c r="D6712" t="s">
        <v>55</v>
      </c>
      <c r="E6712" s="2">
        <v>29</v>
      </c>
      <c r="F6712" s="4">
        <v>1</v>
      </c>
      <c r="G6712" s="2">
        <v>29</v>
      </c>
      <c r="H6712" t="s">
        <v>45</v>
      </c>
      <c r="I6712" t="s">
        <v>16</v>
      </c>
      <c r="J6712" s="1">
        <v>45470</v>
      </c>
      <c r="K6712" t="b">
        <v>1</v>
      </c>
    </row>
    <row r="6713" spans="1:11" x14ac:dyDescent="0.25">
      <c r="A6713" t="s">
        <v>5764</v>
      </c>
      <c r="B6713" t="s">
        <v>142</v>
      </c>
      <c r="C6713" t="s">
        <v>19</v>
      </c>
      <c r="D6713" t="s">
        <v>20</v>
      </c>
      <c r="E6713" s="2">
        <v>29</v>
      </c>
      <c r="F6713" s="4">
        <v>1</v>
      </c>
      <c r="G6713" s="2">
        <v>29</v>
      </c>
      <c r="H6713" t="s">
        <v>25</v>
      </c>
      <c r="I6713" t="s">
        <v>16</v>
      </c>
      <c r="J6713" s="1">
        <v>44661</v>
      </c>
      <c r="K6713" t="b">
        <v>0</v>
      </c>
    </row>
    <row r="6714" spans="1:11" x14ac:dyDescent="0.25">
      <c r="A6714" t="s">
        <v>351</v>
      </c>
      <c r="B6714" t="s">
        <v>69</v>
      </c>
      <c r="C6714" t="s">
        <v>23</v>
      </c>
      <c r="D6714" t="s">
        <v>352</v>
      </c>
      <c r="E6714" s="2">
        <v>29</v>
      </c>
      <c r="F6714" s="4">
        <v>1</v>
      </c>
      <c r="G6714" s="2">
        <v>29</v>
      </c>
      <c r="H6714" t="s">
        <v>15</v>
      </c>
      <c r="I6714" t="s">
        <v>36</v>
      </c>
      <c r="J6714" s="1">
        <v>44874</v>
      </c>
      <c r="K6714" t="b">
        <v>0</v>
      </c>
    </row>
    <row r="6715" spans="1:11" x14ac:dyDescent="0.25">
      <c r="A6715" t="s">
        <v>515</v>
      </c>
      <c r="B6715" t="s">
        <v>104</v>
      </c>
      <c r="C6715" t="s">
        <v>38</v>
      </c>
      <c r="D6715" t="s">
        <v>267</v>
      </c>
      <c r="E6715" s="2">
        <v>29</v>
      </c>
      <c r="F6715" s="4">
        <v>1</v>
      </c>
      <c r="G6715" s="2">
        <v>29</v>
      </c>
      <c r="H6715" t="s">
        <v>45</v>
      </c>
      <c r="I6715" t="s">
        <v>36</v>
      </c>
      <c r="J6715" s="1">
        <v>44605</v>
      </c>
      <c r="K6715" t="b">
        <v>1</v>
      </c>
    </row>
    <row r="6716" spans="1:11" x14ac:dyDescent="0.25">
      <c r="A6716" t="s">
        <v>3700</v>
      </c>
      <c r="B6716" t="s">
        <v>37</v>
      </c>
      <c r="C6716" t="s">
        <v>59</v>
      </c>
      <c r="D6716" t="s">
        <v>297</v>
      </c>
      <c r="E6716" s="2">
        <v>29</v>
      </c>
      <c r="F6716" s="4">
        <v>1</v>
      </c>
      <c r="G6716" s="2">
        <v>29</v>
      </c>
      <c r="H6716" t="s">
        <v>45</v>
      </c>
      <c r="I6716" t="s">
        <v>36</v>
      </c>
      <c r="J6716" s="1">
        <v>45165</v>
      </c>
      <c r="K6716" t="b">
        <v>0</v>
      </c>
    </row>
    <row r="6717" spans="1:11" x14ac:dyDescent="0.25">
      <c r="A6717" t="s">
        <v>1293</v>
      </c>
      <c r="B6717" t="s">
        <v>77</v>
      </c>
      <c r="C6717" t="s">
        <v>110</v>
      </c>
      <c r="D6717" t="s">
        <v>386</v>
      </c>
      <c r="E6717" s="2">
        <v>29</v>
      </c>
      <c r="F6717" s="4">
        <v>1</v>
      </c>
      <c r="G6717" s="2">
        <v>29</v>
      </c>
      <c r="H6717" t="s">
        <v>15</v>
      </c>
      <c r="I6717" t="s">
        <v>36</v>
      </c>
      <c r="J6717" s="1">
        <v>44996</v>
      </c>
      <c r="K6717" t="b">
        <v>1</v>
      </c>
    </row>
    <row r="6718" spans="1:11" x14ac:dyDescent="0.25">
      <c r="A6718" t="s">
        <v>420</v>
      </c>
      <c r="B6718" t="s">
        <v>104</v>
      </c>
      <c r="C6718" t="s">
        <v>27</v>
      </c>
      <c r="D6718" t="s">
        <v>421</v>
      </c>
      <c r="E6718" s="2">
        <v>29</v>
      </c>
      <c r="F6718" s="4">
        <v>1</v>
      </c>
      <c r="G6718" s="2">
        <v>29</v>
      </c>
      <c r="H6718" t="s">
        <v>45</v>
      </c>
      <c r="I6718" t="s">
        <v>36</v>
      </c>
      <c r="J6718" s="1">
        <v>44894</v>
      </c>
      <c r="K6718" t="b">
        <v>1</v>
      </c>
    </row>
    <row r="6719" spans="1:11" x14ac:dyDescent="0.25">
      <c r="A6719" t="s">
        <v>557</v>
      </c>
      <c r="B6719" t="s">
        <v>63</v>
      </c>
      <c r="C6719" t="s">
        <v>27</v>
      </c>
      <c r="D6719" t="s">
        <v>421</v>
      </c>
      <c r="E6719" s="2">
        <v>29</v>
      </c>
      <c r="F6719" s="4">
        <v>1</v>
      </c>
      <c r="G6719" s="2">
        <v>29</v>
      </c>
      <c r="H6719" t="s">
        <v>15</v>
      </c>
      <c r="I6719" t="s">
        <v>16</v>
      </c>
      <c r="J6719" s="1">
        <v>44633</v>
      </c>
      <c r="K6719" t="b">
        <v>1</v>
      </c>
    </row>
    <row r="6720" spans="1:11" x14ac:dyDescent="0.25">
      <c r="A6720" t="s">
        <v>6784</v>
      </c>
      <c r="B6720" t="s">
        <v>77</v>
      </c>
      <c r="C6720" t="s">
        <v>27</v>
      </c>
      <c r="D6720" t="s">
        <v>421</v>
      </c>
      <c r="E6720" s="2">
        <v>29</v>
      </c>
      <c r="F6720" s="4">
        <v>1</v>
      </c>
      <c r="G6720" s="2">
        <v>29</v>
      </c>
      <c r="H6720" t="s">
        <v>45</v>
      </c>
      <c r="I6720" t="s">
        <v>36</v>
      </c>
      <c r="J6720" s="1">
        <v>45440</v>
      </c>
      <c r="K6720" t="b">
        <v>0</v>
      </c>
    </row>
    <row r="6721" spans="1:11" x14ac:dyDescent="0.25">
      <c r="A6721" t="s">
        <v>6831</v>
      </c>
      <c r="B6721" t="s">
        <v>97</v>
      </c>
      <c r="C6721" t="s">
        <v>23</v>
      </c>
      <c r="D6721" t="s">
        <v>352</v>
      </c>
      <c r="E6721" s="2">
        <v>29</v>
      </c>
      <c r="F6721" s="4">
        <v>1</v>
      </c>
      <c r="G6721" s="2">
        <v>29</v>
      </c>
      <c r="H6721" t="s">
        <v>15</v>
      </c>
      <c r="I6721" t="s">
        <v>36</v>
      </c>
      <c r="J6721" s="1">
        <v>45396</v>
      </c>
      <c r="K6721" t="b">
        <v>0</v>
      </c>
    </row>
    <row r="6722" spans="1:11" x14ac:dyDescent="0.25">
      <c r="A6722" t="s">
        <v>6806</v>
      </c>
      <c r="B6722" t="s">
        <v>51</v>
      </c>
      <c r="C6722" t="s">
        <v>38</v>
      </c>
      <c r="D6722" t="s">
        <v>267</v>
      </c>
      <c r="E6722" s="2">
        <v>29</v>
      </c>
      <c r="F6722" s="4">
        <v>1</v>
      </c>
      <c r="G6722" s="2">
        <v>29</v>
      </c>
      <c r="H6722" t="s">
        <v>45</v>
      </c>
      <c r="I6722" t="s">
        <v>16</v>
      </c>
      <c r="J6722" s="1">
        <v>45247</v>
      </c>
      <c r="K6722" t="b">
        <v>1</v>
      </c>
    </row>
    <row r="6723" spans="1:11" x14ac:dyDescent="0.25">
      <c r="A6723" t="s">
        <v>3542</v>
      </c>
      <c r="B6723" t="s">
        <v>18</v>
      </c>
      <c r="C6723" t="s">
        <v>19</v>
      </c>
      <c r="D6723" t="s">
        <v>20</v>
      </c>
      <c r="E6723" s="2">
        <v>29</v>
      </c>
      <c r="F6723" s="4">
        <v>1</v>
      </c>
      <c r="G6723" s="2">
        <v>29</v>
      </c>
      <c r="H6723" t="s">
        <v>15</v>
      </c>
      <c r="I6723" t="s">
        <v>36</v>
      </c>
      <c r="J6723" s="1">
        <v>45179</v>
      </c>
      <c r="K6723" t="b">
        <v>1</v>
      </c>
    </row>
    <row r="6724" spans="1:11" x14ac:dyDescent="0.25">
      <c r="A6724" t="s">
        <v>6836</v>
      </c>
      <c r="B6724" t="s">
        <v>77</v>
      </c>
      <c r="C6724" t="s">
        <v>27</v>
      </c>
      <c r="D6724" t="s">
        <v>421</v>
      </c>
      <c r="E6724" s="2">
        <v>29</v>
      </c>
      <c r="F6724" s="4">
        <v>1</v>
      </c>
      <c r="G6724" s="2">
        <v>29</v>
      </c>
      <c r="H6724" t="s">
        <v>15</v>
      </c>
      <c r="I6724" t="s">
        <v>16</v>
      </c>
      <c r="J6724" s="1">
        <v>45020</v>
      </c>
      <c r="K6724" t="b">
        <v>0</v>
      </c>
    </row>
    <row r="6725" spans="1:11" x14ac:dyDescent="0.25">
      <c r="A6725" t="s">
        <v>685</v>
      </c>
      <c r="B6725" t="s">
        <v>63</v>
      </c>
      <c r="C6725" t="s">
        <v>59</v>
      </c>
      <c r="D6725" t="s">
        <v>297</v>
      </c>
      <c r="E6725" s="2">
        <v>29</v>
      </c>
      <c r="F6725" s="4">
        <v>1</v>
      </c>
      <c r="G6725" s="2">
        <v>29</v>
      </c>
      <c r="H6725" t="s">
        <v>25</v>
      </c>
      <c r="I6725" t="s">
        <v>36</v>
      </c>
      <c r="J6725" s="1">
        <v>45350</v>
      </c>
      <c r="K6725" t="b">
        <v>1</v>
      </c>
    </row>
    <row r="6726" spans="1:11" x14ac:dyDescent="0.25">
      <c r="A6726" t="s">
        <v>3683</v>
      </c>
      <c r="B6726" t="s">
        <v>85</v>
      </c>
      <c r="C6726" t="s">
        <v>23</v>
      </c>
      <c r="D6726" t="s">
        <v>352</v>
      </c>
      <c r="E6726" s="2">
        <v>29</v>
      </c>
      <c r="F6726" s="4">
        <v>1</v>
      </c>
      <c r="G6726" s="2">
        <v>29</v>
      </c>
      <c r="H6726" t="s">
        <v>25</v>
      </c>
      <c r="I6726" t="s">
        <v>16</v>
      </c>
      <c r="J6726" s="1">
        <v>45575</v>
      </c>
      <c r="K6726" t="b">
        <v>1</v>
      </c>
    </row>
    <row r="6727" spans="1:11" x14ac:dyDescent="0.25">
      <c r="A6727" t="s">
        <v>555</v>
      </c>
      <c r="B6727" t="s">
        <v>142</v>
      </c>
      <c r="C6727" t="s">
        <v>13</v>
      </c>
      <c r="D6727" t="s">
        <v>55</v>
      </c>
      <c r="E6727" s="2">
        <v>29</v>
      </c>
      <c r="F6727" s="4">
        <v>1</v>
      </c>
      <c r="G6727" s="2">
        <v>29</v>
      </c>
      <c r="H6727" t="s">
        <v>45</v>
      </c>
      <c r="I6727" t="s">
        <v>16</v>
      </c>
      <c r="J6727" s="1">
        <v>45010</v>
      </c>
      <c r="K6727" t="b">
        <v>0</v>
      </c>
    </row>
    <row r="6728" spans="1:11" x14ac:dyDescent="0.25">
      <c r="A6728" t="s">
        <v>854</v>
      </c>
      <c r="B6728" t="s">
        <v>77</v>
      </c>
      <c r="C6728" t="s">
        <v>59</v>
      </c>
      <c r="D6728" t="s">
        <v>297</v>
      </c>
      <c r="E6728" s="2">
        <v>29</v>
      </c>
      <c r="F6728" s="4">
        <v>1</v>
      </c>
      <c r="G6728" s="2">
        <v>29</v>
      </c>
      <c r="H6728" t="s">
        <v>25</v>
      </c>
      <c r="I6728" t="s">
        <v>16</v>
      </c>
      <c r="J6728" s="1">
        <v>45371</v>
      </c>
      <c r="K6728" t="b">
        <v>1</v>
      </c>
    </row>
    <row r="6729" spans="1:11" x14ac:dyDescent="0.25">
      <c r="A6729" t="s">
        <v>1817</v>
      </c>
      <c r="B6729" t="s">
        <v>100</v>
      </c>
      <c r="C6729" t="s">
        <v>31</v>
      </c>
      <c r="D6729" t="s">
        <v>372</v>
      </c>
      <c r="E6729" s="2">
        <v>29</v>
      </c>
      <c r="F6729" s="4">
        <v>1</v>
      </c>
      <c r="G6729" s="2">
        <v>29</v>
      </c>
      <c r="H6729" t="s">
        <v>45</v>
      </c>
      <c r="I6729" t="s">
        <v>36</v>
      </c>
      <c r="J6729" s="1">
        <v>45555</v>
      </c>
      <c r="K6729" t="b">
        <v>0</v>
      </c>
    </row>
    <row r="6730" spans="1:11" x14ac:dyDescent="0.25">
      <c r="A6730" t="s">
        <v>2351</v>
      </c>
      <c r="B6730" t="s">
        <v>58</v>
      </c>
      <c r="C6730" t="s">
        <v>19</v>
      </c>
      <c r="D6730" t="s">
        <v>20</v>
      </c>
      <c r="E6730" s="2">
        <v>29</v>
      </c>
      <c r="F6730" s="4">
        <v>1</v>
      </c>
      <c r="G6730" s="2">
        <v>29</v>
      </c>
      <c r="H6730" t="s">
        <v>25</v>
      </c>
      <c r="I6730" t="s">
        <v>16</v>
      </c>
      <c r="J6730" s="1">
        <v>45187</v>
      </c>
      <c r="K6730" t="b">
        <v>1</v>
      </c>
    </row>
    <row r="6731" spans="1:11" x14ac:dyDescent="0.25">
      <c r="A6731" t="s">
        <v>6791</v>
      </c>
      <c r="B6731" t="s">
        <v>69</v>
      </c>
      <c r="C6731" t="s">
        <v>31</v>
      </c>
      <c r="D6731" t="s">
        <v>168</v>
      </c>
      <c r="E6731" s="2">
        <v>9.5</v>
      </c>
      <c r="F6731" s="4">
        <v>3</v>
      </c>
      <c r="G6731" s="2">
        <v>28.5</v>
      </c>
      <c r="H6731" t="s">
        <v>25</v>
      </c>
      <c r="I6731" t="s">
        <v>16</v>
      </c>
      <c r="J6731" s="1">
        <v>45310</v>
      </c>
      <c r="K6731" t="b">
        <v>1</v>
      </c>
    </row>
    <row r="6732" spans="1:11" x14ac:dyDescent="0.25">
      <c r="A6732" t="s">
        <v>4284</v>
      </c>
      <c r="B6732" t="s">
        <v>69</v>
      </c>
      <c r="C6732" t="s">
        <v>19</v>
      </c>
      <c r="D6732" t="s">
        <v>174</v>
      </c>
      <c r="E6732" s="2">
        <v>9.5</v>
      </c>
      <c r="F6732" s="4">
        <v>3</v>
      </c>
      <c r="G6732" s="2">
        <v>28.5</v>
      </c>
      <c r="H6732" t="s">
        <v>25</v>
      </c>
      <c r="I6732" t="s">
        <v>16</v>
      </c>
      <c r="J6732" s="1">
        <v>45020</v>
      </c>
      <c r="K6732" t="b">
        <v>1</v>
      </c>
    </row>
    <row r="6733" spans="1:11" x14ac:dyDescent="0.25">
      <c r="A6733" t="s">
        <v>4462</v>
      </c>
      <c r="B6733" t="s">
        <v>61</v>
      </c>
      <c r="C6733" t="s">
        <v>19</v>
      </c>
      <c r="D6733" t="s">
        <v>174</v>
      </c>
      <c r="E6733" s="2">
        <v>9.5</v>
      </c>
      <c r="F6733" s="4">
        <v>3</v>
      </c>
      <c r="G6733" s="2">
        <v>28.5</v>
      </c>
      <c r="H6733" t="s">
        <v>15</v>
      </c>
      <c r="I6733" t="s">
        <v>36</v>
      </c>
      <c r="J6733" s="1">
        <v>44894</v>
      </c>
      <c r="K6733" t="b">
        <v>0</v>
      </c>
    </row>
    <row r="6734" spans="1:11" x14ac:dyDescent="0.25">
      <c r="A6734" t="s">
        <v>5975</v>
      </c>
      <c r="B6734" t="s">
        <v>40</v>
      </c>
      <c r="C6734" t="s">
        <v>31</v>
      </c>
      <c r="D6734" t="s">
        <v>168</v>
      </c>
      <c r="E6734" s="2">
        <v>9.5</v>
      </c>
      <c r="F6734" s="4">
        <v>3</v>
      </c>
      <c r="G6734" s="2">
        <v>28.5</v>
      </c>
      <c r="H6734" t="s">
        <v>25</v>
      </c>
      <c r="I6734" t="s">
        <v>36</v>
      </c>
      <c r="J6734" s="1">
        <v>45057</v>
      </c>
      <c r="K6734" t="b">
        <v>0</v>
      </c>
    </row>
    <row r="6735" spans="1:11" x14ac:dyDescent="0.25">
      <c r="A6735" t="s">
        <v>5960</v>
      </c>
      <c r="B6735" t="s">
        <v>34</v>
      </c>
      <c r="C6735" t="s">
        <v>27</v>
      </c>
      <c r="D6735" t="s">
        <v>147</v>
      </c>
      <c r="E6735" s="2">
        <v>9.5</v>
      </c>
      <c r="F6735" s="4">
        <v>3</v>
      </c>
      <c r="G6735" s="2">
        <v>28.5</v>
      </c>
      <c r="H6735" t="s">
        <v>45</v>
      </c>
      <c r="I6735" t="s">
        <v>36</v>
      </c>
      <c r="J6735" s="1">
        <v>44675</v>
      </c>
      <c r="K6735" t="b">
        <v>1</v>
      </c>
    </row>
    <row r="6736" spans="1:11" x14ac:dyDescent="0.25">
      <c r="A6736" t="s">
        <v>4086</v>
      </c>
      <c r="B6736" t="s">
        <v>77</v>
      </c>
      <c r="C6736" t="s">
        <v>31</v>
      </c>
      <c r="D6736" t="s">
        <v>168</v>
      </c>
      <c r="E6736" s="2">
        <v>9.5</v>
      </c>
      <c r="F6736" s="4">
        <v>3</v>
      </c>
      <c r="G6736" s="2">
        <v>28.5</v>
      </c>
      <c r="H6736" t="s">
        <v>25</v>
      </c>
      <c r="I6736" t="s">
        <v>36</v>
      </c>
      <c r="J6736" s="1">
        <v>45403</v>
      </c>
      <c r="K6736" t="b">
        <v>1</v>
      </c>
    </row>
    <row r="6737" spans="1:11" x14ac:dyDescent="0.25">
      <c r="A6737" t="s">
        <v>4126</v>
      </c>
      <c r="B6737" t="s">
        <v>26</v>
      </c>
      <c r="C6737" t="s">
        <v>31</v>
      </c>
      <c r="D6737" t="s">
        <v>168</v>
      </c>
      <c r="E6737" s="2">
        <v>9.5</v>
      </c>
      <c r="F6737" s="4">
        <v>3</v>
      </c>
      <c r="G6737" s="2">
        <v>28.5</v>
      </c>
      <c r="H6737" t="s">
        <v>15</v>
      </c>
      <c r="I6737" t="s">
        <v>36</v>
      </c>
      <c r="J6737" s="1">
        <v>45101</v>
      </c>
      <c r="K6737" t="b">
        <v>1</v>
      </c>
    </row>
    <row r="6738" spans="1:11" x14ac:dyDescent="0.25">
      <c r="A6738" t="s">
        <v>1604</v>
      </c>
      <c r="B6738" t="s">
        <v>100</v>
      </c>
      <c r="C6738" t="s">
        <v>38</v>
      </c>
      <c r="D6738" t="s">
        <v>414</v>
      </c>
      <c r="E6738" s="2">
        <v>9.5</v>
      </c>
      <c r="F6738" s="4">
        <v>3</v>
      </c>
      <c r="G6738" s="2">
        <v>28.5</v>
      </c>
      <c r="H6738" t="s">
        <v>45</v>
      </c>
      <c r="I6738" t="s">
        <v>16</v>
      </c>
      <c r="J6738" s="1">
        <v>45369</v>
      </c>
      <c r="K6738" t="b">
        <v>0</v>
      </c>
    </row>
    <row r="6739" spans="1:11" x14ac:dyDescent="0.25">
      <c r="A6739" t="s">
        <v>2009</v>
      </c>
      <c r="B6739" t="s">
        <v>69</v>
      </c>
      <c r="C6739" t="s">
        <v>27</v>
      </c>
      <c r="D6739" t="s">
        <v>147</v>
      </c>
      <c r="E6739" s="2">
        <v>9.5</v>
      </c>
      <c r="F6739" s="4">
        <v>3</v>
      </c>
      <c r="G6739" s="2">
        <v>28.5</v>
      </c>
      <c r="H6739" t="s">
        <v>45</v>
      </c>
      <c r="I6739" t="s">
        <v>16</v>
      </c>
      <c r="J6739" s="1">
        <v>44574</v>
      </c>
      <c r="K6739" t="b">
        <v>1</v>
      </c>
    </row>
    <row r="6740" spans="1:11" x14ac:dyDescent="0.25">
      <c r="A6740" t="s">
        <v>5906</v>
      </c>
      <c r="B6740" t="s">
        <v>56</v>
      </c>
      <c r="C6740" t="s">
        <v>19</v>
      </c>
      <c r="D6740" t="s">
        <v>174</v>
      </c>
      <c r="E6740" s="2">
        <v>9.5</v>
      </c>
      <c r="F6740" s="4">
        <v>3</v>
      </c>
      <c r="G6740" s="2">
        <v>28.5</v>
      </c>
      <c r="H6740" t="s">
        <v>15</v>
      </c>
      <c r="I6740" t="s">
        <v>16</v>
      </c>
      <c r="J6740" s="1">
        <v>44841</v>
      </c>
      <c r="K6740" t="b">
        <v>1</v>
      </c>
    </row>
    <row r="6741" spans="1:11" x14ac:dyDescent="0.25">
      <c r="A6741" t="s">
        <v>2794</v>
      </c>
      <c r="B6741" t="s">
        <v>100</v>
      </c>
      <c r="C6741" t="s">
        <v>13</v>
      </c>
      <c r="D6741" t="s">
        <v>171</v>
      </c>
      <c r="E6741" s="2">
        <v>9.5</v>
      </c>
      <c r="F6741" s="4">
        <v>3</v>
      </c>
      <c r="G6741" s="2">
        <v>28.5</v>
      </c>
      <c r="H6741" t="s">
        <v>25</v>
      </c>
      <c r="I6741" t="s">
        <v>36</v>
      </c>
      <c r="J6741" s="1">
        <v>45300</v>
      </c>
      <c r="K6741" t="b">
        <v>0</v>
      </c>
    </row>
    <row r="6742" spans="1:11" x14ac:dyDescent="0.25">
      <c r="A6742" t="s">
        <v>1883</v>
      </c>
      <c r="B6742" t="s">
        <v>18</v>
      </c>
      <c r="C6742" t="s">
        <v>23</v>
      </c>
      <c r="D6742" t="s">
        <v>810</v>
      </c>
      <c r="E6742" s="2">
        <v>9.5</v>
      </c>
      <c r="F6742" s="4">
        <v>3</v>
      </c>
      <c r="G6742" s="2">
        <v>28.5</v>
      </c>
      <c r="H6742" t="s">
        <v>15</v>
      </c>
      <c r="I6742" t="s">
        <v>36</v>
      </c>
      <c r="J6742" s="1">
        <v>44872</v>
      </c>
      <c r="K6742" t="b">
        <v>1</v>
      </c>
    </row>
    <row r="6743" spans="1:11" x14ac:dyDescent="0.25">
      <c r="A6743" t="s">
        <v>7350</v>
      </c>
      <c r="B6743" t="s">
        <v>86</v>
      </c>
      <c r="C6743" t="s">
        <v>31</v>
      </c>
      <c r="D6743" t="s">
        <v>168</v>
      </c>
      <c r="E6743" s="2">
        <v>9.5</v>
      </c>
      <c r="F6743" s="4">
        <v>3</v>
      </c>
      <c r="G6743" s="2">
        <v>28.5</v>
      </c>
      <c r="H6743" t="s">
        <v>25</v>
      </c>
      <c r="I6743" t="s">
        <v>36</v>
      </c>
      <c r="J6743" s="1">
        <v>44650</v>
      </c>
      <c r="K6743" t="b">
        <v>1</v>
      </c>
    </row>
    <row r="6744" spans="1:11" x14ac:dyDescent="0.25">
      <c r="A6744" t="s">
        <v>7660</v>
      </c>
      <c r="B6744" t="s">
        <v>12</v>
      </c>
      <c r="C6744" t="s">
        <v>31</v>
      </c>
      <c r="D6744" t="s">
        <v>168</v>
      </c>
      <c r="E6744" s="2">
        <v>9.5</v>
      </c>
      <c r="F6744" s="4">
        <v>3</v>
      </c>
      <c r="G6744" s="2">
        <v>28.5</v>
      </c>
      <c r="H6744" t="s">
        <v>15</v>
      </c>
      <c r="I6744" t="s">
        <v>36</v>
      </c>
      <c r="J6744" s="1">
        <v>44584</v>
      </c>
      <c r="K6744" t="b">
        <v>0</v>
      </c>
    </row>
    <row r="6745" spans="1:11" x14ac:dyDescent="0.25">
      <c r="A6745" t="s">
        <v>7580</v>
      </c>
      <c r="B6745" t="s">
        <v>69</v>
      </c>
      <c r="C6745" t="s">
        <v>27</v>
      </c>
      <c r="D6745" t="s">
        <v>147</v>
      </c>
      <c r="E6745" s="2">
        <v>9.5</v>
      </c>
      <c r="F6745" s="4">
        <v>3</v>
      </c>
      <c r="G6745" s="2">
        <v>28.5</v>
      </c>
      <c r="H6745" t="s">
        <v>15</v>
      </c>
      <c r="I6745" t="s">
        <v>36</v>
      </c>
      <c r="J6745" s="1">
        <v>45489</v>
      </c>
      <c r="K6745" t="b">
        <v>0</v>
      </c>
    </row>
    <row r="6746" spans="1:11" x14ac:dyDescent="0.25">
      <c r="A6746" t="s">
        <v>1554</v>
      </c>
      <c r="B6746" t="s">
        <v>61</v>
      </c>
      <c r="C6746" t="s">
        <v>27</v>
      </c>
      <c r="D6746" t="s">
        <v>147</v>
      </c>
      <c r="E6746" s="2">
        <v>9.5</v>
      </c>
      <c r="F6746" s="4">
        <v>3</v>
      </c>
      <c r="G6746" s="2">
        <v>28.5</v>
      </c>
      <c r="H6746" t="s">
        <v>45</v>
      </c>
      <c r="I6746" t="s">
        <v>16</v>
      </c>
      <c r="J6746" s="1">
        <v>44746</v>
      </c>
      <c r="K6746" t="b">
        <v>0</v>
      </c>
    </row>
    <row r="6747" spans="1:11" x14ac:dyDescent="0.25">
      <c r="A6747" t="s">
        <v>6763</v>
      </c>
      <c r="B6747" t="s">
        <v>30</v>
      </c>
      <c r="C6747" t="s">
        <v>19</v>
      </c>
      <c r="D6747" t="s">
        <v>174</v>
      </c>
      <c r="E6747" s="2">
        <v>9.5</v>
      </c>
      <c r="F6747" s="4">
        <v>3</v>
      </c>
      <c r="G6747" s="2">
        <v>28.5</v>
      </c>
      <c r="H6747" t="s">
        <v>25</v>
      </c>
      <c r="I6747" t="s">
        <v>16</v>
      </c>
      <c r="J6747" s="1">
        <v>45254</v>
      </c>
      <c r="K6747" t="b">
        <v>0</v>
      </c>
    </row>
    <row r="6748" spans="1:11" x14ac:dyDescent="0.25">
      <c r="A6748" t="s">
        <v>5919</v>
      </c>
      <c r="B6748" t="s">
        <v>18</v>
      </c>
      <c r="C6748" t="s">
        <v>27</v>
      </c>
      <c r="D6748" t="s">
        <v>147</v>
      </c>
      <c r="E6748" s="2">
        <v>9.5</v>
      </c>
      <c r="F6748" s="4">
        <v>3</v>
      </c>
      <c r="G6748" s="2">
        <v>28.5</v>
      </c>
      <c r="H6748" t="s">
        <v>25</v>
      </c>
      <c r="I6748" t="s">
        <v>36</v>
      </c>
      <c r="J6748" s="1">
        <v>45333</v>
      </c>
      <c r="K6748" t="b">
        <v>0</v>
      </c>
    </row>
    <row r="6749" spans="1:11" x14ac:dyDescent="0.25">
      <c r="A6749" t="s">
        <v>6996</v>
      </c>
      <c r="B6749" t="s">
        <v>30</v>
      </c>
      <c r="C6749" t="s">
        <v>19</v>
      </c>
      <c r="D6749" t="s">
        <v>174</v>
      </c>
      <c r="E6749" s="2">
        <v>9.5</v>
      </c>
      <c r="F6749" s="4">
        <v>3</v>
      </c>
      <c r="G6749" s="2">
        <v>28.5</v>
      </c>
      <c r="H6749" t="s">
        <v>15</v>
      </c>
      <c r="I6749" t="s">
        <v>36</v>
      </c>
      <c r="J6749" s="1">
        <v>45223</v>
      </c>
      <c r="K6749" t="b">
        <v>1</v>
      </c>
    </row>
    <row r="6750" spans="1:11" x14ac:dyDescent="0.25">
      <c r="A6750" t="s">
        <v>167</v>
      </c>
      <c r="B6750" t="s">
        <v>18</v>
      </c>
      <c r="C6750" t="s">
        <v>31</v>
      </c>
      <c r="D6750" t="s">
        <v>168</v>
      </c>
      <c r="E6750" s="2">
        <v>9.5</v>
      </c>
      <c r="F6750" s="4">
        <v>3</v>
      </c>
      <c r="G6750" s="2">
        <v>28.5</v>
      </c>
      <c r="H6750" t="s">
        <v>45</v>
      </c>
      <c r="I6750" t="s">
        <v>36</v>
      </c>
      <c r="J6750" s="1">
        <v>45524</v>
      </c>
      <c r="K6750" t="b">
        <v>0</v>
      </c>
    </row>
    <row r="6751" spans="1:11" x14ac:dyDescent="0.25">
      <c r="A6751" t="s">
        <v>588</v>
      </c>
      <c r="B6751" t="s">
        <v>72</v>
      </c>
      <c r="C6751" t="s">
        <v>31</v>
      </c>
      <c r="D6751" t="s">
        <v>168</v>
      </c>
      <c r="E6751" s="2">
        <v>9.5</v>
      </c>
      <c r="F6751" s="4">
        <v>3</v>
      </c>
      <c r="G6751" s="2">
        <v>28.5</v>
      </c>
      <c r="H6751" t="s">
        <v>25</v>
      </c>
      <c r="I6751" t="s">
        <v>36</v>
      </c>
      <c r="J6751" s="1">
        <v>44590</v>
      </c>
      <c r="K6751" t="b">
        <v>1</v>
      </c>
    </row>
    <row r="6752" spans="1:11" x14ac:dyDescent="0.25">
      <c r="A6752" t="s">
        <v>2662</v>
      </c>
      <c r="B6752" t="s">
        <v>69</v>
      </c>
      <c r="C6752" t="s">
        <v>13</v>
      </c>
      <c r="D6752" t="s">
        <v>171</v>
      </c>
      <c r="E6752" s="2">
        <v>9.5</v>
      </c>
      <c r="F6752" s="4">
        <v>3</v>
      </c>
      <c r="G6752" s="2">
        <v>28.5</v>
      </c>
      <c r="H6752" t="s">
        <v>15</v>
      </c>
      <c r="I6752" t="s">
        <v>36</v>
      </c>
      <c r="J6752" s="1">
        <v>45136</v>
      </c>
      <c r="K6752" t="b">
        <v>0</v>
      </c>
    </row>
    <row r="6753" spans="1:11" x14ac:dyDescent="0.25">
      <c r="A6753" t="s">
        <v>3263</v>
      </c>
      <c r="B6753" t="s">
        <v>69</v>
      </c>
      <c r="C6753" t="s">
        <v>31</v>
      </c>
      <c r="D6753" t="s">
        <v>168</v>
      </c>
      <c r="E6753" s="2">
        <v>9.5</v>
      </c>
      <c r="F6753" s="4">
        <v>3</v>
      </c>
      <c r="G6753" s="2">
        <v>28.5</v>
      </c>
      <c r="H6753" t="s">
        <v>45</v>
      </c>
      <c r="I6753" t="s">
        <v>36</v>
      </c>
      <c r="J6753" s="1">
        <v>44772</v>
      </c>
      <c r="K6753" t="b">
        <v>0</v>
      </c>
    </row>
    <row r="6754" spans="1:11" x14ac:dyDescent="0.25">
      <c r="A6754" t="s">
        <v>1759</v>
      </c>
      <c r="B6754" t="s">
        <v>56</v>
      </c>
      <c r="C6754" t="s">
        <v>19</v>
      </c>
      <c r="D6754" t="s">
        <v>756</v>
      </c>
      <c r="E6754" s="2">
        <v>14</v>
      </c>
      <c r="F6754" s="4">
        <v>2</v>
      </c>
      <c r="G6754" s="2">
        <v>28</v>
      </c>
      <c r="H6754" t="s">
        <v>45</v>
      </c>
      <c r="I6754" t="s">
        <v>16</v>
      </c>
      <c r="J6754" s="1">
        <v>44644</v>
      </c>
      <c r="K6754" t="b">
        <v>0</v>
      </c>
    </row>
    <row r="6755" spans="1:11" x14ac:dyDescent="0.25">
      <c r="A6755" t="s">
        <v>1522</v>
      </c>
      <c r="B6755" t="s">
        <v>56</v>
      </c>
      <c r="C6755" t="s">
        <v>13</v>
      </c>
      <c r="D6755" t="s">
        <v>151</v>
      </c>
      <c r="E6755" s="2">
        <v>14</v>
      </c>
      <c r="F6755" s="4">
        <v>2</v>
      </c>
      <c r="G6755" s="2">
        <v>28</v>
      </c>
      <c r="H6755" t="s">
        <v>15</v>
      </c>
      <c r="I6755" t="s">
        <v>16</v>
      </c>
      <c r="J6755" s="1">
        <v>44692</v>
      </c>
      <c r="K6755" t="b">
        <v>0</v>
      </c>
    </row>
    <row r="6756" spans="1:11" x14ac:dyDescent="0.25">
      <c r="A6756" t="s">
        <v>6677</v>
      </c>
      <c r="B6756" t="s">
        <v>93</v>
      </c>
      <c r="C6756" t="s">
        <v>23</v>
      </c>
      <c r="D6756" t="s">
        <v>277</v>
      </c>
      <c r="E6756" s="2">
        <v>14</v>
      </c>
      <c r="F6756" s="4">
        <v>2</v>
      </c>
      <c r="G6756" s="2">
        <v>28</v>
      </c>
      <c r="H6756" t="s">
        <v>15</v>
      </c>
      <c r="I6756" t="s">
        <v>16</v>
      </c>
      <c r="J6756" s="1">
        <v>45393</v>
      </c>
      <c r="K6756" t="b">
        <v>1</v>
      </c>
    </row>
    <row r="6757" spans="1:11" x14ac:dyDescent="0.25">
      <c r="A6757" t="s">
        <v>7116</v>
      </c>
      <c r="B6757" t="s">
        <v>69</v>
      </c>
      <c r="C6757" t="s">
        <v>110</v>
      </c>
      <c r="D6757" t="s">
        <v>176</v>
      </c>
      <c r="E6757" s="2">
        <v>14</v>
      </c>
      <c r="F6757" s="4">
        <v>2</v>
      </c>
      <c r="G6757" s="2">
        <v>28</v>
      </c>
      <c r="H6757" t="s">
        <v>45</v>
      </c>
      <c r="I6757" t="s">
        <v>36</v>
      </c>
      <c r="J6757" s="1">
        <v>44720</v>
      </c>
      <c r="K6757" t="b">
        <v>0</v>
      </c>
    </row>
    <row r="6758" spans="1:11" x14ac:dyDescent="0.25">
      <c r="A6758" t="s">
        <v>457</v>
      </c>
      <c r="B6758" t="s">
        <v>86</v>
      </c>
      <c r="C6758" t="s">
        <v>23</v>
      </c>
      <c r="D6758" t="s">
        <v>277</v>
      </c>
      <c r="E6758" s="2">
        <v>14</v>
      </c>
      <c r="F6758" s="4">
        <v>2</v>
      </c>
      <c r="G6758" s="2">
        <v>28</v>
      </c>
      <c r="H6758" t="s">
        <v>45</v>
      </c>
      <c r="I6758" t="s">
        <v>36</v>
      </c>
      <c r="J6758" s="1">
        <v>45325</v>
      </c>
      <c r="K6758" t="b">
        <v>0</v>
      </c>
    </row>
    <row r="6759" spans="1:11" x14ac:dyDescent="0.25">
      <c r="A6759" t="s">
        <v>5279</v>
      </c>
      <c r="B6759" t="s">
        <v>40</v>
      </c>
      <c r="C6759" t="s">
        <v>59</v>
      </c>
      <c r="D6759" t="s">
        <v>248</v>
      </c>
      <c r="E6759" s="2">
        <v>14</v>
      </c>
      <c r="F6759" s="4">
        <v>2</v>
      </c>
      <c r="G6759" s="2">
        <v>28</v>
      </c>
      <c r="H6759" t="s">
        <v>45</v>
      </c>
      <c r="I6759" t="s">
        <v>16</v>
      </c>
      <c r="J6759" s="1">
        <v>45564</v>
      </c>
      <c r="K6759" t="b">
        <v>0</v>
      </c>
    </row>
    <row r="6760" spans="1:11" x14ac:dyDescent="0.25">
      <c r="A6760" t="s">
        <v>2077</v>
      </c>
      <c r="B6760" t="s">
        <v>86</v>
      </c>
      <c r="C6760" t="s">
        <v>19</v>
      </c>
      <c r="D6760" t="s">
        <v>756</v>
      </c>
      <c r="E6760" s="2">
        <v>14</v>
      </c>
      <c r="F6760" s="4">
        <v>2</v>
      </c>
      <c r="G6760" s="2">
        <v>28</v>
      </c>
      <c r="H6760" t="s">
        <v>15</v>
      </c>
      <c r="I6760" t="s">
        <v>36</v>
      </c>
      <c r="J6760" s="1">
        <v>45573</v>
      </c>
      <c r="K6760" t="b">
        <v>0</v>
      </c>
    </row>
    <row r="6761" spans="1:11" x14ac:dyDescent="0.25">
      <c r="A6761" t="s">
        <v>2796</v>
      </c>
      <c r="B6761" t="s">
        <v>85</v>
      </c>
      <c r="C6761" t="s">
        <v>13</v>
      </c>
      <c r="D6761" t="s">
        <v>151</v>
      </c>
      <c r="E6761" s="2">
        <v>14</v>
      </c>
      <c r="F6761" s="4">
        <v>2</v>
      </c>
      <c r="G6761" s="2">
        <v>28</v>
      </c>
      <c r="H6761" t="s">
        <v>15</v>
      </c>
      <c r="I6761" t="s">
        <v>16</v>
      </c>
      <c r="J6761" s="1">
        <v>44671</v>
      </c>
      <c r="K6761" t="b">
        <v>1</v>
      </c>
    </row>
    <row r="6762" spans="1:11" x14ac:dyDescent="0.25">
      <c r="A6762" t="s">
        <v>1548</v>
      </c>
      <c r="B6762" t="s">
        <v>63</v>
      </c>
      <c r="C6762" t="s">
        <v>19</v>
      </c>
      <c r="D6762" t="s">
        <v>756</v>
      </c>
      <c r="E6762" s="2">
        <v>14</v>
      </c>
      <c r="F6762" s="4">
        <v>2</v>
      </c>
      <c r="G6762" s="2">
        <v>28</v>
      </c>
      <c r="H6762" t="s">
        <v>25</v>
      </c>
      <c r="I6762" t="s">
        <v>36</v>
      </c>
      <c r="J6762" s="1">
        <v>45552</v>
      </c>
      <c r="K6762" t="b">
        <v>1</v>
      </c>
    </row>
    <row r="6763" spans="1:11" x14ac:dyDescent="0.25">
      <c r="A6763" t="s">
        <v>1007</v>
      </c>
      <c r="B6763" t="s">
        <v>12</v>
      </c>
      <c r="C6763" t="s">
        <v>19</v>
      </c>
      <c r="D6763" t="s">
        <v>756</v>
      </c>
      <c r="E6763" s="2">
        <v>14</v>
      </c>
      <c r="F6763" s="4">
        <v>2</v>
      </c>
      <c r="G6763" s="2">
        <v>28</v>
      </c>
      <c r="H6763" t="s">
        <v>15</v>
      </c>
      <c r="I6763" t="s">
        <v>36</v>
      </c>
      <c r="J6763" s="1">
        <v>45424</v>
      </c>
      <c r="K6763" t="b">
        <v>0</v>
      </c>
    </row>
    <row r="6764" spans="1:11" x14ac:dyDescent="0.25">
      <c r="A6764" t="s">
        <v>1091</v>
      </c>
      <c r="B6764" t="s">
        <v>58</v>
      </c>
      <c r="C6764" t="s">
        <v>27</v>
      </c>
      <c r="D6764" t="s">
        <v>62</v>
      </c>
      <c r="E6764" s="2">
        <v>14</v>
      </c>
      <c r="F6764" s="4">
        <v>2</v>
      </c>
      <c r="G6764" s="2">
        <v>28</v>
      </c>
      <c r="H6764" t="s">
        <v>15</v>
      </c>
      <c r="I6764" t="s">
        <v>16</v>
      </c>
      <c r="J6764" s="1">
        <v>45321</v>
      </c>
      <c r="K6764" t="b">
        <v>1</v>
      </c>
    </row>
    <row r="6765" spans="1:11" x14ac:dyDescent="0.25">
      <c r="A6765" t="s">
        <v>2128</v>
      </c>
      <c r="B6765" t="s">
        <v>56</v>
      </c>
      <c r="C6765" t="s">
        <v>13</v>
      </c>
      <c r="D6765" t="s">
        <v>151</v>
      </c>
      <c r="E6765" s="2">
        <v>14</v>
      </c>
      <c r="F6765" s="4">
        <v>2</v>
      </c>
      <c r="G6765" s="2">
        <v>28</v>
      </c>
      <c r="H6765" t="s">
        <v>15</v>
      </c>
      <c r="I6765" t="s">
        <v>36</v>
      </c>
      <c r="J6765" s="1">
        <v>44602</v>
      </c>
      <c r="K6765" t="b">
        <v>0</v>
      </c>
    </row>
    <row r="6766" spans="1:11" x14ac:dyDescent="0.25">
      <c r="A6766" t="s">
        <v>7166</v>
      </c>
      <c r="B6766" t="s">
        <v>142</v>
      </c>
      <c r="C6766" t="s">
        <v>13</v>
      </c>
      <c r="D6766" t="s">
        <v>151</v>
      </c>
      <c r="E6766" s="2">
        <v>14</v>
      </c>
      <c r="F6766" s="4">
        <v>2</v>
      </c>
      <c r="G6766" s="2">
        <v>28</v>
      </c>
      <c r="H6766" t="s">
        <v>15</v>
      </c>
      <c r="I6766" t="s">
        <v>36</v>
      </c>
      <c r="J6766" s="1">
        <v>44708</v>
      </c>
      <c r="K6766" t="b">
        <v>0</v>
      </c>
    </row>
    <row r="6767" spans="1:11" x14ac:dyDescent="0.25">
      <c r="A6767" t="s">
        <v>2385</v>
      </c>
      <c r="B6767" t="s">
        <v>30</v>
      </c>
      <c r="C6767" t="s">
        <v>27</v>
      </c>
      <c r="D6767" t="s">
        <v>62</v>
      </c>
      <c r="E6767" s="2">
        <v>14</v>
      </c>
      <c r="F6767" s="4">
        <v>2</v>
      </c>
      <c r="G6767" s="2">
        <v>28</v>
      </c>
      <c r="H6767" t="s">
        <v>25</v>
      </c>
      <c r="I6767" t="s">
        <v>16</v>
      </c>
      <c r="J6767" s="1">
        <v>45400</v>
      </c>
      <c r="K6767" t="b">
        <v>0</v>
      </c>
    </row>
    <row r="6768" spans="1:11" x14ac:dyDescent="0.25">
      <c r="A6768" t="s">
        <v>4547</v>
      </c>
      <c r="B6768" t="s">
        <v>66</v>
      </c>
      <c r="C6768" t="s">
        <v>110</v>
      </c>
      <c r="D6768" t="s">
        <v>176</v>
      </c>
      <c r="E6768" s="2">
        <v>14</v>
      </c>
      <c r="F6768" s="4">
        <v>2</v>
      </c>
      <c r="G6768" s="2">
        <v>28</v>
      </c>
      <c r="H6768" t="s">
        <v>15</v>
      </c>
      <c r="I6768" t="s">
        <v>16</v>
      </c>
      <c r="J6768" s="1">
        <v>45229</v>
      </c>
      <c r="K6768" t="b">
        <v>1</v>
      </c>
    </row>
    <row r="6769" spans="1:11" x14ac:dyDescent="0.25">
      <c r="A6769" t="s">
        <v>7450</v>
      </c>
      <c r="B6769" t="s">
        <v>40</v>
      </c>
      <c r="C6769" t="s">
        <v>31</v>
      </c>
      <c r="D6769" t="s">
        <v>162</v>
      </c>
      <c r="E6769" s="2">
        <v>14</v>
      </c>
      <c r="F6769" s="4">
        <v>2</v>
      </c>
      <c r="G6769" s="2">
        <v>28</v>
      </c>
      <c r="H6769" t="s">
        <v>45</v>
      </c>
      <c r="I6769" t="s">
        <v>16</v>
      </c>
      <c r="J6769" s="1">
        <v>44654</v>
      </c>
      <c r="K6769" t="b">
        <v>0</v>
      </c>
    </row>
    <row r="6770" spans="1:11" x14ac:dyDescent="0.25">
      <c r="A6770" t="s">
        <v>5894</v>
      </c>
      <c r="B6770" t="s">
        <v>51</v>
      </c>
      <c r="C6770" t="s">
        <v>23</v>
      </c>
      <c r="D6770" t="s">
        <v>277</v>
      </c>
      <c r="E6770" s="2">
        <v>14</v>
      </c>
      <c r="F6770" s="4">
        <v>2</v>
      </c>
      <c r="G6770" s="2">
        <v>28</v>
      </c>
      <c r="H6770" t="s">
        <v>25</v>
      </c>
      <c r="I6770" t="s">
        <v>16</v>
      </c>
      <c r="J6770" s="1">
        <v>44983</v>
      </c>
      <c r="K6770" t="b">
        <v>0</v>
      </c>
    </row>
    <row r="6771" spans="1:11" x14ac:dyDescent="0.25">
      <c r="A6771" t="s">
        <v>7056</v>
      </c>
      <c r="B6771" t="s">
        <v>40</v>
      </c>
      <c r="C6771" t="s">
        <v>27</v>
      </c>
      <c r="D6771" t="s">
        <v>62</v>
      </c>
      <c r="E6771" s="2">
        <v>14</v>
      </c>
      <c r="F6771" s="4">
        <v>2</v>
      </c>
      <c r="G6771" s="2">
        <v>28</v>
      </c>
      <c r="H6771" t="s">
        <v>25</v>
      </c>
      <c r="I6771" t="s">
        <v>36</v>
      </c>
      <c r="J6771" s="1">
        <v>45499</v>
      </c>
      <c r="K6771" t="b">
        <v>1</v>
      </c>
    </row>
    <row r="6772" spans="1:11" x14ac:dyDescent="0.25">
      <c r="A6772" t="s">
        <v>1154</v>
      </c>
      <c r="B6772" t="s">
        <v>22</v>
      </c>
      <c r="C6772" t="s">
        <v>13</v>
      </c>
      <c r="D6772" t="s">
        <v>151</v>
      </c>
      <c r="E6772" s="2">
        <v>14</v>
      </c>
      <c r="F6772" s="4">
        <v>2</v>
      </c>
      <c r="G6772" s="2">
        <v>28</v>
      </c>
      <c r="H6772" t="s">
        <v>25</v>
      </c>
      <c r="I6772" t="s">
        <v>36</v>
      </c>
      <c r="J6772" s="1">
        <v>44911</v>
      </c>
      <c r="K6772" t="b">
        <v>0</v>
      </c>
    </row>
    <row r="6773" spans="1:11" x14ac:dyDescent="0.25">
      <c r="A6773" t="s">
        <v>7058</v>
      </c>
      <c r="B6773" t="s">
        <v>22</v>
      </c>
      <c r="C6773" t="s">
        <v>23</v>
      </c>
      <c r="D6773" t="s">
        <v>277</v>
      </c>
      <c r="E6773" s="2">
        <v>14</v>
      </c>
      <c r="F6773" s="4">
        <v>2</v>
      </c>
      <c r="G6773" s="2">
        <v>28</v>
      </c>
      <c r="H6773" t="s">
        <v>45</v>
      </c>
      <c r="I6773" t="s">
        <v>36</v>
      </c>
      <c r="J6773" s="1">
        <v>45072</v>
      </c>
      <c r="K6773" t="b">
        <v>0</v>
      </c>
    </row>
    <row r="6774" spans="1:11" x14ac:dyDescent="0.25">
      <c r="A6774" t="s">
        <v>5661</v>
      </c>
      <c r="B6774" t="s">
        <v>104</v>
      </c>
      <c r="C6774" t="s">
        <v>110</v>
      </c>
      <c r="D6774" t="s">
        <v>176</v>
      </c>
      <c r="E6774" s="2">
        <v>14</v>
      </c>
      <c r="F6774" s="4">
        <v>2</v>
      </c>
      <c r="G6774" s="2">
        <v>28</v>
      </c>
      <c r="H6774" t="s">
        <v>45</v>
      </c>
      <c r="I6774" t="s">
        <v>36</v>
      </c>
      <c r="J6774" s="1">
        <v>44887</v>
      </c>
      <c r="K6774" t="b">
        <v>1</v>
      </c>
    </row>
    <row r="6775" spans="1:11" x14ac:dyDescent="0.25">
      <c r="A6775" t="s">
        <v>2468</v>
      </c>
      <c r="B6775" t="s">
        <v>37</v>
      </c>
      <c r="C6775" t="s">
        <v>19</v>
      </c>
      <c r="D6775" t="s">
        <v>756</v>
      </c>
      <c r="E6775" s="2">
        <v>14</v>
      </c>
      <c r="F6775" s="4">
        <v>2</v>
      </c>
      <c r="G6775" s="2">
        <v>28</v>
      </c>
      <c r="H6775" t="s">
        <v>45</v>
      </c>
      <c r="I6775" t="s">
        <v>36</v>
      </c>
      <c r="J6775" s="1">
        <v>44669</v>
      </c>
      <c r="K6775" t="b">
        <v>1</v>
      </c>
    </row>
    <row r="6776" spans="1:11" x14ac:dyDescent="0.25">
      <c r="A6776" t="s">
        <v>2727</v>
      </c>
      <c r="B6776" t="s">
        <v>86</v>
      </c>
      <c r="C6776" t="s">
        <v>13</v>
      </c>
      <c r="D6776" t="s">
        <v>151</v>
      </c>
      <c r="E6776" s="2">
        <v>14</v>
      </c>
      <c r="F6776" s="4">
        <v>2</v>
      </c>
      <c r="G6776" s="2">
        <v>28</v>
      </c>
      <c r="H6776" t="s">
        <v>25</v>
      </c>
      <c r="I6776" t="s">
        <v>16</v>
      </c>
      <c r="J6776" s="1">
        <v>44574</v>
      </c>
      <c r="K6776" t="b">
        <v>0</v>
      </c>
    </row>
    <row r="6777" spans="1:11" x14ac:dyDescent="0.25">
      <c r="A6777" t="s">
        <v>4435</v>
      </c>
      <c r="B6777" t="s">
        <v>26</v>
      </c>
      <c r="C6777" t="s">
        <v>19</v>
      </c>
      <c r="D6777" t="s">
        <v>756</v>
      </c>
      <c r="E6777" s="2">
        <v>14</v>
      </c>
      <c r="F6777" s="4">
        <v>2</v>
      </c>
      <c r="G6777" s="2">
        <v>28</v>
      </c>
      <c r="H6777" t="s">
        <v>45</v>
      </c>
      <c r="I6777" t="s">
        <v>16</v>
      </c>
      <c r="J6777" s="1">
        <v>44844</v>
      </c>
      <c r="K6777" t="b">
        <v>1</v>
      </c>
    </row>
    <row r="6778" spans="1:11" x14ac:dyDescent="0.25">
      <c r="A6778" t="s">
        <v>4185</v>
      </c>
      <c r="B6778" t="s">
        <v>40</v>
      </c>
      <c r="C6778" t="s">
        <v>19</v>
      </c>
      <c r="D6778" t="s">
        <v>756</v>
      </c>
      <c r="E6778" s="2">
        <v>14</v>
      </c>
      <c r="F6778" s="4">
        <v>2</v>
      </c>
      <c r="G6778" s="2">
        <v>28</v>
      </c>
      <c r="H6778" t="s">
        <v>15</v>
      </c>
      <c r="I6778" t="s">
        <v>16</v>
      </c>
      <c r="J6778" s="1">
        <v>45017</v>
      </c>
      <c r="K6778" t="b">
        <v>1</v>
      </c>
    </row>
    <row r="6779" spans="1:11" x14ac:dyDescent="0.25">
      <c r="A6779" t="s">
        <v>2027</v>
      </c>
      <c r="B6779" t="s">
        <v>51</v>
      </c>
      <c r="C6779" t="s">
        <v>19</v>
      </c>
      <c r="D6779" t="s">
        <v>756</v>
      </c>
      <c r="E6779" s="2">
        <v>14</v>
      </c>
      <c r="F6779" s="4">
        <v>2</v>
      </c>
      <c r="G6779" s="2">
        <v>28</v>
      </c>
      <c r="H6779" t="s">
        <v>25</v>
      </c>
      <c r="I6779" t="s">
        <v>16</v>
      </c>
      <c r="J6779" s="1">
        <v>44626</v>
      </c>
      <c r="K6779" t="b">
        <v>1</v>
      </c>
    </row>
    <row r="6780" spans="1:11" x14ac:dyDescent="0.25">
      <c r="A6780" t="s">
        <v>1169</v>
      </c>
      <c r="B6780" t="s">
        <v>34</v>
      </c>
      <c r="C6780" t="s">
        <v>27</v>
      </c>
      <c r="D6780" t="s">
        <v>28</v>
      </c>
      <c r="E6780" s="2">
        <v>27.5</v>
      </c>
      <c r="F6780" s="4">
        <v>1</v>
      </c>
      <c r="G6780" s="2">
        <v>27.5</v>
      </c>
      <c r="H6780" t="s">
        <v>25</v>
      </c>
      <c r="I6780" t="s">
        <v>36</v>
      </c>
      <c r="J6780" s="1">
        <v>45662</v>
      </c>
      <c r="K6780" t="b">
        <v>0</v>
      </c>
    </row>
    <row r="6781" spans="1:11" x14ac:dyDescent="0.25">
      <c r="A6781" t="s">
        <v>2570</v>
      </c>
      <c r="B6781" t="s">
        <v>97</v>
      </c>
      <c r="C6781" t="s">
        <v>23</v>
      </c>
      <c r="D6781" t="s">
        <v>115</v>
      </c>
      <c r="E6781" s="2">
        <v>27.5</v>
      </c>
      <c r="F6781" s="4">
        <v>1</v>
      </c>
      <c r="G6781" s="2">
        <v>27.5</v>
      </c>
      <c r="H6781" t="s">
        <v>25</v>
      </c>
      <c r="I6781" t="s">
        <v>16</v>
      </c>
      <c r="J6781" s="1">
        <v>44790</v>
      </c>
      <c r="K6781" t="b">
        <v>0</v>
      </c>
    </row>
    <row r="6782" spans="1:11" x14ac:dyDescent="0.25">
      <c r="A6782" t="s">
        <v>1469</v>
      </c>
      <c r="B6782" t="s">
        <v>51</v>
      </c>
      <c r="C6782" t="s">
        <v>31</v>
      </c>
      <c r="D6782" t="s">
        <v>1456</v>
      </c>
      <c r="E6782" s="2">
        <v>27.5</v>
      </c>
      <c r="F6782" s="4">
        <v>1</v>
      </c>
      <c r="G6782" s="2">
        <v>27.5</v>
      </c>
      <c r="H6782" t="s">
        <v>45</v>
      </c>
      <c r="I6782" t="s">
        <v>16</v>
      </c>
      <c r="J6782" s="1">
        <v>44601</v>
      </c>
      <c r="K6782" t="b">
        <v>0</v>
      </c>
    </row>
    <row r="6783" spans="1:11" x14ac:dyDescent="0.25">
      <c r="A6783" t="s">
        <v>769</v>
      </c>
      <c r="B6783" t="s">
        <v>104</v>
      </c>
      <c r="C6783" t="s">
        <v>59</v>
      </c>
      <c r="D6783" t="s">
        <v>272</v>
      </c>
      <c r="E6783" s="2">
        <v>27.5</v>
      </c>
      <c r="F6783" s="4">
        <v>1</v>
      </c>
      <c r="G6783" s="2">
        <v>27.5</v>
      </c>
      <c r="H6783" t="s">
        <v>15</v>
      </c>
      <c r="I6783" t="s">
        <v>16</v>
      </c>
      <c r="J6783" s="1">
        <v>45549</v>
      </c>
      <c r="K6783" t="b">
        <v>1</v>
      </c>
    </row>
    <row r="6784" spans="1:11" x14ac:dyDescent="0.25">
      <c r="A6784" t="s">
        <v>1677</v>
      </c>
      <c r="B6784" t="s">
        <v>66</v>
      </c>
      <c r="C6784" t="s">
        <v>59</v>
      </c>
      <c r="D6784" t="s">
        <v>272</v>
      </c>
      <c r="E6784" s="2">
        <v>27.5</v>
      </c>
      <c r="F6784" s="4">
        <v>1</v>
      </c>
      <c r="G6784" s="2">
        <v>27.5</v>
      </c>
      <c r="H6784" t="s">
        <v>15</v>
      </c>
      <c r="I6784" t="s">
        <v>16</v>
      </c>
      <c r="J6784" s="1">
        <v>44893</v>
      </c>
      <c r="K6784" t="b">
        <v>1</v>
      </c>
    </row>
    <row r="6785" spans="1:11" x14ac:dyDescent="0.25">
      <c r="A6785" t="s">
        <v>4516</v>
      </c>
      <c r="B6785" t="s">
        <v>18</v>
      </c>
      <c r="C6785" t="s">
        <v>13</v>
      </c>
      <c r="D6785" t="s">
        <v>183</v>
      </c>
      <c r="E6785" s="2">
        <v>27.5</v>
      </c>
      <c r="F6785" s="4">
        <v>1</v>
      </c>
      <c r="G6785" s="2">
        <v>27.5</v>
      </c>
      <c r="H6785" t="s">
        <v>25</v>
      </c>
      <c r="I6785" t="s">
        <v>16</v>
      </c>
      <c r="J6785" s="1">
        <v>45029</v>
      </c>
      <c r="K6785" t="b">
        <v>1</v>
      </c>
    </row>
    <row r="6786" spans="1:11" x14ac:dyDescent="0.25">
      <c r="A6786" t="s">
        <v>1536</v>
      </c>
      <c r="B6786" t="s">
        <v>93</v>
      </c>
      <c r="C6786" t="s">
        <v>23</v>
      </c>
      <c r="D6786" t="s">
        <v>115</v>
      </c>
      <c r="E6786" s="2">
        <v>27.5</v>
      </c>
      <c r="F6786" s="4">
        <v>1</v>
      </c>
      <c r="G6786" s="2">
        <v>27.5</v>
      </c>
      <c r="H6786" t="s">
        <v>25</v>
      </c>
      <c r="I6786" t="s">
        <v>36</v>
      </c>
      <c r="J6786" s="1">
        <v>45364</v>
      </c>
      <c r="K6786" t="b">
        <v>1</v>
      </c>
    </row>
    <row r="6787" spans="1:11" x14ac:dyDescent="0.25">
      <c r="A6787" t="s">
        <v>4805</v>
      </c>
      <c r="B6787" t="s">
        <v>40</v>
      </c>
      <c r="C6787" t="s">
        <v>110</v>
      </c>
      <c r="D6787" t="s">
        <v>111</v>
      </c>
      <c r="E6787" s="2">
        <v>27.5</v>
      </c>
      <c r="F6787" s="4">
        <v>1</v>
      </c>
      <c r="G6787" s="2">
        <v>27.5</v>
      </c>
      <c r="H6787" t="s">
        <v>25</v>
      </c>
      <c r="I6787" t="s">
        <v>36</v>
      </c>
      <c r="J6787" s="1">
        <v>44879</v>
      </c>
      <c r="K6787" t="b">
        <v>0</v>
      </c>
    </row>
    <row r="6788" spans="1:11" x14ac:dyDescent="0.25">
      <c r="A6788" t="s">
        <v>6347</v>
      </c>
      <c r="B6788" t="s">
        <v>77</v>
      </c>
      <c r="C6788" t="s">
        <v>19</v>
      </c>
      <c r="D6788" t="s">
        <v>53</v>
      </c>
      <c r="E6788" s="2">
        <v>27.5</v>
      </c>
      <c r="F6788" s="4">
        <v>1</v>
      </c>
      <c r="G6788" s="2">
        <v>27.5</v>
      </c>
      <c r="H6788" t="s">
        <v>25</v>
      </c>
      <c r="I6788" t="s">
        <v>16</v>
      </c>
      <c r="J6788" s="1">
        <v>45531</v>
      </c>
      <c r="K6788" t="b">
        <v>1</v>
      </c>
    </row>
    <row r="6789" spans="1:11" x14ac:dyDescent="0.25">
      <c r="A6789" t="s">
        <v>7141</v>
      </c>
      <c r="B6789" t="s">
        <v>26</v>
      </c>
      <c r="C6789" t="s">
        <v>59</v>
      </c>
      <c r="D6789" t="s">
        <v>272</v>
      </c>
      <c r="E6789" s="2">
        <v>27.5</v>
      </c>
      <c r="F6789" s="4">
        <v>1</v>
      </c>
      <c r="G6789" s="2">
        <v>27.5</v>
      </c>
      <c r="H6789" t="s">
        <v>15</v>
      </c>
      <c r="I6789" t="s">
        <v>16</v>
      </c>
      <c r="J6789" s="1">
        <v>45599</v>
      </c>
      <c r="K6789" t="b">
        <v>1</v>
      </c>
    </row>
    <row r="6790" spans="1:11" x14ac:dyDescent="0.25">
      <c r="A6790" t="s">
        <v>2630</v>
      </c>
      <c r="B6790" t="s">
        <v>77</v>
      </c>
      <c r="C6790" t="s">
        <v>23</v>
      </c>
      <c r="D6790" t="s">
        <v>115</v>
      </c>
      <c r="E6790" s="2">
        <v>27.5</v>
      </c>
      <c r="F6790" s="4">
        <v>1</v>
      </c>
      <c r="G6790" s="2">
        <v>27.5</v>
      </c>
      <c r="H6790" t="s">
        <v>45</v>
      </c>
      <c r="I6790" t="s">
        <v>16</v>
      </c>
      <c r="J6790" s="1">
        <v>44798</v>
      </c>
      <c r="K6790" t="b">
        <v>0</v>
      </c>
    </row>
    <row r="6791" spans="1:11" x14ac:dyDescent="0.25">
      <c r="A6791" t="s">
        <v>5641</v>
      </c>
      <c r="B6791" t="s">
        <v>61</v>
      </c>
      <c r="C6791" t="s">
        <v>23</v>
      </c>
      <c r="D6791" t="s">
        <v>115</v>
      </c>
      <c r="E6791" s="2">
        <v>27.5</v>
      </c>
      <c r="F6791" s="4">
        <v>1</v>
      </c>
      <c r="G6791" s="2">
        <v>27.5</v>
      </c>
      <c r="H6791" t="s">
        <v>25</v>
      </c>
      <c r="I6791" t="s">
        <v>16</v>
      </c>
      <c r="J6791" s="1">
        <v>44763</v>
      </c>
      <c r="K6791" t="b">
        <v>1</v>
      </c>
    </row>
    <row r="6792" spans="1:11" x14ac:dyDescent="0.25">
      <c r="A6792" t="s">
        <v>2084</v>
      </c>
      <c r="B6792" t="s">
        <v>37</v>
      </c>
      <c r="C6792" t="s">
        <v>59</v>
      </c>
      <c r="D6792" t="s">
        <v>272</v>
      </c>
      <c r="E6792" s="2">
        <v>27.5</v>
      </c>
      <c r="F6792" s="4">
        <v>1</v>
      </c>
      <c r="G6792" s="2">
        <v>27.5</v>
      </c>
      <c r="H6792" t="s">
        <v>45</v>
      </c>
      <c r="I6792" t="s">
        <v>16</v>
      </c>
      <c r="J6792" s="1">
        <v>44667</v>
      </c>
      <c r="K6792" t="b">
        <v>0</v>
      </c>
    </row>
    <row r="6793" spans="1:11" x14ac:dyDescent="0.25">
      <c r="A6793" t="s">
        <v>6676</v>
      </c>
      <c r="B6793" t="s">
        <v>61</v>
      </c>
      <c r="C6793" t="s">
        <v>110</v>
      </c>
      <c r="D6793" t="s">
        <v>111</v>
      </c>
      <c r="E6793" s="2">
        <v>27.5</v>
      </c>
      <c r="F6793" s="4">
        <v>1</v>
      </c>
      <c r="G6793" s="2">
        <v>27.5</v>
      </c>
      <c r="H6793" t="s">
        <v>15</v>
      </c>
      <c r="I6793" t="s">
        <v>36</v>
      </c>
      <c r="J6793" s="1">
        <v>45581</v>
      </c>
      <c r="K6793" t="b">
        <v>1</v>
      </c>
    </row>
    <row r="6794" spans="1:11" x14ac:dyDescent="0.25">
      <c r="A6794" t="s">
        <v>5860</v>
      </c>
      <c r="B6794" t="s">
        <v>22</v>
      </c>
      <c r="C6794" t="s">
        <v>27</v>
      </c>
      <c r="D6794" t="s">
        <v>28</v>
      </c>
      <c r="E6794" s="2">
        <v>27.5</v>
      </c>
      <c r="F6794" s="4">
        <v>1</v>
      </c>
      <c r="G6794" s="2">
        <v>27.5</v>
      </c>
      <c r="H6794" t="s">
        <v>45</v>
      </c>
      <c r="I6794" t="s">
        <v>36</v>
      </c>
      <c r="J6794" s="1">
        <v>44686</v>
      </c>
      <c r="K6794" t="b">
        <v>0</v>
      </c>
    </row>
    <row r="6795" spans="1:11" x14ac:dyDescent="0.25">
      <c r="A6795" t="s">
        <v>5968</v>
      </c>
      <c r="B6795" t="s">
        <v>40</v>
      </c>
      <c r="C6795" t="s">
        <v>19</v>
      </c>
      <c r="D6795" t="s">
        <v>53</v>
      </c>
      <c r="E6795" s="2">
        <v>27.5</v>
      </c>
      <c r="F6795" s="4">
        <v>1</v>
      </c>
      <c r="G6795" s="2">
        <v>27.5</v>
      </c>
      <c r="H6795" t="s">
        <v>25</v>
      </c>
      <c r="I6795" t="s">
        <v>16</v>
      </c>
      <c r="J6795" s="1">
        <v>44920</v>
      </c>
      <c r="K6795" t="b">
        <v>1</v>
      </c>
    </row>
    <row r="6796" spans="1:11" x14ac:dyDescent="0.25">
      <c r="A6796" t="s">
        <v>4387</v>
      </c>
      <c r="B6796" t="s">
        <v>104</v>
      </c>
      <c r="C6796" t="s">
        <v>27</v>
      </c>
      <c r="D6796" t="s">
        <v>28</v>
      </c>
      <c r="E6796" s="2">
        <v>27.5</v>
      </c>
      <c r="F6796" s="4">
        <v>1</v>
      </c>
      <c r="G6796" s="2">
        <v>27.5</v>
      </c>
      <c r="H6796" t="s">
        <v>45</v>
      </c>
      <c r="I6796" t="s">
        <v>36</v>
      </c>
      <c r="J6796" s="1">
        <v>44743</v>
      </c>
      <c r="K6796" t="b">
        <v>0</v>
      </c>
    </row>
    <row r="6797" spans="1:11" x14ac:dyDescent="0.25">
      <c r="A6797" t="s">
        <v>7336</v>
      </c>
      <c r="B6797" t="s">
        <v>18</v>
      </c>
      <c r="C6797" t="s">
        <v>23</v>
      </c>
      <c r="D6797" t="s">
        <v>115</v>
      </c>
      <c r="E6797" s="2">
        <v>27.5</v>
      </c>
      <c r="F6797" s="4">
        <v>1</v>
      </c>
      <c r="G6797" s="2">
        <v>27.5</v>
      </c>
      <c r="H6797" t="s">
        <v>45</v>
      </c>
      <c r="I6797" t="s">
        <v>36</v>
      </c>
      <c r="J6797" s="1">
        <v>44865</v>
      </c>
      <c r="K6797" t="b">
        <v>0</v>
      </c>
    </row>
    <row r="6798" spans="1:11" x14ac:dyDescent="0.25">
      <c r="A6798" t="s">
        <v>5068</v>
      </c>
      <c r="B6798" t="s">
        <v>34</v>
      </c>
      <c r="C6798" t="s">
        <v>13</v>
      </c>
      <c r="D6798" t="s">
        <v>183</v>
      </c>
      <c r="E6798" s="2">
        <v>27.5</v>
      </c>
      <c r="F6798" s="4">
        <v>1</v>
      </c>
      <c r="G6798" s="2">
        <v>27.5</v>
      </c>
      <c r="H6798" t="s">
        <v>25</v>
      </c>
      <c r="I6798" t="s">
        <v>16</v>
      </c>
      <c r="J6798" s="1">
        <v>45594</v>
      </c>
      <c r="K6798" t="b">
        <v>1</v>
      </c>
    </row>
    <row r="6799" spans="1:11" x14ac:dyDescent="0.25">
      <c r="A6799" t="s">
        <v>2980</v>
      </c>
      <c r="B6799" t="s">
        <v>56</v>
      </c>
      <c r="C6799" t="s">
        <v>27</v>
      </c>
      <c r="D6799" t="s">
        <v>28</v>
      </c>
      <c r="E6799" s="2">
        <v>27.5</v>
      </c>
      <c r="F6799" s="4">
        <v>1</v>
      </c>
      <c r="G6799" s="2">
        <v>27.5</v>
      </c>
      <c r="H6799" t="s">
        <v>45</v>
      </c>
      <c r="I6799" t="s">
        <v>36</v>
      </c>
      <c r="J6799" s="1">
        <v>45448</v>
      </c>
      <c r="K6799" t="b">
        <v>1</v>
      </c>
    </row>
    <row r="6800" spans="1:11" x14ac:dyDescent="0.25">
      <c r="A6800" t="s">
        <v>1025</v>
      </c>
      <c r="B6800" t="s">
        <v>86</v>
      </c>
      <c r="C6800" t="s">
        <v>59</v>
      </c>
      <c r="D6800" t="s">
        <v>272</v>
      </c>
      <c r="E6800" s="2">
        <v>27.5</v>
      </c>
      <c r="F6800" s="4">
        <v>1</v>
      </c>
      <c r="G6800" s="2">
        <v>27.5</v>
      </c>
      <c r="H6800" t="s">
        <v>15</v>
      </c>
      <c r="I6800" t="s">
        <v>36</v>
      </c>
      <c r="J6800" s="1">
        <v>45416</v>
      </c>
      <c r="K6800" t="b">
        <v>0</v>
      </c>
    </row>
    <row r="6801" spans="1:11" x14ac:dyDescent="0.25">
      <c r="A6801" t="s">
        <v>1771</v>
      </c>
      <c r="B6801" t="s">
        <v>85</v>
      </c>
      <c r="C6801" t="s">
        <v>110</v>
      </c>
      <c r="D6801" t="s">
        <v>111</v>
      </c>
      <c r="E6801" s="2">
        <v>27.5</v>
      </c>
      <c r="F6801" s="4">
        <v>1</v>
      </c>
      <c r="G6801" s="2">
        <v>27.5</v>
      </c>
      <c r="H6801" t="s">
        <v>45</v>
      </c>
      <c r="I6801" t="s">
        <v>36</v>
      </c>
      <c r="J6801" s="1">
        <v>45336</v>
      </c>
      <c r="K6801" t="b">
        <v>0</v>
      </c>
    </row>
    <row r="6802" spans="1:11" x14ac:dyDescent="0.25">
      <c r="A6802" t="s">
        <v>2767</v>
      </c>
      <c r="B6802" t="s">
        <v>100</v>
      </c>
      <c r="C6802" t="s">
        <v>27</v>
      </c>
      <c r="D6802" t="s">
        <v>28</v>
      </c>
      <c r="E6802" s="2">
        <v>27.5</v>
      </c>
      <c r="F6802" s="4">
        <v>1</v>
      </c>
      <c r="G6802" s="2">
        <v>27.5</v>
      </c>
      <c r="H6802" t="s">
        <v>25</v>
      </c>
      <c r="I6802" t="s">
        <v>36</v>
      </c>
      <c r="J6802" s="1">
        <v>45192</v>
      </c>
      <c r="K6802" t="b">
        <v>0</v>
      </c>
    </row>
    <row r="6803" spans="1:11" x14ac:dyDescent="0.25">
      <c r="A6803" t="s">
        <v>39</v>
      </c>
      <c r="B6803" t="s">
        <v>40</v>
      </c>
      <c r="C6803" t="s">
        <v>38</v>
      </c>
      <c r="D6803" t="s">
        <v>41</v>
      </c>
      <c r="E6803" s="2">
        <v>27.5</v>
      </c>
      <c r="F6803" s="4">
        <v>1</v>
      </c>
      <c r="G6803" s="2">
        <v>27.5</v>
      </c>
      <c r="H6803" t="s">
        <v>25</v>
      </c>
      <c r="I6803" t="s">
        <v>36</v>
      </c>
      <c r="J6803" s="1">
        <v>45042</v>
      </c>
      <c r="K6803" t="b">
        <v>0</v>
      </c>
    </row>
    <row r="6804" spans="1:11" x14ac:dyDescent="0.25">
      <c r="A6804" t="s">
        <v>4495</v>
      </c>
      <c r="B6804" t="s">
        <v>37</v>
      </c>
      <c r="C6804" t="s">
        <v>23</v>
      </c>
      <c r="D6804" t="s">
        <v>115</v>
      </c>
      <c r="E6804" s="2">
        <v>27.5</v>
      </c>
      <c r="F6804" s="4">
        <v>1</v>
      </c>
      <c r="G6804" s="2">
        <v>27.5</v>
      </c>
      <c r="H6804" t="s">
        <v>25</v>
      </c>
      <c r="I6804" t="s">
        <v>16</v>
      </c>
      <c r="J6804" s="1">
        <v>44995</v>
      </c>
      <c r="K6804" t="b">
        <v>0</v>
      </c>
    </row>
    <row r="6805" spans="1:11" x14ac:dyDescent="0.25">
      <c r="A6805" t="s">
        <v>643</v>
      </c>
      <c r="B6805" t="s">
        <v>40</v>
      </c>
      <c r="C6805" t="s">
        <v>19</v>
      </c>
      <c r="D6805" t="s">
        <v>53</v>
      </c>
      <c r="E6805" s="2">
        <v>27.5</v>
      </c>
      <c r="F6805" s="4">
        <v>1</v>
      </c>
      <c r="G6805" s="2">
        <v>27.5</v>
      </c>
      <c r="H6805" t="s">
        <v>25</v>
      </c>
      <c r="I6805" t="s">
        <v>16</v>
      </c>
      <c r="J6805" s="1">
        <v>45160</v>
      </c>
      <c r="K6805" t="b">
        <v>0</v>
      </c>
    </row>
    <row r="6806" spans="1:11" x14ac:dyDescent="0.25">
      <c r="A6806" t="s">
        <v>7747</v>
      </c>
      <c r="B6806" t="s">
        <v>93</v>
      </c>
      <c r="C6806" t="s">
        <v>59</v>
      </c>
      <c r="D6806" t="s">
        <v>463</v>
      </c>
      <c r="E6806" s="2">
        <v>26</v>
      </c>
      <c r="F6806" s="4">
        <v>1</v>
      </c>
      <c r="G6806" s="2">
        <v>26</v>
      </c>
      <c r="H6806" t="s">
        <v>45</v>
      </c>
      <c r="I6806" t="s">
        <v>16</v>
      </c>
      <c r="J6806" s="1">
        <v>44604</v>
      </c>
      <c r="K6806" t="b">
        <v>0</v>
      </c>
    </row>
    <row r="6807" spans="1:11" x14ac:dyDescent="0.25">
      <c r="A6807" t="s">
        <v>4534</v>
      </c>
      <c r="B6807" t="s">
        <v>18</v>
      </c>
      <c r="C6807" t="s">
        <v>27</v>
      </c>
      <c r="D6807" t="s">
        <v>246</v>
      </c>
      <c r="E6807" s="2">
        <v>6.5</v>
      </c>
      <c r="F6807" s="4">
        <v>4</v>
      </c>
      <c r="G6807" s="2">
        <v>26</v>
      </c>
      <c r="H6807" t="s">
        <v>45</v>
      </c>
      <c r="I6807" t="s">
        <v>16</v>
      </c>
      <c r="J6807" s="1">
        <v>45597</v>
      </c>
      <c r="K6807" t="b">
        <v>1</v>
      </c>
    </row>
    <row r="6808" spans="1:11" x14ac:dyDescent="0.25">
      <c r="A6808" t="s">
        <v>3827</v>
      </c>
      <c r="B6808" t="s">
        <v>86</v>
      </c>
      <c r="C6808" t="s">
        <v>38</v>
      </c>
      <c r="D6808" t="s">
        <v>341</v>
      </c>
      <c r="E6808" s="2">
        <v>26</v>
      </c>
      <c r="F6808" s="4">
        <v>1</v>
      </c>
      <c r="G6808" s="2">
        <v>26</v>
      </c>
      <c r="H6808" t="s">
        <v>25</v>
      </c>
      <c r="I6808" t="s">
        <v>16</v>
      </c>
      <c r="J6808" s="1">
        <v>45609</v>
      </c>
      <c r="K6808" t="b">
        <v>0</v>
      </c>
    </row>
    <row r="6809" spans="1:11" x14ac:dyDescent="0.25">
      <c r="A6809" t="s">
        <v>7366</v>
      </c>
      <c r="B6809" t="s">
        <v>142</v>
      </c>
      <c r="C6809" t="s">
        <v>23</v>
      </c>
      <c r="D6809" t="s">
        <v>137</v>
      </c>
      <c r="E6809" s="2">
        <v>6.5</v>
      </c>
      <c r="F6809" s="4">
        <v>4</v>
      </c>
      <c r="G6809" s="2">
        <v>26</v>
      </c>
      <c r="H6809" t="s">
        <v>45</v>
      </c>
      <c r="I6809" t="s">
        <v>16</v>
      </c>
      <c r="J6809" s="1">
        <v>45092</v>
      </c>
      <c r="K6809" t="b">
        <v>0</v>
      </c>
    </row>
    <row r="6810" spans="1:11" x14ac:dyDescent="0.25">
      <c r="A6810" t="s">
        <v>7488</v>
      </c>
      <c r="B6810" t="s">
        <v>40</v>
      </c>
      <c r="C6810" t="s">
        <v>59</v>
      </c>
      <c r="D6810" t="s">
        <v>463</v>
      </c>
      <c r="E6810" s="2">
        <v>26</v>
      </c>
      <c r="F6810" s="4">
        <v>1</v>
      </c>
      <c r="G6810" s="2">
        <v>26</v>
      </c>
      <c r="H6810" t="s">
        <v>25</v>
      </c>
      <c r="I6810" t="s">
        <v>36</v>
      </c>
      <c r="J6810" s="1">
        <v>45547</v>
      </c>
      <c r="K6810" t="b">
        <v>1</v>
      </c>
    </row>
    <row r="6811" spans="1:11" x14ac:dyDescent="0.25">
      <c r="A6811" t="s">
        <v>4522</v>
      </c>
      <c r="B6811" t="s">
        <v>77</v>
      </c>
      <c r="C6811" t="s">
        <v>19</v>
      </c>
      <c r="D6811" t="s">
        <v>268</v>
      </c>
      <c r="E6811" s="2">
        <v>26</v>
      </c>
      <c r="F6811" s="4">
        <v>1</v>
      </c>
      <c r="G6811" s="2">
        <v>26</v>
      </c>
      <c r="H6811" t="s">
        <v>25</v>
      </c>
      <c r="I6811" t="s">
        <v>36</v>
      </c>
      <c r="J6811" s="1">
        <v>44569</v>
      </c>
      <c r="K6811" t="b">
        <v>1</v>
      </c>
    </row>
    <row r="6812" spans="1:11" x14ac:dyDescent="0.25">
      <c r="A6812" t="s">
        <v>5355</v>
      </c>
      <c r="B6812" t="s">
        <v>12</v>
      </c>
      <c r="C6812" t="s">
        <v>27</v>
      </c>
      <c r="D6812" t="s">
        <v>246</v>
      </c>
      <c r="E6812" s="2">
        <v>6.5</v>
      </c>
      <c r="F6812" s="4">
        <v>4</v>
      </c>
      <c r="G6812" s="2">
        <v>26</v>
      </c>
      <c r="H6812" t="s">
        <v>45</v>
      </c>
      <c r="I6812" t="s">
        <v>36</v>
      </c>
      <c r="J6812" s="1">
        <v>45112</v>
      </c>
      <c r="K6812" t="b">
        <v>0</v>
      </c>
    </row>
    <row r="6813" spans="1:11" x14ac:dyDescent="0.25">
      <c r="A6813" t="s">
        <v>3956</v>
      </c>
      <c r="B6813" t="s">
        <v>51</v>
      </c>
      <c r="C6813" t="s">
        <v>59</v>
      </c>
      <c r="D6813" t="s">
        <v>541</v>
      </c>
      <c r="E6813" s="2">
        <v>6.5</v>
      </c>
      <c r="F6813" s="4">
        <v>4</v>
      </c>
      <c r="G6813" s="2">
        <v>26</v>
      </c>
      <c r="H6813" t="s">
        <v>45</v>
      </c>
      <c r="I6813" t="s">
        <v>36</v>
      </c>
      <c r="J6813" s="1">
        <v>45073</v>
      </c>
      <c r="K6813" t="b">
        <v>0</v>
      </c>
    </row>
    <row r="6814" spans="1:11" x14ac:dyDescent="0.25">
      <c r="A6814" t="s">
        <v>6934</v>
      </c>
      <c r="B6814" t="s">
        <v>142</v>
      </c>
      <c r="C6814" t="s">
        <v>13</v>
      </c>
      <c r="D6814" t="s">
        <v>343</v>
      </c>
      <c r="E6814" s="2">
        <v>26</v>
      </c>
      <c r="F6814" s="4">
        <v>1</v>
      </c>
      <c r="G6814" s="2">
        <v>26</v>
      </c>
      <c r="H6814" t="s">
        <v>45</v>
      </c>
      <c r="I6814" t="s">
        <v>16</v>
      </c>
      <c r="J6814" s="1">
        <v>45510</v>
      </c>
      <c r="K6814" t="b">
        <v>0</v>
      </c>
    </row>
    <row r="6815" spans="1:11" x14ac:dyDescent="0.25">
      <c r="A6815" t="s">
        <v>3383</v>
      </c>
      <c r="B6815" t="s">
        <v>100</v>
      </c>
      <c r="C6815" t="s">
        <v>59</v>
      </c>
      <c r="D6815" t="s">
        <v>541</v>
      </c>
      <c r="E6815" s="2">
        <v>6.5</v>
      </c>
      <c r="F6815" s="4">
        <v>4</v>
      </c>
      <c r="G6815" s="2">
        <v>26</v>
      </c>
      <c r="H6815" t="s">
        <v>45</v>
      </c>
      <c r="I6815" t="s">
        <v>36</v>
      </c>
      <c r="J6815" s="1">
        <v>45338</v>
      </c>
      <c r="K6815" t="b">
        <v>0</v>
      </c>
    </row>
    <row r="6816" spans="1:11" x14ac:dyDescent="0.25">
      <c r="A6816" t="s">
        <v>5041</v>
      </c>
      <c r="B6816" t="s">
        <v>22</v>
      </c>
      <c r="C6816" t="s">
        <v>110</v>
      </c>
      <c r="D6816" t="s">
        <v>126</v>
      </c>
      <c r="E6816" s="2">
        <v>26</v>
      </c>
      <c r="F6816" s="4">
        <v>1</v>
      </c>
      <c r="G6816" s="2">
        <v>26</v>
      </c>
      <c r="H6816" t="s">
        <v>25</v>
      </c>
      <c r="I6816" t="s">
        <v>36</v>
      </c>
      <c r="J6816" s="1">
        <v>45176</v>
      </c>
      <c r="K6816" t="b">
        <v>1</v>
      </c>
    </row>
    <row r="6817" spans="1:11" x14ac:dyDescent="0.25">
      <c r="A6817" t="s">
        <v>6443</v>
      </c>
      <c r="B6817" t="s">
        <v>58</v>
      </c>
      <c r="C6817" t="s">
        <v>31</v>
      </c>
      <c r="D6817" t="s">
        <v>579</v>
      </c>
      <c r="E6817" s="2">
        <v>26</v>
      </c>
      <c r="F6817" s="4">
        <v>1</v>
      </c>
      <c r="G6817" s="2">
        <v>26</v>
      </c>
      <c r="H6817" t="s">
        <v>25</v>
      </c>
      <c r="I6817" t="s">
        <v>36</v>
      </c>
      <c r="J6817" s="1">
        <v>45541</v>
      </c>
      <c r="K6817" t="b">
        <v>1</v>
      </c>
    </row>
    <row r="6818" spans="1:11" x14ac:dyDescent="0.25">
      <c r="A6818" t="s">
        <v>4499</v>
      </c>
      <c r="B6818" t="s">
        <v>43</v>
      </c>
      <c r="C6818" t="s">
        <v>59</v>
      </c>
      <c r="D6818" t="s">
        <v>463</v>
      </c>
      <c r="E6818" s="2">
        <v>26</v>
      </c>
      <c r="F6818" s="4">
        <v>1</v>
      </c>
      <c r="G6818" s="2">
        <v>26</v>
      </c>
      <c r="H6818" t="s">
        <v>15</v>
      </c>
      <c r="I6818" t="s">
        <v>16</v>
      </c>
      <c r="J6818" s="1">
        <v>45209</v>
      </c>
      <c r="K6818" t="b">
        <v>0</v>
      </c>
    </row>
    <row r="6819" spans="1:11" x14ac:dyDescent="0.25">
      <c r="A6819" t="s">
        <v>4087</v>
      </c>
      <c r="B6819" t="s">
        <v>34</v>
      </c>
      <c r="C6819" t="s">
        <v>27</v>
      </c>
      <c r="D6819" t="s">
        <v>246</v>
      </c>
      <c r="E6819" s="2">
        <v>6.5</v>
      </c>
      <c r="F6819" s="4">
        <v>4</v>
      </c>
      <c r="G6819" s="2">
        <v>26</v>
      </c>
      <c r="H6819" t="s">
        <v>45</v>
      </c>
      <c r="I6819" t="s">
        <v>36</v>
      </c>
      <c r="J6819" s="1">
        <v>45303</v>
      </c>
      <c r="K6819" t="b">
        <v>0</v>
      </c>
    </row>
    <row r="6820" spans="1:11" x14ac:dyDescent="0.25">
      <c r="A6820" t="s">
        <v>3822</v>
      </c>
      <c r="B6820" t="s">
        <v>18</v>
      </c>
      <c r="C6820" t="s">
        <v>13</v>
      </c>
      <c r="D6820" t="s">
        <v>343</v>
      </c>
      <c r="E6820" s="2">
        <v>26</v>
      </c>
      <c r="F6820" s="4">
        <v>1</v>
      </c>
      <c r="G6820" s="2">
        <v>26</v>
      </c>
      <c r="H6820" t="s">
        <v>15</v>
      </c>
      <c r="I6820" t="s">
        <v>16</v>
      </c>
      <c r="J6820" s="1">
        <v>45466</v>
      </c>
      <c r="K6820" t="b">
        <v>0</v>
      </c>
    </row>
    <row r="6821" spans="1:11" x14ac:dyDescent="0.25">
      <c r="A6821" t="s">
        <v>4960</v>
      </c>
      <c r="B6821" t="s">
        <v>97</v>
      </c>
      <c r="C6821" t="s">
        <v>110</v>
      </c>
      <c r="D6821" t="s">
        <v>221</v>
      </c>
      <c r="E6821" s="2">
        <v>6.5</v>
      </c>
      <c r="F6821" s="4">
        <v>4</v>
      </c>
      <c r="G6821" s="2">
        <v>26</v>
      </c>
      <c r="H6821" t="s">
        <v>25</v>
      </c>
      <c r="I6821" t="s">
        <v>36</v>
      </c>
      <c r="J6821" s="1">
        <v>44810</v>
      </c>
      <c r="K6821" t="b">
        <v>1</v>
      </c>
    </row>
    <row r="6822" spans="1:11" x14ac:dyDescent="0.25">
      <c r="A6822" t="s">
        <v>4743</v>
      </c>
      <c r="B6822" t="s">
        <v>93</v>
      </c>
      <c r="C6822" t="s">
        <v>110</v>
      </c>
      <c r="D6822" t="s">
        <v>126</v>
      </c>
      <c r="E6822" s="2">
        <v>26</v>
      </c>
      <c r="F6822" s="4">
        <v>1</v>
      </c>
      <c r="G6822" s="2">
        <v>26</v>
      </c>
      <c r="H6822" t="s">
        <v>45</v>
      </c>
      <c r="I6822" t="s">
        <v>36</v>
      </c>
      <c r="J6822" s="1">
        <v>45175</v>
      </c>
      <c r="K6822" t="b">
        <v>1</v>
      </c>
    </row>
    <row r="6823" spans="1:11" x14ac:dyDescent="0.25">
      <c r="A6823" t="s">
        <v>3321</v>
      </c>
      <c r="B6823" t="s">
        <v>18</v>
      </c>
      <c r="C6823" t="s">
        <v>38</v>
      </c>
      <c r="D6823" t="s">
        <v>235</v>
      </c>
      <c r="E6823" s="2">
        <v>6.5</v>
      </c>
      <c r="F6823" s="4">
        <v>4</v>
      </c>
      <c r="G6823" s="2">
        <v>26</v>
      </c>
      <c r="H6823" t="s">
        <v>25</v>
      </c>
      <c r="I6823" t="s">
        <v>36</v>
      </c>
      <c r="J6823" s="1">
        <v>44629</v>
      </c>
      <c r="K6823" t="b">
        <v>0</v>
      </c>
    </row>
    <row r="6824" spans="1:11" x14ac:dyDescent="0.25">
      <c r="A6824" t="s">
        <v>907</v>
      </c>
      <c r="B6824" t="s">
        <v>26</v>
      </c>
      <c r="C6824" t="s">
        <v>23</v>
      </c>
      <c r="D6824" t="s">
        <v>137</v>
      </c>
      <c r="E6824" s="2">
        <v>6.5</v>
      </c>
      <c r="F6824" s="4">
        <v>4</v>
      </c>
      <c r="G6824" s="2">
        <v>26</v>
      </c>
      <c r="H6824" t="s">
        <v>15</v>
      </c>
      <c r="I6824" t="s">
        <v>36</v>
      </c>
      <c r="J6824" s="1">
        <v>44670</v>
      </c>
      <c r="K6824" t="b">
        <v>1</v>
      </c>
    </row>
    <row r="6825" spans="1:11" x14ac:dyDescent="0.25">
      <c r="A6825" t="s">
        <v>6069</v>
      </c>
      <c r="B6825" t="s">
        <v>66</v>
      </c>
      <c r="C6825" t="s">
        <v>59</v>
      </c>
      <c r="D6825" t="s">
        <v>463</v>
      </c>
      <c r="E6825" s="2">
        <v>26</v>
      </c>
      <c r="F6825" s="4">
        <v>1</v>
      </c>
      <c r="G6825" s="2">
        <v>26</v>
      </c>
      <c r="H6825" t="s">
        <v>15</v>
      </c>
      <c r="I6825" t="s">
        <v>36</v>
      </c>
      <c r="J6825" s="1">
        <v>44773</v>
      </c>
      <c r="K6825" t="b">
        <v>0</v>
      </c>
    </row>
    <row r="6826" spans="1:11" x14ac:dyDescent="0.25">
      <c r="A6826" t="s">
        <v>877</v>
      </c>
      <c r="B6826" t="s">
        <v>18</v>
      </c>
      <c r="C6826" t="s">
        <v>110</v>
      </c>
      <c r="D6826" t="s">
        <v>221</v>
      </c>
      <c r="E6826" s="2">
        <v>6.5</v>
      </c>
      <c r="F6826" s="4">
        <v>4</v>
      </c>
      <c r="G6826" s="2">
        <v>26</v>
      </c>
      <c r="H6826" t="s">
        <v>25</v>
      </c>
      <c r="I6826" t="s">
        <v>36</v>
      </c>
      <c r="J6826" s="1">
        <v>45362</v>
      </c>
      <c r="K6826" t="b">
        <v>0</v>
      </c>
    </row>
    <row r="6827" spans="1:11" x14ac:dyDescent="0.25">
      <c r="A6827" t="s">
        <v>1048</v>
      </c>
      <c r="B6827" t="s">
        <v>58</v>
      </c>
      <c r="C6827" t="s">
        <v>38</v>
      </c>
      <c r="D6827" t="s">
        <v>235</v>
      </c>
      <c r="E6827" s="2">
        <v>6.5</v>
      </c>
      <c r="F6827" s="4">
        <v>4</v>
      </c>
      <c r="G6827" s="2">
        <v>26</v>
      </c>
      <c r="H6827" t="s">
        <v>45</v>
      </c>
      <c r="I6827" t="s">
        <v>16</v>
      </c>
      <c r="J6827" s="1">
        <v>45099</v>
      </c>
      <c r="K6827" t="b">
        <v>1</v>
      </c>
    </row>
    <row r="6828" spans="1:11" x14ac:dyDescent="0.25">
      <c r="A6828" t="s">
        <v>6280</v>
      </c>
      <c r="B6828" t="s">
        <v>12</v>
      </c>
      <c r="C6828" t="s">
        <v>27</v>
      </c>
      <c r="D6828" t="s">
        <v>620</v>
      </c>
      <c r="E6828" s="2">
        <v>26</v>
      </c>
      <c r="F6828" s="4">
        <v>1</v>
      </c>
      <c r="G6828" s="2">
        <v>26</v>
      </c>
      <c r="H6828" t="s">
        <v>25</v>
      </c>
      <c r="I6828" t="s">
        <v>36</v>
      </c>
      <c r="J6828" s="1">
        <v>45454</v>
      </c>
      <c r="K6828" t="b">
        <v>0</v>
      </c>
    </row>
    <row r="6829" spans="1:11" x14ac:dyDescent="0.25">
      <c r="A6829" t="s">
        <v>7503</v>
      </c>
      <c r="B6829" t="s">
        <v>30</v>
      </c>
      <c r="C6829" t="s">
        <v>38</v>
      </c>
      <c r="D6829" t="s">
        <v>341</v>
      </c>
      <c r="E6829" s="2">
        <v>26</v>
      </c>
      <c r="F6829" s="4">
        <v>1</v>
      </c>
      <c r="G6829" s="2">
        <v>26</v>
      </c>
      <c r="H6829" t="s">
        <v>25</v>
      </c>
      <c r="I6829" t="s">
        <v>36</v>
      </c>
      <c r="J6829" s="1">
        <v>45599</v>
      </c>
      <c r="K6829" t="b">
        <v>1</v>
      </c>
    </row>
    <row r="6830" spans="1:11" x14ac:dyDescent="0.25">
      <c r="A6830" t="s">
        <v>3563</v>
      </c>
      <c r="B6830" t="s">
        <v>61</v>
      </c>
      <c r="C6830" t="s">
        <v>23</v>
      </c>
      <c r="D6830" t="s">
        <v>853</v>
      </c>
      <c r="E6830" s="2">
        <v>26</v>
      </c>
      <c r="F6830" s="4">
        <v>1</v>
      </c>
      <c r="G6830" s="2">
        <v>26</v>
      </c>
      <c r="H6830" t="s">
        <v>25</v>
      </c>
      <c r="I6830" t="s">
        <v>36</v>
      </c>
      <c r="J6830" s="1">
        <v>45236</v>
      </c>
      <c r="K6830" t="b">
        <v>0</v>
      </c>
    </row>
    <row r="6831" spans="1:11" x14ac:dyDescent="0.25">
      <c r="A6831" t="s">
        <v>1239</v>
      </c>
      <c r="B6831" t="s">
        <v>86</v>
      </c>
      <c r="C6831" t="s">
        <v>38</v>
      </c>
      <c r="D6831" t="s">
        <v>341</v>
      </c>
      <c r="E6831" s="2">
        <v>26</v>
      </c>
      <c r="F6831" s="4">
        <v>1</v>
      </c>
      <c r="G6831" s="2">
        <v>26</v>
      </c>
      <c r="H6831" t="s">
        <v>15</v>
      </c>
      <c r="I6831" t="s">
        <v>16</v>
      </c>
      <c r="J6831" s="1">
        <v>45353</v>
      </c>
      <c r="K6831" t="b">
        <v>1</v>
      </c>
    </row>
    <row r="6832" spans="1:11" x14ac:dyDescent="0.25">
      <c r="A6832" t="s">
        <v>6625</v>
      </c>
      <c r="B6832" t="s">
        <v>61</v>
      </c>
      <c r="C6832" t="s">
        <v>110</v>
      </c>
      <c r="D6832" t="s">
        <v>221</v>
      </c>
      <c r="E6832" s="2">
        <v>6.5</v>
      </c>
      <c r="F6832" s="4">
        <v>4</v>
      </c>
      <c r="G6832" s="2">
        <v>26</v>
      </c>
      <c r="H6832" t="s">
        <v>15</v>
      </c>
      <c r="I6832" t="s">
        <v>16</v>
      </c>
      <c r="J6832" s="1">
        <v>45130</v>
      </c>
      <c r="K6832" t="b">
        <v>0</v>
      </c>
    </row>
    <row r="6833" spans="1:11" x14ac:dyDescent="0.25">
      <c r="A6833" t="s">
        <v>4578</v>
      </c>
      <c r="B6833" t="s">
        <v>93</v>
      </c>
      <c r="C6833" t="s">
        <v>23</v>
      </c>
      <c r="D6833" t="s">
        <v>853</v>
      </c>
      <c r="E6833" s="2">
        <v>26</v>
      </c>
      <c r="F6833" s="4">
        <v>1</v>
      </c>
      <c r="G6833" s="2">
        <v>26</v>
      </c>
      <c r="H6833" t="s">
        <v>45</v>
      </c>
      <c r="I6833" t="s">
        <v>36</v>
      </c>
      <c r="J6833" s="1">
        <v>44738</v>
      </c>
      <c r="K6833" t="b">
        <v>0</v>
      </c>
    </row>
    <row r="6834" spans="1:11" x14ac:dyDescent="0.25">
      <c r="A6834" t="s">
        <v>245</v>
      </c>
      <c r="B6834" t="s">
        <v>43</v>
      </c>
      <c r="C6834" t="s">
        <v>27</v>
      </c>
      <c r="D6834" t="s">
        <v>246</v>
      </c>
      <c r="E6834" s="2">
        <v>6.5</v>
      </c>
      <c r="F6834" s="4">
        <v>4</v>
      </c>
      <c r="G6834" s="2">
        <v>26</v>
      </c>
      <c r="H6834" t="s">
        <v>15</v>
      </c>
      <c r="I6834" t="s">
        <v>16</v>
      </c>
      <c r="J6834" s="1">
        <v>44831</v>
      </c>
      <c r="K6834" t="b">
        <v>0</v>
      </c>
    </row>
    <row r="6835" spans="1:11" x14ac:dyDescent="0.25">
      <c r="A6835" t="s">
        <v>3361</v>
      </c>
      <c r="B6835" t="s">
        <v>37</v>
      </c>
      <c r="C6835" t="s">
        <v>19</v>
      </c>
      <c r="D6835" t="s">
        <v>308</v>
      </c>
      <c r="E6835" s="2">
        <v>6.5</v>
      </c>
      <c r="F6835" s="4">
        <v>4</v>
      </c>
      <c r="G6835" s="2">
        <v>26</v>
      </c>
      <c r="H6835" t="s">
        <v>25</v>
      </c>
      <c r="I6835" t="s">
        <v>16</v>
      </c>
      <c r="J6835" s="1">
        <v>45570</v>
      </c>
      <c r="K6835" t="b">
        <v>1</v>
      </c>
    </row>
    <row r="6836" spans="1:11" x14ac:dyDescent="0.25">
      <c r="A6836" t="s">
        <v>3961</v>
      </c>
      <c r="B6836" t="s">
        <v>26</v>
      </c>
      <c r="C6836" t="s">
        <v>38</v>
      </c>
      <c r="D6836" t="s">
        <v>341</v>
      </c>
      <c r="E6836" s="2">
        <v>26</v>
      </c>
      <c r="F6836" s="4">
        <v>1</v>
      </c>
      <c r="G6836" s="2">
        <v>26</v>
      </c>
      <c r="H6836" t="s">
        <v>15</v>
      </c>
      <c r="I6836" t="s">
        <v>16</v>
      </c>
      <c r="J6836" s="1">
        <v>44831</v>
      </c>
      <c r="K6836" t="b">
        <v>1</v>
      </c>
    </row>
    <row r="6837" spans="1:11" x14ac:dyDescent="0.25">
      <c r="A6837" t="s">
        <v>1076</v>
      </c>
      <c r="B6837" t="s">
        <v>100</v>
      </c>
      <c r="C6837" t="s">
        <v>110</v>
      </c>
      <c r="D6837" t="s">
        <v>126</v>
      </c>
      <c r="E6837" s="2">
        <v>26</v>
      </c>
      <c r="F6837" s="4">
        <v>1</v>
      </c>
      <c r="G6837" s="2">
        <v>26</v>
      </c>
      <c r="H6837" t="s">
        <v>15</v>
      </c>
      <c r="I6837" t="s">
        <v>16</v>
      </c>
      <c r="J6837" s="1">
        <v>45576</v>
      </c>
      <c r="K6837" t="b">
        <v>0</v>
      </c>
    </row>
    <row r="6838" spans="1:11" x14ac:dyDescent="0.25">
      <c r="A6838" t="s">
        <v>619</v>
      </c>
      <c r="B6838" t="s">
        <v>85</v>
      </c>
      <c r="C6838" t="s">
        <v>27</v>
      </c>
      <c r="D6838" t="s">
        <v>620</v>
      </c>
      <c r="E6838" s="2">
        <v>26</v>
      </c>
      <c r="F6838" s="4">
        <v>1</v>
      </c>
      <c r="G6838" s="2">
        <v>26</v>
      </c>
      <c r="H6838" t="s">
        <v>25</v>
      </c>
      <c r="I6838" t="s">
        <v>36</v>
      </c>
      <c r="J6838" s="1">
        <v>44813</v>
      </c>
      <c r="K6838" t="b">
        <v>0</v>
      </c>
    </row>
    <row r="6839" spans="1:11" x14ac:dyDescent="0.25">
      <c r="A6839" t="s">
        <v>3355</v>
      </c>
      <c r="B6839" t="s">
        <v>34</v>
      </c>
      <c r="C6839" t="s">
        <v>23</v>
      </c>
      <c r="D6839" t="s">
        <v>853</v>
      </c>
      <c r="E6839" s="2">
        <v>26</v>
      </c>
      <c r="F6839" s="4">
        <v>1</v>
      </c>
      <c r="G6839" s="2">
        <v>26</v>
      </c>
      <c r="H6839" t="s">
        <v>25</v>
      </c>
      <c r="I6839" t="s">
        <v>16</v>
      </c>
      <c r="J6839" s="1">
        <v>45331</v>
      </c>
      <c r="K6839" t="b">
        <v>0</v>
      </c>
    </row>
    <row r="6840" spans="1:11" x14ac:dyDescent="0.25">
      <c r="A6840" t="s">
        <v>6246</v>
      </c>
      <c r="B6840" t="s">
        <v>56</v>
      </c>
      <c r="C6840" t="s">
        <v>110</v>
      </c>
      <c r="D6840" t="s">
        <v>221</v>
      </c>
      <c r="E6840" s="2">
        <v>6.5</v>
      </c>
      <c r="F6840" s="4">
        <v>4</v>
      </c>
      <c r="G6840" s="2">
        <v>26</v>
      </c>
      <c r="H6840" t="s">
        <v>15</v>
      </c>
      <c r="I6840" t="s">
        <v>16</v>
      </c>
      <c r="J6840" s="1">
        <v>45051</v>
      </c>
      <c r="K6840" t="b">
        <v>1</v>
      </c>
    </row>
    <row r="6841" spans="1:11" x14ac:dyDescent="0.25">
      <c r="A6841" t="s">
        <v>6589</v>
      </c>
      <c r="B6841" t="s">
        <v>77</v>
      </c>
      <c r="C6841" t="s">
        <v>19</v>
      </c>
      <c r="D6841" t="s">
        <v>308</v>
      </c>
      <c r="E6841" s="2">
        <v>6.5</v>
      </c>
      <c r="F6841" s="4">
        <v>4</v>
      </c>
      <c r="G6841" s="2">
        <v>26</v>
      </c>
      <c r="H6841" t="s">
        <v>15</v>
      </c>
      <c r="I6841" t="s">
        <v>36</v>
      </c>
      <c r="J6841" s="1">
        <v>44716</v>
      </c>
      <c r="K6841" t="b">
        <v>0</v>
      </c>
    </row>
    <row r="6842" spans="1:11" x14ac:dyDescent="0.25">
      <c r="A6842" t="s">
        <v>713</v>
      </c>
      <c r="B6842" t="s">
        <v>77</v>
      </c>
      <c r="C6842" t="s">
        <v>13</v>
      </c>
      <c r="D6842" t="s">
        <v>428</v>
      </c>
      <c r="E6842" s="2">
        <v>6.5</v>
      </c>
      <c r="F6842" s="4">
        <v>4</v>
      </c>
      <c r="G6842" s="2">
        <v>26</v>
      </c>
      <c r="H6842" t="s">
        <v>25</v>
      </c>
      <c r="I6842" t="s">
        <v>36</v>
      </c>
      <c r="J6842" s="1">
        <v>45444</v>
      </c>
      <c r="K6842" t="b">
        <v>0</v>
      </c>
    </row>
    <row r="6843" spans="1:11" x14ac:dyDescent="0.25">
      <c r="A6843" t="s">
        <v>3693</v>
      </c>
      <c r="B6843" t="s">
        <v>85</v>
      </c>
      <c r="C6843" t="s">
        <v>110</v>
      </c>
      <c r="D6843" t="s">
        <v>221</v>
      </c>
      <c r="E6843" s="2">
        <v>6.5</v>
      </c>
      <c r="F6843" s="4">
        <v>4</v>
      </c>
      <c r="G6843" s="2">
        <v>26</v>
      </c>
      <c r="H6843" t="s">
        <v>15</v>
      </c>
      <c r="I6843" t="s">
        <v>16</v>
      </c>
      <c r="J6843" s="1">
        <v>45123</v>
      </c>
      <c r="K6843" t="b">
        <v>1</v>
      </c>
    </row>
    <row r="6844" spans="1:11" x14ac:dyDescent="0.25">
      <c r="A6844" t="s">
        <v>4455</v>
      </c>
      <c r="B6844" t="s">
        <v>30</v>
      </c>
      <c r="C6844" t="s">
        <v>23</v>
      </c>
      <c r="D6844" t="s">
        <v>137</v>
      </c>
      <c r="E6844" s="2">
        <v>6.5</v>
      </c>
      <c r="F6844" s="4">
        <v>4</v>
      </c>
      <c r="G6844" s="2">
        <v>26</v>
      </c>
      <c r="H6844" t="s">
        <v>15</v>
      </c>
      <c r="I6844" t="s">
        <v>16</v>
      </c>
      <c r="J6844" s="1">
        <v>45113</v>
      </c>
      <c r="K6844" t="b">
        <v>1</v>
      </c>
    </row>
    <row r="6845" spans="1:11" x14ac:dyDescent="0.25">
      <c r="A6845" t="s">
        <v>2461</v>
      </c>
      <c r="B6845" t="s">
        <v>26</v>
      </c>
      <c r="C6845" t="s">
        <v>59</v>
      </c>
      <c r="D6845" t="s">
        <v>463</v>
      </c>
      <c r="E6845" s="2">
        <v>26</v>
      </c>
      <c r="F6845" s="4">
        <v>1</v>
      </c>
      <c r="G6845" s="2">
        <v>26</v>
      </c>
      <c r="H6845" t="s">
        <v>25</v>
      </c>
      <c r="I6845" t="s">
        <v>36</v>
      </c>
      <c r="J6845" s="1">
        <v>45516</v>
      </c>
      <c r="K6845" t="b">
        <v>1</v>
      </c>
    </row>
    <row r="6846" spans="1:11" x14ac:dyDescent="0.25">
      <c r="A6846" t="s">
        <v>706</v>
      </c>
      <c r="B6846" t="s">
        <v>77</v>
      </c>
      <c r="C6846" t="s">
        <v>19</v>
      </c>
      <c r="D6846" t="s">
        <v>268</v>
      </c>
      <c r="E6846" s="2">
        <v>26</v>
      </c>
      <c r="F6846" s="4">
        <v>1</v>
      </c>
      <c r="G6846" s="2">
        <v>26</v>
      </c>
      <c r="H6846" t="s">
        <v>45</v>
      </c>
      <c r="I6846" t="s">
        <v>16</v>
      </c>
      <c r="J6846" s="1">
        <v>44723</v>
      </c>
      <c r="K6846" t="b">
        <v>1</v>
      </c>
    </row>
    <row r="6847" spans="1:11" x14ac:dyDescent="0.25">
      <c r="A6847" t="s">
        <v>6594</v>
      </c>
      <c r="B6847" t="s">
        <v>77</v>
      </c>
      <c r="C6847" t="s">
        <v>31</v>
      </c>
      <c r="D6847" t="s">
        <v>49</v>
      </c>
      <c r="E6847" s="2">
        <v>6.5</v>
      </c>
      <c r="F6847" s="4">
        <v>4</v>
      </c>
      <c r="G6847" s="2">
        <v>26</v>
      </c>
      <c r="H6847" t="s">
        <v>45</v>
      </c>
      <c r="I6847" t="s">
        <v>16</v>
      </c>
      <c r="J6847" s="1">
        <v>44717</v>
      </c>
      <c r="K6847" t="b">
        <v>1</v>
      </c>
    </row>
    <row r="6848" spans="1:11" x14ac:dyDescent="0.25">
      <c r="A6848" t="s">
        <v>3241</v>
      </c>
      <c r="B6848" t="s">
        <v>40</v>
      </c>
      <c r="C6848" t="s">
        <v>59</v>
      </c>
      <c r="D6848" t="s">
        <v>541</v>
      </c>
      <c r="E6848" s="2">
        <v>6.5</v>
      </c>
      <c r="F6848" s="4">
        <v>4</v>
      </c>
      <c r="G6848" s="2">
        <v>26</v>
      </c>
      <c r="H6848" t="s">
        <v>45</v>
      </c>
      <c r="I6848" t="s">
        <v>36</v>
      </c>
      <c r="J6848" s="1">
        <v>45195</v>
      </c>
      <c r="K6848" t="b">
        <v>0</v>
      </c>
    </row>
    <row r="6849" spans="1:11" x14ac:dyDescent="0.25">
      <c r="A6849" t="s">
        <v>1974</v>
      </c>
      <c r="B6849" t="s">
        <v>66</v>
      </c>
      <c r="C6849" t="s">
        <v>27</v>
      </c>
      <c r="D6849" t="s">
        <v>246</v>
      </c>
      <c r="E6849" s="2">
        <v>6.5</v>
      </c>
      <c r="F6849" s="4">
        <v>4</v>
      </c>
      <c r="G6849" s="2">
        <v>26</v>
      </c>
      <c r="H6849" t="s">
        <v>25</v>
      </c>
      <c r="I6849" t="s">
        <v>16</v>
      </c>
      <c r="J6849" s="1">
        <v>45515</v>
      </c>
      <c r="K6849" t="b">
        <v>0</v>
      </c>
    </row>
    <row r="6850" spans="1:11" x14ac:dyDescent="0.25">
      <c r="A6850" t="s">
        <v>5964</v>
      </c>
      <c r="B6850" t="s">
        <v>72</v>
      </c>
      <c r="C6850" t="s">
        <v>38</v>
      </c>
      <c r="D6850" t="s">
        <v>341</v>
      </c>
      <c r="E6850" s="2">
        <v>26</v>
      </c>
      <c r="F6850" s="4">
        <v>1</v>
      </c>
      <c r="G6850" s="2">
        <v>26</v>
      </c>
      <c r="H6850" t="s">
        <v>45</v>
      </c>
      <c r="I6850" t="s">
        <v>36</v>
      </c>
      <c r="J6850" s="1">
        <v>45671</v>
      </c>
      <c r="K6850" t="b">
        <v>1</v>
      </c>
    </row>
    <row r="6851" spans="1:11" x14ac:dyDescent="0.25">
      <c r="A6851" t="s">
        <v>5383</v>
      </c>
      <c r="B6851" t="s">
        <v>72</v>
      </c>
      <c r="C6851" t="s">
        <v>27</v>
      </c>
      <c r="D6851" t="s">
        <v>620</v>
      </c>
      <c r="E6851" s="2">
        <v>26</v>
      </c>
      <c r="F6851" s="4">
        <v>1</v>
      </c>
      <c r="G6851" s="2">
        <v>26</v>
      </c>
      <c r="H6851" t="s">
        <v>45</v>
      </c>
      <c r="I6851" t="s">
        <v>36</v>
      </c>
      <c r="J6851" s="1">
        <v>44903</v>
      </c>
      <c r="K6851" t="b">
        <v>0</v>
      </c>
    </row>
    <row r="6852" spans="1:11" x14ac:dyDescent="0.25">
      <c r="A6852" t="s">
        <v>660</v>
      </c>
      <c r="B6852" t="s">
        <v>58</v>
      </c>
      <c r="C6852" t="s">
        <v>38</v>
      </c>
      <c r="D6852" t="s">
        <v>341</v>
      </c>
      <c r="E6852" s="2">
        <v>26</v>
      </c>
      <c r="F6852" s="4">
        <v>1</v>
      </c>
      <c r="G6852" s="2">
        <v>26</v>
      </c>
      <c r="H6852" t="s">
        <v>45</v>
      </c>
      <c r="I6852" t="s">
        <v>16</v>
      </c>
      <c r="J6852" s="1">
        <v>44744</v>
      </c>
      <c r="K6852" t="b">
        <v>1</v>
      </c>
    </row>
    <row r="6853" spans="1:11" x14ac:dyDescent="0.25">
      <c r="A6853" t="s">
        <v>4954</v>
      </c>
      <c r="B6853" t="s">
        <v>26</v>
      </c>
      <c r="C6853" t="s">
        <v>23</v>
      </c>
      <c r="D6853" t="s">
        <v>853</v>
      </c>
      <c r="E6853" s="2">
        <v>26</v>
      </c>
      <c r="F6853" s="4">
        <v>1</v>
      </c>
      <c r="G6853" s="2">
        <v>26</v>
      </c>
      <c r="H6853" t="s">
        <v>25</v>
      </c>
      <c r="I6853" t="s">
        <v>36</v>
      </c>
      <c r="J6853" s="1">
        <v>44925</v>
      </c>
      <c r="K6853" t="b">
        <v>0</v>
      </c>
    </row>
    <row r="6854" spans="1:11" x14ac:dyDescent="0.25">
      <c r="A6854" t="s">
        <v>6078</v>
      </c>
      <c r="B6854" t="s">
        <v>51</v>
      </c>
      <c r="C6854" t="s">
        <v>23</v>
      </c>
      <c r="D6854" t="s">
        <v>853</v>
      </c>
      <c r="E6854" s="2">
        <v>26</v>
      </c>
      <c r="F6854" s="4">
        <v>1</v>
      </c>
      <c r="G6854" s="2">
        <v>26</v>
      </c>
      <c r="H6854" t="s">
        <v>45</v>
      </c>
      <c r="I6854" t="s">
        <v>16</v>
      </c>
      <c r="J6854" s="1">
        <v>45226</v>
      </c>
      <c r="K6854" t="b">
        <v>0</v>
      </c>
    </row>
    <row r="6855" spans="1:11" x14ac:dyDescent="0.25">
      <c r="A6855" t="s">
        <v>7007</v>
      </c>
      <c r="B6855" t="s">
        <v>100</v>
      </c>
      <c r="C6855" t="s">
        <v>23</v>
      </c>
      <c r="D6855" t="s">
        <v>853</v>
      </c>
      <c r="E6855" s="2">
        <v>26</v>
      </c>
      <c r="F6855" s="4">
        <v>1</v>
      </c>
      <c r="G6855" s="2">
        <v>26</v>
      </c>
      <c r="H6855" t="s">
        <v>15</v>
      </c>
      <c r="I6855" t="s">
        <v>16</v>
      </c>
      <c r="J6855" s="1">
        <v>44642</v>
      </c>
      <c r="K6855" t="b">
        <v>1</v>
      </c>
    </row>
    <row r="6856" spans="1:11" x14ac:dyDescent="0.25">
      <c r="A6856" t="s">
        <v>3096</v>
      </c>
      <c r="B6856" t="s">
        <v>93</v>
      </c>
      <c r="C6856" t="s">
        <v>38</v>
      </c>
      <c r="D6856" t="s">
        <v>235</v>
      </c>
      <c r="E6856" s="2">
        <v>6.5</v>
      </c>
      <c r="F6856" s="4">
        <v>4</v>
      </c>
      <c r="G6856" s="2">
        <v>26</v>
      </c>
      <c r="H6856" t="s">
        <v>25</v>
      </c>
      <c r="I6856" t="s">
        <v>16</v>
      </c>
      <c r="J6856" s="1">
        <v>45133</v>
      </c>
      <c r="K6856" t="b">
        <v>0</v>
      </c>
    </row>
    <row r="6857" spans="1:11" x14ac:dyDescent="0.25">
      <c r="A6857" t="s">
        <v>3885</v>
      </c>
      <c r="B6857" t="s">
        <v>69</v>
      </c>
      <c r="C6857" t="s">
        <v>59</v>
      </c>
      <c r="D6857" t="s">
        <v>463</v>
      </c>
      <c r="E6857" s="2">
        <v>26</v>
      </c>
      <c r="F6857" s="4">
        <v>1</v>
      </c>
      <c r="G6857" s="2">
        <v>26</v>
      </c>
      <c r="H6857" t="s">
        <v>15</v>
      </c>
      <c r="I6857" t="s">
        <v>16</v>
      </c>
      <c r="J6857" s="1">
        <v>44856</v>
      </c>
      <c r="K6857" t="b">
        <v>1</v>
      </c>
    </row>
    <row r="6858" spans="1:11" x14ac:dyDescent="0.25">
      <c r="A6858" t="s">
        <v>5983</v>
      </c>
      <c r="B6858" t="s">
        <v>93</v>
      </c>
      <c r="C6858" t="s">
        <v>13</v>
      </c>
      <c r="D6858" t="s">
        <v>428</v>
      </c>
      <c r="E6858" s="2">
        <v>6.5</v>
      </c>
      <c r="F6858" s="4">
        <v>4</v>
      </c>
      <c r="G6858" s="2">
        <v>26</v>
      </c>
      <c r="H6858" t="s">
        <v>15</v>
      </c>
      <c r="I6858" t="s">
        <v>16</v>
      </c>
      <c r="J6858" s="1">
        <v>45007</v>
      </c>
      <c r="K6858" t="b">
        <v>0</v>
      </c>
    </row>
    <row r="6859" spans="1:11" x14ac:dyDescent="0.25">
      <c r="A6859" t="s">
        <v>6437</v>
      </c>
      <c r="B6859" t="s">
        <v>22</v>
      </c>
      <c r="C6859" t="s">
        <v>27</v>
      </c>
      <c r="D6859" t="s">
        <v>246</v>
      </c>
      <c r="E6859" s="2">
        <v>6.5</v>
      </c>
      <c r="F6859" s="4">
        <v>4</v>
      </c>
      <c r="G6859" s="2">
        <v>26</v>
      </c>
      <c r="H6859" t="s">
        <v>45</v>
      </c>
      <c r="I6859" t="s">
        <v>16</v>
      </c>
      <c r="J6859" s="1">
        <v>44642</v>
      </c>
      <c r="K6859" t="b">
        <v>1</v>
      </c>
    </row>
    <row r="6860" spans="1:11" x14ac:dyDescent="0.25">
      <c r="A6860" t="s">
        <v>1396</v>
      </c>
      <c r="B6860" t="s">
        <v>72</v>
      </c>
      <c r="C6860" t="s">
        <v>59</v>
      </c>
      <c r="D6860" t="s">
        <v>279</v>
      </c>
      <c r="E6860" s="2">
        <v>5</v>
      </c>
      <c r="F6860" s="4">
        <v>5</v>
      </c>
      <c r="G6860" s="2">
        <v>25</v>
      </c>
      <c r="H6860" t="s">
        <v>45</v>
      </c>
      <c r="I6860" t="s">
        <v>36</v>
      </c>
      <c r="J6860" s="1">
        <v>45672</v>
      </c>
      <c r="K6860" t="b">
        <v>0</v>
      </c>
    </row>
    <row r="6861" spans="1:11" x14ac:dyDescent="0.25">
      <c r="A6861" t="s">
        <v>6764</v>
      </c>
      <c r="B6861" t="s">
        <v>72</v>
      </c>
      <c r="C6861" t="s">
        <v>13</v>
      </c>
      <c r="D6861" t="s">
        <v>84</v>
      </c>
      <c r="E6861" s="2">
        <v>12.5</v>
      </c>
      <c r="F6861" s="4">
        <v>2</v>
      </c>
      <c r="G6861" s="2">
        <v>25</v>
      </c>
      <c r="H6861" t="s">
        <v>25</v>
      </c>
      <c r="I6861" t="s">
        <v>16</v>
      </c>
      <c r="J6861" s="1">
        <v>45092</v>
      </c>
      <c r="K6861" t="b">
        <v>1</v>
      </c>
    </row>
    <row r="6862" spans="1:11" x14ac:dyDescent="0.25">
      <c r="A6862" t="s">
        <v>7125</v>
      </c>
      <c r="B6862" t="s">
        <v>30</v>
      </c>
      <c r="C6862" t="s">
        <v>110</v>
      </c>
      <c r="D6862" t="s">
        <v>234</v>
      </c>
      <c r="E6862" s="2">
        <v>12.5</v>
      </c>
      <c r="F6862" s="4">
        <v>2</v>
      </c>
      <c r="G6862" s="2">
        <v>25</v>
      </c>
      <c r="H6862" t="s">
        <v>15</v>
      </c>
      <c r="I6862" t="s">
        <v>36</v>
      </c>
      <c r="J6862" s="1">
        <v>45476</v>
      </c>
      <c r="K6862" t="b">
        <v>1</v>
      </c>
    </row>
    <row r="6863" spans="1:11" x14ac:dyDescent="0.25">
      <c r="A6863" t="s">
        <v>2736</v>
      </c>
      <c r="B6863" t="s">
        <v>58</v>
      </c>
      <c r="C6863" t="s">
        <v>110</v>
      </c>
      <c r="D6863" t="s">
        <v>234</v>
      </c>
      <c r="E6863" s="2">
        <v>12.5</v>
      </c>
      <c r="F6863" s="4">
        <v>2</v>
      </c>
      <c r="G6863" s="2">
        <v>25</v>
      </c>
      <c r="H6863" t="s">
        <v>25</v>
      </c>
      <c r="I6863" t="s">
        <v>16</v>
      </c>
      <c r="J6863" s="1">
        <v>45650</v>
      </c>
      <c r="K6863" t="b">
        <v>1</v>
      </c>
    </row>
    <row r="6864" spans="1:11" x14ac:dyDescent="0.25">
      <c r="A6864" t="s">
        <v>4397</v>
      </c>
      <c r="B6864" t="s">
        <v>58</v>
      </c>
      <c r="C6864" t="s">
        <v>31</v>
      </c>
      <c r="D6864" t="s">
        <v>32</v>
      </c>
      <c r="E6864" s="2">
        <v>12.5</v>
      </c>
      <c r="F6864" s="4">
        <v>2</v>
      </c>
      <c r="G6864" s="2">
        <v>25</v>
      </c>
      <c r="H6864" t="s">
        <v>25</v>
      </c>
      <c r="I6864" t="s">
        <v>16</v>
      </c>
      <c r="J6864" s="1">
        <v>45449</v>
      </c>
      <c r="K6864" t="b">
        <v>0</v>
      </c>
    </row>
    <row r="6865" spans="1:11" x14ac:dyDescent="0.25">
      <c r="A6865" t="s">
        <v>5244</v>
      </c>
      <c r="B6865" t="s">
        <v>37</v>
      </c>
      <c r="C6865" t="s">
        <v>59</v>
      </c>
      <c r="D6865" t="s">
        <v>279</v>
      </c>
      <c r="E6865" s="2">
        <v>5</v>
      </c>
      <c r="F6865" s="4">
        <v>5</v>
      </c>
      <c r="G6865" s="2">
        <v>25</v>
      </c>
      <c r="H6865" t="s">
        <v>45</v>
      </c>
      <c r="I6865" t="s">
        <v>16</v>
      </c>
      <c r="J6865" s="1">
        <v>45634</v>
      </c>
      <c r="K6865" t="b">
        <v>0</v>
      </c>
    </row>
    <row r="6866" spans="1:11" x14ac:dyDescent="0.25">
      <c r="A6866" t="s">
        <v>4508</v>
      </c>
      <c r="B6866" t="s">
        <v>26</v>
      </c>
      <c r="C6866" t="s">
        <v>19</v>
      </c>
      <c r="D6866" t="s">
        <v>219</v>
      </c>
      <c r="E6866" s="2">
        <v>5</v>
      </c>
      <c r="F6866" s="4">
        <v>5</v>
      </c>
      <c r="G6866" s="2">
        <v>25</v>
      </c>
      <c r="H6866" t="s">
        <v>25</v>
      </c>
      <c r="I6866" t="s">
        <v>36</v>
      </c>
      <c r="J6866" s="1">
        <v>45036</v>
      </c>
      <c r="K6866" t="b">
        <v>0</v>
      </c>
    </row>
    <row r="6867" spans="1:11" x14ac:dyDescent="0.25">
      <c r="A6867" t="s">
        <v>4613</v>
      </c>
      <c r="B6867" t="s">
        <v>18</v>
      </c>
      <c r="C6867" t="s">
        <v>38</v>
      </c>
      <c r="D6867" t="s">
        <v>480</v>
      </c>
      <c r="E6867" s="2">
        <v>12.5</v>
      </c>
      <c r="F6867" s="4">
        <v>2</v>
      </c>
      <c r="G6867" s="2">
        <v>25</v>
      </c>
      <c r="H6867" t="s">
        <v>15</v>
      </c>
      <c r="I6867" t="s">
        <v>16</v>
      </c>
      <c r="J6867" s="1">
        <v>45233</v>
      </c>
      <c r="K6867" t="b">
        <v>1</v>
      </c>
    </row>
    <row r="6868" spans="1:11" x14ac:dyDescent="0.25">
      <c r="A6868" t="s">
        <v>4728</v>
      </c>
      <c r="B6868" t="s">
        <v>69</v>
      </c>
      <c r="C6868" t="s">
        <v>31</v>
      </c>
      <c r="D6868" t="s">
        <v>32</v>
      </c>
      <c r="E6868" s="2">
        <v>12.5</v>
      </c>
      <c r="F6868" s="4">
        <v>2</v>
      </c>
      <c r="G6868" s="2">
        <v>25</v>
      </c>
      <c r="H6868" t="s">
        <v>15</v>
      </c>
      <c r="I6868" t="s">
        <v>36</v>
      </c>
      <c r="J6868" s="1">
        <v>45643</v>
      </c>
      <c r="K6868" t="b">
        <v>0</v>
      </c>
    </row>
    <row r="6869" spans="1:11" x14ac:dyDescent="0.25">
      <c r="A6869" t="s">
        <v>2133</v>
      </c>
      <c r="B6869" t="s">
        <v>58</v>
      </c>
      <c r="C6869" t="s">
        <v>13</v>
      </c>
      <c r="D6869" t="s">
        <v>84</v>
      </c>
      <c r="E6869" s="2">
        <v>12.5</v>
      </c>
      <c r="F6869" s="4">
        <v>2</v>
      </c>
      <c r="G6869" s="2">
        <v>25</v>
      </c>
      <c r="H6869" t="s">
        <v>15</v>
      </c>
      <c r="I6869" t="s">
        <v>36</v>
      </c>
      <c r="J6869" s="1">
        <v>44819</v>
      </c>
      <c r="K6869" t="b">
        <v>1</v>
      </c>
    </row>
    <row r="6870" spans="1:11" x14ac:dyDescent="0.25">
      <c r="A6870" t="s">
        <v>3703</v>
      </c>
      <c r="B6870" t="s">
        <v>100</v>
      </c>
      <c r="C6870" t="s">
        <v>27</v>
      </c>
      <c r="D6870" t="s">
        <v>348</v>
      </c>
      <c r="E6870" s="2">
        <v>5</v>
      </c>
      <c r="F6870" s="4">
        <v>5</v>
      </c>
      <c r="G6870" s="2">
        <v>25</v>
      </c>
      <c r="H6870" t="s">
        <v>45</v>
      </c>
      <c r="I6870" t="s">
        <v>36</v>
      </c>
      <c r="J6870" s="1">
        <v>45184</v>
      </c>
      <c r="K6870" t="b">
        <v>0</v>
      </c>
    </row>
    <row r="6871" spans="1:11" x14ac:dyDescent="0.25">
      <c r="A6871" t="s">
        <v>762</v>
      </c>
      <c r="B6871" t="s">
        <v>97</v>
      </c>
      <c r="C6871" t="s">
        <v>110</v>
      </c>
      <c r="D6871" t="s">
        <v>234</v>
      </c>
      <c r="E6871" s="2">
        <v>12.5</v>
      </c>
      <c r="F6871" s="4">
        <v>2</v>
      </c>
      <c r="G6871" s="2">
        <v>25</v>
      </c>
      <c r="H6871" t="s">
        <v>25</v>
      </c>
      <c r="I6871" t="s">
        <v>16</v>
      </c>
      <c r="J6871" s="1">
        <v>44921</v>
      </c>
      <c r="K6871" t="b">
        <v>1</v>
      </c>
    </row>
    <row r="6872" spans="1:11" x14ac:dyDescent="0.25">
      <c r="A6872" t="s">
        <v>3812</v>
      </c>
      <c r="B6872" t="s">
        <v>61</v>
      </c>
      <c r="C6872" t="s">
        <v>38</v>
      </c>
      <c r="D6872" t="s">
        <v>225</v>
      </c>
      <c r="E6872" s="2">
        <v>5</v>
      </c>
      <c r="F6872" s="4">
        <v>5</v>
      </c>
      <c r="G6872" s="2">
        <v>25</v>
      </c>
      <c r="H6872" t="s">
        <v>25</v>
      </c>
      <c r="I6872" t="s">
        <v>36</v>
      </c>
      <c r="J6872" s="1">
        <v>45527</v>
      </c>
      <c r="K6872" t="b">
        <v>0</v>
      </c>
    </row>
    <row r="6873" spans="1:11" x14ac:dyDescent="0.25">
      <c r="A6873" t="s">
        <v>4457</v>
      </c>
      <c r="B6873" t="s">
        <v>100</v>
      </c>
      <c r="C6873" t="s">
        <v>19</v>
      </c>
      <c r="D6873" t="s">
        <v>128</v>
      </c>
      <c r="E6873" s="2">
        <v>12.5</v>
      </c>
      <c r="F6873" s="4">
        <v>2</v>
      </c>
      <c r="G6873" s="2">
        <v>25</v>
      </c>
      <c r="H6873" t="s">
        <v>15</v>
      </c>
      <c r="I6873" t="s">
        <v>16</v>
      </c>
      <c r="J6873" s="1">
        <v>44923</v>
      </c>
      <c r="K6873" t="b">
        <v>1</v>
      </c>
    </row>
    <row r="6874" spans="1:11" x14ac:dyDescent="0.25">
      <c r="A6874" t="s">
        <v>1329</v>
      </c>
      <c r="B6874" t="s">
        <v>69</v>
      </c>
      <c r="C6874" t="s">
        <v>38</v>
      </c>
      <c r="D6874" t="s">
        <v>225</v>
      </c>
      <c r="E6874" s="2">
        <v>5</v>
      </c>
      <c r="F6874" s="4">
        <v>5</v>
      </c>
      <c r="G6874" s="2">
        <v>25</v>
      </c>
      <c r="H6874" t="s">
        <v>15</v>
      </c>
      <c r="I6874" t="s">
        <v>36</v>
      </c>
      <c r="J6874" s="1">
        <v>45486</v>
      </c>
      <c r="K6874" t="b">
        <v>0</v>
      </c>
    </row>
    <row r="6875" spans="1:11" x14ac:dyDescent="0.25">
      <c r="A6875" t="s">
        <v>3288</v>
      </c>
      <c r="B6875" t="s">
        <v>142</v>
      </c>
      <c r="C6875" t="s">
        <v>19</v>
      </c>
      <c r="D6875" t="s">
        <v>128</v>
      </c>
      <c r="E6875" s="2">
        <v>12.5</v>
      </c>
      <c r="F6875" s="4">
        <v>2</v>
      </c>
      <c r="G6875" s="2">
        <v>25</v>
      </c>
      <c r="H6875" t="s">
        <v>15</v>
      </c>
      <c r="I6875" t="s">
        <v>16</v>
      </c>
      <c r="J6875" s="1">
        <v>44736</v>
      </c>
      <c r="K6875" t="b">
        <v>1</v>
      </c>
    </row>
    <row r="6876" spans="1:11" x14ac:dyDescent="0.25">
      <c r="A6876" t="s">
        <v>7257</v>
      </c>
      <c r="B6876" t="s">
        <v>63</v>
      </c>
      <c r="C6876" t="s">
        <v>13</v>
      </c>
      <c r="D6876" t="s">
        <v>84</v>
      </c>
      <c r="E6876" s="2">
        <v>12.5</v>
      </c>
      <c r="F6876" s="4">
        <v>2</v>
      </c>
      <c r="G6876" s="2">
        <v>25</v>
      </c>
      <c r="H6876" t="s">
        <v>15</v>
      </c>
      <c r="I6876" t="s">
        <v>36</v>
      </c>
      <c r="J6876" s="1">
        <v>44834</v>
      </c>
      <c r="K6876" t="b">
        <v>0</v>
      </c>
    </row>
    <row r="6877" spans="1:11" x14ac:dyDescent="0.25">
      <c r="A6877" t="s">
        <v>3839</v>
      </c>
      <c r="B6877" t="s">
        <v>30</v>
      </c>
      <c r="C6877" t="s">
        <v>13</v>
      </c>
      <c r="D6877" t="s">
        <v>146</v>
      </c>
      <c r="E6877" s="2">
        <v>5</v>
      </c>
      <c r="F6877" s="4">
        <v>5</v>
      </c>
      <c r="G6877" s="2">
        <v>25</v>
      </c>
      <c r="H6877" t="s">
        <v>15</v>
      </c>
      <c r="I6877" t="s">
        <v>36</v>
      </c>
      <c r="J6877" s="1">
        <v>44716</v>
      </c>
      <c r="K6877" t="b">
        <v>1</v>
      </c>
    </row>
    <row r="6878" spans="1:11" x14ac:dyDescent="0.25">
      <c r="A6878" t="s">
        <v>2099</v>
      </c>
      <c r="B6878" t="s">
        <v>56</v>
      </c>
      <c r="C6878" t="s">
        <v>59</v>
      </c>
      <c r="D6878" t="s">
        <v>279</v>
      </c>
      <c r="E6878" s="2">
        <v>5</v>
      </c>
      <c r="F6878" s="4">
        <v>5</v>
      </c>
      <c r="G6878" s="2">
        <v>25</v>
      </c>
      <c r="H6878" t="s">
        <v>25</v>
      </c>
      <c r="I6878" t="s">
        <v>16</v>
      </c>
      <c r="J6878" s="1">
        <v>45255</v>
      </c>
      <c r="K6878" t="b">
        <v>0</v>
      </c>
    </row>
    <row r="6879" spans="1:11" x14ac:dyDescent="0.25">
      <c r="A6879" t="s">
        <v>5864</v>
      </c>
      <c r="B6879" t="s">
        <v>77</v>
      </c>
      <c r="C6879" t="s">
        <v>13</v>
      </c>
      <c r="D6879" t="s">
        <v>146</v>
      </c>
      <c r="E6879" s="2">
        <v>5</v>
      </c>
      <c r="F6879" s="4">
        <v>5</v>
      </c>
      <c r="G6879" s="2">
        <v>25</v>
      </c>
      <c r="H6879" t="s">
        <v>25</v>
      </c>
      <c r="I6879" t="s">
        <v>36</v>
      </c>
      <c r="J6879" s="1">
        <v>45450</v>
      </c>
      <c r="K6879" t="b">
        <v>1</v>
      </c>
    </row>
    <row r="6880" spans="1:11" x14ac:dyDescent="0.25">
      <c r="A6880" t="s">
        <v>590</v>
      </c>
      <c r="B6880" t="s">
        <v>85</v>
      </c>
      <c r="C6880" t="s">
        <v>59</v>
      </c>
      <c r="D6880" t="s">
        <v>177</v>
      </c>
      <c r="E6880" s="2">
        <v>12.5</v>
      </c>
      <c r="F6880" s="4">
        <v>2</v>
      </c>
      <c r="G6880" s="2">
        <v>25</v>
      </c>
      <c r="H6880" t="s">
        <v>45</v>
      </c>
      <c r="I6880" t="s">
        <v>16</v>
      </c>
      <c r="J6880" s="1">
        <v>44997</v>
      </c>
      <c r="K6880" t="b">
        <v>0</v>
      </c>
    </row>
    <row r="6881" spans="1:11" x14ac:dyDescent="0.25">
      <c r="A6881" t="s">
        <v>1923</v>
      </c>
      <c r="B6881" t="s">
        <v>40</v>
      </c>
      <c r="C6881" t="s">
        <v>31</v>
      </c>
      <c r="D6881" t="s">
        <v>32</v>
      </c>
      <c r="E6881" s="2">
        <v>12.5</v>
      </c>
      <c r="F6881" s="4">
        <v>2</v>
      </c>
      <c r="G6881" s="2">
        <v>25</v>
      </c>
      <c r="H6881" t="s">
        <v>15</v>
      </c>
      <c r="I6881" t="s">
        <v>16</v>
      </c>
      <c r="J6881" s="1">
        <v>44814</v>
      </c>
      <c r="K6881" t="b">
        <v>0</v>
      </c>
    </row>
    <row r="6882" spans="1:11" x14ac:dyDescent="0.25">
      <c r="A6882" t="s">
        <v>4061</v>
      </c>
      <c r="B6882" t="s">
        <v>58</v>
      </c>
      <c r="C6882" t="s">
        <v>19</v>
      </c>
      <c r="D6882" t="s">
        <v>219</v>
      </c>
      <c r="E6882" s="2">
        <v>5</v>
      </c>
      <c r="F6882" s="4">
        <v>5</v>
      </c>
      <c r="G6882" s="2">
        <v>25</v>
      </c>
      <c r="H6882" t="s">
        <v>15</v>
      </c>
      <c r="I6882" t="s">
        <v>36</v>
      </c>
      <c r="J6882" s="1">
        <v>45277</v>
      </c>
      <c r="K6882" t="b">
        <v>1</v>
      </c>
    </row>
    <row r="6883" spans="1:11" x14ac:dyDescent="0.25">
      <c r="A6883" t="s">
        <v>5814</v>
      </c>
      <c r="B6883" t="s">
        <v>34</v>
      </c>
      <c r="C6883" t="s">
        <v>59</v>
      </c>
      <c r="D6883" t="s">
        <v>177</v>
      </c>
      <c r="E6883" s="2">
        <v>12.5</v>
      </c>
      <c r="F6883" s="4">
        <v>2</v>
      </c>
      <c r="G6883" s="2">
        <v>25</v>
      </c>
      <c r="H6883" t="s">
        <v>15</v>
      </c>
      <c r="I6883" t="s">
        <v>16</v>
      </c>
      <c r="J6883" s="1">
        <v>45185</v>
      </c>
      <c r="K6883" t="b">
        <v>1</v>
      </c>
    </row>
    <row r="6884" spans="1:11" x14ac:dyDescent="0.25">
      <c r="A6884" t="s">
        <v>492</v>
      </c>
      <c r="B6884" t="s">
        <v>66</v>
      </c>
      <c r="C6884" t="s">
        <v>31</v>
      </c>
      <c r="D6884" t="s">
        <v>32</v>
      </c>
      <c r="E6884" s="2">
        <v>12.5</v>
      </c>
      <c r="F6884" s="4">
        <v>2</v>
      </c>
      <c r="G6884" s="2">
        <v>25</v>
      </c>
      <c r="H6884" t="s">
        <v>15</v>
      </c>
      <c r="I6884" t="s">
        <v>36</v>
      </c>
      <c r="J6884" s="1">
        <v>44810</v>
      </c>
      <c r="K6884" t="b">
        <v>0</v>
      </c>
    </row>
    <row r="6885" spans="1:11" x14ac:dyDescent="0.25">
      <c r="A6885" t="s">
        <v>1120</v>
      </c>
      <c r="B6885" t="s">
        <v>18</v>
      </c>
      <c r="C6885" t="s">
        <v>38</v>
      </c>
      <c r="D6885" t="s">
        <v>480</v>
      </c>
      <c r="E6885" s="2">
        <v>12.5</v>
      </c>
      <c r="F6885" s="4">
        <v>2</v>
      </c>
      <c r="G6885" s="2">
        <v>25</v>
      </c>
      <c r="H6885" t="s">
        <v>15</v>
      </c>
      <c r="I6885" t="s">
        <v>36</v>
      </c>
      <c r="J6885" s="1">
        <v>45509</v>
      </c>
      <c r="K6885" t="b">
        <v>0</v>
      </c>
    </row>
    <row r="6886" spans="1:11" x14ac:dyDescent="0.25">
      <c r="A6886" t="s">
        <v>5483</v>
      </c>
      <c r="B6886" t="s">
        <v>69</v>
      </c>
      <c r="C6886" t="s">
        <v>13</v>
      </c>
      <c r="D6886" t="s">
        <v>146</v>
      </c>
      <c r="E6886" s="2">
        <v>5</v>
      </c>
      <c r="F6886" s="4">
        <v>5</v>
      </c>
      <c r="G6886" s="2">
        <v>25</v>
      </c>
      <c r="H6886" t="s">
        <v>15</v>
      </c>
      <c r="I6886" t="s">
        <v>36</v>
      </c>
      <c r="J6886" s="1">
        <v>44668</v>
      </c>
      <c r="K6886" t="b">
        <v>0</v>
      </c>
    </row>
    <row r="6887" spans="1:11" x14ac:dyDescent="0.25">
      <c r="A6887" t="s">
        <v>3896</v>
      </c>
      <c r="B6887" t="s">
        <v>30</v>
      </c>
      <c r="C6887" t="s">
        <v>110</v>
      </c>
      <c r="D6887" t="s">
        <v>337</v>
      </c>
      <c r="E6887" s="2">
        <v>5</v>
      </c>
      <c r="F6887" s="4">
        <v>5</v>
      </c>
      <c r="G6887" s="2">
        <v>25</v>
      </c>
      <c r="H6887" t="s">
        <v>25</v>
      </c>
      <c r="I6887" t="s">
        <v>16</v>
      </c>
      <c r="J6887" s="1">
        <v>45524</v>
      </c>
      <c r="K6887" t="b">
        <v>0</v>
      </c>
    </row>
    <row r="6888" spans="1:11" x14ac:dyDescent="0.25">
      <c r="A6888" t="s">
        <v>3042</v>
      </c>
      <c r="B6888" t="s">
        <v>61</v>
      </c>
      <c r="C6888" t="s">
        <v>23</v>
      </c>
      <c r="D6888" t="s">
        <v>437</v>
      </c>
      <c r="E6888" s="2">
        <v>12.5</v>
      </c>
      <c r="F6888" s="4">
        <v>2</v>
      </c>
      <c r="G6888" s="2">
        <v>25</v>
      </c>
      <c r="H6888" t="s">
        <v>45</v>
      </c>
      <c r="I6888" t="s">
        <v>36</v>
      </c>
      <c r="J6888" s="1">
        <v>44838</v>
      </c>
      <c r="K6888" t="b">
        <v>1</v>
      </c>
    </row>
    <row r="6889" spans="1:11" x14ac:dyDescent="0.25">
      <c r="A6889" t="s">
        <v>7080</v>
      </c>
      <c r="B6889" t="s">
        <v>86</v>
      </c>
      <c r="C6889" t="s">
        <v>31</v>
      </c>
      <c r="D6889" t="s">
        <v>35</v>
      </c>
      <c r="E6889" s="2">
        <v>5</v>
      </c>
      <c r="F6889" s="4">
        <v>5</v>
      </c>
      <c r="G6889" s="2">
        <v>25</v>
      </c>
      <c r="H6889" t="s">
        <v>15</v>
      </c>
      <c r="I6889" t="s">
        <v>16</v>
      </c>
      <c r="J6889" s="1">
        <v>44650</v>
      </c>
      <c r="K6889" t="b">
        <v>0</v>
      </c>
    </row>
    <row r="6890" spans="1:11" x14ac:dyDescent="0.25">
      <c r="A6890" t="s">
        <v>956</v>
      </c>
      <c r="B6890" t="s">
        <v>18</v>
      </c>
      <c r="C6890" t="s">
        <v>19</v>
      </c>
      <c r="D6890" t="s">
        <v>128</v>
      </c>
      <c r="E6890" s="2">
        <v>12.5</v>
      </c>
      <c r="F6890" s="4">
        <v>2</v>
      </c>
      <c r="G6890" s="2">
        <v>25</v>
      </c>
      <c r="H6890" t="s">
        <v>25</v>
      </c>
      <c r="I6890" t="s">
        <v>16</v>
      </c>
      <c r="J6890" s="1">
        <v>45572</v>
      </c>
      <c r="K6890" t="b">
        <v>0</v>
      </c>
    </row>
    <row r="6891" spans="1:11" x14ac:dyDescent="0.25">
      <c r="A6891" t="s">
        <v>6338</v>
      </c>
      <c r="B6891" t="s">
        <v>100</v>
      </c>
      <c r="C6891" t="s">
        <v>27</v>
      </c>
      <c r="D6891" t="s">
        <v>348</v>
      </c>
      <c r="E6891" s="2">
        <v>5</v>
      </c>
      <c r="F6891" s="4">
        <v>5</v>
      </c>
      <c r="G6891" s="2">
        <v>25</v>
      </c>
      <c r="H6891" t="s">
        <v>15</v>
      </c>
      <c r="I6891" t="s">
        <v>36</v>
      </c>
      <c r="J6891" s="1">
        <v>44974</v>
      </c>
      <c r="K6891" t="b">
        <v>1</v>
      </c>
    </row>
    <row r="6892" spans="1:11" x14ac:dyDescent="0.25">
      <c r="A6892" t="s">
        <v>1724</v>
      </c>
      <c r="B6892" t="s">
        <v>34</v>
      </c>
      <c r="C6892" t="s">
        <v>23</v>
      </c>
      <c r="D6892" t="s">
        <v>437</v>
      </c>
      <c r="E6892" s="2">
        <v>12.5</v>
      </c>
      <c r="F6892" s="4">
        <v>2</v>
      </c>
      <c r="G6892" s="2">
        <v>25</v>
      </c>
      <c r="H6892" t="s">
        <v>15</v>
      </c>
      <c r="I6892" t="s">
        <v>36</v>
      </c>
      <c r="J6892" s="1">
        <v>44676</v>
      </c>
      <c r="K6892" t="b">
        <v>0</v>
      </c>
    </row>
    <row r="6893" spans="1:11" x14ac:dyDescent="0.25">
      <c r="A6893" t="s">
        <v>1956</v>
      </c>
      <c r="B6893" t="s">
        <v>43</v>
      </c>
      <c r="C6893" t="s">
        <v>27</v>
      </c>
      <c r="D6893" t="s">
        <v>348</v>
      </c>
      <c r="E6893" s="2">
        <v>5</v>
      </c>
      <c r="F6893" s="4">
        <v>5</v>
      </c>
      <c r="G6893" s="2">
        <v>25</v>
      </c>
      <c r="H6893" t="s">
        <v>15</v>
      </c>
      <c r="I6893" t="s">
        <v>16</v>
      </c>
      <c r="J6893" s="1">
        <v>44754</v>
      </c>
      <c r="K6893" t="b">
        <v>0</v>
      </c>
    </row>
    <row r="6894" spans="1:11" x14ac:dyDescent="0.25">
      <c r="A6894" t="s">
        <v>558</v>
      </c>
      <c r="B6894" t="s">
        <v>58</v>
      </c>
      <c r="C6894" t="s">
        <v>38</v>
      </c>
      <c r="D6894" t="s">
        <v>225</v>
      </c>
      <c r="E6894" s="2">
        <v>5</v>
      </c>
      <c r="F6894" s="4">
        <v>5</v>
      </c>
      <c r="G6894" s="2">
        <v>25</v>
      </c>
      <c r="H6894" t="s">
        <v>25</v>
      </c>
      <c r="I6894" t="s">
        <v>16</v>
      </c>
      <c r="J6894" s="1">
        <v>44910</v>
      </c>
      <c r="K6894" t="b">
        <v>1</v>
      </c>
    </row>
    <row r="6895" spans="1:11" x14ac:dyDescent="0.25">
      <c r="A6895" t="s">
        <v>7076</v>
      </c>
      <c r="B6895" t="s">
        <v>72</v>
      </c>
      <c r="C6895" t="s">
        <v>59</v>
      </c>
      <c r="D6895" t="s">
        <v>177</v>
      </c>
      <c r="E6895" s="2">
        <v>12.5</v>
      </c>
      <c r="F6895" s="4">
        <v>2</v>
      </c>
      <c r="G6895" s="2">
        <v>25</v>
      </c>
      <c r="H6895" t="s">
        <v>45</v>
      </c>
      <c r="I6895" t="s">
        <v>36</v>
      </c>
      <c r="J6895" s="1">
        <v>45560</v>
      </c>
      <c r="K6895" t="b">
        <v>0</v>
      </c>
    </row>
    <row r="6896" spans="1:11" x14ac:dyDescent="0.25">
      <c r="A6896" t="s">
        <v>6301</v>
      </c>
      <c r="B6896" t="s">
        <v>72</v>
      </c>
      <c r="C6896" t="s">
        <v>110</v>
      </c>
      <c r="D6896" t="s">
        <v>337</v>
      </c>
      <c r="E6896" s="2">
        <v>5</v>
      </c>
      <c r="F6896" s="4">
        <v>5</v>
      </c>
      <c r="G6896" s="2">
        <v>25</v>
      </c>
      <c r="H6896" t="s">
        <v>25</v>
      </c>
      <c r="I6896" t="s">
        <v>36</v>
      </c>
      <c r="J6896" s="1">
        <v>44713</v>
      </c>
      <c r="K6896" t="b">
        <v>1</v>
      </c>
    </row>
    <row r="6897" spans="1:11" x14ac:dyDescent="0.25">
      <c r="A6897" t="s">
        <v>6063</v>
      </c>
      <c r="B6897" t="s">
        <v>100</v>
      </c>
      <c r="C6897" t="s">
        <v>19</v>
      </c>
      <c r="D6897" t="s">
        <v>219</v>
      </c>
      <c r="E6897" s="2">
        <v>5</v>
      </c>
      <c r="F6897" s="4">
        <v>5</v>
      </c>
      <c r="G6897" s="2">
        <v>25</v>
      </c>
      <c r="H6897" t="s">
        <v>45</v>
      </c>
      <c r="I6897" t="s">
        <v>16</v>
      </c>
      <c r="J6897" s="1">
        <v>44634</v>
      </c>
      <c r="K6897" t="b">
        <v>1</v>
      </c>
    </row>
    <row r="6898" spans="1:11" x14ac:dyDescent="0.25">
      <c r="A6898" t="s">
        <v>1694</v>
      </c>
      <c r="B6898" t="s">
        <v>61</v>
      </c>
      <c r="C6898" t="s">
        <v>38</v>
      </c>
      <c r="D6898" t="s">
        <v>480</v>
      </c>
      <c r="E6898" s="2">
        <v>12.5</v>
      </c>
      <c r="F6898" s="4">
        <v>2</v>
      </c>
      <c r="G6898" s="2">
        <v>25</v>
      </c>
      <c r="H6898" t="s">
        <v>25</v>
      </c>
      <c r="I6898" t="s">
        <v>16</v>
      </c>
      <c r="J6898" s="1">
        <v>44630</v>
      </c>
      <c r="K6898" t="b">
        <v>1</v>
      </c>
    </row>
    <row r="6899" spans="1:11" x14ac:dyDescent="0.25">
      <c r="A6899" t="s">
        <v>7006</v>
      </c>
      <c r="B6899" t="s">
        <v>61</v>
      </c>
      <c r="C6899" t="s">
        <v>13</v>
      </c>
      <c r="D6899" t="s">
        <v>84</v>
      </c>
      <c r="E6899" s="2">
        <v>12.5</v>
      </c>
      <c r="F6899" s="4">
        <v>2</v>
      </c>
      <c r="G6899" s="2">
        <v>25</v>
      </c>
      <c r="H6899" t="s">
        <v>25</v>
      </c>
      <c r="I6899" t="s">
        <v>16</v>
      </c>
      <c r="J6899" s="1">
        <v>45466</v>
      </c>
      <c r="K6899" t="b">
        <v>1</v>
      </c>
    </row>
    <row r="6900" spans="1:11" x14ac:dyDescent="0.25">
      <c r="A6900" t="s">
        <v>2209</v>
      </c>
      <c r="B6900" t="s">
        <v>43</v>
      </c>
      <c r="C6900" t="s">
        <v>38</v>
      </c>
      <c r="D6900" t="s">
        <v>225</v>
      </c>
      <c r="E6900" s="2">
        <v>5</v>
      </c>
      <c r="F6900" s="4">
        <v>5</v>
      </c>
      <c r="G6900" s="2">
        <v>25</v>
      </c>
      <c r="H6900" t="s">
        <v>15</v>
      </c>
      <c r="I6900" t="s">
        <v>16</v>
      </c>
      <c r="J6900" s="1">
        <v>45371</v>
      </c>
      <c r="K6900" t="b">
        <v>0</v>
      </c>
    </row>
    <row r="6901" spans="1:11" x14ac:dyDescent="0.25">
      <c r="A6901" t="s">
        <v>5226</v>
      </c>
      <c r="B6901" t="s">
        <v>69</v>
      </c>
      <c r="C6901" t="s">
        <v>23</v>
      </c>
      <c r="D6901" t="s">
        <v>311</v>
      </c>
      <c r="E6901" s="2">
        <v>5</v>
      </c>
      <c r="F6901" s="4">
        <v>5</v>
      </c>
      <c r="G6901" s="2">
        <v>25</v>
      </c>
      <c r="H6901" t="s">
        <v>45</v>
      </c>
      <c r="I6901" t="s">
        <v>16</v>
      </c>
      <c r="J6901" s="1">
        <v>44741</v>
      </c>
      <c r="K6901" t="b">
        <v>1</v>
      </c>
    </row>
    <row r="6902" spans="1:11" x14ac:dyDescent="0.25">
      <c r="A6902" t="s">
        <v>6349</v>
      </c>
      <c r="B6902" t="s">
        <v>93</v>
      </c>
      <c r="C6902" t="s">
        <v>38</v>
      </c>
      <c r="D6902" t="s">
        <v>480</v>
      </c>
      <c r="E6902" s="2">
        <v>12.5</v>
      </c>
      <c r="F6902" s="4">
        <v>2</v>
      </c>
      <c r="G6902" s="2">
        <v>25</v>
      </c>
      <c r="H6902" t="s">
        <v>25</v>
      </c>
      <c r="I6902" t="s">
        <v>36</v>
      </c>
      <c r="J6902" s="1">
        <v>44889</v>
      </c>
      <c r="K6902" t="b">
        <v>0</v>
      </c>
    </row>
    <row r="6903" spans="1:11" x14ac:dyDescent="0.25">
      <c r="A6903" t="s">
        <v>2881</v>
      </c>
      <c r="B6903" t="s">
        <v>93</v>
      </c>
      <c r="C6903" t="s">
        <v>19</v>
      </c>
      <c r="D6903" t="s">
        <v>128</v>
      </c>
      <c r="E6903" s="2">
        <v>12.5</v>
      </c>
      <c r="F6903" s="4">
        <v>2</v>
      </c>
      <c r="G6903" s="2">
        <v>25</v>
      </c>
      <c r="H6903" t="s">
        <v>25</v>
      </c>
      <c r="I6903" t="s">
        <v>36</v>
      </c>
      <c r="J6903" s="1">
        <v>45528</v>
      </c>
      <c r="K6903" t="b">
        <v>0</v>
      </c>
    </row>
    <row r="6904" spans="1:11" x14ac:dyDescent="0.25">
      <c r="A6904" t="s">
        <v>1582</v>
      </c>
      <c r="B6904" t="s">
        <v>30</v>
      </c>
      <c r="C6904" t="s">
        <v>23</v>
      </c>
      <c r="D6904" t="s">
        <v>437</v>
      </c>
      <c r="E6904" s="2">
        <v>12.5</v>
      </c>
      <c r="F6904" s="4">
        <v>2</v>
      </c>
      <c r="G6904" s="2">
        <v>25</v>
      </c>
      <c r="H6904" t="s">
        <v>25</v>
      </c>
      <c r="I6904" t="s">
        <v>36</v>
      </c>
      <c r="J6904" s="1">
        <v>45094</v>
      </c>
      <c r="K6904" t="b">
        <v>1</v>
      </c>
    </row>
    <row r="6905" spans="1:11" x14ac:dyDescent="0.25">
      <c r="A6905" t="s">
        <v>6595</v>
      </c>
      <c r="B6905" t="s">
        <v>66</v>
      </c>
      <c r="C6905" t="s">
        <v>19</v>
      </c>
      <c r="D6905" t="s">
        <v>219</v>
      </c>
      <c r="E6905" s="2">
        <v>5</v>
      </c>
      <c r="F6905" s="4">
        <v>5</v>
      </c>
      <c r="G6905" s="2">
        <v>25</v>
      </c>
      <c r="H6905" t="s">
        <v>45</v>
      </c>
      <c r="I6905" t="s">
        <v>36</v>
      </c>
      <c r="J6905" s="1">
        <v>44780</v>
      </c>
      <c r="K6905" t="b">
        <v>1</v>
      </c>
    </row>
    <row r="6906" spans="1:11" x14ac:dyDescent="0.25">
      <c r="A6906" t="s">
        <v>1735</v>
      </c>
      <c r="B6906" t="s">
        <v>22</v>
      </c>
      <c r="C6906" t="s">
        <v>23</v>
      </c>
      <c r="D6906" t="s">
        <v>437</v>
      </c>
      <c r="E6906" s="2">
        <v>12.5</v>
      </c>
      <c r="F6906" s="4">
        <v>2</v>
      </c>
      <c r="G6906" s="2">
        <v>25</v>
      </c>
      <c r="H6906" t="s">
        <v>45</v>
      </c>
      <c r="I6906" t="s">
        <v>16</v>
      </c>
      <c r="J6906" s="1">
        <v>44843</v>
      </c>
      <c r="K6906" t="b">
        <v>1</v>
      </c>
    </row>
    <row r="6907" spans="1:11" x14ac:dyDescent="0.25">
      <c r="A6907" t="s">
        <v>1986</v>
      </c>
      <c r="B6907" t="s">
        <v>30</v>
      </c>
      <c r="C6907" t="s">
        <v>59</v>
      </c>
      <c r="D6907" t="s">
        <v>177</v>
      </c>
      <c r="E6907" s="2">
        <v>12.5</v>
      </c>
      <c r="F6907" s="4">
        <v>2</v>
      </c>
      <c r="G6907" s="2">
        <v>25</v>
      </c>
      <c r="H6907" t="s">
        <v>15</v>
      </c>
      <c r="I6907" t="s">
        <v>36</v>
      </c>
      <c r="J6907" s="1">
        <v>44908</v>
      </c>
      <c r="K6907" t="b">
        <v>0</v>
      </c>
    </row>
    <row r="6908" spans="1:11" x14ac:dyDescent="0.25">
      <c r="A6908" t="s">
        <v>5013</v>
      </c>
      <c r="B6908" t="s">
        <v>34</v>
      </c>
      <c r="C6908" t="s">
        <v>59</v>
      </c>
      <c r="D6908" t="s">
        <v>279</v>
      </c>
      <c r="E6908" s="2">
        <v>5</v>
      </c>
      <c r="F6908" s="4">
        <v>5</v>
      </c>
      <c r="G6908" s="2">
        <v>25</v>
      </c>
      <c r="H6908" t="s">
        <v>25</v>
      </c>
      <c r="I6908" t="s">
        <v>36</v>
      </c>
      <c r="J6908" s="1">
        <v>45056</v>
      </c>
      <c r="K6908" t="b">
        <v>0</v>
      </c>
    </row>
    <row r="6909" spans="1:11" x14ac:dyDescent="0.25">
      <c r="A6909" t="s">
        <v>2369</v>
      </c>
      <c r="B6909" t="s">
        <v>63</v>
      </c>
      <c r="C6909" t="s">
        <v>31</v>
      </c>
      <c r="D6909" t="s">
        <v>32</v>
      </c>
      <c r="E6909" s="2">
        <v>12.5</v>
      </c>
      <c r="F6909" s="4">
        <v>2</v>
      </c>
      <c r="G6909" s="2">
        <v>25</v>
      </c>
      <c r="H6909" t="s">
        <v>25</v>
      </c>
      <c r="I6909" t="s">
        <v>16</v>
      </c>
      <c r="J6909" s="1">
        <v>45554</v>
      </c>
      <c r="K6909" t="b">
        <v>0</v>
      </c>
    </row>
    <row r="6910" spans="1:11" x14ac:dyDescent="0.25">
      <c r="A6910" t="s">
        <v>1406</v>
      </c>
      <c r="B6910" t="s">
        <v>72</v>
      </c>
      <c r="C6910" t="s">
        <v>38</v>
      </c>
      <c r="D6910" t="s">
        <v>225</v>
      </c>
      <c r="E6910" s="2">
        <v>5</v>
      </c>
      <c r="F6910" s="4">
        <v>5</v>
      </c>
      <c r="G6910" s="2">
        <v>25</v>
      </c>
      <c r="H6910" t="s">
        <v>25</v>
      </c>
      <c r="I6910" t="s">
        <v>36</v>
      </c>
      <c r="J6910" s="1">
        <v>44639</v>
      </c>
      <c r="K6910" t="b">
        <v>1</v>
      </c>
    </row>
    <row r="6911" spans="1:11" x14ac:dyDescent="0.25">
      <c r="A6911" t="s">
        <v>5007</v>
      </c>
      <c r="B6911" t="s">
        <v>30</v>
      </c>
      <c r="C6911" t="s">
        <v>19</v>
      </c>
      <c r="D6911" t="s">
        <v>128</v>
      </c>
      <c r="E6911" s="2">
        <v>12.5</v>
      </c>
      <c r="F6911" s="4">
        <v>2</v>
      </c>
      <c r="G6911" s="2">
        <v>25</v>
      </c>
      <c r="H6911" t="s">
        <v>25</v>
      </c>
      <c r="I6911" t="s">
        <v>16</v>
      </c>
      <c r="J6911" s="1">
        <v>45074</v>
      </c>
      <c r="K6911" t="b">
        <v>1</v>
      </c>
    </row>
    <row r="6912" spans="1:11" x14ac:dyDescent="0.25">
      <c r="A6912" t="s">
        <v>4229</v>
      </c>
      <c r="B6912" t="s">
        <v>18</v>
      </c>
      <c r="C6912" t="s">
        <v>23</v>
      </c>
      <c r="D6912" t="s">
        <v>437</v>
      </c>
      <c r="E6912" s="2">
        <v>12.5</v>
      </c>
      <c r="F6912" s="4">
        <v>2</v>
      </c>
      <c r="G6912" s="2">
        <v>25</v>
      </c>
      <c r="H6912" t="s">
        <v>45</v>
      </c>
      <c r="I6912" t="s">
        <v>16</v>
      </c>
      <c r="J6912" s="1">
        <v>45117</v>
      </c>
      <c r="K6912" t="b">
        <v>1</v>
      </c>
    </row>
    <row r="6913" spans="1:11" x14ac:dyDescent="0.25">
      <c r="A6913" t="s">
        <v>4938</v>
      </c>
      <c r="B6913" t="s">
        <v>30</v>
      </c>
      <c r="C6913" t="s">
        <v>38</v>
      </c>
      <c r="D6913" t="s">
        <v>480</v>
      </c>
      <c r="E6913" s="2">
        <v>12.5</v>
      </c>
      <c r="F6913" s="4">
        <v>2</v>
      </c>
      <c r="G6913" s="2">
        <v>25</v>
      </c>
      <c r="H6913" t="s">
        <v>25</v>
      </c>
      <c r="I6913" t="s">
        <v>36</v>
      </c>
      <c r="J6913" s="1">
        <v>44970</v>
      </c>
      <c r="K6913" t="b">
        <v>1</v>
      </c>
    </row>
    <row r="6914" spans="1:11" x14ac:dyDescent="0.25">
      <c r="A6914" t="s">
        <v>1990</v>
      </c>
      <c r="B6914" t="s">
        <v>18</v>
      </c>
      <c r="C6914" t="s">
        <v>19</v>
      </c>
      <c r="D6914" t="s">
        <v>128</v>
      </c>
      <c r="E6914" s="2">
        <v>12.5</v>
      </c>
      <c r="F6914" s="4">
        <v>2</v>
      </c>
      <c r="G6914" s="2">
        <v>25</v>
      </c>
      <c r="H6914" t="s">
        <v>15</v>
      </c>
      <c r="I6914" t="s">
        <v>36</v>
      </c>
      <c r="J6914" s="1">
        <v>44893</v>
      </c>
      <c r="K6914" t="b">
        <v>1</v>
      </c>
    </row>
    <row r="6915" spans="1:11" x14ac:dyDescent="0.25">
      <c r="A6915" t="s">
        <v>1705</v>
      </c>
      <c r="B6915" t="s">
        <v>77</v>
      </c>
      <c r="C6915" t="s">
        <v>19</v>
      </c>
      <c r="D6915" t="s">
        <v>219</v>
      </c>
      <c r="E6915" s="2">
        <v>5</v>
      </c>
      <c r="F6915" s="4">
        <v>5</v>
      </c>
      <c r="G6915" s="2">
        <v>25</v>
      </c>
      <c r="H6915" t="s">
        <v>45</v>
      </c>
      <c r="I6915" t="s">
        <v>16</v>
      </c>
      <c r="J6915" s="1">
        <v>44592</v>
      </c>
      <c r="K6915" t="b">
        <v>1</v>
      </c>
    </row>
    <row r="6916" spans="1:11" x14ac:dyDescent="0.25">
      <c r="A6916" t="s">
        <v>6127</v>
      </c>
      <c r="B6916" t="s">
        <v>85</v>
      </c>
      <c r="C6916" t="s">
        <v>38</v>
      </c>
      <c r="D6916" t="s">
        <v>480</v>
      </c>
      <c r="E6916" s="2">
        <v>12.5</v>
      </c>
      <c r="F6916" s="4">
        <v>2</v>
      </c>
      <c r="G6916" s="2">
        <v>25</v>
      </c>
      <c r="H6916" t="s">
        <v>15</v>
      </c>
      <c r="I6916" t="s">
        <v>16</v>
      </c>
      <c r="J6916" s="1">
        <v>45533</v>
      </c>
      <c r="K6916" t="b">
        <v>1</v>
      </c>
    </row>
    <row r="6917" spans="1:11" x14ac:dyDescent="0.25">
      <c r="A6917" t="s">
        <v>216</v>
      </c>
      <c r="B6917" t="s">
        <v>72</v>
      </c>
      <c r="C6917" t="s">
        <v>27</v>
      </c>
      <c r="D6917" t="s">
        <v>217</v>
      </c>
      <c r="E6917" s="2">
        <v>12.5</v>
      </c>
      <c r="F6917" s="4">
        <v>2</v>
      </c>
      <c r="G6917" s="2">
        <v>25</v>
      </c>
      <c r="H6917" t="s">
        <v>45</v>
      </c>
      <c r="I6917" t="s">
        <v>36</v>
      </c>
      <c r="J6917" s="1">
        <v>44931</v>
      </c>
      <c r="K6917" t="b">
        <v>0</v>
      </c>
    </row>
    <row r="6918" spans="1:11" x14ac:dyDescent="0.25">
      <c r="A6918" t="s">
        <v>4331</v>
      </c>
      <c r="B6918" t="s">
        <v>34</v>
      </c>
      <c r="C6918" t="s">
        <v>110</v>
      </c>
      <c r="D6918" t="s">
        <v>234</v>
      </c>
      <c r="E6918" s="2">
        <v>12.5</v>
      </c>
      <c r="F6918" s="4">
        <v>2</v>
      </c>
      <c r="G6918" s="2">
        <v>25</v>
      </c>
      <c r="H6918" t="s">
        <v>25</v>
      </c>
      <c r="I6918" t="s">
        <v>16</v>
      </c>
      <c r="J6918" s="1">
        <v>44781</v>
      </c>
      <c r="K6918" t="b">
        <v>1</v>
      </c>
    </row>
    <row r="6919" spans="1:11" x14ac:dyDescent="0.25">
      <c r="A6919" t="s">
        <v>3686</v>
      </c>
      <c r="B6919" t="s">
        <v>63</v>
      </c>
      <c r="C6919" t="s">
        <v>31</v>
      </c>
      <c r="D6919" t="s">
        <v>32</v>
      </c>
      <c r="E6919" s="2">
        <v>12.5</v>
      </c>
      <c r="F6919" s="4">
        <v>2</v>
      </c>
      <c r="G6919" s="2">
        <v>25</v>
      </c>
      <c r="H6919" t="s">
        <v>45</v>
      </c>
      <c r="I6919" t="s">
        <v>36</v>
      </c>
      <c r="J6919" s="1">
        <v>44981</v>
      </c>
      <c r="K6919" t="b">
        <v>1</v>
      </c>
    </row>
    <row r="6920" spans="1:11" x14ac:dyDescent="0.25">
      <c r="A6920" t="s">
        <v>7236</v>
      </c>
      <c r="B6920" t="s">
        <v>100</v>
      </c>
      <c r="C6920" t="s">
        <v>13</v>
      </c>
      <c r="D6920" t="s">
        <v>84</v>
      </c>
      <c r="E6920" s="2">
        <v>12.5</v>
      </c>
      <c r="F6920" s="4">
        <v>2</v>
      </c>
      <c r="G6920" s="2">
        <v>25</v>
      </c>
      <c r="H6920" t="s">
        <v>45</v>
      </c>
      <c r="I6920" t="s">
        <v>16</v>
      </c>
      <c r="J6920" s="1">
        <v>45268</v>
      </c>
      <c r="K6920" t="b">
        <v>1</v>
      </c>
    </row>
    <row r="6921" spans="1:11" x14ac:dyDescent="0.25">
      <c r="A6921" t="s">
        <v>5231</v>
      </c>
      <c r="B6921" t="s">
        <v>63</v>
      </c>
      <c r="C6921" t="s">
        <v>19</v>
      </c>
      <c r="D6921" t="s">
        <v>219</v>
      </c>
      <c r="E6921" s="2">
        <v>5</v>
      </c>
      <c r="F6921" s="4">
        <v>5</v>
      </c>
      <c r="G6921" s="2">
        <v>25</v>
      </c>
      <c r="H6921" t="s">
        <v>25</v>
      </c>
      <c r="I6921" t="s">
        <v>16</v>
      </c>
      <c r="J6921" s="1">
        <v>44652</v>
      </c>
      <c r="K6921" t="b">
        <v>1</v>
      </c>
    </row>
    <row r="6922" spans="1:11" x14ac:dyDescent="0.25">
      <c r="A6922" t="s">
        <v>5056</v>
      </c>
      <c r="B6922" t="s">
        <v>100</v>
      </c>
      <c r="C6922" t="s">
        <v>31</v>
      </c>
      <c r="D6922" t="s">
        <v>32</v>
      </c>
      <c r="E6922" s="2">
        <v>12.5</v>
      </c>
      <c r="F6922" s="4">
        <v>2</v>
      </c>
      <c r="G6922" s="2">
        <v>25</v>
      </c>
      <c r="H6922" t="s">
        <v>15</v>
      </c>
      <c r="I6922" t="s">
        <v>36</v>
      </c>
      <c r="J6922" s="1">
        <v>44793</v>
      </c>
      <c r="K6922" t="b">
        <v>0</v>
      </c>
    </row>
    <row r="6923" spans="1:11" x14ac:dyDescent="0.25">
      <c r="A6923" t="s">
        <v>233</v>
      </c>
      <c r="B6923" t="s">
        <v>77</v>
      </c>
      <c r="C6923" t="s">
        <v>110</v>
      </c>
      <c r="D6923" t="s">
        <v>234</v>
      </c>
      <c r="E6923" s="2">
        <v>12.5</v>
      </c>
      <c r="F6923" s="4">
        <v>2</v>
      </c>
      <c r="G6923" s="2">
        <v>25</v>
      </c>
      <c r="H6923" t="s">
        <v>15</v>
      </c>
      <c r="I6923" t="s">
        <v>36</v>
      </c>
      <c r="J6923" s="1">
        <v>45576</v>
      </c>
      <c r="K6923" t="b">
        <v>0</v>
      </c>
    </row>
    <row r="6924" spans="1:11" x14ac:dyDescent="0.25">
      <c r="A6924" t="s">
        <v>2168</v>
      </c>
      <c r="B6924" t="s">
        <v>51</v>
      </c>
      <c r="C6924" t="s">
        <v>19</v>
      </c>
      <c r="D6924" t="s">
        <v>128</v>
      </c>
      <c r="E6924" s="2">
        <v>12.5</v>
      </c>
      <c r="F6924" s="4">
        <v>2</v>
      </c>
      <c r="G6924" s="2">
        <v>25</v>
      </c>
      <c r="H6924" t="s">
        <v>25</v>
      </c>
      <c r="I6924" t="s">
        <v>16</v>
      </c>
      <c r="J6924" s="1">
        <v>44824</v>
      </c>
      <c r="K6924" t="b">
        <v>0</v>
      </c>
    </row>
    <row r="6925" spans="1:11" x14ac:dyDescent="0.25">
      <c r="A6925" t="s">
        <v>313</v>
      </c>
      <c r="B6925" t="s">
        <v>77</v>
      </c>
      <c r="C6925" t="s">
        <v>13</v>
      </c>
      <c r="D6925" t="s">
        <v>84</v>
      </c>
      <c r="E6925" s="2">
        <v>12.5</v>
      </c>
      <c r="F6925" s="4">
        <v>2</v>
      </c>
      <c r="G6925" s="2">
        <v>25</v>
      </c>
      <c r="H6925" t="s">
        <v>15</v>
      </c>
      <c r="I6925" t="s">
        <v>36</v>
      </c>
      <c r="J6925" s="1">
        <v>45233</v>
      </c>
      <c r="K6925" t="b">
        <v>0</v>
      </c>
    </row>
    <row r="6926" spans="1:11" x14ac:dyDescent="0.25">
      <c r="A6926" t="s">
        <v>1078</v>
      </c>
      <c r="B6926" t="s">
        <v>61</v>
      </c>
      <c r="C6926" t="s">
        <v>19</v>
      </c>
      <c r="D6926" t="s">
        <v>128</v>
      </c>
      <c r="E6926" s="2">
        <v>12.5</v>
      </c>
      <c r="F6926" s="4">
        <v>2</v>
      </c>
      <c r="G6926" s="2">
        <v>25</v>
      </c>
      <c r="H6926" t="s">
        <v>45</v>
      </c>
      <c r="I6926" t="s">
        <v>16</v>
      </c>
      <c r="J6926" s="1">
        <v>45145</v>
      </c>
      <c r="K6926" t="b">
        <v>1</v>
      </c>
    </row>
    <row r="6927" spans="1:11" x14ac:dyDescent="0.25">
      <c r="A6927" t="s">
        <v>1053</v>
      </c>
      <c r="B6927" t="s">
        <v>43</v>
      </c>
      <c r="C6927" t="s">
        <v>19</v>
      </c>
      <c r="D6927" t="s">
        <v>128</v>
      </c>
      <c r="E6927" s="2">
        <v>12.5</v>
      </c>
      <c r="F6927" s="4">
        <v>2</v>
      </c>
      <c r="G6927" s="2">
        <v>25</v>
      </c>
      <c r="H6927" t="s">
        <v>45</v>
      </c>
      <c r="I6927" t="s">
        <v>16</v>
      </c>
      <c r="J6927" s="1">
        <v>45493</v>
      </c>
      <c r="K6927" t="b">
        <v>0</v>
      </c>
    </row>
    <row r="6928" spans="1:11" x14ac:dyDescent="0.25">
      <c r="A6928" t="s">
        <v>553</v>
      </c>
      <c r="B6928" t="s">
        <v>97</v>
      </c>
      <c r="C6928" t="s">
        <v>19</v>
      </c>
      <c r="D6928" t="s">
        <v>128</v>
      </c>
      <c r="E6928" s="2">
        <v>12.5</v>
      </c>
      <c r="F6928" s="4">
        <v>2</v>
      </c>
      <c r="G6928" s="2">
        <v>25</v>
      </c>
      <c r="H6928" t="s">
        <v>45</v>
      </c>
      <c r="I6928" t="s">
        <v>36</v>
      </c>
      <c r="J6928" s="1">
        <v>45517</v>
      </c>
      <c r="K6928" t="b">
        <v>0</v>
      </c>
    </row>
    <row r="6929" spans="1:11" x14ac:dyDescent="0.25">
      <c r="A6929" t="s">
        <v>875</v>
      </c>
      <c r="B6929" t="s">
        <v>66</v>
      </c>
      <c r="C6929" t="s">
        <v>19</v>
      </c>
      <c r="D6929" t="s">
        <v>219</v>
      </c>
      <c r="E6929" s="2">
        <v>5</v>
      </c>
      <c r="F6929" s="4">
        <v>5</v>
      </c>
      <c r="G6929" s="2">
        <v>25</v>
      </c>
      <c r="H6929" t="s">
        <v>45</v>
      </c>
      <c r="I6929" t="s">
        <v>36</v>
      </c>
      <c r="J6929" s="1">
        <v>44610</v>
      </c>
      <c r="K6929" t="b">
        <v>0</v>
      </c>
    </row>
    <row r="6930" spans="1:11" x14ac:dyDescent="0.25">
      <c r="A6930" t="s">
        <v>6442</v>
      </c>
      <c r="B6930" t="s">
        <v>56</v>
      </c>
      <c r="C6930" t="s">
        <v>38</v>
      </c>
      <c r="D6930" t="s">
        <v>225</v>
      </c>
      <c r="E6930" s="2">
        <v>5</v>
      </c>
      <c r="F6930" s="4">
        <v>5</v>
      </c>
      <c r="G6930" s="2">
        <v>25</v>
      </c>
      <c r="H6930" t="s">
        <v>45</v>
      </c>
      <c r="I6930" t="s">
        <v>36</v>
      </c>
      <c r="J6930" s="1">
        <v>45261</v>
      </c>
      <c r="K6930" t="b">
        <v>1</v>
      </c>
    </row>
    <row r="6931" spans="1:11" x14ac:dyDescent="0.25">
      <c r="A6931" t="s">
        <v>5195</v>
      </c>
      <c r="B6931" t="s">
        <v>85</v>
      </c>
      <c r="C6931" t="s">
        <v>19</v>
      </c>
      <c r="D6931" t="s">
        <v>219</v>
      </c>
      <c r="E6931" s="2">
        <v>5</v>
      </c>
      <c r="F6931" s="4">
        <v>5</v>
      </c>
      <c r="G6931" s="2">
        <v>25</v>
      </c>
      <c r="H6931" t="s">
        <v>45</v>
      </c>
      <c r="I6931" t="s">
        <v>16</v>
      </c>
      <c r="J6931" s="1">
        <v>45228</v>
      </c>
      <c r="K6931" t="b">
        <v>0</v>
      </c>
    </row>
    <row r="6932" spans="1:11" x14ac:dyDescent="0.25">
      <c r="A6932" t="s">
        <v>7113</v>
      </c>
      <c r="B6932" t="s">
        <v>93</v>
      </c>
      <c r="C6932" t="s">
        <v>27</v>
      </c>
      <c r="D6932" t="s">
        <v>348</v>
      </c>
      <c r="E6932" s="2">
        <v>5</v>
      </c>
      <c r="F6932" s="4">
        <v>5</v>
      </c>
      <c r="G6932" s="2">
        <v>25</v>
      </c>
      <c r="H6932" t="s">
        <v>25</v>
      </c>
      <c r="I6932" t="s">
        <v>36</v>
      </c>
      <c r="J6932" s="1">
        <v>45091</v>
      </c>
      <c r="K6932" t="b">
        <v>0</v>
      </c>
    </row>
    <row r="6933" spans="1:11" x14ac:dyDescent="0.25">
      <c r="A6933" t="s">
        <v>3199</v>
      </c>
      <c r="B6933" t="s">
        <v>69</v>
      </c>
      <c r="C6933" t="s">
        <v>13</v>
      </c>
      <c r="D6933" t="s">
        <v>146</v>
      </c>
      <c r="E6933" s="2">
        <v>5</v>
      </c>
      <c r="F6933" s="4">
        <v>5</v>
      </c>
      <c r="G6933" s="2">
        <v>25</v>
      </c>
      <c r="H6933" t="s">
        <v>25</v>
      </c>
      <c r="I6933" t="s">
        <v>36</v>
      </c>
      <c r="J6933" s="1">
        <v>45361</v>
      </c>
      <c r="K6933" t="b">
        <v>0</v>
      </c>
    </row>
    <row r="6934" spans="1:11" x14ac:dyDescent="0.25">
      <c r="A6934" t="s">
        <v>7050</v>
      </c>
      <c r="B6934" t="s">
        <v>86</v>
      </c>
      <c r="C6934" t="s">
        <v>59</v>
      </c>
      <c r="D6934" t="s">
        <v>177</v>
      </c>
      <c r="E6934" s="2">
        <v>12.5</v>
      </c>
      <c r="F6934" s="4">
        <v>2</v>
      </c>
      <c r="G6934" s="2">
        <v>25</v>
      </c>
      <c r="H6934" t="s">
        <v>15</v>
      </c>
      <c r="I6934" t="s">
        <v>16</v>
      </c>
      <c r="J6934" s="1">
        <v>44666</v>
      </c>
      <c r="K6934" t="b">
        <v>1</v>
      </c>
    </row>
    <row r="6935" spans="1:11" x14ac:dyDescent="0.25">
      <c r="A6935" t="s">
        <v>6828</v>
      </c>
      <c r="B6935" t="s">
        <v>85</v>
      </c>
      <c r="C6935" t="s">
        <v>38</v>
      </c>
      <c r="D6935" t="s">
        <v>225</v>
      </c>
      <c r="E6935" s="2">
        <v>5</v>
      </c>
      <c r="F6935" s="4">
        <v>5</v>
      </c>
      <c r="G6935" s="2">
        <v>25</v>
      </c>
      <c r="H6935" t="s">
        <v>25</v>
      </c>
      <c r="I6935" t="s">
        <v>36</v>
      </c>
      <c r="J6935" s="1">
        <v>44564</v>
      </c>
      <c r="K6935" t="b">
        <v>1</v>
      </c>
    </row>
    <row r="6936" spans="1:11" x14ac:dyDescent="0.25">
      <c r="A6936" t="s">
        <v>3369</v>
      </c>
      <c r="B6936" t="s">
        <v>97</v>
      </c>
      <c r="C6936" t="s">
        <v>110</v>
      </c>
      <c r="D6936" t="s">
        <v>253</v>
      </c>
      <c r="E6936" s="2">
        <v>24.5</v>
      </c>
      <c r="F6936" s="4">
        <v>1</v>
      </c>
      <c r="G6936" s="2">
        <v>24.5</v>
      </c>
      <c r="H6936" t="s">
        <v>15</v>
      </c>
      <c r="I6936" t="s">
        <v>16</v>
      </c>
      <c r="J6936" s="1">
        <v>45362</v>
      </c>
      <c r="K6936" t="b">
        <v>1</v>
      </c>
    </row>
    <row r="6937" spans="1:11" x14ac:dyDescent="0.25">
      <c r="A6937" t="s">
        <v>2080</v>
      </c>
      <c r="B6937" t="s">
        <v>66</v>
      </c>
      <c r="C6937" t="s">
        <v>27</v>
      </c>
      <c r="D6937" t="s">
        <v>170</v>
      </c>
      <c r="E6937" s="2">
        <v>24.5</v>
      </c>
      <c r="F6937" s="4">
        <v>1</v>
      </c>
      <c r="G6937" s="2">
        <v>24.5</v>
      </c>
      <c r="H6937" t="s">
        <v>25</v>
      </c>
      <c r="I6937" t="s">
        <v>36</v>
      </c>
      <c r="J6937" s="1">
        <v>45123</v>
      </c>
      <c r="K6937" t="b">
        <v>1</v>
      </c>
    </row>
    <row r="6938" spans="1:11" x14ac:dyDescent="0.25">
      <c r="A6938" t="s">
        <v>5552</v>
      </c>
      <c r="B6938" t="s">
        <v>12</v>
      </c>
      <c r="C6938" t="s">
        <v>110</v>
      </c>
      <c r="D6938" t="s">
        <v>253</v>
      </c>
      <c r="E6938" s="2">
        <v>24.5</v>
      </c>
      <c r="F6938" s="4">
        <v>1</v>
      </c>
      <c r="G6938" s="2">
        <v>24.5</v>
      </c>
      <c r="H6938" t="s">
        <v>15</v>
      </c>
      <c r="I6938" t="s">
        <v>36</v>
      </c>
      <c r="J6938" s="1">
        <v>44746</v>
      </c>
      <c r="K6938" t="b">
        <v>0</v>
      </c>
    </row>
    <row r="6939" spans="1:11" x14ac:dyDescent="0.25">
      <c r="A6939" t="s">
        <v>3568</v>
      </c>
      <c r="B6939" t="s">
        <v>30</v>
      </c>
      <c r="C6939" t="s">
        <v>38</v>
      </c>
      <c r="D6939" t="s">
        <v>70</v>
      </c>
      <c r="E6939" s="2">
        <v>24.5</v>
      </c>
      <c r="F6939" s="4">
        <v>1</v>
      </c>
      <c r="G6939" s="2">
        <v>24.5</v>
      </c>
      <c r="H6939" t="s">
        <v>45</v>
      </c>
      <c r="I6939" t="s">
        <v>36</v>
      </c>
      <c r="J6939" s="1">
        <v>45586</v>
      </c>
      <c r="K6939" t="b">
        <v>0</v>
      </c>
    </row>
    <row r="6940" spans="1:11" x14ac:dyDescent="0.25">
      <c r="A6940" t="s">
        <v>5028</v>
      </c>
      <c r="B6940" t="s">
        <v>63</v>
      </c>
      <c r="C6940" t="s">
        <v>31</v>
      </c>
      <c r="D6940" t="s">
        <v>78</v>
      </c>
      <c r="E6940" s="2">
        <v>24.5</v>
      </c>
      <c r="F6940" s="4">
        <v>1</v>
      </c>
      <c r="G6940" s="2">
        <v>24.5</v>
      </c>
      <c r="H6940" t="s">
        <v>15</v>
      </c>
      <c r="I6940" t="s">
        <v>16</v>
      </c>
      <c r="J6940" s="1">
        <v>45122</v>
      </c>
      <c r="K6940" t="b">
        <v>1</v>
      </c>
    </row>
    <row r="6941" spans="1:11" x14ac:dyDescent="0.25">
      <c r="A6941" t="s">
        <v>6098</v>
      </c>
      <c r="B6941" t="s">
        <v>26</v>
      </c>
      <c r="C6941" t="s">
        <v>13</v>
      </c>
      <c r="D6941" t="s">
        <v>139</v>
      </c>
      <c r="E6941" s="2">
        <v>24.5</v>
      </c>
      <c r="F6941" s="4">
        <v>1</v>
      </c>
      <c r="G6941" s="2">
        <v>24.5</v>
      </c>
      <c r="H6941" t="s">
        <v>25</v>
      </c>
      <c r="I6941" t="s">
        <v>36</v>
      </c>
      <c r="J6941" s="1">
        <v>44970</v>
      </c>
      <c r="K6941" t="b">
        <v>1</v>
      </c>
    </row>
    <row r="6942" spans="1:11" x14ac:dyDescent="0.25">
      <c r="A6942" t="s">
        <v>1851</v>
      </c>
      <c r="B6942" t="s">
        <v>66</v>
      </c>
      <c r="C6942" t="s">
        <v>27</v>
      </c>
      <c r="D6942" t="s">
        <v>170</v>
      </c>
      <c r="E6942" s="2">
        <v>24.5</v>
      </c>
      <c r="F6942" s="4">
        <v>1</v>
      </c>
      <c r="G6942" s="2">
        <v>24.5</v>
      </c>
      <c r="H6942" t="s">
        <v>15</v>
      </c>
      <c r="I6942" t="s">
        <v>36</v>
      </c>
      <c r="J6942" s="1">
        <v>45420</v>
      </c>
      <c r="K6942" t="b">
        <v>1</v>
      </c>
    </row>
    <row r="6943" spans="1:11" x14ac:dyDescent="0.25">
      <c r="A6943" t="s">
        <v>1707</v>
      </c>
      <c r="B6943" t="s">
        <v>18</v>
      </c>
      <c r="C6943" t="s">
        <v>110</v>
      </c>
      <c r="D6943" t="s">
        <v>253</v>
      </c>
      <c r="E6943" s="2">
        <v>24.5</v>
      </c>
      <c r="F6943" s="4">
        <v>1</v>
      </c>
      <c r="G6943" s="2">
        <v>24.5</v>
      </c>
      <c r="H6943" t="s">
        <v>25</v>
      </c>
      <c r="I6943" t="s">
        <v>36</v>
      </c>
      <c r="J6943" s="1">
        <v>44624</v>
      </c>
      <c r="K6943" t="b">
        <v>0</v>
      </c>
    </row>
    <row r="6944" spans="1:11" x14ac:dyDescent="0.25">
      <c r="A6944" t="s">
        <v>6185</v>
      </c>
      <c r="B6944" t="s">
        <v>63</v>
      </c>
      <c r="C6944" t="s">
        <v>13</v>
      </c>
      <c r="D6944" t="s">
        <v>139</v>
      </c>
      <c r="E6944" s="2">
        <v>24.5</v>
      </c>
      <c r="F6944" s="4">
        <v>1</v>
      </c>
      <c r="G6944" s="2">
        <v>24.5</v>
      </c>
      <c r="H6944" t="s">
        <v>15</v>
      </c>
      <c r="I6944" t="s">
        <v>36</v>
      </c>
      <c r="J6944" s="1">
        <v>44787</v>
      </c>
      <c r="K6944" t="b">
        <v>1</v>
      </c>
    </row>
    <row r="6945" spans="1:11" x14ac:dyDescent="0.25">
      <c r="A6945" t="s">
        <v>1741</v>
      </c>
      <c r="B6945" t="s">
        <v>93</v>
      </c>
      <c r="C6945" t="s">
        <v>13</v>
      </c>
      <c r="D6945" t="s">
        <v>139</v>
      </c>
      <c r="E6945" s="2">
        <v>24.5</v>
      </c>
      <c r="F6945" s="4">
        <v>1</v>
      </c>
      <c r="G6945" s="2">
        <v>24.5</v>
      </c>
      <c r="H6945" t="s">
        <v>25</v>
      </c>
      <c r="I6945" t="s">
        <v>36</v>
      </c>
      <c r="J6945" s="1">
        <v>44990</v>
      </c>
      <c r="K6945" t="b">
        <v>0</v>
      </c>
    </row>
    <row r="6946" spans="1:11" x14ac:dyDescent="0.25">
      <c r="A6946" t="s">
        <v>2041</v>
      </c>
      <c r="B6946" t="s">
        <v>26</v>
      </c>
      <c r="C6946" t="s">
        <v>27</v>
      </c>
      <c r="D6946" t="s">
        <v>170</v>
      </c>
      <c r="E6946" s="2">
        <v>24.5</v>
      </c>
      <c r="F6946" s="4">
        <v>1</v>
      </c>
      <c r="G6946" s="2">
        <v>24.5</v>
      </c>
      <c r="H6946" t="s">
        <v>15</v>
      </c>
      <c r="I6946" t="s">
        <v>36</v>
      </c>
      <c r="J6946" s="1">
        <v>45456</v>
      </c>
      <c r="K6946" t="b">
        <v>0</v>
      </c>
    </row>
    <row r="6947" spans="1:11" x14ac:dyDescent="0.25">
      <c r="A6947" t="s">
        <v>4205</v>
      </c>
      <c r="B6947" t="s">
        <v>37</v>
      </c>
      <c r="C6947" t="s">
        <v>110</v>
      </c>
      <c r="D6947" t="s">
        <v>253</v>
      </c>
      <c r="E6947" s="2">
        <v>24.5</v>
      </c>
      <c r="F6947" s="4">
        <v>1</v>
      </c>
      <c r="G6947" s="2">
        <v>24.5</v>
      </c>
      <c r="H6947" t="s">
        <v>45</v>
      </c>
      <c r="I6947" t="s">
        <v>16</v>
      </c>
      <c r="J6947" s="1">
        <v>45295</v>
      </c>
      <c r="K6947" t="b">
        <v>1</v>
      </c>
    </row>
    <row r="6948" spans="1:11" x14ac:dyDescent="0.25">
      <c r="A6948" t="s">
        <v>7422</v>
      </c>
      <c r="B6948" t="s">
        <v>30</v>
      </c>
      <c r="C6948" t="s">
        <v>27</v>
      </c>
      <c r="D6948" t="s">
        <v>170</v>
      </c>
      <c r="E6948" s="2">
        <v>24.5</v>
      </c>
      <c r="F6948" s="4">
        <v>1</v>
      </c>
      <c r="G6948" s="2">
        <v>24.5</v>
      </c>
      <c r="H6948" t="s">
        <v>25</v>
      </c>
      <c r="I6948" t="s">
        <v>36</v>
      </c>
      <c r="J6948" s="1">
        <v>45407</v>
      </c>
      <c r="K6948" t="b">
        <v>1</v>
      </c>
    </row>
    <row r="6949" spans="1:11" x14ac:dyDescent="0.25">
      <c r="A6949" t="s">
        <v>6057</v>
      </c>
      <c r="B6949" t="s">
        <v>97</v>
      </c>
      <c r="C6949" t="s">
        <v>110</v>
      </c>
      <c r="D6949" t="s">
        <v>253</v>
      </c>
      <c r="E6949" s="2">
        <v>24.5</v>
      </c>
      <c r="F6949" s="4">
        <v>1</v>
      </c>
      <c r="G6949" s="2">
        <v>24.5</v>
      </c>
      <c r="H6949" t="s">
        <v>45</v>
      </c>
      <c r="I6949" t="s">
        <v>36</v>
      </c>
      <c r="J6949" s="1">
        <v>45152</v>
      </c>
      <c r="K6949" t="b">
        <v>1</v>
      </c>
    </row>
    <row r="6950" spans="1:11" x14ac:dyDescent="0.25">
      <c r="A6950" t="s">
        <v>5554</v>
      </c>
      <c r="B6950" t="s">
        <v>56</v>
      </c>
      <c r="C6950" t="s">
        <v>31</v>
      </c>
      <c r="D6950" t="s">
        <v>78</v>
      </c>
      <c r="E6950" s="2">
        <v>24.5</v>
      </c>
      <c r="F6950" s="4">
        <v>1</v>
      </c>
      <c r="G6950" s="2">
        <v>24.5</v>
      </c>
      <c r="H6950" t="s">
        <v>15</v>
      </c>
      <c r="I6950" t="s">
        <v>36</v>
      </c>
      <c r="J6950" s="1">
        <v>45319</v>
      </c>
      <c r="K6950" t="b">
        <v>0</v>
      </c>
    </row>
    <row r="6951" spans="1:11" x14ac:dyDescent="0.25">
      <c r="A6951" t="s">
        <v>5025</v>
      </c>
      <c r="B6951" t="s">
        <v>43</v>
      </c>
      <c r="C6951" t="s">
        <v>13</v>
      </c>
      <c r="D6951" t="s">
        <v>139</v>
      </c>
      <c r="E6951" s="2">
        <v>24.5</v>
      </c>
      <c r="F6951" s="4">
        <v>1</v>
      </c>
      <c r="G6951" s="2">
        <v>24.5</v>
      </c>
      <c r="H6951" t="s">
        <v>15</v>
      </c>
      <c r="I6951" t="s">
        <v>36</v>
      </c>
      <c r="J6951" s="1">
        <v>44662</v>
      </c>
      <c r="K6951" t="b">
        <v>0</v>
      </c>
    </row>
    <row r="6952" spans="1:11" x14ac:dyDescent="0.25">
      <c r="A6952" t="s">
        <v>979</v>
      </c>
      <c r="B6952" t="s">
        <v>93</v>
      </c>
      <c r="C6952" t="s">
        <v>38</v>
      </c>
      <c r="D6952" t="s">
        <v>70</v>
      </c>
      <c r="E6952" s="2">
        <v>24.5</v>
      </c>
      <c r="F6952" s="4">
        <v>1</v>
      </c>
      <c r="G6952" s="2">
        <v>24.5</v>
      </c>
      <c r="H6952" t="s">
        <v>25</v>
      </c>
      <c r="I6952" t="s">
        <v>16</v>
      </c>
      <c r="J6952" s="1">
        <v>44627</v>
      </c>
      <c r="K6952" t="b">
        <v>0</v>
      </c>
    </row>
    <row r="6953" spans="1:11" x14ac:dyDescent="0.25">
      <c r="A6953" t="s">
        <v>7300</v>
      </c>
      <c r="B6953" t="s">
        <v>22</v>
      </c>
      <c r="C6953" t="s">
        <v>13</v>
      </c>
      <c r="D6953" t="s">
        <v>139</v>
      </c>
      <c r="E6953" s="2">
        <v>24.5</v>
      </c>
      <c r="F6953" s="4">
        <v>1</v>
      </c>
      <c r="G6953" s="2">
        <v>24.5</v>
      </c>
      <c r="H6953" t="s">
        <v>25</v>
      </c>
      <c r="I6953" t="s">
        <v>16</v>
      </c>
      <c r="J6953" s="1">
        <v>45594</v>
      </c>
      <c r="K6953" t="b">
        <v>1</v>
      </c>
    </row>
    <row r="6954" spans="1:11" x14ac:dyDescent="0.25">
      <c r="A6954" t="s">
        <v>5280</v>
      </c>
      <c r="B6954" t="s">
        <v>85</v>
      </c>
      <c r="C6954" t="s">
        <v>31</v>
      </c>
      <c r="D6954" t="s">
        <v>106</v>
      </c>
      <c r="E6954" s="2">
        <v>8</v>
      </c>
      <c r="F6954" s="4">
        <v>3</v>
      </c>
      <c r="G6954" s="2">
        <v>24</v>
      </c>
      <c r="H6954" t="s">
        <v>15</v>
      </c>
      <c r="I6954" t="s">
        <v>36</v>
      </c>
      <c r="J6954" s="1">
        <v>44980</v>
      </c>
      <c r="K6954" t="b">
        <v>1</v>
      </c>
    </row>
    <row r="6955" spans="1:11" x14ac:dyDescent="0.25">
      <c r="A6955" t="s">
        <v>1805</v>
      </c>
      <c r="B6955" t="s">
        <v>18</v>
      </c>
      <c r="C6955" t="s">
        <v>110</v>
      </c>
      <c r="D6955" t="s">
        <v>741</v>
      </c>
      <c r="E6955" s="2">
        <v>8</v>
      </c>
      <c r="F6955" s="4">
        <v>3</v>
      </c>
      <c r="G6955" s="2">
        <v>24</v>
      </c>
      <c r="H6955" t="s">
        <v>15</v>
      </c>
      <c r="I6955" t="s">
        <v>36</v>
      </c>
      <c r="J6955" s="1">
        <v>45314</v>
      </c>
      <c r="K6955" t="b">
        <v>1</v>
      </c>
    </row>
    <row r="6956" spans="1:11" x14ac:dyDescent="0.25">
      <c r="A6956" t="s">
        <v>5333</v>
      </c>
      <c r="B6956" t="s">
        <v>30</v>
      </c>
      <c r="C6956" t="s">
        <v>110</v>
      </c>
      <c r="D6956" t="s">
        <v>741</v>
      </c>
      <c r="E6956" s="2">
        <v>8</v>
      </c>
      <c r="F6956" s="4">
        <v>3</v>
      </c>
      <c r="G6956" s="2">
        <v>24</v>
      </c>
      <c r="H6956" t="s">
        <v>15</v>
      </c>
      <c r="I6956" t="s">
        <v>36</v>
      </c>
      <c r="J6956" s="1">
        <v>45109</v>
      </c>
      <c r="K6956" t="b">
        <v>0</v>
      </c>
    </row>
    <row r="6957" spans="1:11" x14ac:dyDescent="0.25">
      <c r="A6957" t="s">
        <v>1029</v>
      </c>
      <c r="B6957" t="s">
        <v>66</v>
      </c>
      <c r="C6957" t="s">
        <v>19</v>
      </c>
      <c r="D6957" t="s">
        <v>226</v>
      </c>
      <c r="E6957" s="2">
        <v>8</v>
      </c>
      <c r="F6957" s="4">
        <v>3</v>
      </c>
      <c r="G6957" s="2">
        <v>24</v>
      </c>
      <c r="H6957" t="s">
        <v>25</v>
      </c>
      <c r="I6957" t="s">
        <v>36</v>
      </c>
      <c r="J6957" s="1">
        <v>45638</v>
      </c>
      <c r="K6957" t="b">
        <v>0</v>
      </c>
    </row>
    <row r="6958" spans="1:11" x14ac:dyDescent="0.25">
      <c r="A6958" t="s">
        <v>7393</v>
      </c>
      <c r="B6958" t="s">
        <v>85</v>
      </c>
      <c r="C6958" t="s">
        <v>27</v>
      </c>
      <c r="D6958" t="s">
        <v>357</v>
      </c>
      <c r="E6958" s="2">
        <v>8</v>
      </c>
      <c r="F6958" s="4">
        <v>3</v>
      </c>
      <c r="G6958" s="2">
        <v>24</v>
      </c>
      <c r="H6958" t="s">
        <v>25</v>
      </c>
      <c r="I6958" t="s">
        <v>36</v>
      </c>
      <c r="J6958" s="1">
        <v>45310</v>
      </c>
      <c r="K6958" t="b">
        <v>1</v>
      </c>
    </row>
    <row r="6959" spans="1:11" x14ac:dyDescent="0.25">
      <c r="A6959" t="s">
        <v>4531</v>
      </c>
      <c r="B6959" t="s">
        <v>37</v>
      </c>
      <c r="C6959" t="s">
        <v>31</v>
      </c>
      <c r="D6959" t="s">
        <v>106</v>
      </c>
      <c r="E6959" s="2">
        <v>8</v>
      </c>
      <c r="F6959" s="4">
        <v>3</v>
      </c>
      <c r="G6959" s="2">
        <v>24</v>
      </c>
      <c r="H6959" t="s">
        <v>25</v>
      </c>
      <c r="I6959" t="s">
        <v>16</v>
      </c>
      <c r="J6959" s="1">
        <v>45051</v>
      </c>
      <c r="K6959" t="b">
        <v>1</v>
      </c>
    </row>
    <row r="6960" spans="1:11" x14ac:dyDescent="0.25">
      <c r="A6960" t="s">
        <v>2319</v>
      </c>
      <c r="B6960" t="s">
        <v>37</v>
      </c>
      <c r="C6960" t="s">
        <v>27</v>
      </c>
      <c r="D6960" t="s">
        <v>357</v>
      </c>
      <c r="E6960" s="2">
        <v>8</v>
      </c>
      <c r="F6960" s="4">
        <v>3</v>
      </c>
      <c r="G6960" s="2">
        <v>24</v>
      </c>
      <c r="H6960" t="s">
        <v>25</v>
      </c>
      <c r="I6960" t="s">
        <v>16</v>
      </c>
      <c r="J6960" s="1">
        <v>45619</v>
      </c>
      <c r="K6960" t="b">
        <v>1</v>
      </c>
    </row>
    <row r="6961" spans="1:11" x14ac:dyDescent="0.25">
      <c r="A6961" t="s">
        <v>3065</v>
      </c>
      <c r="B6961" t="s">
        <v>51</v>
      </c>
      <c r="C6961" t="s">
        <v>19</v>
      </c>
      <c r="D6961" t="s">
        <v>226</v>
      </c>
      <c r="E6961" s="2">
        <v>8</v>
      </c>
      <c r="F6961" s="4">
        <v>3</v>
      </c>
      <c r="G6961" s="2">
        <v>24</v>
      </c>
      <c r="H6961" t="s">
        <v>25</v>
      </c>
      <c r="I6961" t="s">
        <v>36</v>
      </c>
      <c r="J6961" s="1">
        <v>45135</v>
      </c>
      <c r="K6961" t="b">
        <v>1</v>
      </c>
    </row>
    <row r="6962" spans="1:11" x14ac:dyDescent="0.25">
      <c r="A6962" t="s">
        <v>4617</v>
      </c>
      <c r="B6962" t="s">
        <v>104</v>
      </c>
      <c r="C6962" t="s">
        <v>27</v>
      </c>
      <c r="D6962" t="s">
        <v>357</v>
      </c>
      <c r="E6962" s="2">
        <v>8</v>
      </c>
      <c r="F6962" s="4">
        <v>3</v>
      </c>
      <c r="G6962" s="2">
        <v>24</v>
      </c>
      <c r="H6962" t="s">
        <v>25</v>
      </c>
      <c r="I6962" t="s">
        <v>36</v>
      </c>
      <c r="J6962" s="1">
        <v>44976</v>
      </c>
      <c r="K6962" t="b">
        <v>1</v>
      </c>
    </row>
    <row r="6963" spans="1:11" x14ac:dyDescent="0.25">
      <c r="A6963" t="s">
        <v>4691</v>
      </c>
      <c r="B6963" t="s">
        <v>100</v>
      </c>
      <c r="C6963" t="s">
        <v>19</v>
      </c>
      <c r="D6963" t="s">
        <v>226</v>
      </c>
      <c r="E6963" s="2">
        <v>8</v>
      </c>
      <c r="F6963" s="4">
        <v>3</v>
      </c>
      <c r="G6963" s="2">
        <v>24</v>
      </c>
      <c r="H6963" t="s">
        <v>15</v>
      </c>
      <c r="I6963" t="s">
        <v>36</v>
      </c>
      <c r="J6963" s="1">
        <v>44746</v>
      </c>
      <c r="K6963" t="b">
        <v>1</v>
      </c>
    </row>
    <row r="6964" spans="1:11" x14ac:dyDescent="0.25">
      <c r="A6964" t="s">
        <v>5568</v>
      </c>
      <c r="B6964" t="s">
        <v>34</v>
      </c>
      <c r="C6964" t="s">
        <v>38</v>
      </c>
      <c r="D6964" t="s">
        <v>697</v>
      </c>
      <c r="E6964" s="2">
        <v>8</v>
      </c>
      <c r="F6964" s="4">
        <v>3</v>
      </c>
      <c r="G6964" s="2">
        <v>24</v>
      </c>
      <c r="H6964" t="s">
        <v>15</v>
      </c>
      <c r="I6964" t="s">
        <v>36</v>
      </c>
      <c r="J6964" s="1">
        <v>45659</v>
      </c>
      <c r="K6964" t="b">
        <v>1</v>
      </c>
    </row>
    <row r="6965" spans="1:11" x14ac:dyDescent="0.25">
      <c r="A6965" t="s">
        <v>7679</v>
      </c>
      <c r="B6965" t="s">
        <v>58</v>
      </c>
      <c r="C6965" t="s">
        <v>27</v>
      </c>
      <c r="D6965" t="s">
        <v>357</v>
      </c>
      <c r="E6965" s="2">
        <v>8</v>
      </c>
      <c r="F6965" s="4">
        <v>3</v>
      </c>
      <c r="G6965" s="2">
        <v>24</v>
      </c>
      <c r="H6965" t="s">
        <v>15</v>
      </c>
      <c r="I6965" t="s">
        <v>36</v>
      </c>
      <c r="J6965" s="1">
        <v>44664</v>
      </c>
      <c r="K6965" t="b">
        <v>0</v>
      </c>
    </row>
    <row r="6966" spans="1:11" x14ac:dyDescent="0.25">
      <c r="A6966" t="s">
        <v>2895</v>
      </c>
      <c r="B6966" t="s">
        <v>72</v>
      </c>
      <c r="C6966" t="s">
        <v>19</v>
      </c>
      <c r="D6966" t="s">
        <v>226</v>
      </c>
      <c r="E6966" s="2">
        <v>8</v>
      </c>
      <c r="F6966" s="4">
        <v>3</v>
      </c>
      <c r="G6966" s="2">
        <v>24</v>
      </c>
      <c r="H6966" t="s">
        <v>15</v>
      </c>
      <c r="I6966" t="s">
        <v>36</v>
      </c>
      <c r="J6966" s="1">
        <v>44934</v>
      </c>
      <c r="K6966" t="b">
        <v>1</v>
      </c>
    </row>
    <row r="6967" spans="1:11" x14ac:dyDescent="0.25">
      <c r="A6967" t="s">
        <v>2153</v>
      </c>
      <c r="B6967" t="s">
        <v>93</v>
      </c>
      <c r="C6967" t="s">
        <v>27</v>
      </c>
      <c r="D6967" t="s">
        <v>357</v>
      </c>
      <c r="E6967" s="2">
        <v>8</v>
      </c>
      <c r="F6967" s="4">
        <v>3</v>
      </c>
      <c r="G6967" s="2">
        <v>24</v>
      </c>
      <c r="H6967" t="s">
        <v>45</v>
      </c>
      <c r="I6967" t="s">
        <v>36</v>
      </c>
      <c r="J6967" s="1">
        <v>45064</v>
      </c>
      <c r="K6967" t="b">
        <v>0</v>
      </c>
    </row>
    <row r="6968" spans="1:11" x14ac:dyDescent="0.25">
      <c r="A6968" t="s">
        <v>3995</v>
      </c>
      <c r="B6968" t="s">
        <v>104</v>
      </c>
      <c r="C6968" t="s">
        <v>19</v>
      </c>
      <c r="D6968" t="s">
        <v>226</v>
      </c>
      <c r="E6968" s="2">
        <v>8</v>
      </c>
      <c r="F6968" s="4">
        <v>3</v>
      </c>
      <c r="G6968" s="2">
        <v>24</v>
      </c>
      <c r="H6968" t="s">
        <v>45</v>
      </c>
      <c r="I6968" t="s">
        <v>16</v>
      </c>
      <c r="J6968" s="1">
        <v>45637</v>
      </c>
      <c r="K6968" t="b">
        <v>0</v>
      </c>
    </row>
    <row r="6969" spans="1:11" x14ac:dyDescent="0.25">
      <c r="A6969" t="s">
        <v>4677</v>
      </c>
      <c r="B6969" t="s">
        <v>97</v>
      </c>
      <c r="C6969" t="s">
        <v>27</v>
      </c>
      <c r="D6969" t="s">
        <v>357</v>
      </c>
      <c r="E6969" s="2">
        <v>8</v>
      </c>
      <c r="F6969" s="4">
        <v>3</v>
      </c>
      <c r="G6969" s="2">
        <v>24</v>
      </c>
      <c r="H6969" t="s">
        <v>25</v>
      </c>
      <c r="I6969" t="s">
        <v>36</v>
      </c>
      <c r="J6969" s="1">
        <v>44979</v>
      </c>
      <c r="K6969" t="b">
        <v>1</v>
      </c>
    </row>
    <row r="6970" spans="1:11" x14ac:dyDescent="0.25">
      <c r="A6970" t="s">
        <v>1289</v>
      </c>
      <c r="B6970" t="s">
        <v>30</v>
      </c>
      <c r="C6970" t="s">
        <v>23</v>
      </c>
      <c r="D6970" t="s">
        <v>47</v>
      </c>
      <c r="E6970" s="2">
        <v>8</v>
      </c>
      <c r="F6970" s="4">
        <v>3</v>
      </c>
      <c r="G6970" s="2">
        <v>24</v>
      </c>
      <c r="H6970" t="s">
        <v>15</v>
      </c>
      <c r="I6970" t="s">
        <v>16</v>
      </c>
      <c r="J6970" s="1">
        <v>44768</v>
      </c>
      <c r="K6970" t="b">
        <v>0</v>
      </c>
    </row>
    <row r="6971" spans="1:11" x14ac:dyDescent="0.25">
      <c r="A6971" t="s">
        <v>2992</v>
      </c>
      <c r="B6971" t="s">
        <v>86</v>
      </c>
      <c r="C6971" t="s">
        <v>19</v>
      </c>
      <c r="D6971" t="s">
        <v>226</v>
      </c>
      <c r="E6971" s="2">
        <v>8</v>
      </c>
      <c r="F6971" s="4">
        <v>3</v>
      </c>
      <c r="G6971" s="2">
        <v>24</v>
      </c>
      <c r="H6971" t="s">
        <v>15</v>
      </c>
      <c r="I6971" t="s">
        <v>16</v>
      </c>
      <c r="J6971" s="1">
        <v>45185</v>
      </c>
      <c r="K6971" t="b">
        <v>0</v>
      </c>
    </row>
    <row r="6972" spans="1:11" x14ac:dyDescent="0.25">
      <c r="A6972" t="s">
        <v>2297</v>
      </c>
      <c r="B6972" t="s">
        <v>51</v>
      </c>
      <c r="C6972" t="s">
        <v>19</v>
      </c>
      <c r="D6972" t="s">
        <v>226</v>
      </c>
      <c r="E6972" s="2">
        <v>8</v>
      </c>
      <c r="F6972" s="4">
        <v>3</v>
      </c>
      <c r="G6972" s="2">
        <v>24</v>
      </c>
      <c r="H6972" t="s">
        <v>45</v>
      </c>
      <c r="I6972" t="s">
        <v>36</v>
      </c>
      <c r="J6972" s="1">
        <v>44987</v>
      </c>
      <c r="K6972" t="b">
        <v>1</v>
      </c>
    </row>
    <row r="6973" spans="1:11" x14ac:dyDescent="0.25">
      <c r="A6973" t="s">
        <v>3622</v>
      </c>
      <c r="B6973" t="s">
        <v>72</v>
      </c>
      <c r="C6973" t="s">
        <v>19</v>
      </c>
      <c r="D6973" t="s">
        <v>226</v>
      </c>
      <c r="E6973" s="2">
        <v>8</v>
      </c>
      <c r="F6973" s="4">
        <v>3</v>
      </c>
      <c r="G6973" s="2">
        <v>24</v>
      </c>
      <c r="H6973" t="s">
        <v>15</v>
      </c>
      <c r="I6973" t="s">
        <v>16</v>
      </c>
      <c r="J6973" s="1">
        <v>45076</v>
      </c>
      <c r="K6973" t="b">
        <v>1</v>
      </c>
    </row>
    <row r="6974" spans="1:11" x14ac:dyDescent="0.25">
      <c r="A6974" t="s">
        <v>5785</v>
      </c>
      <c r="B6974" t="s">
        <v>72</v>
      </c>
      <c r="C6974" t="s">
        <v>110</v>
      </c>
      <c r="D6974" t="s">
        <v>741</v>
      </c>
      <c r="E6974" s="2">
        <v>8</v>
      </c>
      <c r="F6974" s="4">
        <v>3</v>
      </c>
      <c r="G6974" s="2">
        <v>24</v>
      </c>
      <c r="H6974" t="s">
        <v>25</v>
      </c>
      <c r="I6974" t="s">
        <v>16</v>
      </c>
      <c r="J6974" s="1">
        <v>44738</v>
      </c>
      <c r="K6974" t="b">
        <v>0</v>
      </c>
    </row>
    <row r="6975" spans="1:11" x14ac:dyDescent="0.25">
      <c r="A6975" t="s">
        <v>6381</v>
      </c>
      <c r="B6975" t="s">
        <v>30</v>
      </c>
      <c r="C6975" t="s">
        <v>19</v>
      </c>
      <c r="D6975" t="s">
        <v>226</v>
      </c>
      <c r="E6975" s="2">
        <v>8</v>
      </c>
      <c r="F6975" s="4">
        <v>3</v>
      </c>
      <c r="G6975" s="2">
        <v>24</v>
      </c>
      <c r="H6975" t="s">
        <v>25</v>
      </c>
      <c r="I6975" t="s">
        <v>36</v>
      </c>
      <c r="J6975" s="1">
        <v>44652</v>
      </c>
      <c r="K6975" t="b">
        <v>0</v>
      </c>
    </row>
    <row r="6976" spans="1:11" x14ac:dyDescent="0.25">
      <c r="A6976" t="s">
        <v>3742</v>
      </c>
      <c r="B6976" t="s">
        <v>40</v>
      </c>
      <c r="C6976" t="s">
        <v>23</v>
      </c>
      <c r="D6976" t="s">
        <v>47</v>
      </c>
      <c r="E6976" s="2">
        <v>8</v>
      </c>
      <c r="F6976" s="4">
        <v>3</v>
      </c>
      <c r="G6976" s="2">
        <v>24</v>
      </c>
      <c r="H6976" t="s">
        <v>45</v>
      </c>
      <c r="I6976" t="s">
        <v>16</v>
      </c>
      <c r="J6976" s="1">
        <v>44943</v>
      </c>
      <c r="K6976" t="b">
        <v>0</v>
      </c>
    </row>
    <row r="6977" spans="1:11" x14ac:dyDescent="0.25">
      <c r="A6977" t="s">
        <v>1250</v>
      </c>
      <c r="B6977" t="s">
        <v>69</v>
      </c>
      <c r="C6977" t="s">
        <v>19</v>
      </c>
      <c r="D6977" t="s">
        <v>226</v>
      </c>
      <c r="E6977" s="2">
        <v>8</v>
      </c>
      <c r="F6977" s="4">
        <v>3</v>
      </c>
      <c r="G6977" s="2">
        <v>24</v>
      </c>
      <c r="H6977" t="s">
        <v>25</v>
      </c>
      <c r="I6977" t="s">
        <v>16</v>
      </c>
      <c r="J6977" s="1">
        <v>44817</v>
      </c>
      <c r="K6977" t="b">
        <v>0</v>
      </c>
    </row>
    <row r="6978" spans="1:11" x14ac:dyDescent="0.25">
      <c r="A6978" t="s">
        <v>2558</v>
      </c>
      <c r="B6978" t="s">
        <v>77</v>
      </c>
      <c r="C6978" t="s">
        <v>19</v>
      </c>
      <c r="D6978" t="s">
        <v>226</v>
      </c>
      <c r="E6978" s="2">
        <v>8</v>
      </c>
      <c r="F6978" s="4">
        <v>3</v>
      </c>
      <c r="G6978" s="2">
        <v>24</v>
      </c>
      <c r="H6978" t="s">
        <v>15</v>
      </c>
      <c r="I6978" t="s">
        <v>16</v>
      </c>
      <c r="J6978" s="1">
        <v>45091</v>
      </c>
      <c r="K6978" t="b">
        <v>0</v>
      </c>
    </row>
    <row r="6979" spans="1:11" x14ac:dyDescent="0.25">
      <c r="A6979" t="s">
        <v>4372</v>
      </c>
      <c r="B6979" t="s">
        <v>86</v>
      </c>
      <c r="C6979" t="s">
        <v>19</v>
      </c>
      <c r="D6979" t="s">
        <v>226</v>
      </c>
      <c r="E6979" s="2">
        <v>8</v>
      </c>
      <c r="F6979" s="4">
        <v>3</v>
      </c>
      <c r="G6979" s="2">
        <v>24</v>
      </c>
      <c r="H6979" t="s">
        <v>15</v>
      </c>
      <c r="I6979" t="s">
        <v>16</v>
      </c>
      <c r="J6979" s="1">
        <v>45652</v>
      </c>
      <c r="K6979" t="b">
        <v>1</v>
      </c>
    </row>
    <row r="6980" spans="1:11" x14ac:dyDescent="0.25">
      <c r="A6980" t="s">
        <v>2110</v>
      </c>
      <c r="B6980" t="s">
        <v>61</v>
      </c>
      <c r="C6980" t="s">
        <v>27</v>
      </c>
      <c r="D6980" t="s">
        <v>357</v>
      </c>
      <c r="E6980" s="2">
        <v>8</v>
      </c>
      <c r="F6980" s="4">
        <v>3</v>
      </c>
      <c r="G6980" s="2">
        <v>24</v>
      </c>
      <c r="H6980" t="s">
        <v>25</v>
      </c>
      <c r="I6980" t="s">
        <v>16</v>
      </c>
      <c r="J6980" s="1">
        <v>44860</v>
      </c>
      <c r="K6980" t="b">
        <v>0</v>
      </c>
    </row>
    <row r="6981" spans="1:11" x14ac:dyDescent="0.25">
      <c r="A6981" t="s">
        <v>6721</v>
      </c>
      <c r="B6981" t="s">
        <v>69</v>
      </c>
      <c r="C6981" t="s">
        <v>31</v>
      </c>
      <c r="D6981" t="s">
        <v>106</v>
      </c>
      <c r="E6981" s="2">
        <v>8</v>
      </c>
      <c r="F6981" s="4">
        <v>3</v>
      </c>
      <c r="G6981" s="2">
        <v>24</v>
      </c>
      <c r="H6981" t="s">
        <v>25</v>
      </c>
      <c r="I6981" t="s">
        <v>16</v>
      </c>
      <c r="J6981" s="1">
        <v>45258</v>
      </c>
      <c r="K6981" t="b">
        <v>1</v>
      </c>
    </row>
    <row r="6982" spans="1:11" x14ac:dyDescent="0.25">
      <c r="A6982" t="s">
        <v>1992</v>
      </c>
      <c r="B6982" t="s">
        <v>30</v>
      </c>
      <c r="C6982" t="s">
        <v>23</v>
      </c>
      <c r="D6982" t="s">
        <v>47</v>
      </c>
      <c r="E6982" s="2">
        <v>8</v>
      </c>
      <c r="F6982" s="4">
        <v>3</v>
      </c>
      <c r="G6982" s="2">
        <v>24</v>
      </c>
      <c r="H6982" t="s">
        <v>25</v>
      </c>
      <c r="I6982" t="s">
        <v>16</v>
      </c>
      <c r="J6982" s="1">
        <v>44858</v>
      </c>
      <c r="K6982" t="b">
        <v>0</v>
      </c>
    </row>
    <row r="6983" spans="1:11" x14ac:dyDescent="0.25">
      <c r="A6983" t="s">
        <v>6436</v>
      </c>
      <c r="B6983" t="s">
        <v>63</v>
      </c>
      <c r="C6983" t="s">
        <v>31</v>
      </c>
      <c r="D6983" t="s">
        <v>106</v>
      </c>
      <c r="E6983" s="2">
        <v>8</v>
      </c>
      <c r="F6983" s="4">
        <v>3</v>
      </c>
      <c r="G6983" s="2">
        <v>24</v>
      </c>
      <c r="H6983" t="s">
        <v>45</v>
      </c>
      <c r="I6983" t="s">
        <v>16</v>
      </c>
      <c r="J6983" s="1">
        <v>44789</v>
      </c>
      <c r="K6983" t="b">
        <v>0</v>
      </c>
    </row>
    <row r="6984" spans="1:11" x14ac:dyDescent="0.25">
      <c r="A6984" t="s">
        <v>6898</v>
      </c>
      <c r="B6984" t="s">
        <v>77</v>
      </c>
      <c r="C6984" t="s">
        <v>19</v>
      </c>
      <c r="D6984" t="s">
        <v>226</v>
      </c>
      <c r="E6984" s="2">
        <v>8</v>
      </c>
      <c r="F6984" s="4">
        <v>3</v>
      </c>
      <c r="G6984" s="2">
        <v>24</v>
      </c>
      <c r="H6984" t="s">
        <v>15</v>
      </c>
      <c r="I6984" t="s">
        <v>16</v>
      </c>
      <c r="J6984" s="1">
        <v>45232</v>
      </c>
      <c r="K6984" t="b">
        <v>0</v>
      </c>
    </row>
    <row r="6985" spans="1:11" x14ac:dyDescent="0.25">
      <c r="A6985" t="s">
        <v>7214</v>
      </c>
      <c r="B6985" t="s">
        <v>22</v>
      </c>
      <c r="C6985" t="s">
        <v>38</v>
      </c>
      <c r="D6985" t="s">
        <v>697</v>
      </c>
      <c r="E6985" s="2">
        <v>8</v>
      </c>
      <c r="F6985" s="4">
        <v>3</v>
      </c>
      <c r="G6985" s="2">
        <v>24</v>
      </c>
      <c r="H6985" t="s">
        <v>15</v>
      </c>
      <c r="I6985" t="s">
        <v>36</v>
      </c>
      <c r="J6985" s="1">
        <v>45108</v>
      </c>
      <c r="K6985" t="b">
        <v>1</v>
      </c>
    </row>
    <row r="6986" spans="1:11" x14ac:dyDescent="0.25">
      <c r="A6986" t="s">
        <v>4571</v>
      </c>
      <c r="B6986" t="s">
        <v>85</v>
      </c>
      <c r="C6986" t="s">
        <v>110</v>
      </c>
      <c r="D6986" t="s">
        <v>232</v>
      </c>
      <c r="E6986" s="2">
        <v>23</v>
      </c>
      <c r="F6986" s="4">
        <v>1</v>
      </c>
      <c r="G6986" s="2">
        <v>23</v>
      </c>
      <c r="H6986" t="s">
        <v>45</v>
      </c>
      <c r="I6986" t="s">
        <v>16</v>
      </c>
      <c r="J6986" s="1">
        <v>45517</v>
      </c>
      <c r="K6986" t="b">
        <v>1</v>
      </c>
    </row>
    <row r="6987" spans="1:11" x14ac:dyDescent="0.25">
      <c r="A6987" t="s">
        <v>6900</v>
      </c>
      <c r="B6987" t="s">
        <v>37</v>
      </c>
      <c r="C6987" t="s">
        <v>59</v>
      </c>
      <c r="D6987" t="s">
        <v>60</v>
      </c>
      <c r="E6987" s="2">
        <v>23</v>
      </c>
      <c r="F6987" s="4">
        <v>1</v>
      </c>
      <c r="G6987" s="2">
        <v>23</v>
      </c>
      <c r="H6987" t="s">
        <v>25</v>
      </c>
      <c r="I6987" t="s">
        <v>16</v>
      </c>
      <c r="J6987" s="1">
        <v>45055</v>
      </c>
      <c r="K6987" t="b">
        <v>0</v>
      </c>
    </row>
    <row r="6988" spans="1:11" x14ac:dyDescent="0.25">
      <c r="A6988" t="s">
        <v>963</v>
      </c>
      <c r="B6988" t="s">
        <v>30</v>
      </c>
      <c r="C6988" t="s">
        <v>19</v>
      </c>
      <c r="D6988" t="s">
        <v>400</v>
      </c>
      <c r="E6988" s="2">
        <v>23</v>
      </c>
      <c r="F6988" s="4">
        <v>1</v>
      </c>
      <c r="G6988" s="2">
        <v>23</v>
      </c>
      <c r="H6988" t="s">
        <v>15</v>
      </c>
      <c r="I6988" t="s">
        <v>16</v>
      </c>
      <c r="J6988" s="1">
        <v>44960</v>
      </c>
      <c r="K6988" t="b">
        <v>1</v>
      </c>
    </row>
    <row r="6989" spans="1:11" x14ac:dyDescent="0.25">
      <c r="A6989" t="s">
        <v>6644</v>
      </c>
      <c r="B6989" t="s">
        <v>66</v>
      </c>
      <c r="C6989" t="s">
        <v>13</v>
      </c>
      <c r="D6989" t="s">
        <v>292</v>
      </c>
      <c r="E6989" s="2">
        <v>23</v>
      </c>
      <c r="F6989" s="4">
        <v>1</v>
      </c>
      <c r="G6989" s="2">
        <v>23</v>
      </c>
      <c r="H6989" t="s">
        <v>25</v>
      </c>
      <c r="I6989" t="s">
        <v>36</v>
      </c>
      <c r="J6989" s="1">
        <v>45641</v>
      </c>
      <c r="K6989" t="b">
        <v>0</v>
      </c>
    </row>
    <row r="6990" spans="1:11" x14ac:dyDescent="0.25">
      <c r="A6990" t="s">
        <v>1917</v>
      </c>
      <c r="B6990" t="s">
        <v>61</v>
      </c>
      <c r="C6990" t="s">
        <v>23</v>
      </c>
      <c r="D6990" t="s">
        <v>244</v>
      </c>
      <c r="E6990" s="2">
        <v>23</v>
      </c>
      <c r="F6990" s="4">
        <v>1</v>
      </c>
      <c r="G6990" s="2">
        <v>23</v>
      </c>
      <c r="H6990" t="s">
        <v>45</v>
      </c>
      <c r="I6990" t="s">
        <v>16</v>
      </c>
      <c r="J6990" s="1">
        <v>45183</v>
      </c>
      <c r="K6990" t="b">
        <v>0</v>
      </c>
    </row>
    <row r="6991" spans="1:11" x14ac:dyDescent="0.25">
      <c r="A6991" t="s">
        <v>2350</v>
      </c>
      <c r="B6991" t="s">
        <v>51</v>
      </c>
      <c r="C6991" t="s">
        <v>19</v>
      </c>
      <c r="D6991" t="s">
        <v>400</v>
      </c>
      <c r="E6991" s="2">
        <v>23</v>
      </c>
      <c r="F6991" s="4">
        <v>1</v>
      </c>
      <c r="G6991" s="2">
        <v>23</v>
      </c>
      <c r="H6991" t="s">
        <v>25</v>
      </c>
      <c r="I6991" t="s">
        <v>16</v>
      </c>
      <c r="J6991" s="1">
        <v>45182</v>
      </c>
      <c r="K6991" t="b">
        <v>0</v>
      </c>
    </row>
    <row r="6992" spans="1:11" x14ac:dyDescent="0.25">
      <c r="A6992" t="s">
        <v>1830</v>
      </c>
      <c r="B6992" t="s">
        <v>34</v>
      </c>
      <c r="C6992" t="s">
        <v>59</v>
      </c>
      <c r="D6992" t="s">
        <v>60</v>
      </c>
      <c r="E6992" s="2">
        <v>23</v>
      </c>
      <c r="F6992" s="4">
        <v>1</v>
      </c>
      <c r="G6992" s="2">
        <v>23</v>
      </c>
      <c r="H6992" t="s">
        <v>25</v>
      </c>
      <c r="I6992" t="s">
        <v>16</v>
      </c>
      <c r="J6992" s="1">
        <v>44753</v>
      </c>
      <c r="K6992" t="b">
        <v>0</v>
      </c>
    </row>
    <row r="6993" spans="1:11" x14ac:dyDescent="0.25">
      <c r="A6993" t="s">
        <v>3407</v>
      </c>
      <c r="B6993" t="s">
        <v>56</v>
      </c>
      <c r="C6993" t="s">
        <v>31</v>
      </c>
      <c r="D6993" t="s">
        <v>361</v>
      </c>
      <c r="E6993" s="2">
        <v>23</v>
      </c>
      <c r="F6993" s="4">
        <v>1</v>
      </c>
      <c r="G6993" s="2">
        <v>23</v>
      </c>
      <c r="H6993" t="s">
        <v>15</v>
      </c>
      <c r="I6993" t="s">
        <v>16</v>
      </c>
      <c r="J6993" s="1">
        <v>45518</v>
      </c>
      <c r="K6993" t="b">
        <v>0</v>
      </c>
    </row>
    <row r="6994" spans="1:11" x14ac:dyDescent="0.25">
      <c r="A6994" t="s">
        <v>6541</v>
      </c>
      <c r="B6994" t="s">
        <v>77</v>
      </c>
      <c r="C6994" t="s">
        <v>19</v>
      </c>
      <c r="D6994" t="s">
        <v>400</v>
      </c>
      <c r="E6994" s="2">
        <v>23</v>
      </c>
      <c r="F6994" s="4">
        <v>1</v>
      </c>
      <c r="G6994" s="2">
        <v>23</v>
      </c>
      <c r="H6994" t="s">
        <v>45</v>
      </c>
      <c r="I6994" t="s">
        <v>36</v>
      </c>
      <c r="J6994" s="1">
        <v>44691</v>
      </c>
      <c r="K6994" t="b">
        <v>0</v>
      </c>
    </row>
    <row r="6995" spans="1:11" x14ac:dyDescent="0.25">
      <c r="A6995" t="s">
        <v>4235</v>
      </c>
      <c r="B6995" t="s">
        <v>86</v>
      </c>
      <c r="C6995" t="s">
        <v>110</v>
      </c>
      <c r="D6995" t="s">
        <v>232</v>
      </c>
      <c r="E6995" s="2">
        <v>23</v>
      </c>
      <c r="F6995" s="4">
        <v>1</v>
      </c>
      <c r="G6995" s="2">
        <v>23</v>
      </c>
      <c r="H6995" t="s">
        <v>45</v>
      </c>
      <c r="I6995" t="s">
        <v>36</v>
      </c>
      <c r="J6995" s="1">
        <v>45585</v>
      </c>
      <c r="K6995" t="b">
        <v>0</v>
      </c>
    </row>
    <row r="6996" spans="1:11" x14ac:dyDescent="0.25">
      <c r="A6996" t="s">
        <v>1555</v>
      </c>
      <c r="B6996" t="s">
        <v>93</v>
      </c>
      <c r="C6996" t="s">
        <v>23</v>
      </c>
      <c r="D6996" t="s">
        <v>244</v>
      </c>
      <c r="E6996" s="2">
        <v>23</v>
      </c>
      <c r="F6996" s="4">
        <v>1</v>
      </c>
      <c r="G6996" s="2">
        <v>23</v>
      </c>
      <c r="H6996" t="s">
        <v>25</v>
      </c>
      <c r="I6996" t="s">
        <v>36</v>
      </c>
      <c r="J6996" s="1">
        <v>44773</v>
      </c>
      <c r="K6996" t="b">
        <v>1</v>
      </c>
    </row>
    <row r="6997" spans="1:11" x14ac:dyDescent="0.25">
      <c r="A6997" t="s">
        <v>4830</v>
      </c>
      <c r="B6997" t="s">
        <v>61</v>
      </c>
      <c r="C6997" t="s">
        <v>59</v>
      </c>
      <c r="D6997" t="s">
        <v>60</v>
      </c>
      <c r="E6997" s="2">
        <v>23</v>
      </c>
      <c r="F6997" s="4">
        <v>1</v>
      </c>
      <c r="G6997" s="2">
        <v>23</v>
      </c>
      <c r="H6997" t="s">
        <v>25</v>
      </c>
      <c r="I6997" t="s">
        <v>36</v>
      </c>
      <c r="J6997" s="1">
        <v>45599</v>
      </c>
      <c r="K6997" t="b">
        <v>1</v>
      </c>
    </row>
    <row r="6998" spans="1:11" x14ac:dyDescent="0.25">
      <c r="A6998" t="s">
        <v>57</v>
      </c>
      <c r="B6998" t="s">
        <v>58</v>
      </c>
      <c r="C6998" t="s">
        <v>59</v>
      </c>
      <c r="D6998" t="s">
        <v>60</v>
      </c>
      <c r="E6998" s="2">
        <v>23</v>
      </c>
      <c r="F6998" s="4">
        <v>1</v>
      </c>
      <c r="G6998" s="2">
        <v>23</v>
      </c>
      <c r="H6998" t="s">
        <v>15</v>
      </c>
      <c r="I6998" t="s">
        <v>36</v>
      </c>
      <c r="J6998" s="1">
        <v>44599</v>
      </c>
      <c r="K6998" t="b">
        <v>0</v>
      </c>
    </row>
    <row r="6999" spans="1:11" x14ac:dyDescent="0.25">
      <c r="A6999" t="s">
        <v>1278</v>
      </c>
      <c r="B6999" t="s">
        <v>30</v>
      </c>
      <c r="C6999" t="s">
        <v>31</v>
      </c>
      <c r="D6999" t="s">
        <v>361</v>
      </c>
      <c r="E6999" s="2">
        <v>23</v>
      </c>
      <c r="F6999" s="4">
        <v>1</v>
      </c>
      <c r="G6999" s="2">
        <v>23</v>
      </c>
      <c r="H6999" t="s">
        <v>25</v>
      </c>
      <c r="I6999" t="s">
        <v>16</v>
      </c>
      <c r="J6999" s="1">
        <v>44951</v>
      </c>
      <c r="K6999" t="b">
        <v>0</v>
      </c>
    </row>
    <row r="7000" spans="1:11" x14ac:dyDescent="0.25">
      <c r="A7000" t="s">
        <v>3079</v>
      </c>
      <c r="B7000" t="s">
        <v>66</v>
      </c>
      <c r="C7000" t="s">
        <v>110</v>
      </c>
      <c r="D7000" t="s">
        <v>232</v>
      </c>
      <c r="E7000" s="2">
        <v>23</v>
      </c>
      <c r="F7000" s="4">
        <v>1</v>
      </c>
      <c r="G7000" s="2">
        <v>23</v>
      </c>
      <c r="H7000" t="s">
        <v>15</v>
      </c>
      <c r="I7000" t="s">
        <v>36</v>
      </c>
      <c r="J7000" s="1">
        <v>45531</v>
      </c>
      <c r="K7000" t="b">
        <v>0</v>
      </c>
    </row>
    <row r="7001" spans="1:11" x14ac:dyDescent="0.25">
      <c r="A7001" t="s">
        <v>916</v>
      </c>
      <c r="B7001" t="s">
        <v>142</v>
      </c>
      <c r="C7001" t="s">
        <v>23</v>
      </c>
      <c r="D7001" t="s">
        <v>244</v>
      </c>
      <c r="E7001" s="2">
        <v>23</v>
      </c>
      <c r="F7001" s="4">
        <v>1</v>
      </c>
      <c r="G7001" s="2">
        <v>23</v>
      </c>
      <c r="H7001" t="s">
        <v>15</v>
      </c>
      <c r="I7001" t="s">
        <v>36</v>
      </c>
      <c r="J7001" s="1">
        <v>45556</v>
      </c>
      <c r="K7001" t="b">
        <v>0</v>
      </c>
    </row>
    <row r="7002" spans="1:11" x14ac:dyDescent="0.25">
      <c r="A7002" t="s">
        <v>4844</v>
      </c>
      <c r="B7002" t="s">
        <v>72</v>
      </c>
      <c r="C7002" t="s">
        <v>23</v>
      </c>
      <c r="D7002" t="s">
        <v>244</v>
      </c>
      <c r="E7002" s="2">
        <v>23</v>
      </c>
      <c r="F7002" s="4">
        <v>1</v>
      </c>
      <c r="G7002" s="2">
        <v>23</v>
      </c>
      <c r="H7002" t="s">
        <v>15</v>
      </c>
      <c r="I7002" t="s">
        <v>36</v>
      </c>
      <c r="J7002" s="1">
        <v>45553</v>
      </c>
      <c r="K7002" t="b">
        <v>0</v>
      </c>
    </row>
    <row r="7003" spans="1:11" x14ac:dyDescent="0.25">
      <c r="A7003" t="s">
        <v>1447</v>
      </c>
      <c r="B7003" t="s">
        <v>37</v>
      </c>
      <c r="C7003" t="s">
        <v>23</v>
      </c>
      <c r="D7003" t="s">
        <v>244</v>
      </c>
      <c r="E7003" s="2">
        <v>23</v>
      </c>
      <c r="F7003" s="4">
        <v>1</v>
      </c>
      <c r="G7003" s="2">
        <v>23</v>
      </c>
      <c r="H7003" t="s">
        <v>25</v>
      </c>
      <c r="I7003" t="s">
        <v>16</v>
      </c>
      <c r="J7003" s="1">
        <v>44597</v>
      </c>
      <c r="K7003" t="b">
        <v>1</v>
      </c>
    </row>
    <row r="7004" spans="1:11" x14ac:dyDescent="0.25">
      <c r="A7004" t="s">
        <v>1006</v>
      </c>
      <c r="B7004" t="s">
        <v>97</v>
      </c>
      <c r="C7004" t="s">
        <v>13</v>
      </c>
      <c r="D7004" t="s">
        <v>292</v>
      </c>
      <c r="E7004" s="2">
        <v>23</v>
      </c>
      <c r="F7004" s="4">
        <v>1</v>
      </c>
      <c r="G7004" s="2">
        <v>23</v>
      </c>
      <c r="H7004" t="s">
        <v>15</v>
      </c>
      <c r="I7004" t="s">
        <v>16</v>
      </c>
      <c r="J7004" s="1">
        <v>45228</v>
      </c>
      <c r="K7004" t="b">
        <v>0</v>
      </c>
    </row>
    <row r="7005" spans="1:11" x14ac:dyDescent="0.25">
      <c r="A7005" t="s">
        <v>4496</v>
      </c>
      <c r="B7005" t="s">
        <v>97</v>
      </c>
      <c r="C7005" t="s">
        <v>110</v>
      </c>
      <c r="D7005" t="s">
        <v>232</v>
      </c>
      <c r="E7005" s="2">
        <v>23</v>
      </c>
      <c r="F7005" s="4">
        <v>1</v>
      </c>
      <c r="G7005" s="2">
        <v>23</v>
      </c>
      <c r="H7005" t="s">
        <v>25</v>
      </c>
      <c r="I7005" t="s">
        <v>16</v>
      </c>
      <c r="J7005" s="1">
        <v>45498</v>
      </c>
      <c r="K7005" t="b">
        <v>1</v>
      </c>
    </row>
    <row r="7006" spans="1:11" x14ac:dyDescent="0.25">
      <c r="A7006" t="s">
        <v>7441</v>
      </c>
      <c r="B7006" t="s">
        <v>12</v>
      </c>
      <c r="C7006" t="s">
        <v>19</v>
      </c>
      <c r="D7006" t="s">
        <v>400</v>
      </c>
      <c r="E7006" s="2">
        <v>23</v>
      </c>
      <c r="F7006" s="4">
        <v>1</v>
      </c>
      <c r="G7006" s="2">
        <v>23</v>
      </c>
      <c r="H7006" t="s">
        <v>45</v>
      </c>
      <c r="I7006" t="s">
        <v>36</v>
      </c>
      <c r="J7006" s="1">
        <v>44570</v>
      </c>
      <c r="K7006" t="b">
        <v>0</v>
      </c>
    </row>
    <row r="7007" spans="1:11" x14ac:dyDescent="0.25">
      <c r="A7007" t="s">
        <v>435</v>
      </c>
      <c r="B7007" t="s">
        <v>69</v>
      </c>
      <c r="C7007" t="s">
        <v>13</v>
      </c>
      <c r="D7007" t="s">
        <v>292</v>
      </c>
      <c r="E7007" s="2">
        <v>23</v>
      </c>
      <c r="F7007" s="4">
        <v>1</v>
      </c>
      <c r="G7007" s="2">
        <v>23</v>
      </c>
      <c r="H7007" t="s">
        <v>25</v>
      </c>
      <c r="I7007" t="s">
        <v>36</v>
      </c>
      <c r="J7007" s="1">
        <v>45172</v>
      </c>
      <c r="K7007" t="b">
        <v>1</v>
      </c>
    </row>
    <row r="7008" spans="1:11" x14ac:dyDescent="0.25">
      <c r="A7008" t="s">
        <v>6876</v>
      </c>
      <c r="B7008" t="s">
        <v>58</v>
      </c>
      <c r="C7008" t="s">
        <v>19</v>
      </c>
      <c r="D7008" t="s">
        <v>400</v>
      </c>
      <c r="E7008" s="2">
        <v>23</v>
      </c>
      <c r="F7008" s="4">
        <v>1</v>
      </c>
      <c r="G7008" s="2">
        <v>23</v>
      </c>
      <c r="H7008" t="s">
        <v>15</v>
      </c>
      <c r="I7008" t="s">
        <v>16</v>
      </c>
      <c r="J7008" s="1">
        <v>44693</v>
      </c>
      <c r="K7008" t="b">
        <v>1</v>
      </c>
    </row>
    <row r="7009" spans="1:11" x14ac:dyDescent="0.25">
      <c r="A7009" t="s">
        <v>6112</v>
      </c>
      <c r="B7009" t="s">
        <v>34</v>
      </c>
      <c r="C7009" t="s">
        <v>23</v>
      </c>
      <c r="D7009" t="s">
        <v>244</v>
      </c>
      <c r="E7009" s="2">
        <v>23</v>
      </c>
      <c r="F7009" s="4">
        <v>1</v>
      </c>
      <c r="G7009" s="2">
        <v>23</v>
      </c>
      <c r="H7009" t="s">
        <v>25</v>
      </c>
      <c r="I7009" t="s">
        <v>16</v>
      </c>
      <c r="J7009" s="1">
        <v>44655</v>
      </c>
      <c r="K7009" t="b">
        <v>1</v>
      </c>
    </row>
    <row r="7010" spans="1:11" x14ac:dyDescent="0.25">
      <c r="A7010" t="s">
        <v>2379</v>
      </c>
      <c r="B7010" t="s">
        <v>56</v>
      </c>
      <c r="C7010" t="s">
        <v>59</v>
      </c>
      <c r="D7010" t="s">
        <v>60</v>
      </c>
      <c r="E7010" s="2">
        <v>23</v>
      </c>
      <c r="F7010" s="4">
        <v>1</v>
      </c>
      <c r="G7010" s="2">
        <v>23</v>
      </c>
      <c r="H7010" t="s">
        <v>45</v>
      </c>
      <c r="I7010" t="s">
        <v>36</v>
      </c>
      <c r="J7010" s="1">
        <v>44844</v>
      </c>
      <c r="K7010" t="b">
        <v>1</v>
      </c>
    </row>
    <row r="7011" spans="1:11" x14ac:dyDescent="0.25">
      <c r="A7011" t="s">
        <v>3375</v>
      </c>
      <c r="B7011" t="s">
        <v>85</v>
      </c>
      <c r="C7011" t="s">
        <v>27</v>
      </c>
      <c r="D7011" t="s">
        <v>947</v>
      </c>
      <c r="E7011" s="2">
        <v>23</v>
      </c>
      <c r="F7011" s="4">
        <v>1</v>
      </c>
      <c r="G7011" s="2">
        <v>23</v>
      </c>
      <c r="H7011" t="s">
        <v>45</v>
      </c>
      <c r="I7011" t="s">
        <v>16</v>
      </c>
      <c r="J7011" s="1">
        <v>44613</v>
      </c>
      <c r="K7011" t="b">
        <v>1</v>
      </c>
    </row>
    <row r="7012" spans="1:11" x14ac:dyDescent="0.25">
      <c r="A7012" t="s">
        <v>399</v>
      </c>
      <c r="B7012" t="s">
        <v>58</v>
      </c>
      <c r="C7012" t="s">
        <v>19</v>
      </c>
      <c r="D7012" t="s">
        <v>400</v>
      </c>
      <c r="E7012" s="2">
        <v>23</v>
      </c>
      <c r="F7012" s="4">
        <v>1</v>
      </c>
      <c r="G7012" s="2">
        <v>23</v>
      </c>
      <c r="H7012" t="s">
        <v>25</v>
      </c>
      <c r="I7012" t="s">
        <v>36</v>
      </c>
      <c r="J7012" s="1">
        <v>45075</v>
      </c>
      <c r="K7012" t="b">
        <v>0</v>
      </c>
    </row>
    <row r="7013" spans="1:11" x14ac:dyDescent="0.25">
      <c r="A7013" t="s">
        <v>3102</v>
      </c>
      <c r="B7013" t="s">
        <v>34</v>
      </c>
      <c r="C7013" t="s">
        <v>59</v>
      </c>
      <c r="D7013" t="s">
        <v>60</v>
      </c>
      <c r="E7013" s="2">
        <v>23</v>
      </c>
      <c r="F7013" s="4">
        <v>1</v>
      </c>
      <c r="G7013" s="2">
        <v>23</v>
      </c>
      <c r="H7013" t="s">
        <v>25</v>
      </c>
      <c r="I7013" t="s">
        <v>36</v>
      </c>
      <c r="J7013" s="1">
        <v>45640</v>
      </c>
      <c r="K7013" t="b">
        <v>0</v>
      </c>
    </row>
    <row r="7014" spans="1:11" x14ac:dyDescent="0.25">
      <c r="A7014" t="s">
        <v>752</v>
      </c>
      <c r="B7014" t="s">
        <v>18</v>
      </c>
      <c r="C7014" t="s">
        <v>19</v>
      </c>
      <c r="D7014" t="s">
        <v>400</v>
      </c>
      <c r="E7014" s="2">
        <v>23</v>
      </c>
      <c r="F7014" s="4">
        <v>1</v>
      </c>
      <c r="G7014" s="2">
        <v>23</v>
      </c>
      <c r="H7014" t="s">
        <v>25</v>
      </c>
      <c r="I7014" t="s">
        <v>16</v>
      </c>
      <c r="J7014" s="1">
        <v>45118</v>
      </c>
      <c r="K7014" t="b">
        <v>1</v>
      </c>
    </row>
    <row r="7015" spans="1:11" x14ac:dyDescent="0.25">
      <c r="A7015" t="s">
        <v>3032</v>
      </c>
      <c r="B7015" t="s">
        <v>97</v>
      </c>
      <c r="C7015" t="s">
        <v>59</v>
      </c>
      <c r="D7015" t="s">
        <v>60</v>
      </c>
      <c r="E7015" s="2">
        <v>23</v>
      </c>
      <c r="F7015" s="4">
        <v>1</v>
      </c>
      <c r="G7015" s="2">
        <v>23</v>
      </c>
      <c r="H7015" t="s">
        <v>25</v>
      </c>
      <c r="I7015" t="s">
        <v>36</v>
      </c>
      <c r="J7015" s="1">
        <v>45459</v>
      </c>
      <c r="K7015" t="b">
        <v>1</v>
      </c>
    </row>
    <row r="7016" spans="1:11" x14ac:dyDescent="0.25">
      <c r="A7016" t="s">
        <v>1238</v>
      </c>
      <c r="B7016" t="s">
        <v>34</v>
      </c>
      <c r="C7016" t="s">
        <v>19</v>
      </c>
      <c r="D7016" t="s">
        <v>400</v>
      </c>
      <c r="E7016" s="2">
        <v>23</v>
      </c>
      <c r="F7016" s="4">
        <v>1</v>
      </c>
      <c r="G7016" s="2">
        <v>23</v>
      </c>
      <c r="H7016" t="s">
        <v>25</v>
      </c>
      <c r="I7016" t="s">
        <v>16</v>
      </c>
      <c r="J7016" s="1">
        <v>45151</v>
      </c>
      <c r="K7016" t="b">
        <v>1</v>
      </c>
    </row>
    <row r="7017" spans="1:11" x14ac:dyDescent="0.25">
      <c r="A7017" t="s">
        <v>3135</v>
      </c>
      <c r="B7017" t="s">
        <v>58</v>
      </c>
      <c r="C7017" t="s">
        <v>110</v>
      </c>
      <c r="D7017" t="s">
        <v>232</v>
      </c>
      <c r="E7017" s="2">
        <v>23</v>
      </c>
      <c r="F7017" s="4">
        <v>1</v>
      </c>
      <c r="G7017" s="2">
        <v>23</v>
      </c>
      <c r="H7017" t="s">
        <v>25</v>
      </c>
      <c r="I7017" t="s">
        <v>36</v>
      </c>
      <c r="J7017" s="1">
        <v>45288</v>
      </c>
      <c r="K7017" t="b">
        <v>0</v>
      </c>
    </row>
    <row r="7018" spans="1:11" x14ac:dyDescent="0.25">
      <c r="A7018" t="s">
        <v>2384</v>
      </c>
      <c r="B7018" t="s">
        <v>66</v>
      </c>
      <c r="C7018" t="s">
        <v>38</v>
      </c>
      <c r="D7018" t="s">
        <v>193</v>
      </c>
      <c r="E7018" s="2">
        <v>11</v>
      </c>
      <c r="F7018" s="4">
        <v>2</v>
      </c>
      <c r="G7018" s="2">
        <v>22</v>
      </c>
      <c r="H7018" t="s">
        <v>45</v>
      </c>
      <c r="I7018" t="s">
        <v>16</v>
      </c>
      <c r="J7018" s="1">
        <v>45094</v>
      </c>
      <c r="K7018" t="b">
        <v>0</v>
      </c>
    </row>
    <row r="7019" spans="1:11" x14ac:dyDescent="0.25">
      <c r="A7019" t="s">
        <v>3809</v>
      </c>
      <c r="B7019" t="s">
        <v>22</v>
      </c>
      <c r="C7019" t="s">
        <v>38</v>
      </c>
      <c r="D7019" t="s">
        <v>193</v>
      </c>
      <c r="E7019" s="2">
        <v>11</v>
      </c>
      <c r="F7019" s="4">
        <v>2</v>
      </c>
      <c r="G7019" s="2">
        <v>22</v>
      </c>
      <c r="H7019" t="s">
        <v>25</v>
      </c>
      <c r="I7019" t="s">
        <v>36</v>
      </c>
      <c r="J7019" s="1">
        <v>44739</v>
      </c>
      <c r="K7019" t="b">
        <v>1</v>
      </c>
    </row>
    <row r="7020" spans="1:11" x14ac:dyDescent="0.25">
      <c r="A7020" t="s">
        <v>1716</v>
      </c>
      <c r="B7020" t="s">
        <v>34</v>
      </c>
      <c r="C7020" t="s">
        <v>23</v>
      </c>
      <c r="D7020" t="s">
        <v>410</v>
      </c>
      <c r="E7020" s="2">
        <v>11</v>
      </c>
      <c r="F7020" s="4">
        <v>2</v>
      </c>
      <c r="G7020" s="2">
        <v>22</v>
      </c>
      <c r="H7020" t="s">
        <v>25</v>
      </c>
      <c r="I7020" t="s">
        <v>16</v>
      </c>
      <c r="J7020" s="1">
        <v>45229</v>
      </c>
      <c r="K7020" t="b">
        <v>0</v>
      </c>
    </row>
    <row r="7021" spans="1:11" x14ac:dyDescent="0.25">
      <c r="A7021" t="s">
        <v>4736</v>
      </c>
      <c r="B7021" t="s">
        <v>37</v>
      </c>
      <c r="C7021" t="s">
        <v>31</v>
      </c>
      <c r="D7021" t="s">
        <v>318</v>
      </c>
      <c r="E7021" s="2">
        <v>11</v>
      </c>
      <c r="F7021" s="4">
        <v>2</v>
      </c>
      <c r="G7021" s="2">
        <v>22</v>
      </c>
      <c r="H7021" t="s">
        <v>45</v>
      </c>
      <c r="I7021" t="s">
        <v>36</v>
      </c>
      <c r="J7021" s="1">
        <v>45351</v>
      </c>
      <c r="K7021" t="b">
        <v>1</v>
      </c>
    </row>
    <row r="7022" spans="1:11" x14ac:dyDescent="0.25">
      <c r="A7022" t="s">
        <v>5837</v>
      </c>
      <c r="B7022" t="s">
        <v>97</v>
      </c>
      <c r="C7022" t="s">
        <v>31</v>
      </c>
      <c r="D7022" t="s">
        <v>318</v>
      </c>
      <c r="E7022" s="2">
        <v>11</v>
      </c>
      <c r="F7022" s="4">
        <v>2</v>
      </c>
      <c r="G7022" s="2">
        <v>22</v>
      </c>
      <c r="H7022" t="s">
        <v>25</v>
      </c>
      <c r="I7022" t="s">
        <v>16</v>
      </c>
      <c r="J7022" s="1">
        <v>45235</v>
      </c>
      <c r="K7022" t="b">
        <v>0</v>
      </c>
    </row>
    <row r="7023" spans="1:11" x14ac:dyDescent="0.25">
      <c r="A7023" t="s">
        <v>3571</v>
      </c>
      <c r="B7023" t="s">
        <v>61</v>
      </c>
      <c r="C7023" t="s">
        <v>59</v>
      </c>
      <c r="D7023" t="s">
        <v>347</v>
      </c>
      <c r="E7023" s="2">
        <v>11</v>
      </c>
      <c r="F7023" s="4">
        <v>2</v>
      </c>
      <c r="G7023" s="2">
        <v>22</v>
      </c>
      <c r="H7023" t="s">
        <v>45</v>
      </c>
      <c r="I7023" t="s">
        <v>16</v>
      </c>
      <c r="J7023" s="1">
        <v>45660</v>
      </c>
      <c r="K7023" t="b">
        <v>1</v>
      </c>
    </row>
    <row r="7024" spans="1:11" x14ac:dyDescent="0.25">
      <c r="A7024" t="s">
        <v>5445</v>
      </c>
      <c r="B7024" t="s">
        <v>104</v>
      </c>
      <c r="C7024" t="s">
        <v>110</v>
      </c>
      <c r="D7024" t="s">
        <v>118</v>
      </c>
      <c r="E7024" s="2">
        <v>11</v>
      </c>
      <c r="F7024" s="4">
        <v>2</v>
      </c>
      <c r="G7024" s="2">
        <v>22</v>
      </c>
      <c r="H7024" t="s">
        <v>15</v>
      </c>
      <c r="I7024" t="s">
        <v>16</v>
      </c>
      <c r="J7024" s="1">
        <v>45213</v>
      </c>
      <c r="K7024" t="b">
        <v>1</v>
      </c>
    </row>
    <row r="7025" spans="1:11" x14ac:dyDescent="0.25">
      <c r="A7025" t="s">
        <v>5364</v>
      </c>
      <c r="B7025" t="s">
        <v>66</v>
      </c>
      <c r="C7025" t="s">
        <v>59</v>
      </c>
      <c r="D7025" t="s">
        <v>347</v>
      </c>
      <c r="E7025" s="2">
        <v>11</v>
      </c>
      <c r="F7025" s="4">
        <v>2</v>
      </c>
      <c r="G7025" s="2">
        <v>22</v>
      </c>
      <c r="H7025" t="s">
        <v>25</v>
      </c>
      <c r="I7025" t="s">
        <v>36</v>
      </c>
      <c r="J7025" s="1">
        <v>45467</v>
      </c>
      <c r="K7025" t="b">
        <v>1</v>
      </c>
    </row>
    <row r="7026" spans="1:11" x14ac:dyDescent="0.25">
      <c r="A7026" t="s">
        <v>4452</v>
      </c>
      <c r="B7026" t="s">
        <v>61</v>
      </c>
      <c r="C7026" t="s">
        <v>110</v>
      </c>
      <c r="D7026" t="s">
        <v>118</v>
      </c>
      <c r="E7026" s="2">
        <v>11</v>
      </c>
      <c r="F7026" s="4">
        <v>2</v>
      </c>
      <c r="G7026" s="2">
        <v>22</v>
      </c>
      <c r="H7026" t="s">
        <v>15</v>
      </c>
      <c r="I7026" t="s">
        <v>36</v>
      </c>
      <c r="J7026" s="1">
        <v>45271</v>
      </c>
      <c r="K7026" t="b">
        <v>1</v>
      </c>
    </row>
    <row r="7027" spans="1:11" x14ac:dyDescent="0.25">
      <c r="A7027" t="s">
        <v>5299</v>
      </c>
      <c r="B7027" t="s">
        <v>43</v>
      </c>
      <c r="C7027" t="s">
        <v>38</v>
      </c>
      <c r="D7027" t="s">
        <v>193</v>
      </c>
      <c r="E7027" s="2">
        <v>11</v>
      </c>
      <c r="F7027" s="4">
        <v>2</v>
      </c>
      <c r="G7027" s="2">
        <v>22</v>
      </c>
      <c r="H7027" t="s">
        <v>25</v>
      </c>
      <c r="I7027" t="s">
        <v>36</v>
      </c>
      <c r="J7027" s="1">
        <v>45570</v>
      </c>
      <c r="K7027" t="b">
        <v>1</v>
      </c>
    </row>
    <row r="7028" spans="1:11" x14ac:dyDescent="0.25">
      <c r="A7028" t="s">
        <v>6378</v>
      </c>
      <c r="B7028" t="s">
        <v>66</v>
      </c>
      <c r="C7028" t="s">
        <v>59</v>
      </c>
      <c r="D7028" t="s">
        <v>347</v>
      </c>
      <c r="E7028" s="2">
        <v>11</v>
      </c>
      <c r="F7028" s="4">
        <v>2</v>
      </c>
      <c r="G7028" s="2">
        <v>22</v>
      </c>
      <c r="H7028" t="s">
        <v>25</v>
      </c>
      <c r="I7028" t="s">
        <v>36</v>
      </c>
      <c r="J7028" s="1">
        <v>45591</v>
      </c>
      <c r="K7028" t="b">
        <v>1</v>
      </c>
    </row>
    <row r="7029" spans="1:11" x14ac:dyDescent="0.25">
      <c r="A7029" t="s">
        <v>7684</v>
      </c>
      <c r="B7029" t="s">
        <v>56</v>
      </c>
      <c r="C7029" t="s">
        <v>31</v>
      </c>
      <c r="D7029" t="s">
        <v>318</v>
      </c>
      <c r="E7029" s="2">
        <v>11</v>
      </c>
      <c r="F7029" s="4">
        <v>2</v>
      </c>
      <c r="G7029" s="2">
        <v>22</v>
      </c>
      <c r="H7029" t="s">
        <v>45</v>
      </c>
      <c r="I7029" t="s">
        <v>36</v>
      </c>
      <c r="J7029" s="1">
        <v>44611</v>
      </c>
      <c r="K7029" t="b">
        <v>1</v>
      </c>
    </row>
    <row r="7030" spans="1:11" x14ac:dyDescent="0.25">
      <c r="A7030" t="s">
        <v>7361</v>
      </c>
      <c r="B7030" t="s">
        <v>43</v>
      </c>
      <c r="C7030" t="s">
        <v>38</v>
      </c>
      <c r="D7030" t="s">
        <v>193</v>
      </c>
      <c r="E7030" s="2">
        <v>11</v>
      </c>
      <c r="F7030" s="4">
        <v>2</v>
      </c>
      <c r="G7030" s="2">
        <v>22</v>
      </c>
      <c r="H7030" t="s">
        <v>15</v>
      </c>
      <c r="I7030" t="s">
        <v>36</v>
      </c>
      <c r="J7030" s="1">
        <v>44598</v>
      </c>
      <c r="K7030" t="b">
        <v>1</v>
      </c>
    </row>
    <row r="7031" spans="1:11" x14ac:dyDescent="0.25">
      <c r="A7031" t="s">
        <v>5363</v>
      </c>
      <c r="B7031" t="s">
        <v>43</v>
      </c>
      <c r="C7031" t="s">
        <v>59</v>
      </c>
      <c r="D7031" t="s">
        <v>347</v>
      </c>
      <c r="E7031" s="2">
        <v>11</v>
      </c>
      <c r="F7031" s="4">
        <v>2</v>
      </c>
      <c r="G7031" s="2">
        <v>22</v>
      </c>
      <c r="H7031" t="s">
        <v>25</v>
      </c>
      <c r="I7031" t="s">
        <v>36</v>
      </c>
      <c r="J7031" s="1">
        <v>45204</v>
      </c>
      <c r="K7031" t="b">
        <v>0</v>
      </c>
    </row>
    <row r="7032" spans="1:11" x14ac:dyDescent="0.25">
      <c r="A7032" t="s">
        <v>7084</v>
      </c>
      <c r="B7032" t="s">
        <v>104</v>
      </c>
      <c r="C7032" t="s">
        <v>38</v>
      </c>
      <c r="D7032" t="s">
        <v>193</v>
      </c>
      <c r="E7032" s="2">
        <v>11</v>
      </c>
      <c r="F7032" s="4">
        <v>2</v>
      </c>
      <c r="G7032" s="2">
        <v>22</v>
      </c>
      <c r="H7032" t="s">
        <v>15</v>
      </c>
      <c r="I7032" t="s">
        <v>36</v>
      </c>
      <c r="J7032" s="1">
        <v>44622</v>
      </c>
      <c r="K7032" t="b">
        <v>0</v>
      </c>
    </row>
    <row r="7033" spans="1:11" x14ac:dyDescent="0.25">
      <c r="A7033" t="s">
        <v>7421</v>
      </c>
      <c r="B7033" t="s">
        <v>66</v>
      </c>
      <c r="C7033" t="s">
        <v>31</v>
      </c>
      <c r="D7033" t="s">
        <v>318</v>
      </c>
      <c r="E7033" s="2">
        <v>11</v>
      </c>
      <c r="F7033" s="4">
        <v>2</v>
      </c>
      <c r="G7033" s="2">
        <v>22</v>
      </c>
      <c r="H7033" t="s">
        <v>25</v>
      </c>
      <c r="I7033" t="s">
        <v>36</v>
      </c>
      <c r="J7033" s="1">
        <v>45583</v>
      </c>
      <c r="K7033" t="b">
        <v>0</v>
      </c>
    </row>
    <row r="7034" spans="1:11" x14ac:dyDescent="0.25">
      <c r="A7034" t="s">
        <v>5436</v>
      </c>
      <c r="B7034" t="s">
        <v>69</v>
      </c>
      <c r="C7034" t="s">
        <v>31</v>
      </c>
      <c r="D7034" t="s">
        <v>318</v>
      </c>
      <c r="E7034" s="2">
        <v>11</v>
      </c>
      <c r="F7034" s="4">
        <v>2</v>
      </c>
      <c r="G7034" s="2">
        <v>22</v>
      </c>
      <c r="H7034" t="s">
        <v>25</v>
      </c>
      <c r="I7034" t="s">
        <v>36</v>
      </c>
      <c r="J7034" s="1">
        <v>45369</v>
      </c>
      <c r="K7034" t="b">
        <v>0</v>
      </c>
    </row>
    <row r="7035" spans="1:11" x14ac:dyDescent="0.25">
      <c r="A7035" t="s">
        <v>7716</v>
      </c>
      <c r="B7035" t="s">
        <v>51</v>
      </c>
      <c r="C7035" t="s">
        <v>38</v>
      </c>
      <c r="D7035" t="s">
        <v>193</v>
      </c>
      <c r="E7035" s="2">
        <v>11</v>
      </c>
      <c r="F7035" s="4">
        <v>2</v>
      </c>
      <c r="G7035" s="2">
        <v>22</v>
      </c>
      <c r="H7035" t="s">
        <v>15</v>
      </c>
      <c r="I7035" t="s">
        <v>36</v>
      </c>
      <c r="J7035" s="1">
        <v>44690</v>
      </c>
      <c r="K7035" t="b">
        <v>0</v>
      </c>
    </row>
    <row r="7036" spans="1:11" x14ac:dyDescent="0.25">
      <c r="A7036" t="s">
        <v>4556</v>
      </c>
      <c r="B7036" t="s">
        <v>104</v>
      </c>
      <c r="C7036" t="s">
        <v>38</v>
      </c>
      <c r="D7036" t="s">
        <v>193</v>
      </c>
      <c r="E7036" s="2">
        <v>11</v>
      </c>
      <c r="F7036" s="4">
        <v>2</v>
      </c>
      <c r="G7036" s="2">
        <v>22</v>
      </c>
      <c r="H7036" t="s">
        <v>15</v>
      </c>
      <c r="I7036" t="s">
        <v>16</v>
      </c>
      <c r="J7036" s="1">
        <v>44615</v>
      </c>
      <c r="K7036" t="b">
        <v>0</v>
      </c>
    </row>
    <row r="7037" spans="1:11" x14ac:dyDescent="0.25">
      <c r="A7037" t="s">
        <v>3914</v>
      </c>
      <c r="B7037" t="s">
        <v>18</v>
      </c>
      <c r="C7037" t="s">
        <v>38</v>
      </c>
      <c r="D7037" t="s">
        <v>193</v>
      </c>
      <c r="E7037" s="2">
        <v>11</v>
      </c>
      <c r="F7037" s="4">
        <v>2</v>
      </c>
      <c r="G7037" s="2">
        <v>22</v>
      </c>
      <c r="H7037" t="s">
        <v>25</v>
      </c>
      <c r="I7037" t="s">
        <v>36</v>
      </c>
      <c r="J7037" s="1">
        <v>45456</v>
      </c>
      <c r="K7037" t="b">
        <v>1</v>
      </c>
    </row>
    <row r="7038" spans="1:11" x14ac:dyDescent="0.25">
      <c r="A7038" t="s">
        <v>2943</v>
      </c>
      <c r="B7038" t="s">
        <v>37</v>
      </c>
      <c r="C7038" t="s">
        <v>38</v>
      </c>
      <c r="D7038" t="s">
        <v>193</v>
      </c>
      <c r="E7038" s="2">
        <v>11</v>
      </c>
      <c r="F7038" s="4">
        <v>2</v>
      </c>
      <c r="G7038" s="2">
        <v>22</v>
      </c>
      <c r="H7038" t="s">
        <v>25</v>
      </c>
      <c r="I7038" t="s">
        <v>16</v>
      </c>
      <c r="J7038" s="1">
        <v>44799</v>
      </c>
      <c r="K7038" t="b">
        <v>1</v>
      </c>
    </row>
    <row r="7039" spans="1:11" x14ac:dyDescent="0.25">
      <c r="A7039" t="s">
        <v>6952</v>
      </c>
      <c r="B7039" t="s">
        <v>100</v>
      </c>
      <c r="C7039" t="s">
        <v>38</v>
      </c>
      <c r="D7039" t="s">
        <v>193</v>
      </c>
      <c r="E7039" s="2">
        <v>11</v>
      </c>
      <c r="F7039" s="4">
        <v>2</v>
      </c>
      <c r="G7039" s="2">
        <v>22</v>
      </c>
      <c r="H7039" t="s">
        <v>15</v>
      </c>
      <c r="I7039" t="s">
        <v>16</v>
      </c>
      <c r="J7039" s="1">
        <v>45565</v>
      </c>
      <c r="K7039" t="b">
        <v>1</v>
      </c>
    </row>
    <row r="7040" spans="1:11" x14ac:dyDescent="0.25">
      <c r="A7040" t="s">
        <v>6113</v>
      </c>
      <c r="B7040" t="s">
        <v>37</v>
      </c>
      <c r="C7040" t="s">
        <v>23</v>
      </c>
      <c r="D7040" t="s">
        <v>410</v>
      </c>
      <c r="E7040" s="2">
        <v>11</v>
      </c>
      <c r="F7040" s="4">
        <v>2</v>
      </c>
      <c r="G7040" s="2">
        <v>22</v>
      </c>
      <c r="H7040" t="s">
        <v>45</v>
      </c>
      <c r="I7040" t="s">
        <v>36</v>
      </c>
      <c r="J7040" s="1">
        <v>45338</v>
      </c>
      <c r="K7040" t="b">
        <v>1</v>
      </c>
    </row>
    <row r="7041" spans="1:11" x14ac:dyDescent="0.25">
      <c r="A7041" t="s">
        <v>1234</v>
      </c>
      <c r="B7041" t="s">
        <v>43</v>
      </c>
      <c r="C7041" t="s">
        <v>38</v>
      </c>
      <c r="D7041" t="s">
        <v>193</v>
      </c>
      <c r="E7041" s="2">
        <v>11</v>
      </c>
      <c r="F7041" s="4">
        <v>2</v>
      </c>
      <c r="G7041" s="2">
        <v>22</v>
      </c>
      <c r="H7041" t="s">
        <v>25</v>
      </c>
      <c r="I7041" t="s">
        <v>16</v>
      </c>
      <c r="J7041" s="1">
        <v>45381</v>
      </c>
      <c r="K7041" t="b">
        <v>0</v>
      </c>
    </row>
    <row r="7042" spans="1:11" x14ac:dyDescent="0.25">
      <c r="A7042" t="s">
        <v>1819</v>
      </c>
      <c r="B7042" t="s">
        <v>77</v>
      </c>
      <c r="C7042" t="s">
        <v>31</v>
      </c>
      <c r="D7042" t="s">
        <v>318</v>
      </c>
      <c r="E7042" s="2">
        <v>11</v>
      </c>
      <c r="F7042" s="4">
        <v>2</v>
      </c>
      <c r="G7042" s="2">
        <v>22</v>
      </c>
      <c r="H7042" t="s">
        <v>15</v>
      </c>
      <c r="I7042" t="s">
        <v>36</v>
      </c>
      <c r="J7042" s="1">
        <v>45377</v>
      </c>
      <c r="K7042" t="b">
        <v>0</v>
      </c>
    </row>
    <row r="7043" spans="1:11" x14ac:dyDescent="0.25">
      <c r="A7043" t="s">
        <v>6773</v>
      </c>
      <c r="B7043" t="s">
        <v>40</v>
      </c>
      <c r="C7043" t="s">
        <v>31</v>
      </c>
      <c r="D7043" t="s">
        <v>318</v>
      </c>
      <c r="E7043" s="2">
        <v>11</v>
      </c>
      <c r="F7043" s="4">
        <v>2</v>
      </c>
      <c r="G7043" s="2">
        <v>22</v>
      </c>
      <c r="H7043" t="s">
        <v>15</v>
      </c>
      <c r="I7043" t="s">
        <v>16</v>
      </c>
      <c r="J7043" s="1">
        <v>44711</v>
      </c>
      <c r="K7043" t="b">
        <v>0</v>
      </c>
    </row>
    <row r="7044" spans="1:11" x14ac:dyDescent="0.25">
      <c r="A7044" t="s">
        <v>7721</v>
      </c>
      <c r="B7044" t="s">
        <v>86</v>
      </c>
      <c r="C7044" t="s">
        <v>38</v>
      </c>
      <c r="D7044" t="s">
        <v>193</v>
      </c>
      <c r="E7044" s="2">
        <v>11</v>
      </c>
      <c r="F7044" s="4">
        <v>2</v>
      </c>
      <c r="G7044" s="2">
        <v>22</v>
      </c>
      <c r="H7044" t="s">
        <v>25</v>
      </c>
      <c r="I7044" t="s">
        <v>16</v>
      </c>
      <c r="J7044" s="1">
        <v>45331</v>
      </c>
      <c r="K7044" t="b">
        <v>0</v>
      </c>
    </row>
    <row r="7045" spans="1:11" x14ac:dyDescent="0.25">
      <c r="A7045" t="s">
        <v>652</v>
      </c>
      <c r="B7045" t="s">
        <v>51</v>
      </c>
      <c r="C7045" t="s">
        <v>59</v>
      </c>
      <c r="D7045" t="s">
        <v>347</v>
      </c>
      <c r="E7045" s="2">
        <v>11</v>
      </c>
      <c r="F7045" s="4">
        <v>2</v>
      </c>
      <c r="G7045" s="2">
        <v>22</v>
      </c>
      <c r="H7045" t="s">
        <v>15</v>
      </c>
      <c r="I7045" t="s">
        <v>36</v>
      </c>
      <c r="J7045" s="1">
        <v>44630</v>
      </c>
      <c r="K7045" t="b">
        <v>1</v>
      </c>
    </row>
    <row r="7046" spans="1:11" x14ac:dyDescent="0.25">
      <c r="A7046" t="s">
        <v>7451</v>
      </c>
      <c r="B7046" t="s">
        <v>66</v>
      </c>
      <c r="C7046" t="s">
        <v>31</v>
      </c>
      <c r="D7046" t="s">
        <v>318</v>
      </c>
      <c r="E7046" s="2">
        <v>11</v>
      </c>
      <c r="F7046" s="4">
        <v>2</v>
      </c>
      <c r="G7046" s="2">
        <v>22</v>
      </c>
      <c r="H7046" t="s">
        <v>25</v>
      </c>
      <c r="I7046" t="s">
        <v>36</v>
      </c>
      <c r="J7046" s="1">
        <v>44966</v>
      </c>
      <c r="K7046" t="b">
        <v>1</v>
      </c>
    </row>
    <row r="7047" spans="1:11" x14ac:dyDescent="0.25">
      <c r="A7047" t="s">
        <v>4579</v>
      </c>
      <c r="B7047" t="s">
        <v>56</v>
      </c>
      <c r="C7047" t="s">
        <v>59</v>
      </c>
      <c r="D7047" t="s">
        <v>347</v>
      </c>
      <c r="E7047" s="2">
        <v>11</v>
      </c>
      <c r="F7047" s="4">
        <v>2</v>
      </c>
      <c r="G7047" s="2">
        <v>22</v>
      </c>
      <c r="H7047" t="s">
        <v>15</v>
      </c>
      <c r="I7047" t="s">
        <v>36</v>
      </c>
      <c r="J7047" s="1">
        <v>45337</v>
      </c>
      <c r="K7047" t="b">
        <v>0</v>
      </c>
    </row>
    <row r="7048" spans="1:11" x14ac:dyDescent="0.25">
      <c r="A7048" t="s">
        <v>4274</v>
      </c>
      <c r="B7048" t="s">
        <v>40</v>
      </c>
      <c r="C7048" t="s">
        <v>38</v>
      </c>
      <c r="D7048" t="s">
        <v>193</v>
      </c>
      <c r="E7048" s="2">
        <v>11</v>
      </c>
      <c r="F7048" s="4">
        <v>2</v>
      </c>
      <c r="G7048" s="2">
        <v>22</v>
      </c>
      <c r="H7048" t="s">
        <v>25</v>
      </c>
      <c r="I7048" t="s">
        <v>36</v>
      </c>
      <c r="J7048" s="1">
        <v>45623</v>
      </c>
      <c r="K7048" t="b">
        <v>1</v>
      </c>
    </row>
    <row r="7049" spans="1:11" x14ac:dyDescent="0.25">
      <c r="A7049" t="s">
        <v>5023</v>
      </c>
      <c r="B7049" t="s">
        <v>37</v>
      </c>
      <c r="C7049" t="s">
        <v>13</v>
      </c>
      <c r="D7049" t="s">
        <v>471</v>
      </c>
      <c r="E7049" s="2">
        <v>11</v>
      </c>
      <c r="F7049" s="4">
        <v>2</v>
      </c>
      <c r="G7049" s="2">
        <v>22</v>
      </c>
      <c r="H7049" t="s">
        <v>25</v>
      </c>
      <c r="I7049" t="s">
        <v>36</v>
      </c>
      <c r="J7049" s="1">
        <v>45401</v>
      </c>
      <c r="K7049" t="b">
        <v>1</v>
      </c>
    </row>
    <row r="7050" spans="1:11" x14ac:dyDescent="0.25">
      <c r="A7050" t="s">
        <v>5780</v>
      </c>
      <c r="B7050" t="s">
        <v>63</v>
      </c>
      <c r="C7050" t="s">
        <v>31</v>
      </c>
      <c r="D7050" t="s">
        <v>318</v>
      </c>
      <c r="E7050" s="2">
        <v>11</v>
      </c>
      <c r="F7050" s="4">
        <v>2</v>
      </c>
      <c r="G7050" s="2">
        <v>22</v>
      </c>
      <c r="H7050" t="s">
        <v>15</v>
      </c>
      <c r="I7050" t="s">
        <v>16</v>
      </c>
      <c r="J7050" s="1">
        <v>44981</v>
      </c>
      <c r="K7050" t="b">
        <v>0</v>
      </c>
    </row>
    <row r="7051" spans="1:11" x14ac:dyDescent="0.25">
      <c r="A7051" t="s">
        <v>2825</v>
      </c>
      <c r="B7051" t="s">
        <v>34</v>
      </c>
      <c r="C7051" t="s">
        <v>59</v>
      </c>
      <c r="D7051" t="s">
        <v>288</v>
      </c>
      <c r="E7051" s="2">
        <v>21.5</v>
      </c>
      <c r="F7051" s="4">
        <v>1</v>
      </c>
      <c r="G7051" s="2">
        <v>21.5</v>
      </c>
      <c r="H7051" t="s">
        <v>45</v>
      </c>
      <c r="I7051" t="s">
        <v>16</v>
      </c>
      <c r="J7051" s="1">
        <v>45003</v>
      </c>
      <c r="K7051" t="b">
        <v>1</v>
      </c>
    </row>
    <row r="7052" spans="1:11" x14ac:dyDescent="0.25">
      <c r="A7052" t="s">
        <v>3538</v>
      </c>
      <c r="B7052" t="s">
        <v>34</v>
      </c>
      <c r="C7052" t="s">
        <v>110</v>
      </c>
      <c r="D7052" t="s">
        <v>451</v>
      </c>
      <c r="E7052" s="2">
        <v>21.5</v>
      </c>
      <c r="F7052" s="4">
        <v>1</v>
      </c>
      <c r="G7052" s="2">
        <v>21.5</v>
      </c>
      <c r="H7052" t="s">
        <v>15</v>
      </c>
      <c r="I7052" t="s">
        <v>36</v>
      </c>
      <c r="J7052" s="1">
        <v>45004</v>
      </c>
      <c r="K7052" t="b">
        <v>0</v>
      </c>
    </row>
    <row r="7053" spans="1:11" x14ac:dyDescent="0.25">
      <c r="A7053" t="s">
        <v>4154</v>
      </c>
      <c r="B7053" t="s">
        <v>51</v>
      </c>
      <c r="C7053" t="s">
        <v>23</v>
      </c>
      <c r="D7053" t="s">
        <v>24</v>
      </c>
      <c r="E7053" s="2">
        <v>21.5</v>
      </c>
      <c r="F7053" s="4">
        <v>1</v>
      </c>
      <c r="G7053" s="2">
        <v>21.5</v>
      </c>
      <c r="H7053" t="s">
        <v>15</v>
      </c>
      <c r="I7053" t="s">
        <v>36</v>
      </c>
      <c r="J7053" s="1">
        <v>44626</v>
      </c>
      <c r="K7053" t="b">
        <v>0</v>
      </c>
    </row>
    <row r="7054" spans="1:11" x14ac:dyDescent="0.25">
      <c r="A7054" t="s">
        <v>3428</v>
      </c>
      <c r="B7054" t="s">
        <v>100</v>
      </c>
      <c r="C7054" t="s">
        <v>27</v>
      </c>
      <c r="D7054" t="s">
        <v>315</v>
      </c>
      <c r="E7054" s="2">
        <v>21.5</v>
      </c>
      <c r="F7054" s="4">
        <v>1</v>
      </c>
      <c r="G7054" s="2">
        <v>21.5</v>
      </c>
      <c r="H7054" t="s">
        <v>25</v>
      </c>
      <c r="I7054" t="s">
        <v>36</v>
      </c>
      <c r="J7054" s="1">
        <v>44915</v>
      </c>
      <c r="K7054" t="b">
        <v>0</v>
      </c>
    </row>
    <row r="7055" spans="1:11" x14ac:dyDescent="0.25">
      <c r="A7055" t="s">
        <v>6623</v>
      </c>
      <c r="B7055" t="s">
        <v>30</v>
      </c>
      <c r="C7055" t="s">
        <v>19</v>
      </c>
      <c r="D7055" t="s">
        <v>1410</v>
      </c>
      <c r="E7055" s="2">
        <v>21.5</v>
      </c>
      <c r="F7055" s="4">
        <v>1</v>
      </c>
      <c r="G7055" s="2">
        <v>21.5</v>
      </c>
      <c r="H7055" t="s">
        <v>25</v>
      </c>
      <c r="I7055" t="s">
        <v>36</v>
      </c>
      <c r="J7055" s="1">
        <v>45297</v>
      </c>
      <c r="K7055" t="b">
        <v>1</v>
      </c>
    </row>
    <row r="7056" spans="1:11" x14ac:dyDescent="0.25">
      <c r="A7056" t="s">
        <v>7235</v>
      </c>
      <c r="B7056" t="s">
        <v>63</v>
      </c>
      <c r="C7056" t="s">
        <v>59</v>
      </c>
      <c r="D7056" t="s">
        <v>288</v>
      </c>
      <c r="E7056" s="2">
        <v>21.5</v>
      </c>
      <c r="F7056" s="4">
        <v>1</v>
      </c>
      <c r="G7056" s="2">
        <v>21.5</v>
      </c>
      <c r="H7056" t="s">
        <v>15</v>
      </c>
      <c r="I7056" t="s">
        <v>16</v>
      </c>
      <c r="J7056" s="1">
        <v>45139</v>
      </c>
      <c r="K7056" t="b">
        <v>1</v>
      </c>
    </row>
    <row r="7057" spans="1:11" x14ac:dyDescent="0.25">
      <c r="A7057" t="s">
        <v>1765</v>
      </c>
      <c r="B7057" t="s">
        <v>26</v>
      </c>
      <c r="C7057" t="s">
        <v>27</v>
      </c>
      <c r="D7057" t="s">
        <v>315</v>
      </c>
      <c r="E7057" s="2">
        <v>21.5</v>
      </c>
      <c r="F7057" s="4">
        <v>1</v>
      </c>
      <c r="G7057" s="2">
        <v>21.5</v>
      </c>
      <c r="H7057" t="s">
        <v>15</v>
      </c>
      <c r="I7057" t="s">
        <v>36</v>
      </c>
      <c r="J7057" s="1">
        <v>45662</v>
      </c>
      <c r="K7057" t="b">
        <v>1</v>
      </c>
    </row>
    <row r="7058" spans="1:11" x14ac:dyDescent="0.25">
      <c r="A7058" t="s">
        <v>3793</v>
      </c>
      <c r="B7058" t="s">
        <v>63</v>
      </c>
      <c r="C7058" t="s">
        <v>110</v>
      </c>
      <c r="D7058" t="s">
        <v>451</v>
      </c>
      <c r="E7058" s="2">
        <v>21.5</v>
      </c>
      <c r="F7058" s="4">
        <v>1</v>
      </c>
      <c r="G7058" s="2">
        <v>21.5</v>
      </c>
      <c r="H7058" t="s">
        <v>45</v>
      </c>
      <c r="I7058" t="s">
        <v>36</v>
      </c>
      <c r="J7058" s="1">
        <v>44761</v>
      </c>
      <c r="K7058" t="b">
        <v>1</v>
      </c>
    </row>
    <row r="7059" spans="1:11" x14ac:dyDescent="0.25">
      <c r="A7059" t="s">
        <v>4858</v>
      </c>
      <c r="B7059" t="s">
        <v>12</v>
      </c>
      <c r="C7059" t="s">
        <v>110</v>
      </c>
      <c r="D7059" t="s">
        <v>451</v>
      </c>
      <c r="E7059" s="2">
        <v>21.5</v>
      </c>
      <c r="F7059" s="4">
        <v>1</v>
      </c>
      <c r="G7059" s="2">
        <v>21.5</v>
      </c>
      <c r="H7059" t="s">
        <v>25</v>
      </c>
      <c r="I7059" t="s">
        <v>16</v>
      </c>
      <c r="J7059" s="1">
        <v>44710</v>
      </c>
      <c r="K7059" t="b">
        <v>1</v>
      </c>
    </row>
    <row r="7060" spans="1:11" x14ac:dyDescent="0.25">
      <c r="A7060" t="s">
        <v>6475</v>
      </c>
      <c r="B7060" t="s">
        <v>37</v>
      </c>
      <c r="C7060" t="s">
        <v>38</v>
      </c>
      <c r="D7060" t="s">
        <v>509</v>
      </c>
      <c r="E7060" s="2">
        <v>21.5</v>
      </c>
      <c r="F7060" s="4">
        <v>1</v>
      </c>
      <c r="G7060" s="2">
        <v>21.5</v>
      </c>
      <c r="H7060" t="s">
        <v>45</v>
      </c>
      <c r="I7060" t="s">
        <v>36</v>
      </c>
      <c r="J7060" s="1">
        <v>45085</v>
      </c>
      <c r="K7060" t="b">
        <v>1</v>
      </c>
    </row>
    <row r="7061" spans="1:11" x14ac:dyDescent="0.25">
      <c r="A7061" t="s">
        <v>4975</v>
      </c>
      <c r="B7061" t="s">
        <v>100</v>
      </c>
      <c r="C7061" t="s">
        <v>13</v>
      </c>
      <c r="D7061" t="s">
        <v>141</v>
      </c>
      <c r="E7061" s="2">
        <v>21.5</v>
      </c>
      <c r="F7061" s="4">
        <v>1</v>
      </c>
      <c r="G7061" s="2">
        <v>21.5</v>
      </c>
      <c r="H7061" t="s">
        <v>25</v>
      </c>
      <c r="I7061" t="s">
        <v>36</v>
      </c>
      <c r="J7061" s="1">
        <v>45439</v>
      </c>
      <c r="K7061" t="b">
        <v>0</v>
      </c>
    </row>
    <row r="7062" spans="1:11" x14ac:dyDescent="0.25">
      <c r="A7062" t="s">
        <v>7449</v>
      </c>
      <c r="B7062" t="s">
        <v>77</v>
      </c>
      <c r="C7062" t="s">
        <v>31</v>
      </c>
      <c r="D7062" t="s">
        <v>108</v>
      </c>
      <c r="E7062" s="2">
        <v>21.5</v>
      </c>
      <c r="F7062" s="4">
        <v>1</v>
      </c>
      <c r="G7062" s="2">
        <v>21.5</v>
      </c>
      <c r="H7062" t="s">
        <v>45</v>
      </c>
      <c r="I7062" t="s">
        <v>16</v>
      </c>
      <c r="J7062" s="1">
        <v>45074</v>
      </c>
      <c r="K7062" t="b">
        <v>1</v>
      </c>
    </row>
    <row r="7063" spans="1:11" x14ac:dyDescent="0.25">
      <c r="A7063" t="s">
        <v>897</v>
      </c>
      <c r="B7063" t="s">
        <v>51</v>
      </c>
      <c r="C7063" t="s">
        <v>23</v>
      </c>
      <c r="D7063" t="s">
        <v>24</v>
      </c>
      <c r="E7063" s="2">
        <v>21.5</v>
      </c>
      <c r="F7063" s="4">
        <v>1</v>
      </c>
      <c r="G7063" s="2">
        <v>21.5</v>
      </c>
      <c r="H7063" t="s">
        <v>25</v>
      </c>
      <c r="I7063" t="s">
        <v>36</v>
      </c>
      <c r="J7063" s="1">
        <v>44833</v>
      </c>
      <c r="K7063" t="b">
        <v>1</v>
      </c>
    </row>
    <row r="7064" spans="1:11" x14ac:dyDescent="0.25">
      <c r="A7064" t="s">
        <v>2507</v>
      </c>
      <c r="B7064" t="s">
        <v>85</v>
      </c>
      <c r="C7064" t="s">
        <v>59</v>
      </c>
      <c r="D7064" t="s">
        <v>288</v>
      </c>
      <c r="E7064" s="2">
        <v>21.5</v>
      </c>
      <c r="F7064" s="4">
        <v>1</v>
      </c>
      <c r="G7064" s="2">
        <v>21.5</v>
      </c>
      <c r="H7064" t="s">
        <v>15</v>
      </c>
      <c r="I7064" t="s">
        <v>16</v>
      </c>
      <c r="J7064" s="1">
        <v>44913</v>
      </c>
      <c r="K7064" t="b">
        <v>0</v>
      </c>
    </row>
    <row r="7065" spans="1:11" x14ac:dyDescent="0.25">
      <c r="A7065" t="s">
        <v>4647</v>
      </c>
      <c r="B7065" t="s">
        <v>69</v>
      </c>
      <c r="C7065" t="s">
        <v>38</v>
      </c>
      <c r="D7065" t="s">
        <v>509</v>
      </c>
      <c r="E7065" s="2">
        <v>21.5</v>
      </c>
      <c r="F7065" s="4">
        <v>1</v>
      </c>
      <c r="G7065" s="2">
        <v>21.5</v>
      </c>
      <c r="H7065" t="s">
        <v>45</v>
      </c>
      <c r="I7065" t="s">
        <v>16</v>
      </c>
      <c r="J7065" s="1">
        <v>45418</v>
      </c>
      <c r="K7065" t="b">
        <v>1</v>
      </c>
    </row>
    <row r="7066" spans="1:11" x14ac:dyDescent="0.25">
      <c r="A7066" t="s">
        <v>6703</v>
      </c>
      <c r="B7066" t="s">
        <v>18</v>
      </c>
      <c r="C7066" t="s">
        <v>27</v>
      </c>
      <c r="D7066" t="s">
        <v>315</v>
      </c>
      <c r="E7066" s="2">
        <v>21.5</v>
      </c>
      <c r="F7066" s="4">
        <v>1</v>
      </c>
      <c r="G7066" s="2">
        <v>21.5</v>
      </c>
      <c r="H7066" t="s">
        <v>45</v>
      </c>
      <c r="I7066" t="s">
        <v>16</v>
      </c>
      <c r="J7066" s="1">
        <v>45176</v>
      </c>
      <c r="K7066" t="b">
        <v>0</v>
      </c>
    </row>
    <row r="7067" spans="1:11" x14ac:dyDescent="0.25">
      <c r="A7067" t="s">
        <v>5521</v>
      </c>
      <c r="B7067" t="s">
        <v>69</v>
      </c>
      <c r="C7067" t="s">
        <v>110</v>
      </c>
      <c r="D7067" t="s">
        <v>451</v>
      </c>
      <c r="E7067" s="2">
        <v>21.5</v>
      </c>
      <c r="F7067" s="4">
        <v>1</v>
      </c>
      <c r="G7067" s="2">
        <v>21.5</v>
      </c>
      <c r="H7067" t="s">
        <v>45</v>
      </c>
      <c r="I7067" t="s">
        <v>36</v>
      </c>
      <c r="J7067" s="1">
        <v>44715</v>
      </c>
      <c r="K7067" t="b">
        <v>0</v>
      </c>
    </row>
    <row r="7068" spans="1:11" x14ac:dyDescent="0.25">
      <c r="A7068" t="s">
        <v>1501</v>
      </c>
      <c r="B7068" t="s">
        <v>77</v>
      </c>
      <c r="C7068" t="s">
        <v>110</v>
      </c>
      <c r="D7068" t="s">
        <v>451</v>
      </c>
      <c r="E7068" s="2">
        <v>21.5</v>
      </c>
      <c r="F7068" s="4">
        <v>1</v>
      </c>
      <c r="G7068" s="2">
        <v>21.5</v>
      </c>
      <c r="H7068" t="s">
        <v>15</v>
      </c>
      <c r="I7068" t="s">
        <v>36</v>
      </c>
      <c r="J7068" s="1">
        <v>45604</v>
      </c>
      <c r="K7068" t="b">
        <v>1</v>
      </c>
    </row>
    <row r="7069" spans="1:11" x14ac:dyDescent="0.25">
      <c r="A7069" t="s">
        <v>7239</v>
      </c>
      <c r="B7069" t="s">
        <v>72</v>
      </c>
      <c r="C7069" t="s">
        <v>27</v>
      </c>
      <c r="D7069" t="s">
        <v>315</v>
      </c>
      <c r="E7069" s="2">
        <v>21.5</v>
      </c>
      <c r="F7069" s="4">
        <v>1</v>
      </c>
      <c r="G7069" s="2">
        <v>21.5</v>
      </c>
      <c r="H7069" t="s">
        <v>25</v>
      </c>
      <c r="I7069" t="s">
        <v>16</v>
      </c>
      <c r="J7069" s="1">
        <v>45391</v>
      </c>
      <c r="K7069" t="b">
        <v>1</v>
      </c>
    </row>
    <row r="7070" spans="1:11" x14ac:dyDescent="0.25">
      <c r="A7070" t="s">
        <v>6708</v>
      </c>
      <c r="B7070" t="s">
        <v>18</v>
      </c>
      <c r="C7070" t="s">
        <v>13</v>
      </c>
      <c r="D7070" t="s">
        <v>141</v>
      </c>
      <c r="E7070" s="2">
        <v>21.5</v>
      </c>
      <c r="F7070" s="4">
        <v>1</v>
      </c>
      <c r="G7070" s="2">
        <v>21.5</v>
      </c>
      <c r="H7070" t="s">
        <v>25</v>
      </c>
      <c r="I7070" t="s">
        <v>36</v>
      </c>
      <c r="J7070" s="1">
        <v>44776</v>
      </c>
      <c r="K7070" t="b">
        <v>0</v>
      </c>
    </row>
    <row r="7071" spans="1:11" x14ac:dyDescent="0.25">
      <c r="A7071" t="s">
        <v>6271</v>
      </c>
      <c r="B7071" t="s">
        <v>104</v>
      </c>
      <c r="C7071" t="s">
        <v>13</v>
      </c>
      <c r="D7071" t="s">
        <v>141</v>
      </c>
      <c r="E7071" s="2">
        <v>21.5</v>
      </c>
      <c r="F7071" s="4">
        <v>1</v>
      </c>
      <c r="G7071" s="2">
        <v>21.5</v>
      </c>
      <c r="H7071" t="s">
        <v>45</v>
      </c>
      <c r="I7071" t="s">
        <v>16</v>
      </c>
      <c r="J7071" s="1">
        <v>44758</v>
      </c>
      <c r="K7071" t="b">
        <v>1</v>
      </c>
    </row>
    <row r="7072" spans="1:11" x14ac:dyDescent="0.25">
      <c r="A7072" t="s">
        <v>332</v>
      </c>
      <c r="B7072" t="s">
        <v>93</v>
      </c>
      <c r="C7072" t="s">
        <v>23</v>
      </c>
      <c r="D7072" t="s">
        <v>24</v>
      </c>
      <c r="E7072" s="2">
        <v>21.5</v>
      </c>
      <c r="F7072" s="4">
        <v>1</v>
      </c>
      <c r="G7072" s="2">
        <v>21.5</v>
      </c>
      <c r="H7072" t="s">
        <v>25</v>
      </c>
      <c r="I7072" t="s">
        <v>16</v>
      </c>
      <c r="J7072" s="1">
        <v>45160</v>
      </c>
      <c r="K7072" t="b">
        <v>0</v>
      </c>
    </row>
    <row r="7073" spans="1:11" x14ac:dyDescent="0.25">
      <c r="A7073" t="s">
        <v>1608</v>
      </c>
      <c r="B7073" t="s">
        <v>85</v>
      </c>
      <c r="C7073" t="s">
        <v>23</v>
      </c>
      <c r="D7073" t="s">
        <v>24</v>
      </c>
      <c r="E7073" s="2">
        <v>21.5</v>
      </c>
      <c r="F7073" s="4">
        <v>1</v>
      </c>
      <c r="G7073" s="2">
        <v>21.5</v>
      </c>
      <c r="H7073" t="s">
        <v>45</v>
      </c>
      <c r="I7073" t="s">
        <v>36</v>
      </c>
      <c r="J7073" s="1">
        <v>44961</v>
      </c>
      <c r="K7073" t="b">
        <v>0</v>
      </c>
    </row>
    <row r="7074" spans="1:11" x14ac:dyDescent="0.25">
      <c r="A7074" t="s">
        <v>1490</v>
      </c>
      <c r="B7074" t="s">
        <v>12</v>
      </c>
      <c r="C7074" t="s">
        <v>13</v>
      </c>
      <c r="D7074" t="s">
        <v>141</v>
      </c>
      <c r="E7074" s="2">
        <v>21.5</v>
      </c>
      <c r="F7074" s="4">
        <v>1</v>
      </c>
      <c r="G7074" s="2">
        <v>21.5</v>
      </c>
      <c r="H7074" t="s">
        <v>45</v>
      </c>
      <c r="I7074" t="s">
        <v>16</v>
      </c>
      <c r="J7074" s="1">
        <v>44733</v>
      </c>
      <c r="K7074" t="b">
        <v>0</v>
      </c>
    </row>
    <row r="7075" spans="1:11" x14ac:dyDescent="0.25">
      <c r="A7075" t="s">
        <v>4524</v>
      </c>
      <c r="B7075" t="s">
        <v>142</v>
      </c>
      <c r="C7075" t="s">
        <v>27</v>
      </c>
      <c r="D7075" t="s">
        <v>315</v>
      </c>
      <c r="E7075" s="2">
        <v>21.5</v>
      </c>
      <c r="F7075" s="4">
        <v>1</v>
      </c>
      <c r="G7075" s="2">
        <v>21.5</v>
      </c>
      <c r="H7075" t="s">
        <v>25</v>
      </c>
      <c r="I7075" t="s">
        <v>36</v>
      </c>
      <c r="J7075" s="1">
        <v>45541</v>
      </c>
      <c r="K7075" t="b">
        <v>0</v>
      </c>
    </row>
    <row r="7076" spans="1:11" x14ac:dyDescent="0.25">
      <c r="A7076" t="s">
        <v>3826</v>
      </c>
      <c r="B7076" t="s">
        <v>22</v>
      </c>
      <c r="C7076" t="s">
        <v>23</v>
      </c>
      <c r="D7076" t="s">
        <v>24</v>
      </c>
      <c r="E7076" s="2">
        <v>21.5</v>
      </c>
      <c r="F7076" s="4">
        <v>1</v>
      </c>
      <c r="G7076" s="2">
        <v>21.5</v>
      </c>
      <c r="H7076" t="s">
        <v>15</v>
      </c>
      <c r="I7076" t="s">
        <v>36</v>
      </c>
      <c r="J7076" s="1">
        <v>44998</v>
      </c>
      <c r="K7076" t="b">
        <v>0</v>
      </c>
    </row>
    <row r="7077" spans="1:11" x14ac:dyDescent="0.25">
      <c r="A7077" t="s">
        <v>918</v>
      </c>
      <c r="B7077" t="s">
        <v>58</v>
      </c>
      <c r="C7077" t="s">
        <v>59</v>
      </c>
      <c r="D7077" t="s">
        <v>288</v>
      </c>
      <c r="E7077" s="2">
        <v>21.5</v>
      </c>
      <c r="F7077" s="4">
        <v>1</v>
      </c>
      <c r="G7077" s="2">
        <v>21.5</v>
      </c>
      <c r="H7077" t="s">
        <v>25</v>
      </c>
      <c r="I7077" t="s">
        <v>36</v>
      </c>
      <c r="J7077" s="1">
        <v>44728</v>
      </c>
      <c r="K7077" t="b">
        <v>1</v>
      </c>
    </row>
    <row r="7078" spans="1:11" x14ac:dyDescent="0.25">
      <c r="A7078" t="s">
        <v>3912</v>
      </c>
      <c r="B7078" t="s">
        <v>12</v>
      </c>
      <c r="C7078" t="s">
        <v>23</v>
      </c>
      <c r="D7078" t="s">
        <v>24</v>
      </c>
      <c r="E7078" s="2">
        <v>21.5</v>
      </c>
      <c r="F7078" s="4">
        <v>1</v>
      </c>
      <c r="G7078" s="2">
        <v>21.5</v>
      </c>
      <c r="H7078" t="s">
        <v>15</v>
      </c>
      <c r="I7078" t="s">
        <v>36</v>
      </c>
      <c r="J7078" s="1">
        <v>45632</v>
      </c>
      <c r="K7078" t="b">
        <v>0</v>
      </c>
    </row>
    <row r="7079" spans="1:11" x14ac:dyDescent="0.25">
      <c r="A7079" t="s">
        <v>6537</v>
      </c>
      <c r="B7079" t="s">
        <v>86</v>
      </c>
      <c r="C7079" t="s">
        <v>110</v>
      </c>
      <c r="D7079" t="s">
        <v>451</v>
      </c>
      <c r="E7079" s="2">
        <v>21.5</v>
      </c>
      <c r="F7079" s="4">
        <v>1</v>
      </c>
      <c r="G7079" s="2">
        <v>21.5</v>
      </c>
      <c r="H7079" t="s">
        <v>15</v>
      </c>
      <c r="I7079" t="s">
        <v>36</v>
      </c>
      <c r="J7079" s="1">
        <v>44922</v>
      </c>
      <c r="K7079" t="b">
        <v>1</v>
      </c>
    </row>
    <row r="7080" spans="1:11" x14ac:dyDescent="0.25">
      <c r="A7080" t="s">
        <v>4419</v>
      </c>
      <c r="B7080" t="s">
        <v>58</v>
      </c>
      <c r="C7080" t="s">
        <v>59</v>
      </c>
      <c r="D7080" t="s">
        <v>288</v>
      </c>
      <c r="E7080" s="2">
        <v>21.5</v>
      </c>
      <c r="F7080" s="4">
        <v>1</v>
      </c>
      <c r="G7080" s="2">
        <v>21.5</v>
      </c>
      <c r="H7080" t="s">
        <v>45</v>
      </c>
      <c r="I7080" t="s">
        <v>16</v>
      </c>
      <c r="J7080" s="1">
        <v>44685</v>
      </c>
      <c r="K7080" t="b">
        <v>1</v>
      </c>
    </row>
    <row r="7081" spans="1:11" x14ac:dyDescent="0.25">
      <c r="A7081" t="s">
        <v>7067</v>
      </c>
      <c r="B7081" t="s">
        <v>43</v>
      </c>
      <c r="C7081" t="s">
        <v>19</v>
      </c>
      <c r="D7081" t="s">
        <v>1410</v>
      </c>
      <c r="E7081" s="2">
        <v>21.5</v>
      </c>
      <c r="F7081" s="4">
        <v>1</v>
      </c>
      <c r="G7081" s="2">
        <v>21.5</v>
      </c>
      <c r="H7081" t="s">
        <v>25</v>
      </c>
      <c r="I7081" t="s">
        <v>16</v>
      </c>
      <c r="J7081" s="1">
        <v>45332</v>
      </c>
      <c r="K7081" t="b">
        <v>1</v>
      </c>
    </row>
    <row r="7082" spans="1:11" x14ac:dyDescent="0.25">
      <c r="A7082" t="s">
        <v>4634</v>
      </c>
      <c r="B7082" t="s">
        <v>30</v>
      </c>
      <c r="C7082" t="s">
        <v>31</v>
      </c>
      <c r="D7082" t="s">
        <v>108</v>
      </c>
      <c r="E7082" s="2">
        <v>21.5</v>
      </c>
      <c r="F7082" s="4">
        <v>1</v>
      </c>
      <c r="G7082" s="2">
        <v>21.5</v>
      </c>
      <c r="H7082" t="s">
        <v>45</v>
      </c>
      <c r="I7082" t="s">
        <v>16</v>
      </c>
      <c r="J7082" s="1">
        <v>44788</v>
      </c>
      <c r="K7082" t="b">
        <v>1</v>
      </c>
    </row>
    <row r="7083" spans="1:11" x14ac:dyDescent="0.25">
      <c r="A7083" t="s">
        <v>3758</v>
      </c>
      <c r="B7083" t="s">
        <v>51</v>
      </c>
      <c r="C7083" t="s">
        <v>13</v>
      </c>
      <c r="D7083" t="s">
        <v>141</v>
      </c>
      <c r="E7083" s="2">
        <v>21.5</v>
      </c>
      <c r="F7083" s="4">
        <v>1</v>
      </c>
      <c r="G7083" s="2">
        <v>21.5</v>
      </c>
      <c r="H7083" t="s">
        <v>45</v>
      </c>
      <c r="I7083" t="s">
        <v>36</v>
      </c>
      <c r="J7083" s="1">
        <v>45212</v>
      </c>
      <c r="K7083" t="b">
        <v>0</v>
      </c>
    </row>
    <row r="7084" spans="1:11" x14ac:dyDescent="0.25">
      <c r="A7084" t="s">
        <v>5119</v>
      </c>
      <c r="B7084" t="s">
        <v>77</v>
      </c>
      <c r="C7084" t="s">
        <v>27</v>
      </c>
      <c r="D7084" t="s">
        <v>315</v>
      </c>
      <c r="E7084" s="2">
        <v>21.5</v>
      </c>
      <c r="F7084" s="4">
        <v>1</v>
      </c>
      <c r="G7084" s="2">
        <v>21.5</v>
      </c>
      <c r="H7084" t="s">
        <v>15</v>
      </c>
      <c r="I7084" t="s">
        <v>36</v>
      </c>
      <c r="J7084" s="1">
        <v>45466</v>
      </c>
      <c r="K7084" t="b">
        <v>0</v>
      </c>
    </row>
    <row r="7085" spans="1:11" x14ac:dyDescent="0.25">
      <c r="A7085" t="s">
        <v>2322</v>
      </c>
      <c r="B7085" t="s">
        <v>18</v>
      </c>
      <c r="C7085" t="s">
        <v>59</v>
      </c>
      <c r="D7085" t="s">
        <v>288</v>
      </c>
      <c r="E7085" s="2">
        <v>21.5</v>
      </c>
      <c r="F7085" s="4">
        <v>1</v>
      </c>
      <c r="G7085" s="2">
        <v>21.5</v>
      </c>
      <c r="H7085" t="s">
        <v>45</v>
      </c>
      <c r="I7085" t="s">
        <v>16</v>
      </c>
      <c r="J7085" s="1">
        <v>45499</v>
      </c>
      <c r="K7085" t="b">
        <v>0</v>
      </c>
    </row>
    <row r="7086" spans="1:11" x14ac:dyDescent="0.25">
      <c r="A7086" t="s">
        <v>4028</v>
      </c>
      <c r="B7086" t="s">
        <v>43</v>
      </c>
      <c r="C7086" t="s">
        <v>23</v>
      </c>
      <c r="D7086" t="s">
        <v>24</v>
      </c>
      <c r="E7086" s="2">
        <v>21.5</v>
      </c>
      <c r="F7086" s="4">
        <v>1</v>
      </c>
      <c r="G7086" s="2">
        <v>21.5</v>
      </c>
      <c r="H7086" t="s">
        <v>15</v>
      </c>
      <c r="I7086" t="s">
        <v>36</v>
      </c>
      <c r="J7086" s="1">
        <v>44734</v>
      </c>
      <c r="K7086" t="b">
        <v>0</v>
      </c>
    </row>
    <row r="7087" spans="1:11" x14ac:dyDescent="0.25">
      <c r="A7087" t="s">
        <v>7447</v>
      </c>
      <c r="B7087" t="s">
        <v>30</v>
      </c>
      <c r="C7087" t="s">
        <v>59</v>
      </c>
      <c r="D7087" t="s">
        <v>279</v>
      </c>
      <c r="E7087" s="2">
        <v>5</v>
      </c>
      <c r="F7087" s="4">
        <v>4</v>
      </c>
      <c r="G7087" s="2">
        <v>20</v>
      </c>
      <c r="H7087" t="s">
        <v>45</v>
      </c>
      <c r="I7087" t="s">
        <v>16</v>
      </c>
      <c r="J7087" s="1">
        <v>44824</v>
      </c>
      <c r="K7087" t="b">
        <v>0</v>
      </c>
    </row>
    <row r="7088" spans="1:11" x14ac:dyDescent="0.25">
      <c r="A7088" t="s">
        <v>1236</v>
      </c>
      <c r="B7088" t="s">
        <v>43</v>
      </c>
      <c r="C7088" t="s">
        <v>110</v>
      </c>
      <c r="D7088" t="s">
        <v>337</v>
      </c>
      <c r="E7088" s="2">
        <v>5</v>
      </c>
      <c r="F7088" s="4">
        <v>4</v>
      </c>
      <c r="G7088" s="2">
        <v>20</v>
      </c>
      <c r="H7088" t="s">
        <v>15</v>
      </c>
      <c r="I7088" t="s">
        <v>36</v>
      </c>
      <c r="J7088" s="1">
        <v>44929</v>
      </c>
      <c r="K7088" t="b">
        <v>1</v>
      </c>
    </row>
    <row r="7089" spans="1:11" x14ac:dyDescent="0.25">
      <c r="A7089" t="s">
        <v>4962</v>
      </c>
      <c r="B7089" t="s">
        <v>93</v>
      </c>
      <c r="C7089" t="s">
        <v>19</v>
      </c>
      <c r="D7089" t="s">
        <v>219</v>
      </c>
      <c r="E7089" s="2">
        <v>5</v>
      </c>
      <c r="F7089" s="4">
        <v>4</v>
      </c>
      <c r="G7089" s="2">
        <v>20</v>
      </c>
      <c r="H7089" t="s">
        <v>25</v>
      </c>
      <c r="I7089" t="s">
        <v>16</v>
      </c>
      <c r="J7089" s="1">
        <v>45020</v>
      </c>
      <c r="K7089" t="b">
        <v>1</v>
      </c>
    </row>
    <row r="7090" spans="1:11" x14ac:dyDescent="0.25">
      <c r="A7090" t="s">
        <v>595</v>
      </c>
      <c r="B7090" t="s">
        <v>18</v>
      </c>
      <c r="C7090" t="s">
        <v>110</v>
      </c>
      <c r="D7090" t="s">
        <v>263</v>
      </c>
      <c r="E7090" s="2">
        <v>20</v>
      </c>
      <c r="F7090" s="4">
        <v>1</v>
      </c>
      <c r="G7090" s="2">
        <v>20</v>
      </c>
      <c r="H7090" t="s">
        <v>25</v>
      </c>
      <c r="I7090" t="s">
        <v>16</v>
      </c>
      <c r="J7090" s="1">
        <v>45036</v>
      </c>
      <c r="K7090" t="b">
        <v>0</v>
      </c>
    </row>
    <row r="7091" spans="1:11" x14ac:dyDescent="0.25">
      <c r="A7091" t="s">
        <v>1115</v>
      </c>
      <c r="B7091" t="s">
        <v>51</v>
      </c>
      <c r="C7091" t="s">
        <v>59</v>
      </c>
      <c r="D7091" t="s">
        <v>365</v>
      </c>
      <c r="E7091" s="2">
        <v>20</v>
      </c>
      <c r="F7091" s="4">
        <v>1</v>
      </c>
      <c r="G7091" s="2">
        <v>20</v>
      </c>
      <c r="H7091" t="s">
        <v>15</v>
      </c>
      <c r="I7091" t="s">
        <v>16</v>
      </c>
      <c r="J7091" s="1">
        <v>45476</v>
      </c>
      <c r="K7091" t="b">
        <v>1</v>
      </c>
    </row>
    <row r="7092" spans="1:11" x14ac:dyDescent="0.25">
      <c r="A7092" t="s">
        <v>1818</v>
      </c>
      <c r="B7092" t="s">
        <v>85</v>
      </c>
      <c r="C7092" t="s">
        <v>23</v>
      </c>
      <c r="D7092" t="s">
        <v>311</v>
      </c>
      <c r="E7092" s="2">
        <v>5</v>
      </c>
      <c r="F7092" s="4">
        <v>4</v>
      </c>
      <c r="G7092" s="2">
        <v>20</v>
      </c>
      <c r="H7092" t="s">
        <v>25</v>
      </c>
      <c r="I7092" t="s">
        <v>36</v>
      </c>
      <c r="J7092" s="1">
        <v>45085</v>
      </c>
      <c r="K7092" t="b">
        <v>1</v>
      </c>
    </row>
    <row r="7093" spans="1:11" x14ac:dyDescent="0.25">
      <c r="A7093" t="s">
        <v>1230</v>
      </c>
      <c r="B7093" t="s">
        <v>61</v>
      </c>
      <c r="C7093" t="s">
        <v>110</v>
      </c>
      <c r="D7093" t="s">
        <v>263</v>
      </c>
      <c r="E7093" s="2">
        <v>20</v>
      </c>
      <c r="F7093" s="4">
        <v>1</v>
      </c>
      <c r="G7093" s="2">
        <v>20</v>
      </c>
      <c r="H7093" t="s">
        <v>45</v>
      </c>
      <c r="I7093" t="s">
        <v>16</v>
      </c>
      <c r="J7093" s="1">
        <v>44695</v>
      </c>
      <c r="K7093" t="b">
        <v>0</v>
      </c>
    </row>
    <row r="7094" spans="1:11" x14ac:dyDescent="0.25">
      <c r="A7094" t="s">
        <v>1121</v>
      </c>
      <c r="B7094" t="s">
        <v>104</v>
      </c>
      <c r="C7094" t="s">
        <v>31</v>
      </c>
      <c r="D7094" t="s">
        <v>82</v>
      </c>
      <c r="E7094" s="2">
        <v>20</v>
      </c>
      <c r="F7094" s="4">
        <v>1</v>
      </c>
      <c r="G7094" s="2">
        <v>20</v>
      </c>
      <c r="H7094" t="s">
        <v>15</v>
      </c>
      <c r="I7094" t="s">
        <v>16</v>
      </c>
      <c r="J7094" s="1">
        <v>44981</v>
      </c>
      <c r="K7094" t="b">
        <v>0</v>
      </c>
    </row>
    <row r="7095" spans="1:11" x14ac:dyDescent="0.25">
      <c r="A7095" t="s">
        <v>1162</v>
      </c>
      <c r="B7095" t="s">
        <v>104</v>
      </c>
      <c r="C7095" t="s">
        <v>27</v>
      </c>
      <c r="D7095" t="s">
        <v>348</v>
      </c>
      <c r="E7095" s="2">
        <v>5</v>
      </c>
      <c r="F7095" s="4">
        <v>4</v>
      </c>
      <c r="G7095" s="2">
        <v>20</v>
      </c>
      <c r="H7095" t="s">
        <v>45</v>
      </c>
      <c r="I7095" t="s">
        <v>36</v>
      </c>
      <c r="J7095" s="1">
        <v>44773</v>
      </c>
      <c r="K7095" t="b">
        <v>0</v>
      </c>
    </row>
    <row r="7096" spans="1:11" x14ac:dyDescent="0.25">
      <c r="A7096" t="s">
        <v>2726</v>
      </c>
      <c r="B7096" t="s">
        <v>37</v>
      </c>
      <c r="C7096" t="s">
        <v>38</v>
      </c>
      <c r="D7096" t="s">
        <v>159</v>
      </c>
      <c r="E7096" s="2">
        <v>20</v>
      </c>
      <c r="F7096" s="4">
        <v>1</v>
      </c>
      <c r="G7096" s="2">
        <v>20</v>
      </c>
      <c r="H7096" t="s">
        <v>45</v>
      </c>
      <c r="I7096" t="s">
        <v>16</v>
      </c>
      <c r="J7096" s="1">
        <v>45325</v>
      </c>
      <c r="K7096" t="b">
        <v>1</v>
      </c>
    </row>
    <row r="7097" spans="1:11" x14ac:dyDescent="0.25">
      <c r="A7097" t="s">
        <v>611</v>
      </c>
      <c r="B7097" t="s">
        <v>86</v>
      </c>
      <c r="C7097" t="s">
        <v>19</v>
      </c>
      <c r="D7097" t="s">
        <v>228</v>
      </c>
      <c r="E7097" s="2">
        <v>20</v>
      </c>
      <c r="F7097" s="4">
        <v>1</v>
      </c>
      <c r="G7097" s="2">
        <v>20</v>
      </c>
      <c r="H7097" t="s">
        <v>15</v>
      </c>
      <c r="I7097" t="s">
        <v>36</v>
      </c>
      <c r="J7097" s="1">
        <v>44659</v>
      </c>
      <c r="K7097" t="b">
        <v>0</v>
      </c>
    </row>
    <row r="7098" spans="1:11" x14ac:dyDescent="0.25">
      <c r="A7098" t="s">
        <v>5529</v>
      </c>
      <c r="B7098" t="s">
        <v>66</v>
      </c>
      <c r="C7098" t="s">
        <v>13</v>
      </c>
      <c r="D7098" t="s">
        <v>146</v>
      </c>
      <c r="E7098" s="2">
        <v>5</v>
      </c>
      <c r="F7098" s="4">
        <v>4</v>
      </c>
      <c r="G7098" s="2">
        <v>20</v>
      </c>
      <c r="H7098" t="s">
        <v>15</v>
      </c>
      <c r="I7098" t="s">
        <v>16</v>
      </c>
      <c r="J7098" s="1">
        <v>44920</v>
      </c>
      <c r="K7098" t="b">
        <v>0</v>
      </c>
    </row>
    <row r="7099" spans="1:11" x14ac:dyDescent="0.25">
      <c r="A7099" t="s">
        <v>3794</v>
      </c>
      <c r="B7099" t="s">
        <v>100</v>
      </c>
      <c r="C7099" t="s">
        <v>31</v>
      </c>
      <c r="D7099" t="s">
        <v>35</v>
      </c>
      <c r="E7099" s="2">
        <v>5</v>
      </c>
      <c r="F7099" s="4">
        <v>4</v>
      </c>
      <c r="G7099" s="2">
        <v>20</v>
      </c>
      <c r="H7099" t="s">
        <v>15</v>
      </c>
      <c r="I7099" t="s">
        <v>16</v>
      </c>
      <c r="J7099" s="1">
        <v>44700</v>
      </c>
      <c r="K7099" t="b">
        <v>1</v>
      </c>
    </row>
    <row r="7100" spans="1:11" x14ac:dyDescent="0.25">
      <c r="A7100" t="s">
        <v>4727</v>
      </c>
      <c r="B7100" t="s">
        <v>77</v>
      </c>
      <c r="C7100" t="s">
        <v>110</v>
      </c>
      <c r="D7100" t="s">
        <v>263</v>
      </c>
      <c r="E7100" s="2">
        <v>20</v>
      </c>
      <c r="F7100" s="4">
        <v>1</v>
      </c>
      <c r="G7100" s="2">
        <v>20</v>
      </c>
      <c r="H7100" t="s">
        <v>25</v>
      </c>
      <c r="I7100" t="s">
        <v>16</v>
      </c>
      <c r="J7100" s="1">
        <v>44724</v>
      </c>
      <c r="K7100" t="b">
        <v>0</v>
      </c>
    </row>
    <row r="7101" spans="1:11" x14ac:dyDescent="0.25">
      <c r="A7101" t="s">
        <v>7128</v>
      </c>
      <c r="B7101" t="s">
        <v>26</v>
      </c>
      <c r="C7101" t="s">
        <v>38</v>
      </c>
      <c r="D7101" t="s">
        <v>159</v>
      </c>
      <c r="E7101" s="2">
        <v>20</v>
      </c>
      <c r="F7101" s="4">
        <v>1</v>
      </c>
      <c r="G7101" s="2">
        <v>20</v>
      </c>
      <c r="H7101" t="s">
        <v>25</v>
      </c>
      <c r="I7101" t="s">
        <v>36</v>
      </c>
      <c r="J7101" s="1">
        <v>45628</v>
      </c>
      <c r="K7101" t="b">
        <v>1</v>
      </c>
    </row>
    <row r="7102" spans="1:11" x14ac:dyDescent="0.25">
      <c r="A7102" t="s">
        <v>6638</v>
      </c>
      <c r="B7102" t="s">
        <v>142</v>
      </c>
      <c r="C7102" t="s">
        <v>27</v>
      </c>
      <c r="D7102" t="s">
        <v>348</v>
      </c>
      <c r="E7102" s="2">
        <v>5</v>
      </c>
      <c r="F7102" s="4">
        <v>4</v>
      </c>
      <c r="G7102" s="2">
        <v>20</v>
      </c>
      <c r="H7102" t="s">
        <v>15</v>
      </c>
      <c r="I7102" t="s">
        <v>36</v>
      </c>
      <c r="J7102" s="1">
        <v>45138</v>
      </c>
      <c r="K7102" t="b">
        <v>0</v>
      </c>
    </row>
    <row r="7103" spans="1:11" x14ac:dyDescent="0.25">
      <c r="A7103" t="s">
        <v>4704</v>
      </c>
      <c r="B7103" t="s">
        <v>85</v>
      </c>
      <c r="C7103" t="s">
        <v>38</v>
      </c>
      <c r="D7103" t="s">
        <v>159</v>
      </c>
      <c r="E7103" s="2">
        <v>20</v>
      </c>
      <c r="F7103" s="4">
        <v>1</v>
      </c>
      <c r="G7103" s="2">
        <v>20</v>
      </c>
      <c r="H7103" t="s">
        <v>15</v>
      </c>
      <c r="I7103" t="s">
        <v>16</v>
      </c>
      <c r="J7103" s="1">
        <v>44909</v>
      </c>
      <c r="K7103" t="b">
        <v>1</v>
      </c>
    </row>
    <row r="7104" spans="1:11" x14ac:dyDescent="0.25">
      <c r="A7104" t="s">
        <v>4464</v>
      </c>
      <c r="B7104" t="s">
        <v>69</v>
      </c>
      <c r="C7104" t="s">
        <v>19</v>
      </c>
      <c r="D7104" t="s">
        <v>228</v>
      </c>
      <c r="E7104" s="2">
        <v>20</v>
      </c>
      <c r="F7104" s="4">
        <v>1</v>
      </c>
      <c r="G7104" s="2">
        <v>20</v>
      </c>
      <c r="H7104" t="s">
        <v>15</v>
      </c>
      <c r="I7104" t="s">
        <v>16</v>
      </c>
      <c r="J7104" s="1">
        <v>45624</v>
      </c>
      <c r="K7104" t="b">
        <v>0</v>
      </c>
    </row>
    <row r="7105" spans="1:11" x14ac:dyDescent="0.25">
      <c r="A7105" t="s">
        <v>6277</v>
      </c>
      <c r="B7105" t="s">
        <v>63</v>
      </c>
      <c r="C7105" t="s">
        <v>59</v>
      </c>
      <c r="D7105" t="s">
        <v>279</v>
      </c>
      <c r="E7105" s="2">
        <v>5</v>
      </c>
      <c r="F7105" s="4">
        <v>4</v>
      </c>
      <c r="G7105" s="2">
        <v>20</v>
      </c>
      <c r="H7105" t="s">
        <v>15</v>
      </c>
      <c r="I7105" t="s">
        <v>16</v>
      </c>
      <c r="J7105" s="1">
        <v>45424</v>
      </c>
      <c r="K7105" t="b">
        <v>1</v>
      </c>
    </row>
    <row r="7106" spans="1:11" x14ac:dyDescent="0.25">
      <c r="A7106" t="s">
        <v>5086</v>
      </c>
      <c r="B7106" t="s">
        <v>100</v>
      </c>
      <c r="C7106" t="s">
        <v>19</v>
      </c>
      <c r="D7106" t="s">
        <v>228</v>
      </c>
      <c r="E7106" s="2">
        <v>20</v>
      </c>
      <c r="F7106" s="4">
        <v>1</v>
      </c>
      <c r="G7106" s="2">
        <v>20</v>
      </c>
      <c r="H7106" t="s">
        <v>25</v>
      </c>
      <c r="I7106" t="s">
        <v>16</v>
      </c>
      <c r="J7106" s="1">
        <v>44747</v>
      </c>
      <c r="K7106" t="b">
        <v>1</v>
      </c>
    </row>
    <row r="7107" spans="1:11" x14ac:dyDescent="0.25">
      <c r="A7107" t="s">
        <v>7781</v>
      </c>
      <c r="B7107" t="s">
        <v>93</v>
      </c>
      <c r="C7107" t="s">
        <v>27</v>
      </c>
      <c r="D7107" t="s">
        <v>348</v>
      </c>
      <c r="E7107" s="2">
        <v>5</v>
      </c>
      <c r="F7107" s="4">
        <v>4</v>
      </c>
      <c r="G7107" s="2">
        <v>20</v>
      </c>
      <c r="H7107" t="s">
        <v>15</v>
      </c>
      <c r="I7107" t="s">
        <v>16</v>
      </c>
      <c r="J7107" s="1">
        <v>45460</v>
      </c>
      <c r="K7107" t="b">
        <v>1</v>
      </c>
    </row>
    <row r="7108" spans="1:11" x14ac:dyDescent="0.25">
      <c r="A7108" t="s">
        <v>3825</v>
      </c>
      <c r="B7108" t="s">
        <v>43</v>
      </c>
      <c r="C7108" t="s">
        <v>23</v>
      </c>
      <c r="D7108" t="s">
        <v>666</v>
      </c>
      <c r="E7108" s="2">
        <v>20</v>
      </c>
      <c r="F7108" s="4">
        <v>1</v>
      </c>
      <c r="G7108" s="2">
        <v>20</v>
      </c>
      <c r="H7108" t="s">
        <v>15</v>
      </c>
      <c r="I7108" t="s">
        <v>36</v>
      </c>
      <c r="J7108" s="1">
        <v>45181</v>
      </c>
      <c r="K7108" t="b">
        <v>1</v>
      </c>
    </row>
    <row r="7109" spans="1:11" x14ac:dyDescent="0.25">
      <c r="A7109" t="s">
        <v>6208</v>
      </c>
      <c r="B7109" t="s">
        <v>97</v>
      </c>
      <c r="C7109" t="s">
        <v>23</v>
      </c>
      <c r="D7109" t="s">
        <v>311</v>
      </c>
      <c r="E7109" s="2">
        <v>5</v>
      </c>
      <c r="F7109" s="4">
        <v>4</v>
      </c>
      <c r="G7109" s="2">
        <v>20</v>
      </c>
      <c r="H7109" t="s">
        <v>15</v>
      </c>
      <c r="I7109" t="s">
        <v>16</v>
      </c>
      <c r="J7109" s="1">
        <v>45488</v>
      </c>
      <c r="K7109" t="b">
        <v>1</v>
      </c>
    </row>
    <row r="7110" spans="1:11" x14ac:dyDescent="0.25">
      <c r="A7110" t="s">
        <v>2177</v>
      </c>
      <c r="B7110" t="s">
        <v>56</v>
      </c>
      <c r="C7110" t="s">
        <v>38</v>
      </c>
      <c r="D7110" t="s">
        <v>225</v>
      </c>
      <c r="E7110" s="2">
        <v>5</v>
      </c>
      <c r="F7110" s="4">
        <v>4</v>
      </c>
      <c r="G7110" s="2">
        <v>20</v>
      </c>
      <c r="H7110" t="s">
        <v>45</v>
      </c>
      <c r="I7110" t="s">
        <v>36</v>
      </c>
      <c r="J7110" s="1">
        <v>45535</v>
      </c>
      <c r="K7110" t="b">
        <v>1</v>
      </c>
    </row>
    <row r="7111" spans="1:11" x14ac:dyDescent="0.25">
      <c r="A7111" t="s">
        <v>5021</v>
      </c>
      <c r="B7111" t="s">
        <v>22</v>
      </c>
      <c r="C7111" t="s">
        <v>59</v>
      </c>
      <c r="D7111" t="s">
        <v>365</v>
      </c>
      <c r="E7111" s="2">
        <v>20</v>
      </c>
      <c r="F7111" s="4">
        <v>1</v>
      </c>
      <c r="G7111" s="2">
        <v>20</v>
      </c>
      <c r="H7111" t="s">
        <v>15</v>
      </c>
      <c r="I7111" t="s">
        <v>16</v>
      </c>
      <c r="J7111" s="1">
        <v>45518</v>
      </c>
      <c r="K7111" t="b">
        <v>0</v>
      </c>
    </row>
    <row r="7112" spans="1:11" x14ac:dyDescent="0.25">
      <c r="A7112" t="s">
        <v>1652</v>
      </c>
      <c r="B7112" t="s">
        <v>43</v>
      </c>
      <c r="C7112" t="s">
        <v>38</v>
      </c>
      <c r="D7112" t="s">
        <v>225</v>
      </c>
      <c r="E7112" s="2">
        <v>5</v>
      </c>
      <c r="F7112" s="4">
        <v>4</v>
      </c>
      <c r="G7112" s="2">
        <v>20</v>
      </c>
      <c r="H7112" t="s">
        <v>25</v>
      </c>
      <c r="I7112" t="s">
        <v>36</v>
      </c>
      <c r="J7112" s="1">
        <v>44831</v>
      </c>
      <c r="K7112" t="b">
        <v>0</v>
      </c>
    </row>
    <row r="7113" spans="1:11" x14ac:dyDescent="0.25">
      <c r="A7113" t="s">
        <v>4060</v>
      </c>
      <c r="B7113" t="s">
        <v>30</v>
      </c>
      <c r="C7113" t="s">
        <v>38</v>
      </c>
      <c r="D7113" t="s">
        <v>159</v>
      </c>
      <c r="E7113" s="2">
        <v>20</v>
      </c>
      <c r="F7113" s="4">
        <v>1</v>
      </c>
      <c r="G7113" s="2">
        <v>20</v>
      </c>
      <c r="H7113" t="s">
        <v>25</v>
      </c>
      <c r="I7113" t="s">
        <v>16</v>
      </c>
      <c r="J7113" s="1">
        <v>45247</v>
      </c>
      <c r="K7113" t="b">
        <v>1</v>
      </c>
    </row>
    <row r="7114" spans="1:11" x14ac:dyDescent="0.25">
      <c r="A7114" t="s">
        <v>1173</v>
      </c>
      <c r="B7114" t="s">
        <v>69</v>
      </c>
      <c r="C7114" t="s">
        <v>38</v>
      </c>
      <c r="D7114" t="s">
        <v>159</v>
      </c>
      <c r="E7114" s="2">
        <v>20</v>
      </c>
      <c r="F7114" s="4">
        <v>1</v>
      </c>
      <c r="G7114" s="2">
        <v>20</v>
      </c>
      <c r="H7114" t="s">
        <v>15</v>
      </c>
      <c r="I7114" t="s">
        <v>16</v>
      </c>
      <c r="J7114" s="1">
        <v>45289</v>
      </c>
      <c r="K7114" t="b">
        <v>1</v>
      </c>
    </row>
    <row r="7115" spans="1:11" x14ac:dyDescent="0.25">
      <c r="A7115" t="s">
        <v>4674</v>
      </c>
      <c r="B7115" t="s">
        <v>93</v>
      </c>
      <c r="C7115" t="s">
        <v>23</v>
      </c>
      <c r="D7115" t="s">
        <v>311</v>
      </c>
      <c r="E7115" s="2">
        <v>5</v>
      </c>
      <c r="F7115" s="4">
        <v>4</v>
      </c>
      <c r="G7115" s="2">
        <v>20</v>
      </c>
      <c r="H7115" t="s">
        <v>25</v>
      </c>
      <c r="I7115" t="s">
        <v>36</v>
      </c>
      <c r="J7115" s="1">
        <v>45243</v>
      </c>
      <c r="K7115" t="b">
        <v>1</v>
      </c>
    </row>
    <row r="7116" spans="1:11" x14ac:dyDescent="0.25">
      <c r="A7116" t="s">
        <v>2447</v>
      </c>
      <c r="B7116" t="s">
        <v>56</v>
      </c>
      <c r="C7116" t="s">
        <v>110</v>
      </c>
      <c r="D7116" t="s">
        <v>263</v>
      </c>
      <c r="E7116" s="2">
        <v>20</v>
      </c>
      <c r="F7116" s="4">
        <v>1</v>
      </c>
      <c r="G7116" s="2">
        <v>20</v>
      </c>
      <c r="H7116" t="s">
        <v>15</v>
      </c>
      <c r="I7116" t="s">
        <v>36</v>
      </c>
      <c r="J7116" s="1">
        <v>44697</v>
      </c>
      <c r="K7116" t="b">
        <v>0</v>
      </c>
    </row>
    <row r="7117" spans="1:11" x14ac:dyDescent="0.25">
      <c r="A7117" t="s">
        <v>1643</v>
      </c>
      <c r="B7117" t="s">
        <v>12</v>
      </c>
      <c r="C7117" t="s">
        <v>19</v>
      </c>
      <c r="D7117" t="s">
        <v>219</v>
      </c>
      <c r="E7117" s="2">
        <v>5</v>
      </c>
      <c r="F7117" s="4">
        <v>4</v>
      </c>
      <c r="G7117" s="2">
        <v>20</v>
      </c>
      <c r="H7117" t="s">
        <v>25</v>
      </c>
      <c r="I7117" t="s">
        <v>16</v>
      </c>
      <c r="J7117" s="1">
        <v>45633</v>
      </c>
      <c r="K7117" t="b">
        <v>1</v>
      </c>
    </row>
    <row r="7118" spans="1:11" x14ac:dyDescent="0.25">
      <c r="A7118" t="s">
        <v>1195</v>
      </c>
      <c r="B7118" t="s">
        <v>30</v>
      </c>
      <c r="C7118" t="s">
        <v>59</v>
      </c>
      <c r="D7118" t="s">
        <v>365</v>
      </c>
      <c r="E7118" s="2">
        <v>20</v>
      </c>
      <c r="F7118" s="4">
        <v>1</v>
      </c>
      <c r="G7118" s="2">
        <v>20</v>
      </c>
      <c r="H7118" t="s">
        <v>15</v>
      </c>
      <c r="I7118" t="s">
        <v>36</v>
      </c>
      <c r="J7118" s="1">
        <v>45194</v>
      </c>
      <c r="K7118" t="b">
        <v>1</v>
      </c>
    </row>
    <row r="7119" spans="1:11" x14ac:dyDescent="0.25">
      <c r="A7119" t="s">
        <v>2501</v>
      </c>
      <c r="B7119" t="s">
        <v>51</v>
      </c>
      <c r="C7119" t="s">
        <v>13</v>
      </c>
      <c r="D7119" t="s">
        <v>146</v>
      </c>
      <c r="E7119" s="2">
        <v>5</v>
      </c>
      <c r="F7119" s="4">
        <v>4</v>
      </c>
      <c r="G7119" s="2">
        <v>20</v>
      </c>
      <c r="H7119" t="s">
        <v>45</v>
      </c>
      <c r="I7119" t="s">
        <v>16</v>
      </c>
      <c r="J7119" s="1">
        <v>45243</v>
      </c>
      <c r="K7119" t="b">
        <v>1</v>
      </c>
    </row>
    <row r="7120" spans="1:11" x14ac:dyDescent="0.25">
      <c r="A7120" t="s">
        <v>5562</v>
      </c>
      <c r="B7120" t="s">
        <v>100</v>
      </c>
      <c r="C7120" t="s">
        <v>13</v>
      </c>
      <c r="D7120" t="s">
        <v>146</v>
      </c>
      <c r="E7120" s="2">
        <v>5</v>
      </c>
      <c r="F7120" s="4">
        <v>4</v>
      </c>
      <c r="G7120" s="2">
        <v>20</v>
      </c>
      <c r="H7120" t="s">
        <v>25</v>
      </c>
      <c r="I7120" t="s">
        <v>36</v>
      </c>
      <c r="J7120" s="1">
        <v>44567</v>
      </c>
      <c r="K7120" t="b">
        <v>1</v>
      </c>
    </row>
    <row r="7121" spans="1:11" x14ac:dyDescent="0.25">
      <c r="A7121" t="s">
        <v>7340</v>
      </c>
      <c r="B7121" t="s">
        <v>58</v>
      </c>
      <c r="C7121" t="s">
        <v>19</v>
      </c>
      <c r="D7121" t="s">
        <v>219</v>
      </c>
      <c r="E7121" s="2">
        <v>5</v>
      </c>
      <c r="F7121" s="4">
        <v>4</v>
      </c>
      <c r="G7121" s="2">
        <v>20</v>
      </c>
      <c r="H7121" t="s">
        <v>25</v>
      </c>
      <c r="I7121" t="s">
        <v>16</v>
      </c>
      <c r="J7121" s="1">
        <v>45027</v>
      </c>
      <c r="K7121" t="b">
        <v>1</v>
      </c>
    </row>
    <row r="7122" spans="1:11" x14ac:dyDescent="0.25">
      <c r="A7122" t="s">
        <v>630</v>
      </c>
      <c r="B7122" t="s">
        <v>104</v>
      </c>
      <c r="C7122" t="s">
        <v>13</v>
      </c>
      <c r="D7122" t="s">
        <v>113</v>
      </c>
      <c r="E7122" s="2">
        <v>20</v>
      </c>
      <c r="F7122" s="4">
        <v>1</v>
      </c>
      <c r="G7122" s="2">
        <v>20</v>
      </c>
      <c r="H7122" t="s">
        <v>25</v>
      </c>
      <c r="I7122" t="s">
        <v>16</v>
      </c>
      <c r="J7122" s="1">
        <v>45660</v>
      </c>
      <c r="K7122" t="b">
        <v>0</v>
      </c>
    </row>
    <row r="7123" spans="1:11" x14ac:dyDescent="0.25">
      <c r="A7123" t="s">
        <v>2921</v>
      </c>
      <c r="B7123" t="s">
        <v>104</v>
      </c>
      <c r="C7123" t="s">
        <v>19</v>
      </c>
      <c r="D7123" t="s">
        <v>228</v>
      </c>
      <c r="E7123" s="2">
        <v>20</v>
      </c>
      <c r="F7123" s="4">
        <v>1</v>
      </c>
      <c r="G7123" s="2">
        <v>20</v>
      </c>
      <c r="H7123" t="s">
        <v>15</v>
      </c>
      <c r="I7123" t="s">
        <v>16</v>
      </c>
      <c r="J7123" s="1">
        <v>44852</v>
      </c>
      <c r="K7123" t="b">
        <v>0</v>
      </c>
    </row>
    <row r="7124" spans="1:11" x14ac:dyDescent="0.25">
      <c r="A7124" t="s">
        <v>5702</v>
      </c>
      <c r="B7124" t="s">
        <v>63</v>
      </c>
      <c r="C7124" t="s">
        <v>13</v>
      </c>
      <c r="D7124" t="s">
        <v>113</v>
      </c>
      <c r="E7124" s="2">
        <v>20</v>
      </c>
      <c r="F7124" s="4">
        <v>1</v>
      </c>
      <c r="G7124" s="2">
        <v>20</v>
      </c>
      <c r="H7124" t="s">
        <v>45</v>
      </c>
      <c r="I7124" t="s">
        <v>36</v>
      </c>
      <c r="J7124" s="1">
        <v>45201</v>
      </c>
      <c r="K7124" t="b">
        <v>1</v>
      </c>
    </row>
    <row r="7125" spans="1:11" x14ac:dyDescent="0.25">
      <c r="A7125" t="s">
        <v>576</v>
      </c>
      <c r="B7125" t="s">
        <v>51</v>
      </c>
      <c r="C7125" t="s">
        <v>27</v>
      </c>
      <c r="D7125" t="s">
        <v>95</v>
      </c>
      <c r="E7125" s="2">
        <v>20</v>
      </c>
      <c r="F7125" s="4">
        <v>1</v>
      </c>
      <c r="G7125" s="2">
        <v>20</v>
      </c>
      <c r="H7125" t="s">
        <v>15</v>
      </c>
      <c r="I7125" t="s">
        <v>16</v>
      </c>
      <c r="J7125" s="1">
        <v>44616</v>
      </c>
      <c r="K7125" t="b">
        <v>1</v>
      </c>
    </row>
    <row r="7126" spans="1:11" x14ac:dyDescent="0.25">
      <c r="A7126" t="s">
        <v>2712</v>
      </c>
      <c r="B7126" t="s">
        <v>93</v>
      </c>
      <c r="C7126" t="s">
        <v>38</v>
      </c>
      <c r="D7126" t="s">
        <v>159</v>
      </c>
      <c r="E7126" s="2">
        <v>20</v>
      </c>
      <c r="F7126" s="4">
        <v>1</v>
      </c>
      <c r="G7126" s="2">
        <v>20</v>
      </c>
      <c r="H7126" t="s">
        <v>45</v>
      </c>
      <c r="I7126" t="s">
        <v>36</v>
      </c>
      <c r="J7126" s="1">
        <v>45272</v>
      </c>
      <c r="K7126" t="b">
        <v>1</v>
      </c>
    </row>
    <row r="7127" spans="1:11" x14ac:dyDescent="0.25">
      <c r="A7127" t="s">
        <v>3493</v>
      </c>
      <c r="B7127" t="s">
        <v>97</v>
      </c>
      <c r="C7127" t="s">
        <v>38</v>
      </c>
      <c r="D7127" t="s">
        <v>159</v>
      </c>
      <c r="E7127" s="2">
        <v>20</v>
      </c>
      <c r="F7127" s="4">
        <v>1</v>
      </c>
      <c r="G7127" s="2">
        <v>20</v>
      </c>
      <c r="H7127" t="s">
        <v>45</v>
      </c>
      <c r="I7127" t="s">
        <v>16</v>
      </c>
      <c r="J7127" s="1">
        <v>45477</v>
      </c>
      <c r="K7127" t="b">
        <v>1</v>
      </c>
    </row>
    <row r="7128" spans="1:11" x14ac:dyDescent="0.25">
      <c r="A7128" t="s">
        <v>6021</v>
      </c>
      <c r="B7128" t="s">
        <v>56</v>
      </c>
      <c r="C7128" t="s">
        <v>31</v>
      </c>
      <c r="D7128" t="s">
        <v>82</v>
      </c>
      <c r="E7128" s="2">
        <v>20</v>
      </c>
      <c r="F7128" s="4">
        <v>1</v>
      </c>
      <c r="G7128" s="2">
        <v>20</v>
      </c>
      <c r="H7128" t="s">
        <v>25</v>
      </c>
      <c r="I7128" t="s">
        <v>36</v>
      </c>
      <c r="J7128" s="1">
        <v>45542</v>
      </c>
      <c r="K7128" t="b">
        <v>1</v>
      </c>
    </row>
    <row r="7129" spans="1:11" x14ac:dyDescent="0.25">
      <c r="A7129" t="s">
        <v>7823</v>
      </c>
      <c r="B7129" t="s">
        <v>61</v>
      </c>
      <c r="C7129" t="s">
        <v>19</v>
      </c>
      <c r="D7129" t="s">
        <v>219</v>
      </c>
      <c r="E7129" s="2">
        <v>5</v>
      </c>
      <c r="F7129" s="4">
        <v>4</v>
      </c>
      <c r="G7129" s="2">
        <v>20</v>
      </c>
      <c r="H7129" t="s">
        <v>45</v>
      </c>
      <c r="I7129" t="s">
        <v>16</v>
      </c>
      <c r="J7129" s="1">
        <v>45055</v>
      </c>
      <c r="K7129" t="b">
        <v>0</v>
      </c>
    </row>
    <row r="7130" spans="1:11" x14ac:dyDescent="0.25">
      <c r="A7130" t="s">
        <v>5991</v>
      </c>
      <c r="B7130" t="s">
        <v>104</v>
      </c>
      <c r="C7130" t="s">
        <v>110</v>
      </c>
      <c r="D7130" t="s">
        <v>337</v>
      </c>
      <c r="E7130" s="2">
        <v>5</v>
      </c>
      <c r="F7130" s="4">
        <v>4</v>
      </c>
      <c r="G7130" s="2">
        <v>20</v>
      </c>
      <c r="H7130" t="s">
        <v>45</v>
      </c>
      <c r="I7130" t="s">
        <v>36</v>
      </c>
      <c r="J7130" s="1">
        <v>45655</v>
      </c>
      <c r="K7130" t="b">
        <v>0</v>
      </c>
    </row>
    <row r="7131" spans="1:11" x14ac:dyDescent="0.25">
      <c r="A7131" t="s">
        <v>2731</v>
      </c>
      <c r="B7131" t="s">
        <v>58</v>
      </c>
      <c r="C7131" t="s">
        <v>19</v>
      </c>
      <c r="D7131" t="s">
        <v>219</v>
      </c>
      <c r="E7131" s="2">
        <v>5</v>
      </c>
      <c r="F7131" s="4">
        <v>4</v>
      </c>
      <c r="G7131" s="2">
        <v>20</v>
      </c>
      <c r="H7131" t="s">
        <v>45</v>
      </c>
      <c r="I7131" t="s">
        <v>16</v>
      </c>
      <c r="J7131" s="1">
        <v>45114</v>
      </c>
      <c r="K7131" t="b">
        <v>0</v>
      </c>
    </row>
    <row r="7132" spans="1:11" x14ac:dyDescent="0.25">
      <c r="A7132" t="s">
        <v>6759</v>
      </c>
      <c r="B7132" t="s">
        <v>18</v>
      </c>
      <c r="C7132" t="s">
        <v>38</v>
      </c>
      <c r="D7132" t="s">
        <v>225</v>
      </c>
      <c r="E7132" s="2">
        <v>5</v>
      </c>
      <c r="F7132" s="4">
        <v>4</v>
      </c>
      <c r="G7132" s="2">
        <v>20</v>
      </c>
      <c r="H7132" t="s">
        <v>25</v>
      </c>
      <c r="I7132" t="s">
        <v>16</v>
      </c>
      <c r="J7132" s="1">
        <v>45235</v>
      </c>
      <c r="K7132" t="b">
        <v>0</v>
      </c>
    </row>
    <row r="7133" spans="1:11" x14ac:dyDescent="0.25">
      <c r="A7133" t="s">
        <v>6959</v>
      </c>
      <c r="B7133" t="s">
        <v>86</v>
      </c>
      <c r="C7133" t="s">
        <v>38</v>
      </c>
      <c r="D7133" t="s">
        <v>225</v>
      </c>
      <c r="E7133" s="2">
        <v>5</v>
      </c>
      <c r="F7133" s="4">
        <v>4</v>
      </c>
      <c r="G7133" s="2">
        <v>20</v>
      </c>
      <c r="H7133" t="s">
        <v>25</v>
      </c>
      <c r="I7133" t="s">
        <v>36</v>
      </c>
      <c r="J7133" s="1">
        <v>44615</v>
      </c>
      <c r="K7133" t="b">
        <v>1</v>
      </c>
    </row>
    <row r="7134" spans="1:11" x14ac:dyDescent="0.25">
      <c r="A7134" t="s">
        <v>1826</v>
      </c>
      <c r="B7134" t="s">
        <v>93</v>
      </c>
      <c r="C7134" t="s">
        <v>27</v>
      </c>
      <c r="D7134" t="s">
        <v>348</v>
      </c>
      <c r="E7134" s="2">
        <v>5</v>
      </c>
      <c r="F7134" s="4">
        <v>4</v>
      </c>
      <c r="G7134" s="2">
        <v>20</v>
      </c>
      <c r="H7134" t="s">
        <v>45</v>
      </c>
      <c r="I7134" t="s">
        <v>16</v>
      </c>
      <c r="J7134" s="1">
        <v>44996</v>
      </c>
      <c r="K7134" t="b">
        <v>1</v>
      </c>
    </row>
    <row r="7135" spans="1:11" x14ac:dyDescent="0.25">
      <c r="A7135" t="s">
        <v>2298</v>
      </c>
      <c r="B7135" t="s">
        <v>72</v>
      </c>
      <c r="C7135" t="s">
        <v>27</v>
      </c>
      <c r="D7135" t="s">
        <v>95</v>
      </c>
      <c r="E7135" s="2">
        <v>20</v>
      </c>
      <c r="F7135" s="4">
        <v>1</v>
      </c>
      <c r="G7135" s="2">
        <v>20</v>
      </c>
      <c r="H7135" t="s">
        <v>15</v>
      </c>
      <c r="I7135" t="s">
        <v>16</v>
      </c>
      <c r="J7135" s="1">
        <v>45367</v>
      </c>
      <c r="K7135" t="b">
        <v>0</v>
      </c>
    </row>
    <row r="7136" spans="1:11" x14ac:dyDescent="0.25">
      <c r="A7136" t="s">
        <v>2033</v>
      </c>
      <c r="B7136" t="s">
        <v>69</v>
      </c>
      <c r="C7136" t="s">
        <v>19</v>
      </c>
      <c r="D7136" t="s">
        <v>228</v>
      </c>
      <c r="E7136" s="2">
        <v>20</v>
      </c>
      <c r="F7136" s="4">
        <v>1</v>
      </c>
      <c r="G7136" s="2">
        <v>20</v>
      </c>
      <c r="H7136" t="s">
        <v>45</v>
      </c>
      <c r="I7136" t="s">
        <v>36</v>
      </c>
      <c r="J7136" s="1">
        <v>44574</v>
      </c>
      <c r="K7136" t="b">
        <v>1</v>
      </c>
    </row>
    <row r="7137" spans="1:11" x14ac:dyDescent="0.25">
      <c r="A7137" t="s">
        <v>5821</v>
      </c>
      <c r="B7137" t="s">
        <v>34</v>
      </c>
      <c r="C7137" t="s">
        <v>13</v>
      </c>
      <c r="D7137" t="s">
        <v>146</v>
      </c>
      <c r="E7137" s="2">
        <v>5</v>
      </c>
      <c r="F7137" s="4">
        <v>4</v>
      </c>
      <c r="G7137" s="2">
        <v>20</v>
      </c>
      <c r="H7137" t="s">
        <v>45</v>
      </c>
      <c r="I7137" t="s">
        <v>36</v>
      </c>
      <c r="J7137" s="1">
        <v>45364</v>
      </c>
      <c r="K7137" t="b">
        <v>1</v>
      </c>
    </row>
    <row r="7138" spans="1:11" x14ac:dyDescent="0.25">
      <c r="A7138" t="s">
        <v>4156</v>
      </c>
      <c r="B7138" t="s">
        <v>142</v>
      </c>
      <c r="C7138" t="s">
        <v>23</v>
      </c>
      <c r="D7138" t="s">
        <v>666</v>
      </c>
      <c r="E7138" s="2">
        <v>20</v>
      </c>
      <c r="F7138" s="4">
        <v>1</v>
      </c>
      <c r="G7138" s="2">
        <v>20</v>
      </c>
      <c r="H7138" t="s">
        <v>15</v>
      </c>
      <c r="I7138" t="s">
        <v>16</v>
      </c>
      <c r="J7138" s="1">
        <v>44787</v>
      </c>
      <c r="K7138" t="b">
        <v>0</v>
      </c>
    </row>
    <row r="7139" spans="1:11" x14ac:dyDescent="0.25">
      <c r="A7139" t="s">
        <v>3117</v>
      </c>
      <c r="B7139" t="s">
        <v>72</v>
      </c>
      <c r="C7139" t="s">
        <v>110</v>
      </c>
      <c r="D7139" t="s">
        <v>263</v>
      </c>
      <c r="E7139" s="2">
        <v>20</v>
      </c>
      <c r="F7139" s="4">
        <v>1</v>
      </c>
      <c r="G7139" s="2">
        <v>20</v>
      </c>
      <c r="H7139" t="s">
        <v>25</v>
      </c>
      <c r="I7139" t="s">
        <v>36</v>
      </c>
      <c r="J7139" s="1">
        <v>45575</v>
      </c>
      <c r="K7139" t="b">
        <v>0</v>
      </c>
    </row>
    <row r="7140" spans="1:11" x14ac:dyDescent="0.25">
      <c r="A7140" t="s">
        <v>900</v>
      </c>
      <c r="B7140" t="s">
        <v>18</v>
      </c>
      <c r="C7140" t="s">
        <v>31</v>
      </c>
      <c r="D7140" t="s">
        <v>82</v>
      </c>
      <c r="E7140" s="2">
        <v>20</v>
      </c>
      <c r="F7140" s="4">
        <v>1</v>
      </c>
      <c r="G7140" s="2">
        <v>20</v>
      </c>
      <c r="H7140" t="s">
        <v>15</v>
      </c>
      <c r="I7140" t="s">
        <v>16</v>
      </c>
      <c r="J7140" s="1">
        <v>44978</v>
      </c>
      <c r="K7140" t="b">
        <v>0</v>
      </c>
    </row>
    <row r="7141" spans="1:11" x14ac:dyDescent="0.25">
      <c r="A7141" t="s">
        <v>4159</v>
      </c>
      <c r="B7141" t="s">
        <v>63</v>
      </c>
      <c r="C7141" t="s">
        <v>19</v>
      </c>
      <c r="D7141" t="s">
        <v>228</v>
      </c>
      <c r="E7141" s="2">
        <v>20</v>
      </c>
      <c r="F7141" s="4">
        <v>1</v>
      </c>
      <c r="G7141" s="2">
        <v>20</v>
      </c>
      <c r="H7141" t="s">
        <v>15</v>
      </c>
      <c r="I7141" t="s">
        <v>36</v>
      </c>
      <c r="J7141" s="1">
        <v>44571</v>
      </c>
      <c r="K7141" t="b">
        <v>1</v>
      </c>
    </row>
    <row r="7142" spans="1:11" x14ac:dyDescent="0.25">
      <c r="A7142" t="s">
        <v>5773</v>
      </c>
      <c r="B7142" t="s">
        <v>72</v>
      </c>
      <c r="C7142" t="s">
        <v>23</v>
      </c>
      <c r="D7142" t="s">
        <v>666</v>
      </c>
      <c r="E7142" s="2">
        <v>20</v>
      </c>
      <c r="F7142" s="4">
        <v>1</v>
      </c>
      <c r="G7142" s="2">
        <v>20</v>
      </c>
      <c r="H7142" t="s">
        <v>25</v>
      </c>
      <c r="I7142" t="s">
        <v>36</v>
      </c>
      <c r="J7142" s="1">
        <v>44760</v>
      </c>
      <c r="K7142" t="b">
        <v>1</v>
      </c>
    </row>
    <row r="7143" spans="1:11" x14ac:dyDescent="0.25">
      <c r="A7143" t="s">
        <v>1510</v>
      </c>
      <c r="B7143" t="s">
        <v>56</v>
      </c>
      <c r="C7143" t="s">
        <v>110</v>
      </c>
      <c r="D7143" t="s">
        <v>263</v>
      </c>
      <c r="E7143" s="2">
        <v>20</v>
      </c>
      <c r="F7143" s="4">
        <v>1</v>
      </c>
      <c r="G7143" s="2">
        <v>20</v>
      </c>
      <c r="H7143" t="s">
        <v>25</v>
      </c>
      <c r="I7143" t="s">
        <v>16</v>
      </c>
      <c r="J7143" s="1">
        <v>45108</v>
      </c>
      <c r="K7143" t="b">
        <v>1</v>
      </c>
    </row>
    <row r="7144" spans="1:11" x14ac:dyDescent="0.25">
      <c r="A7144" t="s">
        <v>6158</v>
      </c>
      <c r="B7144" t="s">
        <v>72</v>
      </c>
      <c r="C7144" t="s">
        <v>31</v>
      </c>
      <c r="D7144" t="s">
        <v>35</v>
      </c>
      <c r="E7144" s="2">
        <v>5</v>
      </c>
      <c r="F7144" s="4">
        <v>4</v>
      </c>
      <c r="G7144" s="2">
        <v>20</v>
      </c>
      <c r="H7144" t="s">
        <v>15</v>
      </c>
      <c r="I7144" t="s">
        <v>16</v>
      </c>
      <c r="J7144" s="1">
        <v>45276</v>
      </c>
      <c r="K7144" t="b">
        <v>1</v>
      </c>
    </row>
    <row r="7145" spans="1:11" x14ac:dyDescent="0.25">
      <c r="A7145" t="s">
        <v>5951</v>
      </c>
      <c r="B7145" t="s">
        <v>12</v>
      </c>
      <c r="C7145" t="s">
        <v>59</v>
      </c>
      <c r="D7145" t="s">
        <v>365</v>
      </c>
      <c r="E7145" s="2">
        <v>20</v>
      </c>
      <c r="F7145" s="4">
        <v>1</v>
      </c>
      <c r="G7145" s="2">
        <v>20</v>
      </c>
      <c r="H7145" t="s">
        <v>25</v>
      </c>
      <c r="I7145" t="s">
        <v>16</v>
      </c>
      <c r="J7145" s="1">
        <v>45507</v>
      </c>
      <c r="K7145" t="b">
        <v>1</v>
      </c>
    </row>
    <row r="7146" spans="1:11" x14ac:dyDescent="0.25">
      <c r="A7146" t="s">
        <v>2665</v>
      </c>
      <c r="B7146" t="s">
        <v>104</v>
      </c>
      <c r="C7146" t="s">
        <v>19</v>
      </c>
      <c r="D7146" t="s">
        <v>228</v>
      </c>
      <c r="E7146" s="2">
        <v>20</v>
      </c>
      <c r="F7146" s="4">
        <v>1</v>
      </c>
      <c r="G7146" s="2">
        <v>20</v>
      </c>
      <c r="H7146" t="s">
        <v>45</v>
      </c>
      <c r="I7146" t="s">
        <v>16</v>
      </c>
      <c r="J7146" s="1">
        <v>45099</v>
      </c>
      <c r="K7146" t="b">
        <v>0</v>
      </c>
    </row>
    <row r="7147" spans="1:11" x14ac:dyDescent="0.25">
      <c r="A7147" t="s">
        <v>2997</v>
      </c>
      <c r="B7147" t="s">
        <v>22</v>
      </c>
      <c r="C7147" t="s">
        <v>23</v>
      </c>
      <c r="D7147" t="s">
        <v>666</v>
      </c>
      <c r="E7147" s="2">
        <v>20</v>
      </c>
      <c r="F7147" s="4">
        <v>1</v>
      </c>
      <c r="G7147" s="2">
        <v>20</v>
      </c>
      <c r="H7147" t="s">
        <v>25</v>
      </c>
      <c r="I7147" t="s">
        <v>16</v>
      </c>
      <c r="J7147" s="1">
        <v>44631</v>
      </c>
      <c r="K7147" t="b">
        <v>1</v>
      </c>
    </row>
    <row r="7148" spans="1:11" x14ac:dyDescent="0.25">
      <c r="A7148" t="s">
        <v>3780</v>
      </c>
      <c r="B7148" t="s">
        <v>66</v>
      </c>
      <c r="C7148" t="s">
        <v>19</v>
      </c>
      <c r="D7148" t="s">
        <v>228</v>
      </c>
      <c r="E7148" s="2">
        <v>20</v>
      </c>
      <c r="F7148" s="4">
        <v>1</v>
      </c>
      <c r="G7148" s="2">
        <v>20</v>
      </c>
      <c r="H7148" t="s">
        <v>15</v>
      </c>
      <c r="I7148" t="s">
        <v>16</v>
      </c>
      <c r="J7148" s="1">
        <v>44789</v>
      </c>
      <c r="K7148" t="b">
        <v>1</v>
      </c>
    </row>
    <row r="7149" spans="1:11" x14ac:dyDescent="0.25">
      <c r="A7149" t="s">
        <v>6319</v>
      </c>
      <c r="B7149" t="s">
        <v>37</v>
      </c>
      <c r="C7149" t="s">
        <v>19</v>
      </c>
      <c r="D7149" t="s">
        <v>228</v>
      </c>
      <c r="E7149" s="2">
        <v>20</v>
      </c>
      <c r="F7149" s="4">
        <v>1</v>
      </c>
      <c r="G7149" s="2">
        <v>20</v>
      </c>
      <c r="H7149" t="s">
        <v>15</v>
      </c>
      <c r="I7149" t="s">
        <v>36</v>
      </c>
      <c r="J7149" s="1">
        <v>45029</v>
      </c>
      <c r="K7149" t="b">
        <v>0</v>
      </c>
    </row>
    <row r="7150" spans="1:11" x14ac:dyDescent="0.25">
      <c r="A7150" t="s">
        <v>2667</v>
      </c>
      <c r="B7150" t="s">
        <v>85</v>
      </c>
      <c r="C7150" t="s">
        <v>110</v>
      </c>
      <c r="D7150" t="s">
        <v>263</v>
      </c>
      <c r="E7150" s="2">
        <v>20</v>
      </c>
      <c r="F7150" s="4">
        <v>1</v>
      </c>
      <c r="G7150" s="2">
        <v>20</v>
      </c>
      <c r="H7150" t="s">
        <v>25</v>
      </c>
      <c r="I7150" t="s">
        <v>36</v>
      </c>
      <c r="J7150" s="1">
        <v>44918</v>
      </c>
      <c r="K7150" t="b">
        <v>1</v>
      </c>
    </row>
    <row r="7151" spans="1:11" x14ac:dyDescent="0.25">
      <c r="A7151" t="s">
        <v>2713</v>
      </c>
      <c r="B7151" t="s">
        <v>104</v>
      </c>
      <c r="C7151" t="s">
        <v>13</v>
      </c>
      <c r="D7151" t="s">
        <v>146</v>
      </c>
      <c r="E7151" s="2">
        <v>5</v>
      </c>
      <c r="F7151" s="4">
        <v>4</v>
      </c>
      <c r="G7151" s="2">
        <v>20</v>
      </c>
      <c r="H7151" t="s">
        <v>45</v>
      </c>
      <c r="I7151" t="s">
        <v>16</v>
      </c>
      <c r="J7151" s="1">
        <v>44625</v>
      </c>
      <c r="K7151" t="b">
        <v>0</v>
      </c>
    </row>
    <row r="7152" spans="1:11" x14ac:dyDescent="0.25">
      <c r="A7152" t="s">
        <v>3749</v>
      </c>
      <c r="B7152" t="s">
        <v>85</v>
      </c>
      <c r="C7152" t="s">
        <v>38</v>
      </c>
      <c r="D7152" t="s">
        <v>159</v>
      </c>
      <c r="E7152" s="2">
        <v>20</v>
      </c>
      <c r="F7152" s="4">
        <v>1</v>
      </c>
      <c r="G7152" s="2">
        <v>20</v>
      </c>
      <c r="H7152" t="s">
        <v>15</v>
      </c>
      <c r="I7152" t="s">
        <v>36</v>
      </c>
      <c r="J7152" s="1">
        <v>45287</v>
      </c>
      <c r="K7152" t="b">
        <v>1</v>
      </c>
    </row>
    <row r="7153" spans="1:11" x14ac:dyDescent="0.25">
      <c r="A7153" t="s">
        <v>4771</v>
      </c>
      <c r="B7153" t="s">
        <v>97</v>
      </c>
      <c r="C7153" t="s">
        <v>19</v>
      </c>
      <c r="D7153" t="s">
        <v>219</v>
      </c>
      <c r="E7153" s="2">
        <v>5</v>
      </c>
      <c r="F7153" s="4">
        <v>4</v>
      </c>
      <c r="G7153" s="2">
        <v>20</v>
      </c>
      <c r="H7153" t="s">
        <v>15</v>
      </c>
      <c r="I7153" t="s">
        <v>36</v>
      </c>
      <c r="J7153" s="1">
        <v>44624</v>
      </c>
      <c r="K7153" t="b">
        <v>0</v>
      </c>
    </row>
    <row r="7154" spans="1:11" x14ac:dyDescent="0.25">
      <c r="A7154" t="s">
        <v>3084</v>
      </c>
      <c r="B7154" t="s">
        <v>30</v>
      </c>
      <c r="C7154" t="s">
        <v>27</v>
      </c>
      <c r="D7154" t="s">
        <v>246</v>
      </c>
      <c r="E7154" s="2">
        <v>6.5</v>
      </c>
      <c r="F7154" s="4">
        <v>3</v>
      </c>
      <c r="G7154" s="2">
        <v>19.5</v>
      </c>
      <c r="H7154" t="s">
        <v>25</v>
      </c>
      <c r="I7154" t="s">
        <v>36</v>
      </c>
      <c r="J7154" s="1">
        <v>45194</v>
      </c>
      <c r="K7154" t="b">
        <v>1</v>
      </c>
    </row>
    <row r="7155" spans="1:11" x14ac:dyDescent="0.25">
      <c r="A7155" t="s">
        <v>6207</v>
      </c>
      <c r="B7155" t="s">
        <v>40</v>
      </c>
      <c r="C7155" t="s">
        <v>27</v>
      </c>
      <c r="D7155" t="s">
        <v>246</v>
      </c>
      <c r="E7155" s="2">
        <v>6.5</v>
      </c>
      <c r="F7155" s="4">
        <v>3</v>
      </c>
      <c r="G7155" s="2">
        <v>19.5</v>
      </c>
      <c r="H7155" t="s">
        <v>25</v>
      </c>
      <c r="I7155" t="s">
        <v>36</v>
      </c>
      <c r="J7155" s="1">
        <v>44830</v>
      </c>
      <c r="K7155" t="b">
        <v>0</v>
      </c>
    </row>
    <row r="7156" spans="1:11" x14ac:dyDescent="0.25">
      <c r="A7156" t="s">
        <v>649</v>
      </c>
      <c r="B7156" t="s">
        <v>86</v>
      </c>
      <c r="C7156" t="s">
        <v>27</v>
      </c>
      <c r="D7156" t="s">
        <v>246</v>
      </c>
      <c r="E7156" s="2">
        <v>6.5</v>
      </c>
      <c r="F7156" s="4">
        <v>3</v>
      </c>
      <c r="G7156" s="2">
        <v>19.5</v>
      </c>
      <c r="H7156" t="s">
        <v>45</v>
      </c>
      <c r="I7156" t="s">
        <v>16</v>
      </c>
      <c r="J7156" s="1">
        <v>45439</v>
      </c>
      <c r="K7156" t="b">
        <v>1</v>
      </c>
    </row>
    <row r="7157" spans="1:11" x14ac:dyDescent="0.25">
      <c r="A7157" t="s">
        <v>3258</v>
      </c>
      <c r="B7157" t="s">
        <v>100</v>
      </c>
      <c r="C7157" t="s">
        <v>27</v>
      </c>
      <c r="D7157" t="s">
        <v>246</v>
      </c>
      <c r="E7157" s="2">
        <v>6.5</v>
      </c>
      <c r="F7157" s="4">
        <v>3</v>
      </c>
      <c r="G7157" s="2">
        <v>19.5</v>
      </c>
      <c r="H7157" t="s">
        <v>45</v>
      </c>
      <c r="I7157" t="s">
        <v>36</v>
      </c>
      <c r="J7157" s="1">
        <v>44802</v>
      </c>
      <c r="K7157" t="b">
        <v>0</v>
      </c>
    </row>
    <row r="7158" spans="1:11" x14ac:dyDescent="0.25">
      <c r="A7158" t="s">
        <v>2087</v>
      </c>
      <c r="B7158" t="s">
        <v>85</v>
      </c>
      <c r="C7158" t="s">
        <v>27</v>
      </c>
      <c r="D7158" t="s">
        <v>246</v>
      </c>
      <c r="E7158" s="2">
        <v>6.5</v>
      </c>
      <c r="F7158" s="4">
        <v>3</v>
      </c>
      <c r="G7158" s="2">
        <v>19.5</v>
      </c>
      <c r="H7158" t="s">
        <v>25</v>
      </c>
      <c r="I7158" t="s">
        <v>16</v>
      </c>
      <c r="J7158" s="1">
        <v>45487</v>
      </c>
      <c r="K7158" t="b">
        <v>1</v>
      </c>
    </row>
    <row r="7159" spans="1:11" x14ac:dyDescent="0.25">
      <c r="A7159" t="s">
        <v>1200</v>
      </c>
      <c r="B7159" t="s">
        <v>12</v>
      </c>
      <c r="C7159" t="s">
        <v>110</v>
      </c>
      <c r="D7159" t="s">
        <v>221</v>
      </c>
      <c r="E7159" s="2">
        <v>6.5</v>
      </c>
      <c r="F7159" s="4">
        <v>3</v>
      </c>
      <c r="G7159" s="2">
        <v>19.5</v>
      </c>
      <c r="H7159" t="s">
        <v>25</v>
      </c>
      <c r="I7159" t="s">
        <v>16</v>
      </c>
      <c r="J7159" s="1">
        <v>45513</v>
      </c>
      <c r="K7159" t="b">
        <v>1</v>
      </c>
    </row>
    <row r="7160" spans="1:11" x14ac:dyDescent="0.25">
      <c r="A7160" t="s">
        <v>7502</v>
      </c>
      <c r="B7160" t="s">
        <v>18</v>
      </c>
      <c r="C7160" t="s">
        <v>38</v>
      </c>
      <c r="D7160" t="s">
        <v>235</v>
      </c>
      <c r="E7160" s="2">
        <v>6.5</v>
      </c>
      <c r="F7160" s="4">
        <v>3</v>
      </c>
      <c r="G7160" s="2">
        <v>19.5</v>
      </c>
      <c r="H7160" t="s">
        <v>25</v>
      </c>
      <c r="I7160" t="s">
        <v>16</v>
      </c>
      <c r="J7160" s="1">
        <v>45348</v>
      </c>
      <c r="K7160" t="b">
        <v>1</v>
      </c>
    </row>
    <row r="7161" spans="1:11" x14ac:dyDescent="0.25">
      <c r="A7161" t="s">
        <v>4030</v>
      </c>
      <c r="B7161" t="s">
        <v>104</v>
      </c>
      <c r="C7161" t="s">
        <v>27</v>
      </c>
      <c r="D7161" t="s">
        <v>246</v>
      </c>
      <c r="E7161" s="2">
        <v>6.5</v>
      </c>
      <c r="F7161" s="4">
        <v>3</v>
      </c>
      <c r="G7161" s="2">
        <v>19.5</v>
      </c>
      <c r="H7161" t="s">
        <v>15</v>
      </c>
      <c r="I7161" t="s">
        <v>16</v>
      </c>
      <c r="J7161" s="1">
        <v>44736</v>
      </c>
      <c r="K7161" t="b">
        <v>0</v>
      </c>
    </row>
    <row r="7162" spans="1:11" x14ac:dyDescent="0.25">
      <c r="A7162" t="s">
        <v>7768</v>
      </c>
      <c r="B7162" t="s">
        <v>77</v>
      </c>
      <c r="C7162" t="s">
        <v>27</v>
      </c>
      <c r="D7162" t="s">
        <v>246</v>
      </c>
      <c r="E7162" s="2">
        <v>6.5</v>
      </c>
      <c r="F7162" s="4">
        <v>3</v>
      </c>
      <c r="G7162" s="2">
        <v>19.5</v>
      </c>
      <c r="H7162" t="s">
        <v>45</v>
      </c>
      <c r="I7162" t="s">
        <v>36</v>
      </c>
      <c r="J7162" s="1">
        <v>45586</v>
      </c>
      <c r="K7162" t="b">
        <v>0</v>
      </c>
    </row>
    <row r="7163" spans="1:11" x14ac:dyDescent="0.25">
      <c r="A7163" t="s">
        <v>7554</v>
      </c>
      <c r="B7163" t="s">
        <v>37</v>
      </c>
      <c r="C7163" t="s">
        <v>110</v>
      </c>
      <c r="D7163" t="s">
        <v>221</v>
      </c>
      <c r="E7163" s="2">
        <v>6.5</v>
      </c>
      <c r="F7163" s="4">
        <v>3</v>
      </c>
      <c r="G7163" s="2">
        <v>19.5</v>
      </c>
      <c r="H7163" t="s">
        <v>45</v>
      </c>
      <c r="I7163" t="s">
        <v>16</v>
      </c>
      <c r="J7163" s="1">
        <v>44748</v>
      </c>
      <c r="K7163" t="b">
        <v>1</v>
      </c>
    </row>
    <row r="7164" spans="1:11" x14ac:dyDescent="0.25">
      <c r="A7164" t="s">
        <v>5626</v>
      </c>
      <c r="B7164" t="s">
        <v>40</v>
      </c>
      <c r="C7164" t="s">
        <v>38</v>
      </c>
      <c r="D7164" t="s">
        <v>235</v>
      </c>
      <c r="E7164" s="2">
        <v>6.5</v>
      </c>
      <c r="F7164" s="4">
        <v>3</v>
      </c>
      <c r="G7164" s="2">
        <v>19.5</v>
      </c>
      <c r="H7164" t="s">
        <v>15</v>
      </c>
      <c r="I7164" t="s">
        <v>16</v>
      </c>
      <c r="J7164" s="1">
        <v>44951</v>
      </c>
      <c r="K7164" t="b">
        <v>1</v>
      </c>
    </row>
    <row r="7165" spans="1:11" x14ac:dyDescent="0.25">
      <c r="A7165" t="s">
        <v>6908</v>
      </c>
      <c r="B7165" t="s">
        <v>34</v>
      </c>
      <c r="C7165" t="s">
        <v>27</v>
      </c>
      <c r="D7165" t="s">
        <v>246</v>
      </c>
      <c r="E7165" s="2">
        <v>6.5</v>
      </c>
      <c r="F7165" s="4">
        <v>3</v>
      </c>
      <c r="G7165" s="2">
        <v>19.5</v>
      </c>
      <c r="H7165" t="s">
        <v>25</v>
      </c>
      <c r="I7165" t="s">
        <v>36</v>
      </c>
      <c r="J7165" s="1">
        <v>45387</v>
      </c>
      <c r="K7165" t="b">
        <v>1</v>
      </c>
    </row>
    <row r="7166" spans="1:11" x14ac:dyDescent="0.25">
      <c r="A7166" t="s">
        <v>1054</v>
      </c>
      <c r="B7166" t="s">
        <v>100</v>
      </c>
      <c r="C7166" t="s">
        <v>27</v>
      </c>
      <c r="D7166" t="s">
        <v>246</v>
      </c>
      <c r="E7166" s="2">
        <v>6.5</v>
      </c>
      <c r="F7166" s="4">
        <v>3</v>
      </c>
      <c r="G7166" s="2">
        <v>19.5</v>
      </c>
      <c r="H7166" t="s">
        <v>25</v>
      </c>
      <c r="I7166" t="s">
        <v>36</v>
      </c>
      <c r="J7166" s="1">
        <v>44781</v>
      </c>
      <c r="K7166" t="b">
        <v>0</v>
      </c>
    </row>
    <row r="7167" spans="1:11" x14ac:dyDescent="0.25">
      <c r="A7167" t="s">
        <v>5291</v>
      </c>
      <c r="B7167" t="s">
        <v>66</v>
      </c>
      <c r="C7167" t="s">
        <v>13</v>
      </c>
      <c r="D7167" t="s">
        <v>428</v>
      </c>
      <c r="E7167" s="2">
        <v>6.5</v>
      </c>
      <c r="F7167" s="4">
        <v>3</v>
      </c>
      <c r="G7167" s="2">
        <v>19.5</v>
      </c>
      <c r="H7167" t="s">
        <v>45</v>
      </c>
      <c r="I7167" t="s">
        <v>36</v>
      </c>
      <c r="J7167" s="1">
        <v>45522</v>
      </c>
      <c r="K7167" t="b">
        <v>1</v>
      </c>
    </row>
    <row r="7168" spans="1:11" x14ac:dyDescent="0.25">
      <c r="A7168" t="s">
        <v>7291</v>
      </c>
      <c r="B7168" t="s">
        <v>34</v>
      </c>
      <c r="C7168" t="s">
        <v>59</v>
      </c>
      <c r="D7168" t="s">
        <v>541</v>
      </c>
      <c r="E7168" s="2">
        <v>6.5</v>
      </c>
      <c r="F7168" s="4">
        <v>3</v>
      </c>
      <c r="G7168" s="2">
        <v>19.5</v>
      </c>
      <c r="H7168" t="s">
        <v>15</v>
      </c>
      <c r="I7168" t="s">
        <v>36</v>
      </c>
      <c r="J7168" s="1">
        <v>44820</v>
      </c>
      <c r="K7168" t="b">
        <v>1</v>
      </c>
    </row>
    <row r="7169" spans="1:11" x14ac:dyDescent="0.25">
      <c r="A7169" t="s">
        <v>3252</v>
      </c>
      <c r="B7169" t="s">
        <v>86</v>
      </c>
      <c r="C7169" t="s">
        <v>27</v>
      </c>
      <c r="D7169" t="s">
        <v>246</v>
      </c>
      <c r="E7169" s="2">
        <v>6.5</v>
      </c>
      <c r="F7169" s="4">
        <v>3</v>
      </c>
      <c r="G7169" s="2">
        <v>19.5</v>
      </c>
      <c r="H7169" t="s">
        <v>45</v>
      </c>
      <c r="I7169" t="s">
        <v>36</v>
      </c>
      <c r="J7169" s="1">
        <v>45364</v>
      </c>
      <c r="K7169" t="b">
        <v>1</v>
      </c>
    </row>
    <row r="7170" spans="1:11" x14ac:dyDescent="0.25">
      <c r="A7170" t="s">
        <v>7568</v>
      </c>
      <c r="B7170" t="s">
        <v>18</v>
      </c>
      <c r="C7170" t="s">
        <v>19</v>
      </c>
      <c r="D7170" t="s">
        <v>308</v>
      </c>
      <c r="E7170" s="2">
        <v>6.5</v>
      </c>
      <c r="F7170" s="4">
        <v>3</v>
      </c>
      <c r="G7170" s="2">
        <v>19.5</v>
      </c>
      <c r="H7170" t="s">
        <v>45</v>
      </c>
      <c r="I7170" t="s">
        <v>36</v>
      </c>
      <c r="J7170" s="1">
        <v>44648</v>
      </c>
      <c r="K7170" t="b">
        <v>1</v>
      </c>
    </row>
    <row r="7171" spans="1:11" x14ac:dyDescent="0.25">
      <c r="A7171" t="s">
        <v>5881</v>
      </c>
      <c r="B7171" t="s">
        <v>85</v>
      </c>
      <c r="C7171" t="s">
        <v>59</v>
      </c>
      <c r="D7171" t="s">
        <v>541</v>
      </c>
      <c r="E7171" s="2">
        <v>6.5</v>
      </c>
      <c r="F7171" s="4">
        <v>3</v>
      </c>
      <c r="G7171" s="2">
        <v>19.5</v>
      </c>
      <c r="H7171" t="s">
        <v>15</v>
      </c>
      <c r="I7171" t="s">
        <v>36</v>
      </c>
      <c r="J7171" s="1">
        <v>44653</v>
      </c>
      <c r="K7171" t="b">
        <v>1</v>
      </c>
    </row>
    <row r="7172" spans="1:11" x14ac:dyDescent="0.25">
      <c r="A7172" t="s">
        <v>6630</v>
      </c>
      <c r="B7172" t="s">
        <v>56</v>
      </c>
      <c r="C7172" t="s">
        <v>59</v>
      </c>
      <c r="D7172" t="s">
        <v>541</v>
      </c>
      <c r="E7172" s="2">
        <v>6.5</v>
      </c>
      <c r="F7172" s="4">
        <v>3</v>
      </c>
      <c r="G7172" s="2">
        <v>19.5</v>
      </c>
      <c r="H7172" t="s">
        <v>25</v>
      </c>
      <c r="I7172" t="s">
        <v>16</v>
      </c>
      <c r="J7172" s="1">
        <v>45650</v>
      </c>
      <c r="K7172" t="b">
        <v>1</v>
      </c>
    </row>
    <row r="7173" spans="1:11" x14ac:dyDescent="0.25">
      <c r="A7173" t="s">
        <v>4968</v>
      </c>
      <c r="B7173" t="s">
        <v>26</v>
      </c>
      <c r="C7173" t="s">
        <v>23</v>
      </c>
      <c r="D7173" t="s">
        <v>137</v>
      </c>
      <c r="E7173" s="2">
        <v>6.5</v>
      </c>
      <c r="F7173" s="4">
        <v>3</v>
      </c>
      <c r="G7173" s="2">
        <v>19.5</v>
      </c>
      <c r="H7173" t="s">
        <v>25</v>
      </c>
      <c r="I7173" t="s">
        <v>16</v>
      </c>
      <c r="J7173" s="1">
        <v>44971</v>
      </c>
      <c r="K7173" t="b">
        <v>1</v>
      </c>
    </row>
    <row r="7174" spans="1:11" x14ac:dyDescent="0.25">
      <c r="A7174" t="s">
        <v>2658</v>
      </c>
      <c r="B7174" t="s">
        <v>56</v>
      </c>
      <c r="C7174" t="s">
        <v>59</v>
      </c>
      <c r="D7174" t="s">
        <v>541</v>
      </c>
      <c r="E7174" s="2">
        <v>6.5</v>
      </c>
      <c r="F7174" s="4">
        <v>3</v>
      </c>
      <c r="G7174" s="2">
        <v>19.5</v>
      </c>
      <c r="H7174" t="s">
        <v>25</v>
      </c>
      <c r="I7174" t="s">
        <v>36</v>
      </c>
      <c r="J7174" s="1">
        <v>45293</v>
      </c>
      <c r="K7174" t="b">
        <v>1</v>
      </c>
    </row>
    <row r="7175" spans="1:11" x14ac:dyDescent="0.25">
      <c r="A7175" t="s">
        <v>3971</v>
      </c>
      <c r="B7175" t="s">
        <v>63</v>
      </c>
      <c r="C7175" t="s">
        <v>27</v>
      </c>
      <c r="D7175" t="s">
        <v>246</v>
      </c>
      <c r="E7175" s="2">
        <v>6.5</v>
      </c>
      <c r="F7175" s="4">
        <v>3</v>
      </c>
      <c r="G7175" s="2">
        <v>19.5</v>
      </c>
      <c r="H7175" t="s">
        <v>25</v>
      </c>
      <c r="I7175" t="s">
        <v>36</v>
      </c>
      <c r="J7175" s="1">
        <v>45051</v>
      </c>
      <c r="K7175" t="b">
        <v>1</v>
      </c>
    </row>
    <row r="7176" spans="1:11" x14ac:dyDescent="0.25">
      <c r="A7176" t="s">
        <v>1657</v>
      </c>
      <c r="B7176" t="s">
        <v>85</v>
      </c>
      <c r="C7176" t="s">
        <v>19</v>
      </c>
      <c r="D7176" t="s">
        <v>308</v>
      </c>
      <c r="E7176" s="2">
        <v>6.5</v>
      </c>
      <c r="F7176" s="4">
        <v>3</v>
      </c>
      <c r="G7176" s="2">
        <v>19.5</v>
      </c>
      <c r="H7176" t="s">
        <v>15</v>
      </c>
      <c r="I7176" t="s">
        <v>16</v>
      </c>
      <c r="J7176" s="1">
        <v>45183</v>
      </c>
      <c r="K7176" t="b">
        <v>0</v>
      </c>
    </row>
    <row r="7177" spans="1:11" x14ac:dyDescent="0.25">
      <c r="A7177" t="s">
        <v>7711</v>
      </c>
      <c r="B7177" t="s">
        <v>77</v>
      </c>
      <c r="C7177" t="s">
        <v>23</v>
      </c>
      <c r="D7177" t="s">
        <v>137</v>
      </c>
      <c r="E7177" s="2">
        <v>6.5</v>
      </c>
      <c r="F7177" s="4">
        <v>3</v>
      </c>
      <c r="G7177" s="2">
        <v>19.5</v>
      </c>
      <c r="H7177" t="s">
        <v>25</v>
      </c>
      <c r="I7177" t="s">
        <v>16</v>
      </c>
      <c r="J7177" s="1">
        <v>45525</v>
      </c>
      <c r="K7177" t="b">
        <v>0</v>
      </c>
    </row>
    <row r="7178" spans="1:11" x14ac:dyDescent="0.25">
      <c r="A7178" t="s">
        <v>999</v>
      </c>
      <c r="B7178" t="s">
        <v>18</v>
      </c>
      <c r="C7178" t="s">
        <v>13</v>
      </c>
      <c r="D7178" t="s">
        <v>428</v>
      </c>
      <c r="E7178" s="2">
        <v>6.5</v>
      </c>
      <c r="F7178" s="4">
        <v>3</v>
      </c>
      <c r="G7178" s="2">
        <v>19.5</v>
      </c>
      <c r="H7178" t="s">
        <v>45</v>
      </c>
      <c r="I7178" t="s">
        <v>36</v>
      </c>
      <c r="J7178" s="1">
        <v>44942</v>
      </c>
      <c r="K7178" t="b">
        <v>0</v>
      </c>
    </row>
    <row r="7179" spans="1:11" x14ac:dyDescent="0.25">
      <c r="A7179" t="s">
        <v>190</v>
      </c>
      <c r="B7179" t="s">
        <v>51</v>
      </c>
      <c r="C7179" t="s">
        <v>23</v>
      </c>
      <c r="D7179" t="s">
        <v>137</v>
      </c>
      <c r="E7179" s="2">
        <v>6.5</v>
      </c>
      <c r="F7179" s="4">
        <v>3</v>
      </c>
      <c r="G7179" s="2">
        <v>19.5</v>
      </c>
      <c r="H7179" t="s">
        <v>15</v>
      </c>
      <c r="I7179" t="s">
        <v>36</v>
      </c>
      <c r="J7179" s="1">
        <v>44797</v>
      </c>
      <c r="K7179" t="b">
        <v>0</v>
      </c>
    </row>
    <row r="7180" spans="1:11" x14ac:dyDescent="0.25">
      <c r="A7180" t="s">
        <v>1283</v>
      </c>
      <c r="B7180" t="s">
        <v>104</v>
      </c>
      <c r="C7180" t="s">
        <v>27</v>
      </c>
      <c r="D7180" t="s">
        <v>246</v>
      </c>
      <c r="E7180" s="2">
        <v>6.5</v>
      </c>
      <c r="F7180" s="4">
        <v>3</v>
      </c>
      <c r="G7180" s="2">
        <v>19.5</v>
      </c>
      <c r="H7180" t="s">
        <v>15</v>
      </c>
      <c r="I7180" t="s">
        <v>16</v>
      </c>
      <c r="J7180" s="1">
        <v>45453</v>
      </c>
      <c r="K7180" t="b">
        <v>1</v>
      </c>
    </row>
    <row r="7181" spans="1:11" x14ac:dyDescent="0.25">
      <c r="A7181" t="s">
        <v>1055</v>
      </c>
      <c r="B7181" t="s">
        <v>77</v>
      </c>
      <c r="C7181" t="s">
        <v>27</v>
      </c>
      <c r="D7181" t="s">
        <v>246</v>
      </c>
      <c r="E7181" s="2">
        <v>6.5</v>
      </c>
      <c r="F7181" s="4">
        <v>3</v>
      </c>
      <c r="G7181" s="2">
        <v>19.5</v>
      </c>
      <c r="H7181" t="s">
        <v>45</v>
      </c>
      <c r="I7181" t="s">
        <v>36</v>
      </c>
      <c r="J7181" s="1">
        <v>45087</v>
      </c>
      <c r="K7181" t="b">
        <v>0</v>
      </c>
    </row>
    <row r="7182" spans="1:11" x14ac:dyDescent="0.25">
      <c r="A7182" t="s">
        <v>799</v>
      </c>
      <c r="B7182" t="s">
        <v>97</v>
      </c>
      <c r="C7182" t="s">
        <v>27</v>
      </c>
      <c r="D7182" t="s">
        <v>246</v>
      </c>
      <c r="E7182" s="2">
        <v>6.5</v>
      </c>
      <c r="F7182" s="4">
        <v>3</v>
      </c>
      <c r="G7182" s="2">
        <v>19.5</v>
      </c>
      <c r="H7182" t="s">
        <v>45</v>
      </c>
      <c r="I7182" t="s">
        <v>36</v>
      </c>
      <c r="J7182" s="1">
        <v>45386</v>
      </c>
      <c r="K7182" t="b">
        <v>1</v>
      </c>
    </row>
    <row r="7183" spans="1:11" x14ac:dyDescent="0.25">
      <c r="A7183" t="s">
        <v>4542</v>
      </c>
      <c r="B7183" t="s">
        <v>72</v>
      </c>
      <c r="C7183" t="s">
        <v>27</v>
      </c>
      <c r="D7183" t="s">
        <v>246</v>
      </c>
      <c r="E7183" s="2">
        <v>6.5</v>
      </c>
      <c r="F7183" s="4">
        <v>3</v>
      </c>
      <c r="G7183" s="2">
        <v>19.5</v>
      </c>
      <c r="H7183" t="s">
        <v>15</v>
      </c>
      <c r="I7183" t="s">
        <v>16</v>
      </c>
      <c r="J7183" s="1">
        <v>45462</v>
      </c>
      <c r="K7183" t="b">
        <v>1</v>
      </c>
    </row>
    <row r="7184" spans="1:11" x14ac:dyDescent="0.25">
      <c r="A7184" t="s">
        <v>4250</v>
      </c>
      <c r="B7184" t="s">
        <v>77</v>
      </c>
      <c r="C7184" t="s">
        <v>19</v>
      </c>
      <c r="D7184" t="s">
        <v>308</v>
      </c>
      <c r="E7184" s="2">
        <v>6.5</v>
      </c>
      <c r="F7184" s="4">
        <v>3</v>
      </c>
      <c r="G7184" s="2">
        <v>19.5</v>
      </c>
      <c r="H7184" t="s">
        <v>45</v>
      </c>
      <c r="I7184" t="s">
        <v>16</v>
      </c>
      <c r="J7184" s="1">
        <v>45417</v>
      </c>
      <c r="K7184" t="b">
        <v>0</v>
      </c>
    </row>
    <row r="7185" spans="1:11" x14ac:dyDescent="0.25">
      <c r="A7185" t="s">
        <v>2443</v>
      </c>
      <c r="B7185" t="s">
        <v>37</v>
      </c>
      <c r="C7185" t="s">
        <v>19</v>
      </c>
      <c r="D7185" t="s">
        <v>308</v>
      </c>
      <c r="E7185" s="2">
        <v>6.5</v>
      </c>
      <c r="F7185" s="4">
        <v>3</v>
      </c>
      <c r="G7185" s="2">
        <v>19.5</v>
      </c>
      <c r="H7185" t="s">
        <v>15</v>
      </c>
      <c r="I7185" t="s">
        <v>16</v>
      </c>
      <c r="J7185" s="1">
        <v>45482</v>
      </c>
      <c r="K7185" t="b">
        <v>0</v>
      </c>
    </row>
    <row r="7186" spans="1:11" x14ac:dyDescent="0.25">
      <c r="A7186" t="s">
        <v>734</v>
      </c>
      <c r="B7186" t="s">
        <v>56</v>
      </c>
      <c r="C7186" t="s">
        <v>38</v>
      </c>
      <c r="D7186" t="s">
        <v>235</v>
      </c>
      <c r="E7186" s="2">
        <v>6.5</v>
      </c>
      <c r="F7186" s="4">
        <v>3</v>
      </c>
      <c r="G7186" s="2">
        <v>19.5</v>
      </c>
      <c r="H7186" t="s">
        <v>15</v>
      </c>
      <c r="I7186" t="s">
        <v>16</v>
      </c>
      <c r="J7186" s="1">
        <v>44670</v>
      </c>
      <c r="K7186" t="b">
        <v>0</v>
      </c>
    </row>
    <row r="7187" spans="1:11" x14ac:dyDescent="0.25">
      <c r="A7187" t="s">
        <v>3868</v>
      </c>
      <c r="B7187" t="s">
        <v>18</v>
      </c>
      <c r="C7187" t="s">
        <v>38</v>
      </c>
      <c r="D7187" t="s">
        <v>235</v>
      </c>
      <c r="E7187" s="2">
        <v>6.5</v>
      </c>
      <c r="F7187" s="4">
        <v>3</v>
      </c>
      <c r="G7187" s="2">
        <v>19.5</v>
      </c>
      <c r="H7187" t="s">
        <v>15</v>
      </c>
      <c r="I7187" t="s">
        <v>36</v>
      </c>
      <c r="J7187" s="1">
        <v>45452</v>
      </c>
      <c r="K7187" t="b">
        <v>0</v>
      </c>
    </row>
    <row r="7188" spans="1:11" x14ac:dyDescent="0.25">
      <c r="A7188" t="s">
        <v>6661</v>
      </c>
      <c r="B7188" t="s">
        <v>93</v>
      </c>
      <c r="C7188" t="s">
        <v>110</v>
      </c>
      <c r="D7188" t="s">
        <v>221</v>
      </c>
      <c r="E7188" s="2">
        <v>6.5</v>
      </c>
      <c r="F7188" s="4">
        <v>3</v>
      </c>
      <c r="G7188" s="2">
        <v>19.5</v>
      </c>
      <c r="H7188" t="s">
        <v>25</v>
      </c>
      <c r="I7188" t="s">
        <v>36</v>
      </c>
      <c r="J7188" s="1">
        <v>44682</v>
      </c>
      <c r="K7188" t="b">
        <v>1</v>
      </c>
    </row>
    <row r="7189" spans="1:11" x14ac:dyDescent="0.25">
      <c r="A7189" t="s">
        <v>6745</v>
      </c>
      <c r="B7189" t="s">
        <v>18</v>
      </c>
      <c r="C7189" t="s">
        <v>110</v>
      </c>
      <c r="D7189" t="s">
        <v>221</v>
      </c>
      <c r="E7189" s="2">
        <v>6.5</v>
      </c>
      <c r="F7189" s="4">
        <v>3</v>
      </c>
      <c r="G7189" s="2">
        <v>19.5</v>
      </c>
      <c r="H7189" t="s">
        <v>15</v>
      </c>
      <c r="I7189" t="s">
        <v>16</v>
      </c>
      <c r="J7189" s="1">
        <v>45628</v>
      </c>
      <c r="K7189" t="b">
        <v>0</v>
      </c>
    </row>
    <row r="7190" spans="1:11" x14ac:dyDescent="0.25">
      <c r="A7190" t="s">
        <v>5140</v>
      </c>
      <c r="B7190" t="s">
        <v>30</v>
      </c>
      <c r="C7190" t="s">
        <v>110</v>
      </c>
      <c r="D7190" t="s">
        <v>221</v>
      </c>
      <c r="E7190" s="2">
        <v>6.5</v>
      </c>
      <c r="F7190" s="4">
        <v>3</v>
      </c>
      <c r="G7190" s="2">
        <v>19.5</v>
      </c>
      <c r="H7190" t="s">
        <v>45</v>
      </c>
      <c r="I7190" t="s">
        <v>36</v>
      </c>
      <c r="J7190" s="1">
        <v>45043</v>
      </c>
      <c r="K7190" t="b">
        <v>1</v>
      </c>
    </row>
    <row r="7191" spans="1:11" x14ac:dyDescent="0.25">
      <c r="A7191" t="s">
        <v>6092</v>
      </c>
      <c r="B7191" t="s">
        <v>51</v>
      </c>
      <c r="C7191" t="s">
        <v>110</v>
      </c>
      <c r="D7191" t="s">
        <v>221</v>
      </c>
      <c r="E7191" s="2">
        <v>6.5</v>
      </c>
      <c r="F7191" s="4">
        <v>3</v>
      </c>
      <c r="G7191" s="2">
        <v>19.5</v>
      </c>
      <c r="H7191" t="s">
        <v>15</v>
      </c>
      <c r="I7191" t="s">
        <v>16</v>
      </c>
      <c r="J7191" s="1">
        <v>45263</v>
      </c>
      <c r="K7191" t="b">
        <v>0</v>
      </c>
    </row>
    <row r="7192" spans="1:11" x14ac:dyDescent="0.25">
      <c r="A7192" t="s">
        <v>3842</v>
      </c>
      <c r="B7192" t="s">
        <v>43</v>
      </c>
      <c r="C7192" t="s">
        <v>23</v>
      </c>
      <c r="D7192" t="s">
        <v>137</v>
      </c>
      <c r="E7192" s="2">
        <v>6.5</v>
      </c>
      <c r="F7192" s="4">
        <v>3</v>
      </c>
      <c r="G7192" s="2">
        <v>19.5</v>
      </c>
      <c r="H7192" t="s">
        <v>15</v>
      </c>
      <c r="I7192" t="s">
        <v>36</v>
      </c>
      <c r="J7192" s="1">
        <v>45588</v>
      </c>
      <c r="K7192" t="b">
        <v>0</v>
      </c>
    </row>
    <row r="7193" spans="1:11" x14ac:dyDescent="0.25">
      <c r="A7193" t="s">
        <v>743</v>
      </c>
      <c r="B7193" t="s">
        <v>43</v>
      </c>
      <c r="C7193" t="s">
        <v>13</v>
      </c>
      <c r="D7193" t="s">
        <v>428</v>
      </c>
      <c r="E7193" s="2">
        <v>6.5</v>
      </c>
      <c r="F7193" s="4">
        <v>3</v>
      </c>
      <c r="G7193" s="2">
        <v>19.5</v>
      </c>
      <c r="H7193" t="s">
        <v>45</v>
      </c>
      <c r="I7193" t="s">
        <v>16</v>
      </c>
      <c r="J7193" s="1">
        <v>44593</v>
      </c>
      <c r="K7193" t="b">
        <v>0</v>
      </c>
    </row>
    <row r="7194" spans="1:11" x14ac:dyDescent="0.25">
      <c r="A7194" t="s">
        <v>6973</v>
      </c>
      <c r="B7194" t="s">
        <v>72</v>
      </c>
      <c r="C7194" t="s">
        <v>27</v>
      </c>
      <c r="D7194" t="s">
        <v>246</v>
      </c>
      <c r="E7194" s="2">
        <v>6.5</v>
      </c>
      <c r="F7194" s="4">
        <v>3</v>
      </c>
      <c r="G7194" s="2">
        <v>19.5</v>
      </c>
      <c r="H7194" t="s">
        <v>45</v>
      </c>
      <c r="I7194" t="s">
        <v>16</v>
      </c>
      <c r="J7194" s="1">
        <v>44886</v>
      </c>
      <c r="K7194" t="b">
        <v>0</v>
      </c>
    </row>
    <row r="7195" spans="1:11" x14ac:dyDescent="0.25">
      <c r="A7195" t="s">
        <v>5819</v>
      </c>
      <c r="B7195" t="s">
        <v>142</v>
      </c>
      <c r="C7195" t="s">
        <v>38</v>
      </c>
      <c r="D7195" t="s">
        <v>414</v>
      </c>
      <c r="E7195" s="2">
        <v>9.5</v>
      </c>
      <c r="F7195" s="4">
        <v>2</v>
      </c>
      <c r="G7195" s="2">
        <v>19</v>
      </c>
      <c r="H7195" t="s">
        <v>25</v>
      </c>
      <c r="I7195" t="s">
        <v>16</v>
      </c>
      <c r="J7195" s="1">
        <v>44582</v>
      </c>
      <c r="K7195" t="b">
        <v>0</v>
      </c>
    </row>
    <row r="7196" spans="1:11" x14ac:dyDescent="0.25">
      <c r="A7196" t="s">
        <v>2352</v>
      </c>
      <c r="B7196" t="s">
        <v>34</v>
      </c>
      <c r="C7196" t="s">
        <v>59</v>
      </c>
      <c r="D7196" t="s">
        <v>64</v>
      </c>
      <c r="E7196" s="2">
        <v>9.5</v>
      </c>
      <c r="F7196" s="4">
        <v>2</v>
      </c>
      <c r="G7196" s="2">
        <v>19</v>
      </c>
      <c r="H7196" t="s">
        <v>45</v>
      </c>
      <c r="I7196" t="s">
        <v>16</v>
      </c>
      <c r="J7196" s="1">
        <v>44619</v>
      </c>
      <c r="K7196" t="b">
        <v>1</v>
      </c>
    </row>
    <row r="7197" spans="1:11" x14ac:dyDescent="0.25">
      <c r="A7197" t="s">
        <v>5024</v>
      </c>
      <c r="B7197" t="s">
        <v>72</v>
      </c>
      <c r="C7197" t="s">
        <v>31</v>
      </c>
      <c r="D7197" t="s">
        <v>168</v>
      </c>
      <c r="E7197" s="2">
        <v>9.5</v>
      </c>
      <c r="F7197" s="4">
        <v>2</v>
      </c>
      <c r="G7197" s="2">
        <v>19</v>
      </c>
      <c r="H7197" t="s">
        <v>45</v>
      </c>
      <c r="I7197" t="s">
        <v>16</v>
      </c>
      <c r="J7197" s="1">
        <v>44788</v>
      </c>
      <c r="K7197" t="b">
        <v>1</v>
      </c>
    </row>
    <row r="7198" spans="1:11" x14ac:dyDescent="0.25">
      <c r="A7198" t="s">
        <v>4899</v>
      </c>
      <c r="B7198" t="s">
        <v>69</v>
      </c>
      <c r="C7198" t="s">
        <v>110</v>
      </c>
      <c r="D7198" t="s">
        <v>304</v>
      </c>
      <c r="E7198" s="2">
        <v>9.5</v>
      </c>
      <c r="F7198" s="4">
        <v>2</v>
      </c>
      <c r="G7198" s="2">
        <v>19</v>
      </c>
      <c r="H7198" t="s">
        <v>25</v>
      </c>
      <c r="I7198" t="s">
        <v>16</v>
      </c>
      <c r="J7198" s="1">
        <v>45562</v>
      </c>
      <c r="K7198" t="b">
        <v>0</v>
      </c>
    </row>
    <row r="7199" spans="1:11" x14ac:dyDescent="0.25">
      <c r="A7199" t="s">
        <v>4543</v>
      </c>
      <c r="B7199" t="s">
        <v>12</v>
      </c>
      <c r="C7199" t="s">
        <v>13</v>
      </c>
      <c r="D7199" t="s">
        <v>171</v>
      </c>
      <c r="E7199" s="2">
        <v>9.5</v>
      </c>
      <c r="F7199" s="4">
        <v>2</v>
      </c>
      <c r="G7199" s="2">
        <v>19</v>
      </c>
      <c r="H7199" t="s">
        <v>45</v>
      </c>
      <c r="I7199" t="s">
        <v>16</v>
      </c>
      <c r="J7199" s="1">
        <v>45077</v>
      </c>
      <c r="K7199" t="b">
        <v>1</v>
      </c>
    </row>
    <row r="7200" spans="1:11" x14ac:dyDescent="0.25">
      <c r="A7200" t="s">
        <v>6268</v>
      </c>
      <c r="B7200" t="s">
        <v>69</v>
      </c>
      <c r="C7200" t="s">
        <v>59</v>
      </c>
      <c r="D7200" t="s">
        <v>64</v>
      </c>
      <c r="E7200" s="2">
        <v>9.5</v>
      </c>
      <c r="F7200" s="4">
        <v>2</v>
      </c>
      <c r="G7200" s="2">
        <v>19</v>
      </c>
      <c r="H7200" t="s">
        <v>15</v>
      </c>
      <c r="I7200" t="s">
        <v>36</v>
      </c>
      <c r="J7200" s="1">
        <v>44786</v>
      </c>
      <c r="K7200" t="b">
        <v>1</v>
      </c>
    </row>
    <row r="7201" spans="1:11" x14ac:dyDescent="0.25">
      <c r="A7201" t="s">
        <v>7338</v>
      </c>
      <c r="B7201" t="s">
        <v>93</v>
      </c>
      <c r="C7201" t="s">
        <v>38</v>
      </c>
      <c r="D7201" t="s">
        <v>414</v>
      </c>
      <c r="E7201" s="2">
        <v>9.5</v>
      </c>
      <c r="F7201" s="4">
        <v>2</v>
      </c>
      <c r="G7201" s="2">
        <v>19</v>
      </c>
      <c r="H7201" t="s">
        <v>25</v>
      </c>
      <c r="I7201" t="s">
        <v>36</v>
      </c>
      <c r="J7201" s="1">
        <v>45330</v>
      </c>
      <c r="K7201" t="b">
        <v>0</v>
      </c>
    </row>
    <row r="7202" spans="1:11" x14ac:dyDescent="0.25">
      <c r="A7202" t="s">
        <v>1393</v>
      </c>
      <c r="B7202" t="s">
        <v>142</v>
      </c>
      <c r="C7202" t="s">
        <v>31</v>
      </c>
      <c r="D7202" t="s">
        <v>168</v>
      </c>
      <c r="E7202" s="2">
        <v>9.5</v>
      </c>
      <c r="F7202" s="4">
        <v>2</v>
      </c>
      <c r="G7202" s="2">
        <v>19</v>
      </c>
      <c r="H7202" t="s">
        <v>25</v>
      </c>
      <c r="I7202" t="s">
        <v>16</v>
      </c>
      <c r="J7202" s="1">
        <v>45404</v>
      </c>
      <c r="K7202" t="b">
        <v>1</v>
      </c>
    </row>
    <row r="7203" spans="1:11" x14ac:dyDescent="0.25">
      <c r="A7203" t="s">
        <v>7121</v>
      </c>
      <c r="B7203" t="s">
        <v>100</v>
      </c>
      <c r="C7203" t="s">
        <v>27</v>
      </c>
      <c r="D7203" t="s">
        <v>147</v>
      </c>
      <c r="E7203" s="2">
        <v>9.5</v>
      </c>
      <c r="F7203" s="4">
        <v>2</v>
      </c>
      <c r="G7203" s="2">
        <v>19</v>
      </c>
      <c r="H7203" t="s">
        <v>25</v>
      </c>
      <c r="I7203" t="s">
        <v>16</v>
      </c>
      <c r="J7203" s="1">
        <v>45451</v>
      </c>
      <c r="K7203" t="b">
        <v>0</v>
      </c>
    </row>
    <row r="7204" spans="1:11" x14ac:dyDescent="0.25">
      <c r="A7204" t="s">
        <v>6627</v>
      </c>
      <c r="B7204" t="s">
        <v>22</v>
      </c>
      <c r="C7204" t="s">
        <v>19</v>
      </c>
      <c r="D7204" t="s">
        <v>174</v>
      </c>
      <c r="E7204" s="2">
        <v>9.5</v>
      </c>
      <c r="F7204" s="4">
        <v>2</v>
      </c>
      <c r="G7204" s="2">
        <v>19</v>
      </c>
      <c r="H7204" t="s">
        <v>25</v>
      </c>
      <c r="I7204" t="s">
        <v>36</v>
      </c>
      <c r="J7204" s="1">
        <v>45454</v>
      </c>
      <c r="K7204" t="b">
        <v>0</v>
      </c>
    </row>
    <row r="7205" spans="1:11" x14ac:dyDescent="0.25">
      <c r="A7205" t="s">
        <v>4293</v>
      </c>
      <c r="B7205" t="s">
        <v>85</v>
      </c>
      <c r="C7205" t="s">
        <v>23</v>
      </c>
      <c r="D7205" t="s">
        <v>810</v>
      </c>
      <c r="E7205" s="2">
        <v>9.5</v>
      </c>
      <c r="F7205" s="4">
        <v>2</v>
      </c>
      <c r="G7205" s="2">
        <v>19</v>
      </c>
      <c r="H7205" t="s">
        <v>45</v>
      </c>
      <c r="I7205" t="s">
        <v>16</v>
      </c>
      <c r="J7205" s="1">
        <v>44938</v>
      </c>
      <c r="K7205" t="b">
        <v>0</v>
      </c>
    </row>
    <row r="7206" spans="1:11" x14ac:dyDescent="0.25">
      <c r="A7206" t="s">
        <v>322</v>
      </c>
      <c r="B7206" t="s">
        <v>85</v>
      </c>
      <c r="C7206" t="s">
        <v>19</v>
      </c>
      <c r="D7206" t="s">
        <v>174</v>
      </c>
      <c r="E7206" s="2">
        <v>9.5</v>
      </c>
      <c r="F7206" s="4">
        <v>2</v>
      </c>
      <c r="G7206" s="2">
        <v>19</v>
      </c>
      <c r="H7206" t="s">
        <v>25</v>
      </c>
      <c r="I7206" t="s">
        <v>36</v>
      </c>
      <c r="J7206" s="1">
        <v>45585</v>
      </c>
      <c r="K7206" t="b">
        <v>0</v>
      </c>
    </row>
    <row r="7207" spans="1:11" x14ac:dyDescent="0.25">
      <c r="A7207" t="s">
        <v>1506</v>
      </c>
      <c r="B7207" t="s">
        <v>86</v>
      </c>
      <c r="C7207" t="s">
        <v>13</v>
      </c>
      <c r="D7207" t="s">
        <v>171</v>
      </c>
      <c r="E7207" s="2">
        <v>9.5</v>
      </c>
      <c r="F7207" s="4">
        <v>2</v>
      </c>
      <c r="G7207" s="2">
        <v>19</v>
      </c>
      <c r="H7207" t="s">
        <v>25</v>
      </c>
      <c r="I7207" t="s">
        <v>16</v>
      </c>
      <c r="J7207" s="1">
        <v>45420</v>
      </c>
      <c r="K7207" t="b">
        <v>0</v>
      </c>
    </row>
    <row r="7208" spans="1:11" x14ac:dyDescent="0.25">
      <c r="A7208" t="s">
        <v>4470</v>
      </c>
      <c r="B7208" t="s">
        <v>66</v>
      </c>
      <c r="C7208" t="s">
        <v>38</v>
      </c>
      <c r="D7208" t="s">
        <v>414</v>
      </c>
      <c r="E7208" s="2">
        <v>9.5</v>
      </c>
      <c r="F7208" s="4">
        <v>2</v>
      </c>
      <c r="G7208" s="2">
        <v>19</v>
      </c>
      <c r="H7208" t="s">
        <v>45</v>
      </c>
      <c r="I7208" t="s">
        <v>36</v>
      </c>
      <c r="J7208" s="1">
        <v>44767</v>
      </c>
      <c r="K7208" t="b">
        <v>1</v>
      </c>
    </row>
    <row r="7209" spans="1:11" x14ac:dyDescent="0.25">
      <c r="A7209" t="s">
        <v>5530</v>
      </c>
      <c r="B7209" t="s">
        <v>51</v>
      </c>
      <c r="C7209" t="s">
        <v>23</v>
      </c>
      <c r="D7209" t="s">
        <v>810</v>
      </c>
      <c r="E7209" s="2">
        <v>9.5</v>
      </c>
      <c r="F7209" s="4">
        <v>2</v>
      </c>
      <c r="G7209" s="2">
        <v>19</v>
      </c>
      <c r="H7209" t="s">
        <v>25</v>
      </c>
      <c r="I7209" t="s">
        <v>36</v>
      </c>
      <c r="J7209" s="1">
        <v>44641</v>
      </c>
      <c r="K7209" t="b">
        <v>1</v>
      </c>
    </row>
    <row r="7210" spans="1:11" x14ac:dyDescent="0.25">
      <c r="A7210" t="s">
        <v>6902</v>
      </c>
      <c r="B7210" t="s">
        <v>56</v>
      </c>
      <c r="C7210" t="s">
        <v>27</v>
      </c>
      <c r="D7210" t="s">
        <v>147</v>
      </c>
      <c r="E7210" s="2">
        <v>9.5</v>
      </c>
      <c r="F7210" s="4">
        <v>2</v>
      </c>
      <c r="G7210" s="2">
        <v>19</v>
      </c>
      <c r="H7210" t="s">
        <v>15</v>
      </c>
      <c r="I7210" t="s">
        <v>36</v>
      </c>
      <c r="J7210" s="1">
        <v>45382</v>
      </c>
      <c r="K7210" t="b">
        <v>0</v>
      </c>
    </row>
    <row r="7211" spans="1:11" x14ac:dyDescent="0.25">
      <c r="A7211" t="s">
        <v>6920</v>
      </c>
      <c r="B7211" t="s">
        <v>63</v>
      </c>
      <c r="C7211" t="s">
        <v>31</v>
      </c>
      <c r="D7211" t="s">
        <v>168</v>
      </c>
      <c r="E7211" s="2">
        <v>9.5</v>
      </c>
      <c r="F7211" s="4">
        <v>2</v>
      </c>
      <c r="G7211" s="2">
        <v>19</v>
      </c>
      <c r="H7211" t="s">
        <v>25</v>
      </c>
      <c r="I7211" t="s">
        <v>36</v>
      </c>
      <c r="J7211" s="1">
        <v>45675</v>
      </c>
      <c r="K7211" t="b">
        <v>1</v>
      </c>
    </row>
    <row r="7212" spans="1:11" x14ac:dyDescent="0.25">
      <c r="A7212" t="s">
        <v>5171</v>
      </c>
      <c r="B7212" t="s">
        <v>66</v>
      </c>
      <c r="C7212" t="s">
        <v>13</v>
      </c>
      <c r="D7212" t="s">
        <v>171</v>
      </c>
      <c r="E7212" s="2">
        <v>9.5</v>
      </c>
      <c r="F7212" s="4">
        <v>2</v>
      </c>
      <c r="G7212" s="2">
        <v>19</v>
      </c>
      <c r="H7212" t="s">
        <v>15</v>
      </c>
      <c r="I7212" t="s">
        <v>36</v>
      </c>
      <c r="J7212" s="1">
        <v>44873</v>
      </c>
      <c r="K7212" t="b">
        <v>1</v>
      </c>
    </row>
    <row r="7213" spans="1:11" x14ac:dyDescent="0.25">
      <c r="A7213" t="s">
        <v>1947</v>
      </c>
      <c r="B7213" t="s">
        <v>63</v>
      </c>
      <c r="C7213" t="s">
        <v>19</v>
      </c>
      <c r="D7213" t="s">
        <v>174</v>
      </c>
      <c r="E7213" s="2">
        <v>9.5</v>
      </c>
      <c r="F7213" s="4">
        <v>2</v>
      </c>
      <c r="G7213" s="2">
        <v>19</v>
      </c>
      <c r="H7213" t="s">
        <v>15</v>
      </c>
      <c r="I7213" t="s">
        <v>16</v>
      </c>
      <c r="J7213" s="1">
        <v>45145</v>
      </c>
      <c r="K7213" t="b">
        <v>0</v>
      </c>
    </row>
    <row r="7214" spans="1:11" x14ac:dyDescent="0.25">
      <c r="A7214" t="s">
        <v>4488</v>
      </c>
      <c r="B7214" t="s">
        <v>97</v>
      </c>
      <c r="C7214" t="s">
        <v>38</v>
      </c>
      <c r="D7214" t="s">
        <v>414</v>
      </c>
      <c r="E7214" s="2">
        <v>9.5</v>
      </c>
      <c r="F7214" s="4">
        <v>2</v>
      </c>
      <c r="G7214" s="2">
        <v>19</v>
      </c>
      <c r="H7214" t="s">
        <v>45</v>
      </c>
      <c r="I7214" t="s">
        <v>36</v>
      </c>
      <c r="J7214" s="1">
        <v>44707</v>
      </c>
      <c r="K7214" t="b">
        <v>0</v>
      </c>
    </row>
    <row r="7215" spans="1:11" x14ac:dyDescent="0.25">
      <c r="A7215" t="s">
        <v>4515</v>
      </c>
      <c r="B7215" t="s">
        <v>61</v>
      </c>
      <c r="C7215" t="s">
        <v>31</v>
      </c>
      <c r="D7215" t="s">
        <v>168</v>
      </c>
      <c r="E7215" s="2">
        <v>9.5</v>
      </c>
      <c r="F7215" s="4">
        <v>2</v>
      </c>
      <c r="G7215" s="2">
        <v>19</v>
      </c>
      <c r="H7215" t="s">
        <v>15</v>
      </c>
      <c r="I7215" t="s">
        <v>16</v>
      </c>
      <c r="J7215" s="1">
        <v>45140</v>
      </c>
      <c r="K7215" t="b">
        <v>1</v>
      </c>
    </row>
    <row r="7216" spans="1:11" x14ac:dyDescent="0.25">
      <c r="A7216" t="s">
        <v>7225</v>
      </c>
      <c r="B7216" t="s">
        <v>142</v>
      </c>
      <c r="C7216" t="s">
        <v>59</v>
      </c>
      <c r="D7216" t="s">
        <v>64</v>
      </c>
      <c r="E7216" s="2">
        <v>9.5</v>
      </c>
      <c r="F7216" s="4">
        <v>2</v>
      </c>
      <c r="G7216" s="2">
        <v>19</v>
      </c>
      <c r="H7216" t="s">
        <v>25</v>
      </c>
      <c r="I7216" t="s">
        <v>16</v>
      </c>
      <c r="J7216" s="1">
        <v>45170</v>
      </c>
      <c r="K7216" t="b">
        <v>1</v>
      </c>
    </row>
    <row r="7217" spans="1:11" x14ac:dyDescent="0.25">
      <c r="A7217" t="s">
        <v>1111</v>
      </c>
      <c r="B7217" t="s">
        <v>77</v>
      </c>
      <c r="C7217" t="s">
        <v>31</v>
      </c>
      <c r="D7217" t="s">
        <v>168</v>
      </c>
      <c r="E7217" s="2">
        <v>9.5</v>
      </c>
      <c r="F7217" s="4">
        <v>2</v>
      </c>
      <c r="G7217" s="2">
        <v>19</v>
      </c>
      <c r="H7217" t="s">
        <v>25</v>
      </c>
      <c r="I7217" t="s">
        <v>16</v>
      </c>
      <c r="J7217" s="1">
        <v>45273</v>
      </c>
      <c r="K7217" t="b">
        <v>1</v>
      </c>
    </row>
    <row r="7218" spans="1:11" x14ac:dyDescent="0.25">
      <c r="A7218" t="s">
        <v>1957</v>
      </c>
      <c r="B7218" t="s">
        <v>12</v>
      </c>
      <c r="C7218" t="s">
        <v>19</v>
      </c>
      <c r="D7218" t="s">
        <v>174</v>
      </c>
      <c r="E7218" s="2">
        <v>9.5</v>
      </c>
      <c r="F7218" s="4">
        <v>2</v>
      </c>
      <c r="G7218" s="2">
        <v>19</v>
      </c>
      <c r="H7218" t="s">
        <v>25</v>
      </c>
      <c r="I7218" t="s">
        <v>36</v>
      </c>
      <c r="J7218" s="1">
        <v>45651</v>
      </c>
      <c r="K7218" t="b">
        <v>1</v>
      </c>
    </row>
    <row r="7219" spans="1:11" x14ac:dyDescent="0.25">
      <c r="A7219" t="s">
        <v>2052</v>
      </c>
      <c r="B7219" t="s">
        <v>104</v>
      </c>
      <c r="C7219" t="s">
        <v>38</v>
      </c>
      <c r="D7219" t="s">
        <v>414</v>
      </c>
      <c r="E7219" s="2">
        <v>9.5</v>
      </c>
      <c r="F7219" s="4">
        <v>2</v>
      </c>
      <c r="G7219" s="2">
        <v>19</v>
      </c>
      <c r="H7219" t="s">
        <v>45</v>
      </c>
      <c r="I7219" t="s">
        <v>36</v>
      </c>
      <c r="J7219" s="1">
        <v>44890</v>
      </c>
      <c r="K7219" t="b">
        <v>1</v>
      </c>
    </row>
    <row r="7220" spans="1:11" x14ac:dyDescent="0.25">
      <c r="A7220" t="s">
        <v>468</v>
      </c>
      <c r="B7220" t="s">
        <v>30</v>
      </c>
      <c r="C7220" t="s">
        <v>13</v>
      </c>
      <c r="D7220" t="s">
        <v>171</v>
      </c>
      <c r="E7220" s="2">
        <v>9.5</v>
      </c>
      <c r="F7220" s="4">
        <v>2</v>
      </c>
      <c r="G7220" s="2">
        <v>19</v>
      </c>
      <c r="H7220" t="s">
        <v>15</v>
      </c>
      <c r="I7220" t="s">
        <v>36</v>
      </c>
      <c r="J7220" s="1">
        <v>45112</v>
      </c>
      <c r="K7220" t="b">
        <v>1</v>
      </c>
    </row>
    <row r="7221" spans="1:11" x14ac:dyDescent="0.25">
      <c r="A7221" t="s">
        <v>5898</v>
      </c>
      <c r="B7221" t="s">
        <v>37</v>
      </c>
      <c r="C7221" t="s">
        <v>110</v>
      </c>
      <c r="D7221" t="s">
        <v>189</v>
      </c>
      <c r="E7221" s="2">
        <v>18.5</v>
      </c>
      <c r="F7221" s="4">
        <v>1</v>
      </c>
      <c r="G7221" s="2">
        <v>18.5</v>
      </c>
      <c r="H7221" t="s">
        <v>15</v>
      </c>
      <c r="I7221" t="s">
        <v>36</v>
      </c>
      <c r="J7221" s="1">
        <v>45651</v>
      </c>
      <c r="K7221" t="b">
        <v>1</v>
      </c>
    </row>
    <row r="7222" spans="1:11" x14ac:dyDescent="0.25">
      <c r="A7222" t="s">
        <v>3510</v>
      </c>
      <c r="B7222" t="s">
        <v>142</v>
      </c>
      <c r="C7222" t="s">
        <v>23</v>
      </c>
      <c r="D7222" t="s">
        <v>771</v>
      </c>
      <c r="E7222" s="2">
        <v>18.5</v>
      </c>
      <c r="F7222" s="4">
        <v>1</v>
      </c>
      <c r="G7222" s="2">
        <v>18.5</v>
      </c>
      <c r="H7222" t="s">
        <v>15</v>
      </c>
      <c r="I7222" t="s">
        <v>36</v>
      </c>
      <c r="J7222" s="1">
        <v>45254</v>
      </c>
      <c r="K7222" t="b">
        <v>0</v>
      </c>
    </row>
    <row r="7223" spans="1:11" x14ac:dyDescent="0.25">
      <c r="A7223" t="s">
        <v>2047</v>
      </c>
      <c r="B7223" t="s">
        <v>43</v>
      </c>
      <c r="C7223" t="s">
        <v>13</v>
      </c>
      <c r="D7223" t="s">
        <v>14</v>
      </c>
      <c r="E7223" s="2">
        <v>18.5</v>
      </c>
      <c r="F7223" s="4">
        <v>1</v>
      </c>
      <c r="G7223" s="2">
        <v>18.5</v>
      </c>
      <c r="H7223" t="s">
        <v>25</v>
      </c>
      <c r="I7223" t="s">
        <v>16</v>
      </c>
      <c r="J7223" s="1">
        <v>45230</v>
      </c>
      <c r="K7223" t="b">
        <v>1</v>
      </c>
    </row>
    <row r="7224" spans="1:11" x14ac:dyDescent="0.25">
      <c r="A7224" t="s">
        <v>65</v>
      </c>
      <c r="B7224" t="s">
        <v>66</v>
      </c>
      <c r="C7224" t="s">
        <v>31</v>
      </c>
      <c r="D7224" t="s">
        <v>67</v>
      </c>
      <c r="E7224" s="2">
        <v>18.5</v>
      </c>
      <c r="F7224" s="4">
        <v>1</v>
      </c>
      <c r="G7224" s="2">
        <v>18.5</v>
      </c>
      <c r="H7224" t="s">
        <v>45</v>
      </c>
      <c r="I7224" t="s">
        <v>16</v>
      </c>
      <c r="J7224" s="1">
        <v>45199</v>
      </c>
      <c r="K7224" t="b">
        <v>0</v>
      </c>
    </row>
    <row r="7225" spans="1:11" x14ac:dyDescent="0.25">
      <c r="A7225" t="s">
        <v>6840</v>
      </c>
      <c r="B7225" t="s">
        <v>40</v>
      </c>
      <c r="C7225" t="s">
        <v>31</v>
      </c>
      <c r="D7225" t="s">
        <v>67</v>
      </c>
      <c r="E7225" s="2">
        <v>18.5</v>
      </c>
      <c r="F7225" s="4">
        <v>1</v>
      </c>
      <c r="G7225" s="2">
        <v>18.5</v>
      </c>
      <c r="H7225" t="s">
        <v>45</v>
      </c>
      <c r="I7225" t="s">
        <v>16</v>
      </c>
      <c r="J7225" s="1">
        <v>44776</v>
      </c>
      <c r="K7225" t="b">
        <v>1</v>
      </c>
    </row>
    <row r="7226" spans="1:11" x14ac:dyDescent="0.25">
      <c r="A7226" t="s">
        <v>6468</v>
      </c>
      <c r="B7226" t="s">
        <v>86</v>
      </c>
      <c r="C7226" t="s">
        <v>59</v>
      </c>
      <c r="D7226" t="s">
        <v>102</v>
      </c>
      <c r="E7226" s="2">
        <v>18.5</v>
      </c>
      <c r="F7226" s="4">
        <v>1</v>
      </c>
      <c r="G7226" s="2">
        <v>18.5</v>
      </c>
      <c r="H7226" t="s">
        <v>15</v>
      </c>
      <c r="I7226" t="s">
        <v>16</v>
      </c>
      <c r="J7226" s="1">
        <v>45035</v>
      </c>
      <c r="K7226" t="b">
        <v>1</v>
      </c>
    </row>
    <row r="7227" spans="1:11" x14ac:dyDescent="0.25">
      <c r="A7227" t="s">
        <v>1567</v>
      </c>
      <c r="B7227" t="s">
        <v>34</v>
      </c>
      <c r="C7227" t="s">
        <v>110</v>
      </c>
      <c r="D7227" t="s">
        <v>189</v>
      </c>
      <c r="E7227" s="2">
        <v>18.5</v>
      </c>
      <c r="F7227" s="4">
        <v>1</v>
      </c>
      <c r="G7227" s="2">
        <v>18.5</v>
      </c>
      <c r="H7227" t="s">
        <v>25</v>
      </c>
      <c r="I7227" t="s">
        <v>16</v>
      </c>
      <c r="J7227" s="1">
        <v>45523</v>
      </c>
      <c r="K7227" t="b">
        <v>1</v>
      </c>
    </row>
    <row r="7228" spans="1:11" x14ac:dyDescent="0.25">
      <c r="A7228" t="s">
        <v>4950</v>
      </c>
      <c r="B7228" t="s">
        <v>43</v>
      </c>
      <c r="C7228" t="s">
        <v>13</v>
      </c>
      <c r="D7228" t="s">
        <v>14</v>
      </c>
      <c r="E7228" s="2">
        <v>18.5</v>
      </c>
      <c r="F7228" s="4">
        <v>1</v>
      </c>
      <c r="G7228" s="2">
        <v>18.5</v>
      </c>
      <c r="H7228" t="s">
        <v>25</v>
      </c>
      <c r="I7228" t="s">
        <v>36</v>
      </c>
      <c r="J7228" s="1">
        <v>45670</v>
      </c>
      <c r="K7228" t="b">
        <v>1</v>
      </c>
    </row>
    <row r="7229" spans="1:11" x14ac:dyDescent="0.25">
      <c r="A7229" t="s">
        <v>2473</v>
      </c>
      <c r="B7229" t="s">
        <v>66</v>
      </c>
      <c r="C7229" t="s">
        <v>110</v>
      </c>
      <c r="D7229" t="s">
        <v>189</v>
      </c>
      <c r="E7229" s="2">
        <v>18.5</v>
      </c>
      <c r="F7229" s="4">
        <v>1</v>
      </c>
      <c r="G7229" s="2">
        <v>18.5</v>
      </c>
      <c r="H7229" t="s">
        <v>25</v>
      </c>
      <c r="I7229" t="s">
        <v>36</v>
      </c>
      <c r="J7229" s="1">
        <v>44661</v>
      </c>
      <c r="K7229" t="b">
        <v>0</v>
      </c>
    </row>
    <row r="7230" spans="1:11" x14ac:dyDescent="0.25">
      <c r="A7230" t="s">
        <v>784</v>
      </c>
      <c r="B7230" t="s">
        <v>12</v>
      </c>
      <c r="C7230" t="s">
        <v>59</v>
      </c>
      <c r="D7230" t="s">
        <v>102</v>
      </c>
      <c r="E7230" s="2">
        <v>18.5</v>
      </c>
      <c r="F7230" s="4">
        <v>1</v>
      </c>
      <c r="G7230" s="2">
        <v>18.5</v>
      </c>
      <c r="H7230" t="s">
        <v>15</v>
      </c>
      <c r="I7230" t="s">
        <v>36</v>
      </c>
      <c r="J7230" s="1">
        <v>44815</v>
      </c>
      <c r="K7230" t="b">
        <v>1</v>
      </c>
    </row>
    <row r="7231" spans="1:11" x14ac:dyDescent="0.25">
      <c r="A7231" t="s">
        <v>7720</v>
      </c>
      <c r="B7231" t="s">
        <v>56</v>
      </c>
      <c r="C7231" t="s">
        <v>13</v>
      </c>
      <c r="D7231" t="s">
        <v>14</v>
      </c>
      <c r="E7231" s="2">
        <v>18.5</v>
      </c>
      <c r="F7231" s="4">
        <v>1</v>
      </c>
      <c r="G7231" s="2">
        <v>18.5</v>
      </c>
      <c r="H7231" t="s">
        <v>25</v>
      </c>
      <c r="I7231" t="s">
        <v>16</v>
      </c>
      <c r="J7231" s="1">
        <v>44981</v>
      </c>
      <c r="K7231" t="b">
        <v>0</v>
      </c>
    </row>
    <row r="7232" spans="1:11" x14ac:dyDescent="0.25">
      <c r="A7232" t="s">
        <v>7701</v>
      </c>
      <c r="B7232" t="s">
        <v>97</v>
      </c>
      <c r="C7232" t="s">
        <v>59</v>
      </c>
      <c r="D7232" t="s">
        <v>102</v>
      </c>
      <c r="E7232" s="2">
        <v>18.5</v>
      </c>
      <c r="F7232" s="4">
        <v>1</v>
      </c>
      <c r="G7232" s="2">
        <v>18.5</v>
      </c>
      <c r="H7232" t="s">
        <v>25</v>
      </c>
      <c r="I7232" t="s">
        <v>16</v>
      </c>
      <c r="J7232" s="1">
        <v>45250</v>
      </c>
      <c r="K7232" t="b">
        <v>0</v>
      </c>
    </row>
    <row r="7233" spans="1:11" x14ac:dyDescent="0.25">
      <c r="A7233" t="s">
        <v>7156</v>
      </c>
      <c r="B7233" t="s">
        <v>100</v>
      </c>
      <c r="C7233" t="s">
        <v>110</v>
      </c>
      <c r="D7233" t="s">
        <v>189</v>
      </c>
      <c r="E7233" s="2">
        <v>18.5</v>
      </c>
      <c r="F7233" s="4">
        <v>1</v>
      </c>
      <c r="G7233" s="2">
        <v>18.5</v>
      </c>
      <c r="H7233" t="s">
        <v>45</v>
      </c>
      <c r="I7233" t="s">
        <v>36</v>
      </c>
      <c r="J7233" s="1">
        <v>44600</v>
      </c>
      <c r="K7233" t="b">
        <v>1</v>
      </c>
    </row>
    <row r="7234" spans="1:11" x14ac:dyDescent="0.25">
      <c r="A7234" t="s">
        <v>2606</v>
      </c>
      <c r="B7234" t="s">
        <v>85</v>
      </c>
      <c r="C7234" t="s">
        <v>110</v>
      </c>
      <c r="D7234" t="s">
        <v>189</v>
      </c>
      <c r="E7234" s="2">
        <v>18.5</v>
      </c>
      <c r="F7234" s="4">
        <v>1</v>
      </c>
      <c r="G7234" s="2">
        <v>18.5</v>
      </c>
      <c r="H7234" t="s">
        <v>45</v>
      </c>
      <c r="I7234" t="s">
        <v>16</v>
      </c>
      <c r="J7234" s="1">
        <v>44976</v>
      </c>
      <c r="K7234" t="b">
        <v>1</v>
      </c>
    </row>
    <row r="7235" spans="1:11" x14ac:dyDescent="0.25">
      <c r="A7235" t="s">
        <v>2001</v>
      </c>
      <c r="B7235" t="s">
        <v>69</v>
      </c>
      <c r="C7235" t="s">
        <v>59</v>
      </c>
      <c r="D7235" t="s">
        <v>102</v>
      </c>
      <c r="E7235" s="2">
        <v>18.5</v>
      </c>
      <c r="F7235" s="4">
        <v>1</v>
      </c>
      <c r="G7235" s="2">
        <v>18.5</v>
      </c>
      <c r="H7235" t="s">
        <v>45</v>
      </c>
      <c r="I7235" t="s">
        <v>16</v>
      </c>
      <c r="J7235" s="1">
        <v>45183</v>
      </c>
      <c r="K7235" t="b">
        <v>1</v>
      </c>
    </row>
    <row r="7236" spans="1:11" x14ac:dyDescent="0.25">
      <c r="A7236" t="s">
        <v>5348</v>
      </c>
      <c r="B7236" t="s">
        <v>77</v>
      </c>
      <c r="C7236" t="s">
        <v>38</v>
      </c>
      <c r="D7236" t="s">
        <v>94</v>
      </c>
      <c r="E7236" s="2">
        <v>18.5</v>
      </c>
      <c r="F7236" s="4">
        <v>1</v>
      </c>
      <c r="G7236" s="2">
        <v>18.5</v>
      </c>
      <c r="H7236" t="s">
        <v>45</v>
      </c>
      <c r="I7236" t="s">
        <v>36</v>
      </c>
      <c r="J7236" s="1">
        <v>44848</v>
      </c>
      <c r="K7236" t="b">
        <v>0</v>
      </c>
    </row>
    <row r="7237" spans="1:11" x14ac:dyDescent="0.25">
      <c r="A7237" t="s">
        <v>820</v>
      </c>
      <c r="B7237" t="s">
        <v>30</v>
      </c>
      <c r="C7237" t="s">
        <v>27</v>
      </c>
      <c r="D7237" t="s">
        <v>384</v>
      </c>
      <c r="E7237" s="2">
        <v>18.5</v>
      </c>
      <c r="F7237" s="4">
        <v>1</v>
      </c>
      <c r="G7237" s="2">
        <v>18.5</v>
      </c>
      <c r="H7237" t="s">
        <v>45</v>
      </c>
      <c r="I7237" t="s">
        <v>16</v>
      </c>
      <c r="J7237" s="1">
        <v>45613</v>
      </c>
      <c r="K7237" t="b">
        <v>1</v>
      </c>
    </row>
    <row r="7238" spans="1:11" x14ac:dyDescent="0.25">
      <c r="A7238" t="s">
        <v>6801</v>
      </c>
      <c r="B7238" t="s">
        <v>97</v>
      </c>
      <c r="C7238" t="s">
        <v>31</v>
      </c>
      <c r="D7238" t="s">
        <v>67</v>
      </c>
      <c r="E7238" s="2">
        <v>18.5</v>
      </c>
      <c r="F7238" s="4">
        <v>1</v>
      </c>
      <c r="G7238" s="2">
        <v>18.5</v>
      </c>
      <c r="H7238" t="s">
        <v>25</v>
      </c>
      <c r="I7238" t="s">
        <v>16</v>
      </c>
      <c r="J7238" s="1">
        <v>45178</v>
      </c>
      <c r="K7238" t="b">
        <v>1</v>
      </c>
    </row>
    <row r="7239" spans="1:11" x14ac:dyDescent="0.25">
      <c r="A7239" t="s">
        <v>2931</v>
      </c>
      <c r="B7239" t="s">
        <v>104</v>
      </c>
      <c r="C7239" t="s">
        <v>110</v>
      </c>
      <c r="D7239" t="s">
        <v>189</v>
      </c>
      <c r="E7239" s="2">
        <v>18.5</v>
      </c>
      <c r="F7239" s="4">
        <v>1</v>
      </c>
      <c r="G7239" s="2">
        <v>18.5</v>
      </c>
      <c r="H7239" t="s">
        <v>45</v>
      </c>
      <c r="I7239" t="s">
        <v>16</v>
      </c>
      <c r="J7239" s="1">
        <v>45166</v>
      </c>
      <c r="K7239" t="b">
        <v>0</v>
      </c>
    </row>
    <row r="7240" spans="1:11" x14ac:dyDescent="0.25">
      <c r="A7240" t="s">
        <v>6697</v>
      </c>
      <c r="B7240" t="s">
        <v>26</v>
      </c>
      <c r="C7240" t="s">
        <v>31</v>
      </c>
      <c r="D7240" t="s">
        <v>195</v>
      </c>
      <c r="E7240" s="2">
        <v>17</v>
      </c>
      <c r="F7240" s="4">
        <v>1</v>
      </c>
      <c r="G7240" s="2">
        <v>17</v>
      </c>
      <c r="H7240" t="s">
        <v>25</v>
      </c>
      <c r="I7240" t="s">
        <v>36</v>
      </c>
      <c r="J7240" s="1">
        <v>45225</v>
      </c>
      <c r="K7240" t="b">
        <v>0</v>
      </c>
    </row>
    <row r="7241" spans="1:11" x14ac:dyDescent="0.25">
      <c r="A7241" t="s">
        <v>6940</v>
      </c>
      <c r="B7241" t="s">
        <v>58</v>
      </c>
      <c r="C7241" t="s">
        <v>110</v>
      </c>
      <c r="D7241" t="s">
        <v>327</v>
      </c>
      <c r="E7241" s="2">
        <v>17</v>
      </c>
      <c r="F7241" s="4">
        <v>1</v>
      </c>
      <c r="G7241" s="2">
        <v>17</v>
      </c>
      <c r="H7241" t="s">
        <v>45</v>
      </c>
      <c r="I7241" t="s">
        <v>36</v>
      </c>
      <c r="J7241" s="1">
        <v>45319</v>
      </c>
      <c r="K7241" t="b">
        <v>0</v>
      </c>
    </row>
    <row r="7242" spans="1:11" x14ac:dyDescent="0.25">
      <c r="A7242" t="s">
        <v>7539</v>
      </c>
      <c r="B7242" t="s">
        <v>66</v>
      </c>
      <c r="C7242" t="s">
        <v>59</v>
      </c>
      <c r="D7242" t="s">
        <v>655</v>
      </c>
      <c r="E7242" s="2">
        <v>17</v>
      </c>
      <c r="F7242" s="4">
        <v>1</v>
      </c>
      <c r="G7242" s="2">
        <v>17</v>
      </c>
      <c r="H7242" t="s">
        <v>15</v>
      </c>
      <c r="I7242" t="s">
        <v>16</v>
      </c>
      <c r="J7242" s="1">
        <v>44893</v>
      </c>
      <c r="K7242" t="b">
        <v>1</v>
      </c>
    </row>
    <row r="7243" spans="1:11" x14ac:dyDescent="0.25">
      <c r="A7243" t="s">
        <v>6081</v>
      </c>
      <c r="B7243" t="s">
        <v>30</v>
      </c>
      <c r="C7243" t="s">
        <v>13</v>
      </c>
      <c r="D7243" t="s">
        <v>380</v>
      </c>
      <c r="E7243" s="2">
        <v>17</v>
      </c>
      <c r="F7243" s="4">
        <v>1</v>
      </c>
      <c r="G7243" s="2">
        <v>17</v>
      </c>
      <c r="H7243" t="s">
        <v>45</v>
      </c>
      <c r="I7243" t="s">
        <v>16</v>
      </c>
      <c r="J7243" s="1">
        <v>44897</v>
      </c>
      <c r="K7243" t="b">
        <v>1</v>
      </c>
    </row>
    <row r="7244" spans="1:11" x14ac:dyDescent="0.25">
      <c r="A7244" t="s">
        <v>5149</v>
      </c>
      <c r="B7244" t="s">
        <v>12</v>
      </c>
      <c r="C7244" t="s">
        <v>23</v>
      </c>
      <c r="D7244" t="s">
        <v>2357</v>
      </c>
      <c r="E7244" s="2">
        <v>17</v>
      </c>
      <c r="F7244" s="4">
        <v>1</v>
      </c>
      <c r="G7244" s="2">
        <v>17</v>
      </c>
      <c r="H7244" t="s">
        <v>45</v>
      </c>
      <c r="I7244" t="s">
        <v>16</v>
      </c>
      <c r="J7244" s="1">
        <v>44758</v>
      </c>
      <c r="K7244" t="b">
        <v>0</v>
      </c>
    </row>
    <row r="7245" spans="1:11" x14ac:dyDescent="0.25">
      <c r="A7245" t="s">
        <v>2788</v>
      </c>
      <c r="B7245" t="s">
        <v>77</v>
      </c>
      <c r="C7245" t="s">
        <v>59</v>
      </c>
      <c r="D7245" t="s">
        <v>655</v>
      </c>
      <c r="E7245" s="2">
        <v>17</v>
      </c>
      <c r="F7245" s="4">
        <v>1</v>
      </c>
      <c r="G7245" s="2">
        <v>17</v>
      </c>
      <c r="H7245" t="s">
        <v>45</v>
      </c>
      <c r="I7245" t="s">
        <v>16</v>
      </c>
      <c r="J7245" s="1">
        <v>44998</v>
      </c>
      <c r="K7245" t="b">
        <v>1</v>
      </c>
    </row>
    <row r="7246" spans="1:11" x14ac:dyDescent="0.25">
      <c r="A7246" t="s">
        <v>1660</v>
      </c>
      <c r="B7246" t="s">
        <v>86</v>
      </c>
      <c r="C7246" t="s">
        <v>38</v>
      </c>
      <c r="D7246" t="s">
        <v>444</v>
      </c>
      <c r="E7246" s="2">
        <v>17</v>
      </c>
      <c r="F7246" s="4">
        <v>1</v>
      </c>
      <c r="G7246" s="2">
        <v>17</v>
      </c>
      <c r="H7246" t="s">
        <v>25</v>
      </c>
      <c r="I7246" t="s">
        <v>16</v>
      </c>
      <c r="J7246" s="1">
        <v>45261</v>
      </c>
      <c r="K7246" t="b">
        <v>1</v>
      </c>
    </row>
    <row r="7247" spans="1:11" x14ac:dyDescent="0.25">
      <c r="A7247" t="s">
        <v>7282</v>
      </c>
      <c r="B7247" t="s">
        <v>58</v>
      </c>
      <c r="C7247" t="s">
        <v>13</v>
      </c>
      <c r="D7247" t="s">
        <v>380</v>
      </c>
      <c r="E7247" s="2">
        <v>17</v>
      </c>
      <c r="F7247" s="4">
        <v>1</v>
      </c>
      <c r="G7247" s="2">
        <v>17</v>
      </c>
      <c r="H7247" t="s">
        <v>45</v>
      </c>
      <c r="I7247" t="s">
        <v>16</v>
      </c>
      <c r="J7247" s="1">
        <v>45023</v>
      </c>
      <c r="K7247" t="b">
        <v>1</v>
      </c>
    </row>
    <row r="7248" spans="1:11" x14ac:dyDescent="0.25">
      <c r="A7248" t="s">
        <v>4791</v>
      </c>
      <c r="B7248" t="s">
        <v>63</v>
      </c>
      <c r="C7248" t="s">
        <v>31</v>
      </c>
      <c r="D7248" t="s">
        <v>195</v>
      </c>
      <c r="E7248" s="2">
        <v>17</v>
      </c>
      <c r="F7248" s="4">
        <v>1</v>
      </c>
      <c r="G7248" s="2">
        <v>17</v>
      </c>
      <c r="H7248" t="s">
        <v>45</v>
      </c>
      <c r="I7248" t="s">
        <v>16</v>
      </c>
      <c r="J7248" s="1">
        <v>44648</v>
      </c>
      <c r="K7248" t="b">
        <v>1</v>
      </c>
    </row>
    <row r="7249" spans="1:11" x14ac:dyDescent="0.25">
      <c r="A7249" t="s">
        <v>7507</v>
      </c>
      <c r="B7249" t="s">
        <v>61</v>
      </c>
      <c r="C7249" t="s">
        <v>13</v>
      </c>
      <c r="D7249" t="s">
        <v>380</v>
      </c>
      <c r="E7249" s="2">
        <v>17</v>
      </c>
      <c r="F7249" s="4">
        <v>1</v>
      </c>
      <c r="G7249" s="2">
        <v>17</v>
      </c>
      <c r="H7249" t="s">
        <v>45</v>
      </c>
      <c r="I7249" t="s">
        <v>36</v>
      </c>
      <c r="J7249" s="1">
        <v>45016</v>
      </c>
      <c r="K7249" t="b">
        <v>1</v>
      </c>
    </row>
    <row r="7250" spans="1:11" x14ac:dyDescent="0.25">
      <c r="A7250" t="s">
        <v>7761</v>
      </c>
      <c r="B7250" t="s">
        <v>30</v>
      </c>
      <c r="C7250" t="s">
        <v>13</v>
      </c>
      <c r="D7250" t="s">
        <v>380</v>
      </c>
      <c r="E7250" s="2">
        <v>17</v>
      </c>
      <c r="F7250" s="4">
        <v>1</v>
      </c>
      <c r="G7250" s="2">
        <v>17</v>
      </c>
      <c r="H7250" t="s">
        <v>25</v>
      </c>
      <c r="I7250" t="s">
        <v>16</v>
      </c>
      <c r="J7250" s="1">
        <v>45601</v>
      </c>
      <c r="K7250" t="b">
        <v>0</v>
      </c>
    </row>
    <row r="7251" spans="1:11" x14ac:dyDescent="0.25">
      <c r="A7251" t="s">
        <v>1515</v>
      </c>
      <c r="B7251" t="s">
        <v>72</v>
      </c>
      <c r="C7251" t="s">
        <v>27</v>
      </c>
      <c r="D7251" t="s">
        <v>763</v>
      </c>
      <c r="E7251" s="2">
        <v>17</v>
      </c>
      <c r="F7251" s="4">
        <v>1</v>
      </c>
      <c r="G7251" s="2">
        <v>17</v>
      </c>
      <c r="H7251" t="s">
        <v>45</v>
      </c>
      <c r="I7251" t="s">
        <v>16</v>
      </c>
      <c r="J7251" s="1">
        <v>44896</v>
      </c>
      <c r="K7251" t="b">
        <v>0</v>
      </c>
    </row>
    <row r="7252" spans="1:11" x14ac:dyDescent="0.25">
      <c r="A7252" t="s">
        <v>2743</v>
      </c>
      <c r="B7252" t="s">
        <v>43</v>
      </c>
      <c r="C7252" t="s">
        <v>59</v>
      </c>
      <c r="D7252" t="s">
        <v>655</v>
      </c>
      <c r="E7252" s="2">
        <v>17</v>
      </c>
      <c r="F7252" s="4">
        <v>1</v>
      </c>
      <c r="G7252" s="2">
        <v>17</v>
      </c>
      <c r="H7252" t="s">
        <v>25</v>
      </c>
      <c r="I7252" t="s">
        <v>36</v>
      </c>
      <c r="J7252" s="1">
        <v>45155</v>
      </c>
      <c r="K7252" t="b">
        <v>0</v>
      </c>
    </row>
    <row r="7253" spans="1:11" x14ac:dyDescent="0.25">
      <c r="A7253" t="s">
        <v>3594</v>
      </c>
      <c r="B7253" t="s">
        <v>56</v>
      </c>
      <c r="C7253" t="s">
        <v>31</v>
      </c>
      <c r="D7253" t="s">
        <v>195</v>
      </c>
      <c r="E7253" s="2">
        <v>17</v>
      </c>
      <c r="F7253" s="4">
        <v>1</v>
      </c>
      <c r="G7253" s="2">
        <v>17</v>
      </c>
      <c r="H7253" t="s">
        <v>25</v>
      </c>
      <c r="I7253" t="s">
        <v>36</v>
      </c>
      <c r="J7253" s="1">
        <v>45242</v>
      </c>
      <c r="K7253" t="b">
        <v>0</v>
      </c>
    </row>
    <row r="7254" spans="1:11" x14ac:dyDescent="0.25">
      <c r="A7254" t="s">
        <v>1376</v>
      </c>
      <c r="B7254" t="s">
        <v>100</v>
      </c>
      <c r="C7254" t="s">
        <v>31</v>
      </c>
      <c r="D7254" t="s">
        <v>106</v>
      </c>
      <c r="E7254" s="2">
        <v>8</v>
      </c>
      <c r="F7254" s="4">
        <v>2</v>
      </c>
      <c r="G7254" s="2">
        <v>16</v>
      </c>
      <c r="H7254" t="s">
        <v>25</v>
      </c>
      <c r="I7254" t="s">
        <v>36</v>
      </c>
      <c r="J7254" s="1">
        <v>44728</v>
      </c>
      <c r="K7254" t="b">
        <v>1</v>
      </c>
    </row>
    <row r="7255" spans="1:11" x14ac:dyDescent="0.25">
      <c r="A7255" t="s">
        <v>6469</v>
      </c>
      <c r="B7255" t="s">
        <v>26</v>
      </c>
      <c r="C7255" t="s">
        <v>13</v>
      </c>
      <c r="D7255" t="s">
        <v>969</v>
      </c>
      <c r="E7255" s="2">
        <v>8</v>
      </c>
      <c r="F7255" s="4">
        <v>2</v>
      </c>
      <c r="G7255" s="2">
        <v>16</v>
      </c>
      <c r="H7255" t="s">
        <v>25</v>
      </c>
      <c r="I7255" t="s">
        <v>36</v>
      </c>
      <c r="J7255" s="1">
        <v>45285</v>
      </c>
      <c r="K7255" t="b">
        <v>1</v>
      </c>
    </row>
    <row r="7256" spans="1:11" x14ac:dyDescent="0.25">
      <c r="A7256" t="s">
        <v>7034</v>
      </c>
      <c r="B7256" t="s">
        <v>77</v>
      </c>
      <c r="C7256" t="s">
        <v>23</v>
      </c>
      <c r="D7256" t="s">
        <v>47</v>
      </c>
      <c r="E7256" s="2">
        <v>8</v>
      </c>
      <c r="F7256" s="4">
        <v>2</v>
      </c>
      <c r="G7256" s="2">
        <v>16</v>
      </c>
      <c r="H7256" t="s">
        <v>15</v>
      </c>
      <c r="I7256" t="s">
        <v>16</v>
      </c>
      <c r="J7256" s="1">
        <v>44769</v>
      </c>
      <c r="K7256" t="b">
        <v>0</v>
      </c>
    </row>
    <row r="7257" spans="1:11" x14ac:dyDescent="0.25">
      <c r="A7257" t="s">
        <v>402</v>
      </c>
      <c r="B7257" t="s">
        <v>37</v>
      </c>
      <c r="C7257" t="s">
        <v>23</v>
      </c>
      <c r="D7257" t="s">
        <v>47</v>
      </c>
      <c r="E7257" s="2">
        <v>8</v>
      </c>
      <c r="F7257" s="4">
        <v>2</v>
      </c>
      <c r="G7257" s="2">
        <v>16</v>
      </c>
      <c r="H7257" t="s">
        <v>45</v>
      </c>
      <c r="I7257" t="s">
        <v>36</v>
      </c>
      <c r="J7257" s="1">
        <v>44579</v>
      </c>
      <c r="K7257" t="b">
        <v>1</v>
      </c>
    </row>
    <row r="7258" spans="1:11" x14ac:dyDescent="0.25">
      <c r="A7258" t="s">
        <v>7345</v>
      </c>
      <c r="B7258" t="s">
        <v>37</v>
      </c>
      <c r="C7258" t="s">
        <v>19</v>
      </c>
      <c r="D7258" t="s">
        <v>226</v>
      </c>
      <c r="E7258" s="2">
        <v>8</v>
      </c>
      <c r="F7258" s="4">
        <v>2</v>
      </c>
      <c r="G7258" s="2">
        <v>16</v>
      </c>
      <c r="H7258" t="s">
        <v>25</v>
      </c>
      <c r="I7258" t="s">
        <v>16</v>
      </c>
      <c r="J7258" s="1">
        <v>44787</v>
      </c>
      <c r="K7258" t="b">
        <v>0</v>
      </c>
    </row>
    <row r="7259" spans="1:11" x14ac:dyDescent="0.25">
      <c r="A7259" t="s">
        <v>1951</v>
      </c>
      <c r="B7259" t="s">
        <v>77</v>
      </c>
      <c r="C7259" t="s">
        <v>19</v>
      </c>
      <c r="D7259" t="s">
        <v>226</v>
      </c>
      <c r="E7259" s="2">
        <v>8</v>
      </c>
      <c r="F7259" s="4">
        <v>2</v>
      </c>
      <c r="G7259" s="2">
        <v>16</v>
      </c>
      <c r="H7259" t="s">
        <v>45</v>
      </c>
      <c r="I7259" t="s">
        <v>36</v>
      </c>
      <c r="J7259" s="1">
        <v>45305</v>
      </c>
      <c r="K7259" t="b">
        <v>1</v>
      </c>
    </row>
    <row r="7260" spans="1:11" x14ac:dyDescent="0.25">
      <c r="A7260" t="s">
        <v>5199</v>
      </c>
      <c r="B7260" t="s">
        <v>66</v>
      </c>
      <c r="C7260" t="s">
        <v>31</v>
      </c>
      <c r="D7260" t="s">
        <v>106</v>
      </c>
      <c r="E7260" s="2">
        <v>8</v>
      </c>
      <c r="F7260" s="4">
        <v>2</v>
      </c>
      <c r="G7260" s="2">
        <v>16</v>
      </c>
      <c r="H7260" t="s">
        <v>15</v>
      </c>
      <c r="I7260" t="s">
        <v>16</v>
      </c>
      <c r="J7260" s="1">
        <v>45665</v>
      </c>
      <c r="K7260" t="b">
        <v>0</v>
      </c>
    </row>
    <row r="7261" spans="1:11" x14ac:dyDescent="0.25">
      <c r="A7261" t="s">
        <v>3300</v>
      </c>
      <c r="B7261" t="s">
        <v>85</v>
      </c>
      <c r="C7261" t="s">
        <v>27</v>
      </c>
      <c r="D7261" t="s">
        <v>357</v>
      </c>
      <c r="E7261" s="2">
        <v>8</v>
      </c>
      <c r="F7261" s="4">
        <v>2</v>
      </c>
      <c r="G7261" s="2">
        <v>16</v>
      </c>
      <c r="H7261" t="s">
        <v>45</v>
      </c>
      <c r="I7261" t="s">
        <v>16</v>
      </c>
      <c r="J7261" s="1">
        <v>45278</v>
      </c>
      <c r="K7261" t="b">
        <v>1</v>
      </c>
    </row>
    <row r="7262" spans="1:11" x14ac:dyDescent="0.25">
      <c r="A7262" t="s">
        <v>2423</v>
      </c>
      <c r="B7262" t="s">
        <v>86</v>
      </c>
      <c r="C7262" t="s">
        <v>110</v>
      </c>
      <c r="D7262" t="s">
        <v>741</v>
      </c>
      <c r="E7262" s="2">
        <v>8</v>
      </c>
      <c r="F7262" s="4">
        <v>2</v>
      </c>
      <c r="G7262" s="2">
        <v>16</v>
      </c>
      <c r="H7262" t="s">
        <v>15</v>
      </c>
      <c r="I7262" t="s">
        <v>16</v>
      </c>
      <c r="J7262" s="1">
        <v>45072</v>
      </c>
      <c r="K7262" t="b">
        <v>1</v>
      </c>
    </row>
    <row r="7263" spans="1:11" x14ac:dyDescent="0.25">
      <c r="A7263" t="s">
        <v>3197</v>
      </c>
      <c r="B7263" t="s">
        <v>63</v>
      </c>
      <c r="C7263" t="s">
        <v>110</v>
      </c>
      <c r="D7263" t="s">
        <v>741</v>
      </c>
      <c r="E7263" s="2">
        <v>8</v>
      </c>
      <c r="F7263" s="4">
        <v>2</v>
      </c>
      <c r="G7263" s="2">
        <v>16</v>
      </c>
      <c r="H7263" t="s">
        <v>45</v>
      </c>
      <c r="I7263" t="s">
        <v>16</v>
      </c>
      <c r="J7263" s="1">
        <v>44809</v>
      </c>
      <c r="K7263" t="b">
        <v>1</v>
      </c>
    </row>
    <row r="7264" spans="1:11" x14ac:dyDescent="0.25">
      <c r="A7264" t="s">
        <v>1050</v>
      </c>
      <c r="B7264" t="s">
        <v>56</v>
      </c>
      <c r="C7264" t="s">
        <v>19</v>
      </c>
      <c r="D7264" t="s">
        <v>226</v>
      </c>
      <c r="E7264" s="2">
        <v>8</v>
      </c>
      <c r="F7264" s="4">
        <v>2</v>
      </c>
      <c r="G7264" s="2">
        <v>16</v>
      </c>
      <c r="H7264" t="s">
        <v>45</v>
      </c>
      <c r="I7264" t="s">
        <v>16</v>
      </c>
      <c r="J7264" s="1">
        <v>45230</v>
      </c>
      <c r="K7264" t="b">
        <v>1</v>
      </c>
    </row>
    <row r="7265" spans="1:11" x14ac:dyDescent="0.25">
      <c r="A7265" t="s">
        <v>2190</v>
      </c>
      <c r="B7265" t="s">
        <v>37</v>
      </c>
      <c r="C7265" t="s">
        <v>13</v>
      </c>
      <c r="D7265" t="s">
        <v>969</v>
      </c>
      <c r="E7265" s="2">
        <v>8</v>
      </c>
      <c r="F7265" s="4">
        <v>2</v>
      </c>
      <c r="G7265" s="2">
        <v>16</v>
      </c>
      <c r="H7265" t="s">
        <v>45</v>
      </c>
      <c r="I7265" t="s">
        <v>16</v>
      </c>
      <c r="J7265" s="1">
        <v>44800</v>
      </c>
      <c r="K7265" t="b">
        <v>1</v>
      </c>
    </row>
    <row r="7266" spans="1:11" x14ac:dyDescent="0.25">
      <c r="A7266" t="s">
        <v>687</v>
      </c>
      <c r="B7266" t="s">
        <v>30</v>
      </c>
      <c r="C7266" t="s">
        <v>27</v>
      </c>
      <c r="D7266" t="s">
        <v>357</v>
      </c>
      <c r="E7266" s="2">
        <v>8</v>
      </c>
      <c r="F7266" s="4">
        <v>2</v>
      </c>
      <c r="G7266" s="2">
        <v>16</v>
      </c>
      <c r="H7266" t="s">
        <v>45</v>
      </c>
      <c r="I7266" t="s">
        <v>16</v>
      </c>
      <c r="J7266" s="1">
        <v>45252</v>
      </c>
      <c r="K7266" t="b">
        <v>0</v>
      </c>
    </row>
    <row r="7267" spans="1:11" x14ac:dyDescent="0.25">
      <c r="A7267" t="s">
        <v>1737</v>
      </c>
      <c r="B7267" t="s">
        <v>22</v>
      </c>
      <c r="C7267" t="s">
        <v>13</v>
      </c>
      <c r="D7267" t="s">
        <v>969</v>
      </c>
      <c r="E7267" s="2">
        <v>8</v>
      </c>
      <c r="F7267" s="4">
        <v>2</v>
      </c>
      <c r="G7267" s="2">
        <v>16</v>
      </c>
      <c r="H7267" t="s">
        <v>15</v>
      </c>
      <c r="I7267" t="s">
        <v>36</v>
      </c>
      <c r="J7267" s="1">
        <v>44829</v>
      </c>
      <c r="K7267" t="b">
        <v>1</v>
      </c>
    </row>
    <row r="7268" spans="1:11" x14ac:dyDescent="0.25">
      <c r="A7268" t="s">
        <v>4921</v>
      </c>
      <c r="B7268" t="s">
        <v>37</v>
      </c>
      <c r="C7268" t="s">
        <v>38</v>
      </c>
      <c r="D7268" t="s">
        <v>697</v>
      </c>
      <c r="E7268" s="2">
        <v>8</v>
      </c>
      <c r="F7268" s="4">
        <v>2</v>
      </c>
      <c r="G7268" s="2">
        <v>16</v>
      </c>
      <c r="H7268" t="s">
        <v>45</v>
      </c>
      <c r="I7268" t="s">
        <v>16</v>
      </c>
      <c r="J7268" s="1">
        <v>45046</v>
      </c>
      <c r="K7268" t="b">
        <v>0</v>
      </c>
    </row>
    <row r="7269" spans="1:11" x14ac:dyDescent="0.25">
      <c r="A7269" t="s">
        <v>7560</v>
      </c>
      <c r="B7269" t="s">
        <v>142</v>
      </c>
      <c r="C7269" t="s">
        <v>31</v>
      </c>
      <c r="D7269" t="s">
        <v>106</v>
      </c>
      <c r="E7269" s="2">
        <v>8</v>
      </c>
      <c r="F7269" s="4">
        <v>2</v>
      </c>
      <c r="G7269" s="2">
        <v>16</v>
      </c>
      <c r="H7269" t="s">
        <v>25</v>
      </c>
      <c r="I7269" t="s">
        <v>16</v>
      </c>
      <c r="J7269" s="1">
        <v>44928</v>
      </c>
      <c r="K7269" t="b">
        <v>1</v>
      </c>
    </row>
    <row r="7270" spans="1:11" x14ac:dyDescent="0.25">
      <c r="A7270" t="s">
        <v>6005</v>
      </c>
      <c r="B7270" t="s">
        <v>61</v>
      </c>
      <c r="C7270" t="s">
        <v>23</v>
      </c>
      <c r="D7270" t="s">
        <v>47</v>
      </c>
      <c r="E7270" s="2">
        <v>8</v>
      </c>
      <c r="F7270" s="4">
        <v>2</v>
      </c>
      <c r="G7270" s="2">
        <v>16</v>
      </c>
      <c r="H7270" t="s">
        <v>45</v>
      </c>
      <c r="I7270" t="s">
        <v>16</v>
      </c>
      <c r="J7270" s="1">
        <v>44592</v>
      </c>
      <c r="K7270" t="b">
        <v>0</v>
      </c>
    </row>
    <row r="7271" spans="1:11" x14ac:dyDescent="0.25">
      <c r="A7271" t="s">
        <v>1680</v>
      </c>
      <c r="B7271" t="s">
        <v>26</v>
      </c>
      <c r="C7271" t="s">
        <v>23</v>
      </c>
      <c r="D7271" t="s">
        <v>47</v>
      </c>
      <c r="E7271" s="2">
        <v>8</v>
      </c>
      <c r="F7271" s="4">
        <v>2</v>
      </c>
      <c r="G7271" s="2">
        <v>16</v>
      </c>
      <c r="H7271" t="s">
        <v>45</v>
      </c>
      <c r="I7271" t="s">
        <v>16</v>
      </c>
      <c r="J7271" s="1">
        <v>45588</v>
      </c>
      <c r="K7271" t="b">
        <v>1</v>
      </c>
    </row>
    <row r="7272" spans="1:11" x14ac:dyDescent="0.25">
      <c r="A7272" t="s">
        <v>7777</v>
      </c>
      <c r="B7272" t="s">
        <v>30</v>
      </c>
      <c r="C7272" t="s">
        <v>23</v>
      </c>
      <c r="D7272" t="s">
        <v>187</v>
      </c>
      <c r="E7272" s="2">
        <v>15.5</v>
      </c>
      <c r="F7272" s="4">
        <v>1</v>
      </c>
      <c r="G7272" s="2">
        <v>15.5</v>
      </c>
      <c r="H7272" t="s">
        <v>45</v>
      </c>
      <c r="I7272" t="s">
        <v>16</v>
      </c>
      <c r="J7272" s="1">
        <v>44641</v>
      </c>
      <c r="K7272" t="b">
        <v>1</v>
      </c>
    </row>
    <row r="7273" spans="1:11" x14ac:dyDescent="0.25">
      <c r="A7273" t="s">
        <v>6563</v>
      </c>
      <c r="B7273" t="s">
        <v>56</v>
      </c>
      <c r="C7273" t="s">
        <v>59</v>
      </c>
      <c r="D7273" t="s">
        <v>201</v>
      </c>
      <c r="E7273" s="2">
        <v>15.5</v>
      </c>
      <c r="F7273" s="4">
        <v>1</v>
      </c>
      <c r="G7273" s="2">
        <v>15.5</v>
      </c>
      <c r="H7273" t="s">
        <v>45</v>
      </c>
      <c r="I7273" t="s">
        <v>36</v>
      </c>
      <c r="J7273" s="1">
        <v>45060</v>
      </c>
      <c r="K7273" t="b">
        <v>0</v>
      </c>
    </row>
    <row r="7274" spans="1:11" x14ac:dyDescent="0.25">
      <c r="A7274" t="s">
        <v>3900</v>
      </c>
      <c r="B7274" t="s">
        <v>34</v>
      </c>
      <c r="C7274" t="s">
        <v>110</v>
      </c>
      <c r="D7274" t="s">
        <v>199</v>
      </c>
      <c r="E7274" s="2">
        <v>15.5</v>
      </c>
      <c r="F7274" s="4">
        <v>1</v>
      </c>
      <c r="G7274" s="2">
        <v>15.5</v>
      </c>
      <c r="H7274" t="s">
        <v>15</v>
      </c>
      <c r="I7274" t="s">
        <v>36</v>
      </c>
      <c r="J7274" s="1">
        <v>45513</v>
      </c>
      <c r="K7274" t="b">
        <v>1</v>
      </c>
    </row>
    <row r="7275" spans="1:11" x14ac:dyDescent="0.25">
      <c r="A7275" t="s">
        <v>358</v>
      </c>
      <c r="B7275" t="s">
        <v>61</v>
      </c>
      <c r="C7275" t="s">
        <v>23</v>
      </c>
      <c r="D7275" t="s">
        <v>187</v>
      </c>
      <c r="E7275" s="2">
        <v>15.5</v>
      </c>
      <c r="F7275" s="4">
        <v>1</v>
      </c>
      <c r="G7275" s="2">
        <v>15.5</v>
      </c>
      <c r="H7275" t="s">
        <v>15</v>
      </c>
      <c r="I7275" t="s">
        <v>16</v>
      </c>
      <c r="J7275" s="1">
        <v>45389</v>
      </c>
      <c r="K7275" t="b">
        <v>1</v>
      </c>
    </row>
    <row r="7276" spans="1:11" x14ac:dyDescent="0.25">
      <c r="A7276" t="s">
        <v>5042</v>
      </c>
      <c r="B7276" t="s">
        <v>142</v>
      </c>
      <c r="C7276" t="s">
        <v>27</v>
      </c>
      <c r="D7276" t="s">
        <v>105</v>
      </c>
      <c r="E7276" s="2">
        <v>15.5</v>
      </c>
      <c r="F7276" s="4">
        <v>1</v>
      </c>
      <c r="G7276" s="2">
        <v>15.5</v>
      </c>
      <c r="H7276" t="s">
        <v>15</v>
      </c>
      <c r="I7276" t="s">
        <v>36</v>
      </c>
      <c r="J7276" s="1">
        <v>44952</v>
      </c>
      <c r="K7276" t="b">
        <v>1</v>
      </c>
    </row>
    <row r="7277" spans="1:11" x14ac:dyDescent="0.25">
      <c r="A7277" t="s">
        <v>4747</v>
      </c>
      <c r="B7277" t="s">
        <v>61</v>
      </c>
      <c r="C7277" t="s">
        <v>27</v>
      </c>
      <c r="D7277" t="s">
        <v>105</v>
      </c>
      <c r="E7277" s="2">
        <v>15.5</v>
      </c>
      <c r="F7277" s="4">
        <v>1</v>
      </c>
      <c r="G7277" s="2">
        <v>15.5</v>
      </c>
      <c r="H7277" t="s">
        <v>15</v>
      </c>
      <c r="I7277" t="s">
        <v>36</v>
      </c>
      <c r="J7277" s="1">
        <v>45426</v>
      </c>
      <c r="K7277" t="b">
        <v>0</v>
      </c>
    </row>
    <row r="7278" spans="1:11" x14ac:dyDescent="0.25">
      <c r="A7278" t="s">
        <v>2025</v>
      </c>
      <c r="B7278" t="s">
        <v>86</v>
      </c>
      <c r="C7278" t="s">
        <v>27</v>
      </c>
      <c r="D7278" t="s">
        <v>105</v>
      </c>
      <c r="E7278" s="2">
        <v>15.5</v>
      </c>
      <c r="F7278" s="4">
        <v>1</v>
      </c>
      <c r="G7278" s="2">
        <v>15.5</v>
      </c>
      <c r="H7278" t="s">
        <v>15</v>
      </c>
      <c r="I7278" t="s">
        <v>16</v>
      </c>
      <c r="J7278" s="1">
        <v>44591</v>
      </c>
      <c r="K7278" t="b">
        <v>0</v>
      </c>
    </row>
    <row r="7279" spans="1:11" x14ac:dyDescent="0.25">
      <c r="A7279" t="s">
        <v>6404</v>
      </c>
      <c r="B7279" t="s">
        <v>30</v>
      </c>
      <c r="C7279" t="s">
        <v>59</v>
      </c>
      <c r="D7279" t="s">
        <v>201</v>
      </c>
      <c r="E7279" s="2">
        <v>15.5</v>
      </c>
      <c r="F7279" s="4">
        <v>1</v>
      </c>
      <c r="G7279" s="2">
        <v>15.5</v>
      </c>
      <c r="H7279" t="s">
        <v>25</v>
      </c>
      <c r="I7279" t="s">
        <v>16</v>
      </c>
      <c r="J7279" s="1">
        <v>45370</v>
      </c>
      <c r="K7279" t="b">
        <v>0</v>
      </c>
    </row>
    <row r="7280" spans="1:11" x14ac:dyDescent="0.25">
      <c r="A7280" t="s">
        <v>2725</v>
      </c>
      <c r="B7280" t="s">
        <v>72</v>
      </c>
      <c r="C7280" t="s">
        <v>110</v>
      </c>
      <c r="D7280" t="s">
        <v>199</v>
      </c>
      <c r="E7280" s="2">
        <v>15.5</v>
      </c>
      <c r="F7280" s="4">
        <v>1</v>
      </c>
      <c r="G7280" s="2">
        <v>15.5</v>
      </c>
      <c r="H7280" t="s">
        <v>15</v>
      </c>
      <c r="I7280" t="s">
        <v>16</v>
      </c>
      <c r="J7280" s="1">
        <v>45080</v>
      </c>
      <c r="K7280" t="b">
        <v>0</v>
      </c>
    </row>
    <row r="7281" spans="1:11" x14ac:dyDescent="0.25">
      <c r="A7281" t="s">
        <v>2397</v>
      </c>
      <c r="B7281" t="s">
        <v>18</v>
      </c>
      <c r="C7281" t="s">
        <v>59</v>
      </c>
      <c r="D7281" t="s">
        <v>201</v>
      </c>
      <c r="E7281" s="2">
        <v>15.5</v>
      </c>
      <c r="F7281" s="4">
        <v>1</v>
      </c>
      <c r="G7281" s="2">
        <v>15.5</v>
      </c>
      <c r="H7281" t="s">
        <v>25</v>
      </c>
      <c r="I7281" t="s">
        <v>16</v>
      </c>
      <c r="J7281" s="1">
        <v>45474</v>
      </c>
      <c r="K7281" t="b">
        <v>0</v>
      </c>
    </row>
    <row r="7282" spans="1:11" x14ac:dyDescent="0.25">
      <c r="A7282" t="s">
        <v>1774</v>
      </c>
      <c r="B7282" t="s">
        <v>72</v>
      </c>
      <c r="C7282" t="s">
        <v>27</v>
      </c>
      <c r="D7282" t="s">
        <v>105</v>
      </c>
      <c r="E7282" s="2">
        <v>15.5</v>
      </c>
      <c r="F7282" s="4">
        <v>1</v>
      </c>
      <c r="G7282" s="2">
        <v>15.5</v>
      </c>
      <c r="H7282" t="s">
        <v>45</v>
      </c>
      <c r="I7282" t="s">
        <v>16</v>
      </c>
      <c r="J7282" s="1">
        <v>45489</v>
      </c>
      <c r="K7282" t="b">
        <v>1</v>
      </c>
    </row>
    <row r="7283" spans="1:11" x14ac:dyDescent="0.25">
      <c r="A7283" t="s">
        <v>7519</v>
      </c>
      <c r="B7283" t="s">
        <v>85</v>
      </c>
      <c r="C7283" t="s">
        <v>38</v>
      </c>
      <c r="D7283" t="s">
        <v>241</v>
      </c>
      <c r="E7283" s="2">
        <v>15.5</v>
      </c>
      <c r="F7283" s="4">
        <v>1</v>
      </c>
      <c r="G7283" s="2">
        <v>15.5</v>
      </c>
      <c r="H7283" t="s">
        <v>15</v>
      </c>
      <c r="I7283" t="s">
        <v>36</v>
      </c>
      <c r="J7283" s="1">
        <v>45500</v>
      </c>
      <c r="K7283" t="b">
        <v>1</v>
      </c>
    </row>
    <row r="7284" spans="1:11" x14ac:dyDescent="0.25">
      <c r="A7284" t="s">
        <v>4365</v>
      </c>
      <c r="B7284" t="s">
        <v>26</v>
      </c>
      <c r="C7284" t="s">
        <v>59</v>
      </c>
      <c r="D7284" t="s">
        <v>201</v>
      </c>
      <c r="E7284" s="2">
        <v>15.5</v>
      </c>
      <c r="F7284" s="4">
        <v>1</v>
      </c>
      <c r="G7284" s="2">
        <v>15.5</v>
      </c>
      <c r="H7284" t="s">
        <v>45</v>
      </c>
      <c r="I7284" t="s">
        <v>36</v>
      </c>
      <c r="J7284" s="1">
        <v>45230</v>
      </c>
      <c r="K7284" t="b">
        <v>0</v>
      </c>
    </row>
    <row r="7285" spans="1:11" x14ac:dyDescent="0.25">
      <c r="A7285" t="s">
        <v>3014</v>
      </c>
      <c r="B7285" t="s">
        <v>43</v>
      </c>
      <c r="C7285" t="s">
        <v>13</v>
      </c>
      <c r="D7285" t="s">
        <v>389</v>
      </c>
      <c r="E7285" s="2">
        <v>15.5</v>
      </c>
      <c r="F7285" s="4">
        <v>1</v>
      </c>
      <c r="G7285" s="2">
        <v>15.5</v>
      </c>
      <c r="H7285" t="s">
        <v>45</v>
      </c>
      <c r="I7285" t="s">
        <v>16</v>
      </c>
      <c r="J7285" s="1">
        <v>45478</v>
      </c>
      <c r="K7285" t="b">
        <v>0</v>
      </c>
    </row>
    <row r="7286" spans="1:11" x14ac:dyDescent="0.25">
      <c r="A7286" t="s">
        <v>3233</v>
      </c>
      <c r="B7286" t="s">
        <v>93</v>
      </c>
      <c r="C7286" t="s">
        <v>13</v>
      </c>
      <c r="D7286" t="s">
        <v>389</v>
      </c>
      <c r="E7286" s="2">
        <v>15.5</v>
      </c>
      <c r="F7286" s="4">
        <v>1</v>
      </c>
      <c r="G7286" s="2">
        <v>15.5</v>
      </c>
      <c r="H7286" t="s">
        <v>25</v>
      </c>
      <c r="I7286" t="s">
        <v>36</v>
      </c>
      <c r="J7286" s="1">
        <v>45531</v>
      </c>
      <c r="K7286" t="b">
        <v>1</v>
      </c>
    </row>
    <row r="7287" spans="1:11" x14ac:dyDescent="0.25">
      <c r="A7287" t="s">
        <v>4433</v>
      </c>
      <c r="B7287" t="s">
        <v>63</v>
      </c>
      <c r="C7287" t="s">
        <v>23</v>
      </c>
      <c r="D7287" t="s">
        <v>187</v>
      </c>
      <c r="E7287" s="2">
        <v>15.5</v>
      </c>
      <c r="F7287" s="4">
        <v>1</v>
      </c>
      <c r="G7287" s="2">
        <v>15.5</v>
      </c>
      <c r="H7287" t="s">
        <v>45</v>
      </c>
      <c r="I7287" t="s">
        <v>36</v>
      </c>
      <c r="J7287" s="1">
        <v>45414</v>
      </c>
      <c r="K7287" t="b">
        <v>0</v>
      </c>
    </row>
    <row r="7288" spans="1:11" x14ac:dyDescent="0.25">
      <c r="A7288" t="s">
        <v>7643</v>
      </c>
      <c r="B7288" t="s">
        <v>63</v>
      </c>
      <c r="C7288" t="s">
        <v>27</v>
      </c>
      <c r="D7288" t="s">
        <v>105</v>
      </c>
      <c r="E7288" s="2">
        <v>15.5</v>
      </c>
      <c r="F7288" s="4">
        <v>1</v>
      </c>
      <c r="G7288" s="2">
        <v>15.5</v>
      </c>
      <c r="H7288" t="s">
        <v>45</v>
      </c>
      <c r="I7288" t="s">
        <v>36</v>
      </c>
      <c r="J7288" s="1">
        <v>45184</v>
      </c>
      <c r="K7288" t="b">
        <v>0</v>
      </c>
    </row>
    <row r="7289" spans="1:11" x14ac:dyDescent="0.25">
      <c r="A7289" t="s">
        <v>4724</v>
      </c>
      <c r="B7289" t="s">
        <v>43</v>
      </c>
      <c r="C7289" t="s">
        <v>38</v>
      </c>
      <c r="D7289" t="s">
        <v>241</v>
      </c>
      <c r="E7289" s="2">
        <v>15.5</v>
      </c>
      <c r="F7289" s="4">
        <v>1</v>
      </c>
      <c r="G7289" s="2">
        <v>15.5</v>
      </c>
      <c r="H7289" t="s">
        <v>25</v>
      </c>
      <c r="I7289" t="s">
        <v>36</v>
      </c>
      <c r="J7289" s="1">
        <v>45439</v>
      </c>
      <c r="K7289" t="b">
        <v>0</v>
      </c>
    </row>
    <row r="7290" spans="1:11" x14ac:dyDescent="0.25">
      <c r="A7290" t="s">
        <v>886</v>
      </c>
      <c r="B7290" t="s">
        <v>34</v>
      </c>
      <c r="C7290" t="s">
        <v>59</v>
      </c>
      <c r="D7290" t="s">
        <v>201</v>
      </c>
      <c r="E7290" s="2">
        <v>15.5</v>
      </c>
      <c r="F7290" s="4">
        <v>1</v>
      </c>
      <c r="G7290" s="2">
        <v>15.5</v>
      </c>
      <c r="H7290" t="s">
        <v>25</v>
      </c>
      <c r="I7290" t="s">
        <v>36</v>
      </c>
      <c r="J7290" s="1">
        <v>45043</v>
      </c>
      <c r="K7290" t="b">
        <v>1</v>
      </c>
    </row>
    <row r="7291" spans="1:11" x14ac:dyDescent="0.25">
      <c r="A7291" t="s">
        <v>7247</v>
      </c>
      <c r="B7291" t="s">
        <v>56</v>
      </c>
      <c r="C7291" t="s">
        <v>23</v>
      </c>
      <c r="D7291" t="s">
        <v>187</v>
      </c>
      <c r="E7291" s="2">
        <v>15.5</v>
      </c>
      <c r="F7291" s="4">
        <v>1</v>
      </c>
      <c r="G7291" s="2">
        <v>15.5</v>
      </c>
      <c r="H7291" t="s">
        <v>25</v>
      </c>
      <c r="I7291" t="s">
        <v>16</v>
      </c>
      <c r="J7291" s="1">
        <v>44881</v>
      </c>
      <c r="K7291" t="b">
        <v>1</v>
      </c>
    </row>
    <row r="7292" spans="1:11" x14ac:dyDescent="0.25">
      <c r="A7292" t="s">
        <v>2193</v>
      </c>
      <c r="B7292" t="s">
        <v>18</v>
      </c>
      <c r="C7292" t="s">
        <v>59</v>
      </c>
      <c r="D7292" t="s">
        <v>201</v>
      </c>
      <c r="E7292" s="2">
        <v>15.5</v>
      </c>
      <c r="F7292" s="4">
        <v>1</v>
      </c>
      <c r="G7292" s="2">
        <v>15.5</v>
      </c>
      <c r="H7292" t="s">
        <v>15</v>
      </c>
      <c r="I7292" t="s">
        <v>16</v>
      </c>
      <c r="J7292" s="1">
        <v>45524</v>
      </c>
      <c r="K7292" t="b">
        <v>0</v>
      </c>
    </row>
    <row r="7293" spans="1:11" x14ac:dyDescent="0.25">
      <c r="A7293" t="s">
        <v>6141</v>
      </c>
      <c r="B7293" t="s">
        <v>100</v>
      </c>
      <c r="C7293" t="s">
        <v>38</v>
      </c>
      <c r="D7293" t="s">
        <v>241</v>
      </c>
      <c r="E7293" s="2">
        <v>15.5</v>
      </c>
      <c r="F7293" s="4">
        <v>1</v>
      </c>
      <c r="G7293" s="2">
        <v>15.5</v>
      </c>
      <c r="H7293" t="s">
        <v>45</v>
      </c>
      <c r="I7293" t="s">
        <v>36</v>
      </c>
      <c r="J7293" s="1">
        <v>45435</v>
      </c>
      <c r="K7293" t="b">
        <v>0</v>
      </c>
    </row>
    <row r="7294" spans="1:11" x14ac:dyDescent="0.25">
      <c r="A7294" t="s">
        <v>6526</v>
      </c>
      <c r="B7294" t="s">
        <v>22</v>
      </c>
      <c r="C7294" t="s">
        <v>59</v>
      </c>
      <c r="D7294" t="s">
        <v>201</v>
      </c>
      <c r="E7294" s="2">
        <v>15.5</v>
      </c>
      <c r="F7294" s="4">
        <v>1</v>
      </c>
      <c r="G7294" s="2">
        <v>15.5</v>
      </c>
      <c r="H7294" t="s">
        <v>25</v>
      </c>
      <c r="I7294" t="s">
        <v>36</v>
      </c>
      <c r="J7294" s="1">
        <v>44666</v>
      </c>
      <c r="K7294" t="b">
        <v>1</v>
      </c>
    </row>
    <row r="7295" spans="1:11" x14ac:dyDescent="0.25">
      <c r="A7295" t="s">
        <v>818</v>
      </c>
      <c r="B7295" t="s">
        <v>40</v>
      </c>
      <c r="C7295" t="s">
        <v>23</v>
      </c>
      <c r="D7295" t="s">
        <v>187</v>
      </c>
      <c r="E7295" s="2">
        <v>15.5</v>
      </c>
      <c r="F7295" s="4">
        <v>1</v>
      </c>
      <c r="G7295" s="2">
        <v>15.5</v>
      </c>
      <c r="H7295" t="s">
        <v>45</v>
      </c>
      <c r="I7295" t="s">
        <v>16</v>
      </c>
      <c r="J7295" s="1">
        <v>45631</v>
      </c>
      <c r="K7295" t="b">
        <v>1</v>
      </c>
    </row>
    <row r="7296" spans="1:11" x14ac:dyDescent="0.25">
      <c r="A7296" t="s">
        <v>5113</v>
      </c>
      <c r="B7296" t="s">
        <v>66</v>
      </c>
      <c r="C7296" t="s">
        <v>13</v>
      </c>
      <c r="D7296" t="s">
        <v>389</v>
      </c>
      <c r="E7296" s="2">
        <v>15.5</v>
      </c>
      <c r="F7296" s="4">
        <v>1</v>
      </c>
      <c r="G7296" s="2">
        <v>15.5</v>
      </c>
      <c r="H7296" t="s">
        <v>15</v>
      </c>
      <c r="I7296" t="s">
        <v>16</v>
      </c>
      <c r="J7296" s="1">
        <v>45182</v>
      </c>
      <c r="K7296" t="b">
        <v>0</v>
      </c>
    </row>
    <row r="7297" spans="1:11" x14ac:dyDescent="0.25">
      <c r="A7297" t="s">
        <v>1659</v>
      </c>
      <c r="B7297" t="s">
        <v>51</v>
      </c>
      <c r="C7297" t="s">
        <v>13</v>
      </c>
      <c r="D7297" t="s">
        <v>389</v>
      </c>
      <c r="E7297" s="2">
        <v>15.5</v>
      </c>
      <c r="F7297" s="4">
        <v>1</v>
      </c>
      <c r="G7297" s="2">
        <v>15.5</v>
      </c>
      <c r="H7297" t="s">
        <v>45</v>
      </c>
      <c r="I7297" t="s">
        <v>36</v>
      </c>
      <c r="J7297" s="1">
        <v>44749</v>
      </c>
      <c r="K7297" t="b">
        <v>0</v>
      </c>
    </row>
    <row r="7298" spans="1:11" x14ac:dyDescent="0.25">
      <c r="A7298" t="s">
        <v>7736</v>
      </c>
      <c r="B7298" t="s">
        <v>12</v>
      </c>
      <c r="C7298" t="s">
        <v>38</v>
      </c>
      <c r="D7298" t="s">
        <v>241</v>
      </c>
      <c r="E7298" s="2">
        <v>15.5</v>
      </c>
      <c r="F7298" s="4">
        <v>1</v>
      </c>
      <c r="G7298" s="2">
        <v>15.5</v>
      </c>
      <c r="H7298" t="s">
        <v>25</v>
      </c>
      <c r="I7298" t="s">
        <v>36</v>
      </c>
      <c r="J7298" s="1">
        <v>44664</v>
      </c>
      <c r="K7298" t="b">
        <v>0</v>
      </c>
    </row>
    <row r="7299" spans="1:11" x14ac:dyDescent="0.25">
      <c r="A7299" t="s">
        <v>1332</v>
      </c>
      <c r="B7299" t="s">
        <v>51</v>
      </c>
      <c r="C7299" t="s">
        <v>19</v>
      </c>
      <c r="D7299" t="s">
        <v>166</v>
      </c>
      <c r="E7299" s="2">
        <v>15.5</v>
      </c>
      <c r="F7299" s="4">
        <v>1</v>
      </c>
      <c r="G7299" s="2">
        <v>15.5</v>
      </c>
      <c r="H7299" t="s">
        <v>15</v>
      </c>
      <c r="I7299" t="s">
        <v>36</v>
      </c>
      <c r="J7299" s="1">
        <v>44781</v>
      </c>
      <c r="K7299" t="b">
        <v>1</v>
      </c>
    </row>
    <row r="7300" spans="1:11" x14ac:dyDescent="0.25">
      <c r="A7300" t="s">
        <v>4580</v>
      </c>
      <c r="B7300" t="s">
        <v>77</v>
      </c>
      <c r="C7300" t="s">
        <v>38</v>
      </c>
      <c r="D7300" t="s">
        <v>241</v>
      </c>
      <c r="E7300" s="2">
        <v>15.5</v>
      </c>
      <c r="F7300" s="4">
        <v>1</v>
      </c>
      <c r="G7300" s="2">
        <v>15.5</v>
      </c>
      <c r="H7300" t="s">
        <v>45</v>
      </c>
      <c r="I7300" t="s">
        <v>36</v>
      </c>
      <c r="J7300" s="1">
        <v>44675</v>
      </c>
      <c r="K7300" t="b">
        <v>0</v>
      </c>
    </row>
    <row r="7301" spans="1:11" x14ac:dyDescent="0.25">
      <c r="A7301" t="s">
        <v>4914</v>
      </c>
      <c r="B7301" t="s">
        <v>40</v>
      </c>
      <c r="C7301" t="s">
        <v>13</v>
      </c>
      <c r="D7301" t="s">
        <v>146</v>
      </c>
      <c r="E7301" s="2">
        <v>5</v>
      </c>
      <c r="F7301" s="4">
        <v>3</v>
      </c>
      <c r="G7301" s="2">
        <v>15</v>
      </c>
      <c r="H7301" t="s">
        <v>45</v>
      </c>
      <c r="I7301" t="s">
        <v>16</v>
      </c>
      <c r="J7301" s="1">
        <v>44852</v>
      </c>
      <c r="K7301" t="b">
        <v>0</v>
      </c>
    </row>
    <row r="7302" spans="1:11" x14ac:dyDescent="0.25">
      <c r="A7302" t="s">
        <v>2070</v>
      </c>
      <c r="B7302" t="s">
        <v>26</v>
      </c>
      <c r="C7302" t="s">
        <v>31</v>
      </c>
      <c r="D7302" t="s">
        <v>35</v>
      </c>
      <c r="E7302" s="2">
        <v>5</v>
      </c>
      <c r="F7302" s="4">
        <v>3</v>
      </c>
      <c r="G7302" s="2">
        <v>15</v>
      </c>
      <c r="H7302" t="s">
        <v>45</v>
      </c>
      <c r="I7302" t="s">
        <v>36</v>
      </c>
      <c r="J7302" s="1">
        <v>44779</v>
      </c>
      <c r="K7302" t="b">
        <v>1</v>
      </c>
    </row>
    <row r="7303" spans="1:11" x14ac:dyDescent="0.25">
      <c r="A7303" t="s">
        <v>5240</v>
      </c>
      <c r="B7303" t="s">
        <v>22</v>
      </c>
      <c r="C7303" t="s">
        <v>19</v>
      </c>
      <c r="D7303" t="s">
        <v>219</v>
      </c>
      <c r="E7303" s="2">
        <v>5</v>
      </c>
      <c r="F7303" s="4">
        <v>3</v>
      </c>
      <c r="G7303" s="2">
        <v>15</v>
      </c>
      <c r="H7303" t="s">
        <v>25</v>
      </c>
      <c r="I7303" t="s">
        <v>36</v>
      </c>
      <c r="J7303" s="1">
        <v>45331</v>
      </c>
      <c r="K7303" t="b">
        <v>1</v>
      </c>
    </row>
    <row r="7304" spans="1:11" x14ac:dyDescent="0.25">
      <c r="A7304" t="s">
        <v>3173</v>
      </c>
      <c r="B7304" t="s">
        <v>63</v>
      </c>
      <c r="C7304" t="s">
        <v>27</v>
      </c>
      <c r="D7304" t="s">
        <v>348</v>
      </c>
      <c r="E7304" s="2">
        <v>5</v>
      </c>
      <c r="F7304" s="4">
        <v>3</v>
      </c>
      <c r="G7304" s="2">
        <v>15</v>
      </c>
      <c r="H7304" t="s">
        <v>15</v>
      </c>
      <c r="I7304" t="s">
        <v>36</v>
      </c>
      <c r="J7304" s="1">
        <v>45614</v>
      </c>
      <c r="K7304" t="b">
        <v>1</v>
      </c>
    </row>
    <row r="7305" spans="1:11" x14ac:dyDescent="0.25">
      <c r="A7305" t="s">
        <v>767</v>
      </c>
      <c r="B7305" t="s">
        <v>66</v>
      </c>
      <c r="C7305" t="s">
        <v>38</v>
      </c>
      <c r="D7305" t="s">
        <v>225</v>
      </c>
      <c r="E7305" s="2">
        <v>5</v>
      </c>
      <c r="F7305" s="4">
        <v>3</v>
      </c>
      <c r="G7305" s="2">
        <v>15</v>
      </c>
      <c r="H7305" t="s">
        <v>15</v>
      </c>
      <c r="I7305" t="s">
        <v>16</v>
      </c>
      <c r="J7305" s="1">
        <v>44754</v>
      </c>
      <c r="K7305" t="b">
        <v>1</v>
      </c>
    </row>
    <row r="7306" spans="1:11" x14ac:dyDescent="0.25">
      <c r="A7306" t="s">
        <v>3964</v>
      </c>
      <c r="B7306" t="s">
        <v>12</v>
      </c>
      <c r="C7306" t="s">
        <v>110</v>
      </c>
      <c r="D7306" t="s">
        <v>337</v>
      </c>
      <c r="E7306" s="2">
        <v>5</v>
      </c>
      <c r="F7306" s="4">
        <v>3</v>
      </c>
      <c r="G7306" s="2">
        <v>15</v>
      </c>
      <c r="H7306" t="s">
        <v>15</v>
      </c>
      <c r="I7306" t="s">
        <v>36</v>
      </c>
      <c r="J7306" s="1">
        <v>45516</v>
      </c>
      <c r="K7306" t="b">
        <v>1</v>
      </c>
    </row>
    <row r="7307" spans="1:11" x14ac:dyDescent="0.25">
      <c r="A7307" t="s">
        <v>1215</v>
      </c>
      <c r="B7307" t="s">
        <v>58</v>
      </c>
      <c r="C7307" t="s">
        <v>23</v>
      </c>
      <c r="D7307" t="s">
        <v>311</v>
      </c>
      <c r="E7307" s="2">
        <v>5</v>
      </c>
      <c r="F7307" s="4">
        <v>3</v>
      </c>
      <c r="G7307" s="2">
        <v>15</v>
      </c>
      <c r="H7307" t="s">
        <v>25</v>
      </c>
      <c r="I7307" t="s">
        <v>36</v>
      </c>
      <c r="J7307" s="1">
        <v>45335</v>
      </c>
      <c r="K7307" t="b">
        <v>1</v>
      </c>
    </row>
    <row r="7308" spans="1:11" x14ac:dyDescent="0.25">
      <c r="A7308" t="s">
        <v>1966</v>
      </c>
      <c r="B7308" t="s">
        <v>142</v>
      </c>
      <c r="C7308" t="s">
        <v>13</v>
      </c>
      <c r="D7308" t="s">
        <v>146</v>
      </c>
      <c r="E7308" s="2">
        <v>5</v>
      </c>
      <c r="F7308" s="4">
        <v>3</v>
      </c>
      <c r="G7308" s="2">
        <v>15</v>
      </c>
      <c r="H7308" t="s">
        <v>15</v>
      </c>
      <c r="I7308" t="s">
        <v>36</v>
      </c>
      <c r="J7308" s="1">
        <v>45257</v>
      </c>
      <c r="K7308" t="b">
        <v>0</v>
      </c>
    </row>
    <row r="7309" spans="1:11" x14ac:dyDescent="0.25">
      <c r="A7309" t="s">
        <v>6666</v>
      </c>
      <c r="B7309" t="s">
        <v>142</v>
      </c>
      <c r="C7309" t="s">
        <v>38</v>
      </c>
      <c r="D7309" t="s">
        <v>225</v>
      </c>
      <c r="E7309" s="2">
        <v>5</v>
      </c>
      <c r="F7309" s="4">
        <v>3</v>
      </c>
      <c r="G7309" s="2">
        <v>15</v>
      </c>
      <c r="H7309" t="s">
        <v>15</v>
      </c>
      <c r="I7309" t="s">
        <v>16</v>
      </c>
      <c r="J7309" s="1">
        <v>44605</v>
      </c>
      <c r="K7309" t="b">
        <v>1</v>
      </c>
    </row>
    <row r="7310" spans="1:11" x14ac:dyDescent="0.25">
      <c r="A7310" t="s">
        <v>5671</v>
      </c>
      <c r="B7310" t="s">
        <v>85</v>
      </c>
      <c r="C7310" t="s">
        <v>19</v>
      </c>
      <c r="D7310" t="s">
        <v>219</v>
      </c>
      <c r="E7310" s="2">
        <v>5</v>
      </c>
      <c r="F7310" s="4">
        <v>3</v>
      </c>
      <c r="G7310" s="2">
        <v>15</v>
      </c>
      <c r="H7310" t="s">
        <v>45</v>
      </c>
      <c r="I7310" t="s">
        <v>36</v>
      </c>
      <c r="J7310" s="1">
        <v>45066</v>
      </c>
      <c r="K7310" t="b">
        <v>0</v>
      </c>
    </row>
    <row r="7311" spans="1:11" x14ac:dyDescent="0.25">
      <c r="A7311" t="s">
        <v>3142</v>
      </c>
      <c r="B7311" t="s">
        <v>104</v>
      </c>
      <c r="C7311" t="s">
        <v>23</v>
      </c>
      <c r="D7311" t="s">
        <v>311</v>
      </c>
      <c r="E7311" s="2">
        <v>5</v>
      </c>
      <c r="F7311" s="4">
        <v>3</v>
      </c>
      <c r="G7311" s="2">
        <v>15</v>
      </c>
      <c r="H7311" t="s">
        <v>25</v>
      </c>
      <c r="I7311" t="s">
        <v>36</v>
      </c>
      <c r="J7311" s="1">
        <v>45334</v>
      </c>
      <c r="K7311" t="b">
        <v>0</v>
      </c>
    </row>
    <row r="7312" spans="1:11" x14ac:dyDescent="0.25">
      <c r="A7312" t="s">
        <v>7401</v>
      </c>
      <c r="B7312" t="s">
        <v>100</v>
      </c>
      <c r="C7312" t="s">
        <v>19</v>
      </c>
      <c r="D7312" t="s">
        <v>219</v>
      </c>
      <c r="E7312" s="2">
        <v>5</v>
      </c>
      <c r="F7312" s="4">
        <v>3</v>
      </c>
      <c r="G7312" s="2">
        <v>15</v>
      </c>
      <c r="H7312" t="s">
        <v>15</v>
      </c>
      <c r="I7312" t="s">
        <v>36</v>
      </c>
      <c r="J7312" s="1">
        <v>45025</v>
      </c>
      <c r="K7312" t="b">
        <v>0</v>
      </c>
    </row>
    <row r="7313" spans="1:11" x14ac:dyDescent="0.25">
      <c r="A7313" t="s">
        <v>224</v>
      </c>
      <c r="B7313" t="s">
        <v>100</v>
      </c>
      <c r="C7313" t="s">
        <v>38</v>
      </c>
      <c r="D7313" t="s">
        <v>225</v>
      </c>
      <c r="E7313" s="2">
        <v>5</v>
      </c>
      <c r="F7313" s="4">
        <v>3</v>
      </c>
      <c r="G7313" s="2">
        <v>15</v>
      </c>
      <c r="H7313" t="s">
        <v>15</v>
      </c>
      <c r="I7313" t="s">
        <v>16</v>
      </c>
      <c r="J7313" s="1">
        <v>45443</v>
      </c>
      <c r="K7313" t="b">
        <v>0</v>
      </c>
    </row>
    <row r="7314" spans="1:11" x14ac:dyDescent="0.25">
      <c r="A7314" t="s">
        <v>3483</v>
      </c>
      <c r="B7314" t="s">
        <v>12</v>
      </c>
      <c r="C7314" t="s">
        <v>19</v>
      </c>
      <c r="D7314" t="s">
        <v>219</v>
      </c>
      <c r="E7314" s="2">
        <v>5</v>
      </c>
      <c r="F7314" s="4">
        <v>3</v>
      </c>
      <c r="G7314" s="2">
        <v>15</v>
      </c>
      <c r="H7314" t="s">
        <v>45</v>
      </c>
      <c r="I7314" t="s">
        <v>36</v>
      </c>
      <c r="J7314" s="1">
        <v>45224</v>
      </c>
      <c r="K7314" t="b">
        <v>0</v>
      </c>
    </row>
    <row r="7315" spans="1:11" x14ac:dyDescent="0.25">
      <c r="A7315" t="s">
        <v>5628</v>
      </c>
      <c r="B7315" t="s">
        <v>40</v>
      </c>
      <c r="C7315" t="s">
        <v>110</v>
      </c>
      <c r="D7315" t="s">
        <v>337</v>
      </c>
      <c r="E7315" s="2">
        <v>5</v>
      </c>
      <c r="F7315" s="4">
        <v>3</v>
      </c>
      <c r="G7315" s="2">
        <v>15</v>
      </c>
      <c r="H7315" t="s">
        <v>25</v>
      </c>
      <c r="I7315" t="s">
        <v>16</v>
      </c>
      <c r="J7315" s="1">
        <v>44700</v>
      </c>
      <c r="K7315" t="b">
        <v>1</v>
      </c>
    </row>
    <row r="7316" spans="1:11" x14ac:dyDescent="0.25">
      <c r="A7316" t="s">
        <v>4299</v>
      </c>
      <c r="B7316" t="s">
        <v>77</v>
      </c>
      <c r="C7316" t="s">
        <v>27</v>
      </c>
      <c r="D7316" t="s">
        <v>348</v>
      </c>
      <c r="E7316" s="2">
        <v>5</v>
      </c>
      <c r="F7316" s="4">
        <v>3</v>
      </c>
      <c r="G7316" s="2">
        <v>15</v>
      </c>
      <c r="H7316" t="s">
        <v>15</v>
      </c>
      <c r="I7316" t="s">
        <v>36</v>
      </c>
      <c r="J7316" s="1">
        <v>45116</v>
      </c>
      <c r="K7316" t="b">
        <v>1</v>
      </c>
    </row>
    <row r="7317" spans="1:11" x14ac:dyDescent="0.25">
      <c r="A7317" t="s">
        <v>1315</v>
      </c>
      <c r="B7317" t="s">
        <v>100</v>
      </c>
      <c r="C7317" t="s">
        <v>38</v>
      </c>
      <c r="D7317" t="s">
        <v>225</v>
      </c>
      <c r="E7317" s="2">
        <v>5</v>
      </c>
      <c r="F7317" s="4">
        <v>3</v>
      </c>
      <c r="G7317" s="2">
        <v>15</v>
      </c>
      <c r="H7317" t="s">
        <v>15</v>
      </c>
      <c r="I7317" t="s">
        <v>16</v>
      </c>
      <c r="J7317" s="1">
        <v>45215</v>
      </c>
      <c r="K7317" t="b">
        <v>1</v>
      </c>
    </row>
    <row r="7318" spans="1:11" x14ac:dyDescent="0.25">
      <c r="A7318" t="s">
        <v>3660</v>
      </c>
      <c r="B7318" t="s">
        <v>26</v>
      </c>
      <c r="C7318" t="s">
        <v>59</v>
      </c>
      <c r="D7318" t="s">
        <v>279</v>
      </c>
      <c r="E7318" s="2">
        <v>5</v>
      </c>
      <c r="F7318" s="4">
        <v>3</v>
      </c>
      <c r="G7318" s="2">
        <v>15</v>
      </c>
      <c r="H7318" t="s">
        <v>25</v>
      </c>
      <c r="I7318" t="s">
        <v>16</v>
      </c>
      <c r="J7318" s="1">
        <v>44636</v>
      </c>
      <c r="K7318" t="b">
        <v>1</v>
      </c>
    </row>
    <row r="7319" spans="1:11" x14ac:dyDescent="0.25">
      <c r="A7319" t="s">
        <v>6034</v>
      </c>
      <c r="B7319" t="s">
        <v>63</v>
      </c>
      <c r="C7319" t="s">
        <v>19</v>
      </c>
      <c r="D7319" t="s">
        <v>219</v>
      </c>
      <c r="E7319" s="2">
        <v>5</v>
      </c>
      <c r="F7319" s="4">
        <v>3</v>
      </c>
      <c r="G7319" s="2">
        <v>15</v>
      </c>
      <c r="H7319" t="s">
        <v>25</v>
      </c>
      <c r="I7319" t="s">
        <v>36</v>
      </c>
      <c r="J7319" s="1">
        <v>45404</v>
      </c>
      <c r="K7319" t="b">
        <v>1</v>
      </c>
    </row>
    <row r="7320" spans="1:11" x14ac:dyDescent="0.25">
      <c r="A7320" t="s">
        <v>4927</v>
      </c>
      <c r="B7320" t="s">
        <v>104</v>
      </c>
      <c r="C7320" t="s">
        <v>23</v>
      </c>
      <c r="D7320" t="s">
        <v>311</v>
      </c>
      <c r="E7320" s="2">
        <v>5</v>
      </c>
      <c r="F7320" s="4">
        <v>3</v>
      </c>
      <c r="G7320" s="2">
        <v>15</v>
      </c>
      <c r="H7320" t="s">
        <v>45</v>
      </c>
      <c r="I7320" t="s">
        <v>36</v>
      </c>
      <c r="J7320" s="1">
        <v>44611</v>
      </c>
      <c r="K7320" t="b">
        <v>1</v>
      </c>
    </row>
    <row r="7321" spans="1:11" x14ac:dyDescent="0.25">
      <c r="A7321" t="s">
        <v>4905</v>
      </c>
      <c r="B7321" t="s">
        <v>26</v>
      </c>
      <c r="C7321" t="s">
        <v>59</v>
      </c>
      <c r="D7321" t="s">
        <v>279</v>
      </c>
      <c r="E7321" s="2">
        <v>5</v>
      </c>
      <c r="F7321" s="4">
        <v>3</v>
      </c>
      <c r="G7321" s="2">
        <v>15</v>
      </c>
      <c r="H7321" t="s">
        <v>45</v>
      </c>
      <c r="I7321" t="s">
        <v>16</v>
      </c>
      <c r="J7321" s="1">
        <v>45414</v>
      </c>
      <c r="K7321" t="b">
        <v>1</v>
      </c>
    </row>
    <row r="7322" spans="1:11" x14ac:dyDescent="0.25">
      <c r="A7322" t="s">
        <v>3189</v>
      </c>
      <c r="B7322" t="s">
        <v>93</v>
      </c>
      <c r="C7322" t="s">
        <v>19</v>
      </c>
      <c r="D7322" t="s">
        <v>219</v>
      </c>
      <c r="E7322" s="2">
        <v>5</v>
      </c>
      <c r="F7322" s="4">
        <v>3</v>
      </c>
      <c r="G7322" s="2">
        <v>15</v>
      </c>
      <c r="H7322" t="s">
        <v>15</v>
      </c>
      <c r="I7322" t="s">
        <v>16</v>
      </c>
      <c r="J7322" s="1">
        <v>45641</v>
      </c>
      <c r="K7322" t="b">
        <v>0</v>
      </c>
    </row>
    <row r="7323" spans="1:11" x14ac:dyDescent="0.25">
      <c r="A7323" t="s">
        <v>2121</v>
      </c>
      <c r="B7323" t="s">
        <v>86</v>
      </c>
      <c r="C7323" t="s">
        <v>38</v>
      </c>
      <c r="D7323" t="s">
        <v>225</v>
      </c>
      <c r="E7323" s="2">
        <v>5</v>
      </c>
      <c r="F7323" s="4">
        <v>3</v>
      </c>
      <c r="G7323" s="2">
        <v>15</v>
      </c>
      <c r="H7323" t="s">
        <v>25</v>
      </c>
      <c r="I7323" t="s">
        <v>36</v>
      </c>
      <c r="J7323" s="1">
        <v>44846</v>
      </c>
      <c r="K7323" t="b">
        <v>1</v>
      </c>
    </row>
    <row r="7324" spans="1:11" x14ac:dyDescent="0.25">
      <c r="A7324" t="s">
        <v>4480</v>
      </c>
      <c r="B7324" t="s">
        <v>30</v>
      </c>
      <c r="C7324" t="s">
        <v>38</v>
      </c>
      <c r="D7324" t="s">
        <v>225</v>
      </c>
      <c r="E7324" s="2">
        <v>5</v>
      </c>
      <c r="F7324" s="4">
        <v>3</v>
      </c>
      <c r="G7324" s="2">
        <v>15</v>
      </c>
      <c r="H7324" t="s">
        <v>45</v>
      </c>
      <c r="I7324" t="s">
        <v>16</v>
      </c>
      <c r="J7324" s="1">
        <v>44921</v>
      </c>
      <c r="K7324" t="b">
        <v>0</v>
      </c>
    </row>
    <row r="7325" spans="1:11" x14ac:dyDescent="0.25">
      <c r="A7325" t="s">
        <v>1828</v>
      </c>
      <c r="B7325" t="s">
        <v>56</v>
      </c>
      <c r="C7325" t="s">
        <v>19</v>
      </c>
      <c r="D7325" t="s">
        <v>219</v>
      </c>
      <c r="E7325" s="2">
        <v>5</v>
      </c>
      <c r="F7325" s="4">
        <v>3</v>
      </c>
      <c r="G7325" s="2">
        <v>15</v>
      </c>
      <c r="H7325" t="s">
        <v>45</v>
      </c>
      <c r="I7325" t="s">
        <v>36</v>
      </c>
      <c r="J7325" s="1">
        <v>45064</v>
      </c>
      <c r="K7325" t="b">
        <v>0</v>
      </c>
    </row>
    <row r="7326" spans="1:11" x14ac:dyDescent="0.25">
      <c r="A7326" t="s">
        <v>6358</v>
      </c>
      <c r="B7326" t="s">
        <v>18</v>
      </c>
      <c r="C7326" t="s">
        <v>23</v>
      </c>
      <c r="D7326" t="s">
        <v>311</v>
      </c>
      <c r="E7326" s="2">
        <v>5</v>
      </c>
      <c r="F7326" s="4">
        <v>3</v>
      </c>
      <c r="G7326" s="2">
        <v>15</v>
      </c>
      <c r="H7326" t="s">
        <v>25</v>
      </c>
      <c r="I7326" t="s">
        <v>16</v>
      </c>
      <c r="J7326" s="1">
        <v>45457</v>
      </c>
      <c r="K7326" t="b">
        <v>0</v>
      </c>
    </row>
    <row r="7327" spans="1:11" x14ac:dyDescent="0.25">
      <c r="A7327" t="s">
        <v>2699</v>
      </c>
      <c r="B7327" t="s">
        <v>37</v>
      </c>
      <c r="C7327" t="s">
        <v>13</v>
      </c>
      <c r="D7327" t="s">
        <v>146</v>
      </c>
      <c r="E7327" s="2">
        <v>5</v>
      </c>
      <c r="F7327" s="4">
        <v>3</v>
      </c>
      <c r="G7327" s="2">
        <v>15</v>
      </c>
      <c r="H7327" t="s">
        <v>45</v>
      </c>
      <c r="I7327" t="s">
        <v>16</v>
      </c>
      <c r="J7327" s="1">
        <v>45292</v>
      </c>
      <c r="K7327" t="b">
        <v>0</v>
      </c>
    </row>
    <row r="7328" spans="1:11" x14ac:dyDescent="0.25">
      <c r="A7328" t="s">
        <v>396</v>
      </c>
      <c r="B7328" t="s">
        <v>63</v>
      </c>
      <c r="C7328" t="s">
        <v>59</v>
      </c>
      <c r="D7328" t="s">
        <v>279</v>
      </c>
      <c r="E7328" s="2">
        <v>5</v>
      </c>
      <c r="F7328" s="4">
        <v>3</v>
      </c>
      <c r="G7328" s="2">
        <v>15</v>
      </c>
      <c r="H7328" t="s">
        <v>45</v>
      </c>
      <c r="I7328" t="s">
        <v>36</v>
      </c>
      <c r="J7328" s="1">
        <v>45110</v>
      </c>
      <c r="K7328" t="b">
        <v>0</v>
      </c>
    </row>
    <row r="7329" spans="1:11" x14ac:dyDescent="0.25">
      <c r="A7329" t="s">
        <v>4986</v>
      </c>
      <c r="B7329" t="s">
        <v>22</v>
      </c>
      <c r="C7329" t="s">
        <v>19</v>
      </c>
      <c r="D7329" t="s">
        <v>756</v>
      </c>
      <c r="E7329" s="2">
        <v>14</v>
      </c>
      <c r="F7329" s="4">
        <v>1</v>
      </c>
      <c r="G7329" s="2">
        <v>14</v>
      </c>
      <c r="H7329" t="s">
        <v>15</v>
      </c>
      <c r="I7329" t="s">
        <v>36</v>
      </c>
      <c r="J7329" s="1">
        <v>45351</v>
      </c>
      <c r="K7329" t="b">
        <v>1</v>
      </c>
    </row>
    <row r="7330" spans="1:11" x14ac:dyDescent="0.25">
      <c r="A7330" t="s">
        <v>2785</v>
      </c>
      <c r="B7330" t="s">
        <v>61</v>
      </c>
      <c r="C7330" t="s">
        <v>13</v>
      </c>
      <c r="D7330" t="s">
        <v>151</v>
      </c>
      <c r="E7330" s="2">
        <v>14</v>
      </c>
      <c r="F7330" s="4">
        <v>1</v>
      </c>
      <c r="G7330" s="2">
        <v>14</v>
      </c>
      <c r="H7330" t="s">
        <v>15</v>
      </c>
      <c r="I7330" t="s">
        <v>36</v>
      </c>
      <c r="J7330" s="1">
        <v>44918</v>
      </c>
      <c r="K7330" t="b">
        <v>1</v>
      </c>
    </row>
    <row r="7331" spans="1:11" x14ac:dyDescent="0.25">
      <c r="A7331" t="s">
        <v>1288</v>
      </c>
      <c r="B7331" t="s">
        <v>22</v>
      </c>
      <c r="C7331" t="s">
        <v>110</v>
      </c>
      <c r="D7331" t="s">
        <v>176</v>
      </c>
      <c r="E7331" s="2">
        <v>14</v>
      </c>
      <c r="F7331" s="4">
        <v>1</v>
      </c>
      <c r="G7331" s="2">
        <v>14</v>
      </c>
      <c r="H7331" t="s">
        <v>15</v>
      </c>
      <c r="I7331" t="s">
        <v>16</v>
      </c>
      <c r="J7331" s="1">
        <v>45601</v>
      </c>
      <c r="K7331" t="b">
        <v>1</v>
      </c>
    </row>
    <row r="7332" spans="1:11" x14ac:dyDescent="0.25">
      <c r="A7332" t="s">
        <v>2654</v>
      </c>
      <c r="B7332" t="s">
        <v>97</v>
      </c>
      <c r="C7332" t="s">
        <v>59</v>
      </c>
      <c r="D7332" t="s">
        <v>248</v>
      </c>
      <c r="E7332" s="2">
        <v>14</v>
      </c>
      <c r="F7332" s="4">
        <v>1</v>
      </c>
      <c r="G7332" s="2">
        <v>14</v>
      </c>
      <c r="H7332" t="s">
        <v>15</v>
      </c>
      <c r="I7332" t="s">
        <v>16</v>
      </c>
      <c r="J7332" s="1">
        <v>44649</v>
      </c>
      <c r="K7332" t="b">
        <v>0</v>
      </c>
    </row>
    <row r="7333" spans="1:11" x14ac:dyDescent="0.25">
      <c r="A7333" t="s">
        <v>6640</v>
      </c>
      <c r="B7333" t="s">
        <v>66</v>
      </c>
      <c r="C7333" t="s">
        <v>23</v>
      </c>
      <c r="D7333" t="s">
        <v>277</v>
      </c>
      <c r="E7333" s="2">
        <v>14</v>
      </c>
      <c r="F7333" s="4">
        <v>1</v>
      </c>
      <c r="G7333" s="2">
        <v>14</v>
      </c>
      <c r="H7333" t="s">
        <v>45</v>
      </c>
      <c r="I7333" t="s">
        <v>16</v>
      </c>
      <c r="J7333" s="1">
        <v>44894</v>
      </c>
      <c r="K7333" t="b">
        <v>0</v>
      </c>
    </row>
    <row r="7334" spans="1:11" x14ac:dyDescent="0.25">
      <c r="A7334" t="s">
        <v>5515</v>
      </c>
      <c r="B7334" t="s">
        <v>18</v>
      </c>
      <c r="C7334" t="s">
        <v>110</v>
      </c>
      <c r="D7334" t="s">
        <v>176</v>
      </c>
      <c r="E7334" s="2">
        <v>14</v>
      </c>
      <c r="F7334" s="4">
        <v>1</v>
      </c>
      <c r="G7334" s="2">
        <v>14</v>
      </c>
      <c r="H7334" t="s">
        <v>25</v>
      </c>
      <c r="I7334" t="s">
        <v>36</v>
      </c>
      <c r="J7334" s="1">
        <v>44833</v>
      </c>
      <c r="K7334" t="b">
        <v>0</v>
      </c>
    </row>
    <row r="7335" spans="1:11" x14ac:dyDescent="0.25">
      <c r="A7335" t="s">
        <v>1632</v>
      </c>
      <c r="B7335" t="s">
        <v>93</v>
      </c>
      <c r="C7335" t="s">
        <v>27</v>
      </c>
      <c r="D7335" t="s">
        <v>62</v>
      </c>
      <c r="E7335" s="2">
        <v>14</v>
      </c>
      <c r="F7335" s="4">
        <v>1</v>
      </c>
      <c r="G7335" s="2">
        <v>14</v>
      </c>
      <c r="H7335" t="s">
        <v>15</v>
      </c>
      <c r="I7335" t="s">
        <v>16</v>
      </c>
      <c r="J7335" s="1">
        <v>45237</v>
      </c>
      <c r="K7335" t="b">
        <v>0</v>
      </c>
    </row>
    <row r="7336" spans="1:11" x14ac:dyDescent="0.25">
      <c r="A7336" t="s">
        <v>2778</v>
      </c>
      <c r="B7336" t="s">
        <v>26</v>
      </c>
      <c r="C7336" t="s">
        <v>27</v>
      </c>
      <c r="D7336" t="s">
        <v>62</v>
      </c>
      <c r="E7336" s="2">
        <v>14</v>
      </c>
      <c r="F7336" s="4">
        <v>1</v>
      </c>
      <c r="G7336" s="2">
        <v>14</v>
      </c>
      <c r="H7336" t="s">
        <v>25</v>
      </c>
      <c r="I7336" t="s">
        <v>36</v>
      </c>
      <c r="J7336" s="1">
        <v>45338</v>
      </c>
      <c r="K7336" t="b">
        <v>1</v>
      </c>
    </row>
    <row r="7337" spans="1:11" x14ac:dyDescent="0.25">
      <c r="A7337" t="s">
        <v>7676</v>
      </c>
      <c r="B7337" t="s">
        <v>85</v>
      </c>
      <c r="C7337" t="s">
        <v>13</v>
      </c>
      <c r="D7337" t="s">
        <v>151</v>
      </c>
      <c r="E7337" s="2">
        <v>14</v>
      </c>
      <c r="F7337" s="4">
        <v>1</v>
      </c>
      <c r="G7337" s="2">
        <v>14</v>
      </c>
      <c r="H7337" t="s">
        <v>45</v>
      </c>
      <c r="I7337" t="s">
        <v>36</v>
      </c>
      <c r="J7337" s="1">
        <v>45161</v>
      </c>
      <c r="K7337" t="b">
        <v>1</v>
      </c>
    </row>
    <row r="7338" spans="1:11" x14ac:dyDescent="0.25">
      <c r="A7338" t="s">
        <v>4332</v>
      </c>
      <c r="B7338" t="s">
        <v>58</v>
      </c>
      <c r="C7338" t="s">
        <v>27</v>
      </c>
      <c r="D7338" t="s">
        <v>62</v>
      </c>
      <c r="E7338" s="2">
        <v>14</v>
      </c>
      <c r="F7338" s="4">
        <v>1</v>
      </c>
      <c r="G7338" s="2">
        <v>14</v>
      </c>
      <c r="H7338" t="s">
        <v>25</v>
      </c>
      <c r="I7338" t="s">
        <v>36</v>
      </c>
      <c r="J7338" s="1">
        <v>44786</v>
      </c>
      <c r="K7338" t="b">
        <v>1</v>
      </c>
    </row>
    <row r="7339" spans="1:11" x14ac:dyDescent="0.25">
      <c r="A7339" t="s">
        <v>4277</v>
      </c>
      <c r="B7339" t="s">
        <v>142</v>
      </c>
      <c r="C7339" t="s">
        <v>19</v>
      </c>
      <c r="D7339" t="s">
        <v>756</v>
      </c>
      <c r="E7339" s="2">
        <v>14</v>
      </c>
      <c r="F7339" s="4">
        <v>1</v>
      </c>
      <c r="G7339" s="2">
        <v>14</v>
      </c>
      <c r="H7339" t="s">
        <v>45</v>
      </c>
      <c r="I7339" t="s">
        <v>36</v>
      </c>
      <c r="J7339" s="1">
        <v>44675</v>
      </c>
      <c r="K7339" t="b">
        <v>1</v>
      </c>
    </row>
    <row r="7340" spans="1:11" x14ac:dyDescent="0.25">
      <c r="A7340" t="s">
        <v>835</v>
      </c>
      <c r="B7340" t="s">
        <v>22</v>
      </c>
      <c r="C7340" t="s">
        <v>38</v>
      </c>
      <c r="D7340" t="s">
        <v>123</v>
      </c>
      <c r="E7340" s="2">
        <v>14</v>
      </c>
      <c r="F7340" s="4">
        <v>1</v>
      </c>
      <c r="G7340" s="2">
        <v>14</v>
      </c>
      <c r="H7340" t="s">
        <v>15</v>
      </c>
      <c r="I7340" t="s">
        <v>16</v>
      </c>
      <c r="J7340" s="1">
        <v>45578</v>
      </c>
      <c r="K7340" t="b">
        <v>0</v>
      </c>
    </row>
    <row r="7341" spans="1:11" x14ac:dyDescent="0.25">
      <c r="A7341" t="s">
        <v>2355</v>
      </c>
      <c r="B7341" t="s">
        <v>22</v>
      </c>
      <c r="C7341" t="s">
        <v>19</v>
      </c>
      <c r="D7341" t="s">
        <v>756</v>
      </c>
      <c r="E7341" s="2">
        <v>14</v>
      </c>
      <c r="F7341" s="4">
        <v>1</v>
      </c>
      <c r="G7341" s="2">
        <v>14</v>
      </c>
      <c r="H7341" t="s">
        <v>15</v>
      </c>
      <c r="I7341" t="s">
        <v>16</v>
      </c>
      <c r="J7341" s="1">
        <v>45558</v>
      </c>
      <c r="K7341" t="b">
        <v>0</v>
      </c>
    </row>
    <row r="7342" spans="1:11" x14ac:dyDescent="0.25">
      <c r="A7342" t="s">
        <v>6826</v>
      </c>
      <c r="B7342" t="s">
        <v>37</v>
      </c>
      <c r="C7342" t="s">
        <v>23</v>
      </c>
      <c r="D7342" t="s">
        <v>277</v>
      </c>
      <c r="E7342" s="2">
        <v>14</v>
      </c>
      <c r="F7342" s="4">
        <v>1</v>
      </c>
      <c r="G7342" s="2">
        <v>14</v>
      </c>
      <c r="H7342" t="s">
        <v>15</v>
      </c>
      <c r="I7342" t="s">
        <v>36</v>
      </c>
      <c r="J7342" s="1">
        <v>44597</v>
      </c>
      <c r="K7342" t="b">
        <v>1</v>
      </c>
    </row>
    <row r="7343" spans="1:11" x14ac:dyDescent="0.25">
      <c r="A7343" t="s">
        <v>7563</v>
      </c>
      <c r="B7343" t="s">
        <v>72</v>
      </c>
      <c r="C7343" t="s">
        <v>19</v>
      </c>
      <c r="D7343" t="s">
        <v>756</v>
      </c>
      <c r="E7343" s="2">
        <v>14</v>
      </c>
      <c r="F7343" s="4">
        <v>1</v>
      </c>
      <c r="G7343" s="2">
        <v>14</v>
      </c>
      <c r="H7343" t="s">
        <v>45</v>
      </c>
      <c r="I7343" t="s">
        <v>16</v>
      </c>
      <c r="J7343" s="1">
        <v>44673</v>
      </c>
      <c r="K7343" t="b">
        <v>1</v>
      </c>
    </row>
    <row r="7344" spans="1:11" x14ac:dyDescent="0.25">
      <c r="A7344" t="s">
        <v>175</v>
      </c>
      <c r="B7344" t="s">
        <v>72</v>
      </c>
      <c r="C7344" t="s">
        <v>110</v>
      </c>
      <c r="D7344" t="s">
        <v>176</v>
      </c>
      <c r="E7344" s="2">
        <v>14</v>
      </c>
      <c r="F7344" s="4">
        <v>1</v>
      </c>
      <c r="G7344" s="2">
        <v>14</v>
      </c>
      <c r="H7344" t="s">
        <v>15</v>
      </c>
      <c r="I7344" t="s">
        <v>16</v>
      </c>
      <c r="J7344" s="1">
        <v>44977</v>
      </c>
      <c r="K7344" t="b">
        <v>1</v>
      </c>
    </row>
    <row r="7345" spans="1:11" x14ac:dyDescent="0.25">
      <c r="A7345" t="s">
        <v>3385</v>
      </c>
      <c r="B7345" t="s">
        <v>34</v>
      </c>
      <c r="C7345" t="s">
        <v>19</v>
      </c>
      <c r="D7345" t="s">
        <v>756</v>
      </c>
      <c r="E7345" s="2">
        <v>14</v>
      </c>
      <c r="F7345" s="4">
        <v>1</v>
      </c>
      <c r="G7345" s="2">
        <v>14</v>
      </c>
      <c r="H7345" t="s">
        <v>25</v>
      </c>
      <c r="I7345" t="s">
        <v>36</v>
      </c>
      <c r="J7345" s="1">
        <v>45599</v>
      </c>
      <c r="K7345" t="b">
        <v>1</v>
      </c>
    </row>
    <row r="7346" spans="1:11" x14ac:dyDescent="0.25">
      <c r="A7346" t="s">
        <v>2494</v>
      </c>
      <c r="B7346" t="s">
        <v>56</v>
      </c>
      <c r="C7346" t="s">
        <v>38</v>
      </c>
      <c r="D7346" t="s">
        <v>123</v>
      </c>
      <c r="E7346" s="2">
        <v>14</v>
      </c>
      <c r="F7346" s="4">
        <v>1</v>
      </c>
      <c r="G7346" s="2">
        <v>14</v>
      </c>
      <c r="H7346" t="s">
        <v>15</v>
      </c>
      <c r="I7346" t="s">
        <v>16</v>
      </c>
      <c r="J7346" s="1">
        <v>44802</v>
      </c>
      <c r="K7346" t="b">
        <v>1</v>
      </c>
    </row>
    <row r="7347" spans="1:11" x14ac:dyDescent="0.25">
      <c r="A7347" t="s">
        <v>1884</v>
      </c>
      <c r="B7347" t="s">
        <v>61</v>
      </c>
      <c r="C7347" t="s">
        <v>31</v>
      </c>
      <c r="D7347" t="s">
        <v>162</v>
      </c>
      <c r="E7347" s="2">
        <v>14</v>
      </c>
      <c r="F7347" s="4">
        <v>1</v>
      </c>
      <c r="G7347" s="2">
        <v>14</v>
      </c>
      <c r="H7347" t="s">
        <v>25</v>
      </c>
      <c r="I7347" t="s">
        <v>36</v>
      </c>
      <c r="J7347" s="1">
        <v>44825</v>
      </c>
      <c r="K7347" t="b">
        <v>1</v>
      </c>
    </row>
    <row r="7348" spans="1:11" x14ac:dyDescent="0.25">
      <c r="A7348" t="s">
        <v>2024</v>
      </c>
      <c r="B7348" t="s">
        <v>18</v>
      </c>
      <c r="C7348" t="s">
        <v>27</v>
      </c>
      <c r="D7348" t="s">
        <v>62</v>
      </c>
      <c r="E7348" s="2">
        <v>14</v>
      </c>
      <c r="F7348" s="4">
        <v>1</v>
      </c>
      <c r="G7348" s="2">
        <v>14</v>
      </c>
      <c r="H7348" t="s">
        <v>45</v>
      </c>
      <c r="I7348" t="s">
        <v>16</v>
      </c>
      <c r="J7348" s="1">
        <v>45460</v>
      </c>
      <c r="K7348" t="b">
        <v>0</v>
      </c>
    </row>
    <row r="7349" spans="1:11" x14ac:dyDescent="0.25">
      <c r="A7349" t="s">
        <v>982</v>
      </c>
      <c r="B7349" t="s">
        <v>40</v>
      </c>
      <c r="C7349" t="s">
        <v>38</v>
      </c>
      <c r="D7349" t="s">
        <v>123</v>
      </c>
      <c r="E7349" s="2">
        <v>14</v>
      </c>
      <c r="F7349" s="4">
        <v>1</v>
      </c>
      <c r="G7349" s="2">
        <v>14</v>
      </c>
      <c r="H7349" t="s">
        <v>15</v>
      </c>
      <c r="I7349" t="s">
        <v>16</v>
      </c>
      <c r="J7349" s="1">
        <v>45291</v>
      </c>
      <c r="K7349" t="b">
        <v>0</v>
      </c>
    </row>
    <row r="7350" spans="1:11" x14ac:dyDescent="0.25">
      <c r="A7350" t="s">
        <v>5548</v>
      </c>
      <c r="B7350" t="s">
        <v>34</v>
      </c>
      <c r="C7350" t="s">
        <v>59</v>
      </c>
      <c r="D7350" t="s">
        <v>248</v>
      </c>
      <c r="E7350" s="2">
        <v>14</v>
      </c>
      <c r="F7350" s="4">
        <v>1</v>
      </c>
      <c r="G7350" s="2">
        <v>14</v>
      </c>
      <c r="H7350" t="s">
        <v>15</v>
      </c>
      <c r="I7350" t="s">
        <v>36</v>
      </c>
      <c r="J7350" s="1">
        <v>45278</v>
      </c>
      <c r="K7350" t="b">
        <v>1</v>
      </c>
    </row>
    <row r="7351" spans="1:11" x14ac:dyDescent="0.25">
      <c r="A7351" t="s">
        <v>2995</v>
      </c>
      <c r="B7351" t="s">
        <v>22</v>
      </c>
      <c r="C7351" t="s">
        <v>19</v>
      </c>
      <c r="D7351" t="s">
        <v>756</v>
      </c>
      <c r="E7351" s="2">
        <v>14</v>
      </c>
      <c r="F7351" s="4">
        <v>1</v>
      </c>
      <c r="G7351" s="2">
        <v>14</v>
      </c>
      <c r="H7351" t="s">
        <v>25</v>
      </c>
      <c r="I7351" t="s">
        <v>16</v>
      </c>
      <c r="J7351" s="1">
        <v>44729</v>
      </c>
      <c r="K7351" t="b">
        <v>0</v>
      </c>
    </row>
    <row r="7352" spans="1:11" x14ac:dyDescent="0.25">
      <c r="A7352" t="s">
        <v>2274</v>
      </c>
      <c r="B7352" t="s">
        <v>142</v>
      </c>
      <c r="C7352" t="s">
        <v>23</v>
      </c>
      <c r="D7352" t="s">
        <v>277</v>
      </c>
      <c r="E7352" s="2">
        <v>14</v>
      </c>
      <c r="F7352" s="4">
        <v>1</v>
      </c>
      <c r="G7352" s="2">
        <v>14</v>
      </c>
      <c r="H7352" t="s">
        <v>25</v>
      </c>
      <c r="I7352" t="s">
        <v>16</v>
      </c>
      <c r="J7352" s="1">
        <v>44840</v>
      </c>
      <c r="K7352" t="b">
        <v>0</v>
      </c>
    </row>
    <row r="7353" spans="1:11" x14ac:dyDescent="0.25">
      <c r="A7353" t="s">
        <v>1558</v>
      </c>
      <c r="B7353" t="s">
        <v>56</v>
      </c>
      <c r="C7353" t="s">
        <v>19</v>
      </c>
      <c r="D7353" t="s">
        <v>756</v>
      </c>
      <c r="E7353" s="2">
        <v>14</v>
      </c>
      <c r="F7353" s="4">
        <v>1</v>
      </c>
      <c r="G7353" s="2">
        <v>14</v>
      </c>
      <c r="H7353" t="s">
        <v>25</v>
      </c>
      <c r="I7353" t="s">
        <v>36</v>
      </c>
      <c r="J7353" s="1">
        <v>45279</v>
      </c>
      <c r="K7353" t="b">
        <v>0</v>
      </c>
    </row>
    <row r="7354" spans="1:11" x14ac:dyDescent="0.25">
      <c r="A7354" t="s">
        <v>4043</v>
      </c>
      <c r="B7354" t="s">
        <v>51</v>
      </c>
      <c r="C7354" t="s">
        <v>19</v>
      </c>
      <c r="D7354" t="s">
        <v>756</v>
      </c>
      <c r="E7354" s="2">
        <v>14</v>
      </c>
      <c r="F7354" s="4">
        <v>1</v>
      </c>
      <c r="G7354" s="2">
        <v>14</v>
      </c>
      <c r="H7354" t="s">
        <v>15</v>
      </c>
      <c r="I7354" t="s">
        <v>36</v>
      </c>
      <c r="J7354" s="1">
        <v>44988</v>
      </c>
      <c r="K7354" t="b">
        <v>1</v>
      </c>
    </row>
    <row r="7355" spans="1:11" x14ac:dyDescent="0.25">
      <c r="A7355" t="s">
        <v>7608</v>
      </c>
      <c r="B7355" t="s">
        <v>77</v>
      </c>
      <c r="C7355" t="s">
        <v>23</v>
      </c>
      <c r="D7355" t="s">
        <v>277</v>
      </c>
      <c r="E7355" s="2">
        <v>14</v>
      </c>
      <c r="F7355" s="4">
        <v>1</v>
      </c>
      <c r="G7355" s="2">
        <v>14</v>
      </c>
      <c r="H7355" t="s">
        <v>45</v>
      </c>
      <c r="I7355" t="s">
        <v>16</v>
      </c>
      <c r="J7355" s="1">
        <v>45620</v>
      </c>
      <c r="K7355" t="b">
        <v>1</v>
      </c>
    </row>
    <row r="7356" spans="1:11" x14ac:dyDescent="0.25">
      <c r="A7356" t="s">
        <v>5365</v>
      </c>
      <c r="B7356" t="s">
        <v>72</v>
      </c>
      <c r="C7356" t="s">
        <v>23</v>
      </c>
      <c r="D7356" t="s">
        <v>277</v>
      </c>
      <c r="E7356" s="2">
        <v>14</v>
      </c>
      <c r="F7356" s="4">
        <v>1</v>
      </c>
      <c r="G7356" s="2">
        <v>14</v>
      </c>
      <c r="H7356" t="s">
        <v>15</v>
      </c>
      <c r="I7356" t="s">
        <v>16</v>
      </c>
      <c r="J7356" s="1">
        <v>45526</v>
      </c>
      <c r="K7356" t="b">
        <v>0</v>
      </c>
    </row>
    <row r="7357" spans="1:11" x14ac:dyDescent="0.25">
      <c r="A7357" t="s">
        <v>7031</v>
      </c>
      <c r="B7357" t="s">
        <v>93</v>
      </c>
      <c r="C7357" t="s">
        <v>13</v>
      </c>
      <c r="D7357" t="s">
        <v>151</v>
      </c>
      <c r="E7357" s="2">
        <v>14</v>
      </c>
      <c r="F7357" s="4">
        <v>1</v>
      </c>
      <c r="G7357" s="2">
        <v>14</v>
      </c>
      <c r="H7357" t="s">
        <v>15</v>
      </c>
      <c r="I7357" t="s">
        <v>16</v>
      </c>
      <c r="J7357" s="1">
        <v>44776</v>
      </c>
      <c r="K7357" t="b">
        <v>0</v>
      </c>
    </row>
    <row r="7358" spans="1:11" x14ac:dyDescent="0.25">
      <c r="A7358" t="s">
        <v>1049</v>
      </c>
      <c r="B7358" t="s">
        <v>100</v>
      </c>
      <c r="C7358" t="s">
        <v>13</v>
      </c>
      <c r="D7358" t="s">
        <v>151</v>
      </c>
      <c r="E7358" s="2">
        <v>14</v>
      </c>
      <c r="F7358" s="4">
        <v>1</v>
      </c>
      <c r="G7358" s="2">
        <v>14</v>
      </c>
      <c r="H7358" t="s">
        <v>15</v>
      </c>
      <c r="I7358" t="s">
        <v>16</v>
      </c>
      <c r="J7358" s="1">
        <v>45490</v>
      </c>
      <c r="K7358" t="b">
        <v>0</v>
      </c>
    </row>
    <row r="7359" spans="1:11" x14ac:dyDescent="0.25">
      <c r="A7359" t="s">
        <v>1832</v>
      </c>
      <c r="B7359" t="s">
        <v>86</v>
      </c>
      <c r="C7359" t="s">
        <v>19</v>
      </c>
      <c r="D7359" t="s">
        <v>756</v>
      </c>
      <c r="E7359" s="2">
        <v>14</v>
      </c>
      <c r="F7359" s="4">
        <v>1</v>
      </c>
      <c r="G7359" s="2">
        <v>14</v>
      </c>
      <c r="H7359" t="s">
        <v>45</v>
      </c>
      <c r="I7359" t="s">
        <v>36</v>
      </c>
      <c r="J7359" s="1">
        <v>45585</v>
      </c>
      <c r="K7359" t="b">
        <v>1</v>
      </c>
    </row>
    <row r="7360" spans="1:11" x14ac:dyDescent="0.25">
      <c r="A7360" t="s">
        <v>4198</v>
      </c>
      <c r="B7360" t="s">
        <v>37</v>
      </c>
      <c r="C7360" t="s">
        <v>27</v>
      </c>
      <c r="D7360" t="s">
        <v>62</v>
      </c>
      <c r="E7360" s="2">
        <v>14</v>
      </c>
      <c r="F7360" s="4">
        <v>1</v>
      </c>
      <c r="G7360" s="2">
        <v>14</v>
      </c>
      <c r="H7360" t="s">
        <v>15</v>
      </c>
      <c r="I7360" t="s">
        <v>16</v>
      </c>
      <c r="J7360" s="1">
        <v>44604</v>
      </c>
      <c r="K7360" t="b">
        <v>1</v>
      </c>
    </row>
    <row r="7361" spans="1:11" x14ac:dyDescent="0.25">
      <c r="A7361" t="s">
        <v>3798</v>
      </c>
      <c r="B7361" t="s">
        <v>58</v>
      </c>
      <c r="C7361" t="s">
        <v>27</v>
      </c>
      <c r="D7361" t="s">
        <v>62</v>
      </c>
      <c r="E7361" s="2">
        <v>14</v>
      </c>
      <c r="F7361" s="4">
        <v>1</v>
      </c>
      <c r="G7361" s="2">
        <v>14</v>
      </c>
      <c r="H7361" t="s">
        <v>45</v>
      </c>
      <c r="I7361" t="s">
        <v>36</v>
      </c>
      <c r="J7361" s="1">
        <v>44624</v>
      </c>
      <c r="K7361" t="b">
        <v>0</v>
      </c>
    </row>
    <row r="7362" spans="1:11" x14ac:dyDescent="0.25">
      <c r="A7362" t="s">
        <v>2018</v>
      </c>
      <c r="B7362" t="s">
        <v>58</v>
      </c>
      <c r="C7362" t="s">
        <v>110</v>
      </c>
      <c r="D7362" t="s">
        <v>221</v>
      </c>
      <c r="E7362" s="2">
        <v>6.5</v>
      </c>
      <c r="F7362" s="4">
        <v>2</v>
      </c>
      <c r="G7362" s="2">
        <v>13</v>
      </c>
      <c r="H7362" t="s">
        <v>15</v>
      </c>
      <c r="I7362" t="s">
        <v>36</v>
      </c>
      <c r="J7362" s="1">
        <v>45222</v>
      </c>
      <c r="K7362" t="b">
        <v>1</v>
      </c>
    </row>
    <row r="7363" spans="1:11" x14ac:dyDescent="0.25">
      <c r="A7363" t="s">
        <v>2536</v>
      </c>
      <c r="B7363" t="s">
        <v>40</v>
      </c>
      <c r="C7363" t="s">
        <v>23</v>
      </c>
      <c r="D7363" t="s">
        <v>137</v>
      </c>
      <c r="E7363" s="2">
        <v>6.5</v>
      </c>
      <c r="F7363" s="4">
        <v>2</v>
      </c>
      <c r="G7363" s="2">
        <v>13</v>
      </c>
      <c r="H7363" t="s">
        <v>25</v>
      </c>
      <c r="I7363" t="s">
        <v>36</v>
      </c>
      <c r="J7363" s="1">
        <v>45047</v>
      </c>
      <c r="K7363" t="b">
        <v>0</v>
      </c>
    </row>
    <row r="7364" spans="1:11" x14ac:dyDescent="0.25">
      <c r="A7364" t="s">
        <v>4338</v>
      </c>
      <c r="B7364" t="s">
        <v>26</v>
      </c>
      <c r="C7364" t="s">
        <v>59</v>
      </c>
      <c r="D7364" t="s">
        <v>541</v>
      </c>
      <c r="E7364" s="2">
        <v>6.5</v>
      </c>
      <c r="F7364" s="4">
        <v>2</v>
      </c>
      <c r="G7364" s="2">
        <v>13</v>
      </c>
      <c r="H7364" t="s">
        <v>25</v>
      </c>
      <c r="I7364" t="s">
        <v>36</v>
      </c>
      <c r="J7364" s="1">
        <v>44846</v>
      </c>
      <c r="K7364" t="b">
        <v>0</v>
      </c>
    </row>
    <row r="7365" spans="1:11" x14ac:dyDescent="0.25">
      <c r="A7365" t="s">
        <v>2228</v>
      </c>
      <c r="B7365" t="s">
        <v>56</v>
      </c>
      <c r="C7365" t="s">
        <v>23</v>
      </c>
      <c r="D7365" t="s">
        <v>137</v>
      </c>
      <c r="E7365" s="2">
        <v>6.5</v>
      </c>
      <c r="F7365" s="4">
        <v>2</v>
      </c>
      <c r="G7365" s="2">
        <v>13</v>
      </c>
      <c r="H7365" t="s">
        <v>15</v>
      </c>
      <c r="I7365" t="s">
        <v>36</v>
      </c>
      <c r="J7365" s="1">
        <v>44864</v>
      </c>
      <c r="K7365" t="b">
        <v>1</v>
      </c>
    </row>
    <row r="7366" spans="1:11" x14ac:dyDescent="0.25">
      <c r="A7366" t="s">
        <v>1437</v>
      </c>
      <c r="B7366" t="s">
        <v>85</v>
      </c>
      <c r="C7366" t="s">
        <v>27</v>
      </c>
      <c r="D7366" t="s">
        <v>246</v>
      </c>
      <c r="E7366" s="2">
        <v>6.5</v>
      </c>
      <c r="F7366" s="4">
        <v>2</v>
      </c>
      <c r="G7366" s="2">
        <v>13</v>
      </c>
      <c r="H7366" t="s">
        <v>45</v>
      </c>
      <c r="I7366" t="s">
        <v>36</v>
      </c>
      <c r="J7366" s="1">
        <v>45097</v>
      </c>
      <c r="K7366" t="b">
        <v>0</v>
      </c>
    </row>
    <row r="7367" spans="1:11" x14ac:dyDescent="0.25">
      <c r="A7367" t="s">
        <v>3379</v>
      </c>
      <c r="B7367" t="s">
        <v>104</v>
      </c>
      <c r="C7367" t="s">
        <v>27</v>
      </c>
      <c r="D7367" t="s">
        <v>246</v>
      </c>
      <c r="E7367" s="2">
        <v>6.5</v>
      </c>
      <c r="F7367" s="4">
        <v>2</v>
      </c>
      <c r="G7367" s="2">
        <v>13</v>
      </c>
      <c r="H7367" t="s">
        <v>25</v>
      </c>
      <c r="I7367" t="s">
        <v>16</v>
      </c>
      <c r="J7367" s="1">
        <v>44746</v>
      </c>
      <c r="K7367" t="b">
        <v>0</v>
      </c>
    </row>
    <row r="7368" spans="1:11" x14ac:dyDescent="0.25">
      <c r="A7368" t="s">
        <v>2810</v>
      </c>
      <c r="B7368" t="s">
        <v>100</v>
      </c>
      <c r="C7368" t="s">
        <v>59</v>
      </c>
      <c r="D7368" t="s">
        <v>541</v>
      </c>
      <c r="E7368" s="2">
        <v>6.5</v>
      </c>
      <c r="F7368" s="4">
        <v>2</v>
      </c>
      <c r="G7368" s="2">
        <v>13</v>
      </c>
      <c r="H7368" t="s">
        <v>25</v>
      </c>
      <c r="I7368" t="s">
        <v>16</v>
      </c>
      <c r="J7368" s="1">
        <v>44770</v>
      </c>
      <c r="K7368" t="b">
        <v>0</v>
      </c>
    </row>
    <row r="7369" spans="1:11" x14ac:dyDescent="0.25">
      <c r="A7369" t="s">
        <v>1504</v>
      </c>
      <c r="B7369" t="s">
        <v>142</v>
      </c>
      <c r="C7369" t="s">
        <v>110</v>
      </c>
      <c r="D7369" t="s">
        <v>221</v>
      </c>
      <c r="E7369" s="2">
        <v>6.5</v>
      </c>
      <c r="F7369" s="4">
        <v>2</v>
      </c>
      <c r="G7369" s="2">
        <v>13</v>
      </c>
      <c r="H7369" t="s">
        <v>25</v>
      </c>
      <c r="I7369" t="s">
        <v>16</v>
      </c>
      <c r="J7369" s="1">
        <v>44971</v>
      </c>
      <c r="K7369" t="b">
        <v>0</v>
      </c>
    </row>
    <row r="7370" spans="1:11" x14ac:dyDescent="0.25">
      <c r="A7370" t="s">
        <v>2892</v>
      </c>
      <c r="B7370" t="s">
        <v>100</v>
      </c>
      <c r="C7370" t="s">
        <v>110</v>
      </c>
      <c r="D7370" t="s">
        <v>221</v>
      </c>
      <c r="E7370" s="2">
        <v>6.5</v>
      </c>
      <c r="F7370" s="4">
        <v>2</v>
      </c>
      <c r="G7370" s="2">
        <v>13</v>
      </c>
      <c r="H7370" t="s">
        <v>15</v>
      </c>
      <c r="I7370" t="s">
        <v>16</v>
      </c>
      <c r="J7370" s="1">
        <v>45213</v>
      </c>
      <c r="K7370" t="b">
        <v>0</v>
      </c>
    </row>
    <row r="7371" spans="1:11" x14ac:dyDescent="0.25">
      <c r="A7371" t="s">
        <v>5072</v>
      </c>
      <c r="B7371" t="s">
        <v>26</v>
      </c>
      <c r="C7371" t="s">
        <v>38</v>
      </c>
      <c r="D7371" t="s">
        <v>235</v>
      </c>
      <c r="E7371" s="2">
        <v>6.5</v>
      </c>
      <c r="F7371" s="4">
        <v>2</v>
      </c>
      <c r="G7371" s="2">
        <v>13</v>
      </c>
      <c r="H7371" t="s">
        <v>45</v>
      </c>
      <c r="I7371" t="s">
        <v>36</v>
      </c>
      <c r="J7371" s="1">
        <v>44890</v>
      </c>
      <c r="K7371" t="b">
        <v>1</v>
      </c>
    </row>
    <row r="7372" spans="1:11" x14ac:dyDescent="0.25">
      <c r="A7372" t="s">
        <v>2403</v>
      </c>
      <c r="B7372" t="s">
        <v>93</v>
      </c>
      <c r="C7372" t="s">
        <v>23</v>
      </c>
      <c r="D7372" t="s">
        <v>137</v>
      </c>
      <c r="E7372" s="2">
        <v>6.5</v>
      </c>
      <c r="F7372" s="4">
        <v>2</v>
      </c>
      <c r="G7372" s="2">
        <v>13</v>
      </c>
      <c r="H7372" t="s">
        <v>25</v>
      </c>
      <c r="I7372" t="s">
        <v>16</v>
      </c>
      <c r="J7372" s="1">
        <v>45325</v>
      </c>
      <c r="K7372" t="b">
        <v>1</v>
      </c>
    </row>
    <row r="7373" spans="1:11" x14ac:dyDescent="0.25">
      <c r="A7373" t="s">
        <v>6393</v>
      </c>
      <c r="B7373" t="s">
        <v>142</v>
      </c>
      <c r="C7373" t="s">
        <v>19</v>
      </c>
      <c r="D7373" t="s">
        <v>308</v>
      </c>
      <c r="E7373" s="2">
        <v>6.5</v>
      </c>
      <c r="F7373" s="4">
        <v>2</v>
      </c>
      <c r="G7373" s="2">
        <v>13</v>
      </c>
      <c r="H7373" t="s">
        <v>15</v>
      </c>
      <c r="I7373" t="s">
        <v>36</v>
      </c>
      <c r="J7373" s="1">
        <v>45672</v>
      </c>
      <c r="K7373" t="b">
        <v>1</v>
      </c>
    </row>
    <row r="7374" spans="1:11" x14ac:dyDescent="0.25">
      <c r="A7374" t="s">
        <v>5091</v>
      </c>
      <c r="B7374" t="s">
        <v>22</v>
      </c>
      <c r="C7374" t="s">
        <v>19</v>
      </c>
      <c r="D7374" t="s">
        <v>308</v>
      </c>
      <c r="E7374" s="2">
        <v>6.5</v>
      </c>
      <c r="F7374" s="4">
        <v>2</v>
      </c>
      <c r="G7374" s="2">
        <v>13</v>
      </c>
      <c r="H7374" t="s">
        <v>15</v>
      </c>
      <c r="I7374" t="s">
        <v>36</v>
      </c>
      <c r="J7374" s="1">
        <v>45489</v>
      </c>
      <c r="K7374" t="b">
        <v>1</v>
      </c>
    </row>
    <row r="7375" spans="1:11" x14ac:dyDescent="0.25">
      <c r="A7375" t="s">
        <v>1373</v>
      </c>
      <c r="B7375" t="s">
        <v>100</v>
      </c>
      <c r="C7375" t="s">
        <v>19</v>
      </c>
      <c r="D7375" t="s">
        <v>308</v>
      </c>
      <c r="E7375" s="2">
        <v>6.5</v>
      </c>
      <c r="F7375" s="4">
        <v>2</v>
      </c>
      <c r="G7375" s="2">
        <v>13</v>
      </c>
      <c r="H7375" t="s">
        <v>25</v>
      </c>
      <c r="I7375" t="s">
        <v>36</v>
      </c>
      <c r="J7375" s="1">
        <v>44910</v>
      </c>
      <c r="K7375" t="b">
        <v>1</v>
      </c>
    </row>
    <row r="7376" spans="1:11" x14ac:dyDescent="0.25">
      <c r="A7376" t="s">
        <v>2277</v>
      </c>
      <c r="B7376" t="s">
        <v>93</v>
      </c>
      <c r="C7376" t="s">
        <v>27</v>
      </c>
      <c r="D7376" t="s">
        <v>246</v>
      </c>
      <c r="E7376" s="2">
        <v>6.5</v>
      </c>
      <c r="F7376" s="4">
        <v>2</v>
      </c>
      <c r="G7376" s="2">
        <v>13</v>
      </c>
      <c r="H7376" t="s">
        <v>45</v>
      </c>
      <c r="I7376" t="s">
        <v>36</v>
      </c>
      <c r="J7376" s="1">
        <v>44860</v>
      </c>
      <c r="K7376" t="b">
        <v>0</v>
      </c>
    </row>
    <row r="7377" spans="1:11" x14ac:dyDescent="0.25">
      <c r="A7377" t="s">
        <v>1516</v>
      </c>
      <c r="B7377" t="s">
        <v>72</v>
      </c>
      <c r="C7377" t="s">
        <v>38</v>
      </c>
      <c r="D7377" t="s">
        <v>235</v>
      </c>
      <c r="E7377" s="2">
        <v>6.5</v>
      </c>
      <c r="F7377" s="4">
        <v>2</v>
      </c>
      <c r="G7377" s="2">
        <v>13</v>
      </c>
      <c r="H7377" t="s">
        <v>45</v>
      </c>
      <c r="I7377" t="s">
        <v>36</v>
      </c>
      <c r="J7377" s="1">
        <v>45188</v>
      </c>
      <c r="K7377" t="b">
        <v>1</v>
      </c>
    </row>
    <row r="7378" spans="1:11" x14ac:dyDescent="0.25">
      <c r="A7378" t="s">
        <v>1757</v>
      </c>
      <c r="B7378" t="s">
        <v>12</v>
      </c>
      <c r="C7378" t="s">
        <v>38</v>
      </c>
      <c r="D7378" t="s">
        <v>235</v>
      </c>
      <c r="E7378" s="2">
        <v>6.5</v>
      </c>
      <c r="F7378" s="4">
        <v>2</v>
      </c>
      <c r="G7378" s="2">
        <v>13</v>
      </c>
      <c r="H7378" t="s">
        <v>25</v>
      </c>
      <c r="I7378" t="s">
        <v>36</v>
      </c>
      <c r="J7378" s="1">
        <v>45664</v>
      </c>
      <c r="K7378" t="b">
        <v>1</v>
      </c>
    </row>
    <row r="7379" spans="1:11" x14ac:dyDescent="0.25">
      <c r="A7379" t="s">
        <v>2714</v>
      </c>
      <c r="B7379" t="s">
        <v>77</v>
      </c>
      <c r="C7379" t="s">
        <v>23</v>
      </c>
      <c r="D7379" t="s">
        <v>137</v>
      </c>
      <c r="E7379" s="2">
        <v>6.5</v>
      </c>
      <c r="F7379" s="4">
        <v>2</v>
      </c>
      <c r="G7379" s="2">
        <v>13</v>
      </c>
      <c r="H7379" t="s">
        <v>25</v>
      </c>
      <c r="I7379" t="s">
        <v>36</v>
      </c>
      <c r="J7379" s="1">
        <v>44582</v>
      </c>
      <c r="K7379" t="b">
        <v>1</v>
      </c>
    </row>
    <row r="7380" spans="1:11" x14ac:dyDescent="0.25">
      <c r="A7380" t="s">
        <v>3216</v>
      </c>
      <c r="B7380" t="s">
        <v>56</v>
      </c>
      <c r="C7380" t="s">
        <v>38</v>
      </c>
      <c r="D7380" t="s">
        <v>235</v>
      </c>
      <c r="E7380" s="2">
        <v>6.5</v>
      </c>
      <c r="F7380" s="4">
        <v>2</v>
      </c>
      <c r="G7380" s="2">
        <v>13</v>
      </c>
      <c r="H7380" t="s">
        <v>25</v>
      </c>
      <c r="I7380" t="s">
        <v>36</v>
      </c>
      <c r="J7380" s="1">
        <v>45588</v>
      </c>
      <c r="K7380" t="b">
        <v>0</v>
      </c>
    </row>
    <row r="7381" spans="1:11" x14ac:dyDescent="0.25">
      <c r="A7381" t="s">
        <v>3918</v>
      </c>
      <c r="B7381" t="s">
        <v>56</v>
      </c>
      <c r="C7381" t="s">
        <v>27</v>
      </c>
      <c r="D7381" t="s">
        <v>246</v>
      </c>
      <c r="E7381" s="2">
        <v>6.5</v>
      </c>
      <c r="F7381" s="4">
        <v>2</v>
      </c>
      <c r="G7381" s="2">
        <v>13</v>
      </c>
      <c r="H7381" t="s">
        <v>15</v>
      </c>
      <c r="I7381" t="s">
        <v>16</v>
      </c>
      <c r="J7381" s="1">
        <v>45331</v>
      </c>
      <c r="K7381" t="b">
        <v>0</v>
      </c>
    </row>
    <row r="7382" spans="1:11" x14ac:dyDescent="0.25">
      <c r="A7382" t="s">
        <v>2518</v>
      </c>
      <c r="B7382" t="s">
        <v>61</v>
      </c>
      <c r="C7382" t="s">
        <v>31</v>
      </c>
      <c r="D7382" t="s">
        <v>49</v>
      </c>
      <c r="E7382" s="2">
        <v>6.5</v>
      </c>
      <c r="F7382" s="4">
        <v>2</v>
      </c>
      <c r="G7382" s="2">
        <v>13</v>
      </c>
      <c r="H7382" t="s">
        <v>15</v>
      </c>
      <c r="I7382" t="s">
        <v>36</v>
      </c>
      <c r="J7382" s="1">
        <v>44766</v>
      </c>
      <c r="K7382" t="b">
        <v>0</v>
      </c>
    </row>
    <row r="7383" spans="1:11" x14ac:dyDescent="0.25">
      <c r="A7383" t="s">
        <v>4109</v>
      </c>
      <c r="B7383" t="s">
        <v>61</v>
      </c>
      <c r="C7383" t="s">
        <v>27</v>
      </c>
      <c r="D7383" t="s">
        <v>246</v>
      </c>
      <c r="E7383" s="2">
        <v>6.5</v>
      </c>
      <c r="F7383" s="4">
        <v>2</v>
      </c>
      <c r="G7383" s="2">
        <v>13</v>
      </c>
      <c r="H7383" t="s">
        <v>15</v>
      </c>
      <c r="I7383" t="s">
        <v>36</v>
      </c>
      <c r="J7383" s="1">
        <v>45403</v>
      </c>
      <c r="K7383" t="b">
        <v>0</v>
      </c>
    </row>
    <row r="7384" spans="1:11" x14ac:dyDescent="0.25">
      <c r="A7384" t="s">
        <v>4098</v>
      </c>
      <c r="B7384" t="s">
        <v>26</v>
      </c>
      <c r="C7384" t="s">
        <v>59</v>
      </c>
      <c r="D7384" t="s">
        <v>541</v>
      </c>
      <c r="E7384" s="2">
        <v>6.5</v>
      </c>
      <c r="F7384" s="4">
        <v>2</v>
      </c>
      <c r="G7384" s="2">
        <v>13</v>
      </c>
      <c r="H7384" t="s">
        <v>25</v>
      </c>
      <c r="I7384" t="s">
        <v>16</v>
      </c>
      <c r="J7384" s="1">
        <v>44743</v>
      </c>
      <c r="K7384" t="b">
        <v>1</v>
      </c>
    </row>
    <row r="7385" spans="1:11" x14ac:dyDescent="0.25">
      <c r="A7385" t="s">
        <v>5272</v>
      </c>
      <c r="B7385" t="s">
        <v>40</v>
      </c>
      <c r="C7385" t="s">
        <v>38</v>
      </c>
      <c r="D7385" t="s">
        <v>235</v>
      </c>
      <c r="E7385" s="2">
        <v>6.5</v>
      </c>
      <c r="F7385" s="4">
        <v>2</v>
      </c>
      <c r="G7385" s="2">
        <v>13</v>
      </c>
      <c r="H7385" t="s">
        <v>15</v>
      </c>
      <c r="I7385" t="s">
        <v>16</v>
      </c>
      <c r="J7385" s="1">
        <v>44741</v>
      </c>
      <c r="K7385" t="b">
        <v>1</v>
      </c>
    </row>
    <row r="7386" spans="1:11" x14ac:dyDescent="0.25">
      <c r="A7386" t="s">
        <v>5262</v>
      </c>
      <c r="B7386" t="s">
        <v>66</v>
      </c>
      <c r="C7386" t="s">
        <v>23</v>
      </c>
      <c r="D7386" t="s">
        <v>137</v>
      </c>
      <c r="E7386" s="2">
        <v>6.5</v>
      </c>
      <c r="F7386" s="4">
        <v>2</v>
      </c>
      <c r="G7386" s="2">
        <v>13</v>
      </c>
      <c r="H7386" t="s">
        <v>15</v>
      </c>
      <c r="I7386" t="s">
        <v>36</v>
      </c>
      <c r="J7386" s="1">
        <v>45060</v>
      </c>
      <c r="K7386" t="b">
        <v>0</v>
      </c>
    </row>
    <row r="7387" spans="1:11" x14ac:dyDescent="0.25">
      <c r="A7387" t="s">
        <v>7700</v>
      </c>
      <c r="B7387" t="s">
        <v>58</v>
      </c>
      <c r="C7387" t="s">
        <v>31</v>
      </c>
      <c r="D7387" t="s">
        <v>49</v>
      </c>
      <c r="E7387" s="2">
        <v>6.5</v>
      </c>
      <c r="F7387" s="4">
        <v>2</v>
      </c>
      <c r="G7387" s="2">
        <v>13</v>
      </c>
      <c r="H7387" t="s">
        <v>25</v>
      </c>
      <c r="I7387" t="s">
        <v>36</v>
      </c>
      <c r="J7387" s="1">
        <v>44656</v>
      </c>
      <c r="K7387" t="b">
        <v>0</v>
      </c>
    </row>
    <row r="7388" spans="1:11" x14ac:dyDescent="0.25">
      <c r="A7388" t="s">
        <v>6122</v>
      </c>
      <c r="B7388" t="s">
        <v>77</v>
      </c>
      <c r="C7388" t="s">
        <v>27</v>
      </c>
      <c r="D7388" t="s">
        <v>246</v>
      </c>
      <c r="E7388" s="2">
        <v>6.5</v>
      </c>
      <c r="F7388" s="4">
        <v>2</v>
      </c>
      <c r="G7388" s="2">
        <v>13</v>
      </c>
      <c r="H7388" t="s">
        <v>15</v>
      </c>
      <c r="I7388" t="s">
        <v>36</v>
      </c>
      <c r="J7388" s="1">
        <v>45356</v>
      </c>
      <c r="K7388" t="b">
        <v>1</v>
      </c>
    </row>
    <row r="7389" spans="1:11" x14ac:dyDescent="0.25">
      <c r="A7389" t="s">
        <v>1092</v>
      </c>
      <c r="B7389" t="s">
        <v>51</v>
      </c>
      <c r="C7389" t="s">
        <v>110</v>
      </c>
      <c r="D7389" t="s">
        <v>221</v>
      </c>
      <c r="E7389" s="2">
        <v>6.5</v>
      </c>
      <c r="F7389" s="4">
        <v>2</v>
      </c>
      <c r="G7389" s="2">
        <v>13</v>
      </c>
      <c r="H7389" t="s">
        <v>25</v>
      </c>
      <c r="I7389" t="s">
        <v>36</v>
      </c>
      <c r="J7389" s="1">
        <v>45058</v>
      </c>
      <c r="K7389" t="b">
        <v>0</v>
      </c>
    </row>
    <row r="7390" spans="1:11" x14ac:dyDescent="0.25">
      <c r="A7390" t="s">
        <v>2463</v>
      </c>
      <c r="B7390" t="s">
        <v>56</v>
      </c>
      <c r="C7390" t="s">
        <v>110</v>
      </c>
      <c r="D7390" t="s">
        <v>221</v>
      </c>
      <c r="E7390" s="2">
        <v>6.5</v>
      </c>
      <c r="F7390" s="4">
        <v>2</v>
      </c>
      <c r="G7390" s="2">
        <v>13</v>
      </c>
      <c r="H7390" t="s">
        <v>25</v>
      </c>
      <c r="I7390" t="s">
        <v>16</v>
      </c>
      <c r="J7390" s="1">
        <v>45541</v>
      </c>
      <c r="K7390" t="b">
        <v>1</v>
      </c>
    </row>
    <row r="7391" spans="1:11" x14ac:dyDescent="0.25">
      <c r="A7391" t="s">
        <v>4853</v>
      </c>
      <c r="B7391" t="s">
        <v>85</v>
      </c>
      <c r="C7391" t="s">
        <v>23</v>
      </c>
      <c r="D7391" t="s">
        <v>137</v>
      </c>
      <c r="E7391" s="2">
        <v>6.5</v>
      </c>
      <c r="F7391" s="4">
        <v>2</v>
      </c>
      <c r="G7391" s="2">
        <v>13</v>
      </c>
      <c r="H7391" t="s">
        <v>25</v>
      </c>
      <c r="I7391" t="s">
        <v>36</v>
      </c>
      <c r="J7391" s="1">
        <v>44709</v>
      </c>
      <c r="K7391" t="b">
        <v>1</v>
      </c>
    </row>
    <row r="7392" spans="1:11" x14ac:dyDescent="0.25">
      <c r="A7392" t="s">
        <v>1273</v>
      </c>
      <c r="B7392" t="s">
        <v>43</v>
      </c>
      <c r="C7392" t="s">
        <v>38</v>
      </c>
      <c r="D7392" t="s">
        <v>235</v>
      </c>
      <c r="E7392" s="2">
        <v>6.5</v>
      </c>
      <c r="F7392" s="4">
        <v>2</v>
      </c>
      <c r="G7392" s="2">
        <v>13</v>
      </c>
      <c r="H7392" t="s">
        <v>45</v>
      </c>
      <c r="I7392" t="s">
        <v>36</v>
      </c>
      <c r="J7392" s="1">
        <v>44775</v>
      </c>
      <c r="K7392" t="b">
        <v>1</v>
      </c>
    </row>
    <row r="7393" spans="1:11" x14ac:dyDescent="0.25">
      <c r="A7393" t="s">
        <v>7659</v>
      </c>
      <c r="B7393" t="s">
        <v>104</v>
      </c>
      <c r="C7393" t="s">
        <v>27</v>
      </c>
      <c r="D7393" t="s">
        <v>246</v>
      </c>
      <c r="E7393" s="2">
        <v>6.5</v>
      </c>
      <c r="F7393" s="4">
        <v>2</v>
      </c>
      <c r="G7393" s="2">
        <v>13</v>
      </c>
      <c r="H7393" t="s">
        <v>45</v>
      </c>
      <c r="I7393" t="s">
        <v>16</v>
      </c>
      <c r="J7393" s="1">
        <v>45525</v>
      </c>
      <c r="K7393" t="b">
        <v>0</v>
      </c>
    </row>
    <row r="7394" spans="1:11" x14ac:dyDescent="0.25">
      <c r="A7394" t="s">
        <v>7245</v>
      </c>
      <c r="B7394" t="s">
        <v>18</v>
      </c>
      <c r="C7394" t="s">
        <v>23</v>
      </c>
      <c r="D7394" t="s">
        <v>137</v>
      </c>
      <c r="E7394" s="2">
        <v>6.5</v>
      </c>
      <c r="F7394" s="4">
        <v>2</v>
      </c>
      <c r="G7394" s="2">
        <v>13</v>
      </c>
      <c r="H7394" t="s">
        <v>25</v>
      </c>
      <c r="I7394" t="s">
        <v>36</v>
      </c>
      <c r="J7394" s="1">
        <v>44966</v>
      </c>
      <c r="K7394" t="b">
        <v>1</v>
      </c>
    </row>
    <row r="7395" spans="1:11" x14ac:dyDescent="0.25">
      <c r="A7395" t="s">
        <v>483</v>
      </c>
      <c r="B7395" t="s">
        <v>30</v>
      </c>
      <c r="C7395" t="s">
        <v>110</v>
      </c>
      <c r="D7395" t="s">
        <v>234</v>
      </c>
      <c r="E7395" s="2">
        <v>12.5</v>
      </c>
      <c r="F7395" s="4">
        <v>1</v>
      </c>
      <c r="G7395" s="2">
        <v>12.5</v>
      </c>
      <c r="H7395" t="s">
        <v>15</v>
      </c>
      <c r="I7395" t="s">
        <v>16</v>
      </c>
      <c r="J7395" s="1">
        <v>44795</v>
      </c>
      <c r="K7395" t="b">
        <v>0</v>
      </c>
    </row>
    <row r="7396" spans="1:11" x14ac:dyDescent="0.25">
      <c r="A7396" t="s">
        <v>6809</v>
      </c>
      <c r="B7396" t="s">
        <v>104</v>
      </c>
      <c r="C7396" t="s">
        <v>59</v>
      </c>
      <c r="D7396" t="s">
        <v>177</v>
      </c>
      <c r="E7396" s="2">
        <v>12.5</v>
      </c>
      <c r="F7396" s="4">
        <v>1</v>
      </c>
      <c r="G7396" s="2">
        <v>12.5</v>
      </c>
      <c r="H7396" t="s">
        <v>45</v>
      </c>
      <c r="I7396" t="s">
        <v>16</v>
      </c>
      <c r="J7396" s="1">
        <v>44700</v>
      </c>
      <c r="K7396" t="b">
        <v>1</v>
      </c>
    </row>
    <row r="7397" spans="1:11" x14ac:dyDescent="0.25">
      <c r="A7397" t="s">
        <v>1938</v>
      </c>
      <c r="B7397" t="s">
        <v>69</v>
      </c>
      <c r="C7397" t="s">
        <v>13</v>
      </c>
      <c r="D7397" t="s">
        <v>84</v>
      </c>
      <c r="E7397" s="2">
        <v>12.5</v>
      </c>
      <c r="F7397" s="4">
        <v>1</v>
      </c>
      <c r="G7397" s="2">
        <v>12.5</v>
      </c>
      <c r="H7397" t="s">
        <v>15</v>
      </c>
      <c r="I7397" t="s">
        <v>36</v>
      </c>
      <c r="J7397" s="1">
        <v>45106</v>
      </c>
      <c r="K7397" t="b">
        <v>1</v>
      </c>
    </row>
    <row r="7398" spans="1:11" x14ac:dyDescent="0.25">
      <c r="A7398" t="s">
        <v>2269</v>
      </c>
      <c r="B7398" t="s">
        <v>104</v>
      </c>
      <c r="C7398" t="s">
        <v>19</v>
      </c>
      <c r="D7398" t="s">
        <v>128</v>
      </c>
      <c r="E7398" s="2">
        <v>12.5</v>
      </c>
      <c r="F7398" s="4">
        <v>1</v>
      </c>
      <c r="G7398" s="2">
        <v>12.5</v>
      </c>
      <c r="H7398" t="s">
        <v>15</v>
      </c>
      <c r="I7398" t="s">
        <v>36</v>
      </c>
      <c r="J7398" s="1">
        <v>44795</v>
      </c>
      <c r="K7398" t="b">
        <v>0</v>
      </c>
    </row>
    <row r="7399" spans="1:11" x14ac:dyDescent="0.25">
      <c r="A7399" t="s">
        <v>1572</v>
      </c>
      <c r="B7399" t="s">
        <v>22</v>
      </c>
      <c r="C7399" t="s">
        <v>38</v>
      </c>
      <c r="D7399" t="s">
        <v>480</v>
      </c>
      <c r="E7399" s="2">
        <v>12.5</v>
      </c>
      <c r="F7399" s="4">
        <v>1</v>
      </c>
      <c r="G7399" s="2">
        <v>12.5</v>
      </c>
      <c r="H7399" t="s">
        <v>45</v>
      </c>
      <c r="I7399" t="s">
        <v>16</v>
      </c>
      <c r="J7399" s="1">
        <v>44961</v>
      </c>
      <c r="K7399" t="b">
        <v>0</v>
      </c>
    </row>
    <row r="7400" spans="1:11" x14ac:dyDescent="0.25">
      <c r="A7400" t="s">
        <v>5002</v>
      </c>
      <c r="B7400" t="s">
        <v>69</v>
      </c>
      <c r="C7400" t="s">
        <v>110</v>
      </c>
      <c r="D7400" t="s">
        <v>234</v>
      </c>
      <c r="E7400" s="2">
        <v>12.5</v>
      </c>
      <c r="F7400" s="4">
        <v>1</v>
      </c>
      <c r="G7400" s="2">
        <v>12.5</v>
      </c>
      <c r="H7400" t="s">
        <v>15</v>
      </c>
      <c r="I7400" t="s">
        <v>36</v>
      </c>
      <c r="J7400" s="1">
        <v>44586</v>
      </c>
      <c r="K7400" t="b">
        <v>1</v>
      </c>
    </row>
    <row r="7401" spans="1:11" x14ac:dyDescent="0.25">
      <c r="A7401" t="s">
        <v>7250</v>
      </c>
      <c r="B7401" t="s">
        <v>12</v>
      </c>
      <c r="C7401" t="s">
        <v>13</v>
      </c>
      <c r="D7401" t="s">
        <v>84</v>
      </c>
      <c r="E7401" s="2">
        <v>12.5</v>
      </c>
      <c r="F7401" s="4">
        <v>1</v>
      </c>
      <c r="G7401" s="2">
        <v>12.5</v>
      </c>
      <c r="H7401" t="s">
        <v>45</v>
      </c>
      <c r="I7401" t="s">
        <v>36</v>
      </c>
      <c r="J7401" s="1">
        <v>45505</v>
      </c>
      <c r="K7401" t="b">
        <v>0</v>
      </c>
    </row>
    <row r="7402" spans="1:11" x14ac:dyDescent="0.25">
      <c r="A7402" t="s">
        <v>2534</v>
      </c>
      <c r="B7402" t="s">
        <v>142</v>
      </c>
      <c r="C7402" t="s">
        <v>19</v>
      </c>
      <c r="D7402" t="s">
        <v>128</v>
      </c>
      <c r="E7402" s="2">
        <v>12.5</v>
      </c>
      <c r="F7402" s="4">
        <v>1</v>
      </c>
      <c r="G7402" s="2">
        <v>12.5</v>
      </c>
      <c r="H7402" t="s">
        <v>25</v>
      </c>
      <c r="I7402" t="s">
        <v>16</v>
      </c>
      <c r="J7402" s="1">
        <v>45602</v>
      </c>
      <c r="K7402" t="b">
        <v>0</v>
      </c>
    </row>
    <row r="7403" spans="1:11" x14ac:dyDescent="0.25">
      <c r="A7403" t="s">
        <v>5880</v>
      </c>
      <c r="B7403" t="s">
        <v>58</v>
      </c>
      <c r="C7403" t="s">
        <v>31</v>
      </c>
      <c r="D7403" t="s">
        <v>32</v>
      </c>
      <c r="E7403" s="2">
        <v>12.5</v>
      </c>
      <c r="F7403" s="4">
        <v>1</v>
      </c>
      <c r="G7403" s="2">
        <v>12.5</v>
      </c>
      <c r="H7403" t="s">
        <v>25</v>
      </c>
      <c r="I7403" t="s">
        <v>16</v>
      </c>
      <c r="J7403" s="1">
        <v>45506</v>
      </c>
      <c r="K7403" t="b">
        <v>1</v>
      </c>
    </row>
    <row r="7404" spans="1:11" x14ac:dyDescent="0.25">
      <c r="A7404" t="s">
        <v>6913</v>
      </c>
      <c r="B7404" t="s">
        <v>77</v>
      </c>
      <c r="C7404" t="s">
        <v>27</v>
      </c>
      <c r="D7404" t="s">
        <v>217</v>
      </c>
      <c r="E7404" s="2">
        <v>12.5</v>
      </c>
      <c r="F7404" s="4">
        <v>1</v>
      </c>
      <c r="G7404" s="2">
        <v>12.5</v>
      </c>
      <c r="H7404" t="s">
        <v>25</v>
      </c>
      <c r="I7404" t="s">
        <v>36</v>
      </c>
      <c r="J7404" s="1">
        <v>45616</v>
      </c>
      <c r="K7404" t="b">
        <v>1</v>
      </c>
    </row>
    <row r="7405" spans="1:11" x14ac:dyDescent="0.25">
      <c r="A7405" t="s">
        <v>4581</v>
      </c>
      <c r="B7405" t="s">
        <v>18</v>
      </c>
      <c r="C7405" t="s">
        <v>38</v>
      </c>
      <c r="D7405" t="s">
        <v>480</v>
      </c>
      <c r="E7405" s="2">
        <v>12.5</v>
      </c>
      <c r="F7405" s="4">
        <v>1</v>
      </c>
      <c r="G7405" s="2">
        <v>12.5</v>
      </c>
      <c r="H7405" t="s">
        <v>15</v>
      </c>
      <c r="I7405" t="s">
        <v>16</v>
      </c>
      <c r="J7405" s="1">
        <v>45189</v>
      </c>
      <c r="K7405" t="b">
        <v>1</v>
      </c>
    </row>
    <row r="7406" spans="1:11" x14ac:dyDescent="0.25">
      <c r="A7406" t="s">
        <v>4866</v>
      </c>
      <c r="B7406" t="s">
        <v>97</v>
      </c>
      <c r="C7406" t="s">
        <v>59</v>
      </c>
      <c r="D7406" t="s">
        <v>177</v>
      </c>
      <c r="E7406" s="2">
        <v>12.5</v>
      </c>
      <c r="F7406" s="4">
        <v>1</v>
      </c>
      <c r="G7406" s="2">
        <v>12.5</v>
      </c>
      <c r="H7406" t="s">
        <v>45</v>
      </c>
      <c r="I7406" t="s">
        <v>16</v>
      </c>
      <c r="J7406" s="1">
        <v>44608</v>
      </c>
      <c r="K7406" t="b">
        <v>1</v>
      </c>
    </row>
    <row r="7407" spans="1:11" x14ac:dyDescent="0.25">
      <c r="A7407" t="s">
        <v>2990</v>
      </c>
      <c r="B7407" t="s">
        <v>30</v>
      </c>
      <c r="C7407" t="s">
        <v>19</v>
      </c>
      <c r="D7407" t="s">
        <v>128</v>
      </c>
      <c r="E7407" s="2">
        <v>12.5</v>
      </c>
      <c r="F7407" s="4">
        <v>1</v>
      </c>
      <c r="G7407" s="2">
        <v>12.5</v>
      </c>
      <c r="H7407" t="s">
        <v>45</v>
      </c>
      <c r="I7407" t="s">
        <v>36</v>
      </c>
      <c r="J7407" s="1">
        <v>45061</v>
      </c>
      <c r="K7407" t="b">
        <v>1</v>
      </c>
    </row>
    <row r="7408" spans="1:11" x14ac:dyDescent="0.25">
      <c r="A7408" t="s">
        <v>5617</v>
      </c>
      <c r="B7408" t="s">
        <v>93</v>
      </c>
      <c r="C7408" t="s">
        <v>59</v>
      </c>
      <c r="D7408" t="s">
        <v>177</v>
      </c>
      <c r="E7408" s="2">
        <v>12.5</v>
      </c>
      <c r="F7408" s="4">
        <v>1</v>
      </c>
      <c r="G7408" s="2">
        <v>12.5</v>
      </c>
      <c r="H7408" t="s">
        <v>25</v>
      </c>
      <c r="I7408" t="s">
        <v>16</v>
      </c>
      <c r="J7408" s="1">
        <v>45144</v>
      </c>
      <c r="K7408" t="b">
        <v>1</v>
      </c>
    </row>
    <row r="7409" spans="1:11" x14ac:dyDescent="0.25">
      <c r="A7409" t="s">
        <v>2515</v>
      </c>
      <c r="B7409" t="s">
        <v>142</v>
      </c>
      <c r="C7409" t="s">
        <v>23</v>
      </c>
      <c r="D7409" t="s">
        <v>437</v>
      </c>
      <c r="E7409" s="2">
        <v>12.5</v>
      </c>
      <c r="F7409" s="4">
        <v>1</v>
      </c>
      <c r="G7409" s="2">
        <v>12.5</v>
      </c>
      <c r="H7409" t="s">
        <v>15</v>
      </c>
      <c r="I7409" t="s">
        <v>36</v>
      </c>
      <c r="J7409" s="1">
        <v>44886</v>
      </c>
      <c r="K7409" t="b">
        <v>0</v>
      </c>
    </row>
    <row r="7410" spans="1:11" x14ac:dyDescent="0.25">
      <c r="A7410" t="s">
        <v>2059</v>
      </c>
      <c r="B7410" t="s">
        <v>63</v>
      </c>
      <c r="C7410" t="s">
        <v>31</v>
      </c>
      <c r="D7410" t="s">
        <v>32</v>
      </c>
      <c r="E7410" s="2">
        <v>12.5</v>
      </c>
      <c r="F7410" s="4">
        <v>1</v>
      </c>
      <c r="G7410" s="2">
        <v>12.5</v>
      </c>
      <c r="H7410" t="s">
        <v>15</v>
      </c>
      <c r="I7410" t="s">
        <v>36</v>
      </c>
      <c r="J7410" s="1">
        <v>44999</v>
      </c>
      <c r="K7410" t="b">
        <v>0</v>
      </c>
    </row>
    <row r="7411" spans="1:11" x14ac:dyDescent="0.25">
      <c r="A7411" t="s">
        <v>3043</v>
      </c>
      <c r="B7411" t="s">
        <v>63</v>
      </c>
      <c r="C7411" t="s">
        <v>23</v>
      </c>
      <c r="D7411" t="s">
        <v>437</v>
      </c>
      <c r="E7411" s="2">
        <v>12.5</v>
      </c>
      <c r="F7411" s="4">
        <v>1</v>
      </c>
      <c r="G7411" s="2">
        <v>12.5</v>
      </c>
      <c r="H7411" t="s">
        <v>45</v>
      </c>
      <c r="I7411" t="s">
        <v>36</v>
      </c>
      <c r="J7411" s="1">
        <v>44710</v>
      </c>
      <c r="K7411" t="b">
        <v>1</v>
      </c>
    </row>
    <row r="7412" spans="1:11" x14ac:dyDescent="0.25">
      <c r="A7412" t="s">
        <v>6585</v>
      </c>
      <c r="B7412" t="s">
        <v>66</v>
      </c>
      <c r="C7412" t="s">
        <v>31</v>
      </c>
      <c r="D7412" t="s">
        <v>32</v>
      </c>
      <c r="E7412" s="2">
        <v>12.5</v>
      </c>
      <c r="F7412" s="4">
        <v>1</v>
      </c>
      <c r="G7412" s="2">
        <v>12.5</v>
      </c>
      <c r="H7412" t="s">
        <v>15</v>
      </c>
      <c r="I7412" t="s">
        <v>16</v>
      </c>
      <c r="J7412" s="1">
        <v>44656</v>
      </c>
      <c r="K7412" t="b">
        <v>1</v>
      </c>
    </row>
    <row r="7413" spans="1:11" x14ac:dyDescent="0.25">
      <c r="A7413" t="s">
        <v>5938</v>
      </c>
      <c r="B7413" t="s">
        <v>22</v>
      </c>
      <c r="C7413" t="s">
        <v>19</v>
      </c>
      <c r="D7413" t="s">
        <v>128</v>
      </c>
      <c r="E7413" s="2">
        <v>12.5</v>
      </c>
      <c r="F7413" s="4">
        <v>1</v>
      </c>
      <c r="G7413" s="2">
        <v>12.5</v>
      </c>
      <c r="H7413" t="s">
        <v>45</v>
      </c>
      <c r="I7413" t="s">
        <v>16</v>
      </c>
      <c r="J7413" s="1">
        <v>44763</v>
      </c>
      <c r="K7413" t="b">
        <v>1</v>
      </c>
    </row>
    <row r="7414" spans="1:11" x14ac:dyDescent="0.25">
      <c r="A7414" t="s">
        <v>3925</v>
      </c>
      <c r="B7414" t="s">
        <v>18</v>
      </c>
      <c r="C7414" t="s">
        <v>38</v>
      </c>
      <c r="D7414" t="s">
        <v>480</v>
      </c>
      <c r="E7414" s="2">
        <v>12.5</v>
      </c>
      <c r="F7414" s="4">
        <v>1</v>
      </c>
      <c r="G7414" s="2">
        <v>12.5</v>
      </c>
      <c r="H7414" t="s">
        <v>25</v>
      </c>
      <c r="I7414" t="s">
        <v>16</v>
      </c>
      <c r="J7414" s="1">
        <v>44697</v>
      </c>
      <c r="K7414" t="b">
        <v>0</v>
      </c>
    </row>
    <row r="7415" spans="1:11" x14ac:dyDescent="0.25">
      <c r="A7415" t="s">
        <v>5794</v>
      </c>
      <c r="B7415" t="s">
        <v>30</v>
      </c>
      <c r="C7415" t="s">
        <v>19</v>
      </c>
      <c r="D7415" t="s">
        <v>128</v>
      </c>
      <c r="E7415" s="2">
        <v>12.5</v>
      </c>
      <c r="F7415" s="4">
        <v>1</v>
      </c>
      <c r="G7415" s="2">
        <v>12.5</v>
      </c>
      <c r="H7415" t="s">
        <v>25</v>
      </c>
      <c r="I7415" t="s">
        <v>16</v>
      </c>
      <c r="J7415" s="1">
        <v>45117</v>
      </c>
      <c r="K7415" t="b">
        <v>1</v>
      </c>
    </row>
    <row r="7416" spans="1:11" x14ac:dyDescent="0.25">
      <c r="A7416" t="s">
        <v>5217</v>
      </c>
      <c r="B7416" t="s">
        <v>86</v>
      </c>
      <c r="C7416" t="s">
        <v>27</v>
      </c>
      <c r="D7416" t="s">
        <v>217</v>
      </c>
      <c r="E7416" s="2">
        <v>12.5</v>
      </c>
      <c r="F7416" s="4">
        <v>1</v>
      </c>
      <c r="G7416" s="2">
        <v>12.5</v>
      </c>
      <c r="H7416" t="s">
        <v>45</v>
      </c>
      <c r="I7416" t="s">
        <v>16</v>
      </c>
      <c r="J7416" s="1">
        <v>45047</v>
      </c>
      <c r="K7416" t="b">
        <v>1</v>
      </c>
    </row>
    <row r="7417" spans="1:11" x14ac:dyDescent="0.25">
      <c r="A7417" t="s">
        <v>1603</v>
      </c>
      <c r="B7417" t="s">
        <v>63</v>
      </c>
      <c r="C7417" t="s">
        <v>19</v>
      </c>
      <c r="D7417" t="s">
        <v>128</v>
      </c>
      <c r="E7417" s="2">
        <v>12.5</v>
      </c>
      <c r="F7417" s="4">
        <v>1</v>
      </c>
      <c r="G7417" s="2">
        <v>12.5</v>
      </c>
      <c r="H7417" t="s">
        <v>15</v>
      </c>
      <c r="I7417" t="s">
        <v>36</v>
      </c>
      <c r="J7417" s="1">
        <v>44817</v>
      </c>
      <c r="K7417" t="b">
        <v>0</v>
      </c>
    </row>
    <row r="7418" spans="1:11" x14ac:dyDescent="0.25">
      <c r="A7418" t="s">
        <v>777</v>
      </c>
      <c r="B7418" t="s">
        <v>26</v>
      </c>
      <c r="C7418" t="s">
        <v>31</v>
      </c>
      <c r="D7418" t="s">
        <v>32</v>
      </c>
      <c r="E7418" s="2">
        <v>12.5</v>
      </c>
      <c r="F7418" s="4">
        <v>1</v>
      </c>
      <c r="G7418" s="2">
        <v>12.5</v>
      </c>
      <c r="H7418" t="s">
        <v>25</v>
      </c>
      <c r="I7418" t="s">
        <v>16</v>
      </c>
      <c r="J7418" s="1">
        <v>45325</v>
      </c>
      <c r="K7418" t="b">
        <v>0</v>
      </c>
    </row>
    <row r="7419" spans="1:11" x14ac:dyDescent="0.25">
      <c r="A7419" t="s">
        <v>1869</v>
      </c>
      <c r="B7419" t="s">
        <v>142</v>
      </c>
      <c r="C7419" t="s">
        <v>38</v>
      </c>
      <c r="D7419" t="s">
        <v>480</v>
      </c>
      <c r="E7419" s="2">
        <v>12.5</v>
      </c>
      <c r="F7419" s="4">
        <v>1</v>
      </c>
      <c r="G7419" s="2">
        <v>12.5</v>
      </c>
      <c r="H7419" t="s">
        <v>25</v>
      </c>
      <c r="I7419" t="s">
        <v>36</v>
      </c>
      <c r="J7419" s="1">
        <v>45101</v>
      </c>
      <c r="K7419" t="b">
        <v>1</v>
      </c>
    </row>
    <row r="7420" spans="1:11" x14ac:dyDescent="0.25">
      <c r="A7420" t="s">
        <v>7396</v>
      </c>
      <c r="B7420" t="s">
        <v>56</v>
      </c>
      <c r="C7420" t="s">
        <v>38</v>
      </c>
      <c r="D7420" t="s">
        <v>480</v>
      </c>
      <c r="E7420" s="2">
        <v>12.5</v>
      </c>
      <c r="F7420" s="4">
        <v>1</v>
      </c>
      <c r="G7420" s="2">
        <v>12.5</v>
      </c>
      <c r="H7420" t="s">
        <v>45</v>
      </c>
      <c r="I7420" t="s">
        <v>16</v>
      </c>
      <c r="J7420" s="1">
        <v>44685</v>
      </c>
      <c r="K7420" t="b">
        <v>0</v>
      </c>
    </row>
    <row r="7421" spans="1:11" x14ac:dyDescent="0.25">
      <c r="A7421" t="s">
        <v>6012</v>
      </c>
      <c r="B7421" t="s">
        <v>100</v>
      </c>
      <c r="C7421" t="s">
        <v>19</v>
      </c>
      <c r="D7421" t="s">
        <v>128</v>
      </c>
      <c r="E7421" s="2">
        <v>12.5</v>
      </c>
      <c r="F7421" s="4">
        <v>1</v>
      </c>
      <c r="G7421" s="2">
        <v>12.5</v>
      </c>
      <c r="H7421" t="s">
        <v>15</v>
      </c>
      <c r="I7421" t="s">
        <v>36</v>
      </c>
      <c r="J7421" s="1">
        <v>45042</v>
      </c>
      <c r="K7421" t="b">
        <v>0</v>
      </c>
    </row>
    <row r="7422" spans="1:11" x14ac:dyDescent="0.25">
      <c r="A7422" t="s">
        <v>738</v>
      </c>
      <c r="B7422" t="s">
        <v>34</v>
      </c>
      <c r="C7422" t="s">
        <v>23</v>
      </c>
      <c r="D7422" t="s">
        <v>437</v>
      </c>
      <c r="E7422" s="2">
        <v>12.5</v>
      </c>
      <c r="F7422" s="4">
        <v>1</v>
      </c>
      <c r="G7422" s="2">
        <v>12.5</v>
      </c>
      <c r="H7422" t="s">
        <v>25</v>
      </c>
      <c r="I7422" t="s">
        <v>36</v>
      </c>
      <c r="J7422" s="1">
        <v>45641</v>
      </c>
      <c r="K7422" t="b">
        <v>1</v>
      </c>
    </row>
    <row r="7423" spans="1:11" x14ac:dyDescent="0.25">
      <c r="A7423" t="s">
        <v>338</v>
      </c>
      <c r="B7423" t="s">
        <v>56</v>
      </c>
      <c r="C7423" t="s">
        <v>110</v>
      </c>
      <c r="D7423" t="s">
        <v>234</v>
      </c>
      <c r="E7423" s="2">
        <v>12.5</v>
      </c>
      <c r="F7423" s="4">
        <v>1</v>
      </c>
      <c r="G7423" s="2">
        <v>12.5</v>
      </c>
      <c r="H7423" t="s">
        <v>15</v>
      </c>
      <c r="I7423" t="s">
        <v>36</v>
      </c>
      <c r="J7423" s="1">
        <v>45327</v>
      </c>
      <c r="K7423" t="b">
        <v>0</v>
      </c>
    </row>
    <row r="7424" spans="1:11" x14ac:dyDescent="0.25">
      <c r="A7424" t="s">
        <v>5194</v>
      </c>
      <c r="B7424" t="s">
        <v>77</v>
      </c>
      <c r="C7424" t="s">
        <v>27</v>
      </c>
      <c r="D7424" t="s">
        <v>968</v>
      </c>
      <c r="E7424" s="2">
        <v>11</v>
      </c>
      <c r="F7424" s="4">
        <v>1</v>
      </c>
      <c r="G7424" s="2">
        <v>11</v>
      </c>
      <c r="H7424" t="s">
        <v>45</v>
      </c>
      <c r="I7424" t="s">
        <v>36</v>
      </c>
      <c r="J7424" s="1">
        <v>45224</v>
      </c>
      <c r="K7424" t="b">
        <v>0</v>
      </c>
    </row>
    <row r="7425" spans="1:11" x14ac:dyDescent="0.25">
      <c r="A7425" t="s">
        <v>3567</v>
      </c>
      <c r="B7425" t="s">
        <v>85</v>
      </c>
      <c r="C7425" t="s">
        <v>23</v>
      </c>
      <c r="D7425" t="s">
        <v>410</v>
      </c>
      <c r="E7425" s="2">
        <v>11</v>
      </c>
      <c r="F7425" s="4">
        <v>1</v>
      </c>
      <c r="G7425" s="2">
        <v>11</v>
      </c>
      <c r="H7425" t="s">
        <v>45</v>
      </c>
      <c r="I7425" t="s">
        <v>36</v>
      </c>
      <c r="J7425" s="1">
        <v>44882</v>
      </c>
      <c r="K7425" t="b">
        <v>1</v>
      </c>
    </row>
    <row r="7426" spans="1:11" x14ac:dyDescent="0.25">
      <c r="A7426" t="s">
        <v>7675</v>
      </c>
      <c r="B7426" t="s">
        <v>40</v>
      </c>
      <c r="C7426" t="s">
        <v>31</v>
      </c>
      <c r="D7426" t="s">
        <v>318</v>
      </c>
      <c r="E7426" s="2">
        <v>11</v>
      </c>
      <c r="F7426" s="4">
        <v>1</v>
      </c>
      <c r="G7426" s="2">
        <v>11</v>
      </c>
      <c r="H7426" t="s">
        <v>45</v>
      </c>
      <c r="I7426" t="s">
        <v>36</v>
      </c>
      <c r="J7426" s="1">
        <v>45215</v>
      </c>
      <c r="K7426" t="b">
        <v>1</v>
      </c>
    </row>
    <row r="7427" spans="1:11" x14ac:dyDescent="0.25">
      <c r="A7427" t="s">
        <v>7265</v>
      </c>
      <c r="B7427" t="s">
        <v>85</v>
      </c>
      <c r="C7427" t="s">
        <v>13</v>
      </c>
      <c r="D7427" t="s">
        <v>471</v>
      </c>
      <c r="E7427" s="2">
        <v>11</v>
      </c>
      <c r="F7427" s="4">
        <v>1</v>
      </c>
      <c r="G7427" s="2">
        <v>11</v>
      </c>
      <c r="H7427" t="s">
        <v>25</v>
      </c>
      <c r="I7427" t="s">
        <v>16</v>
      </c>
      <c r="J7427" s="1">
        <v>45247</v>
      </c>
      <c r="K7427" t="b">
        <v>1</v>
      </c>
    </row>
    <row r="7428" spans="1:11" x14ac:dyDescent="0.25">
      <c r="A7428" t="s">
        <v>7151</v>
      </c>
      <c r="B7428" t="s">
        <v>58</v>
      </c>
      <c r="C7428" t="s">
        <v>110</v>
      </c>
      <c r="D7428" t="s">
        <v>118</v>
      </c>
      <c r="E7428" s="2">
        <v>11</v>
      </c>
      <c r="F7428" s="4">
        <v>1</v>
      </c>
      <c r="G7428" s="2">
        <v>11</v>
      </c>
      <c r="H7428" t="s">
        <v>15</v>
      </c>
      <c r="I7428" t="s">
        <v>36</v>
      </c>
      <c r="J7428" s="1">
        <v>45143</v>
      </c>
      <c r="K7428" t="b">
        <v>0</v>
      </c>
    </row>
    <row r="7429" spans="1:11" x14ac:dyDescent="0.25">
      <c r="A7429" t="s">
        <v>5440</v>
      </c>
      <c r="B7429" t="s">
        <v>100</v>
      </c>
      <c r="C7429" t="s">
        <v>38</v>
      </c>
      <c r="D7429" t="s">
        <v>193</v>
      </c>
      <c r="E7429" s="2">
        <v>11</v>
      </c>
      <c r="F7429" s="4">
        <v>1</v>
      </c>
      <c r="G7429" s="2">
        <v>11</v>
      </c>
      <c r="H7429" t="s">
        <v>15</v>
      </c>
      <c r="I7429" t="s">
        <v>16</v>
      </c>
      <c r="J7429" s="1">
        <v>45474</v>
      </c>
      <c r="K7429" t="b">
        <v>1</v>
      </c>
    </row>
    <row r="7430" spans="1:11" x14ac:dyDescent="0.25">
      <c r="A7430" t="s">
        <v>3334</v>
      </c>
      <c r="B7430" t="s">
        <v>61</v>
      </c>
      <c r="C7430" t="s">
        <v>31</v>
      </c>
      <c r="D7430" t="s">
        <v>318</v>
      </c>
      <c r="E7430" s="2">
        <v>11</v>
      </c>
      <c r="F7430" s="4">
        <v>1</v>
      </c>
      <c r="G7430" s="2">
        <v>11</v>
      </c>
      <c r="H7430" t="s">
        <v>45</v>
      </c>
      <c r="I7430" t="s">
        <v>36</v>
      </c>
      <c r="J7430" s="1">
        <v>45564</v>
      </c>
      <c r="K7430" t="b">
        <v>0</v>
      </c>
    </row>
    <row r="7431" spans="1:11" x14ac:dyDescent="0.25">
      <c r="A7431" t="s">
        <v>1661</v>
      </c>
      <c r="B7431" t="s">
        <v>85</v>
      </c>
      <c r="C7431" t="s">
        <v>38</v>
      </c>
      <c r="D7431" t="s">
        <v>193</v>
      </c>
      <c r="E7431" s="2">
        <v>11</v>
      </c>
      <c r="F7431" s="4">
        <v>1</v>
      </c>
      <c r="G7431" s="2">
        <v>11</v>
      </c>
      <c r="H7431" t="s">
        <v>45</v>
      </c>
      <c r="I7431" t="s">
        <v>36</v>
      </c>
      <c r="J7431" s="1">
        <v>45474</v>
      </c>
      <c r="K7431" t="b">
        <v>1</v>
      </c>
    </row>
    <row r="7432" spans="1:11" x14ac:dyDescent="0.25">
      <c r="A7432" t="s">
        <v>6510</v>
      </c>
      <c r="B7432" t="s">
        <v>104</v>
      </c>
      <c r="C7432" t="s">
        <v>110</v>
      </c>
      <c r="D7432" t="s">
        <v>118</v>
      </c>
      <c r="E7432" s="2">
        <v>11</v>
      </c>
      <c r="F7432" s="4">
        <v>1</v>
      </c>
      <c r="G7432" s="2">
        <v>11</v>
      </c>
      <c r="H7432" t="s">
        <v>45</v>
      </c>
      <c r="I7432" t="s">
        <v>36</v>
      </c>
      <c r="J7432" s="1">
        <v>44760</v>
      </c>
      <c r="K7432" t="b">
        <v>1</v>
      </c>
    </row>
    <row r="7433" spans="1:11" x14ac:dyDescent="0.25">
      <c r="A7433" t="s">
        <v>5317</v>
      </c>
      <c r="B7433" t="s">
        <v>61</v>
      </c>
      <c r="C7433" t="s">
        <v>59</v>
      </c>
      <c r="D7433" t="s">
        <v>347</v>
      </c>
      <c r="E7433" s="2">
        <v>11</v>
      </c>
      <c r="F7433" s="4">
        <v>1</v>
      </c>
      <c r="G7433" s="2">
        <v>11</v>
      </c>
      <c r="H7433" t="s">
        <v>15</v>
      </c>
      <c r="I7433" t="s">
        <v>36</v>
      </c>
      <c r="J7433" s="1">
        <v>44901</v>
      </c>
      <c r="K7433" t="b">
        <v>0</v>
      </c>
    </row>
    <row r="7434" spans="1:11" x14ac:dyDescent="0.25">
      <c r="A7434" t="s">
        <v>7176</v>
      </c>
      <c r="B7434" t="s">
        <v>85</v>
      </c>
      <c r="C7434" t="s">
        <v>59</v>
      </c>
      <c r="D7434" t="s">
        <v>347</v>
      </c>
      <c r="E7434" s="2">
        <v>11</v>
      </c>
      <c r="F7434" s="4">
        <v>1</v>
      </c>
      <c r="G7434" s="2">
        <v>11</v>
      </c>
      <c r="H7434" t="s">
        <v>45</v>
      </c>
      <c r="I7434" t="s">
        <v>16</v>
      </c>
      <c r="J7434" s="1">
        <v>45655</v>
      </c>
      <c r="K7434" t="b">
        <v>0</v>
      </c>
    </row>
    <row r="7435" spans="1:11" x14ac:dyDescent="0.25">
      <c r="A7435" t="s">
        <v>1247</v>
      </c>
      <c r="B7435" t="s">
        <v>85</v>
      </c>
      <c r="C7435" t="s">
        <v>38</v>
      </c>
      <c r="D7435" t="s">
        <v>193</v>
      </c>
      <c r="E7435" s="2">
        <v>11</v>
      </c>
      <c r="F7435" s="4">
        <v>1</v>
      </c>
      <c r="G7435" s="2">
        <v>11</v>
      </c>
      <c r="H7435" t="s">
        <v>45</v>
      </c>
      <c r="I7435" t="s">
        <v>36</v>
      </c>
      <c r="J7435" s="1">
        <v>45021</v>
      </c>
      <c r="K7435" t="b">
        <v>0</v>
      </c>
    </row>
    <row r="7436" spans="1:11" x14ac:dyDescent="0.25">
      <c r="A7436" t="s">
        <v>5825</v>
      </c>
      <c r="B7436" t="s">
        <v>26</v>
      </c>
      <c r="C7436" t="s">
        <v>31</v>
      </c>
      <c r="D7436" t="s">
        <v>318</v>
      </c>
      <c r="E7436" s="2">
        <v>11</v>
      </c>
      <c r="F7436" s="4">
        <v>1</v>
      </c>
      <c r="G7436" s="2">
        <v>11</v>
      </c>
      <c r="H7436" t="s">
        <v>15</v>
      </c>
      <c r="I7436" t="s">
        <v>36</v>
      </c>
      <c r="J7436" s="1">
        <v>44666</v>
      </c>
      <c r="K7436" t="b">
        <v>1</v>
      </c>
    </row>
    <row r="7437" spans="1:11" x14ac:dyDescent="0.25">
      <c r="A7437" t="s">
        <v>1857</v>
      </c>
      <c r="B7437" t="s">
        <v>22</v>
      </c>
      <c r="C7437" t="s">
        <v>59</v>
      </c>
      <c r="D7437" t="s">
        <v>347</v>
      </c>
      <c r="E7437" s="2">
        <v>11</v>
      </c>
      <c r="F7437" s="4">
        <v>1</v>
      </c>
      <c r="G7437" s="2">
        <v>11</v>
      </c>
      <c r="H7437" t="s">
        <v>45</v>
      </c>
      <c r="I7437" t="s">
        <v>16</v>
      </c>
      <c r="J7437" s="1">
        <v>44947</v>
      </c>
      <c r="K7437" t="b">
        <v>1</v>
      </c>
    </row>
    <row r="7438" spans="1:11" x14ac:dyDescent="0.25">
      <c r="A7438" t="s">
        <v>868</v>
      </c>
      <c r="B7438" t="s">
        <v>12</v>
      </c>
      <c r="C7438" t="s">
        <v>31</v>
      </c>
      <c r="D7438" t="s">
        <v>318</v>
      </c>
      <c r="E7438" s="2">
        <v>11</v>
      </c>
      <c r="F7438" s="4">
        <v>1</v>
      </c>
      <c r="G7438" s="2">
        <v>11</v>
      </c>
      <c r="H7438" t="s">
        <v>45</v>
      </c>
      <c r="I7438" t="s">
        <v>16</v>
      </c>
      <c r="J7438" s="1">
        <v>45278</v>
      </c>
      <c r="K7438" t="b">
        <v>0</v>
      </c>
    </row>
    <row r="7439" spans="1:11" x14ac:dyDescent="0.25">
      <c r="A7439" t="s">
        <v>5643</v>
      </c>
      <c r="B7439" t="s">
        <v>34</v>
      </c>
      <c r="C7439" t="s">
        <v>59</v>
      </c>
      <c r="D7439" t="s">
        <v>347</v>
      </c>
      <c r="E7439" s="2">
        <v>11</v>
      </c>
      <c r="F7439" s="4">
        <v>1</v>
      </c>
      <c r="G7439" s="2">
        <v>11</v>
      </c>
      <c r="H7439" t="s">
        <v>15</v>
      </c>
      <c r="I7439" t="s">
        <v>36</v>
      </c>
      <c r="J7439" s="1">
        <v>45263</v>
      </c>
      <c r="K7439" t="b">
        <v>0</v>
      </c>
    </row>
    <row r="7440" spans="1:11" x14ac:dyDescent="0.25">
      <c r="A7440" t="s">
        <v>5848</v>
      </c>
      <c r="B7440" t="s">
        <v>34</v>
      </c>
      <c r="C7440" t="s">
        <v>38</v>
      </c>
      <c r="D7440" t="s">
        <v>193</v>
      </c>
      <c r="E7440" s="2">
        <v>11</v>
      </c>
      <c r="F7440" s="4">
        <v>1</v>
      </c>
      <c r="G7440" s="2">
        <v>11</v>
      </c>
      <c r="H7440" t="s">
        <v>15</v>
      </c>
      <c r="I7440" t="s">
        <v>16</v>
      </c>
      <c r="J7440" s="1">
        <v>45536</v>
      </c>
      <c r="K7440" t="b">
        <v>0</v>
      </c>
    </row>
    <row r="7441" spans="1:11" x14ac:dyDescent="0.25">
      <c r="A7441" t="s">
        <v>2254</v>
      </c>
      <c r="B7441" t="s">
        <v>63</v>
      </c>
      <c r="C7441" t="s">
        <v>110</v>
      </c>
      <c r="D7441" t="s">
        <v>118</v>
      </c>
      <c r="E7441" s="2">
        <v>11</v>
      </c>
      <c r="F7441" s="4">
        <v>1</v>
      </c>
      <c r="G7441" s="2">
        <v>11</v>
      </c>
      <c r="H7441" t="s">
        <v>15</v>
      </c>
      <c r="I7441" t="s">
        <v>16</v>
      </c>
      <c r="J7441" s="1">
        <v>45425</v>
      </c>
      <c r="K7441" t="b">
        <v>0</v>
      </c>
    </row>
    <row r="7442" spans="1:11" x14ac:dyDescent="0.25">
      <c r="A7442" t="s">
        <v>5622</v>
      </c>
      <c r="B7442" t="s">
        <v>66</v>
      </c>
      <c r="C7442" t="s">
        <v>38</v>
      </c>
      <c r="D7442" t="s">
        <v>193</v>
      </c>
      <c r="E7442" s="2">
        <v>11</v>
      </c>
      <c r="F7442" s="4">
        <v>1</v>
      </c>
      <c r="G7442" s="2">
        <v>11</v>
      </c>
      <c r="H7442" t="s">
        <v>15</v>
      </c>
      <c r="I7442" t="s">
        <v>16</v>
      </c>
      <c r="J7442" s="1">
        <v>45419</v>
      </c>
      <c r="K7442" t="b">
        <v>0</v>
      </c>
    </row>
    <row r="7443" spans="1:11" x14ac:dyDescent="0.25">
      <c r="A7443" t="s">
        <v>124</v>
      </c>
      <c r="B7443" t="s">
        <v>86</v>
      </c>
      <c r="C7443" t="s">
        <v>110</v>
      </c>
      <c r="D7443" t="s">
        <v>118</v>
      </c>
      <c r="E7443" s="2">
        <v>11</v>
      </c>
      <c r="F7443" s="4">
        <v>1</v>
      </c>
      <c r="G7443" s="2">
        <v>11</v>
      </c>
      <c r="H7443" t="s">
        <v>25</v>
      </c>
      <c r="I7443" t="s">
        <v>16</v>
      </c>
      <c r="J7443" s="1">
        <v>45277</v>
      </c>
      <c r="K7443" t="b">
        <v>1</v>
      </c>
    </row>
    <row r="7444" spans="1:11" x14ac:dyDescent="0.25">
      <c r="A7444" t="s">
        <v>937</v>
      </c>
      <c r="B7444" t="s">
        <v>63</v>
      </c>
      <c r="C7444" t="s">
        <v>13</v>
      </c>
      <c r="D7444" t="s">
        <v>471</v>
      </c>
      <c r="E7444" s="2">
        <v>11</v>
      </c>
      <c r="F7444" s="4">
        <v>1</v>
      </c>
      <c r="G7444" s="2">
        <v>11</v>
      </c>
      <c r="H7444" t="s">
        <v>15</v>
      </c>
      <c r="I7444" t="s">
        <v>36</v>
      </c>
      <c r="J7444" s="1">
        <v>45654</v>
      </c>
      <c r="K7444" t="b">
        <v>1</v>
      </c>
    </row>
    <row r="7445" spans="1:11" x14ac:dyDescent="0.25">
      <c r="A7445" t="s">
        <v>2802</v>
      </c>
      <c r="B7445" t="s">
        <v>104</v>
      </c>
      <c r="C7445" t="s">
        <v>59</v>
      </c>
      <c r="D7445" t="s">
        <v>347</v>
      </c>
      <c r="E7445" s="2">
        <v>11</v>
      </c>
      <c r="F7445" s="4">
        <v>1</v>
      </c>
      <c r="G7445" s="2">
        <v>11</v>
      </c>
      <c r="H7445" t="s">
        <v>45</v>
      </c>
      <c r="I7445" t="s">
        <v>16</v>
      </c>
      <c r="J7445" s="1">
        <v>45406</v>
      </c>
      <c r="K7445" t="b">
        <v>0</v>
      </c>
    </row>
    <row r="7446" spans="1:11" x14ac:dyDescent="0.25">
      <c r="A7446" t="s">
        <v>3353</v>
      </c>
      <c r="B7446" t="s">
        <v>51</v>
      </c>
      <c r="C7446" t="s">
        <v>31</v>
      </c>
      <c r="D7446" t="s">
        <v>318</v>
      </c>
      <c r="E7446" s="2">
        <v>11</v>
      </c>
      <c r="F7446" s="4">
        <v>1</v>
      </c>
      <c r="G7446" s="2">
        <v>11</v>
      </c>
      <c r="H7446" t="s">
        <v>45</v>
      </c>
      <c r="I7446" t="s">
        <v>36</v>
      </c>
      <c r="J7446" s="1">
        <v>45443</v>
      </c>
      <c r="K7446" t="b">
        <v>0</v>
      </c>
    </row>
    <row r="7447" spans="1:11" x14ac:dyDescent="0.25">
      <c r="A7447" t="s">
        <v>2420</v>
      </c>
      <c r="B7447" t="s">
        <v>100</v>
      </c>
      <c r="C7447" t="s">
        <v>38</v>
      </c>
      <c r="D7447" t="s">
        <v>193</v>
      </c>
      <c r="E7447" s="2">
        <v>11</v>
      </c>
      <c r="F7447" s="4">
        <v>1</v>
      </c>
      <c r="G7447" s="2">
        <v>11</v>
      </c>
      <c r="H7447" t="s">
        <v>25</v>
      </c>
      <c r="I7447" t="s">
        <v>36</v>
      </c>
      <c r="J7447" s="1">
        <v>44994</v>
      </c>
      <c r="K7447" t="b">
        <v>1</v>
      </c>
    </row>
    <row r="7448" spans="1:11" x14ac:dyDescent="0.25">
      <c r="A7448" t="s">
        <v>4868</v>
      </c>
      <c r="B7448" t="s">
        <v>61</v>
      </c>
      <c r="C7448" t="s">
        <v>38</v>
      </c>
      <c r="D7448" t="s">
        <v>193</v>
      </c>
      <c r="E7448" s="2">
        <v>11</v>
      </c>
      <c r="F7448" s="4">
        <v>1</v>
      </c>
      <c r="G7448" s="2">
        <v>11</v>
      </c>
      <c r="H7448" t="s">
        <v>15</v>
      </c>
      <c r="I7448" t="s">
        <v>16</v>
      </c>
      <c r="J7448" s="1">
        <v>44660</v>
      </c>
      <c r="K7448" t="b">
        <v>0</v>
      </c>
    </row>
    <row r="7449" spans="1:11" x14ac:dyDescent="0.25">
      <c r="A7449" t="s">
        <v>7798</v>
      </c>
      <c r="B7449" t="s">
        <v>26</v>
      </c>
      <c r="C7449" t="s">
        <v>38</v>
      </c>
      <c r="D7449" t="s">
        <v>225</v>
      </c>
      <c r="E7449" s="2">
        <v>5</v>
      </c>
      <c r="F7449" s="4">
        <v>2</v>
      </c>
      <c r="G7449" s="2">
        <v>10</v>
      </c>
      <c r="H7449" t="s">
        <v>25</v>
      </c>
      <c r="I7449" t="s">
        <v>16</v>
      </c>
      <c r="J7449" s="1">
        <v>45327</v>
      </c>
      <c r="K7449" t="b">
        <v>1</v>
      </c>
    </row>
    <row r="7450" spans="1:11" x14ac:dyDescent="0.25">
      <c r="A7450" t="s">
        <v>6391</v>
      </c>
      <c r="B7450" t="s">
        <v>69</v>
      </c>
      <c r="C7450" t="s">
        <v>38</v>
      </c>
      <c r="D7450" t="s">
        <v>225</v>
      </c>
      <c r="E7450" s="2">
        <v>5</v>
      </c>
      <c r="F7450" s="4">
        <v>2</v>
      </c>
      <c r="G7450" s="2">
        <v>10</v>
      </c>
      <c r="H7450" t="s">
        <v>45</v>
      </c>
      <c r="I7450" t="s">
        <v>36</v>
      </c>
      <c r="J7450" s="1">
        <v>45635</v>
      </c>
      <c r="K7450" t="b">
        <v>1</v>
      </c>
    </row>
    <row r="7451" spans="1:11" x14ac:dyDescent="0.25">
      <c r="A7451" t="s">
        <v>878</v>
      </c>
      <c r="B7451" t="s">
        <v>77</v>
      </c>
      <c r="C7451" t="s">
        <v>19</v>
      </c>
      <c r="D7451" t="s">
        <v>219</v>
      </c>
      <c r="E7451" s="2">
        <v>5</v>
      </c>
      <c r="F7451" s="4">
        <v>2</v>
      </c>
      <c r="G7451" s="2">
        <v>10</v>
      </c>
      <c r="H7451" t="s">
        <v>45</v>
      </c>
      <c r="I7451" t="s">
        <v>16</v>
      </c>
      <c r="J7451" s="1">
        <v>44877</v>
      </c>
      <c r="K7451" t="b">
        <v>1</v>
      </c>
    </row>
    <row r="7452" spans="1:11" x14ac:dyDescent="0.25">
      <c r="A7452" t="s">
        <v>6687</v>
      </c>
      <c r="B7452" t="s">
        <v>104</v>
      </c>
      <c r="C7452" t="s">
        <v>19</v>
      </c>
      <c r="D7452" t="s">
        <v>219</v>
      </c>
      <c r="E7452" s="2">
        <v>5</v>
      </c>
      <c r="F7452" s="4">
        <v>2</v>
      </c>
      <c r="G7452" s="2">
        <v>10</v>
      </c>
      <c r="H7452" t="s">
        <v>45</v>
      </c>
      <c r="I7452" t="s">
        <v>16</v>
      </c>
      <c r="J7452" s="1">
        <v>44898</v>
      </c>
      <c r="K7452" t="b">
        <v>0</v>
      </c>
    </row>
    <row r="7453" spans="1:11" x14ac:dyDescent="0.25">
      <c r="A7453" t="s">
        <v>3020</v>
      </c>
      <c r="B7453" t="s">
        <v>97</v>
      </c>
      <c r="C7453" t="s">
        <v>13</v>
      </c>
      <c r="D7453" t="s">
        <v>146</v>
      </c>
      <c r="E7453" s="2">
        <v>5</v>
      </c>
      <c r="F7453" s="4">
        <v>2</v>
      </c>
      <c r="G7453" s="2">
        <v>10</v>
      </c>
      <c r="H7453" t="s">
        <v>25</v>
      </c>
      <c r="I7453" t="s">
        <v>16</v>
      </c>
      <c r="J7453" s="1">
        <v>44886</v>
      </c>
      <c r="K7453" t="b">
        <v>0</v>
      </c>
    </row>
    <row r="7454" spans="1:11" x14ac:dyDescent="0.25">
      <c r="A7454" t="s">
        <v>5457</v>
      </c>
      <c r="B7454" t="s">
        <v>86</v>
      </c>
      <c r="C7454" t="s">
        <v>19</v>
      </c>
      <c r="D7454" t="s">
        <v>219</v>
      </c>
      <c r="E7454" s="2">
        <v>5</v>
      </c>
      <c r="F7454" s="4">
        <v>2</v>
      </c>
      <c r="G7454" s="2">
        <v>10</v>
      </c>
      <c r="H7454" t="s">
        <v>45</v>
      </c>
      <c r="I7454" t="s">
        <v>36</v>
      </c>
      <c r="J7454" s="1">
        <v>44665</v>
      </c>
      <c r="K7454" t="b">
        <v>0</v>
      </c>
    </row>
    <row r="7455" spans="1:11" x14ac:dyDescent="0.25">
      <c r="A7455" t="s">
        <v>4785</v>
      </c>
      <c r="B7455" t="s">
        <v>66</v>
      </c>
      <c r="C7455" t="s">
        <v>59</v>
      </c>
      <c r="D7455" t="s">
        <v>279</v>
      </c>
      <c r="E7455" s="2">
        <v>5</v>
      </c>
      <c r="F7455" s="4">
        <v>2</v>
      </c>
      <c r="G7455" s="2">
        <v>10</v>
      </c>
      <c r="H7455" t="s">
        <v>25</v>
      </c>
      <c r="I7455" t="s">
        <v>36</v>
      </c>
      <c r="J7455" s="1">
        <v>45458</v>
      </c>
      <c r="K7455" t="b">
        <v>1</v>
      </c>
    </row>
    <row r="7456" spans="1:11" x14ac:dyDescent="0.25">
      <c r="A7456" t="s">
        <v>2684</v>
      </c>
      <c r="B7456" t="s">
        <v>22</v>
      </c>
      <c r="C7456" t="s">
        <v>23</v>
      </c>
      <c r="D7456" t="s">
        <v>311</v>
      </c>
      <c r="E7456" s="2">
        <v>5</v>
      </c>
      <c r="F7456" s="4">
        <v>2</v>
      </c>
      <c r="G7456" s="2">
        <v>10</v>
      </c>
      <c r="H7456" t="s">
        <v>45</v>
      </c>
      <c r="I7456" t="s">
        <v>36</v>
      </c>
      <c r="J7456" s="1">
        <v>44603</v>
      </c>
      <c r="K7456" t="b">
        <v>0</v>
      </c>
    </row>
    <row r="7457" spans="1:11" x14ac:dyDescent="0.25">
      <c r="A7457" t="s">
        <v>2771</v>
      </c>
      <c r="B7457" t="s">
        <v>104</v>
      </c>
      <c r="C7457" t="s">
        <v>19</v>
      </c>
      <c r="D7457" t="s">
        <v>219</v>
      </c>
      <c r="E7457" s="2">
        <v>5</v>
      </c>
      <c r="F7457" s="4">
        <v>2</v>
      </c>
      <c r="G7457" s="2">
        <v>10</v>
      </c>
      <c r="H7457" t="s">
        <v>25</v>
      </c>
      <c r="I7457" t="s">
        <v>36</v>
      </c>
      <c r="J7457" s="1">
        <v>45336</v>
      </c>
      <c r="K7457" t="b">
        <v>0</v>
      </c>
    </row>
    <row r="7458" spans="1:11" x14ac:dyDescent="0.25">
      <c r="A7458" t="s">
        <v>2263</v>
      </c>
      <c r="B7458" t="s">
        <v>85</v>
      </c>
      <c r="C7458" t="s">
        <v>19</v>
      </c>
      <c r="D7458" t="s">
        <v>219</v>
      </c>
      <c r="E7458" s="2">
        <v>5</v>
      </c>
      <c r="F7458" s="4">
        <v>2</v>
      </c>
      <c r="G7458" s="2">
        <v>10</v>
      </c>
      <c r="H7458" t="s">
        <v>25</v>
      </c>
      <c r="I7458" t="s">
        <v>36</v>
      </c>
      <c r="J7458" s="1">
        <v>44621</v>
      </c>
      <c r="K7458" t="b">
        <v>0</v>
      </c>
    </row>
    <row r="7459" spans="1:11" x14ac:dyDescent="0.25">
      <c r="A7459" t="s">
        <v>1123</v>
      </c>
      <c r="B7459" t="s">
        <v>58</v>
      </c>
      <c r="C7459" t="s">
        <v>19</v>
      </c>
      <c r="D7459" t="s">
        <v>219</v>
      </c>
      <c r="E7459" s="2">
        <v>5</v>
      </c>
      <c r="F7459" s="4">
        <v>2</v>
      </c>
      <c r="G7459" s="2">
        <v>10</v>
      </c>
      <c r="H7459" t="s">
        <v>25</v>
      </c>
      <c r="I7459" t="s">
        <v>16</v>
      </c>
      <c r="J7459" s="1">
        <v>44894</v>
      </c>
      <c r="K7459" t="b">
        <v>0</v>
      </c>
    </row>
    <row r="7460" spans="1:11" x14ac:dyDescent="0.25">
      <c r="A7460" t="s">
        <v>2886</v>
      </c>
      <c r="B7460" t="s">
        <v>66</v>
      </c>
      <c r="C7460" t="s">
        <v>27</v>
      </c>
      <c r="D7460" t="s">
        <v>348</v>
      </c>
      <c r="E7460" s="2">
        <v>5</v>
      </c>
      <c r="F7460" s="4">
        <v>2</v>
      </c>
      <c r="G7460" s="2">
        <v>10</v>
      </c>
      <c r="H7460" t="s">
        <v>25</v>
      </c>
      <c r="I7460" t="s">
        <v>16</v>
      </c>
      <c r="J7460" s="1">
        <v>45343</v>
      </c>
      <c r="K7460" t="b">
        <v>0</v>
      </c>
    </row>
    <row r="7461" spans="1:11" x14ac:dyDescent="0.25">
      <c r="A7461" t="s">
        <v>3054</v>
      </c>
      <c r="B7461" t="s">
        <v>72</v>
      </c>
      <c r="C7461" t="s">
        <v>59</v>
      </c>
      <c r="D7461" t="s">
        <v>279</v>
      </c>
      <c r="E7461" s="2">
        <v>5</v>
      </c>
      <c r="F7461" s="4">
        <v>2</v>
      </c>
      <c r="G7461" s="2">
        <v>10</v>
      </c>
      <c r="H7461" t="s">
        <v>15</v>
      </c>
      <c r="I7461" t="s">
        <v>16</v>
      </c>
      <c r="J7461" s="1">
        <v>45258</v>
      </c>
      <c r="K7461" t="b">
        <v>1</v>
      </c>
    </row>
    <row r="7462" spans="1:11" x14ac:dyDescent="0.25">
      <c r="A7462" t="s">
        <v>2311</v>
      </c>
      <c r="B7462" t="s">
        <v>22</v>
      </c>
      <c r="C7462" t="s">
        <v>38</v>
      </c>
      <c r="D7462" t="s">
        <v>225</v>
      </c>
      <c r="E7462" s="2">
        <v>5</v>
      </c>
      <c r="F7462" s="4">
        <v>2</v>
      </c>
      <c r="G7462" s="2">
        <v>10</v>
      </c>
      <c r="H7462" t="s">
        <v>15</v>
      </c>
      <c r="I7462" t="s">
        <v>16</v>
      </c>
      <c r="J7462" s="1">
        <v>44594</v>
      </c>
      <c r="K7462" t="b">
        <v>1</v>
      </c>
    </row>
    <row r="7463" spans="1:11" x14ac:dyDescent="0.25">
      <c r="A7463" t="s">
        <v>1167</v>
      </c>
      <c r="B7463" t="s">
        <v>93</v>
      </c>
      <c r="C7463" t="s">
        <v>19</v>
      </c>
      <c r="D7463" t="s">
        <v>219</v>
      </c>
      <c r="E7463" s="2">
        <v>5</v>
      </c>
      <c r="F7463" s="4">
        <v>2</v>
      </c>
      <c r="G7463" s="2">
        <v>10</v>
      </c>
      <c r="H7463" t="s">
        <v>25</v>
      </c>
      <c r="I7463" t="s">
        <v>36</v>
      </c>
      <c r="J7463" s="1">
        <v>45227</v>
      </c>
      <c r="K7463" t="b">
        <v>0</v>
      </c>
    </row>
    <row r="7464" spans="1:11" x14ac:dyDescent="0.25">
      <c r="A7464" t="s">
        <v>1378</v>
      </c>
      <c r="B7464" t="s">
        <v>85</v>
      </c>
      <c r="C7464" t="s">
        <v>31</v>
      </c>
      <c r="D7464" t="s">
        <v>35</v>
      </c>
      <c r="E7464" s="2">
        <v>5</v>
      </c>
      <c r="F7464" s="4">
        <v>2</v>
      </c>
      <c r="G7464" s="2">
        <v>10</v>
      </c>
      <c r="H7464" t="s">
        <v>25</v>
      </c>
      <c r="I7464" t="s">
        <v>16</v>
      </c>
      <c r="J7464" s="1">
        <v>44928</v>
      </c>
      <c r="K7464" t="b">
        <v>1</v>
      </c>
    </row>
    <row r="7465" spans="1:11" x14ac:dyDescent="0.25">
      <c r="A7465" t="s">
        <v>3669</v>
      </c>
      <c r="B7465" t="s">
        <v>86</v>
      </c>
      <c r="C7465" t="s">
        <v>19</v>
      </c>
      <c r="D7465" t="s">
        <v>219</v>
      </c>
      <c r="E7465" s="2">
        <v>5</v>
      </c>
      <c r="F7465" s="4">
        <v>2</v>
      </c>
      <c r="G7465" s="2">
        <v>10</v>
      </c>
      <c r="H7465" t="s">
        <v>15</v>
      </c>
      <c r="I7465" t="s">
        <v>36</v>
      </c>
      <c r="J7465" s="1">
        <v>44805</v>
      </c>
      <c r="K7465" t="b">
        <v>0</v>
      </c>
    </row>
    <row r="7466" spans="1:11" x14ac:dyDescent="0.25">
      <c r="A7466" t="s">
        <v>5579</v>
      </c>
      <c r="B7466" t="s">
        <v>22</v>
      </c>
      <c r="C7466" t="s">
        <v>59</v>
      </c>
      <c r="D7466" t="s">
        <v>279</v>
      </c>
      <c r="E7466" s="2">
        <v>5</v>
      </c>
      <c r="F7466" s="4">
        <v>2</v>
      </c>
      <c r="G7466" s="2">
        <v>10</v>
      </c>
      <c r="H7466" t="s">
        <v>15</v>
      </c>
      <c r="I7466" t="s">
        <v>16</v>
      </c>
      <c r="J7466" s="1">
        <v>45633</v>
      </c>
      <c r="K7466" t="b">
        <v>0</v>
      </c>
    </row>
    <row r="7467" spans="1:11" x14ac:dyDescent="0.25">
      <c r="A7467" t="s">
        <v>1564</v>
      </c>
      <c r="B7467" t="s">
        <v>26</v>
      </c>
      <c r="C7467" t="s">
        <v>13</v>
      </c>
      <c r="D7467" t="s">
        <v>146</v>
      </c>
      <c r="E7467" s="2">
        <v>5</v>
      </c>
      <c r="F7467" s="4">
        <v>2</v>
      </c>
      <c r="G7467" s="2">
        <v>10</v>
      </c>
      <c r="H7467" t="s">
        <v>45</v>
      </c>
      <c r="I7467" t="s">
        <v>36</v>
      </c>
      <c r="J7467" s="1">
        <v>44822</v>
      </c>
      <c r="K7467" t="b">
        <v>1</v>
      </c>
    </row>
    <row r="7468" spans="1:11" x14ac:dyDescent="0.25">
      <c r="A7468" t="s">
        <v>321</v>
      </c>
      <c r="B7468" t="s">
        <v>77</v>
      </c>
      <c r="C7468" t="s">
        <v>19</v>
      </c>
      <c r="D7468" t="s">
        <v>219</v>
      </c>
      <c r="E7468" s="2">
        <v>5</v>
      </c>
      <c r="F7468" s="4">
        <v>2</v>
      </c>
      <c r="G7468" s="2">
        <v>10</v>
      </c>
      <c r="H7468" t="s">
        <v>15</v>
      </c>
      <c r="I7468" t="s">
        <v>16</v>
      </c>
      <c r="J7468" s="1">
        <v>45053</v>
      </c>
      <c r="K7468" t="b">
        <v>1</v>
      </c>
    </row>
    <row r="7469" spans="1:11" x14ac:dyDescent="0.25">
      <c r="A7469" t="s">
        <v>3410</v>
      </c>
      <c r="B7469" t="s">
        <v>40</v>
      </c>
      <c r="C7469" t="s">
        <v>23</v>
      </c>
      <c r="D7469" t="s">
        <v>311</v>
      </c>
      <c r="E7469" s="2">
        <v>5</v>
      </c>
      <c r="F7469" s="4">
        <v>2</v>
      </c>
      <c r="G7469" s="2">
        <v>10</v>
      </c>
      <c r="H7469" t="s">
        <v>45</v>
      </c>
      <c r="I7469" t="s">
        <v>36</v>
      </c>
      <c r="J7469" s="1">
        <v>44563</v>
      </c>
      <c r="K7469" t="b">
        <v>0</v>
      </c>
    </row>
    <row r="7470" spans="1:11" x14ac:dyDescent="0.25">
      <c r="A7470" t="s">
        <v>7424</v>
      </c>
      <c r="B7470" t="s">
        <v>34</v>
      </c>
      <c r="C7470" t="s">
        <v>19</v>
      </c>
      <c r="D7470" t="s">
        <v>219</v>
      </c>
      <c r="E7470" s="2">
        <v>5</v>
      </c>
      <c r="F7470" s="4">
        <v>2</v>
      </c>
      <c r="G7470" s="2">
        <v>10</v>
      </c>
      <c r="H7470" t="s">
        <v>25</v>
      </c>
      <c r="I7470" t="s">
        <v>16</v>
      </c>
      <c r="J7470" s="1">
        <v>45497</v>
      </c>
      <c r="K7470" t="b">
        <v>1</v>
      </c>
    </row>
    <row r="7471" spans="1:11" x14ac:dyDescent="0.25">
      <c r="A7471" t="s">
        <v>278</v>
      </c>
      <c r="B7471" t="s">
        <v>43</v>
      </c>
      <c r="C7471" t="s">
        <v>59</v>
      </c>
      <c r="D7471" t="s">
        <v>279</v>
      </c>
      <c r="E7471" s="2">
        <v>5</v>
      </c>
      <c r="F7471" s="4">
        <v>2</v>
      </c>
      <c r="G7471" s="2">
        <v>10</v>
      </c>
      <c r="H7471" t="s">
        <v>45</v>
      </c>
      <c r="I7471" t="s">
        <v>16</v>
      </c>
      <c r="J7471" s="1">
        <v>45087</v>
      </c>
      <c r="K7471" t="b">
        <v>0</v>
      </c>
    </row>
    <row r="7472" spans="1:11" x14ac:dyDescent="0.25">
      <c r="A7472" t="s">
        <v>4405</v>
      </c>
      <c r="B7472" t="s">
        <v>61</v>
      </c>
      <c r="C7472" t="s">
        <v>13</v>
      </c>
      <c r="D7472" t="s">
        <v>146</v>
      </c>
      <c r="E7472" s="2">
        <v>5</v>
      </c>
      <c r="F7472" s="4">
        <v>2</v>
      </c>
      <c r="G7472" s="2">
        <v>10</v>
      </c>
      <c r="H7472" t="s">
        <v>45</v>
      </c>
      <c r="I7472" t="s">
        <v>36</v>
      </c>
      <c r="J7472" s="1">
        <v>45571</v>
      </c>
      <c r="K7472" t="b">
        <v>1</v>
      </c>
    </row>
    <row r="7473" spans="1:11" x14ac:dyDescent="0.25">
      <c r="A7473" t="s">
        <v>1863</v>
      </c>
      <c r="B7473" t="s">
        <v>142</v>
      </c>
      <c r="C7473" t="s">
        <v>110</v>
      </c>
      <c r="D7473" t="s">
        <v>337</v>
      </c>
      <c r="E7473" s="2">
        <v>5</v>
      </c>
      <c r="F7473" s="4">
        <v>2</v>
      </c>
      <c r="G7473" s="2">
        <v>10</v>
      </c>
      <c r="H7473" t="s">
        <v>25</v>
      </c>
      <c r="I7473" t="s">
        <v>36</v>
      </c>
      <c r="J7473" s="1">
        <v>45528</v>
      </c>
      <c r="K7473" t="b">
        <v>1</v>
      </c>
    </row>
    <row r="7474" spans="1:11" x14ac:dyDescent="0.25">
      <c r="A7474" t="s">
        <v>7045</v>
      </c>
      <c r="B7474" t="s">
        <v>77</v>
      </c>
      <c r="C7474" t="s">
        <v>13</v>
      </c>
      <c r="D7474" t="s">
        <v>146</v>
      </c>
      <c r="E7474" s="2">
        <v>5</v>
      </c>
      <c r="F7474" s="4">
        <v>2</v>
      </c>
      <c r="G7474" s="2">
        <v>10</v>
      </c>
      <c r="H7474" t="s">
        <v>45</v>
      </c>
      <c r="I7474" t="s">
        <v>16</v>
      </c>
      <c r="J7474" s="1">
        <v>44932</v>
      </c>
      <c r="K7474" t="b">
        <v>0</v>
      </c>
    </row>
    <row r="7475" spans="1:11" x14ac:dyDescent="0.25">
      <c r="A7475" t="s">
        <v>3451</v>
      </c>
      <c r="B7475" t="s">
        <v>58</v>
      </c>
      <c r="C7475" t="s">
        <v>23</v>
      </c>
      <c r="D7475" t="s">
        <v>311</v>
      </c>
      <c r="E7475" s="2">
        <v>5</v>
      </c>
      <c r="F7475" s="4">
        <v>2</v>
      </c>
      <c r="G7475" s="2">
        <v>10</v>
      </c>
      <c r="H7475" t="s">
        <v>15</v>
      </c>
      <c r="I7475" t="s">
        <v>16</v>
      </c>
      <c r="J7475" s="1">
        <v>44821</v>
      </c>
      <c r="K7475" t="b">
        <v>0</v>
      </c>
    </row>
    <row r="7476" spans="1:11" x14ac:dyDescent="0.25">
      <c r="A7476" t="s">
        <v>1512</v>
      </c>
      <c r="B7476" t="s">
        <v>34</v>
      </c>
      <c r="C7476" t="s">
        <v>13</v>
      </c>
      <c r="D7476" t="s">
        <v>171</v>
      </c>
      <c r="E7476" s="2">
        <v>9.5</v>
      </c>
      <c r="F7476" s="4">
        <v>1</v>
      </c>
      <c r="G7476" s="2">
        <v>9.5</v>
      </c>
      <c r="H7476" t="s">
        <v>15</v>
      </c>
      <c r="I7476" t="s">
        <v>16</v>
      </c>
      <c r="J7476" s="1">
        <v>45457</v>
      </c>
      <c r="K7476" t="b">
        <v>0</v>
      </c>
    </row>
    <row r="7477" spans="1:11" x14ac:dyDescent="0.25">
      <c r="A7477" t="s">
        <v>6044</v>
      </c>
      <c r="B7477" t="s">
        <v>72</v>
      </c>
      <c r="C7477" t="s">
        <v>38</v>
      </c>
      <c r="D7477" t="s">
        <v>414</v>
      </c>
      <c r="E7477" s="2">
        <v>9.5</v>
      </c>
      <c r="F7477" s="4">
        <v>1</v>
      </c>
      <c r="G7477" s="2">
        <v>9.5</v>
      </c>
      <c r="H7477" t="s">
        <v>25</v>
      </c>
      <c r="I7477" t="s">
        <v>16</v>
      </c>
      <c r="J7477" s="1">
        <v>44808</v>
      </c>
      <c r="K7477" t="b">
        <v>1</v>
      </c>
    </row>
    <row r="7478" spans="1:11" x14ac:dyDescent="0.25">
      <c r="A7478" t="s">
        <v>987</v>
      </c>
      <c r="B7478" t="s">
        <v>22</v>
      </c>
      <c r="C7478" t="s">
        <v>59</v>
      </c>
      <c r="D7478" t="s">
        <v>64</v>
      </c>
      <c r="E7478" s="2">
        <v>9.5</v>
      </c>
      <c r="F7478" s="4">
        <v>1</v>
      </c>
      <c r="G7478" s="2">
        <v>9.5</v>
      </c>
      <c r="H7478" t="s">
        <v>15</v>
      </c>
      <c r="I7478" t="s">
        <v>36</v>
      </c>
      <c r="J7478" s="1">
        <v>45522</v>
      </c>
      <c r="K7478" t="b">
        <v>0</v>
      </c>
    </row>
    <row r="7479" spans="1:11" x14ac:dyDescent="0.25">
      <c r="A7479" t="s">
        <v>683</v>
      </c>
      <c r="B7479" t="s">
        <v>61</v>
      </c>
      <c r="C7479" t="s">
        <v>19</v>
      </c>
      <c r="D7479" t="s">
        <v>174</v>
      </c>
      <c r="E7479" s="2">
        <v>9.5</v>
      </c>
      <c r="F7479" s="4">
        <v>1</v>
      </c>
      <c r="G7479" s="2">
        <v>9.5</v>
      </c>
      <c r="H7479" t="s">
        <v>25</v>
      </c>
      <c r="I7479" t="s">
        <v>36</v>
      </c>
      <c r="J7479" s="1">
        <v>45096</v>
      </c>
      <c r="K7479" t="b">
        <v>1</v>
      </c>
    </row>
    <row r="7480" spans="1:11" x14ac:dyDescent="0.25">
      <c r="A7480" t="s">
        <v>4673</v>
      </c>
      <c r="B7480" t="s">
        <v>43</v>
      </c>
      <c r="C7480" t="s">
        <v>27</v>
      </c>
      <c r="D7480" t="s">
        <v>147</v>
      </c>
      <c r="E7480" s="2">
        <v>9.5</v>
      </c>
      <c r="F7480" s="4">
        <v>1</v>
      </c>
      <c r="G7480" s="2">
        <v>9.5</v>
      </c>
      <c r="H7480" t="s">
        <v>25</v>
      </c>
      <c r="I7480" t="s">
        <v>16</v>
      </c>
      <c r="J7480" s="1">
        <v>44645</v>
      </c>
      <c r="K7480" t="b">
        <v>1</v>
      </c>
    </row>
    <row r="7481" spans="1:11" x14ac:dyDescent="0.25">
      <c r="A7481" t="s">
        <v>3644</v>
      </c>
      <c r="B7481" t="s">
        <v>142</v>
      </c>
      <c r="C7481" t="s">
        <v>38</v>
      </c>
      <c r="D7481" t="s">
        <v>414</v>
      </c>
      <c r="E7481" s="2">
        <v>9.5</v>
      </c>
      <c r="F7481" s="4">
        <v>1</v>
      </c>
      <c r="G7481" s="2">
        <v>9.5</v>
      </c>
      <c r="H7481" t="s">
        <v>45</v>
      </c>
      <c r="I7481" t="s">
        <v>36</v>
      </c>
      <c r="J7481" s="1">
        <v>44852</v>
      </c>
      <c r="K7481" t="b">
        <v>0</v>
      </c>
    </row>
    <row r="7482" spans="1:11" x14ac:dyDescent="0.25">
      <c r="A7482" t="s">
        <v>276</v>
      </c>
      <c r="B7482" t="s">
        <v>37</v>
      </c>
      <c r="C7482" t="s">
        <v>19</v>
      </c>
      <c r="D7482" t="s">
        <v>174</v>
      </c>
      <c r="E7482" s="2">
        <v>9.5</v>
      </c>
      <c r="F7482" s="4">
        <v>1</v>
      </c>
      <c r="G7482" s="2">
        <v>9.5</v>
      </c>
      <c r="H7482" t="s">
        <v>15</v>
      </c>
      <c r="I7482" t="s">
        <v>16</v>
      </c>
      <c r="J7482" s="1">
        <v>45279</v>
      </c>
      <c r="K7482" t="b">
        <v>0</v>
      </c>
    </row>
    <row r="7483" spans="1:11" x14ac:dyDescent="0.25">
      <c r="A7483" t="s">
        <v>2405</v>
      </c>
      <c r="B7483" t="s">
        <v>93</v>
      </c>
      <c r="C7483" t="s">
        <v>19</v>
      </c>
      <c r="D7483" t="s">
        <v>174</v>
      </c>
      <c r="E7483" s="2">
        <v>9.5</v>
      </c>
      <c r="F7483" s="4">
        <v>1</v>
      </c>
      <c r="G7483" s="2">
        <v>9.5</v>
      </c>
      <c r="H7483" t="s">
        <v>45</v>
      </c>
      <c r="I7483" t="s">
        <v>36</v>
      </c>
      <c r="J7483" s="1">
        <v>45629</v>
      </c>
      <c r="K7483" t="b">
        <v>1</v>
      </c>
    </row>
    <row r="7484" spans="1:11" x14ac:dyDescent="0.25">
      <c r="A7484" t="s">
        <v>5215</v>
      </c>
      <c r="B7484" t="s">
        <v>72</v>
      </c>
      <c r="C7484" t="s">
        <v>59</v>
      </c>
      <c r="D7484" t="s">
        <v>64</v>
      </c>
      <c r="E7484" s="2">
        <v>9.5</v>
      </c>
      <c r="F7484" s="4">
        <v>1</v>
      </c>
      <c r="G7484" s="2">
        <v>9.5</v>
      </c>
      <c r="H7484" t="s">
        <v>15</v>
      </c>
      <c r="I7484" t="s">
        <v>16</v>
      </c>
      <c r="J7484" s="1">
        <v>45623</v>
      </c>
      <c r="K7484" t="b">
        <v>1</v>
      </c>
    </row>
    <row r="7485" spans="1:11" x14ac:dyDescent="0.25">
      <c r="A7485" t="s">
        <v>2930</v>
      </c>
      <c r="B7485" t="s">
        <v>40</v>
      </c>
      <c r="C7485" t="s">
        <v>19</v>
      </c>
      <c r="D7485" t="s">
        <v>174</v>
      </c>
      <c r="E7485" s="2">
        <v>9.5</v>
      </c>
      <c r="F7485" s="4">
        <v>1</v>
      </c>
      <c r="G7485" s="2">
        <v>9.5</v>
      </c>
      <c r="H7485" t="s">
        <v>15</v>
      </c>
      <c r="I7485" t="s">
        <v>36</v>
      </c>
      <c r="J7485" s="1">
        <v>44765</v>
      </c>
      <c r="K7485" t="b">
        <v>0</v>
      </c>
    </row>
    <row r="7486" spans="1:11" x14ac:dyDescent="0.25">
      <c r="A7486" t="s">
        <v>6037</v>
      </c>
      <c r="B7486" t="s">
        <v>86</v>
      </c>
      <c r="C7486" t="s">
        <v>19</v>
      </c>
      <c r="D7486" t="s">
        <v>174</v>
      </c>
      <c r="E7486" s="2">
        <v>9.5</v>
      </c>
      <c r="F7486" s="4">
        <v>1</v>
      </c>
      <c r="G7486" s="2">
        <v>9.5</v>
      </c>
      <c r="H7486" t="s">
        <v>25</v>
      </c>
      <c r="I7486" t="s">
        <v>36</v>
      </c>
      <c r="J7486" s="1">
        <v>44887</v>
      </c>
      <c r="K7486" t="b">
        <v>1</v>
      </c>
    </row>
    <row r="7487" spans="1:11" x14ac:dyDescent="0.25">
      <c r="A7487" t="s">
        <v>4316</v>
      </c>
      <c r="B7487" t="s">
        <v>56</v>
      </c>
      <c r="C7487" t="s">
        <v>19</v>
      </c>
      <c r="D7487" t="s">
        <v>174</v>
      </c>
      <c r="E7487" s="2">
        <v>9.5</v>
      </c>
      <c r="F7487" s="4">
        <v>1</v>
      </c>
      <c r="G7487" s="2">
        <v>9.5</v>
      </c>
      <c r="H7487" t="s">
        <v>15</v>
      </c>
      <c r="I7487" t="s">
        <v>16</v>
      </c>
      <c r="J7487" s="1">
        <v>44848</v>
      </c>
      <c r="K7487" t="b">
        <v>1</v>
      </c>
    </row>
    <row r="7488" spans="1:11" x14ac:dyDescent="0.25">
      <c r="A7488" t="s">
        <v>2375</v>
      </c>
      <c r="B7488" t="s">
        <v>34</v>
      </c>
      <c r="C7488" t="s">
        <v>27</v>
      </c>
      <c r="D7488" t="s">
        <v>147</v>
      </c>
      <c r="E7488" s="2">
        <v>9.5</v>
      </c>
      <c r="F7488" s="4">
        <v>1</v>
      </c>
      <c r="G7488" s="2">
        <v>9.5</v>
      </c>
      <c r="H7488" t="s">
        <v>45</v>
      </c>
      <c r="I7488" t="s">
        <v>36</v>
      </c>
      <c r="J7488" s="1">
        <v>45448</v>
      </c>
      <c r="K7488" t="b">
        <v>0</v>
      </c>
    </row>
    <row r="7489" spans="1:11" x14ac:dyDescent="0.25">
      <c r="A7489" t="s">
        <v>7140</v>
      </c>
      <c r="B7489" t="s">
        <v>63</v>
      </c>
      <c r="C7489" t="s">
        <v>110</v>
      </c>
      <c r="D7489" t="s">
        <v>304</v>
      </c>
      <c r="E7489" s="2">
        <v>9.5</v>
      </c>
      <c r="F7489" s="4">
        <v>1</v>
      </c>
      <c r="G7489" s="2">
        <v>9.5</v>
      </c>
      <c r="H7489" t="s">
        <v>25</v>
      </c>
      <c r="I7489" t="s">
        <v>16</v>
      </c>
      <c r="J7489" s="1">
        <v>45373</v>
      </c>
      <c r="K7489" t="b">
        <v>0</v>
      </c>
    </row>
    <row r="7490" spans="1:11" x14ac:dyDescent="0.25">
      <c r="A7490" t="s">
        <v>3497</v>
      </c>
      <c r="B7490" t="s">
        <v>72</v>
      </c>
      <c r="C7490" t="s">
        <v>13</v>
      </c>
      <c r="D7490" t="s">
        <v>171</v>
      </c>
      <c r="E7490" s="2">
        <v>9.5</v>
      </c>
      <c r="F7490" s="4">
        <v>1</v>
      </c>
      <c r="G7490" s="2">
        <v>9.5</v>
      </c>
      <c r="H7490" t="s">
        <v>25</v>
      </c>
      <c r="I7490" t="s">
        <v>16</v>
      </c>
      <c r="J7490" s="1">
        <v>44666</v>
      </c>
      <c r="K7490" t="b">
        <v>0</v>
      </c>
    </row>
    <row r="7491" spans="1:11" x14ac:dyDescent="0.25">
      <c r="A7491" t="s">
        <v>3212</v>
      </c>
      <c r="B7491" t="s">
        <v>77</v>
      </c>
      <c r="C7491" t="s">
        <v>23</v>
      </c>
      <c r="D7491" t="s">
        <v>810</v>
      </c>
      <c r="E7491" s="2">
        <v>9.5</v>
      </c>
      <c r="F7491" s="4">
        <v>1</v>
      </c>
      <c r="G7491" s="2">
        <v>9.5</v>
      </c>
      <c r="H7491" t="s">
        <v>25</v>
      </c>
      <c r="I7491" t="s">
        <v>16</v>
      </c>
      <c r="J7491" s="1">
        <v>44648</v>
      </c>
      <c r="K7491" t="b">
        <v>1</v>
      </c>
    </row>
    <row r="7492" spans="1:11" x14ac:dyDescent="0.25">
      <c r="A7492" t="s">
        <v>7540</v>
      </c>
      <c r="B7492" t="s">
        <v>97</v>
      </c>
      <c r="C7492" t="s">
        <v>59</v>
      </c>
      <c r="D7492" t="s">
        <v>64</v>
      </c>
      <c r="E7492" s="2">
        <v>9.5</v>
      </c>
      <c r="F7492" s="4">
        <v>1</v>
      </c>
      <c r="G7492" s="2">
        <v>9.5</v>
      </c>
      <c r="H7492" t="s">
        <v>15</v>
      </c>
      <c r="I7492" t="s">
        <v>36</v>
      </c>
      <c r="J7492" s="1">
        <v>44759</v>
      </c>
      <c r="K7492" t="b">
        <v>0</v>
      </c>
    </row>
    <row r="7493" spans="1:11" x14ac:dyDescent="0.25">
      <c r="A7493" t="s">
        <v>5920</v>
      </c>
      <c r="B7493" t="s">
        <v>100</v>
      </c>
      <c r="C7493" t="s">
        <v>59</v>
      </c>
      <c r="D7493" t="s">
        <v>64</v>
      </c>
      <c r="E7493" s="2">
        <v>9.5</v>
      </c>
      <c r="F7493" s="4">
        <v>1</v>
      </c>
      <c r="G7493" s="2">
        <v>9.5</v>
      </c>
      <c r="H7493" t="s">
        <v>15</v>
      </c>
      <c r="I7493" t="s">
        <v>16</v>
      </c>
      <c r="J7493" s="1">
        <v>45489</v>
      </c>
      <c r="K7493" t="b">
        <v>0</v>
      </c>
    </row>
    <row r="7494" spans="1:11" x14ac:dyDescent="0.25">
      <c r="A7494" t="s">
        <v>2446</v>
      </c>
      <c r="B7494" t="s">
        <v>97</v>
      </c>
      <c r="C7494" t="s">
        <v>23</v>
      </c>
      <c r="D7494" t="s">
        <v>810</v>
      </c>
      <c r="E7494" s="2">
        <v>9.5</v>
      </c>
      <c r="F7494" s="4">
        <v>1</v>
      </c>
      <c r="G7494" s="2">
        <v>9.5</v>
      </c>
      <c r="H7494" t="s">
        <v>15</v>
      </c>
      <c r="I7494" t="s">
        <v>16</v>
      </c>
      <c r="J7494" s="1">
        <v>44640</v>
      </c>
      <c r="K7494" t="b">
        <v>1</v>
      </c>
    </row>
    <row r="7495" spans="1:11" x14ac:dyDescent="0.25">
      <c r="A7495" t="s">
        <v>3329</v>
      </c>
      <c r="B7495" t="s">
        <v>26</v>
      </c>
      <c r="C7495" t="s">
        <v>13</v>
      </c>
      <c r="D7495" t="s">
        <v>171</v>
      </c>
      <c r="E7495" s="2">
        <v>9.5</v>
      </c>
      <c r="F7495" s="4">
        <v>1</v>
      </c>
      <c r="G7495" s="2">
        <v>9.5</v>
      </c>
      <c r="H7495" t="s">
        <v>15</v>
      </c>
      <c r="I7495" t="s">
        <v>36</v>
      </c>
      <c r="J7495" s="1">
        <v>45582</v>
      </c>
      <c r="K7495" t="b">
        <v>1</v>
      </c>
    </row>
    <row r="7496" spans="1:11" x14ac:dyDescent="0.25">
      <c r="A7496" t="s">
        <v>2191</v>
      </c>
      <c r="B7496" t="s">
        <v>86</v>
      </c>
      <c r="C7496" t="s">
        <v>31</v>
      </c>
      <c r="D7496" t="s">
        <v>168</v>
      </c>
      <c r="E7496" s="2">
        <v>9.5</v>
      </c>
      <c r="F7496" s="4">
        <v>1</v>
      </c>
      <c r="G7496" s="2">
        <v>9.5</v>
      </c>
      <c r="H7496" t="s">
        <v>25</v>
      </c>
      <c r="I7496" t="s">
        <v>16</v>
      </c>
      <c r="J7496" s="1">
        <v>45591</v>
      </c>
      <c r="K7496" t="b">
        <v>0</v>
      </c>
    </row>
    <row r="7497" spans="1:11" x14ac:dyDescent="0.25">
      <c r="A7497" t="s">
        <v>4262</v>
      </c>
      <c r="B7497" t="s">
        <v>26</v>
      </c>
      <c r="C7497" t="s">
        <v>23</v>
      </c>
      <c r="D7497" t="s">
        <v>810</v>
      </c>
      <c r="E7497" s="2">
        <v>9.5</v>
      </c>
      <c r="F7497" s="4">
        <v>1</v>
      </c>
      <c r="G7497" s="2">
        <v>9.5</v>
      </c>
      <c r="H7497" t="s">
        <v>15</v>
      </c>
      <c r="I7497" t="s">
        <v>16</v>
      </c>
      <c r="J7497" s="1">
        <v>45066</v>
      </c>
      <c r="K7497" t="b">
        <v>1</v>
      </c>
    </row>
    <row r="7498" spans="1:11" x14ac:dyDescent="0.25">
      <c r="A7498" t="s">
        <v>3864</v>
      </c>
      <c r="B7498" t="s">
        <v>66</v>
      </c>
      <c r="C7498" t="s">
        <v>38</v>
      </c>
      <c r="D7498" t="s">
        <v>414</v>
      </c>
      <c r="E7498" s="2">
        <v>9.5</v>
      </c>
      <c r="F7498" s="4">
        <v>1</v>
      </c>
      <c r="G7498" s="2">
        <v>9.5</v>
      </c>
      <c r="H7498" t="s">
        <v>45</v>
      </c>
      <c r="I7498" t="s">
        <v>36</v>
      </c>
      <c r="J7498" s="1">
        <v>45279</v>
      </c>
      <c r="K7498" t="b">
        <v>1</v>
      </c>
    </row>
    <row r="7499" spans="1:11" x14ac:dyDescent="0.25">
      <c r="A7499" t="s">
        <v>3343</v>
      </c>
      <c r="B7499" t="s">
        <v>66</v>
      </c>
      <c r="C7499" t="s">
        <v>59</v>
      </c>
      <c r="D7499" t="s">
        <v>64</v>
      </c>
      <c r="E7499" s="2">
        <v>9.5</v>
      </c>
      <c r="F7499" s="4">
        <v>1</v>
      </c>
      <c r="G7499" s="2">
        <v>9.5</v>
      </c>
      <c r="H7499" t="s">
        <v>45</v>
      </c>
      <c r="I7499" t="s">
        <v>16</v>
      </c>
      <c r="J7499" s="1">
        <v>45396</v>
      </c>
      <c r="K7499" t="b">
        <v>1</v>
      </c>
    </row>
    <row r="7500" spans="1:11" x14ac:dyDescent="0.25">
      <c r="A7500" t="s">
        <v>1779</v>
      </c>
      <c r="B7500" t="s">
        <v>104</v>
      </c>
      <c r="C7500" t="s">
        <v>31</v>
      </c>
      <c r="D7500" t="s">
        <v>106</v>
      </c>
      <c r="E7500" s="2">
        <v>8</v>
      </c>
      <c r="F7500" s="4">
        <v>1</v>
      </c>
      <c r="G7500" s="2">
        <v>8</v>
      </c>
      <c r="H7500" t="s">
        <v>15</v>
      </c>
      <c r="I7500" t="s">
        <v>16</v>
      </c>
      <c r="J7500" s="1">
        <v>44734</v>
      </c>
      <c r="K7500" t="b">
        <v>0</v>
      </c>
    </row>
    <row r="7501" spans="1:11" x14ac:dyDescent="0.25">
      <c r="A7501" t="s">
        <v>4825</v>
      </c>
      <c r="B7501" t="s">
        <v>100</v>
      </c>
      <c r="C7501" t="s">
        <v>19</v>
      </c>
      <c r="D7501" t="s">
        <v>226</v>
      </c>
      <c r="E7501" s="2">
        <v>8</v>
      </c>
      <c r="F7501" s="4">
        <v>1</v>
      </c>
      <c r="G7501" s="2">
        <v>8</v>
      </c>
      <c r="H7501" t="s">
        <v>15</v>
      </c>
      <c r="I7501" t="s">
        <v>36</v>
      </c>
      <c r="J7501" s="1">
        <v>45110</v>
      </c>
      <c r="K7501" t="b">
        <v>0</v>
      </c>
    </row>
    <row r="7502" spans="1:11" x14ac:dyDescent="0.25">
      <c r="A7502" t="s">
        <v>5869</v>
      </c>
      <c r="B7502" t="s">
        <v>18</v>
      </c>
      <c r="C7502" t="s">
        <v>31</v>
      </c>
      <c r="D7502" t="s">
        <v>106</v>
      </c>
      <c r="E7502" s="2">
        <v>8</v>
      </c>
      <c r="F7502" s="4">
        <v>1</v>
      </c>
      <c r="G7502" s="2">
        <v>8</v>
      </c>
      <c r="H7502" t="s">
        <v>25</v>
      </c>
      <c r="I7502" t="s">
        <v>36</v>
      </c>
      <c r="J7502" s="1">
        <v>45451</v>
      </c>
      <c r="K7502" t="b">
        <v>1</v>
      </c>
    </row>
    <row r="7503" spans="1:11" x14ac:dyDescent="0.25">
      <c r="A7503" t="s">
        <v>5863</v>
      </c>
      <c r="B7503" t="s">
        <v>58</v>
      </c>
      <c r="C7503" t="s">
        <v>59</v>
      </c>
      <c r="D7503" t="s">
        <v>1845</v>
      </c>
      <c r="E7503" s="2">
        <v>8</v>
      </c>
      <c r="F7503" s="4">
        <v>1</v>
      </c>
      <c r="G7503" s="2">
        <v>8</v>
      </c>
      <c r="H7503" t="s">
        <v>25</v>
      </c>
      <c r="I7503" t="s">
        <v>36</v>
      </c>
      <c r="J7503" s="1">
        <v>44964</v>
      </c>
      <c r="K7503" t="b">
        <v>1</v>
      </c>
    </row>
    <row r="7504" spans="1:11" x14ac:dyDescent="0.25">
      <c r="A7504" t="s">
        <v>1232</v>
      </c>
      <c r="B7504" t="s">
        <v>43</v>
      </c>
      <c r="C7504" t="s">
        <v>19</v>
      </c>
      <c r="D7504" t="s">
        <v>226</v>
      </c>
      <c r="E7504" s="2">
        <v>8</v>
      </c>
      <c r="F7504" s="4">
        <v>1</v>
      </c>
      <c r="G7504" s="2">
        <v>8</v>
      </c>
      <c r="H7504" t="s">
        <v>25</v>
      </c>
      <c r="I7504" t="s">
        <v>36</v>
      </c>
      <c r="J7504" s="1">
        <v>44568</v>
      </c>
      <c r="K7504" t="b">
        <v>1</v>
      </c>
    </row>
    <row r="7505" spans="1:11" x14ac:dyDescent="0.25">
      <c r="A7505" t="s">
        <v>3537</v>
      </c>
      <c r="B7505" t="s">
        <v>34</v>
      </c>
      <c r="C7505" t="s">
        <v>27</v>
      </c>
      <c r="D7505" t="s">
        <v>357</v>
      </c>
      <c r="E7505" s="2">
        <v>8</v>
      </c>
      <c r="F7505" s="4">
        <v>1</v>
      </c>
      <c r="G7505" s="2">
        <v>8</v>
      </c>
      <c r="H7505" t="s">
        <v>45</v>
      </c>
      <c r="I7505" t="s">
        <v>36</v>
      </c>
      <c r="J7505" s="1">
        <v>45608</v>
      </c>
      <c r="K7505" t="b">
        <v>1</v>
      </c>
    </row>
    <row r="7506" spans="1:11" x14ac:dyDescent="0.25">
      <c r="A7506" t="s">
        <v>5973</v>
      </c>
      <c r="B7506" t="s">
        <v>56</v>
      </c>
      <c r="C7506" t="s">
        <v>23</v>
      </c>
      <c r="D7506" t="s">
        <v>47</v>
      </c>
      <c r="E7506" s="2">
        <v>8</v>
      </c>
      <c r="F7506" s="4">
        <v>1</v>
      </c>
      <c r="G7506" s="2">
        <v>8</v>
      </c>
      <c r="H7506" t="s">
        <v>45</v>
      </c>
      <c r="I7506" t="s">
        <v>36</v>
      </c>
      <c r="J7506" s="1">
        <v>44791</v>
      </c>
      <c r="K7506" t="b">
        <v>1</v>
      </c>
    </row>
    <row r="7507" spans="1:11" x14ac:dyDescent="0.25">
      <c r="A7507" t="s">
        <v>6925</v>
      </c>
      <c r="B7507" t="s">
        <v>93</v>
      </c>
      <c r="C7507" t="s">
        <v>31</v>
      </c>
      <c r="D7507" t="s">
        <v>106</v>
      </c>
      <c r="E7507" s="2">
        <v>8</v>
      </c>
      <c r="F7507" s="4">
        <v>1</v>
      </c>
      <c r="G7507" s="2">
        <v>8</v>
      </c>
      <c r="H7507" t="s">
        <v>45</v>
      </c>
      <c r="I7507" t="s">
        <v>36</v>
      </c>
      <c r="J7507" s="1">
        <v>44675</v>
      </c>
      <c r="K7507" t="b">
        <v>1</v>
      </c>
    </row>
    <row r="7508" spans="1:11" x14ac:dyDescent="0.25">
      <c r="A7508" t="s">
        <v>7208</v>
      </c>
      <c r="B7508" t="s">
        <v>97</v>
      </c>
      <c r="C7508" t="s">
        <v>19</v>
      </c>
      <c r="D7508" t="s">
        <v>226</v>
      </c>
      <c r="E7508" s="2">
        <v>8</v>
      </c>
      <c r="F7508" s="4">
        <v>1</v>
      </c>
      <c r="G7508" s="2">
        <v>8</v>
      </c>
      <c r="H7508" t="s">
        <v>25</v>
      </c>
      <c r="I7508" t="s">
        <v>36</v>
      </c>
      <c r="J7508" s="1">
        <v>45275</v>
      </c>
      <c r="K7508" t="b">
        <v>1</v>
      </c>
    </row>
    <row r="7509" spans="1:11" x14ac:dyDescent="0.25">
      <c r="A7509" t="s">
        <v>830</v>
      </c>
      <c r="B7509" t="s">
        <v>77</v>
      </c>
      <c r="C7509" t="s">
        <v>19</v>
      </c>
      <c r="D7509" t="s">
        <v>226</v>
      </c>
      <c r="E7509" s="2">
        <v>8</v>
      </c>
      <c r="F7509" s="4">
        <v>1</v>
      </c>
      <c r="G7509" s="2">
        <v>8</v>
      </c>
      <c r="H7509" t="s">
        <v>45</v>
      </c>
      <c r="I7509" t="s">
        <v>36</v>
      </c>
      <c r="J7509" s="1">
        <v>44713</v>
      </c>
      <c r="K7509" t="b">
        <v>1</v>
      </c>
    </row>
    <row r="7510" spans="1:11" x14ac:dyDescent="0.25">
      <c r="A7510" t="s">
        <v>4137</v>
      </c>
      <c r="B7510" t="s">
        <v>34</v>
      </c>
      <c r="C7510" t="s">
        <v>23</v>
      </c>
      <c r="D7510" t="s">
        <v>47</v>
      </c>
      <c r="E7510" s="2">
        <v>8</v>
      </c>
      <c r="F7510" s="4">
        <v>1</v>
      </c>
      <c r="G7510" s="2">
        <v>8</v>
      </c>
      <c r="H7510" t="s">
        <v>45</v>
      </c>
      <c r="I7510" t="s">
        <v>36</v>
      </c>
      <c r="J7510" s="1">
        <v>44698</v>
      </c>
      <c r="K7510" t="b">
        <v>1</v>
      </c>
    </row>
    <row r="7511" spans="1:11" x14ac:dyDescent="0.25">
      <c r="A7511" t="s">
        <v>7419</v>
      </c>
      <c r="B7511" t="s">
        <v>142</v>
      </c>
      <c r="C7511" t="s">
        <v>27</v>
      </c>
      <c r="D7511" t="s">
        <v>357</v>
      </c>
      <c r="E7511" s="2">
        <v>8</v>
      </c>
      <c r="F7511" s="4">
        <v>1</v>
      </c>
      <c r="G7511" s="2">
        <v>8</v>
      </c>
      <c r="H7511" t="s">
        <v>45</v>
      </c>
      <c r="I7511" t="s">
        <v>36</v>
      </c>
      <c r="J7511" s="1">
        <v>44935</v>
      </c>
      <c r="K7511" t="b">
        <v>0</v>
      </c>
    </row>
    <row r="7512" spans="1:11" x14ac:dyDescent="0.25">
      <c r="A7512" t="s">
        <v>5653</v>
      </c>
      <c r="B7512" t="s">
        <v>61</v>
      </c>
      <c r="C7512" t="s">
        <v>19</v>
      </c>
      <c r="D7512" t="s">
        <v>226</v>
      </c>
      <c r="E7512" s="2">
        <v>8</v>
      </c>
      <c r="F7512" s="4">
        <v>1</v>
      </c>
      <c r="G7512" s="2">
        <v>8</v>
      </c>
      <c r="H7512" t="s">
        <v>45</v>
      </c>
      <c r="I7512" t="s">
        <v>36</v>
      </c>
      <c r="J7512" s="1">
        <v>45617</v>
      </c>
      <c r="K7512" t="b">
        <v>0</v>
      </c>
    </row>
    <row r="7513" spans="1:11" x14ac:dyDescent="0.25">
      <c r="A7513" t="s">
        <v>2510</v>
      </c>
      <c r="B7513" t="s">
        <v>37</v>
      </c>
      <c r="C7513" t="s">
        <v>19</v>
      </c>
      <c r="D7513" t="s">
        <v>226</v>
      </c>
      <c r="E7513" s="2">
        <v>8</v>
      </c>
      <c r="F7513" s="4">
        <v>1</v>
      </c>
      <c r="G7513" s="2">
        <v>8</v>
      </c>
      <c r="H7513" t="s">
        <v>45</v>
      </c>
      <c r="I7513" t="s">
        <v>36</v>
      </c>
      <c r="J7513" s="1">
        <v>45487</v>
      </c>
      <c r="K7513" t="b">
        <v>1</v>
      </c>
    </row>
    <row r="7514" spans="1:11" x14ac:dyDescent="0.25">
      <c r="A7514" t="s">
        <v>5011</v>
      </c>
      <c r="B7514" t="s">
        <v>43</v>
      </c>
      <c r="C7514" t="s">
        <v>38</v>
      </c>
      <c r="D7514" t="s">
        <v>697</v>
      </c>
      <c r="E7514" s="2">
        <v>8</v>
      </c>
      <c r="F7514" s="4">
        <v>1</v>
      </c>
      <c r="G7514" s="2">
        <v>8</v>
      </c>
      <c r="H7514" t="s">
        <v>15</v>
      </c>
      <c r="I7514" t="s">
        <v>16</v>
      </c>
      <c r="J7514" s="1">
        <v>45314</v>
      </c>
      <c r="K7514" t="b">
        <v>1</v>
      </c>
    </row>
    <row r="7515" spans="1:11" x14ac:dyDescent="0.25">
      <c r="A7515" t="s">
        <v>4319</v>
      </c>
      <c r="B7515" t="s">
        <v>40</v>
      </c>
      <c r="C7515" t="s">
        <v>19</v>
      </c>
      <c r="D7515" t="s">
        <v>226</v>
      </c>
      <c r="E7515" s="2">
        <v>8</v>
      </c>
      <c r="F7515" s="4">
        <v>1</v>
      </c>
      <c r="G7515" s="2">
        <v>8</v>
      </c>
      <c r="H7515" t="s">
        <v>25</v>
      </c>
      <c r="I7515" t="s">
        <v>36</v>
      </c>
      <c r="J7515" s="1">
        <v>44575</v>
      </c>
      <c r="K7515" t="b">
        <v>1</v>
      </c>
    </row>
    <row r="7516" spans="1:11" x14ac:dyDescent="0.25">
      <c r="A7516" t="s">
        <v>4765</v>
      </c>
      <c r="B7516" t="s">
        <v>72</v>
      </c>
      <c r="C7516" t="s">
        <v>19</v>
      </c>
      <c r="D7516" t="s">
        <v>226</v>
      </c>
      <c r="E7516" s="2">
        <v>8</v>
      </c>
      <c r="F7516" s="4">
        <v>1</v>
      </c>
      <c r="G7516" s="2">
        <v>8</v>
      </c>
      <c r="H7516" t="s">
        <v>45</v>
      </c>
      <c r="I7516" t="s">
        <v>16</v>
      </c>
      <c r="J7516" s="1">
        <v>45316</v>
      </c>
      <c r="K7516" t="b">
        <v>1</v>
      </c>
    </row>
    <row r="7517" spans="1:11" x14ac:dyDescent="0.25">
      <c r="A7517" t="s">
        <v>5393</v>
      </c>
      <c r="B7517" t="s">
        <v>63</v>
      </c>
      <c r="C7517" t="s">
        <v>38</v>
      </c>
      <c r="D7517" t="s">
        <v>697</v>
      </c>
      <c r="E7517" s="2">
        <v>8</v>
      </c>
      <c r="F7517" s="4">
        <v>1</v>
      </c>
      <c r="G7517" s="2">
        <v>8</v>
      </c>
      <c r="H7517" t="s">
        <v>15</v>
      </c>
      <c r="I7517" t="s">
        <v>16</v>
      </c>
      <c r="J7517" s="1">
        <v>45368</v>
      </c>
      <c r="K7517" t="b">
        <v>0</v>
      </c>
    </row>
    <row r="7518" spans="1:11" x14ac:dyDescent="0.25">
      <c r="A7518" t="s">
        <v>7030</v>
      </c>
      <c r="B7518" t="s">
        <v>56</v>
      </c>
      <c r="C7518" t="s">
        <v>27</v>
      </c>
      <c r="D7518" t="s">
        <v>357</v>
      </c>
      <c r="E7518" s="2">
        <v>8</v>
      </c>
      <c r="F7518" s="4">
        <v>1</v>
      </c>
      <c r="G7518" s="2">
        <v>8</v>
      </c>
      <c r="H7518" t="s">
        <v>15</v>
      </c>
      <c r="I7518" t="s">
        <v>36</v>
      </c>
      <c r="J7518" s="1">
        <v>45020</v>
      </c>
      <c r="K7518" t="b">
        <v>1</v>
      </c>
    </row>
    <row r="7519" spans="1:11" x14ac:dyDescent="0.25">
      <c r="A7519" t="s">
        <v>4760</v>
      </c>
      <c r="B7519" t="s">
        <v>37</v>
      </c>
      <c r="C7519" t="s">
        <v>23</v>
      </c>
      <c r="D7519" t="s">
        <v>47</v>
      </c>
      <c r="E7519" s="2">
        <v>8</v>
      </c>
      <c r="F7519" s="4">
        <v>1</v>
      </c>
      <c r="G7519" s="2">
        <v>8</v>
      </c>
      <c r="H7519" t="s">
        <v>25</v>
      </c>
      <c r="I7519" t="s">
        <v>16</v>
      </c>
      <c r="J7519" s="1">
        <v>45287</v>
      </c>
      <c r="K7519" t="b">
        <v>1</v>
      </c>
    </row>
    <row r="7520" spans="1:11" x14ac:dyDescent="0.25">
      <c r="A7520" t="s">
        <v>4376</v>
      </c>
      <c r="B7520" t="s">
        <v>142</v>
      </c>
      <c r="C7520" t="s">
        <v>19</v>
      </c>
      <c r="D7520" t="s">
        <v>226</v>
      </c>
      <c r="E7520" s="2">
        <v>8</v>
      </c>
      <c r="F7520" s="4">
        <v>1</v>
      </c>
      <c r="G7520" s="2">
        <v>8</v>
      </c>
      <c r="H7520" t="s">
        <v>45</v>
      </c>
      <c r="I7520" t="s">
        <v>36</v>
      </c>
      <c r="J7520" s="1">
        <v>45207</v>
      </c>
      <c r="K7520" t="b">
        <v>0</v>
      </c>
    </row>
    <row r="7521" spans="1:11" x14ac:dyDescent="0.25">
      <c r="A7521" t="s">
        <v>3921</v>
      </c>
      <c r="B7521" t="s">
        <v>69</v>
      </c>
      <c r="C7521" t="s">
        <v>13</v>
      </c>
      <c r="D7521" t="s">
        <v>969</v>
      </c>
      <c r="E7521" s="2">
        <v>8</v>
      </c>
      <c r="F7521" s="4">
        <v>1</v>
      </c>
      <c r="G7521" s="2">
        <v>8</v>
      </c>
      <c r="H7521" t="s">
        <v>15</v>
      </c>
      <c r="I7521" t="s">
        <v>36</v>
      </c>
      <c r="J7521" s="1">
        <v>45222</v>
      </c>
      <c r="K7521" t="b">
        <v>1</v>
      </c>
    </row>
    <row r="7522" spans="1:11" x14ac:dyDescent="0.25">
      <c r="A7522" t="s">
        <v>7480</v>
      </c>
      <c r="B7522" t="s">
        <v>69</v>
      </c>
      <c r="C7522" t="s">
        <v>23</v>
      </c>
      <c r="D7522" t="s">
        <v>47</v>
      </c>
      <c r="E7522" s="2">
        <v>8</v>
      </c>
      <c r="F7522" s="4">
        <v>1</v>
      </c>
      <c r="G7522" s="2">
        <v>8</v>
      </c>
      <c r="H7522" t="s">
        <v>15</v>
      </c>
      <c r="I7522" t="s">
        <v>36</v>
      </c>
      <c r="J7522" s="1">
        <v>44975</v>
      </c>
      <c r="K7522" t="b">
        <v>0</v>
      </c>
    </row>
    <row r="7523" spans="1:11" x14ac:dyDescent="0.25">
      <c r="A7523" t="s">
        <v>3953</v>
      </c>
      <c r="B7523" t="s">
        <v>85</v>
      </c>
      <c r="C7523" t="s">
        <v>19</v>
      </c>
      <c r="D7523" t="s">
        <v>226</v>
      </c>
      <c r="E7523" s="2">
        <v>8</v>
      </c>
      <c r="F7523" s="4">
        <v>1</v>
      </c>
      <c r="G7523" s="2">
        <v>8</v>
      </c>
      <c r="H7523" t="s">
        <v>25</v>
      </c>
      <c r="I7523" t="s">
        <v>16</v>
      </c>
      <c r="J7523" s="1">
        <v>45530</v>
      </c>
      <c r="K7523" t="b">
        <v>1</v>
      </c>
    </row>
    <row r="7524" spans="1:11" x14ac:dyDescent="0.25">
      <c r="A7524" t="s">
        <v>1804</v>
      </c>
      <c r="B7524" t="s">
        <v>93</v>
      </c>
      <c r="C7524" t="s">
        <v>27</v>
      </c>
      <c r="D7524" t="s">
        <v>357</v>
      </c>
      <c r="E7524" s="2">
        <v>8</v>
      </c>
      <c r="F7524" s="4">
        <v>1</v>
      </c>
      <c r="G7524" s="2">
        <v>8</v>
      </c>
      <c r="H7524" t="s">
        <v>15</v>
      </c>
      <c r="I7524" t="s">
        <v>16</v>
      </c>
      <c r="J7524" s="1">
        <v>45029</v>
      </c>
      <c r="K7524" t="b">
        <v>0</v>
      </c>
    </row>
    <row r="7525" spans="1:11" x14ac:dyDescent="0.25">
      <c r="A7525" t="s">
        <v>2835</v>
      </c>
      <c r="B7525" t="s">
        <v>12</v>
      </c>
      <c r="C7525" t="s">
        <v>19</v>
      </c>
      <c r="D7525" t="s">
        <v>226</v>
      </c>
      <c r="E7525" s="2">
        <v>8</v>
      </c>
      <c r="F7525" s="4">
        <v>1</v>
      </c>
      <c r="G7525" s="2">
        <v>8</v>
      </c>
      <c r="H7525" t="s">
        <v>45</v>
      </c>
      <c r="I7525" t="s">
        <v>16</v>
      </c>
      <c r="J7525" s="1">
        <v>45152</v>
      </c>
      <c r="K7525" t="b">
        <v>0</v>
      </c>
    </row>
    <row r="7526" spans="1:11" x14ac:dyDescent="0.25">
      <c r="A7526" t="s">
        <v>4846</v>
      </c>
      <c r="B7526" t="s">
        <v>85</v>
      </c>
      <c r="C7526" t="s">
        <v>13</v>
      </c>
      <c r="D7526" t="s">
        <v>969</v>
      </c>
      <c r="E7526" s="2">
        <v>8</v>
      </c>
      <c r="F7526" s="4">
        <v>1</v>
      </c>
      <c r="G7526" s="2">
        <v>8</v>
      </c>
      <c r="H7526" t="s">
        <v>25</v>
      </c>
      <c r="I7526" t="s">
        <v>16</v>
      </c>
      <c r="J7526" s="1">
        <v>44710</v>
      </c>
      <c r="K7526" t="b">
        <v>0</v>
      </c>
    </row>
    <row r="7527" spans="1:11" x14ac:dyDescent="0.25">
      <c r="A7527" t="s">
        <v>7764</v>
      </c>
      <c r="B7527" t="s">
        <v>63</v>
      </c>
      <c r="C7527" t="s">
        <v>38</v>
      </c>
      <c r="D7527" t="s">
        <v>235</v>
      </c>
      <c r="E7527" s="2">
        <v>6.5</v>
      </c>
      <c r="F7527" s="4">
        <v>1</v>
      </c>
      <c r="G7527" s="2">
        <v>6.5</v>
      </c>
      <c r="H7527" t="s">
        <v>25</v>
      </c>
      <c r="I7527" t="s">
        <v>36</v>
      </c>
      <c r="J7527" s="1">
        <v>45196</v>
      </c>
      <c r="K7527" t="b">
        <v>1</v>
      </c>
    </row>
    <row r="7528" spans="1:11" x14ac:dyDescent="0.25">
      <c r="A7528" t="s">
        <v>5334</v>
      </c>
      <c r="B7528" t="s">
        <v>12</v>
      </c>
      <c r="C7528" t="s">
        <v>38</v>
      </c>
      <c r="D7528" t="s">
        <v>235</v>
      </c>
      <c r="E7528" s="2">
        <v>6.5</v>
      </c>
      <c r="F7528" s="4">
        <v>1</v>
      </c>
      <c r="G7528" s="2">
        <v>6.5</v>
      </c>
      <c r="H7528" t="s">
        <v>45</v>
      </c>
      <c r="I7528" t="s">
        <v>16</v>
      </c>
      <c r="J7528" s="1">
        <v>44708</v>
      </c>
      <c r="K7528" t="b">
        <v>1</v>
      </c>
    </row>
    <row r="7529" spans="1:11" x14ac:dyDescent="0.25">
      <c r="A7529" t="s">
        <v>5504</v>
      </c>
      <c r="B7529" t="s">
        <v>93</v>
      </c>
      <c r="C7529" t="s">
        <v>110</v>
      </c>
      <c r="D7529" t="s">
        <v>221</v>
      </c>
      <c r="E7529" s="2">
        <v>6.5</v>
      </c>
      <c r="F7529" s="4">
        <v>1</v>
      </c>
      <c r="G7529" s="2">
        <v>6.5</v>
      </c>
      <c r="H7529" t="s">
        <v>45</v>
      </c>
      <c r="I7529" t="s">
        <v>16</v>
      </c>
      <c r="J7529" s="1">
        <v>45624</v>
      </c>
      <c r="K7529" t="b">
        <v>0</v>
      </c>
    </row>
    <row r="7530" spans="1:11" x14ac:dyDescent="0.25">
      <c r="A7530" t="s">
        <v>1164</v>
      </c>
      <c r="B7530" t="s">
        <v>30</v>
      </c>
      <c r="C7530" t="s">
        <v>13</v>
      </c>
      <c r="D7530" t="s">
        <v>428</v>
      </c>
      <c r="E7530" s="2">
        <v>6.5</v>
      </c>
      <c r="F7530" s="4">
        <v>1</v>
      </c>
      <c r="G7530" s="2">
        <v>6.5</v>
      </c>
      <c r="H7530" t="s">
        <v>45</v>
      </c>
      <c r="I7530" t="s">
        <v>16</v>
      </c>
      <c r="J7530" s="1">
        <v>44611</v>
      </c>
      <c r="K7530" t="b">
        <v>1</v>
      </c>
    </row>
    <row r="7531" spans="1:11" x14ac:dyDescent="0.25">
      <c r="A7531" t="s">
        <v>1709</v>
      </c>
      <c r="B7531" t="s">
        <v>142</v>
      </c>
      <c r="C7531" t="s">
        <v>13</v>
      </c>
      <c r="D7531" t="s">
        <v>428</v>
      </c>
      <c r="E7531" s="2">
        <v>6.5</v>
      </c>
      <c r="F7531" s="4">
        <v>1</v>
      </c>
      <c r="G7531" s="2">
        <v>6.5</v>
      </c>
      <c r="H7531" t="s">
        <v>15</v>
      </c>
      <c r="I7531" t="s">
        <v>36</v>
      </c>
      <c r="J7531" s="1">
        <v>45406</v>
      </c>
      <c r="K7531" t="b">
        <v>1</v>
      </c>
    </row>
    <row r="7532" spans="1:11" x14ac:dyDescent="0.25">
      <c r="A7532" t="s">
        <v>1367</v>
      </c>
      <c r="B7532" t="s">
        <v>22</v>
      </c>
      <c r="C7532" t="s">
        <v>19</v>
      </c>
      <c r="D7532" t="s">
        <v>308</v>
      </c>
      <c r="E7532" s="2">
        <v>6.5</v>
      </c>
      <c r="F7532" s="4">
        <v>1</v>
      </c>
      <c r="G7532" s="2">
        <v>6.5</v>
      </c>
      <c r="H7532" t="s">
        <v>15</v>
      </c>
      <c r="I7532" t="s">
        <v>16</v>
      </c>
      <c r="J7532" s="1">
        <v>45597</v>
      </c>
      <c r="K7532" t="b">
        <v>0</v>
      </c>
    </row>
    <row r="7533" spans="1:11" x14ac:dyDescent="0.25">
      <c r="A7533" t="s">
        <v>4163</v>
      </c>
      <c r="B7533" t="s">
        <v>104</v>
      </c>
      <c r="C7533" t="s">
        <v>110</v>
      </c>
      <c r="D7533" t="s">
        <v>221</v>
      </c>
      <c r="E7533" s="2">
        <v>6.5</v>
      </c>
      <c r="F7533" s="4">
        <v>1</v>
      </c>
      <c r="G7533" s="2">
        <v>6.5</v>
      </c>
      <c r="H7533" t="s">
        <v>45</v>
      </c>
      <c r="I7533" t="s">
        <v>36</v>
      </c>
      <c r="J7533" s="1">
        <v>45498</v>
      </c>
      <c r="K7533" t="b">
        <v>1</v>
      </c>
    </row>
    <row r="7534" spans="1:11" x14ac:dyDescent="0.25">
      <c r="A7534" t="s">
        <v>3975</v>
      </c>
      <c r="B7534" t="s">
        <v>93</v>
      </c>
      <c r="C7534" t="s">
        <v>27</v>
      </c>
      <c r="D7534" t="s">
        <v>246</v>
      </c>
      <c r="E7534" s="2">
        <v>6.5</v>
      </c>
      <c r="F7534" s="4">
        <v>1</v>
      </c>
      <c r="G7534" s="2">
        <v>6.5</v>
      </c>
      <c r="H7534" t="s">
        <v>15</v>
      </c>
      <c r="I7534" t="s">
        <v>36</v>
      </c>
      <c r="J7534" s="1">
        <v>45393</v>
      </c>
      <c r="K7534" t="b">
        <v>1</v>
      </c>
    </row>
    <row r="7535" spans="1:11" x14ac:dyDescent="0.25">
      <c r="A7535" t="s">
        <v>1583</v>
      </c>
      <c r="B7535" t="s">
        <v>97</v>
      </c>
      <c r="C7535" t="s">
        <v>13</v>
      </c>
      <c r="D7535" t="s">
        <v>428</v>
      </c>
      <c r="E7535" s="2">
        <v>6.5</v>
      </c>
      <c r="F7535" s="4">
        <v>1</v>
      </c>
      <c r="G7535" s="2">
        <v>6.5</v>
      </c>
      <c r="H7535" t="s">
        <v>25</v>
      </c>
      <c r="I7535" t="s">
        <v>36</v>
      </c>
      <c r="J7535" s="1">
        <v>45348</v>
      </c>
      <c r="K7535" t="b">
        <v>1</v>
      </c>
    </row>
    <row r="7536" spans="1:11" x14ac:dyDescent="0.25">
      <c r="A7536" t="s">
        <v>2591</v>
      </c>
      <c r="B7536" t="s">
        <v>77</v>
      </c>
      <c r="C7536" t="s">
        <v>59</v>
      </c>
      <c r="D7536" t="s">
        <v>541</v>
      </c>
      <c r="E7536" s="2">
        <v>6.5</v>
      </c>
      <c r="F7536" s="4">
        <v>1</v>
      </c>
      <c r="G7536" s="2">
        <v>6.5</v>
      </c>
      <c r="H7536" t="s">
        <v>15</v>
      </c>
      <c r="I7536" t="s">
        <v>36</v>
      </c>
      <c r="J7536" s="1">
        <v>44756</v>
      </c>
      <c r="K7536" t="b">
        <v>0</v>
      </c>
    </row>
    <row r="7537" spans="1:11" x14ac:dyDescent="0.25">
      <c r="A7537" t="s">
        <v>4661</v>
      </c>
      <c r="B7537" t="s">
        <v>85</v>
      </c>
      <c r="C7537" t="s">
        <v>38</v>
      </c>
      <c r="D7537" t="s">
        <v>235</v>
      </c>
      <c r="E7537" s="2">
        <v>6.5</v>
      </c>
      <c r="F7537" s="4">
        <v>1</v>
      </c>
      <c r="G7537" s="2">
        <v>6.5</v>
      </c>
      <c r="H7537" t="s">
        <v>45</v>
      </c>
      <c r="I7537" t="s">
        <v>36</v>
      </c>
      <c r="J7537" s="1">
        <v>44679</v>
      </c>
      <c r="K7537" t="b">
        <v>1</v>
      </c>
    </row>
    <row r="7538" spans="1:11" x14ac:dyDescent="0.25">
      <c r="A7538" t="s">
        <v>7415</v>
      </c>
      <c r="B7538" t="s">
        <v>72</v>
      </c>
      <c r="C7538" t="s">
        <v>38</v>
      </c>
      <c r="D7538" t="s">
        <v>235</v>
      </c>
      <c r="E7538" s="2">
        <v>6.5</v>
      </c>
      <c r="F7538" s="4">
        <v>1</v>
      </c>
      <c r="G7538" s="2">
        <v>6.5</v>
      </c>
      <c r="H7538" t="s">
        <v>25</v>
      </c>
      <c r="I7538" t="s">
        <v>36</v>
      </c>
      <c r="J7538" s="1">
        <v>45613</v>
      </c>
      <c r="K7538" t="b">
        <v>0</v>
      </c>
    </row>
    <row r="7539" spans="1:11" x14ac:dyDescent="0.25">
      <c r="A7539" t="s">
        <v>1009</v>
      </c>
      <c r="B7539" t="s">
        <v>93</v>
      </c>
      <c r="C7539" t="s">
        <v>13</v>
      </c>
      <c r="D7539" t="s">
        <v>428</v>
      </c>
      <c r="E7539" s="2">
        <v>6.5</v>
      </c>
      <c r="F7539" s="4">
        <v>1</v>
      </c>
      <c r="G7539" s="2">
        <v>6.5</v>
      </c>
      <c r="H7539" t="s">
        <v>15</v>
      </c>
      <c r="I7539" t="s">
        <v>16</v>
      </c>
      <c r="J7539" s="1">
        <v>45369</v>
      </c>
      <c r="K7539" t="b">
        <v>0</v>
      </c>
    </row>
    <row r="7540" spans="1:11" x14ac:dyDescent="0.25">
      <c r="A7540" t="s">
        <v>6446</v>
      </c>
      <c r="B7540" t="s">
        <v>37</v>
      </c>
      <c r="C7540" t="s">
        <v>31</v>
      </c>
      <c r="D7540" t="s">
        <v>49</v>
      </c>
      <c r="E7540" s="2">
        <v>6.5</v>
      </c>
      <c r="F7540" s="4">
        <v>1</v>
      </c>
      <c r="G7540" s="2">
        <v>6.5</v>
      </c>
      <c r="H7540" t="s">
        <v>15</v>
      </c>
      <c r="I7540" t="s">
        <v>36</v>
      </c>
      <c r="J7540" s="1">
        <v>44873</v>
      </c>
      <c r="K7540" t="b">
        <v>0</v>
      </c>
    </row>
    <row r="7541" spans="1:11" x14ac:dyDescent="0.25">
      <c r="A7541" t="s">
        <v>5238</v>
      </c>
      <c r="B7541" t="s">
        <v>77</v>
      </c>
      <c r="C7541" t="s">
        <v>38</v>
      </c>
      <c r="D7541" t="s">
        <v>235</v>
      </c>
      <c r="E7541" s="2">
        <v>6.5</v>
      </c>
      <c r="F7541" s="4">
        <v>1</v>
      </c>
      <c r="G7541" s="2">
        <v>6.5</v>
      </c>
      <c r="H7541" t="s">
        <v>25</v>
      </c>
      <c r="I7541" t="s">
        <v>36</v>
      </c>
      <c r="J7541" s="1">
        <v>45609</v>
      </c>
      <c r="K7541" t="b">
        <v>1</v>
      </c>
    </row>
    <row r="7542" spans="1:11" x14ac:dyDescent="0.25">
      <c r="A7542" t="s">
        <v>5474</v>
      </c>
      <c r="B7542" t="s">
        <v>77</v>
      </c>
      <c r="C7542" t="s">
        <v>110</v>
      </c>
      <c r="D7542" t="s">
        <v>221</v>
      </c>
      <c r="E7542" s="2">
        <v>6.5</v>
      </c>
      <c r="F7542" s="4">
        <v>1</v>
      </c>
      <c r="G7542" s="2">
        <v>6.5</v>
      </c>
      <c r="H7542" t="s">
        <v>25</v>
      </c>
      <c r="I7542" t="s">
        <v>16</v>
      </c>
      <c r="J7542" s="1">
        <v>45365</v>
      </c>
      <c r="K7542" t="b">
        <v>1</v>
      </c>
    </row>
    <row r="7543" spans="1:11" x14ac:dyDescent="0.25">
      <c r="A7543" t="s">
        <v>5770</v>
      </c>
      <c r="B7543" t="s">
        <v>30</v>
      </c>
      <c r="C7543" t="s">
        <v>27</v>
      </c>
      <c r="D7543" t="s">
        <v>246</v>
      </c>
      <c r="E7543" s="2">
        <v>6.5</v>
      </c>
      <c r="F7543" s="4">
        <v>1</v>
      </c>
      <c r="G7543" s="2">
        <v>6.5</v>
      </c>
      <c r="H7543" t="s">
        <v>25</v>
      </c>
      <c r="I7543" t="s">
        <v>16</v>
      </c>
      <c r="J7543" s="1">
        <v>45535</v>
      </c>
      <c r="K7543" t="b">
        <v>0</v>
      </c>
    </row>
    <row r="7544" spans="1:11" x14ac:dyDescent="0.25">
      <c r="A7544" t="s">
        <v>6936</v>
      </c>
      <c r="B7544" t="s">
        <v>85</v>
      </c>
      <c r="C7544" t="s">
        <v>23</v>
      </c>
      <c r="D7544" t="s">
        <v>137</v>
      </c>
      <c r="E7544" s="2">
        <v>6.5</v>
      </c>
      <c r="F7544" s="4">
        <v>1</v>
      </c>
      <c r="G7544" s="2">
        <v>6.5</v>
      </c>
      <c r="H7544" t="s">
        <v>25</v>
      </c>
      <c r="I7544" t="s">
        <v>36</v>
      </c>
      <c r="J7544" s="1">
        <v>45110</v>
      </c>
      <c r="K7544" t="b">
        <v>1</v>
      </c>
    </row>
    <row r="7545" spans="1:11" x14ac:dyDescent="0.25">
      <c r="A7545" t="s">
        <v>4739</v>
      </c>
      <c r="B7545" t="s">
        <v>77</v>
      </c>
      <c r="C7545" t="s">
        <v>27</v>
      </c>
      <c r="D7545" t="s">
        <v>246</v>
      </c>
      <c r="E7545" s="2">
        <v>6.5</v>
      </c>
      <c r="F7545" s="4">
        <v>1</v>
      </c>
      <c r="G7545" s="2">
        <v>6.5</v>
      </c>
      <c r="H7545" t="s">
        <v>45</v>
      </c>
      <c r="I7545" t="s">
        <v>36</v>
      </c>
      <c r="J7545" s="1">
        <v>45540</v>
      </c>
      <c r="K7545" t="b">
        <v>1</v>
      </c>
    </row>
    <row r="7546" spans="1:11" x14ac:dyDescent="0.25">
      <c r="A7546" t="s">
        <v>5581</v>
      </c>
      <c r="B7546" t="s">
        <v>18</v>
      </c>
      <c r="C7546" t="s">
        <v>59</v>
      </c>
      <c r="D7546" t="s">
        <v>541</v>
      </c>
      <c r="E7546" s="2">
        <v>6.5</v>
      </c>
      <c r="F7546" s="4">
        <v>1</v>
      </c>
      <c r="G7546" s="2">
        <v>6.5</v>
      </c>
      <c r="H7546" t="s">
        <v>15</v>
      </c>
      <c r="I7546" t="s">
        <v>36</v>
      </c>
      <c r="J7546" s="1">
        <v>45347</v>
      </c>
      <c r="K7546" t="b">
        <v>1</v>
      </c>
    </row>
    <row r="7547" spans="1:11" x14ac:dyDescent="0.25">
      <c r="A7547" t="s">
        <v>7605</v>
      </c>
      <c r="B7547" t="s">
        <v>63</v>
      </c>
      <c r="C7547" t="s">
        <v>110</v>
      </c>
      <c r="D7547" t="s">
        <v>221</v>
      </c>
      <c r="E7547" s="2">
        <v>6.5</v>
      </c>
      <c r="F7547" s="4">
        <v>1</v>
      </c>
      <c r="G7547" s="2">
        <v>6.5</v>
      </c>
      <c r="H7547" t="s">
        <v>15</v>
      </c>
      <c r="I7547" t="s">
        <v>16</v>
      </c>
      <c r="J7547" s="1">
        <v>45495</v>
      </c>
      <c r="K7547" t="b">
        <v>0</v>
      </c>
    </row>
    <row r="7548" spans="1:11" x14ac:dyDescent="0.25">
      <c r="A7548" t="s">
        <v>7079</v>
      </c>
      <c r="B7548" t="s">
        <v>12</v>
      </c>
      <c r="C7548" t="s">
        <v>38</v>
      </c>
      <c r="D7548" t="s">
        <v>235</v>
      </c>
      <c r="E7548" s="2">
        <v>6.5</v>
      </c>
      <c r="F7548" s="4">
        <v>1</v>
      </c>
      <c r="G7548" s="2">
        <v>6.5</v>
      </c>
      <c r="H7548" t="s">
        <v>15</v>
      </c>
      <c r="I7548" t="s">
        <v>36</v>
      </c>
      <c r="J7548" s="1">
        <v>45341</v>
      </c>
      <c r="K7548" t="b">
        <v>1</v>
      </c>
    </row>
    <row r="7549" spans="1:11" x14ac:dyDescent="0.25">
      <c r="A7549" t="s">
        <v>6355</v>
      </c>
      <c r="B7549" t="s">
        <v>97</v>
      </c>
      <c r="C7549" t="s">
        <v>27</v>
      </c>
      <c r="D7549" t="s">
        <v>246</v>
      </c>
      <c r="E7549" s="2">
        <v>6.5</v>
      </c>
      <c r="F7549" s="4">
        <v>1</v>
      </c>
      <c r="G7549" s="2">
        <v>6.5</v>
      </c>
      <c r="H7549" t="s">
        <v>15</v>
      </c>
      <c r="I7549" t="s">
        <v>16</v>
      </c>
      <c r="J7549" s="1">
        <v>45436</v>
      </c>
      <c r="K7549" t="b">
        <v>0</v>
      </c>
    </row>
    <row r="7550" spans="1:11" x14ac:dyDescent="0.25">
      <c r="A7550" t="s">
        <v>307</v>
      </c>
      <c r="B7550" t="s">
        <v>63</v>
      </c>
      <c r="C7550" t="s">
        <v>19</v>
      </c>
      <c r="D7550" t="s">
        <v>308</v>
      </c>
      <c r="E7550" s="2">
        <v>6.5</v>
      </c>
      <c r="F7550" s="4">
        <v>1</v>
      </c>
      <c r="G7550" s="2">
        <v>6.5</v>
      </c>
      <c r="H7550" t="s">
        <v>15</v>
      </c>
      <c r="I7550" t="s">
        <v>16</v>
      </c>
      <c r="J7550" s="1">
        <v>45446</v>
      </c>
      <c r="K7550" t="b">
        <v>0</v>
      </c>
    </row>
    <row r="7551" spans="1:11" x14ac:dyDescent="0.25">
      <c r="A7551" t="s">
        <v>449</v>
      </c>
      <c r="B7551" t="s">
        <v>61</v>
      </c>
      <c r="C7551" t="s">
        <v>19</v>
      </c>
      <c r="D7551" t="s">
        <v>308</v>
      </c>
      <c r="E7551" s="2">
        <v>6.5</v>
      </c>
      <c r="F7551" s="4">
        <v>1</v>
      </c>
      <c r="G7551" s="2">
        <v>6.5</v>
      </c>
      <c r="H7551" t="s">
        <v>25</v>
      </c>
      <c r="I7551" t="s">
        <v>16</v>
      </c>
      <c r="J7551" s="1">
        <v>44572</v>
      </c>
      <c r="K7551" t="b">
        <v>0</v>
      </c>
    </row>
    <row r="7552" spans="1:11" x14ac:dyDescent="0.25">
      <c r="A7552" t="s">
        <v>5196</v>
      </c>
      <c r="B7552" t="s">
        <v>26</v>
      </c>
      <c r="C7552" t="s">
        <v>38</v>
      </c>
      <c r="D7552" t="s">
        <v>235</v>
      </c>
      <c r="E7552" s="2">
        <v>6.5</v>
      </c>
      <c r="F7552" s="4">
        <v>1</v>
      </c>
      <c r="G7552" s="2">
        <v>6.5</v>
      </c>
      <c r="H7552" t="s">
        <v>15</v>
      </c>
      <c r="I7552" t="s">
        <v>36</v>
      </c>
      <c r="J7552" s="1">
        <v>45183</v>
      </c>
      <c r="K7552" t="b">
        <v>1</v>
      </c>
    </row>
    <row r="7553" spans="1:11" x14ac:dyDescent="0.25">
      <c r="A7553" t="s">
        <v>3287</v>
      </c>
      <c r="B7553" t="s">
        <v>61</v>
      </c>
      <c r="C7553" t="s">
        <v>27</v>
      </c>
      <c r="D7553" t="s">
        <v>348</v>
      </c>
      <c r="E7553" s="2">
        <v>5</v>
      </c>
      <c r="F7553" s="4">
        <v>1</v>
      </c>
      <c r="G7553" s="2">
        <v>5</v>
      </c>
      <c r="H7553" t="s">
        <v>25</v>
      </c>
      <c r="I7553" t="s">
        <v>36</v>
      </c>
      <c r="J7553" s="1">
        <v>45037</v>
      </c>
      <c r="K7553" t="b">
        <v>1</v>
      </c>
    </row>
    <row r="7554" spans="1:11" x14ac:dyDescent="0.25">
      <c r="A7554" t="s">
        <v>5710</v>
      </c>
      <c r="B7554" t="s">
        <v>61</v>
      </c>
      <c r="C7554" t="s">
        <v>38</v>
      </c>
      <c r="D7554" t="s">
        <v>225</v>
      </c>
      <c r="E7554" s="2">
        <v>5</v>
      </c>
      <c r="F7554" s="4">
        <v>1</v>
      </c>
      <c r="G7554" s="2">
        <v>5</v>
      </c>
      <c r="H7554" t="s">
        <v>45</v>
      </c>
      <c r="I7554" t="s">
        <v>16</v>
      </c>
      <c r="J7554" s="1">
        <v>45521</v>
      </c>
      <c r="K7554" t="b">
        <v>1</v>
      </c>
    </row>
    <row r="7555" spans="1:11" x14ac:dyDescent="0.25">
      <c r="A7555" t="s">
        <v>5271</v>
      </c>
      <c r="B7555" t="s">
        <v>61</v>
      </c>
      <c r="C7555" t="s">
        <v>19</v>
      </c>
      <c r="D7555" t="s">
        <v>219</v>
      </c>
      <c r="E7555" s="2">
        <v>5</v>
      </c>
      <c r="F7555" s="4">
        <v>1</v>
      </c>
      <c r="G7555" s="2">
        <v>5</v>
      </c>
      <c r="H7555" t="s">
        <v>25</v>
      </c>
      <c r="I7555" t="s">
        <v>36</v>
      </c>
      <c r="J7555" s="1">
        <v>45281</v>
      </c>
      <c r="K7555" t="b">
        <v>0</v>
      </c>
    </row>
    <row r="7556" spans="1:11" x14ac:dyDescent="0.25">
      <c r="A7556" t="s">
        <v>1425</v>
      </c>
      <c r="B7556" t="s">
        <v>58</v>
      </c>
      <c r="C7556" t="s">
        <v>110</v>
      </c>
      <c r="D7556" t="s">
        <v>337</v>
      </c>
      <c r="E7556" s="2">
        <v>5</v>
      </c>
      <c r="F7556" s="4">
        <v>1</v>
      </c>
      <c r="G7556" s="2">
        <v>5</v>
      </c>
      <c r="H7556" t="s">
        <v>25</v>
      </c>
      <c r="I7556" t="s">
        <v>16</v>
      </c>
      <c r="J7556" s="1">
        <v>45576</v>
      </c>
      <c r="K7556" t="b">
        <v>1</v>
      </c>
    </row>
    <row r="7557" spans="1:11" x14ac:dyDescent="0.25">
      <c r="A7557" t="s">
        <v>3128</v>
      </c>
      <c r="B7557" t="s">
        <v>40</v>
      </c>
      <c r="C7557" t="s">
        <v>27</v>
      </c>
      <c r="D7557" t="s">
        <v>348</v>
      </c>
      <c r="E7557" s="2">
        <v>5</v>
      </c>
      <c r="F7557" s="4">
        <v>1</v>
      </c>
      <c r="G7557" s="2">
        <v>5</v>
      </c>
      <c r="H7557" t="s">
        <v>15</v>
      </c>
      <c r="I7557" t="s">
        <v>16</v>
      </c>
      <c r="J7557" s="1">
        <v>45544</v>
      </c>
      <c r="K7557" t="b">
        <v>1</v>
      </c>
    </row>
    <row r="7558" spans="1:11" x14ac:dyDescent="0.25">
      <c r="A7558" t="s">
        <v>4808</v>
      </c>
      <c r="B7558" t="s">
        <v>85</v>
      </c>
      <c r="C7558" t="s">
        <v>23</v>
      </c>
      <c r="D7558" t="s">
        <v>311</v>
      </c>
      <c r="E7558" s="2">
        <v>5</v>
      </c>
      <c r="F7558" s="4">
        <v>1</v>
      </c>
      <c r="G7558" s="2">
        <v>5</v>
      </c>
      <c r="H7558" t="s">
        <v>25</v>
      </c>
      <c r="I7558" t="s">
        <v>36</v>
      </c>
      <c r="J7558" s="1">
        <v>45292</v>
      </c>
      <c r="K7558" t="b">
        <v>0</v>
      </c>
    </row>
    <row r="7559" spans="1:11" x14ac:dyDescent="0.25">
      <c r="A7559" t="s">
        <v>5394</v>
      </c>
      <c r="B7559" t="s">
        <v>12</v>
      </c>
      <c r="C7559" t="s">
        <v>110</v>
      </c>
      <c r="D7559" t="s">
        <v>337</v>
      </c>
      <c r="E7559" s="2">
        <v>5</v>
      </c>
      <c r="F7559" s="4">
        <v>1</v>
      </c>
      <c r="G7559" s="2">
        <v>5</v>
      </c>
      <c r="H7559" t="s">
        <v>45</v>
      </c>
      <c r="I7559" t="s">
        <v>16</v>
      </c>
      <c r="J7559" s="1">
        <v>44995</v>
      </c>
      <c r="K7559" t="b">
        <v>0</v>
      </c>
    </row>
    <row r="7560" spans="1:11" x14ac:dyDescent="0.25">
      <c r="A7560" t="s">
        <v>3854</v>
      </c>
      <c r="B7560" t="s">
        <v>97</v>
      </c>
      <c r="C7560" t="s">
        <v>19</v>
      </c>
      <c r="D7560" t="s">
        <v>219</v>
      </c>
      <c r="E7560" s="2">
        <v>5</v>
      </c>
      <c r="F7560" s="4">
        <v>1</v>
      </c>
      <c r="G7560" s="2">
        <v>5</v>
      </c>
      <c r="H7560" t="s">
        <v>45</v>
      </c>
      <c r="I7560" t="s">
        <v>16</v>
      </c>
      <c r="J7560" s="1">
        <v>44618</v>
      </c>
      <c r="K7560" t="b">
        <v>1</v>
      </c>
    </row>
    <row r="7561" spans="1:11" x14ac:dyDescent="0.25">
      <c r="A7561" t="s">
        <v>6282</v>
      </c>
      <c r="B7561" t="s">
        <v>86</v>
      </c>
      <c r="C7561" t="s">
        <v>19</v>
      </c>
      <c r="D7561" t="s">
        <v>219</v>
      </c>
      <c r="E7561" s="2">
        <v>5</v>
      </c>
      <c r="F7561" s="4">
        <v>1</v>
      </c>
      <c r="G7561" s="2">
        <v>5</v>
      </c>
      <c r="H7561" t="s">
        <v>45</v>
      </c>
      <c r="I7561" t="s">
        <v>36</v>
      </c>
      <c r="J7561" s="1">
        <v>44655</v>
      </c>
      <c r="K7561" t="b">
        <v>1</v>
      </c>
    </row>
    <row r="7562" spans="1:11" x14ac:dyDescent="0.25">
      <c r="A7562" t="s">
        <v>1916</v>
      </c>
      <c r="B7562" t="s">
        <v>43</v>
      </c>
      <c r="C7562" t="s">
        <v>19</v>
      </c>
      <c r="D7562" t="s">
        <v>219</v>
      </c>
      <c r="E7562" s="2">
        <v>5</v>
      </c>
      <c r="F7562" s="4">
        <v>1</v>
      </c>
      <c r="G7562" s="2">
        <v>5</v>
      </c>
      <c r="H7562" t="s">
        <v>15</v>
      </c>
      <c r="I7562" t="s">
        <v>16</v>
      </c>
      <c r="J7562" s="1">
        <v>45021</v>
      </c>
      <c r="K7562" t="b">
        <v>1</v>
      </c>
    </row>
    <row r="7563" spans="1:11" x14ac:dyDescent="0.25">
      <c r="A7563" t="s">
        <v>3717</v>
      </c>
      <c r="B7563" t="s">
        <v>30</v>
      </c>
      <c r="C7563" t="s">
        <v>27</v>
      </c>
      <c r="D7563" t="s">
        <v>348</v>
      </c>
      <c r="E7563" s="2">
        <v>5</v>
      </c>
      <c r="F7563" s="4">
        <v>1</v>
      </c>
      <c r="G7563" s="2">
        <v>5</v>
      </c>
      <c r="H7563" t="s">
        <v>15</v>
      </c>
      <c r="I7563" t="s">
        <v>16</v>
      </c>
      <c r="J7563" s="1">
        <v>45442</v>
      </c>
      <c r="K7563" t="b">
        <v>1</v>
      </c>
    </row>
    <row r="7564" spans="1:11" x14ac:dyDescent="0.25">
      <c r="A7564" t="s">
        <v>2652</v>
      </c>
      <c r="B7564" t="s">
        <v>30</v>
      </c>
      <c r="C7564" t="s">
        <v>13</v>
      </c>
      <c r="D7564" t="s">
        <v>146</v>
      </c>
      <c r="E7564" s="2">
        <v>5</v>
      </c>
      <c r="F7564" s="4">
        <v>1</v>
      </c>
      <c r="G7564" s="2">
        <v>5</v>
      </c>
      <c r="H7564" t="s">
        <v>25</v>
      </c>
      <c r="I7564" t="s">
        <v>36</v>
      </c>
      <c r="J7564" s="1">
        <v>45190</v>
      </c>
      <c r="K7564" t="b">
        <v>1</v>
      </c>
    </row>
    <row r="7565" spans="1:11" x14ac:dyDescent="0.25">
      <c r="A7565" t="s">
        <v>1584</v>
      </c>
      <c r="B7565" t="s">
        <v>22</v>
      </c>
      <c r="C7565" t="s">
        <v>38</v>
      </c>
      <c r="D7565" t="s">
        <v>225</v>
      </c>
      <c r="E7565" s="2">
        <v>5</v>
      </c>
      <c r="F7565" s="4">
        <v>1</v>
      </c>
      <c r="G7565" s="2">
        <v>5</v>
      </c>
      <c r="H7565" t="s">
        <v>25</v>
      </c>
      <c r="I7565" t="s">
        <v>36</v>
      </c>
      <c r="J7565" s="1">
        <v>44619</v>
      </c>
      <c r="K7565" t="b">
        <v>0</v>
      </c>
    </row>
    <row r="7566" spans="1:11" x14ac:dyDescent="0.25">
      <c r="A7566" t="s">
        <v>1901</v>
      </c>
      <c r="B7566" t="s">
        <v>69</v>
      </c>
      <c r="C7566" t="s">
        <v>59</v>
      </c>
      <c r="D7566" t="s">
        <v>279</v>
      </c>
      <c r="E7566" s="2">
        <v>5</v>
      </c>
      <c r="F7566" s="4">
        <v>1</v>
      </c>
      <c r="G7566" s="2">
        <v>5</v>
      </c>
      <c r="H7566" t="s">
        <v>45</v>
      </c>
      <c r="I7566" t="s">
        <v>36</v>
      </c>
      <c r="J7566" s="1">
        <v>44711</v>
      </c>
      <c r="K7566" t="b">
        <v>0</v>
      </c>
    </row>
    <row r="7567" spans="1:11" x14ac:dyDescent="0.25">
      <c r="A7567" t="s">
        <v>2371</v>
      </c>
      <c r="B7567" t="s">
        <v>30</v>
      </c>
      <c r="C7567" t="s">
        <v>23</v>
      </c>
      <c r="D7567" t="s">
        <v>311</v>
      </c>
      <c r="E7567" s="2">
        <v>5</v>
      </c>
      <c r="F7567" s="4">
        <v>1</v>
      </c>
      <c r="G7567" s="2">
        <v>5</v>
      </c>
      <c r="H7567" t="s">
        <v>45</v>
      </c>
      <c r="I7567" t="s">
        <v>36</v>
      </c>
      <c r="J7567" s="1">
        <v>45246</v>
      </c>
      <c r="K7567" t="b">
        <v>1</v>
      </c>
    </row>
    <row r="7568" spans="1:11" x14ac:dyDescent="0.25">
      <c r="A7568" t="s">
        <v>6163</v>
      </c>
      <c r="B7568" t="s">
        <v>34</v>
      </c>
      <c r="C7568" t="s">
        <v>31</v>
      </c>
      <c r="D7568" t="s">
        <v>35</v>
      </c>
      <c r="E7568" s="2">
        <v>5</v>
      </c>
      <c r="F7568" s="4">
        <v>1</v>
      </c>
      <c r="G7568" s="2">
        <v>5</v>
      </c>
      <c r="H7568" t="s">
        <v>15</v>
      </c>
      <c r="I7568" t="s">
        <v>36</v>
      </c>
      <c r="J7568" s="1">
        <v>45169</v>
      </c>
      <c r="K7568" t="b">
        <v>0</v>
      </c>
    </row>
    <row r="7569" spans="1:11" x14ac:dyDescent="0.25">
      <c r="A7569" t="s">
        <v>6202</v>
      </c>
      <c r="B7569" t="s">
        <v>12</v>
      </c>
      <c r="C7569" t="s">
        <v>19</v>
      </c>
      <c r="D7569" t="s">
        <v>219</v>
      </c>
      <c r="E7569" s="2">
        <v>5</v>
      </c>
      <c r="F7569" s="4">
        <v>1</v>
      </c>
      <c r="G7569" s="2">
        <v>5</v>
      </c>
      <c r="H7569" t="s">
        <v>25</v>
      </c>
      <c r="I7569" t="s">
        <v>16</v>
      </c>
      <c r="J7569" s="1">
        <v>44732</v>
      </c>
      <c r="K7569" t="b">
        <v>0</v>
      </c>
    </row>
    <row r="7570" spans="1:11" x14ac:dyDescent="0.25">
      <c r="A7570" t="s">
        <v>7772</v>
      </c>
      <c r="B7570" t="s">
        <v>43</v>
      </c>
      <c r="C7570" t="s">
        <v>13</v>
      </c>
      <c r="D7570" t="s">
        <v>146</v>
      </c>
      <c r="E7570" s="2">
        <v>5</v>
      </c>
      <c r="F7570" s="4">
        <v>1</v>
      </c>
      <c r="G7570" s="2">
        <v>5</v>
      </c>
      <c r="H7570" t="s">
        <v>45</v>
      </c>
      <c r="I7570" t="s">
        <v>16</v>
      </c>
      <c r="J7570" s="1">
        <v>45354</v>
      </c>
      <c r="K7570" t="b">
        <v>1</v>
      </c>
    </row>
    <row r="7571" spans="1:11" x14ac:dyDescent="0.25">
      <c r="A7571" t="s">
        <v>3941</v>
      </c>
      <c r="B7571" t="s">
        <v>104</v>
      </c>
      <c r="C7571" t="s">
        <v>59</v>
      </c>
      <c r="D7571" t="s">
        <v>279</v>
      </c>
      <c r="E7571" s="2">
        <v>5</v>
      </c>
      <c r="F7571" s="4">
        <v>1</v>
      </c>
      <c r="G7571" s="2">
        <v>5</v>
      </c>
      <c r="H7571" t="s">
        <v>15</v>
      </c>
      <c r="I7571" t="s">
        <v>16</v>
      </c>
      <c r="J7571" s="1">
        <v>44642</v>
      </c>
      <c r="K7571" t="b">
        <v>1</v>
      </c>
    </row>
    <row r="7572" spans="1:11" x14ac:dyDescent="0.25">
      <c r="A7572" t="s">
        <v>2096</v>
      </c>
      <c r="B7572" t="s">
        <v>77</v>
      </c>
      <c r="C7572" t="s">
        <v>27</v>
      </c>
      <c r="D7572" t="s">
        <v>348</v>
      </c>
      <c r="E7572" s="2">
        <v>5</v>
      </c>
      <c r="F7572" s="4">
        <v>1</v>
      </c>
      <c r="G7572" s="2">
        <v>5</v>
      </c>
      <c r="H7572" t="s">
        <v>25</v>
      </c>
      <c r="I7572" t="s">
        <v>16</v>
      </c>
      <c r="J7572" s="1">
        <v>45112</v>
      </c>
      <c r="K7572" t="b">
        <v>1</v>
      </c>
    </row>
    <row r="7573" spans="1:11" x14ac:dyDescent="0.25">
      <c r="A7573" t="s">
        <v>4325</v>
      </c>
      <c r="B7573" t="s">
        <v>93</v>
      </c>
      <c r="C7573" t="s">
        <v>19</v>
      </c>
      <c r="D7573" t="s">
        <v>219</v>
      </c>
      <c r="E7573" s="2">
        <v>5</v>
      </c>
      <c r="F7573" s="4">
        <v>1</v>
      </c>
      <c r="G7573" s="2">
        <v>5</v>
      </c>
      <c r="H7573" t="s">
        <v>45</v>
      </c>
      <c r="I7573" t="s">
        <v>36</v>
      </c>
      <c r="J7573" s="1">
        <v>45200</v>
      </c>
      <c r="K7573" t="b">
        <v>1</v>
      </c>
    </row>
    <row r="7574" spans="1:11" x14ac:dyDescent="0.25">
      <c r="A7574" t="s">
        <v>423</v>
      </c>
      <c r="B7574" t="s">
        <v>77</v>
      </c>
      <c r="C7574" t="s">
        <v>19</v>
      </c>
      <c r="D7574" t="s">
        <v>219</v>
      </c>
      <c r="E7574" s="2">
        <v>5</v>
      </c>
      <c r="F7574" s="4">
        <v>1</v>
      </c>
      <c r="G7574" s="2">
        <v>5</v>
      </c>
      <c r="H7574" t="s">
        <v>25</v>
      </c>
      <c r="I7574" t="s">
        <v>16</v>
      </c>
      <c r="J7574" s="1">
        <v>45281</v>
      </c>
      <c r="K7574" t="b">
        <v>1</v>
      </c>
    </row>
    <row r="7575" spans="1:11" x14ac:dyDescent="0.25">
      <c r="A7575" t="s">
        <v>3291</v>
      </c>
      <c r="B7575" t="s">
        <v>40</v>
      </c>
      <c r="C7575" t="s">
        <v>110</v>
      </c>
      <c r="D7575" t="s">
        <v>337</v>
      </c>
      <c r="E7575" s="2">
        <v>5</v>
      </c>
      <c r="F7575" s="4">
        <v>1</v>
      </c>
      <c r="G7575" s="2">
        <v>5</v>
      </c>
      <c r="H7575" t="s">
        <v>45</v>
      </c>
      <c r="I7575" t="s">
        <v>16</v>
      </c>
      <c r="J7575" s="1">
        <v>44663</v>
      </c>
      <c r="K7575" t="b">
        <v>1</v>
      </c>
    </row>
    <row r="7576" spans="1:11" x14ac:dyDescent="0.25">
      <c r="A7576" t="s">
        <v>3232</v>
      </c>
      <c r="B7576" t="s">
        <v>72</v>
      </c>
      <c r="C7576" t="s">
        <v>13</v>
      </c>
      <c r="D7576" t="s">
        <v>146</v>
      </c>
      <c r="E7576" s="2">
        <v>5</v>
      </c>
      <c r="F7576" s="4">
        <v>1</v>
      </c>
      <c r="G7576" s="2">
        <v>5</v>
      </c>
      <c r="H7576" t="s">
        <v>15</v>
      </c>
      <c r="I7576" t="s">
        <v>36</v>
      </c>
      <c r="J7576" s="1">
        <v>45487</v>
      </c>
      <c r="K7576" t="b">
        <v>1</v>
      </c>
    </row>
    <row r="7577" spans="1:11" x14ac:dyDescent="0.25">
      <c r="A7577" t="s">
        <v>5798</v>
      </c>
      <c r="B7577" t="s">
        <v>30</v>
      </c>
      <c r="C7577" t="s">
        <v>13</v>
      </c>
      <c r="D7577" t="s">
        <v>146</v>
      </c>
      <c r="E7577" s="2">
        <v>5</v>
      </c>
      <c r="F7577" s="4">
        <v>1</v>
      </c>
      <c r="G7577" s="2">
        <v>5</v>
      </c>
      <c r="H7577" t="s">
        <v>45</v>
      </c>
      <c r="I7577" t="s">
        <v>36</v>
      </c>
      <c r="J7577" s="1">
        <v>45506</v>
      </c>
      <c r="K7577" t="b">
        <v>0</v>
      </c>
    </row>
    <row r="7578" spans="1:11" x14ac:dyDescent="0.25">
      <c r="A7578" t="s">
        <v>2242</v>
      </c>
      <c r="B7578" t="s">
        <v>40</v>
      </c>
      <c r="C7578" t="s">
        <v>59</v>
      </c>
      <c r="D7578" t="s">
        <v>279</v>
      </c>
      <c r="E7578" s="2">
        <v>5</v>
      </c>
      <c r="F7578" s="4">
        <v>1</v>
      </c>
      <c r="G7578" s="2">
        <v>5</v>
      </c>
      <c r="H7578" t="s">
        <v>25</v>
      </c>
      <c r="I7578" t="s">
        <v>36</v>
      </c>
      <c r="J7578" s="1">
        <v>45305</v>
      </c>
      <c r="K7578" t="b">
        <v>1</v>
      </c>
    </row>
    <row r="7579" spans="1:11" x14ac:dyDescent="0.25">
      <c r="A7579" t="s">
        <v>1562</v>
      </c>
      <c r="B7579" t="s">
        <v>12</v>
      </c>
      <c r="C7579" t="s">
        <v>31</v>
      </c>
      <c r="D7579" t="s">
        <v>35</v>
      </c>
      <c r="E7579" s="2">
        <v>5</v>
      </c>
      <c r="F7579" s="4">
        <v>1</v>
      </c>
      <c r="G7579" s="2">
        <v>5</v>
      </c>
      <c r="H7579" t="s">
        <v>25</v>
      </c>
      <c r="I7579" t="s">
        <v>16</v>
      </c>
      <c r="J7579" s="1">
        <v>45430</v>
      </c>
      <c r="K7579" t="b">
        <v>1</v>
      </c>
    </row>
    <row r="7580" spans="1:11" x14ac:dyDescent="0.25">
      <c r="A7580" t="s">
        <v>5957</v>
      </c>
      <c r="B7580" t="s">
        <v>43</v>
      </c>
      <c r="C7580" t="s">
        <v>59</v>
      </c>
      <c r="D7580" t="s">
        <v>279</v>
      </c>
      <c r="E7580" s="2">
        <v>5</v>
      </c>
      <c r="F7580" s="4">
        <v>1</v>
      </c>
      <c r="G7580" s="2">
        <v>5</v>
      </c>
      <c r="H7580" t="s">
        <v>15</v>
      </c>
      <c r="I7580" t="s">
        <v>16</v>
      </c>
      <c r="J7580" s="1">
        <v>45537</v>
      </c>
      <c r="K7580" t="b">
        <v>0</v>
      </c>
    </row>
    <row r="8349" spans="8:8" x14ac:dyDescent="0.25">
      <c r="H8349">
        <f ca="1">TRIM(H:H)</f>
        <v>0</v>
      </c>
    </row>
  </sheetData>
  <sortState xmlns:xlrd2="http://schemas.microsoft.com/office/spreadsheetml/2017/richdata2" ref="A2:K7582">
    <sortCondition descending="1" ref="G1:G7582"/>
  </sortState>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E0F43-590B-4069-B7C6-DB1110FC0107}">
  <dimension ref="B3:AI40"/>
  <sheetViews>
    <sheetView topLeftCell="A6" workbookViewId="0">
      <selection activeCell="C7" sqref="C7"/>
    </sheetView>
  </sheetViews>
  <sheetFormatPr defaultRowHeight="15" x14ac:dyDescent="0.25"/>
  <cols>
    <col min="2" max="2" width="15.7109375" bestFit="1" customWidth="1"/>
    <col min="3" max="3" width="23.5703125" bestFit="1" customWidth="1"/>
  </cols>
  <sheetData>
    <row r="3" spans="2:35" x14ac:dyDescent="0.25">
      <c r="B3" t="s">
        <v>7828</v>
      </c>
      <c r="C3">
        <f>'retail_store_sales (1)'!E11 +'retail_store_sales (1)'!G11</f>
        <v>451</v>
      </c>
      <c r="D3" s="4"/>
      <c r="F3" t="str" cm="1">
        <f t="array" aca="1" ref="F3:AI4" ca="1">TRANSPOSE(B3:C32)</f>
        <v>ADD</v>
      </c>
      <c r="G3" t="str">
        <f ca="1"/>
        <v>SUBTRACT</v>
      </c>
      <c r="H3" t="str">
        <f ca="1"/>
        <v>MULTIPLICATION</v>
      </c>
      <c r="I3" t="str">
        <f ca="1"/>
        <v>DIVISION</v>
      </c>
      <c r="J3" t="str">
        <f ca="1"/>
        <v>SUM</v>
      </c>
      <c r="K3" t="str">
        <f ca="1"/>
        <v>MEAN(AVERAGE)</v>
      </c>
      <c r="L3" t="str">
        <f ca="1"/>
        <v>MEDIAN</v>
      </c>
      <c r="M3" t="str">
        <f ca="1"/>
        <v>COUNT</v>
      </c>
      <c r="N3" t="str">
        <f ca="1"/>
        <v>COUNTA</v>
      </c>
      <c r="O3" t="str">
        <f ca="1"/>
        <v>MIN</v>
      </c>
      <c r="P3" t="str">
        <f ca="1"/>
        <v>MAX</v>
      </c>
      <c r="Q3" t="str">
        <f ca="1"/>
        <v>IF</v>
      </c>
      <c r="R3" t="str">
        <f ca="1"/>
        <v>CONCAT</v>
      </c>
      <c r="S3" t="str">
        <f ca="1"/>
        <v>LEN</v>
      </c>
      <c r="T3" t="str">
        <f ca="1"/>
        <v>TRIM</v>
      </c>
      <c r="U3" t="str">
        <f ca="1"/>
        <v>UPPER</v>
      </c>
      <c r="V3" t="str">
        <f ca="1"/>
        <v>LOWER</v>
      </c>
      <c r="W3" t="str">
        <f ca="1"/>
        <v>PROPER</v>
      </c>
      <c r="X3" t="str">
        <f ca="1"/>
        <v>SUMIF</v>
      </c>
      <c r="Y3" t="str">
        <f ca="1"/>
        <v>COUNTIF</v>
      </c>
      <c r="Z3" t="str">
        <f ca="1"/>
        <v>AVERAGEIF</v>
      </c>
      <c r="AA3" t="str">
        <f ca="1"/>
        <v>SUMIFS</v>
      </c>
      <c r="AB3" t="str">
        <f ca="1"/>
        <v>LEFT</v>
      </c>
      <c r="AC3" t="str">
        <f ca="1"/>
        <v>RIGHT</v>
      </c>
      <c r="AD3" t="str">
        <f ca="1"/>
        <v>MID</v>
      </c>
      <c r="AE3" t="str">
        <f ca="1"/>
        <v>ROUND</v>
      </c>
      <c r="AF3" t="str">
        <f ca="1"/>
        <v>TODAY/NOW</v>
      </c>
      <c r="AG3" t="str">
        <f ca="1"/>
        <v>DATE TO TEXT</v>
      </c>
      <c r="AH3" t="str">
        <f ca="1"/>
        <v>UNIQUE</v>
      </c>
      <c r="AI3" t="str">
        <f ca="1"/>
        <v>TRANSPOSE</v>
      </c>
    </row>
    <row r="4" spans="2:35" x14ac:dyDescent="0.25">
      <c r="B4" t="s">
        <v>7829</v>
      </c>
      <c r="C4">
        <f>'retail_store_sales (1)'!G16 -'retail_store_sales (1)'!E16</f>
        <v>369</v>
      </c>
      <c r="F4">
        <f ca="1"/>
        <v>451</v>
      </c>
      <c r="G4">
        <f ca="1"/>
        <v>369</v>
      </c>
      <c r="H4">
        <f ca="1"/>
        <v>410</v>
      </c>
      <c r="I4">
        <f ca="1"/>
        <v>41</v>
      </c>
      <c r="J4">
        <f ca="1"/>
        <v>988513</v>
      </c>
      <c r="K4">
        <f ca="1"/>
        <v>23.4288824383164</v>
      </c>
      <c r="L4">
        <f ca="1"/>
        <v>23</v>
      </c>
      <c r="M4">
        <f ca="1"/>
        <v>7579</v>
      </c>
      <c r="N4">
        <f ca="1"/>
        <v>7579</v>
      </c>
      <c r="O4">
        <f ca="1"/>
        <v>5</v>
      </c>
      <c r="P4">
        <f ca="1"/>
        <v>410</v>
      </c>
      <c r="Q4" t="str">
        <f ca="1"/>
        <v>DISCOUNT NOT ALLOWED</v>
      </c>
      <c r="R4" t="str">
        <f ca="1"/>
        <v>Digital Wallet Online</v>
      </c>
      <c r="S4">
        <f ca="1"/>
        <v>14</v>
      </c>
      <c r="T4" t="str">
        <f ca="1"/>
        <v>Digital Wallet</v>
      </c>
      <c r="U4">
        <f ca="1"/>
        <v>0</v>
      </c>
      <c r="V4">
        <f ca="1"/>
        <v>0</v>
      </c>
      <c r="W4">
        <f ca="1"/>
        <v>0</v>
      </c>
      <c r="X4">
        <f ca="1"/>
        <v>183562.5</v>
      </c>
      <c r="Y4">
        <f ca="1"/>
        <v>2583</v>
      </c>
      <c r="Z4">
        <f ca="1"/>
        <v>33.208406304728548</v>
      </c>
      <c r="AA4">
        <f ca="1"/>
        <v>410</v>
      </c>
      <c r="AB4" t="str">
        <f ca="1"/>
        <v>Dig</v>
      </c>
      <c r="AC4">
        <f ca="1"/>
        <v>0</v>
      </c>
      <c r="AD4" t="str">
        <f ca="1"/>
        <v>edit</v>
      </c>
      <c r="AE4">
        <f ca="1"/>
        <v>0</v>
      </c>
      <c r="AF4">
        <f ca="1"/>
        <v>46204</v>
      </c>
      <c r="AG4">
        <f ca="1"/>
        <v>0</v>
      </c>
      <c r="AH4" t="str">
        <f ca="1"/>
        <v>Category</v>
      </c>
      <c r="AI4" t="str">
        <f ca="1"/>
        <v>Milk Products</v>
      </c>
    </row>
    <row r="5" spans="2:35" x14ac:dyDescent="0.25">
      <c r="B5" t="s">
        <v>7830</v>
      </c>
      <c r="C5">
        <f>'retail_store_sales (1)'!E19 *'retail_store_sales (1)'!F19</f>
        <v>410</v>
      </c>
    </row>
    <row r="6" spans="2:35" x14ac:dyDescent="0.25">
      <c r="B6" t="s">
        <v>7831</v>
      </c>
      <c r="C6">
        <f>'retail_store_sales (1)'!G20 /'retail_store_sales (1)'!F19</f>
        <v>41</v>
      </c>
    </row>
    <row r="7" spans="2:35" x14ac:dyDescent="0.25">
      <c r="B7" t="s">
        <v>7832</v>
      </c>
      <c r="C7" s="2">
        <f>SUM('retail_store_sales (1)'!G:G)</f>
        <v>988513</v>
      </c>
    </row>
    <row r="8" spans="2:35" x14ac:dyDescent="0.25">
      <c r="B8" t="s">
        <v>7833</v>
      </c>
      <c r="C8">
        <f>AVERAGE('retail_store_sales (1)'!E:E)</f>
        <v>23.4288824383164</v>
      </c>
    </row>
    <row r="9" spans="2:35" x14ac:dyDescent="0.25">
      <c r="B9" t="s">
        <v>7834</v>
      </c>
      <c r="C9">
        <f>MEDIAN('retail_store_sales (1)'!E:E)</f>
        <v>23</v>
      </c>
    </row>
    <row r="10" spans="2:35" x14ac:dyDescent="0.25">
      <c r="B10" t="s">
        <v>7835</v>
      </c>
      <c r="C10">
        <f>COUNT('retail_store_sales (1)'!G:G)</f>
        <v>7579</v>
      </c>
    </row>
    <row r="11" spans="2:35" x14ac:dyDescent="0.25">
      <c r="B11" t="s">
        <v>7836</v>
      </c>
      <c r="C11">
        <f>COUNTA(Table1[Payment Method])</f>
        <v>7579</v>
      </c>
    </row>
    <row r="12" spans="2:35" x14ac:dyDescent="0.25">
      <c r="B12" t="s">
        <v>7837</v>
      </c>
      <c r="C12">
        <f>MIN('retail_store_sales (1)'!G:G)</f>
        <v>5</v>
      </c>
    </row>
    <row r="13" spans="2:35" x14ac:dyDescent="0.25">
      <c r="B13" t="s">
        <v>7838</v>
      </c>
      <c r="C13">
        <f>MAX('retail_store_sales (1)'!G:G)</f>
        <v>410</v>
      </c>
    </row>
    <row r="14" spans="2:35" x14ac:dyDescent="0.25">
      <c r="B14" t="s">
        <v>7839</v>
      </c>
      <c r="C14" t="str">
        <f>IF('retail_store_sales (1)'!K2 = "TRUE", "DISCOUNT ALLOWED", "DISCOUNT NOT ALLOWED")</f>
        <v>DISCOUNT NOT ALLOWED</v>
      </c>
    </row>
    <row r="15" spans="2:35" x14ac:dyDescent="0.25">
      <c r="B15" t="s">
        <v>7840</v>
      </c>
      <c r="C15" t="str">
        <f>_xlfn.CONCAT('retail_store_sales (1)'!H2, " ",'retail_store_sales (1)'!I2)</f>
        <v>Digital Wallet Online</v>
      </c>
    </row>
    <row r="16" spans="2:35" x14ac:dyDescent="0.25">
      <c r="B16" t="s">
        <v>7841</v>
      </c>
      <c r="C16">
        <f>LEN('retail_store_sales (1)'!H2)</f>
        <v>14</v>
      </c>
    </row>
    <row r="17" spans="2:3" x14ac:dyDescent="0.25">
      <c r="B17" t="s">
        <v>7842</v>
      </c>
      <c r="C17" t="str">
        <f>TRIM('retail_store_sales (1)'!H4)</f>
        <v>Digital Wallet</v>
      </c>
    </row>
    <row r="18" spans="2:3" x14ac:dyDescent="0.25">
      <c r="B18" t="s">
        <v>7857</v>
      </c>
    </row>
    <row r="19" spans="2:3" x14ac:dyDescent="0.25">
      <c r="B19" t="s">
        <v>7843</v>
      </c>
    </row>
    <row r="20" spans="2:3" x14ac:dyDescent="0.25">
      <c r="B20" t="s">
        <v>7844</v>
      </c>
    </row>
    <row r="21" spans="2:3" x14ac:dyDescent="0.25">
      <c r="B21" t="s">
        <v>7845</v>
      </c>
      <c r="C21" s="5">
        <f>SUMIF('retail_store_sales (1)'!G:G, "&gt;300")</f>
        <v>183562.5</v>
      </c>
    </row>
    <row r="22" spans="2:3" x14ac:dyDescent="0.25">
      <c r="B22" t="s">
        <v>7846</v>
      </c>
      <c r="C22">
        <f>COUNTIF(Table1[Payment Method], "=Cash")</f>
        <v>2583</v>
      </c>
    </row>
    <row r="23" spans="2:3" x14ac:dyDescent="0.25">
      <c r="B23" t="s">
        <v>7847</v>
      </c>
      <c r="C23">
        <f>AVERAGEIF('retail_store_sales (1)'!G:G, "&gt;200",'retail_store_sales (1)'!E:E)</f>
        <v>33.208406304728548</v>
      </c>
    </row>
    <row r="24" spans="2:3" x14ac:dyDescent="0.25">
      <c r="B24" t="s">
        <v>7848</v>
      </c>
      <c r="C24">
        <f>SUMIFS('retail_store_sales (1)'!E:E,'retail_store_sales (1)'!H:H,"Cash",'retail_store_sales (1)'!G:G, "&gt;400")</f>
        <v>410</v>
      </c>
    </row>
    <row r="25" spans="2:3" x14ac:dyDescent="0.25">
      <c r="B25" t="s">
        <v>7849</v>
      </c>
      <c r="C25" t="str">
        <f>LEFT('retail_store_sales (1)'!H7, 3)</f>
        <v>Dig</v>
      </c>
    </row>
    <row r="26" spans="2:3" x14ac:dyDescent="0.25">
      <c r="B26" t="s">
        <v>7850</v>
      </c>
    </row>
    <row r="27" spans="2:3" x14ac:dyDescent="0.25">
      <c r="B27" t="s">
        <v>7851</v>
      </c>
      <c r="C27" t="str">
        <f>MID('retail_store_sales (1)'!H9,3,4)</f>
        <v>edit</v>
      </c>
    </row>
    <row r="28" spans="2:3" x14ac:dyDescent="0.25">
      <c r="B28" t="s">
        <v>7852</v>
      </c>
      <c r="C28" s="3">
        <f>ROUND(E22,2)</f>
        <v>0</v>
      </c>
    </row>
    <row r="29" spans="2:3" x14ac:dyDescent="0.25">
      <c r="B29" t="s">
        <v>7853</v>
      </c>
      <c r="C29" s="1">
        <f ca="1">TODAY()</f>
        <v>46204</v>
      </c>
    </row>
    <row r="30" spans="2:3" x14ac:dyDescent="0.25">
      <c r="B30" t="s">
        <v>7854</v>
      </c>
    </row>
    <row r="31" spans="2:3" x14ac:dyDescent="0.25">
      <c r="B31" t="s">
        <v>7855</v>
      </c>
      <c r="C31" t="str" cm="1">
        <f t="array" ref="C31:C40">_xlfn.UNIQUE('retail_store_sales (1)'!C:C)</f>
        <v>Category</v>
      </c>
    </row>
    <row r="32" spans="2:3" x14ac:dyDescent="0.25">
      <c r="B32" t="s">
        <v>7856</v>
      </c>
      <c r="C32" t="str">
        <v>Milk Products</v>
      </c>
    </row>
    <row r="33" spans="3:3" x14ac:dyDescent="0.25">
      <c r="C33" t="str">
        <v>Beverages</v>
      </c>
    </row>
    <row r="34" spans="3:3" x14ac:dyDescent="0.25">
      <c r="C34" t="str">
        <v>Furniture</v>
      </c>
    </row>
    <row r="35" spans="3:3" x14ac:dyDescent="0.25">
      <c r="C35" t="str">
        <v>Butchers</v>
      </c>
    </row>
    <row r="36" spans="3:3" x14ac:dyDescent="0.25">
      <c r="C36" t="str">
        <v>Food</v>
      </c>
    </row>
    <row r="37" spans="3:3" x14ac:dyDescent="0.25">
      <c r="C37" t="str">
        <v>Electric household essentials</v>
      </c>
    </row>
    <row r="38" spans="3:3" x14ac:dyDescent="0.25">
      <c r="C38" t="str">
        <v>Computers and electric accessories</v>
      </c>
    </row>
    <row r="39" spans="3:3" x14ac:dyDescent="0.25">
      <c r="C39" t="str">
        <v>Patisserie</v>
      </c>
    </row>
    <row r="40" spans="3:3" x14ac:dyDescent="0.25">
      <c r="C4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D8DA3-0028-49F3-9D6D-777048C81226}">
  <dimension ref="A2:B11"/>
  <sheetViews>
    <sheetView workbookViewId="0">
      <selection activeCell="K8" sqref="K8"/>
    </sheetView>
  </sheetViews>
  <sheetFormatPr defaultRowHeight="15" x14ac:dyDescent="0.25"/>
  <cols>
    <col min="1" max="1" width="33" bestFit="1" customWidth="1"/>
    <col min="2" max="2" width="18.140625" bestFit="1" customWidth="1"/>
    <col min="3" max="3" width="15.5703125" bestFit="1" customWidth="1"/>
    <col min="4" max="6" width="7.5703125" bestFit="1" customWidth="1"/>
    <col min="7" max="11" width="8.5703125" bestFit="1" customWidth="1"/>
    <col min="12" max="12" width="11.28515625" bestFit="1" customWidth="1"/>
  </cols>
  <sheetData>
    <row r="2" spans="1:2" x14ac:dyDescent="0.25">
      <c r="A2" s="6" t="s">
        <v>7858</v>
      </c>
      <c r="B2" t="s">
        <v>7860</v>
      </c>
    </row>
    <row r="3" spans="1:2" x14ac:dyDescent="0.25">
      <c r="A3" s="7" t="s">
        <v>27</v>
      </c>
      <c r="B3" s="2">
        <v>124513</v>
      </c>
    </row>
    <row r="4" spans="1:2" x14ac:dyDescent="0.25">
      <c r="A4" s="7" t="s">
        <v>23</v>
      </c>
      <c r="B4" s="2">
        <v>136146.5</v>
      </c>
    </row>
    <row r="5" spans="1:2" x14ac:dyDescent="0.25">
      <c r="A5" s="7" t="s">
        <v>110</v>
      </c>
      <c r="B5" s="2">
        <v>126621.5</v>
      </c>
    </row>
    <row r="6" spans="1:2" x14ac:dyDescent="0.25">
      <c r="A6" s="7" t="s">
        <v>59</v>
      </c>
      <c r="B6" s="2">
        <v>124381.5</v>
      </c>
    </row>
    <row r="7" spans="1:2" x14ac:dyDescent="0.25">
      <c r="A7" s="7" t="s">
        <v>31</v>
      </c>
      <c r="B7" s="2">
        <v>122434.5</v>
      </c>
    </row>
    <row r="8" spans="1:2" x14ac:dyDescent="0.25">
      <c r="A8" s="7" t="s">
        <v>38</v>
      </c>
      <c r="B8" s="2">
        <v>120756.5</v>
      </c>
    </row>
    <row r="9" spans="1:2" x14ac:dyDescent="0.25">
      <c r="A9" s="7" t="s">
        <v>19</v>
      </c>
      <c r="B9" s="2">
        <v>116538.5</v>
      </c>
    </row>
    <row r="10" spans="1:2" x14ac:dyDescent="0.25">
      <c r="A10" s="7" t="s">
        <v>13</v>
      </c>
      <c r="B10" s="2">
        <v>117121</v>
      </c>
    </row>
    <row r="11" spans="1:2" x14ac:dyDescent="0.25">
      <c r="A11" s="7" t="s">
        <v>7859</v>
      </c>
      <c r="B11" s="2">
        <v>988513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dashboard</vt:lpstr>
      <vt:lpstr>Sheet5</vt:lpstr>
      <vt:lpstr>Sheet6</vt:lpstr>
      <vt:lpstr>retail_store_sales (1)</vt:lpstr>
      <vt:lpstr>formulas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Lawrence Olorunda</dc:creator>
  <cp:lastModifiedBy>Lawrence Olorunda</cp:lastModifiedBy>
  <dcterms:created xsi:type="dcterms:W3CDTF">2026-04-23T08:32:41Z</dcterms:created>
  <dcterms:modified xsi:type="dcterms:W3CDTF">2026-07-01T11:37:34Z</dcterms:modified>
</cp:coreProperties>
</file>